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urpleventuresth-my.sharepoint.com/personal/songpon_robinhood_co_th/Documents/Report QA/ROWDATA/"/>
    </mc:Choice>
  </mc:AlternateContent>
  <xr:revisionPtr revIDLastSave="1" documentId="8_{1BAE1A93-3662-4C83-BB5F-EFE5154F3CCE}" xr6:coauthVersionLast="47" xr6:coauthVersionMax="47" xr10:uidLastSave="{8F372B5E-1D3C-497C-9768-E28FADD8D026}"/>
  <bookViews>
    <workbookView xWindow="-110" yWindow="-110" windowWidth="19420" windowHeight="10420" xr2:uid="{CDDDE65C-3708-409B-A1A5-3D41754C3A42}"/>
  </bookViews>
  <sheets>
    <sheet name="Raw_Data" sheetId="1" r:id="rId1"/>
  </sheets>
  <externalReferences>
    <externalReference r:id="rId2"/>
  </externalReferences>
  <definedNames>
    <definedName name="_xlnm._FilterDatabase" localSheetId="0" hidden="1">Raw_Data!$A$4:$BR$2641</definedName>
    <definedName name="rngAgents">[1]Lists!$A$2:$A$26</definedName>
    <definedName name="rngAppealStatus">[1]Lists!$M$2:$M$7</definedName>
    <definedName name="rngAppealVersion">[1]Lists!$L$2:$L$11</definedName>
    <definedName name="rngCaseID">[1]Lists!$O$2:$O$571</definedName>
    <definedName name="rngCommentStatus">[1]Lists!$N$2:$N$8</definedName>
    <definedName name="rngMonths">OFFSET([1]Lists!$D$2,0,0,MAX(1,COUNTA([1]Lists!$D:$D)-1),1)</definedName>
    <definedName name="rngWeeks">OFFSET([1]Lists!$G$2,0,0,MAX(1,COUNTA([1]Lists!$G:$G)-1),1)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2640" i="1" l="1"/>
  <c r="BO2640" i="1"/>
  <c r="BN2640" i="1"/>
  <c r="BM2640" i="1"/>
  <c r="BL2640" i="1"/>
  <c r="BK2640" i="1"/>
  <c r="BH2640" i="1"/>
  <c r="BJ2640" i="1" s="1"/>
  <c r="BF2640" i="1"/>
  <c r="BG2640" i="1" s="1"/>
  <c r="BE2640" i="1"/>
  <c r="BR2639" i="1"/>
  <c r="BO2639" i="1"/>
  <c r="BN2639" i="1"/>
  <c r="BM2639" i="1"/>
  <c r="BL2639" i="1"/>
  <c r="BK2639" i="1"/>
  <c r="BH2639" i="1"/>
  <c r="BJ2639" i="1" s="1"/>
  <c r="BF2639" i="1"/>
  <c r="BG2639" i="1" s="1"/>
  <c r="BE2639" i="1"/>
  <c r="BR2638" i="1"/>
  <c r="BO2638" i="1"/>
  <c r="BN2638" i="1"/>
  <c r="BM2638" i="1"/>
  <c r="BL2638" i="1"/>
  <c r="BK2638" i="1"/>
  <c r="BH2638" i="1"/>
  <c r="BJ2638" i="1" s="1"/>
  <c r="BF2638" i="1"/>
  <c r="BG2638" i="1" s="1"/>
  <c r="BE2638" i="1"/>
  <c r="BR2637" i="1"/>
  <c r="BO2637" i="1"/>
  <c r="BN2637" i="1"/>
  <c r="BM2637" i="1"/>
  <c r="BL2637" i="1"/>
  <c r="BK2637" i="1"/>
  <c r="BH2637" i="1"/>
  <c r="BJ2637" i="1" s="1"/>
  <c r="BF2637" i="1"/>
  <c r="BG2637" i="1" s="1"/>
  <c r="BE2637" i="1"/>
  <c r="BR2636" i="1"/>
  <c r="BO2636" i="1"/>
  <c r="BN2636" i="1"/>
  <c r="BM2636" i="1"/>
  <c r="BL2636" i="1"/>
  <c r="BK2636" i="1"/>
  <c r="BH2636" i="1"/>
  <c r="BJ2636" i="1" s="1"/>
  <c r="BF2636" i="1"/>
  <c r="BG2636" i="1" s="1"/>
  <c r="BE2636" i="1"/>
  <c r="BR2635" i="1"/>
  <c r="BO2635" i="1"/>
  <c r="BN2635" i="1"/>
  <c r="BM2635" i="1"/>
  <c r="BL2635" i="1"/>
  <c r="BK2635" i="1"/>
  <c r="BH2635" i="1"/>
  <c r="BF2635" i="1"/>
  <c r="BG2635" i="1" s="1"/>
  <c r="BE2635" i="1"/>
  <c r="BR2634" i="1"/>
  <c r="BO2634" i="1"/>
  <c r="BN2634" i="1"/>
  <c r="BM2634" i="1"/>
  <c r="BL2634" i="1"/>
  <c r="BK2634" i="1"/>
  <c r="BH2634" i="1"/>
  <c r="BJ2634" i="1" s="1"/>
  <c r="BF2634" i="1"/>
  <c r="BG2634" i="1" s="1"/>
  <c r="BE2634" i="1"/>
  <c r="BR2633" i="1"/>
  <c r="BO2633" i="1"/>
  <c r="BN2633" i="1"/>
  <c r="BM2633" i="1"/>
  <c r="BL2633" i="1"/>
  <c r="BK2633" i="1"/>
  <c r="BH2633" i="1"/>
  <c r="BJ2633" i="1" s="1"/>
  <c r="BF2633" i="1"/>
  <c r="BG2633" i="1" s="1"/>
  <c r="BE2633" i="1"/>
  <c r="BR2632" i="1"/>
  <c r="BO2632" i="1"/>
  <c r="BN2632" i="1"/>
  <c r="BM2632" i="1"/>
  <c r="BL2632" i="1"/>
  <c r="BK2632" i="1"/>
  <c r="BH2632" i="1"/>
  <c r="BJ2632" i="1" s="1"/>
  <c r="BF2632" i="1"/>
  <c r="BG2632" i="1" s="1"/>
  <c r="BE2632" i="1"/>
  <c r="BR2631" i="1"/>
  <c r="BO2631" i="1"/>
  <c r="BN2631" i="1"/>
  <c r="BM2631" i="1"/>
  <c r="BL2631" i="1"/>
  <c r="BK2631" i="1"/>
  <c r="BH2631" i="1"/>
  <c r="BJ2631" i="1" s="1"/>
  <c r="BF2631" i="1"/>
  <c r="BG2631" i="1" s="1"/>
  <c r="BE2631" i="1"/>
  <c r="BR2630" i="1"/>
  <c r="BO2630" i="1"/>
  <c r="BN2630" i="1"/>
  <c r="BM2630" i="1"/>
  <c r="BL2630" i="1"/>
  <c r="BK2630" i="1"/>
  <c r="BH2630" i="1"/>
  <c r="BJ2630" i="1" s="1"/>
  <c r="BF2630" i="1"/>
  <c r="BG2630" i="1" s="1"/>
  <c r="BE2630" i="1"/>
  <c r="BR2629" i="1"/>
  <c r="BO2629" i="1"/>
  <c r="BN2629" i="1"/>
  <c r="BM2629" i="1"/>
  <c r="BL2629" i="1"/>
  <c r="BK2629" i="1"/>
  <c r="BH2629" i="1"/>
  <c r="BJ2629" i="1" s="1"/>
  <c r="BF2629" i="1"/>
  <c r="BG2629" i="1" s="1"/>
  <c r="BE2629" i="1"/>
  <c r="BR2628" i="1"/>
  <c r="BO2628" i="1"/>
  <c r="BN2628" i="1"/>
  <c r="BM2628" i="1"/>
  <c r="BL2628" i="1"/>
  <c r="BK2628" i="1"/>
  <c r="BH2628" i="1"/>
  <c r="BJ2628" i="1" s="1"/>
  <c r="BF2628" i="1"/>
  <c r="BG2628" i="1" s="1"/>
  <c r="BE2628" i="1"/>
  <c r="BR2627" i="1"/>
  <c r="BO2627" i="1"/>
  <c r="BN2627" i="1"/>
  <c r="BM2627" i="1"/>
  <c r="BL2627" i="1"/>
  <c r="BK2627" i="1"/>
  <c r="BH2627" i="1"/>
  <c r="BF2627" i="1"/>
  <c r="BG2627" i="1" s="1"/>
  <c r="BE2627" i="1"/>
  <c r="BR2626" i="1"/>
  <c r="BO2626" i="1"/>
  <c r="BN2626" i="1"/>
  <c r="BM2626" i="1"/>
  <c r="BL2626" i="1"/>
  <c r="BK2626" i="1"/>
  <c r="BH2626" i="1"/>
  <c r="BJ2626" i="1" s="1"/>
  <c r="BF2626" i="1"/>
  <c r="BG2626" i="1" s="1"/>
  <c r="BE2626" i="1"/>
  <c r="BR2625" i="1"/>
  <c r="BO2625" i="1"/>
  <c r="BN2625" i="1"/>
  <c r="BM2625" i="1"/>
  <c r="BL2625" i="1"/>
  <c r="BK2625" i="1"/>
  <c r="BH2625" i="1"/>
  <c r="BJ2625" i="1" s="1"/>
  <c r="BF2625" i="1"/>
  <c r="BG2625" i="1" s="1"/>
  <c r="BE2625" i="1"/>
  <c r="BR2624" i="1"/>
  <c r="BO2624" i="1"/>
  <c r="BN2624" i="1"/>
  <c r="BM2624" i="1"/>
  <c r="BL2624" i="1"/>
  <c r="BK2624" i="1"/>
  <c r="BH2624" i="1"/>
  <c r="BJ2624" i="1" s="1"/>
  <c r="BF2624" i="1"/>
  <c r="BG2624" i="1" s="1"/>
  <c r="BE2624" i="1"/>
  <c r="BR2623" i="1"/>
  <c r="BO2623" i="1"/>
  <c r="BN2623" i="1"/>
  <c r="BM2623" i="1"/>
  <c r="BL2623" i="1"/>
  <c r="BK2623" i="1"/>
  <c r="BH2623" i="1"/>
  <c r="BJ2623" i="1" s="1"/>
  <c r="BF2623" i="1"/>
  <c r="BG2623" i="1" s="1"/>
  <c r="BE2623" i="1"/>
  <c r="BR2622" i="1"/>
  <c r="BO2622" i="1"/>
  <c r="BN2622" i="1"/>
  <c r="BM2622" i="1"/>
  <c r="BL2622" i="1"/>
  <c r="BK2622" i="1"/>
  <c r="BH2622" i="1"/>
  <c r="BJ2622" i="1" s="1"/>
  <c r="BF2622" i="1"/>
  <c r="BG2622" i="1" s="1"/>
  <c r="BE2622" i="1"/>
  <c r="BR2621" i="1"/>
  <c r="BO2621" i="1"/>
  <c r="BN2621" i="1"/>
  <c r="BM2621" i="1"/>
  <c r="BL2621" i="1"/>
  <c r="BK2621" i="1"/>
  <c r="BH2621" i="1"/>
  <c r="BJ2621" i="1" s="1"/>
  <c r="BF2621" i="1"/>
  <c r="BG2621" i="1" s="1"/>
  <c r="BE2621" i="1"/>
  <c r="BR2620" i="1"/>
  <c r="BO2620" i="1"/>
  <c r="BN2620" i="1"/>
  <c r="BM2620" i="1"/>
  <c r="BL2620" i="1"/>
  <c r="BK2620" i="1"/>
  <c r="BH2620" i="1"/>
  <c r="BJ2620" i="1" s="1"/>
  <c r="BF2620" i="1"/>
  <c r="BG2620" i="1" s="1"/>
  <c r="BE2620" i="1"/>
  <c r="BR2619" i="1"/>
  <c r="BO2619" i="1"/>
  <c r="BN2619" i="1"/>
  <c r="BM2619" i="1"/>
  <c r="BL2619" i="1"/>
  <c r="BK2619" i="1"/>
  <c r="BH2619" i="1"/>
  <c r="BF2619" i="1"/>
  <c r="BG2619" i="1" s="1"/>
  <c r="BE2619" i="1"/>
  <c r="BR2618" i="1"/>
  <c r="BO2618" i="1"/>
  <c r="BN2618" i="1"/>
  <c r="BM2618" i="1"/>
  <c r="BL2618" i="1"/>
  <c r="BK2618" i="1"/>
  <c r="BH2618" i="1"/>
  <c r="BJ2618" i="1" s="1"/>
  <c r="BF2618" i="1"/>
  <c r="BG2618" i="1" s="1"/>
  <c r="BE2618" i="1"/>
  <c r="BR2617" i="1"/>
  <c r="BO2617" i="1"/>
  <c r="BN2617" i="1"/>
  <c r="BM2617" i="1"/>
  <c r="BL2617" i="1"/>
  <c r="BK2617" i="1"/>
  <c r="BH2617" i="1"/>
  <c r="BJ2617" i="1" s="1"/>
  <c r="BF2617" i="1"/>
  <c r="BG2617" i="1" s="1"/>
  <c r="BE2617" i="1"/>
  <c r="BR2616" i="1"/>
  <c r="BO2616" i="1"/>
  <c r="BN2616" i="1"/>
  <c r="BM2616" i="1"/>
  <c r="BL2616" i="1"/>
  <c r="BK2616" i="1"/>
  <c r="BH2616" i="1"/>
  <c r="BJ2616" i="1" s="1"/>
  <c r="BF2616" i="1"/>
  <c r="BG2616" i="1" s="1"/>
  <c r="BE2616" i="1"/>
  <c r="BR2615" i="1"/>
  <c r="BO2615" i="1"/>
  <c r="BN2615" i="1"/>
  <c r="BM2615" i="1"/>
  <c r="BL2615" i="1"/>
  <c r="BK2615" i="1"/>
  <c r="BH2615" i="1"/>
  <c r="BJ2615" i="1" s="1"/>
  <c r="BF2615" i="1"/>
  <c r="BG2615" i="1" s="1"/>
  <c r="BE2615" i="1"/>
  <c r="BR2614" i="1"/>
  <c r="BO2614" i="1"/>
  <c r="BN2614" i="1"/>
  <c r="BM2614" i="1"/>
  <c r="BL2614" i="1"/>
  <c r="BK2614" i="1"/>
  <c r="BH2614" i="1"/>
  <c r="BJ2614" i="1" s="1"/>
  <c r="BF2614" i="1"/>
  <c r="BG2614" i="1" s="1"/>
  <c r="BE2614" i="1"/>
  <c r="BR2613" i="1"/>
  <c r="BO2613" i="1"/>
  <c r="BN2613" i="1"/>
  <c r="BM2613" i="1"/>
  <c r="BL2613" i="1"/>
  <c r="BK2613" i="1"/>
  <c r="BH2613" i="1"/>
  <c r="BJ2613" i="1" s="1"/>
  <c r="BF2613" i="1"/>
  <c r="BG2613" i="1" s="1"/>
  <c r="BE2613" i="1"/>
  <c r="BR2612" i="1"/>
  <c r="BO2612" i="1"/>
  <c r="BN2612" i="1"/>
  <c r="BM2612" i="1"/>
  <c r="BL2612" i="1"/>
  <c r="BK2612" i="1"/>
  <c r="BH2612" i="1"/>
  <c r="BJ2612" i="1" s="1"/>
  <c r="BF2612" i="1"/>
  <c r="BG2612" i="1" s="1"/>
  <c r="BE2612" i="1"/>
  <c r="BR2611" i="1"/>
  <c r="BO2611" i="1"/>
  <c r="BN2611" i="1"/>
  <c r="BM2611" i="1"/>
  <c r="BL2611" i="1"/>
  <c r="BK2611" i="1"/>
  <c r="BH2611" i="1"/>
  <c r="BJ2611" i="1" s="1"/>
  <c r="BF2611" i="1"/>
  <c r="BG2611" i="1" s="1"/>
  <c r="BE2611" i="1"/>
  <c r="BR2610" i="1"/>
  <c r="BO2610" i="1"/>
  <c r="BN2610" i="1"/>
  <c r="BM2610" i="1"/>
  <c r="BL2610" i="1"/>
  <c r="BK2610" i="1"/>
  <c r="BH2610" i="1"/>
  <c r="BJ2610" i="1" s="1"/>
  <c r="BF2610" i="1"/>
  <c r="BG2610" i="1" s="1"/>
  <c r="BE2610" i="1"/>
  <c r="BR2609" i="1"/>
  <c r="BO2609" i="1"/>
  <c r="BN2609" i="1"/>
  <c r="BM2609" i="1"/>
  <c r="BL2609" i="1"/>
  <c r="BK2609" i="1"/>
  <c r="BH2609" i="1"/>
  <c r="BJ2609" i="1" s="1"/>
  <c r="BF2609" i="1"/>
  <c r="BG2609" i="1" s="1"/>
  <c r="BE2609" i="1"/>
  <c r="BR2608" i="1"/>
  <c r="BO2608" i="1"/>
  <c r="BN2608" i="1"/>
  <c r="BM2608" i="1"/>
  <c r="BL2608" i="1"/>
  <c r="BK2608" i="1"/>
  <c r="BH2608" i="1"/>
  <c r="BJ2608" i="1" s="1"/>
  <c r="BF2608" i="1"/>
  <c r="BG2608" i="1" s="1"/>
  <c r="BE2608" i="1"/>
  <c r="BR2607" i="1"/>
  <c r="BO2607" i="1"/>
  <c r="BN2607" i="1"/>
  <c r="BM2607" i="1"/>
  <c r="BL2607" i="1"/>
  <c r="BK2607" i="1"/>
  <c r="BH2607" i="1"/>
  <c r="BJ2607" i="1" s="1"/>
  <c r="BF2607" i="1"/>
  <c r="BG2607" i="1" s="1"/>
  <c r="BE2607" i="1"/>
  <c r="BR2606" i="1"/>
  <c r="BO2606" i="1"/>
  <c r="BN2606" i="1"/>
  <c r="BM2606" i="1"/>
  <c r="BL2606" i="1"/>
  <c r="BK2606" i="1"/>
  <c r="BH2606" i="1"/>
  <c r="BJ2606" i="1" s="1"/>
  <c r="BF2606" i="1"/>
  <c r="BG2606" i="1" s="1"/>
  <c r="BE2606" i="1"/>
  <c r="BR2605" i="1"/>
  <c r="BO2605" i="1"/>
  <c r="BN2605" i="1"/>
  <c r="BM2605" i="1"/>
  <c r="BL2605" i="1"/>
  <c r="BK2605" i="1"/>
  <c r="BH2605" i="1"/>
  <c r="BJ2605" i="1" s="1"/>
  <c r="BF2605" i="1"/>
  <c r="BG2605" i="1" s="1"/>
  <c r="BE2605" i="1"/>
  <c r="BR2604" i="1"/>
  <c r="BO2604" i="1"/>
  <c r="BN2604" i="1"/>
  <c r="BM2604" i="1"/>
  <c r="BL2604" i="1"/>
  <c r="BK2604" i="1"/>
  <c r="BH2604" i="1"/>
  <c r="BJ2604" i="1" s="1"/>
  <c r="BF2604" i="1"/>
  <c r="BG2604" i="1" s="1"/>
  <c r="BE2604" i="1"/>
  <c r="BR2603" i="1"/>
  <c r="BO2603" i="1"/>
  <c r="BN2603" i="1"/>
  <c r="BM2603" i="1"/>
  <c r="BL2603" i="1"/>
  <c r="BK2603" i="1"/>
  <c r="BH2603" i="1"/>
  <c r="BJ2603" i="1" s="1"/>
  <c r="BF2603" i="1"/>
  <c r="BG2603" i="1" s="1"/>
  <c r="BE2603" i="1"/>
  <c r="BR2602" i="1"/>
  <c r="BO2602" i="1"/>
  <c r="BN2602" i="1"/>
  <c r="BM2602" i="1"/>
  <c r="BL2602" i="1"/>
  <c r="BK2602" i="1"/>
  <c r="BH2602" i="1"/>
  <c r="BJ2602" i="1" s="1"/>
  <c r="BF2602" i="1"/>
  <c r="BG2602" i="1" s="1"/>
  <c r="BE2602" i="1"/>
  <c r="BR2601" i="1"/>
  <c r="BO2601" i="1"/>
  <c r="BN2601" i="1"/>
  <c r="BM2601" i="1"/>
  <c r="BL2601" i="1"/>
  <c r="BK2601" i="1"/>
  <c r="BH2601" i="1"/>
  <c r="BJ2601" i="1" s="1"/>
  <c r="BF2601" i="1"/>
  <c r="BG2601" i="1" s="1"/>
  <c r="BE2601" i="1"/>
  <c r="BR2600" i="1"/>
  <c r="BO2600" i="1"/>
  <c r="BN2600" i="1"/>
  <c r="BM2600" i="1"/>
  <c r="BL2600" i="1"/>
  <c r="BK2600" i="1"/>
  <c r="BH2600" i="1"/>
  <c r="BJ2600" i="1" s="1"/>
  <c r="BF2600" i="1"/>
  <c r="BG2600" i="1" s="1"/>
  <c r="BE2600" i="1"/>
  <c r="BR2599" i="1"/>
  <c r="BO2599" i="1"/>
  <c r="BN2599" i="1"/>
  <c r="BM2599" i="1"/>
  <c r="BL2599" i="1"/>
  <c r="BK2599" i="1"/>
  <c r="BH2599" i="1"/>
  <c r="BF2599" i="1"/>
  <c r="BG2599" i="1" s="1"/>
  <c r="BE2599" i="1"/>
  <c r="BR2598" i="1"/>
  <c r="BO2598" i="1"/>
  <c r="BN2598" i="1"/>
  <c r="BM2598" i="1"/>
  <c r="BL2598" i="1"/>
  <c r="BK2598" i="1"/>
  <c r="BH2598" i="1"/>
  <c r="BJ2598" i="1" s="1"/>
  <c r="BF2598" i="1"/>
  <c r="BG2598" i="1" s="1"/>
  <c r="BE2598" i="1"/>
  <c r="BR2597" i="1"/>
  <c r="BO2597" i="1"/>
  <c r="BN2597" i="1"/>
  <c r="BM2597" i="1"/>
  <c r="BL2597" i="1"/>
  <c r="BK2597" i="1"/>
  <c r="BH2597" i="1"/>
  <c r="BJ2597" i="1" s="1"/>
  <c r="BF2597" i="1"/>
  <c r="BG2597" i="1" s="1"/>
  <c r="BE2597" i="1"/>
  <c r="BR2596" i="1"/>
  <c r="BO2596" i="1"/>
  <c r="BN2596" i="1"/>
  <c r="BM2596" i="1"/>
  <c r="BL2596" i="1"/>
  <c r="BK2596" i="1"/>
  <c r="BH2596" i="1"/>
  <c r="BJ2596" i="1" s="1"/>
  <c r="BF2596" i="1"/>
  <c r="BG2596" i="1" s="1"/>
  <c r="BE2596" i="1"/>
  <c r="BR2595" i="1"/>
  <c r="BO2595" i="1"/>
  <c r="BN2595" i="1"/>
  <c r="BM2595" i="1"/>
  <c r="BL2595" i="1"/>
  <c r="BK2595" i="1"/>
  <c r="BH2595" i="1"/>
  <c r="BJ2595" i="1" s="1"/>
  <c r="BF2595" i="1"/>
  <c r="BG2595" i="1" s="1"/>
  <c r="BE2595" i="1"/>
  <c r="BR2594" i="1"/>
  <c r="BO2594" i="1"/>
  <c r="BN2594" i="1"/>
  <c r="BM2594" i="1"/>
  <c r="BL2594" i="1"/>
  <c r="BK2594" i="1"/>
  <c r="BH2594" i="1"/>
  <c r="BJ2594" i="1" s="1"/>
  <c r="BF2594" i="1"/>
  <c r="BG2594" i="1" s="1"/>
  <c r="BE2594" i="1"/>
  <c r="BR2593" i="1"/>
  <c r="BO2593" i="1"/>
  <c r="BN2593" i="1"/>
  <c r="BM2593" i="1"/>
  <c r="BL2593" i="1"/>
  <c r="BK2593" i="1"/>
  <c r="BH2593" i="1"/>
  <c r="BF2593" i="1"/>
  <c r="BG2593" i="1" s="1"/>
  <c r="BE2593" i="1"/>
  <c r="BR2592" i="1"/>
  <c r="BO2592" i="1"/>
  <c r="BN2592" i="1"/>
  <c r="BM2592" i="1"/>
  <c r="BL2592" i="1"/>
  <c r="BK2592" i="1"/>
  <c r="BH2592" i="1"/>
  <c r="BJ2592" i="1" s="1"/>
  <c r="BF2592" i="1"/>
  <c r="BG2592" i="1" s="1"/>
  <c r="BE2592" i="1"/>
  <c r="BR2591" i="1"/>
  <c r="BO2591" i="1"/>
  <c r="BN2591" i="1"/>
  <c r="BM2591" i="1"/>
  <c r="BL2591" i="1"/>
  <c r="BK2591" i="1"/>
  <c r="BH2591" i="1"/>
  <c r="BJ2591" i="1" s="1"/>
  <c r="BF2591" i="1"/>
  <c r="BG2591" i="1" s="1"/>
  <c r="BE2591" i="1"/>
  <c r="BR2590" i="1"/>
  <c r="BO2590" i="1"/>
  <c r="BN2590" i="1"/>
  <c r="BM2590" i="1"/>
  <c r="BL2590" i="1"/>
  <c r="BK2590" i="1"/>
  <c r="BH2590" i="1"/>
  <c r="BJ2590" i="1" s="1"/>
  <c r="BF2590" i="1"/>
  <c r="BG2590" i="1" s="1"/>
  <c r="BE2590" i="1"/>
  <c r="BR2589" i="1"/>
  <c r="BO2589" i="1"/>
  <c r="BN2589" i="1"/>
  <c r="BM2589" i="1"/>
  <c r="BL2589" i="1"/>
  <c r="BK2589" i="1"/>
  <c r="BH2589" i="1"/>
  <c r="BJ2589" i="1" s="1"/>
  <c r="BF2589" i="1"/>
  <c r="BG2589" i="1" s="1"/>
  <c r="BE2589" i="1"/>
  <c r="BR2588" i="1"/>
  <c r="BO2588" i="1"/>
  <c r="BN2588" i="1"/>
  <c r="BM2588" i="1"/>
  <c r="BL2588" i="1"/>
  <c r="BK2588" i="1"/>
  <c r="BH2588" i="1"/>
  <c r="BJ2588" i="1" s="1"/>
  <c r="BF2588" i="1"/>
  <c r="BG2588" i="1" s="1"/>
  <c r="BE2588" i="1"/>
  <c r="BR2587" i="1"/>
  <c r="BO2587" i="1"/>
  <c r="BN2587" i="1"/>
  <c r="BM2587" i="1"/>
  <c r="BL2587" i="1"/>
  <c r="BK2587" i="1"/>
  <c r="BH2587" i="1"/>
  <c r="BF2587" i="1"/>
  <c r="BG2587" i="1" s="1"/>
  <c r="BE2587" i="1"/>
  <c r="BR2586" i="1"/>
  <c r="BO2586" i="1"/>
  <c r="BN2586" i="1"/>
  <c r="BM2586" i="1"/>
  <c r="BL2586" i="1"/>
  <c r="BK2586" i="1"/>
  <c r="BH2586" i="1"/>
  <c r="BJ2586" i="1" s="1"/>
  <c r="BF2586" i="1"/>
  <c r="BG2586" i="1" s="1"/>
  <c r="BE2586" i="1"/>
  <c r="BR2585" i="1"/>
  <c r="BO2585" i="1"/>
  <c r="BN2585" i="1"/>
  <c r="BM2585" i="1"/>
  <c r="BL2585" i="1"/>
  <c r="BK2585" i="1"/>
  <c r="BH2585" i="1"/>
  <c r="BJ2585" i="1" s="1"/>
  <c r="BF2585" i="1"/>
  <c r="BG2585" i="1" s="1"/>
  <c r="BE2585" i="1"/>
  <c r="BR2584" i="1"/>
  <c r="BO2584" i="1"/>
  <c r="BN2584" i="1"/>
  <c r="BM2584" i="1"/>
  <c r="BL2584" i="1"/>
  <c r="BK2584" i="1"/>
  <c r="BH2584" i="1"/>
  <c r="BJ2584" i="1" s="1"/>
  <c r="BF2584" i="1"/>
  <c r="BG2584" i="1" s="1"/>
  <c r="BE2584" i="1"/>
  <c r="BR2583" i="1"/>
  <c r="BO2583" i="1"/>
  <c r="BN2583" i="1"/>
  <c r="BM2583" i="1"/>
  <c r="BL2583" i="1"/>
  <c r="BK2583" i="1"/>
  <c r="BH2583" i="1"/>
  <c r="BJ2583" i="1" s="1"/>
  <c r="BF2583" i="1"/>
  <c r="BG2583" i="1" s="1"/>
  <c r="BE2583" i="1"/>
  <c r="BR2582" i="1"/>
  <c r="BO2582" i="1"/>
  <c r="BN2582" i="1"/>
  <c r="BM2582" i="1"/>
  <c r="BL2582" i="1"/>
  <c r="BK2582" i="1"/>
  <c r="BH2582" i="1"/>
  <c r="BJ2582" i="1" s="1"/>
  <c r="BF2582" i="1"/>
  <c r="BG2582" i="1" s="1"/>
  <c r="BE2582" i="1"/>
  <c r="BR2581" i="1"/>
  <c r="BO2581" i="1"/>
  <c r="BN2581" i="1"/>
  <c r="BM2581" i="1"/>
  <c r="BL2581" i="1"/>
  <c r="BK2581" i="1"/>
  <c r="BH2581" i="1"/>
  <c r="BJ2581" i="1" s="1"/>
  <c r="BF2581" i="1"/>
  <c r="BG2581" i="1" s="1"/>
  <c r="BE2581" i="1"/>
  <c r="BR2580" i="1"/>
  <c r="BO2580" i="1"/>
  <c r="BN2580" i="1"/>
  <c r="BM2580" i="1"/>
  <c r="BL2580" i="1"/>
  <c r="BK2580" i="1"/>
  <c r="BH2580" i="1"/>
  <c r="BJ2580" i="1" s="1"/>
  <c r="BF2580" i="1"/>
  <c r="BG2580" i="1" s="1"/>
  <c r="BE2580" i="1"/>
  <c r="BR2579" i="1"/>
  <c r="BO2579" i="1"/>
  <c r="BN2579" i="1"/>
  <c r="BM2579" i="1"/>
  <c r="BL2579" i="1"/>
  <c r="BK2579" i="1"/>
  <c r="BH2579" i="1"/>
  <c r="BJ2579" i="1" s="1"/>
  <c r="BF2579" i="1"/>
  <c r="BG2579" i="1" s="1"/>
  <c r="BE2579" i="1"/>
  <c r="BR2578" i="1"/>
  <c r="BO2578" i="1"/>
  <c r="BN2578" i="1"/>
  <c r="BM2578" i="1"/>
  <c r="BL2578" i="1"/>
  <c r="BK2578" i="1"/>
  <c r="BH2578" i="1"/>
  <c r="BJ2578" i="1" s="1"/>
  <c r="BF2578" i="1"/>
  <c r="BG2578" i="1" s="1"/>
  <c r="BE2578" i="1"/>
  <c r="BR2577" i="1"/>
  <c r="BO2577" i="1"/>
  <c r="BN2577" i="1"/>
  <c r="BM2577" i="1"/>
  <c r="BL2577" i="1"/>
  <c r="BK2577" i="1"/>
  <c r="BH2577" i="1"/>
  <c r="BJ2577" i="1" s="1"/>
  <c r="BF2577" i="1"/>
  <c r="BG2577" i="1" s="1"/>
  <c r="BE2577" i="1"/>
  <c r="BR2576" i="1"/>
  <c r="BO2576" i="1"/>
  <c r="BN2576" i="1"/>
  <c r="BM2576" i="1"/>
  <c r="BL2576" i="1"/>
  <c r="BK2576" i="1"/>
  <c r="BH2576" i="1"/>
  <c r="BJ2576" i="1" s="1"/>
  <c r="BF2576" i="1"/>
  <c r="BG2576" i="1" s="1"/>
  <c r="BE2576" i="1"/>
  <c r="BR2575" i="1"/>
  <c r="BO2575" i="1"/>
  <c r="BN2575" i="1"/>
  <c r="BM2575" i="1"/>
  <c r="BL2575" i="1"/>
  <c r="BK2575" i="1"/>
  <c r="BH2575" i="1"/>
  <c r="BJ2575" i="1" s="1"/>
  <c r="BF2575" i="1"/>
  <c r="BG2575" i="1" s="1"/>
  <c r="BE2575" i="1"/>
  <c r="BR2574" i="1"/>
  <c r="BO2574" i="1"/>
  <c r="BN2574" i="1"/>
  <c r="BM2574" i="1"/>
  <c r="BL2574" i="1"/>
  <c r="BK2574" i="1"/>
  <c r="BH2574" i="1"/>
  <c r="BJ2574" i="1" s="1"/>
  <c r="BF2574" i="1"/>
  <c r="BG2574" i="1" s="1"/>
  <c r="BE2574" i="1"/>
  <c r="BR2573" i="1"/>
  <c r="BO2573" i="1"/>
  <c r="BN2573" i="1"/>
  <c r="BM2573" i="1"/>
  <c r="BL2573" i="1"/>
  <c r="BK2573" i="1"/>
  <c r="BH2573" i="1"/>
  <c r="BJ2573" i="1" s="1"/>
  <c r="BF2573" i="1"/>
  <c r="BG2573" i="1" s="1"/>
  <c r="BE2573" i="1"/>
  <c r="BR2572" i="1"/>
  <c r="BO2572" i="1"/>
  <c r="BN2572" i="1"/>
  <c r="BM2572" i="1"/>
  <c r="BL2572" i="1"/>
  <c r="BK2572" i="1"/>
  <c r="BH2572" i="1"/>
  <c r="BJ2572" i="1" s="1"/>
  <c r="BF2572" i="1"/>
  <c r="BG2572" i="1" s="1"/>
  <c r="BE2572" i="1"/>
  <c r="BR2571" i="1"/>
  <c r="BO2571" i="1"/>
  <c r="BN2571" i="1"/>
  <c r="BM2571" i="1"/>
  <c r="BL2571" i="1"/>
  <c r="BK2571" i="1"/>
  <c r="BH2571" i="1"/>
  <c r="BJ2571" i="1" s="1"/>
  <c r="BF2571" i="1"/>
  <c r="BG2571" i="1" s="1"/>
  <c r="BE2571" i="1"/>
  <c r="BR2570" i="1"/>
  <c r="BO2570" i="1"/>
  <c r="BN2570" i="1"/>
  <c r="BM2570" i="1"/>
  <c r="BL2570" i="1"/>
  <c r="BK2570" i="1"/>
  <c r="BH2570" i="1"/>
  <c r="BJ2570" i="1" s="1"/>
  <c r="BF2570" i="1"/>
  <c r="BG2570" i="1" s="1"/>
  <c r="BE2570" i="1"/>
  <c r="BR2569" i="1"/>
  <c r="BO2569" i="1"/>
  <c r="BN2569" i="1"/>
  <c r="BM2569" i="1"/>
  <c r="BL2569" i="1"/>
  <c r="BK2569" i="1"/>
  <c r="BH2569" i="1"/>
  <c r="BJ2569" i="1" s="1"/>
  <c r="BF2569" i="1"/>
  <c r="BG2569" i="1" s="1"/>
  <c r="BE2569" i="1"/>
  <c r="BR2568" i="1"/>
  <c r="BO2568" i="1"/>
  <c r="BN2568" i="1"/>
  <c r="BM2568" i="1"/>
  <c r="BL2568" i="1"/>
  <c r="BK2568" i="1"/>
  <c r="BH2568" i="1"/>
  <c r="BJ2568" i="1" s="1"/>
  <c r="BF2568" i="1"/>
  <c r="BG2568" i="1" s="1"/>
  <c r="BE2568" i="1"/>
  <c r="BR2567" i="1"/>
  <c r="BO2567" i="1"/>
  <c r="BN2567" i="1"/>
  <c r="BM2567" i="1"/>
  <c r="BL2567" i="1"/>
  <c r="BK2567" i="1"/>
  <c r="BH2567" i="1"/>
  <c r="BF2567" i="1"/>
  <c r="BG2567" i="1" s="1"/>
  <c r="BE2567" i="1"/>
  <c r="BR2566" i="1"/>
  <c r="BO2566" i="1"/>
  <c r="BN2566" i="1"/>
  <c r="BM2566" i="1"/>
  <c r="BL2566" i="1"/>
  <c r="BK2566" i="1"/>
  <c r="BH2566" i="1"/>
  <c r="BJ2566" i="1" s="1"/>
  <c r="BF2566" i="1"/>
  <c r="BG2566" i="1" s="1"/>
  <c r="BE2566" i="1"/>
  <c r="BR2565" i="1"/>
  <c r="BO2565" i="1"/>
  <c r="BN2565" i="1"/>
  <c r="BM2565" i="1"/>
  <c r="BL2565" i="1"/>
  <c r="BK2565" i="1"/>
  <c r="BH2565" i="1"/>
  <c r="BJ2565" i="1" s="1"/>
  <c r="BF2565" i="1"/>
  <c r="BG2565" i="1" s="1"/>
  <c r="BE2565" i="1"/>
  <c r="BR2564" i="1"/>
  <c r="BO2564" i="1"/>
  <c r="BN2564" i="1"/>
  <c r="BM2564" i="1"/>
  <c r="BL2564" i="1"/>
  <c r="BK2564" i="1"/>
  <c r="BH2564" i="1"/>
  <c r="BJ2564" i="1" s="1"/>
  <c r="BF2564" i="1"/>
  <c r="BG2564" i="1" s="1"/>
  <c r="BE2564" i="1"/>
  <c r="BR2563" i="1"/>
  <c r="BO2563" i="1"/>
  <c r="BN2563" i="1"/>
  <c r="BM2563" i="1"/>
  <c r="BL2563" i="1"/>
  <c r="BK2563" i="1"/>
  <c r="BH2563" i="1"/>
  <c r="BJ2563" i="1" s="1"/>
  <c r="BF2563" i="1"/>
  <c r="BG2563" i="1" s="1"/>
  <c r="BE2563" i="1"/>
  <c r="BR2562" i="1"/>
  <c r="BO2562" i="1"/>
  <c r="BN2562" i="1"/>
  <c r="BM2562" i="1"/>
  <c r="BL2562" i="1"/>
  <c r="BK2562" i="1"/>
  <c r="BH2562" i="1"/>
  <c r="BJ2562" i="1" s="1"/>
  <c r="BF2562" i="1"/>
  <c r="BG2562" i="1" s="1"/>
  <c r="BE2562" i="1"/>
  <c r="BR2561" i="1"/>
  <c r="BO2561" i="1"/>
  <c r="BN2561" i="1"/>
  <c r="BM2561" i="1"/>
  <c r="BL2561" i="1"/>
  <c r="BK2561" i="1"/>
  <c r="BH2561" i="1"/>
  <c r="BF2561" i="1"/>
  <c r="BG2561" i="1" s="1"/>
  <c r="BE2561" i="1"/>
  <c r="BR2560" i="1"/>
  <c r="BO2560" i="1"/>
  <c r="BN2560" i="1"/>
  <c r="BM2560" i="1"/>
  <c r="BL2560" i="1"/>
  <c r="BK2560" i="1"/>
  <c r="BH2560" i="1"/>
  <c r="BJ2560" i="1" s="1"/>
  <c r="BF2560" i="1"/>
  <c r="BG2560" i="1" s="1"/>
  <c r="BE2560" i="1"/>
  <c r="BR2559" i="1"/>
  <c r="BO2559" i="1"/>
  <c r="BN2559" i="1"/>
  <c r="BM2559" i="1"/>
  <c r="BL2559" i="1"/>
  <c r="BK2559" i="1"/>
  <c r="BH2559" i="1"/>
  <c r="BJ2559" i="1" s="1"/>
  <c r="BF2559" i="1"/>
  <c r="BG2559" i="1" s="1"/>
  <c r="BE2559" i="1"/>
  <c r="BR2558" i="1"/>
  <c r="BO2558" i="1"/>
  <c r="BN2558" i="1"/>
  <c r="BM2558" i="1"/>
  <c r="BL2558" i="1"/>
  <c r="BK2558" i="1"/>
  <c r="BH2558" i="1"/>
  <c r="BJ2558" i="1" s="1"/>
  <c r="BF2558" i="1"/>
  <c r="BG2558" i="1" s="1"/>
  <c r="BE2558" i="1"/>
  <c r="BR2557" i="1"/>
  <c r="BO2557" i="1"/>
  <c r="BN2557" i="1"/>
  <c r="BM2557" i="1"/>
  <c r="BL2557" i="1"/>
  <c r="BK2557" i="1"/>
  <c r="BH2557" i="1"/>
  <c r="BJ2557" i="1" s="1"/>
  <c r="BF2557" i="1"/>
  <c r="BG2557" i="1" s="1"/>
  <c r="BE2557" i="1"/>
  <c r="BR2556" i="1"/>
  <c r="BO2556" i="1"/>
  <c r="BN2556" i="1"/>
  <c r="BM2556" i="1"/>
  <c r="BL2556" i="1"/>
  <c r="BK2556" i="1"/>
  <c r="BH2556" i="1"/>
  <c r="BJ2556" i="1" s="1"/>
  <c r="BF2556" i="1"/>
  <c r="BG2556" i="1" s="1"/>
  <c r="BE2556" i="1"/>
  <c r="BR2555" i="1"/>
  <c r="BO2555" i="1"/>
  <c r="BN2555" i="1"/>
  <c r="BM2555" i="1"/>
  <c r="BL2555" i="1"/>
  <c r="BK2555" i="1"/>
  <c r="BH2555" i="1"/>
  <c r="BF2555" i="1"/>
  <c r="BG2555" i="1" s="1"/>
  <c r="BE2555" i="1"/>
  <c r="BR2554" i="1"/>
  <c r="BO2554" i="1"/>
  <c r="BN2554" i="1"/>
  <c r="BM2554" i="1"/>
  <c r="BL2554" i="1"/>
  <c r="BK2554" i="1"/>
  <c r="BH2554" i="1"/>
  <c r="BJ2554" i="1" s="1"/>
  <c r="BF2554" i="1"/>
  <c r="BG2554" i="1" s="1"/>
  <c r="BE2554" i="1"/>
  <c r="BR2553" i="1"/>
  <c r="BO2553" i="1"/>
  <c r="BN2553" i="1"/>
  <c r="BM2553" i="1"/>
  <c r="BL2553" i="1"/>
  <c r="BK2553" i="1"/>
  <c r="BH2553" i="1"/>
  <c r="BJ2553" i="1" s="1"/>
  <c r="BF2553" i="1"/>
  <c r="BG2553" i="1" s="1"/>
  <c r="BE2553" i="1"/>
  <c r="BR2552" i="1"/>
  <c r="BO2552" i="1"/>
  <c r="BN2552" i="1"/>
  <c r="BM2552" i="1"/>
  <c r="BL2552" i="1"/>
  <c r="BK2552" i="1"/>
  <c r="BH2552" i="1"/>
  <c r="BJ2552" i="1" s="1"/>
  <c r="BF2552" i="1"/>
  <c r="BG2552" i="1" s="1"/>
  <c r="BE2552" i="1"/>
  <c r="BR2551" i="1"/>
  <c r="BO2551" i="1"/>
  <c r="BN2551" i="1"/>
  <c r="BM2551" i="1"/>
  <c r="BL2551" i="1"/>
  <c r="BK2551" i="1"/>
  <c r="BH2551" i="1"/>
  <c r="BJ2551" i="1" s="1"/>
  <c r="BF2551" i="1"/>
  <c r="BG2551" i="1" s="1"/>
  <c r="BE2551" i="1"/>
  <c r="BR2550" i="1"/>
  <c r="BO2550" i="1"/>
  <c r="BN2550" i="1"/>
  <c r="BM2550" i="1"/>
  <c r="BL2550" i="1"/>
  <c r="BK2550" i="1"/>
  <c r="BH2550" i="1"/>
  <c r="BJ2550" i="1" s="1"/>
  <c r="BF2550" i="1"/>
  <c r="BG2550" i="1" s="1"/>
  <c r="BE2550" i="1"/>
  <c r="BR2549" i="1"/>
  <c r="BO2549" i="1"/>
  <c r="BN2549" i="1"/>
  <c r="BM2549" i="1"/>
  <c r="BL2549" i="1"/>
  <c r="BK2549" i="1"/>
  <c r="BH2549" i="1"/>
  <c r="BJ2549" i="1" s="1"/>
  <c r="BF2549" i="1"/>
  <c r="BG2549" i="1" s="1"/>
  <c r="BE2549" i="1"/>
  <c r="BR2548" i="1"/>
  <c r="BO2548" i="1"/>
  <c r="BN2548" i="1"/>
  <c r="BM2548" i="1"/>
  <c r="BL2548" i="1"/>
  <c r="BK2548" i="1"/>
  <c r="BH2548" i="1"/>
  <c r="BJ2548" i="1" s="1"/>
  <c r="BF2548" i="1"/>
  <c r="BG2548" i="1" s="1"/>
  <c r="BE2548" i="1"/>
  <c r="BR2547" i="1"/>
  <c r="BO2547" i="1"/>
  <c r="BN2547" i="1"/>
  <c r="BM2547" i="1"/>
  <c r="BL2547" i="1"/>
  <c r="BK2547" i="1"/>
  <c r="BH2547" i="1"/>
  <c r="BJ2547" i="1" s="1"/>
  <c r="BF2547" i="1"/>
  <c r="BG2547" i="1" s="1"/>
  <c r="BE2547" i="1"/>
  <c r="BR2546" i="1"/>
  <c r="BO2546" i="1"/>
  <c r="BN2546" i="1"/>
  <c r="BM2546" i="1"/>
  <c r="BL2546" i="1"/>
  <c r="BK2546" i="1"/>
  <c r="BH2546" i="1"/>
  <c r="BJ2546" i="1" s="1"/>
  <c r="BF2546" i="1"/>
  <c r="BG2546" i="1" s="1"/>
  <c r="BE2546" i="1"/>
  <c r="BR2545" i="1"/>
  <c r="BO2545" i="1"/>
  <c r="BN2545" i="1"/>
  <c r="BM2545" i="1"/>
  <c r="BL2545" i="1"/>
  <c r="BK2545" i="1"/>
  <c r="BH2545" i="1"/>
  <c r="BJ2545" i="1" s="1"/>
  <c r="BF2545" i="1"/>
  <c r="BG2545" i="1" s="1"/>
  <c r="BE2545" i="1"/>
  <c r="BR2544" i="1"/>
  <c r="BO2544" i="1"/>
  <c r="BN2544" i="1"/>
  <c r="BM2544" i="1"/>
  <c r="BL2544" i="1"/>
  <c r="BK2544" i="1"/>
  <c r="BH2544" i="1"/>
  <c r="BJ2544" i="1" s="1"/>
  <c r="BF2544" i="1"/>
  <c r="BG2544" i="1" s="1"/>
  <c r="BE2544" i="1"/>
  <c r="BR2543" i="1"/>
  <c r="BO2543" i="1"/>
  <c r="BN2543" i="1"/>
  <c r="BM2543" i="1"/>
  <c r="BL2543" i="1"/>
  <c r="BK2543" i="1"/>
  <c r="BH2543" i="1"/>
  <c r="BJ2543" i="1" s="1"/>
  <c r="BF2543" i="1"/>
  <c r="BG2543" i="1" s="1"/>
  <c r="BE2543" i="1"/>
  <c r="BR2542" i="1"/>
  <c r="BO2542" i="1"/>
  <c r="BN2542" i="1"/>
  <c r="BM2542" i="1"/>
  <c r="BL2542" i="1"/>
  <c r="BK2542" i="1"/>
  <c r="BH2542" i="1"/>
  <c r="BJ2542" i="1" s="1"/>
  <c r="BF2542" i="1"/>
  <c r="BG2542" i="1" s="1"/>
  <c r="BE2542" i="1"/>
  <c r="BR2541" i="1"/>
  <c r="BO2541" i="1"/>
  <c r="BN2541" i="1"/>
  <c r="BM2541" i="1"/>
  <c r="BL2541" i="1"/>
  <c r="BK2541" i="1"/>
  <c r="BH2541" i="1"/>
  <c r="BJ2541" i="1" s="1"/>
  <c r="BF2541" i="1"/>
  <c r="BG2541" i="1" s="1"/>
  <c r="BE2541" i="1"/>
  <c r="BR2540" i="1"/>
  <c r="BO2540" i="1"/>
  <c r="BN2540" i="1"/>
  <c r="BM2540" i="1"/>
  <c r="BL2540" i="1"/>
  <c r="BK2540" i="1"/>
  <c r="BH2540" i="1"/>
  <c r="BJ2540" i="1" s="1"/>
  <c r="BF2540" i="1"/>
  <c r="BG2540" i="1" s="1"/>
  <c r="BE2540" i="1"/>
  <c r="BR2539" i="1"/>
  <c r="BO2539" i="1"/>
  <c r="BN2539" i="1"/>
  <c r="BM2539" i="1"/>
  <c r="BL2539" i="1"/>
  <c r="BK2539" i="1"/>
  <c r="BH2539" i="1"/>
  <c r="BJ2539" i="1" s="1"/>
  <c r="BF2539" i="1"/>
  <c r="BG2539" i="1" s="1"/>
  <c r="BE2539" i="1"/>
  <c r="BR2538" i="1"/>
  <c r="BO2538" i="1"/>
  <c r="BN2538" i="1"/>
  <c r="BM2538" i="1"/>
  <c r="BL2538" i="1"/>
  <c r="BK2538" i="1"/>
  <c r="BH2538" i="1"/>
  <c r="BJ2538" i="1" s="1"/>
  <c r="BF2538" i="1"/>
  <c r="BG2538" i="1" s="1"/>
  <c r="BE2538" i="1"/>
  <c r="BR2537" i="1"/>
  <c r="BO2537" i="1"/>
  <c r="BN2537" i="1"/>
  <c r="BM2537" i="1"/>
  <c r="BL2537" i="1"/>
  <c r="BK2537" i="1"/>
  <c r="BH2537" i="1"/>
  <c r="BJ2537" i="1" s="1"/>
  <c r="BF2537" i="1"/>
  <c r="BG2537" i="1" s="1"/>
  <c r="BE2537" i="1"/>
  <c r="BR2536" i="1"/>
  <c r="BO2536" i="1"/>
  <c r="BN2536" i="1"/>
  <c r="BM2536" i="1"/>
  <c r="BL2536" i="1"/>
  <c r="BK2536" i="1"/>
  <c r="BH2536" i="1"/>
  <c r="BJ2536" i="1" s="1"/>
  <c r="BF2536" i="1"/>
  <c r="BG2536" i="1" s="1"/>
  <c r="BE2536" i="1"/>
  <c r="BR2535" i="1"/>
  <c r="BO2535" i="1"/>
  <c r="BN2535" i="1"/>
  <c r="BM2535" i="1"/>
  <c r="BL2535" i="1"/>
  <c r="BK2535" i="1"/>
  <c r="BH2535" i="1"/>
  <c r="BF2535" i="1"/>
  <c r="BG2535" i="1" s="1"/>
  <c r="BE2535" i="1"/>
  <c r="BR2534" i="1"/>
  <c r="BO2534" i="1"/>
  <c r="BN2534" i="1"/>
  <c r="BM2534" i="1"/>
  <c r="BL2534" i="1"/>
  <c r="BK2534" i="1"/>
  <c r="BH2534" i="1"/>
  <c r="BJ2534" i="1" s="1"/>
  <c r="BF2534" i="1"/>
  <c r="BG2534" i="1" s="1"/>
  <c r="BE2534" i="1"/>
  <c r="BR2533" i="1"/>
  <c r="BO2533" i="1"/>
  <c r="BN2533" i="1"/>
  <c r="BM2533" i="1"/>
  <c r="BL2533" i="1"/>
  <c r="BK2533" i="1"/>
  <c r="BH2533" i="1"/>
  <c r="BJ2533" i="1" s="1"/>
  <c r="BF2533" i="1"/>
  <c r="BG2533" i="1" s="1"/>
  <c r="BE2533" i="1"/>
  <c r="BR2532" i="1"/>
  <c r="BO2532" i="1"/>
  <c r="BN2532" i="1"/>
  <c r="BM2532" i="1"/>
  <c r="BL2532" i="1"/>
  <c r="BK2532" i="1"/>
  <c r="BH2532" i="1"/>
  <c r="BJ2532" i="1" s="1"/>
  <c r="BF2532" i="1"/>
  <c r="BG2532" i="1" s="1"/>
  <c r="BE2532" i="1"/>
  <c r="BR2531" i="1"/>
  <c r="BO2531" i="1"/>
  <c r="BN2531" i="1"/>
  <c r="BM2531" i="1"/>
  <c r="BL2531" i="1"/>
  <c r="BK2531" i="1"/>
  <c r="BH2531" i="1"/>
  <c r="BJ2531" i="1" s="1"/>
  <c r="BF2531" i="1"/>
  <c r="BG2531" i="1" s="1"/>
  <c r="BE2531" i="1"/>
  <c r="BR2530" i="1"/>
  <c r="BO2530" i="1"/>
  <c r="BN2530" i="1"/>
  <c r="BM2530" i="1"/>
  <c r="BL2530" i="1"/>
  <c r="BK2530" i="1"/>
  <c r="BH2530" i="1"/>
  <c r="BJ2530" i="1" s="1"/>
  <c r="BF2530" i="1"/>
  <c r="BG2530" i="1" s="1"/>
  <c r="BE2530" i="1"/>
  <c r="BR2529" i="1"/>
  <c r="BO2529" i="1"/>
  <c r="BN2529" i="1"/>
  <c r="BM2529" i="1"/>
  <c r="BL2529" i="1"/>
  <c r="BK2529" i="1"/>
  <c r="BH2529" i="1"/>
  <c r="BF2529" i="1"/>
  <c r="BG2529" i="1" s="1"/>
  <c r="BE2529" i="1"/>
  <c r="BR2528" i="1"/>
  <c r="BO2528" i="1"/>
  <c r="BN2528" i="1"/>
  <c r="BM2528" i="1"/>
  <c r="BL2528" i="1"/>
  <c r="BK2528" i="1"/>
  <c r="BH2528" i="1"/>
  <c r="BJ2528" i="1" s="1"/>
  <c r="BF2528" i="1"/>
  <c r="BG2528" i="1" s="1"/>
  <c r="BE2528" i="1"/>
  <c r="BR2527" i="1"/>
  <c r="BO2527" i="1"/>
  <c r="BN2527" i="1"/>
  <c r="BM2527" i="1"/>
  <c r="BL2527" i="1"/>
  <c r="BK2527" i="1"/>
  <c r="BH2527" i="1"/>
  <c r="BJ2527" i="1" s="1"/>
  <c r="BF2527" i="1"/>
  <c r="BG2527" i="1" s="1"/>
  <c r="BE2527" i="1"/>
  <c r="BR2526" i="1"/>
  <c r="BO2526" i="1"/>
  <c r="BN2526" i="1"/>
  <c r="BM2526" i="1"/>
  <c r="BL2526" i="1"/>
  <c r="BK2526" i="1"/>
  <c r="BH2526" i="1"/>
  <c r="BJ2526" i="1" s="1"/>
  <c r="BF2526" i="1"/>
  <c r="BG2526" i="1" s="1"/>
  <c r="BE2526" i="1"/>
  <c r="BR2525" i="1"/>
  <c r="BO2525" i="1"/>
  <c r="BN2525" i="1"/>
  <c r="BM2525" i="1"/>
  <c r="BL2525" i="1"/>
  <c r="BK2525" i="1"/>
  <c r="BH2525" i="1"/>
  <c r="BJ2525" i="1" s="1"/>
  <c r="BF2525" i="1"/>
  <c r="BG2525" i="1" s="1"/>
  <c r="BE2525" i="1"/>
  <c r="BR2524" i="1"/>
  <c r="BO2524" i="1"/>
  <c r="BN2524" i="1"/>
  <c r="BM2524" i="1"/>
  <c r="BL2524" i="1"/>
  <c r="BK2524" i="1"/>
  <c r="BH2524" i="1"/>
  <c r="BJ2524" i="1" s="1"/>
  <c r="BF2524" i="1"/>
  <c r="BG2524" i="1" s="1"/>
  <c r="BE2524" i="1"/>
  <c r="BR2523" i="1"/>
  <c r="BO2523" i="1"/>
  <c r="BN2523" i="1"/>
  <c r="BM2523" i="1"/>
  <c r="BL2523" i="1"/>
  <c r="BK2523" i="1"/>
  <c r="BH2523" i="1"/>
  <c r="BF2523" i="1"/>
  <c r="BG2523" i="1" s="1"/>
  <c r="BE2523" i="1"/>
  <c r="BR2522" i="1"/>
  <c r="BO2522" i="1"/>
  <c r="BN2522" i="1"/>
  <c r="BM2522" i="1"/>
  <c r="BL2522" i="1"/>
  <c r="BK2522" i="1"/>
  <c r="BH2522" i="1"/>
  <c r="BJ2522" i="1" s="1"/>
  <c r="BF2522" i="1"/>
  <c r="BG2522" i="1" s="1"/>
  <c r="BE2522" i="1"/>
  <c r="BR2521" i="1"/>
  <c r="BO2521" i="1"/>
  <c r="BN2521" i="1"/>
  <c r="BM2521" i="1"/>
  <c r="BL2521" i="1"/>
  <c r="BK2521" i="1"/>
  <c r="BH2521" i="1"/>
  <c r="BJ2521" i="1" s="1"/>
  <c r="BF2521" i="1"/>
  <c r="BG2521" i="1" s="1"/>
  <c r="BE2521" i="1"/>
  <c r="BR2520" i="1"/>
  <c r="BO2520" i="1"/>
  <c r="BN2520" i="1"/>
  <c r="BM2520" i="1"/>
  <c r="BL2520" i="1"/>
  <c r="BK2520" i="1"/>
  <c r="BH2520" i="1"/>
  <c r="BJ2520" i="1" s="1"/>
  <c r="BF2520" i="1"/>
  <c r="BG2520" i="1" s="1"/>
  <c r="BE2520" i="1"/>
  <c r="BR2519" i="1"/>
  <c r="BO2519" i="1"/>
  <c r="BN2519" i="1"/>
  <c r="BM2519" i="1"/>
  <c r="BL2519" i="1"/>
  <c r="BK2519" i="1"/>
  <c r="BH2519" i="1"/>
  <c r="BJ2519" i="1" s="1"/>
  <c r="BF2519" i="1"/>
  <c r="BG2519" i="1" s="1"/>
  <c r="BE2519" i="1"/>
  <c r="BR2518" i="1"/>
  <c r="BO2518" i="1"/>
  <c r="BN2518" i="1"/>
  <c r="BM2518" i="1"/>
  <c r="BL2518" i="1"/>
  <c r="BK2518" i="1"/>
  <c r="BH2518" i="1"/>
  <c r="BJ2518" i="1" s="1"/>
  <c r="BF2518" i="1"/>
  <c r="BG2518" i="1" s="1"/>
  <c r="BE2518" i="1"/>
  <c r="BR2517" i="1"/>
  <c r="BO2517" i="1"/>
  <c r="BN2517" i="1"/>
  <c r="BM2517" i="1"/>
  <c r="BL2517" i="1"/>
  <c r="BK2517" i="1"/>
  <c r="BH2517" i="1"/>
  <c r="BJ2517" i="1" s="1"/>
  <c r="BF2517" i="1"/>
  <c r="BG2517" i="1" s="1"/>
  <c r="BE2517" i="1"/>
  <c r="BR2516" i="1"/>
  <c r="BO2516" i="1"/>
  <c r="BN2516" i="1"/>
  <c r="BM2516" i="1"/>
  <c r="BL2516" i="1"/>
  <c r="BK2516" i="1"/>
  <c r="BH2516" i="1"/>
  <c r="BJ2516" i="1" s="1"/>
  <c r="BF2516" i="1"/>
  <c r="BG2516" i="1" s="1"/>
  <c r="BE2516" i="1"/>
  <c r="BR2515" i="1"/>
  <c r="BO2515" i="1"/>
  <c r="BN2515" i="1"/>
  <c r="BM2515" i="1"/>
  <c r="BL2515" i="1"/>
  <c r="BK2515" i="1"/>
  <c r="BH2515" i="1"/>
  <c r="BJ2515" i="1" s="1"/>
  <c r="BF2515" i="1"/>
  <c r="BG2515" i="1" s="1"/>
  <c r="BE2515" i="1"/>
  <c r="BR2514" i="1"/>
  <c r="BO2514" i="1"/>
  <c r="BN2514" i="1"/>
  <c r="BM2514" i="1"/>
  <c r="BL2514" i="1"/>
  <c r="BK2514" i="1"/>
  <c r="BH2514" i="1"/>
  <c r="BJ2514" i="1" s="1"/>
  <c r="BF2514" i="1"/>
  <c r="BG2514" i="1" s="1"/>
  <c r="BE2514" i="1"/>
  <c r="BR2513" i="1"/>
  <c r="BO2513" i="1"/>
  <c r="BN2513" i="1"/>
  <c r="BM2513" i="1"/>
  <c r="BL2513" i="1"/>
  <c r="BK2513" i="1"/>
  <c r="BH2513" i="1"/>
  <c r="BJ2513" i="1" s="1"/>
  <c r="BF2513" i="1"/>
  <c r="BG2513" i="1" s="1"/>
  <c r="BE2513" i="1"/>
  <c r="BR2512" i="1"/>
  <c r="BO2512" i="1"/>
  <c r="BN2512" i="1"/>
  <c r="BM2512" i="1"/>
  <c r="BL2512" i="1"/>
  <c r="BK2512" i="1"/>
  <c r="BH2512" i="1"/>
  <c r="BJ2512" i="1" s="1"/>
  <c r="BF2512" i="1"/>
  <c r="BG2512" i="1" s="1"/>
  <c r="BE2512" i="1"/>
  <c r="BR2511" i="1"/>
  <c r="BO2511" i="1"/>
  <c r="BN2511" i="1"/>
  <c r="BM2511" i="1"/>
  <c r="BL2511" i="1"/>
  <c r="BK2511" i="1"/>
  <c r="BH2511" i="1"/>
  <c r="BJ2511" i="1" s="1"/>
  <c r="BF2511" i="1"/>
  <c r="BG2511" i="1" s="1"/>
  <c r="BE2511" i="1"/>
  <c r="BR2510" i="1"/>
  <c r="BO2510" i="1"/>
  <c r="BN2510" i="1"/>
  <c r="BM2510" i="1"/>
  <c r="BL2510" i="1"/>
  <c r="BK2510" i="1"/>
  <c r="BH2510" i="1"/>
  <c r="BJ2510" i="1" s="1"/>
  <c r="BF2510" i="1"/>
  <c r="BG2510" i="1" s="1"/>
  <c r="BE2510" i="1"/>
  <c r="BR2509" i="1"/>
  <c r="BO2509" i="1"/>
  <c r="BN2509" i="1"/>
  <c r="BM2509" i="1"/>
  <c r="BL2509" i="1"/>
  <c r="BK2509" i="1"/>
  <c r="BH2509" i="1"/>
  <c r="BJ2509" i="1" s="1"/>
  <c r="BF2509" i="1"/>
  <c r="BG2509" i="1" s="1"/>
  <c r="BE2509" i="1"/>
  <c r="BR2508" i="1"/>
  <c r="BO2508" i="1"/>
  <c r="BN2508" i="1"/>
  <c r="BM2508" i="1"/>
  <c r="BL2508" i="1"/>
  <c r="BK2508" i="1"/>
  <c r="BH2508" i="1"/>
  <c r="BJ2508" i="1" s="1"/>
  <c r="BF2508" i="1"/>
  <c r="BG2508" i="1" s="1"/>
  <c r="BE2508" i="1"/>
  <c r="BR2507" i="1"/>
  <c r="BO2507" i="1"/>
  <c r="BN2507" i="1"/>
  <c r="BM2507" i="1"/>
  <c r="BL2507" i="1"/>
  <c r="BK2507" i="1"/>
  <c r="BH2507" i="1"/>
  <c r="BF2507" i="1"/>
  <c r="BG2507" i="1" s="1"/>
  <c r="BE2507" i="1"/>
  <c r="BR2506" i="1"/>
  <c r="BO2506" i="1"/>
  <c r="BN2506" i="1"/>
  <c r="BM2506" i="1"/>
  <c r="BL2506" i="1"/>
  <c r="BK2506" i="1"/>
  <c r="BH2506" i="1"/>
  <c r="BJ2506" i="1" s="1"/>
  <c r="BF2506" i="1"/>
  <c r="BG2506" i="1" s="1"/>
  <c r="BE2506" i="1"/>
  <c r="BR2505" i="1"/>
  <c r="BO2505" i="1"/>
  <c r="BN2505" i="1"/>
  <c r="BM2505" i="1"/>
  <c r="BL2505" i="1"/>
  <c r="BK2505" i="1"/>
  <c r="BH2505" i="1"/>
  <c r="BF2505" i="1"/>
  <c r="BG2505" i="1" s="1"/>
  <c r="BE2505" i="1"/>
  <c r="BR2504" i="1"/>
  <c r="BO2504" i="1"/>
  <c r="BN2504" i="1"/>
  <c r="BM2504" i="1"/>
  <c r="BL2504" i="1"/>
  <c r="BK2504" i="1"/>
  <c r="BH2504" i="1"/>
  <c r="BJ2504" i="1" s="1"/>
  <c r="BF2504" i="1"/>
  <c r="BG2504" i="1" s="1"/>
  <c r="BE2504" i="1"/>
  <c r="BR2503" i="1"/>
  <c r="BO2503" i="1"/>
  <c r="BN2503" i="1"/>
  <c r="BM2503" i="1"/>
  <c r="BL2503" i="1"/>
  <c r="BK2503" i="1"/>
  <c r="BH2503" i="1"/>
  <c r="BJ2503" i="1" s="1"/>
  <c r="BF2503" i="1"/>
  <c r="BG2503" i="1" s="1"/>
  <c r="BE2503" i="1"/>
  <c r="BR2502" i="1"/>
  <c r="BO2502" i="1"/>
  <c r="BN2502" i="1"/>
  <c r="BM2502" i="1"/>
  <c r="BL2502" i="1"/>
  <c r="BK2502" i="1"/>
  <c r="BH2502" i="1"/>
  <c r="BJ2502" i="1" s="1"/>
  <c r="BF2502" i="1"/>
  <c r="BG2502" i="1" s="1"/>
  <c r="BE2502" i="1"/>
  <c r="BR2501" i="1"/>
  <c r="BO2501" i="1"/>
  <c r="BN2501" i="1"/>
  <c r="BM2501" i="1"/>
  <c r="BL2501" i="1"/>
  <c r="BK2501" i="1"/>
  <c r="BH2501" i="1"/>
  <c r="BJ2501" i="1" s="1"/>
  <c r="BF2501" i="1"/>
  <c r="BG2501" i="1" s="1"/>
  <c r="BE2501" i="1"/>
  <c r="BR2500" i="1"/>
  <c r="BO2500" i="1"/>
  <c r="BN2500" i="1"/>
  <c r="BM2500" i="1"/>
  <c r="BL2500" i="1"/>
  <c r="BK2500" i="1"/>
  <c r="BH2500" i="1"/>
  <c r="BJ2500" i="1" s="1"/>
  <c r="BF2500" i="1"/>
  <c r="BG2500" i="1" s="1"/>
  <c r="BE2500" i="1"/>
  <c r="BR2499" i="1"/>
  <c r="BO2499" i="1"/>
  <c r="BN2499" i="1"/>
  <c r="BM2499" i="1"/>
  <c r="BL2499" i="1"/>
  <c r="BK2499" i="1"/>
  <c r="BH2499" i="1"/>
  <c r="BF2499" i="1"/>
  <c r="BG2499" i="1" s="1"/>
  <c r="BE2499" i="1"/>
  <c r="BR2498" i="1"/>
  <c r="BO2498" i="1"/>
  <c r="BN2498" i="1"/>
  <c r="BM2498" i="1"/>
  <c r="BL2498" i="1"/>
  <c r="BK2498" i="1"/>
  <c r="BH2498" i="1"/>
  <c r="BJ2498" i="1" s="1"/>
  <c r="BF2498" i="1"/>
  <c r="BG2498" i="1" s="1"/>
  <c r="BE2498" i="1"/>
  <c r="BR2497" i="1"/>
  <c r="BO2497" i="1"/>
  <c r="BN2497" i="1"/>
  <c r="BM2497" i="1"/>
  <c r="BL2497" i="1"/>
  <c r="BK2497" i="1"/>
  <c r="BH2497" i="1"/>
  <c r="BJ2497" i="1" s="1"/>
  <c r="BF2497" i="1"/>
  <c r="BG2497" i="1" s="1"/>
  <c r="BE2497" i="1"/>
  <c r="BR2496" i="1"/>
  <c r="BO2496" i="1"/>
  <c r="BN2496" i="1"/>
  <c r="BM2496" i="1"/>
  <c r="BL2496" i="1"/>
  <c r="BK2496" i="1"/>
  <c r="BH2496" i="1"/>
  <c r="BJ2496" i="1" s="1"/>
  <c r="BF2496" i="1"/>
  <c r="BG2496" i="1" s="1"/>
  <c r="BE2496" i="1"/>
  <c r="BR2495" i="1"/>
  <c r="BO2495" i="1"/>
  <c r="BN2495" i="1"/>
  <c r="BM2495" i="1"/>
  <c r="BL2495" i="1"/>
  <c r="BK2495" i="1"/>
  <c r="BH2495" i="1"/>
  <c r="BJ2495" i="1" s="1"/>
  <c r="BF2495" i="1"/>
  <c r="BG2495" i="1" s="1"/>
  <c r="BE2495" i="1"/>
  <c r="BR2494" i="1"/>
  <c r="BO2494" i="1"/>
  <c r="BN2494" i="1"/>
  <c r="BM2494" i="1"/>
  <c r="BL2494" i="1"/>
  <c r="BK2494" i="1"/>
  <c r="BH2494" i="1"/>
  <c r="BJ2494" i="1" s="1"/>
  <c r="BF2494" i="1"/>
  <c r="BG2494" i="1" s="1"/>
  <c r="BE2494" i="1"/>
  <c r="BR2493" i="1"/>
  <c r="BO2493" i="1"/>
  <c r="BN2493" i="1"/>
  <c r="BM2493" i="1"/>
  <c r="BL2493" i="1"/>
  <c r="BK2493" i="1"/>
  <c r="BH2493" i="1"/>
  <c r="BJ2493" i="1" s="1"/>
  <c r="BF2493" i="1"/>
  <c r="BG2493" i="1" s="1"/>
  <c r="BE2493" i="1"/>
  <c r="BR2492" i="1"/>
  <c r="BO2492" i="1"/>
  <c r="BN2492" i="1"/>
  <c r="BM2492" i="1"/>
  <c r="BL2492" i="1"/>
  <c r="BK2492" i="1"/>
  <c r="BH2492" i="1"/>
  <c r="BJ2492" i="1" s="1"/>
  <c r="BF2492" i="1"/>
  <c r="BG2492" i="1" s="1"/>
  <c r="BE2492" i="1"/>
  <c r="BR2491" i="1"/>
  <c r="BO2491" i="1"/>
  <c r="BN2491" i="1"/>
  <c r="BM2491" i="1"/>
  <c r="BL2491" i="1"/>
  <c r="BK2491" i="1"/>
  <c r="BH2491" i="1"/>
  <c r="BF2491" i="1"/>
  <c r="BG2491" i="1" s="1"/>
  <c r="BE2491" i="1"/>
  <c r="BR2490" i="1"/>
  <c r="BO2490" i="1"/>
  <c r="BN2490" i="1"/>
  <c r="BM2490" i="1"/>
  <c r="BL2490" i="1"/>
  <c r="BK2490" i="1"/>
  <c r="BH2490" i="1"/>
  <c r="BJ2490" i="1" s="1"/>
  <c r="BF2490" i="1"/>
  <c r="BG2490" i="1" s="1"/>
  <c r="BE2490" i="1"/>
  <c r="BR2489" i="1"/>
  <c r="BO2489" i="1"/>
  <c r="BN2489" i="1"/>
  <c r="BM2489" i="1"/>
  <c r="BL2489" i="1"/>
  <c r="BK2489" i="1"/>
  <c r="BH2489" i="1"/>
  <c r="BF2489" i="1"/>
  <c r="BG2489" i="1" s="1"/>
  <c r="BE2489" i="1"/>
  <c r="BR2488" i="1"/>
  <c r="BO2488" i="1"/>
  <c r="BN2488" i="1"/>
  <c r="BM2488" i="1"/>
  <c r="BL2488" i="1"/>
  <c r="BK2488" i="1"/>
  <c r="BH2488" i="1"/>
  <c r="BJ2488" i="1" s="1"/>
  <c r="BF2488" i="1"/>
  <c r="BG2488" i="1" s="1"/>
  <c r="BE2488" i="1"/>
  <c r="BR2487" i="1"/>
  <c r="BO2487" i="1"/>
  <c r="BN2487" i="1"/>
  <c r="BM2487" i="1"/>
  <c r="BL2487" i="1"/>
  <c r="BK2487" i="1"/>
  <c r="BH2487" i="1"/>
  <c r="BJ2487" i="1" s="1"/>
  <c r="BF2487" i="1"/>
  <c r="BG2487" i="1" s="1"/>
  <c r="BE2487" i="1"/>
  <c r="BR2486" i="1"/>
  <c r="BO2486" i="1"/>
  <c r="BN2486" i="1"/>
  <c r="BM2486" i="1"/>
  <c r="BL2486" i="1"/>
  <c r="BK2486" i="1"/>
  <c r="BH2486" i="1"/>
  <c r="BJ2486" i="1" s="1"/>
  <c r="BF2486" i="1"/>
  <c r="BG2486" i="1" s="1"/>
  <c r="BE2486" i="1"/>
  <c r="BR2485" i="1"/>
  <c r="BO2485" i="1"/>
  <c r="BN2485" i="1"/>
  <c r="BM2485" i="1"/>
  <c r="BL2485" i="1"/>
  <c r="BK2485" i="1"/>
  <c r="BH2485" i="1"/>
  <c r="BJ2485" i="1" s="1"/>
  <c r="BF2485" i="1"/>
  <c r="BG2485" i="1" s="1"/>
  <c r="BE2485" i="1"/>
  <c r="BR2484" i="1"/>
  <c r="BO2484" i="1"/>
  <c r="BN2484" i="1"/>
  <c r="BM2484" i="1"/>
  <c r="BL2484" i="1"/>
  <c r="BK2484" i="1"/>
  <c r="BH2484" i="1"/>
  <c r="BJ2484" i="1" s="1"/>
  <c r="BF2484" i="1"/>
  <c r="BG2484" i="1" s="1"/>
  <c r="BE2484" i="1"/>
  <c r="BR2483" i="1"/>
  <c r="BO2483" i="1"/>
  <c r="BN2483" i="1"/>
  <c r="BM2483" i="1"/>
  <c r="BL2483" i="1"/>
  <c r="BK2483" i="1"/>
  <c r="BH2483" i="1"/>
  <c r="BF2483" i="1"/>
  <c r="BG2483" i="1" s="1"/>
  <c r="BE2483" i="1"/>
  <c r="BR2482" i="1"/>
  <c r="BO2482" i="1"/>
  <c r="BN2482" i="1"/>
  <c r="BM2482" i="1"/>
  <c r="BL2482" i="1"/>
  <c r="BK2482" i="1"/>
  <c r="BH2482" i="1"/>
  <c r="BJ2482" i="1" s="1"/>
  <c r="BF2482" i="1"/>
  <c r="BG2482" i="1" s="1"/>
  <c r="BE2482" i="1"/>
  <c r="BR2481" i="1"/>
  <c r="BO2481" i="1"/>
  <c r="BN2481" i="1"/>
  <c r="BM2481" i="1"/>
  <c r="BL2481" i="1"/>
  <c r="BK2481" i="1"/>
  <c r="BH2481" i="1"/>
  <c r="BJ2481" i="1" s="1"/>
  <c r="BF2481" i="1"/>
  <c r="BG2481" i="1" s="1"/>
  <c r="BE2481" i="1"/>
  <c r="BR2480" i="1"/>
  <c r="BO2480" i="1"/>
  <c r="BN2480" i="1"/>
  <c r="BM2480" i="1"/>
  <c r="BL2480" i="1"/>
  <c r="BK2480" i="1"/>
  <c r="BH2480" i="1"/>
  <c r="BJ2480" i="1" s="1"/>
  <c r="BF2480" i="1"/>
  <c r="BG2480" i="1" s="1"/>
  <c r="BE2480" i="1"/>
  <c r="BR2479" i="1"/>
  <c r="BO2479" i="1"/>
  <c r="BN2479" i="1"/>
  <c r="BM2479" i="1"/>
  <c r="BL2479" i="1"/>
  <c r="BK2479" i="1"/>
  <c r="BH2479" i="1"/>
  <c r="BJ2479" i="1" s="1"/>
  <c r="BF2479" i="1"/>
  <c r="BG2479" i="1" s="1"/>
  <c r="BE2479" i="1"/>
  <c r="BR2478" i="1"/>
  <c r="BO2478" i="1"/>
  <c r="BN2478" i="1"/>
  <c r="BM2478" i="1"/>
  <c r="BL2478" i="1"/>
  <c r="BK2478" i="1"/>
  <c r="BH2478" i="1"/>
  <c r="BJ2478" i="1" s="1"/>
  <c r="BF2478" i="1"/>
  <c r="BG2478" i="1" s="1"/>
  <c r="BE2478" i="1"/>
  <c r="BR2477" i="1"/>
  <c r="BO2477" i="1"/>
  <c r="BN2477" i="1"/>
  <c r="BM2477" i="1"/>
  <c r="BL2477" i="1"/>
  <c r="BK2477" i="1"/>
  <c r="BH2477" i="1"/>
  <c r="BJ2477" i="1" s="1"/>
  <c r="BF2477" i="1"/>
  <c r="BG2477" i="1" s="1"/>
  <c r="BE2477" i="1"/>
  <c r="BR2476" i="1"/>
  <c r="BO2476" i="1"/>
  <c r="BN2476" i="1"/>
  <c r="BM2476" i="1"/>
  <c r="BL2476" i="1"/>
  <c r="BK2476" i="1"/>
  <c r="BH2476" i="1"/>
  <c r="BJ2476" i="1" s="1"/>
  <c r="BF2476" i="1"/>
  <c r="BG2476" i="1" s="1"/>
  <c r="BE2476" i="1"/>
  <c r="BR2475" i="1"/>
  <c r="BO2475" i="1"/>
  <c r="BN2475" i="1"/>
  <c r="BM2475" i="1"/>
  <c r="BL2475" i="1"/>
  <c r="BK2475" i="1"/>
  <c r="BH2475" i="1"/>
  <c r="BF2475" i="1"/>
  <c r="BG2475" i="1" s="1"/>
  <c r="BE2475" i="1"/>
  <c r="BR2474" i="1"/>
  <c r="BO2474" i="1"/>
  <c r="BN2474" i="1"/>
  <c r="BM2474" i="1"/>
  <c r="BL2474" i="1"/>
  <c r="BK2474" i="1"/>
  <c r="BH2474" i="1"/>
  <c r="BJ2474" i="1" s="1"/>
  <c r="BF2474" i="1"/>
  <c r="BG2474" i="1" s="1"/>
  <c r="BE2474" i="1"/>
  <c r="BR2473" i="1"/>
  <c r="BO2473" i="1"/>
  <c r="BN2473" i="1"/>
  <c r="BM2473" i="1"/>
  <c r="BL2473" i="1"/>
  <c r="BK2473" i="1"/>
  <c r="BH2473" i="1"/>
  <c r="BF2473" i="1"/>
  <c r="BG2473" i="1" s="1"/>
  <c r="BE2473" i="1"/>
  <c r="BR2472" i="1"/>
  <c r="BO2472" i="1"/>
  <c r="BN2472" i="1"/>
  <c r="BM2472" i="1"/>
  <c r="BL2472" i="1"/>
  <c r="BK2472" i="1"/>
  <c r="BH2472" i="1"/>
  <c r="BJ2472" i="1" s="1"/>
  <c r="BF2472" i="1"/>
  <c r="BG2472" i="1" s="1"/>
  <c r="BE2472" i="1"/>
  <c r="BR2471" i="1"/>
  <c r="BO2471" i="1"/>
  <c r="BN2471" i="1"/>
  <c r="BM2471" i="1"/>
  <c r="BL2471" i="1"/>
  <c r="BK2471" i="1"/>
  <c r="BH2471" i="1"/>
  <c r="BJ2471" i="1" s="1"/>
  <c r="BF2471" i="1"/>
  <c r="BG2471" i="1" s="1"/>
  <c r="BE2471" i="1"/>
  <c r="BR2470" i="1"/>
  <c r="BO2470" i="1"/>
  <c r="BN2470" i="1"/>
  <c r="BM2470" i="1"/>
  <c r="BL2470" i="1"/>
  <c r="BK2470" i="1"/>
  <c r="BH2470" i="1"/>
  <c r="BF2470" i="1"/>
  <c r="BG2470" i="1" s="1"/>
  <c r="BE2470" i="1"/>
  <c r="BR2469" i="1"/>
  <c r="BO2469" i="1"/>
  <c r="BN2469" i="1"/>
  <c r="BM2469" i="1"/>
  <c r="BL2469" i="1"/>
  <c r="BK2469" i="1"/>
  <c r="BH2469" i="1"/>
  <c r="BI2469" i="1" s="1"/>
  <c r="BF2469" i="1"/>
  <c r="BG2469" i="1" s="1"/>
  <c r="BE2469" i="1"/>
  <c r="BR2468" i="1"/>
  <c r="BO2468" i="1"/>
  <c r="BN2468" i="1"/>
  <c r="BM2468" i="1"/>
  <c r="BL2468" i="1"/>
  <c r="BK2468" i="1"/>
  <c r="BH2468" i="1"/>
  <c r="BF2468" i="1"/>
  <c r="BG2468" i="1" s="1"/>
  <c r="BE2468" i="1"/>
  <c r="BR2467" i="1"/>
  <c r="BO2467" i="1"/>
  <c r="BN2467" i="1"/>
  <c r="BM2467" i="1"/>
  <c r="BL2467" i="1"/>
  <c r="BK2467" i="1"/>
  <c r="BH2467" i="1"/>
  <c r="BF2467" i="1"/>
  <c r="BG2467" i="1" s="1"/>
  <c r="BE2467" i="1"/>
  <c r="BR2466" i="1"/>
  <c r="BO2466" i="1"/>
  <c r="BN2466" i="1"/>
  <c r="BM2466" i="1"/>
  <c r="BL2466" i="1"/>
  <c r="BK2466" i="1"/>
  <c r="BH2466" i="1"/>
  <c r="BF2466" i="1"/>
  <c r="BG2466" i="1" s="1"/>
  <c r="BE2466" i="1"/>
  <c r="BR2465" i="1"/>
  <c r="BO2465" i="1"/>
  <c r="BN2465" i="1"/>
  <c r="BM2465" i="1"/>
  <c r="BL2465" i="1"/>
  <c r="BK2465" i="1"/>
  <c r="BH2465" i="1"/>
  <c r="BI2465" i="1" s="1"/>
  <c r="BF2465" i="1"/>
  <c r="BG2465" i="1" s="1"/>
  <c r="BE2465" i="1"/>
  <c r="BR2464" i="1"/>
  <c r="BO2464" i="1"/>
  <c r="BN2464" i="1"/>
  <c r="BM2464" i="1"/>
  <c r="BL2464" i="1"/>
  <c r="BK2464" i="1"/>
  <c r="BH2464" i="1"/>
  <c r="BF2464" i="1"/>
  <c r="BG2464" i="1" s="1"/>
  <c r="BE2464" i="1"/>
  <c r="BR2463" i="1"/>
  <c r="BO2463" i="1"/>
  <c r="BN2463" i="1"/>
  <c r="BM2463" i="1"/>
  <c r="BL2463" i="1"/>
  <c r="BK2463" i="1"/>
  <c r="BH2463" i="1"/>
  <c r="BI2463" i="1" s="1"/>
  <c r="BF2463" i="1"/>
  <c r="BG2463" i="1" s="1"/>
  <c r="BE2463" i="1"/>
  <c r="BR2462" i="1"/>
  <c r="BO2462" i="1"/>
  <c r="BN2462" i="1"/>
  <c r="BM2462" i="1"/>
  <c r="BL2462" i="1"/>
  <c r="BK2462" i="1"/>
  <c r="BH2462" i="1"/>
  <c r="BF2462" i="1"/>
  <c r="BG2462" i="1" s="1"/>
  <c r="BE2462" i="1"/>
  <c r="BR2461" i="1"/>
  <c r="BO2461" i="1"/>
  <c r="BN2461" i="1"/>
  <c r="BM2461" i="1"/>
  <c r="BL2461" i="1"/>
  <c r="BK2461" i="1"/>
  <c r="BH2461" i="1"/>
  <c r="BJ2461" i="1" s="1"/>
  <c r="BF2461" i="1"/>
  <c r="BG2461" i="1" s="1"/>
  <c r="BE2461" i="1"/>
  <c r="BR2460" i="1"/>
  <c r="BO2460" i="1"/>
  <c r="BN2460" i="1"/>
  <c r="BM2460" i="1"/>
  <c r="BL2460" i="1"/>
  <c r="BK2460" i="1"/>
  <c r="BH2460" i="1"/>
  <c r="BF2460" i="1"/>
  <c r="BG2460" i="1" s="1"/>
  <c r="BE2460" i="1"/>
  <c r="BR2459" i="1"/>
  <c r="BO2459" i="1"/>
  <c r="BN2459" i="1"/>
  <c r="BM2459" i="1"/>
  <c r="BL2459" i="1"/>
  <c r="BK2459" i="1"/>
  <c r="BH2459" i="1"/>
  <c r="BI2459" i="1" s="1"/>
  <c r="BF2459" i="1"/>
  <c r="BG2459" i="1" s="1"/>
  <c r="BE2459" i="1"/>
  <c r="BR2458" i="1"/>
  <c r="BO2458" i="1"/>
  <c r="BN2458" i="1"/>
  <c r="BM2458" i="1"/>
  <c r="BL2458" i="1"/>
  <c r="BK2458" i="1"/>
  <c r="BH2458" i="1"/>
  <c r="BF2458" i="1"/>
  <c r="BG2458" i="1" s="1"/>
  <c r="BE2458" i="1"/>
  <c r="BR2457" i="1"/>
  <c r="BO2457" i="1"/>
  <c r="BN2457" i="1"/>
  <c r="BM2457" i="1"/>
  <c r="BL2457" i="1"/>
  <c r="BK2457" i="1"/>
  <c r="BH2457" i="1"/>
  <c r="BI2457" i="1" s="1"/>
  <c r="BF2457" i="1"/>
  <c r="BG2457" i="1" s="1"/>
  <c r="BE2457" i="1"/>
  <c r="BR2456" i="1"/>
  <c r="BO2456" i="1"/>
  <c r="BN2456" i="1"/>
  <c r="BM2456" i="1"/>
  <c r="BL2456" i="1"/>
  <c r="BK2456" i="1"/>
  <c r="BH2456" i="1"/>
  <c r="BF2456" i="1"/>
  <c r="BG2456" i="1" s="1"/>
  <c r="BE2456" i="1"/>
  <c r="BR2455" i="1"/>
  <c r="BO2455" i="1"/>
  <c r="BN2455" i="1"/>
  <c r="BM2455" i="1"/>
  <c r="BL2455" i="1"/>
  <c r="BK2455" i="1"/>
  <c r="BH2455" i="1"/>
  <c r="BI2455" i="1" s="1"/>
  <c r="BF2455" i="1"/>
  <c r="BG2455" i="1" s="1"/>
  <c r="BE2455" i="1"/>
  <c r="BR2454" i="1"/>
  <c r="BO2454" i="1"/>
  <c r="BN2454" i="1"/>
  <c r="BM2454" i="1"/>
  <c r="BL2454" i="1"/>
  <c r="BK2454" i="1"/>
  <c r="BH2454" i="1"/>
  <c r="BF2454" i="1"/>
  <c r="BG2454" i="1" s="1"/>
  <c r="BE2454" i="1"/>
  <c r="BR2453" i="1"/>
  <c r="BO2453" i="1"/>
  <c r="BN2453" i="1"/>
  <c r="BM2453" i="1"/>
  <c r="BL2453" i="1"/>
  <c r="BK2453" i="1"/>
  <c r="BH2453" i="1"/>
  <c r="BF2453" i="1"/>
  <c r="BG2453" i="1" s="1"/>
  <c r="BE2453" i="1"/>
  <c r="BR2452" i="1"/>
  <c r="BO2452" i="1"/>
  <c r="BN2452" i="1"/>
  <c r="BM2452" i="1"/>
  <c r="BL2452" i="1"/>
  <c r="BK2452" i="1"/>
  <c r="BH2452" i="1"/>
  <c r="BF2452" i="1"/>
  <c r="BG2452" i="1" s="1"/>
  <c r="BE2452" i="1"/>
  <c r="BR2451" i="1"/>
  <c r="BO2451" i="1"/>
  <c r="BN2451" i="1"/>
  <c r="BM2451" i="1"/>
  <c r="BL2451" i="1"/>
  <c r="BK2451" i="1"/>
  <c r="BH2451" i="1"/>
  <c r="BF2451" i="1"/>
  <c r="BG2451" i="1" s="1"/>
  <c r="BE2451" i="1"/>
  <c r="BR2450" i="1"/>
  <c r="BO2450" i="1"/>
  <c r="BN2450" i="1"/>
  <c r="BM2450" i="1"/>
  <c r="BL2450" i="1"/>
  <c r="BK2450" i="1"/>
  <c r="BH2450" i="1"/>
  <c r="BF2450" i="1"/>
  <c r="BG2450" i="1" s="1"/>
  <c r="BE2450" i="1"/>
  <c r="BR2449" i="1"/>
  <c r="BO2449" i="1"/>
  <c r="BN2449" i="1"/>
  <c r="BM2449" i="1"/>
  <c r="BL2449" i="1"/>
  <c r="BK2449" i="1"/>
  <c r="BH2449" i="1"/>
  <c r="BI2449" i="1" s="1"/>
  <c r="BF2449" i="1"/>
  <c r="BG2449" i="1" s="1"/>
  <c r="BE2449" i="1"/>
  <c r="BR2448" i="1"/>
  <c r="BO2448" i="1"/>
  <c r="BN2448" i="1"/>
  <c r="BM2448" i="1"/>
  <c r="BL2448" i="1"/>
  <c r="BK2448" i="1"/>
  <c r="BH2448" i="1"/>
  <c r="BF2448" i="1"/>
  <c r="BG2448" i="1" s="1"/>
  <c r="BE2448" i="1"/>
  <c r="BR2447" i="1"/>
  <c r="BO2447" i="1"/>
  <c r="BN2447" i="1"/>
  <c r="BM2447" i="1"/>
  <c r="BL2447" i="1"/>
  <c r="BK2447" i="1"/>
  <c r="BH2447" i="1"/>
  <c r="BI2447" i="1" s="1"/>
  <c r="BF2447" i="1"/>
  <c r="BG2447" i="1" s="1"/>
  <c r="BE2447" i="1"/>
  <c r="BR2446" i="1"/>
  <c r="BO2446" i="1"/>
  <c r="BN2446" i="1"/>
  <c r="BM2446" i="1"/>
  <c r="BL2446" i="1"/>
  <c r="BK2446" i="1"/>
  <c r="BH2446" i="1"/>
  <c r="BF2446" i="1"/>
  <c r="BG2446" i="1" s="1"/>
  <c r="BE2446" i="1"/>
  <c r="BR2445" i="1"/>
  <c r="BO2445" i="1"/>
  <c r="BN2445" i="1"/>
  <c r="BM2445" i="1"/>
  <c r="BL2445" i="1"/>
  <c r="BK2445" i="1"/>
  <c r="BH2445" i="1"/>
  <c r="BJ2445" i="1" s="1"/>
  <c r="BF2445" i="1"/>
  <c r="BG2445" i="1" s="1"/>
  <c r="BE2445" i="1"/>
  <c r="BR2444" i="1"/>
  <c r="BO2444" i="1"/>
  <c r="BN2444" i="1"/>
  <c r="BM2444" i="1"/>
  <c r="BL2444" i="1"/>
  <c r="BK2444" i="1"/>
  <c r="BH2444" i="1"/>
  <c r="BF2444" i="1"/>
  <c r="BG2444" i="1" s="1"/>
  <c r="BE2444" i="1"/>
  <c r="BR2443" i="1"/>
  <c r="BO2443" i="1"/>
  <c r="BN2443" i="1"/>
  <c r="BM2443" i="1"/>
  <c r="BL2443" i="1"/>
  <c r="BK2443" i="1"/>
  <c r="BH2443" i="1"/>
  <c r="BJ2443" i="1" s="1"/>
  <c r="BF2443" i="1"/>
  <c r="BG2443" i="1" s="1"/>
  <c r="BE2443" i="1"/>
  <c r="BR2442" i="1"/>
  <c r="BO2442" i="1"/>
  <c r="BN2442" i="1"/>
  <c r="BM2442" i="1"/>
  <c r="BL2442" i="1"/>
  <c r="BK2442" i="1"/>
  <c r="BH2442" i="1"/>
  <c r="BF2442" i="1"/>
  <c r="BG2442" i="1" s="1"/>
  <c r="BE2442" i="1"/>
  <c r="BR2441" i="1"/>
  <c r="BO2441" i="1"/>
  <c r="BN2441" i="1"/>
  <c r="BM2441" i="1"/>
  <c r="BL2441" i="1"/>
  <c r="BK2441" i="1"/>
  <c r="BH2441" i="1"/>
  <c r="BI2441" i="1" s="1"/>
  <c r="BF2441" i="1"/>
  <c r="BG2441" i="1" s="1"/>
  <c r="BE2441" i="1"/>
  <c r="BR2440" i="1"/>
  <c r="BO2440" i="1"/>
  <c r="BN2440" i="1"/>
  <c r="BM2440" i="1"/>
  <c r="BL2440" i="1"/>
  <c r="BK2440" i="1"/>
  <c r="BH2440" i="1"/>
  <c r="BF2440" i="1"/>
  <c r="BG2440" i="1" s="1"/>
  <c r="BE2440" i="1"/>
  <c r="BR2439" i="1"/>
  <c r="BO2439" i="1"/>
  <c r="BN2439" i="1"/>
  <c r="BM2439" i="1"/>
  <c r="BL2439" i="1"/>
  <c r="BK2439" i="1"/>
  <c r="BH2439" i="1"/>
  <c r="BJ2439" i="1" s="1"/>
  <c r="BF2439" i="1"/>
  <c r="BG2439" i="1" s="1"/>
  <c r="BE2439" i="1"/>
  <c r="BR2438" i="1"/>
  <c r="BO2438" i="1"/>
  <c r="BN2438" i="1"/>
  <c r="BM2438" i="1"/>
  <c r="BL2438" i="1"/>
  <c r="BK2438" i="1"/>
  <c r="BH2438" i="1"/>
  <c r="BF2438" i="1"/>
  <c r="BG2438" i="1" s="1"/>
  <c r="BE2438" i="1"/>
  <c r="BR2437" i="1"/>
  <c r="BO2437" i="1"/>
  <c r="BN2437" i="1"/>
  <c r="BM2437" i="1"/>
  <c r="BL2437" i="1"/>
  <c r="BK2437" i="1"/>
  <c r="BH2437" i="1"/>
  <c r="BF2437" i="1"/>
  <c r="BG2437" i="1" s="1"/>
  <c r="BE2437" i="1"/>
  <c r="BR2436" i="1"/>
  <c r="BO2436" i="1"/>
  <c r="BN2436" i="1"/>
  <c r="BM2436" i="1"/>
  <c r="BL2436" i="1"/>
  <c r="BK2436" i="1"/>
  <c r="BH2436" i="1"/>
  <c r="BF2436" i="1"/>
  <c r="BG2436" i="1" s="1"/>
  <c r="BE2436" i="1"/>
  <c r="BR2435" i="1"/>
  <c r="BO2435" i="1"/>
  <c r="BN2435" i="1"/>
  <c r="BM2435" i="1"/>
  <c r="BL2435" i="1"/>
  <c r="BK2435" i="1"/>
  <c r="BH2435" i="1"/>
  <c r="BJ2435" i="1" s="1"/>
  <c r="BF2435" i="1"/>
  <c r="BG2435" i="1" s="1"/>
  <c r="BE2435" i="1"/>
  <c r="BR2434" i="1"/>
  <c r="BO2434" i="1"/>
  <c r="BN2434" i="1"/>
  <c r="BM2434" i="1"/>
  <c r="BL2434" i="1"/>
  <c r="BK2434" i="1"/>
  <c r="BH2434" i="1"/>
  <c r="BF2434" i="1"/>
  <c r="BG2434" i="1" s="1"/>
  <c r="BE2434" i="1"/>
  <c r="BR2433" i="1"/>
  <c r="BO2433" i="1"/>
  <c r="BN2433" i="1"/>
  <c r="BM2433" i="1"/>
  <c r="BL2433" i="1"/>
  <c r="BK2433" i="1"/>
  <c r="BH2433" i="1"/>
  <c r="BI2433" i="1" s="1"/>
  <c r="BF2433" i="1"/>
  <c r="BG2433" i="1" s="1"/>
  <c r="BE2433" i="1"/>
  <c r="BR2432" i="1"/>
  <c r="BO2432" i="1"/>
  <c r="BN2432" i="1"/>
  <c r="BM2432" i="1"/>
  <c r="BL2432" i="1"/>
  <c r="BK2432" i="1"/>
  <c r="BH2432" i="1"/>
  <c r="BF2432" i="1"/>
  <c r="BG2432" i="1" s="1"/>
  <c r="BE2432" i="1"/>
  <c r="BR2431" i="1"/>
  <c r="BO2431" i="1"/>
  <c r="BN2431" i="1"/>
  <c r="BM2431" i="1"/>
  <c r="BL2431" i="1"/>
  <c r="BK2431" i="1"/>
  <c r="BH2431" i="1"/>
  <c r="BI2431" i="1" s="1"/>
  <c r="BF2431" i="1"/>
  <c r="BG2431" i="1" s="1"/>
  <c r="BE2431" i="1"/>
  <c r="BR2430" i="1"/>
  <c r="BO2430" i="1"/>
  <c r="BN2430" i="1"/>
  <c r="BM2430" i="1"/>
  <c r="BL2430" i="1"/>
  <c r="BK2430" i="1"/>
  <c r="BH2430" i="1"/>
  <c r="BF2430" i="1"/>
  <c r="BG2430" i="1" s="1"/>
  <c r="BE2430" i="1"/>
  <c r="BR2429" i="1"/>
  <c r="BO2429" i="1"/>
  <c r="BN2429" i="1"/>
  <c r="BM2429" i="1"/>
  <c r="BL2429" i="1"/>
  <c r="BK2429" i="1"/>
  <c r="BH2429" i="1"/>
  <c r="BF2429" i="1"/>
  <c r="BG2429" i="1" s="1"/>
  <c r="BE2429" i="1"/>
  <c r="BR2428" i="1"/>
  <c r="BO2428" i="1"/>
  <c r="BN2428" i="1"/>
  <c r="BM2428" i="1"/>
  <c r="BL2428" i="1"/>
  <c r="BK2428" i="1"/>
  <c r="BH2428" i="1"/>
  <c r="BF2428" i="1"/>
  <c r="BG2428" i="1" s="1"/>
  <c r="BE2428" i="1"/>
  <c r="BR2427" i="1"/>
  <c r="BO2427" i="1"/>
  <c r="BN2427" i="1"/>
  <c r="BM2427" i="1"/>
  <c r="BL2427" i="1"/>
  <c r="BK2427" i="1"/>
  <c r="BH2427" i="1"/>
  <c r="BI2427" i="1" s="1"/>
  <c r="BF2427" i="1"/>
  <c r="BG2427" i="1" s="1"/>
  <c r="BE2427" i="1"/>
  <c r="BR2426" i="1"/>
  <c r="BO2426" i="1"/>
  <c r="BN2426" i="1"/>
  <c r="BM2426" i="1"/>
  <c r="BL2426" i="1"/>
  <c r="BK2426" i="1"/>
  <c r="BH2426" i="1"/>
  <c r="BF2426" i="1"/>
  <c r="BG2426" i="1" s="1"/>
  <c r="BE2426" i="1"/>
  <c r="BR2425" i="1"/>
  <c r="BO2425" i="1"/>
  <c r="BN2425" i="1"/>
  <c r="BM2425" i="1"/>
  <c r="BL2425" i="1"/>
  <c r="BK2425" i="1"/>
  <c r="BH2425" i="1"/>
  <c r="BJ2425" i="1" s="1"/>
  <c r="BF2425" i="1"/>
  <c r="BG2425" i="1" s="1"/>
  <c r="BE2425" i="1"/>
  <c r="BR2424" i="1"/>
  <c r="BO2424" i="1"/>
  <c r="BN2424" i="1"/>
  <c r="BM2424" i="1"/>
  <c r="BL2424" i="1"/>
  <c r="BK2424" i="1"/>
  <c r="BH2424" i="1"/>
  <c r="BF2424" i="1"/>
  <c r="BG2424" i="1" s="1"/>
  <c r="BE2424" i="1"/>
  <c r="BR2423" i="1"/>
  <c r="BO2423" i="1"/>
  <c r="BN2423" i="1"/>
  <c r="BM2423" i="1"/>
  <c r="BL2423" i="1"/>
  <c r="BK2423" i="1"/>
  <c r="BH2423" i="1"/>
  <c r="BJ2423" i="1" s="1"/>
  <c r="BF2423" i="1"/>
  <c r="BG2423" i="1" s="1"/>
  <c r="BE2423" i="1"/>
  <c r="BR2422" i="1"/>
  <c r="BO2422" i="1"/>
  <c r="BN2422" i="1"/>
  <c r="BM2422" i="1"/>
  <c r="BL2422" i="1"/>
  <c r="BK2422" i="1"/>
  <c r="BH2422" i="1"/>
  <c r="BF2422" i="1"/>
  <c r="BG2422" i="1" s="1"/>
  <c r="BE2422" i="1"/>
  <c r="BR2421" i="1"/>
  <c r="BO2421" i="1"/>
  <c r="BN2421" i="1"/>
  <c r="BM2421" i="1"/>
  <c r="BL2421" i="1"/>
  <c r="BK2421" i="1"/>
  <c r="BH2421" i="1"/>
  <c r="BF2421" i="1"/>
  <c r="BG2421" i="1" s="1"/>
  <c r="BE2421" i="1"/>
  <c r="BR2420" i="1"/>
  <c r="BO2420" i="1"/>
  <c r="BN2420" i="1"/>
  <c r="BM2420" i="1"/>
  <c r="BL2420" i="1"/>
  <c r="BK2420" i="1"/>
  <c r="BH2420" i="1"/>
  <c r="BJ2420" i="1" s="1"/>
  <c r="BF2420" i="1"/>
  <c r="BG2420" i="1" s="1"/>
  <c r="BE2420" i="1"/>
  <c r="BR2419" i="1"/>
  <c r="BO2419" i="1"/>
  <c r="BN2419" i="1"/>
  <c r="BM2419" i="1"/>
  <c r="BL2419" i="1"/>
  <c r="BK2419" i="1"/>
  <c r="BH2419" i="1"/>
  <c r="BJ2419" i="1" s="1"/>
  <c r="BF2419" i="1"/>
  <c r="BG2419" i="1" s="1"/>
  <c r="BE2419" i="1"/>
  <c r="BR2418" i="1"/>
  <c r="BO2418" i="1"/>
  <c r="BN2418" i="1"/>
  <c r="BM2418" i="1"/>
  <c r="BL2418" i="1"/>
  <c r="BK2418" i="1"/>
  <c r="BH2418" i="1"/>
  <c r="BJ2418" i="1" s="1"/>
  <c r="BF2418" i="1"/>
  <c r="BG2418" i="1" s="1"/>
  <c r="BE2418" i="1"/>
  <c r="BR2417" i="1"/>
  <c r="BO2417" i="1"/>
  <c r="BN2417" i="1"/>
  <c r="BM2417" i="1"/>
  <c r="BL2417" i="1"/>
  <c r="BK2417" i="1"/>
  <c r="BH2417" i="1"/>
  <c r="BF2417" i="1"/>
  <c r="BG2417" i="1" s="1"/>
  <c r="BE2417" i="1"/>
  <c r="BR2416" i="1"/>
  <c r="BO2416" i="1"/>
  <c r="BN2416" i="1"/>
  <c r="BM2416" i="1"/>
  <c r="BL2416" i="1"/>
  <c r="BK2416" i="1"/>
  <c r="BH2416" i="1"/>
  <c r="BJ2416" i="1" s="1"/>
  <c r="BF2416" i="1"/>
  <c r="BG2416" i="1" s="1"/>
  <c r="BE2416" i="1"/>
  <c r="BR2415" i="1"/>
  <c r="BO2415" i="1"/>
  <c r="BN2415" i="1"/>
  <c r="BM2415" i="1"/>
  <c r="BL2415" i="1"/>
  <c r="BK2415" i="1"/>
  <c r="BH2415" i="1"/>
  <c r="BI2415" i="1" s="1"/>
  <c r="BF2415" i="1"/>
  <c r="BG2415" i="1" s="1"/>
  <c r="BE2415" i="1"/>
  <c r="BR2414" i="1"/>
  <c r="BO2414" i="1"/>
  <c r="BN2414" i="1"/>
  <c r="BM2414" i="1"/>
  <c r="BL2414" i="1"/>
  <c r="BK2414" i="1"/>
  <c r="BH2414" i="1"/>
  <c r="BJ2414" i="1" s="1"/>
  <c r="BF2414" i="1"/>
  <c r="BG2414" i="1" s="1"/>
  <c r="BE2414" i="1"/>
  <c r="BR2413" i="1"/>
  <c r="BO2413" i="1"/>
  <c r="BN2413" i="1"/>
  <c r="BM2413" i="1"/>
  <c r="BL2413" i="1"/>
  <c r="BK2413" i="1"/>
  <c r="BH2413" i="1"/>
  <c r="BI2413" i="1" s="1"/>
  <c r="BF2413" i="1"/>
  <c r="BG2413" i="1" s="1"/>
  <c r="BE2413" i="1"/>
  <c r="BR2412" i="1"/>
  <c r="BO2412" i="1"/>
  <c r="BN2412" i="1"/>
  <c r="BM2412" i="1"/>
  <c r="BL2412" i="1"/>
  <c r="BK2412" i="1"/>
  <c r="BH2412" i="1"/>
  <c r="BJ2412" i="1" s="1"/>
  <c r="BF2412" i="1"/>
  <c r="BG2412" i="1" s="1"/>
  <c r="BE2412" i="1"/>
  <c r="BR2411" i="1"/>
  <c r="BO2411" i="1"/>
  <c r="BN2411" i="1"/>
  <c r="BM2411" i="1"/>
  <c r="BL2411" i="1"/>
  <c r="BK2411" i="1"/>
  <c r="BH2411" i="1"/>
  <c r="BJ2411" i="1" s="1"/>
  <c r="BF2411" i="1"/>
  <c r="BG2411" i="1" s="1"/>
  <c r="BE2411" i="1"/>
  <c r="BR2410" i="1"/>
  <c r="BO2410" i="1"/>
  <c r="BN2410" i="1"/>
  <c r="BM2410" i="1"/>
  <c r="BL2410" i="1"/>
  <c r="BK2410" i="1"/>
  <c r="BH2410" i="1"/>
  <c r="BF2410" i="1"/>
  <c r="BG2410" i="1" s="1"/>
  <c r="BE2410" i="1"/>
  <c r="BR2409" i="1"/>
  <c r="BO2409" i="1"/>
  <c r="BN2409" i="1"/>
  <c r="BM2409" i="1"/>
  <c r="BL2409" i="1"/>
  <c r="BK2409" i="1"/>
  <c r="BH2409" i="1"/>
  <c r="BI2409" i="1" s="1"/>
  <c r="BF2409" i="1"/>
  <c r="BG2409" i="1" s="1"/>
  <c r="BE2409" i="1"/>
  <c r="BR2408" i="1"/>
  <c r="BO2408" i="1"/>
  <c r="BN2408" i="1"/>
  <c r="BM2408" i="1"/>
  <c r="BL2408" i="1"/>
  <c r="BK2408" i="1"/>
  <c r="BH2408" i="1"/>
  <c r="BJ2408" i="1" s="1"/>
  <c r="BF2408" i="1"/>
  <c r="BG2408" i="1" s="1"/>
  <c r="BE2408" i="1"/>
  <c r="BR2407" i="1"/>
  <c r="BO2407" i="1"/>
  <c r="BN2407" i="1"/>
  <c r="BM2407" i="1"/>
  <c r="BL2407" i="1"/>
  <c r="BK2407" i="1"/>
  <c r="BH2407" i="1"/>
  <c r="BI2407" i="1" s="1"/>
  <c r="BF2407" i="1"/>
  <c r="BG2407" i="1" s="1"/>
  <c r="BE2407" i="1"/>
  <c r="BR2406" i="1"/>
  <c r="BO2406" i="1"/>
  <c r="BN2406" i="1"/>
  <c r="BM2406" i="1"/>
  <c r="BL2406" i="1"/>
  <c r="BK2406" i="1"/>
  <c r="BH2406" i="1"/>
  <c r="BJ2406" i="1" s="1"/>
  <c r="BF2406" i="1"/>
  <c r="BG2406" i="1" s="1"/>
  <c r="BE2406" i="1"/>
  <c r="BR2405" i="1"/>
  <c r="BO2405" i="1"/>
  <c r="BN2405" i="1"/>
  <c r="BM2405" i="1"/>
  <c r="BL2405" i="1"/>
  <c r="BK2405" i="1"/>
  <c r="BH2405" i="1"/>
  <c r="BJ2405" i="1" s="1"/>
  <c r="BF2405" i="1"/>
  <c r="BG2405" i="1" s="1"/>
  <c r="BE2405" i="1"/>
  <c r="BR2404" i="1"/>
  <c r="BO2404" i="1"/>
  <c r="BN2404" i="1"/>
  <c r="BM2404" i="1"/>
  <c r="BL2404" i="1"/>
  <c r="BK2404" i="1"/>
  <c r="BH2404" i="1"/>
  <c r="BJ2404" i="1" s="1"/>
  <c r="BF2404" i="1"/>
  <c r="BG2404" i="1" s="1"/>
  <c r="BE2404" i="1"/>
  <c r="BR2403" i="1"/>
  <c r="BO2403" i="1"/>
  <c r="BN2403" i="1"/>
  <c r="BM2403" i="1"/>
  <c r="BL2403" i="1"/>
  <c r="BK2403" i="1"/>
  <c r="BH2403" i="1"/>
  <c r="BF2403" i="1"/>
  <c r="BG2403" i="1" s="1"/>
  <c r="BE2403" i="1"/>
  <c r="BR2402" i="1"/>
  <c r="BO2402" i="1"/>
  <c r="BN2402" i="1"/>
  <c r="BM2402" i="1"/>
  <c r="BL2402" i="1"/>
  <c r="BK2402" i="1"/>
  <c r="BH2402" i="1"/>
  <c r="BJ2402" i="1" s="1"/>
  <c r="BF2402" i="1"/>
  <c r="BG2402" i="1" s="1"/>
  <c r="BE2402" i="1"/>
  <c r="BR2401" i="1"/>
  <c r="BO2401" i="1"/>
  <c r="BN2401" i="1"/>
  <c r="BM2401" i="1"/>
  <c r="BL2401" i="1"/>
  <c r="BK2401" i="1"/>
  <c r="BH2401" i="1"/>
  <c r="BI2401" i="1" s="1"/>
  <c r="BF2401" i="1"/>
  <c r="BG2401" i="1" s="1"/>
  <c r="BE2401" i="1"/>
  <c r="BR2400" i="1"/>
  <c r="BO2400" i="1"/>
  <c r="BN2400" i="1"/>
  <c r="BM2400" i="1"/>
  <c r="BL2400" i="1"/>
  <c r="BK2400" i="1"/>
  <c r="BH2400" i="1"/>
  <c r="BJ2400" i="1" s="1"/>
  <c r="BF2400" i="1"/>
  <c r="BG2400" i="1" s="1"/>
  <c r="BE2400" i="1"/>
  <c r="BR2399" i="1"/>
  <c r="BO2399" i="1"/>
  <c r="BN2399" i="1"/>
  <c r="BM2399" i="1"/>
  <c r="BL2399" i="1"/>
  <c r="BK2399" i="1"/>
  <c r="BH2399" i="1"/>
  <c r="BF2399" i="1"/>
  <c r="BG2399" i="1" s="1"/>
  <c r="BE2399" i="1"/>
  <c r="BR2398" i="1"/>
  <c r="BO2398" i="1"/>
  <c r="BN2398" i="1"/>
  <c r="BM2398" i="1"/>
  <c r="BL2398" i="1"/>
  <c r="BK2398" i="1"/>
  <c r="BH2398" i="1"/>
  <c r="BJ2398" i="1" s="1"/>
  <c r="BF2398" i="1"/>
  <c r="BG2398" i="1" s="1"/>
  <c r="BE2398" i="1"/>
  <c r="BR2397" i="1"/>
  <c r="BO2397" i="1"/>
  <c r="BN2397" i="1"/>
  <c r="BM2397" i="1"/>
  <c r="BL2397" i="1"/>
  <c r="BK2397" i="1"/>
  <c r="BH2397" i="1"/>
  <c r="BF2397" i="1"/>
  <c r="BG2397" i="1" s="1"/>
  <c r="BE2397" i="1"/>
  <c r="BR2396" i="1"/>
  <c r="BO2396" i="1"/>
  <c r="BN2396" i="1"/>
  <c r="BM2396" i="1"/>
  <c r="BL2396" i="1"/>
  <c r="BK2396" i="1"/>
  <c r="BH2396" i="1"/>
  <c r="BF2396" i="1"/>
  <c r="BG2396" i="1" s="1"/>
  <c r="BE2396" i="1"/>
  <c r="BR2395" i="1"/>
  <c r="BO2395" i="1"/>
  <c r="BN2395" i="1"/>
  <c r="BM2395" i="1"/>
  <c r="BL2395" i="1"/>
  <c r="BK2395" i="1"/>
  <c r="BH2395" i="1"/>
  <c r="BJ2395" i="1" s="1"/>
  <c r="BF2395" i="1"/>
  <c r="BG2395" i="1" s="1"/>
  <c r="BE2395" i="1"/>
  <c r="BR2394" i="1"/>
  <c r="BO2394" i="1"/>
  <c r="BN2394" i="1"/>
  <c r="BM2394" i="1"/>
  <c r="BL2394" i="1"/>
  <c r="BK2394" i="1"/>
  <c r="BH2394" i="1"/>
  <c r="BJ2394" i="1" s="1"/>
  <c r="BF2394" i="1"/>
  <c r="BG2394" i="1" s="1"/>
  <c r="BE2394" i="1"/>
  <c r="BR2393" i="1"/>
  <c r="BO2393" i="1"/>
  <c r="BN2393" i="1"/>
  <c r="BM2393" i="1"/>
  <c r="BL2393" i="1"/>
  <c r="BK2393" i="1"/>
  <c r="BH2393" i="1"/>
  <c r="BJ2393" i="1" s="1"/>
  <c r="BF2393" i="1"/>
  <c r="BG2393" i="1" s="1"/>
  <c r="BE2393" i="1"/>
  <c r="BR2392" i="1"/>
  <c r="BO2392" i="1"/>
  <c r="BN2392" i="1"/>
  <c r="BM2392" i="1"/>
  <c r="BL2392" i="1"/>
  <c r="BK2392" i="1"/>
  <c r="BH2392" i="1"/>
  <c r="BF2392" i="1"/>
  <c r="BG2392" i="1" s="1"/>
  <c r="BE2392" i="1"/>
  <c r="BR2391" i="1"/>
  <c r="BO2391" i="1"/>
  <c r="BN2391" i="1"/>
  <c r="BM2391" i="1"/>
  <c r="BL2391" i="1"/>
  <c r="BK2391" i="1"/>
  <c r="BH2391" i="1"/>
  <c r="BI2391" i="1" s="1"/>
  <c r="BF2391" i="1"/>
  <c r="BG2391" i="1" s="1"/>
  <c r="BE2391" i="1"/>
  <c r="BR2390" i="1"/>
  <c r="BO2390" i="1"/>
  <c r="BN2390" i="1"/>
  <c r="BM2390" i="1"/>
  <c r="BL2390" i="1"/>
  <c r="BK2390" i="1"/>
  <c r="BH2390" i="1"/>
  <c r="BJ2390" i="1" s="1"/>
  <c r="BF2390" i="1"/>
  <c r="BG2390" i="1" s="1"/>
  <c r="BE2390" i="1"/>
  <c r="BR2389" i="1"/>
  <c r="BO2389" i="1"/>
  <c r="BN2389" i="1"/>
  <c r="BM2389" i="1"/>
  <c r="BL2389" i="1"/>
  <c r="BK2389" i="1"/>
  <c r="BH2389" i="1"/>
  <c r="BF2389" i="1"/>
  <c r="BG2389" i="1" s="1"/>
  <c r="BE2389" i="1"/>
  <c r="BR2388" i="1"/>
  <c r="BO2388" i="1"/>
  <c r="BN2388" i="1"/>
  <c r="BM2388" i="1"/>
  <c r="BL2388" i="1"/>
  <c r="BK2388" i="1"/>
  <c r="BH2388" i="1"/>
  <c r="BJ2388" i="1" s="1"/>
  <c r="BF2388" i="1"/>
  <c r="BG2388" i="1" s="1"/>
  <c r="BE2388" i="1"/>
  <c r="BR2387" i="1"/>
  <c r="BO2387" i="1"/>
  <c r="BN2387" i="1"/>
  <c r="BM2387" i="1"/>
  <c r="BL2387" i="1"/>
  <c r="BK2387" i="1"/>
  <c r="BH2387" i="1"/>
  <c r="BI2387" i="1" s="1"/>
  <c r="BF2387" i="1"/>
  <c r="BG2387" i="1" s="1"/>
  <c r="BE2387" i="1"/>
  <c r="BR2386" i="1"/>
  <c r="BO2386" i="1"/>
  <c r="BN2386" i="1"/>
  <c r="BM2386" i="1"/>
  <c r="BL2386" i="1"/>
  <c r="BK2386" i="1"/>
  <c r="BH2386" i="1"/>
  <c r="BJ2386" i="1" s="1"/>
  <c r="BF2386" i="1"/>
  <c r="BG2386" i="1" s="1"/>
  <c r="BE2386" i="1"/>
  <c r="BR2385" i="1"/>
  <c r="BO2385" i="1"/>
  <c r="BN2385" i="1"/>
  <c r="BM2385" i="1"/>
  <c r="BL2385" i="1"/>
  <c r="BK2385" i="1"/>
  <c r="BH2385" i="1"/>
  <c r="BF2385" i="1"/>
  <c r="BG2385" i="1" s="1"/>
  <c r="BE2385" i="1"/>
  <c r="BR2384" i="1"/>
  <c r="BO2384" i="1"/>
  <c r="BN2384" i="1"/>
  <c r="BM2384" i="1"/>
  <c r="BL2384" i="1"/>
  <c r="BK2384" i="1"/>
  <c r="BH2384" i="1"/>
  <c r="BJ2384" i="1" s="1"/>
  <c r="BF2384" i="1"/>
  <c r="BG2384" i="1" s="1"/>
  <c r="BE2384" i="1"/>
  <c r="BR2383" i="1"/>
  <c r="BO2383" i="1"/>
  <c r="BN2383" i="1"/>
  <c r="BM2383" i="1"/>
  <c r="BL2383" i="1"/>
  <c r="BK2383" i="1"/>
  <c r="BH2383" i="1"/>
  <c r="BJ2383" i="1" s="1"/>
  <c r="BF2383" i="1"/>
  <c r="BG2383" i="1" s="1"/>
  <c r="BE2383" i="1"/>
  <c r="BR2382" i="1"/>
  <c r="BO2382" i="1"/>
  <c r="BN2382" i="1"/>
  <c r="BM2382" i="1"/>
  <c r="BL2382" i="1"/>
  <c r="BK2382" i="1"/>
  <c r="BH2382" i="1"/>
  <c r="BJ2382" i="1" s="1"/>
  <c r="BF2382" i="1"/>
  <c r="BG2382" i="1" s="1"/>
  <c r="BE2382" i="1"/>
  <c r="BR2381" i="1"/>
  <c r="BO2381" i="1"/>
  <c r="BN2381" i="1"/>
  <c r="BM2381" i="1"/>
  <c r="BL2381" i="1"/>
  <c r="BK2381" i="1"/>
  <c r="BH2381" i="1"/>
  <c r="BJ2381" i="1" s="1"/>
  <c r="BF2381" i="1"/>
  <c r="BG2381" i="1" s="1"/>
  <c r="BE2381" i="1"/>
  <c r="BR2380" i="1"/>
  <c r="BO2380" i="1"/>
  <c r="BN2380" i="1"/>
  <c r="BM2380" i="1"/>
  <c r="BL2380" i="1"/>
  <c r="BK2380" i="1"/>
  <c r="BH2380" i="1"/>
  <c r="BJ2380" i="1" s="1"/>
  <c r="BF2380" i="1"/>
  <c r="BG2380" i="1" s="1"/>
  <c r="BE2380" i="1"/>
  <c r="BR2379" i="1"/>
  <c r="BO2379" i="1"/>
  <c r="BN2379" i="1"/>
  <c r="BM2379" i="1"/>
  <c r="BL2379" i="1"/>
  <c r="BK2379" i="1"/>
  <c r="BH2379" i="1"/>
  <c r="BI2379" i="1" s="1"/>
  <c r="BF2379" i="1"/>
  <c r="BG2379" i="1" s="1"/>
  <c r="BE2379" i="1"/>
  <c r="BR2378" i="1"/>
  <c r="BO2378" i="1"/>
  <c r="BN2378" i="1"/>
  <c r="BM2378" i="1"/>
  <c r="BL2378" i="1"/>
  <c r="BK2378" i="1"/>
  <c r="BH2378" i="1"/>
  <c r="BF2378" i="1"/>
  <c r="BG2378" i="1" s="1"/>
  <c r="BE2378" i="1"/>
  <c r="BR2377" i="1"/>
  <c r="BO2377" i="1"/>
  <c r="BN2377" i="1"/>
  <c r="BM2377" i="1"/>
  <c r="BL2377" i="1"/>
  <c r="BK2377" i="1"/>
  <c r="BH2377" i="1"/>
  <c r="BI2377" i="1" s="1"/>
  <c r="BF2377" i="1"/>
  <c r="BG2377" i="1" s="1"/>
  <c r="BE2377" i="1"/>
  <c r="BR2376" i="1"/>
  <c r="BO2376" i="1"/>
  <c r="BN2376" i="1"/>
  <c r="BM2376" i="1"/>
  <c r="BL2376" i="1"/>
  <c r="BK2376" i="1"/>
  <c r="BH2376" i="1"/>
  <c r="BJ2376" i="1" s="1"/>
  <c r="BF2376" i="1"/>
  <c r="BG2376" i="1" s="1"/>
  <c r="BE2376" i="1"/>
  <c r="BR2375" i="1"/>
  <c r="BO2375" i="1"/>
  <c r="BN2375" i="1"/>
  <c r="BM2375" i="1"/>
  <c r="BL2375" i="1"/>
  <c r="BK2375" i="1"/>
  <c r="BH2375" i="1"/>
  <c r="BJ2375" i="1" s="1"/>
  <c r="BF2375" i="1"/>
  <c r="BG2375" i="1" s="1"/>
  <c r="BE2375" i="1"/>
  <c r="BR2374" i="1"/>
  <c r="BO2374" i="1"/>
  <c r="BN2374" i="1"/>
  <c r="BM2374" i="1"/>
  <c r="BL2374" i="1"/>
  <c r="BK2374" i="1"/>
  <c r="BH2374" i="1"/>
  <c r="BJ2374" i="1" s="1"/>
  <c r="BF2374" i="1"/>
  <c r="BG2374" i="1" s="1"/>
  <c r="BE2374" i="1"/>
  <c r="BR2373" i="1"/>
  <c r="BO2373" i="1"/>
  <c r="BN2373" i="1"/>
  <c r="BM2373" i="1"/>
  <c r="BL2373" i="1"/>
  <c r="BK2373" i="1"/>
  <c r="BH2373" i="1"/>
  <c r="BI2373" i="1" s="1"/>
  <c r="BF2373" i="1"/>
  <c r="BG2373" i="1" s="1"/>
  <c r="BE2373" i="1"/>
  <c r="BR2372" i="1"/>
  <c r="BO2372" i="1"/>
  <c r="BN2372" i="1"/>
  <c r="BM2372" i="1"/>
  <c r="BL2372" i="1"/>
  <c r="BK2372" i="1"/>
  <c r="BH2372" i="1"/>
  <c r="BJ2372" i="1" s="1"/>
  <c r="BF2372" i="1"/>
  <c r="BG2372" i="1" s="1"/>
  <c r="BE2372" i="1"/>
  <c r="BR2371" i="1"/>
  <c r="BO2371" i="1"/>
  <c r="BN2371" i="1"/>
  <c r="BM2371" i="1"/>
  <c r="BL2371" i="1"/>
  <c r="BK2371" i="1"/>
  <c r="BH2371" i="1"/>
  <c r="BF2371" i="1"/>
  <c r="BG2371" i="1" s="1"/>
  <c r="BE2371" i="1"/>
  <c r="BR2370" i="1"/>
  <c r="BO2370" i="1"/>
  <c r="BN2370" i="1"/>
  <c r="BM2370" i="1"/>
  <c r="BL2370" i="1"/>
  <c r="BK2370" i="1"/>
  <c r="BH2370" i="1"/>
  <c r="BJ2370" i="1" s="1"/>
  <c r="BF2370" i="1"/>
  <c r="BG2370" i="1" s="1"/>
  <c r="BE2370" i="1"/>
  <c r="BR2369" i="1"/>
  <c r="BO2369" i="1"/>
  <c r="BN2369" i="1"/>
  <c r="BM2369" i="1"/>
  <c r="BL2369" i="1"/>
  <c r="BK2369" i="1"/>
  <c r="BH2369" i="1"/>
  <c r="BJ2369" i="1" s="1"/>
  <c r="BF2369" i="1"/>
  <c r="BG2369" i="1" s="1"/>
  <c r="BE2369" i="1"/>
  <c r="BR2368" i="1"/>
  <c r="BO2368" i="1"/>
  <c r="BN2368" i="1"/>
  <c r="BM2368" i="1"/>
  <c r="BL2368" i="1"/>
  <c r="BK2368" i="1"/>
  <c r="BH2368" i="1"/>
  <c r="BJ2368" i="1" s="1"/>
  <c r="BF2368" i="1"/>
  <c r="BG2368" i="1" s="1"/>
  <c r="BE2368" i="1"/>
  <c r="BR2367" i="1"/>
  <c r="BO2367" i="1"/>
  <c r="BN2367" i="1"/>
  <c r="BM2367" i="1"/>
  <c r="BL2367" i="1"/>
  <c r="BK2367" i="1"/>
  <c r="BH2367" i="1"/>
  <c r="BF2367" i="1"/>
  <c r="BG2367" i="1" s="1"/>
  <c r="BE2367" i="1"/>
  <c r="BR2366" i="1"/>
  <c r="BO2366" i="1"/>
  <c r="BN2366" i="1"/>
  <c r="BM2366" i="1"/>
  <c r="BL2366" i="1"/>
  <c r="BK2366" i="1"/>
  <c r="BH2366" i="1"/>
  <c r="BJ2366" i="1" s="1"/>
  <c r="BF2366" i="1"/>
  <c r="BG2366" i="1" s="1"/>
  <c r="BE2366" i="1"/>
  <c r="BR2365" i="1"/>
  <c r="BO2365" i="1"/>
  <c r="BN2365" i="1"/>
  <c r="BM2365" i="1"/>
  <c r="BL2365" i="1"/>
  <c r="BK2365" i="1"/>
  <c r="BH2365" i="1"/>
  <c r="BI2365" i="1" s="1"/>
  <c r="BF2365" i="1"/>
  <c r="BG2365" i="1" s="1"/>
  <c r="BE2365" i="1"/>
  <c r="BR2364" i="1"/>
  <c r="BO2364" i="1"/>
  <c r="BN2364" i="1"/>
  <c r="BM2364" i="1"/>
  <c r="BL2364" i="1"/>
  <c r="BK2364" i="1"/>
  <c r="BH2364" i="1"/>
  <c r="BJ2364" i="1" s="1"/>
  <c r="BF2364" i="1"/>
  <c r="BG2364" i="1" s="1"/>
  <c r="BE2364" i="1"/>
  <c r="BR2363" i="1"/>
  <c r="BO2363" i="1"/>
  <c r="BN2363" i="1"/>
  <c r="BM2363" i="1"/>
  <c r="BL2363" i="1"/>
  <c r="BK2363" i="1"/>
  <c r="BH2363" i="1"/>
  <c r="BF2363" i="1"/>
  <c r="BG2363" i="1" s="1"/>
  <c r="BE2363" i="1"/>
  <c r="BR2362" i="1"/>
  <c r="BO2362" i="1"/>
  <c r="BN2362" i="1"/>
  <c r="BM2362" i="1"/>
  <c r="BL2362" i="1"/>
  <c r="BK2362" i="1"/>
  <c r="BH2362" i="1"/>
  <c r="BJ2362" i="1" s="1"/>
  <c r="BF2362" i="1"/>
  <c r="BG2362" i="1" s="1"/>
  <c r="BE2362" i="1"/>
  <c r="BR2361" i="1"/>
  <c r="BO2361" i="1"/>
  <c r="BN2361" i="1"/>
  <c r="BM2361" i="1"/>
  <c r="BL2361" i="1"/>
  <c r="BK2361" i="1"/>
  <c r="BH2361" i="1"/>
  <c r="BI2361" i="1" s="1"/>
  <c r="BF2361" i="1"/>
  <c r="BG2361" i="1" s="1"/>
  <c r="BE2361" i="1"/>
  <c r="BR2360" i="1"/>
  <c r="BO2360" i="1"/>
  <c r="BN2360" i="1"/>
  <c r="BM2360" i="1"/>
  <c r="BL2360" i="1"/>
  <c r="BK2360" i="1"/>
  <c r="BH2360" i="1"/>
  <c r="BJ2360" i="1" s="1"/>
  <c r="BF2360" i="1"/>
  <c r="BG2360" i="1" s="1"/>
  <c r="BE2360" i="1"/>
  <c r="BR2359" i="1"/>
  <c r="BO2359" i="1"/>
  <c r="BN2359" i="1"/>
  <c r="BM2359" i="1"/>
  <c r="BL2359" i="1"/>
  <c r="BK2359" i="1"/>
  <c r="BH2359" i="1"/>
  <c r="BF2359" i="1"/>
  <c r="BG2359" i="1" s="1"/>
  <c r="BE2359" i="1"/>
  <c r="BR2358" i="1"/>
  <c r="BO2358" i="1"/>
  <c r="BN2358" i="1"/>
  <c r="BM2358" i="1"/>
  <c r="BL2358" i="1"/>
  <c r="BK2358" i="1"/>
  <c r="BH2358" i="1"/>
  <c r="BJ2358" i="1" s="1"/>
  <c r="BF2358" i="1"/>
  <c r="BG2358" i="1" s="1"/>
  <c r="BE2358" i="1"/>
  <c r="BR2357" i="1"/>
  <c r="BO2357" i="1"/>
  <c r="BN2357" i="1"/>
  <c r="BM2357" i="1"/>
  <c r="BL2357" i="1"/>
  <c r="BK2357" i="1"/>
  <c r="BH2357" i="1"/>
  <c r="BJ2357" i="1" s="1"/>
  <c r="BF2357" i="1"/>
  <c r="BG2357" i="1" s="1"/>
  <c r="BE2357" i="1"/>
  <c r="BR2356" i="1"/>
  <c r="BO2356" i="1"/>
  <c r="BN2356" i="1"/>
  <c r="BM2356" i="1"/>
  <c r="BL2356" i="1"/>
  <c r="BK2356" i="1"/>
  <c r="BH2356" i="1"/>
  <c r="BJ2356" i="1" s="1"/>
  <c r="BF2356" i="1"/>
  <c r="BG2356" i="1" s="1"/>
  <c r="BE2356" i="1"/>
  <c r="BR2355" i="1"/>
  <c r="BO2355" i="1"/>
  <c r="BN2355" i="1"/>
  <c r="BM2355" i="1"/>
  <c r="BL2355" i="1"/>
  <c r="BK2355" i="1"/>
  <c r="BH2355" i="1"/>
  <c r="BF2355" i="1"/>
  <c r="BG2355" i="1" s="1"/>
  <c r="BE2355" i="1"/>
  <c r="BR2354" i="1"/>
  <c r="BO2354" i="1"/>
  <c r="BN2354" i="1"/>
  <c r="BM2354" i="1"/>
  <c r="BL2354" i="1"/>
  <c r="BK2354" i="1"/>
  <c r="BH2354" i="1"/>
  <c r="BJ2354" i="1" s="1"/>
  <c r="BF2354" i="1"/>
  <c r="BG2354" i="1" s="1"/>
  <c r="BE2354" i="1"/>
  <c r="BR2353" i="1"/>
  <c r="BO2353" i="1"/>
  <c r="BN2353" i="1"/>
  <c r="BM2353" i="1"/>
  <c r="BL2353" i="1"/>
  <c r="BK2353" i="1"/>
  <c r="BH2353" i="1"/>
  <c r="BI2353" i="1" s="1"/>
  <c r="BF2353" i="1"/>
  <c r="BG2353" i="1" s="1"/>
  <c r="BE2353" i="1"/>
  <c r="BR2352" i="1"/>
  <c r="BO2352" i="1"/>
  <c r="BN2352" i="1"/>
  <c r="BM2352" i="1"/>
  <c r="BL2352" i="1"/>
  <c r="BK2352" i="1"/>
  <c r="BH2352" i="1"/>
  <c r="BF2352" i="1"/>
  <c r="BG2352" i="1" s="1"/>
  <c r="BE2352" i="1"/>
  <c r="BR2351" i="1"/>
  <c r="BO2351" i="1"/>
  <c r="BN2351" i="1"/>
  <c r="BM2351" i="1"/>
  <c r="BL2351" i="1"/>
  <c r="BK2351" i="1"/>
  <c r="BH2351" i="1"/>
  <c r="BF2351" i="1"/>
  <c r="BG2351" i="1" s="1"/>
  <c r="BE2351" i="1"/>
  <c r="BR2350" i="1"/>
  <c r="BO2350" i="1"/>
  <c r="BN2350" i="1"/>
  <c r="BM2350" i="1"/>
  <c r="BL2350" i="1"/>
  <c r="BK2350" i="1"/>
  <c r="BH2350" i="1"/>
  <c r="BJ2350" i="1" s="1"/>
  <c r="BF2350" i="1"/>
  <c r="BG2350" i="1" s="1"/>
  <c r="BE2350" i="1"/>
  <c r="BR2349" i="1"/>
  <c r="BO2349" i="1"/>
  <c r="BN2349" i="1"/>
  <c r="BM2349" i="1"/>
  <c r="BL2349" i="1"/>
  <c r="BK2349" i="1"/>
  <c r="BH2349" i="1"/>
  <c r="BI2349" i="1" s="1"/>
  <c r="BF2349" i="1"/>
  <c r="BG2349" i="1" s="1"/>
  <c r="BE2349" i="1"/>
  <c r="BR2348" i="1"/>
  <c r="BO2348" i="1"/>
  <c r="BN2348" i="1"/>
  <c r="BM2348" i="1"/>
  <c r="BL2348" i="1"/>
  <c r="BK2348" i="1"/>
  <c r="BH2348" i="1"/>
  <c r="BJ2348" i="1" s="1"/>
  <c r="BF2348" i="1"/>
  <c r="BG2348" i="1" s="1"/>
  <c r="BE2348" i="1"/>
  <c r="BR2347" i="1"/>
  <c r="BO2347" i="1"/>
  <c r="BN2347" i="1"/>
  <c r="BM2347" i="1"/>
  <c r="BL2347" i="1"/>
  <c r="BK2347" i="1"/>
  <c r="BH2347" i="1"/>
  <c r="BF2347" i="1"/>
  <c r="BG2347" i="1" s="1"/>
  <c r="BE2347" i="1"/>
  <c r="BR2346" i="1"/>
  <c r="BO2346" i="1"/>
  <c r="BN2346" i="1"/>
  <c r="BM2346" i="1"/>
  <c r="BL2346" i="1"/>
  <c r="BK2346" i="1"/>
  <c r="BH2346" i="1"/>
  <c r="BJ2346" i="1" s="1"/>
  <c r="BF2346" i="1"/>
  <c r="BG2346" i="1" s="1"/>
  <c r="BE2346" i="1"/>
  <c r="BR2345" i="1"/>
  <c r="BO2345" i="1"/>
  <c r="BN2345" i="1"/>
  <c r="BM2345" i="1"/>
  <c r="BL2345" i="1"/>
  <c r="BK2345" i="1"/>
  <c r="BH2345" i="1"/>
  <c r="BI2345" i="1" s="1"/>
  <c r="BF2345" i="1"/>
  <c r="BG2345" i="1" s="1"/>
  <c r="BE2345" i="1"/>
  <c r="BR2344" i="1"/>
  <c r="BO2344" i="1"/>
  <c r="BN2344" i="1"/>
  <c r="BM2344" i="1"/>
  <c r="BL2344" i="1"/>
  <c r="BK2344" i="1"/>
  <c r="BH2344" i="1"/>
  <c r="BJ2344" i="1" s="1"/>
  <c r="BF2344" i="1"/>
  <c r="BG2344" i="1" s="1"/>
  <c r="BE2344" i="1"/>
  <c r="BR2343" i="1"/>
  <c r="BO2343" i="1"/>
  <c r="BN2343" i="1"/>
  <c r="BM2343" i="1"/>
  <c r="BL2343" i="1"/>
  <c r="BK2343" i="1"/>
  <c r="BH2343" i="1"/>
  <c r="BF2343" i="1"/>
  <c r="BG2343" i="1" s="1"/>
  <c r="BE2343" i="1"/>
  <c r="BR2342" i="1"/>
  <c r="BO2342" i="1"/>
  <c r="BN2342" i="1"/>
  <c r="BM2342" i="1"/>
  <c r="BL2342" i="1"/>
  <c r="BK2342" i="1"/>
  <c r="BH2342" i="1"/>
  <c r="BJ2342" i="1" s="1"/>
  <c r="BF2342" i="1"/>
  <c r="BG2342" i="1" s="1"/>
  <c r="BE2342" i="1"/>
  <c r="BR2341" i="1"/>
  <c r="BO2341" i="1"/>
  <c r="BN2341" i="1"/>
  <c r="BM2341" i="1"/>
  <c r="BL2341" i="1"/>
  <c r="BK2341" i="1"/>
  <c r="BH2341" i="1"/>
  <c r="BJ2341" i="1" s="1"/>
  <c r="BF2341" i="1"/>
  <c r="BG2341" i="1" s="1"/>
  <c r="BE2341" i="1"/>
  <c r="BR2340" i="1"/>
  <c r="BO2340" i="1"/>
  <c r="BN2340" i="1"/>
  <c r="BM2340" i="1"/>
  <c r="BL2340" i="1"/>
  <c r="BK2340" i="1"/>
  <c r="BH2340" i="1"/>
  <c r="BJ2340" i="1" s="1"/>
  <c r="BF2340" i="1"/>
  <c r="BG2340" i="1" s="1"/>
  <c r="BE2340" i="1"/>
  <c r="BR2339" i="1"/>
  <c r="BO2339" i="1"/>
  <c r="BN2339" i="1"/>
  <c r="BM2339" i="1"/>
  <c r="BL2339" i="1"/>
  <c r="BK2339" i="1"/>
  <c r="BH2339" i="1"/>
  <c r="BF2339" i="1"/>
  <c r="BG2339" i="1" s="1"/>
  <c r="BE2339" i="1"/>
  <c r="BR2338" i="1"/>
  <c r="BO2338" i="1"/>
  <c r="BN2338" i="1"/>
  <c r="BM2338" i="1"/>
  <c r="BL2338" i="1"/>
  <c r="BK2338" i="1"/>
  <c r="BH2338" i="1"/>
  <c r="BJ2338" i="1" s="1"/>
  <c r="BF2338" i="1"/>
  <c r="BG2338" i="1" s="1"/>
  <c r="BE2338" i="1"/>
  <c r="BR2337" i="1"/>
  <c r="BO2337" i="1"/>
  <c r="BN2337" i="1"/>
  <c r="BM2337" i="1"/>
  <c r="BL2337" i="1"/>
  <c r="BK2337" i="1"/>
  <c r="BH2337" i="1"/>
  <c r="BJ2337" i="1" s="1"/>
  <c r="BF2337" i="1"/>
  <c r="BG2337" i="1" s="1"/>
  <c r="BE2337" i="1"/>
  <c r="BR2336" i="1"/>
  <c r="BO2336" i="1"/>
  <c r="BN2336" i="1"/>
  <c r="BM2336" i="1"/>
  <c r="BL2336" i="1"/>
  <c r="BK2336" i="1"/>
  <c r="BH2336" i="1"/>
  <c r="BI2336" i="1" s="1"/>
  <c r="BF2336" i="1"/>
  <c r="BG2336" i="1" s="1"/>
  <c r="BE2336" i="1"/>
  <c r="BR2335" i="1"/>
  <c r="BO2335" i="1"/>
  <c r="BN2335" i="1"/>
  <c r="BM2335" i="1"/>
  <c r="BL2335" i="1"/>
  <c r="BK2335" i="1"/>
  <c r="BH2335" i="1"/>
  <c r="BF2335" i="1"/>
  <c r="BG2335" i="1" s="1"/>
  <c r="BE2335" i="1"/>
  <c r="BR2334" i="1"/>
  <c r="BO2334" i="1"/>
  <c r="BN2334" i="1"/>
  <c r="BM2334" i="1"/>
  <c r="BL2334" i="1"/>
  <c r="BK2334" i="1"/>
  <c r="BH2334" i="1"/>
  <c r="BI2334" i="1" s="1"/>
  <c r="BF2334" i="1"/>
  <c r="BG2334" i="1" s="1"/>
  <c r="BE2334" i="1"/>
  <c r="BR2333" i="1"/>
  <c r="BO2333" i="1"/>
  <c r="BN2333" i="1"/>
  <c r="BM2333" i="1"/>
  <c r="BL2333" i="1"/>
  <c r="BK2333" i="1"/>
  <c r="BH2333" i="1"/>
  <c r="BJ2333" i="1" s="1"/>
  <c r="BF2333" i="1"/>
  <c r="BG2333" i="1" s="1"/>
  <c r="BE2333" i="1"/>
  <c r="BR2332" i="1"/>
  <c r="BO2332" i="1"/>
  <c r="BN2332" i="1"/>
  <c r="BM2332" i="1"/>
  <c r="BL2332" i="1"/>
  <c r="BK2332" i="1"/>
  <c r="BH2332" i="1"/>
  <c r="BJ2332" i="1" s="1"/>
  <c r="BF2332" i="1"/>
  <c r="BG2332" i="1" s="1"/>
  <c r="BE2332" i="1"/>
  <c r="BR2331" i="1"/>
  <c r="BO2331" i="1"/>
  <c r="BN2331" i="1"/>
  <c r="BM2331" i="1"/>
  <c r="BL2331" i="1"/>
  <c r="BK2331" i="1"/>
  <c r="BH2331" i="1"/>
  <c r="BF2331" i="1"/>
  <c r="BG2331" i="1" s="1"/>
  <c r="BE2331" i="1"/>
  <c r="BR2330" i="1"/>
  <c r="BO2330" i="1"/>
  <c r="BN2330" i="1"/>
  <c r="BM2330" i="1"/>
  <c r="BL2330" i="1"/>
  <c r="BK2330" i="1"/>
  <c r="BH2330" i="1"/>
  <c r="BI2330" i="1" s="1"/>
  <c r="BF2330" i="1"/>
  <c r="BG2330" i="1" s="1"/>
  <c r="BE2330" i="1"/>
  <c r="BR2329" i="1"/>
  <c r="BO2329" i="1"/>
  <c r="BN2329" i="1"/>
  <c r="BM2329" i="1"/>
  <c r="BL2329" i="1"/>
  <c r="BK2329" i="1"/>
  <c r="BH2329" i="1"/>
  <c r="BJ2329" i="1" s="1"/>
  <c r="BF2329" i="1"/>
  <c r="BG2329" i="1" s="1"/>
  <c r="BE2329" i="1"/>
  <c r="BR2328" i="1"/>
  <c r="BO2328" i="1"/>
  <c r="BN2328" i="1"/>
  <c r="BM2328" i="1"/>
  <c r="BL2328" i="1"/>
  <c r="BK2328" i="1"/>
  <c r="BH2328" i="1"/>
  <c r="BJ2328" i="1" s="1"/>
  <c r="BF2328" i="1"/>
  <c r="BG2328" i="1" s="1"/>
  <c r="BE2328" i="1"/>
  <c r="BR2327" i="1"/>
  <c r="BO2327" i="1"/>
  <c r="BN2327" i="1"/>
  <c r="BM2327" i="1"/>
  <c r="BL2327" i="1"/>
  <c r="BK2327" i="1"/>
  <c r="BH2327" i="1"/>
  <c r="BF2327" i="1"/>
  <c r="BG2327" i="1" s="1"/>
  <c r="BE2327" i="1"/>
  <c r="BR2326" i="1"/>
  <c r="BO2326" i="1"/>
  <c r="BN2326" i="1"/>
  <c r="BM2326" i="1"/>
  <c r="BL2326" i="1"/>
  <c r="BK2326" i="1"/>
  <c r="BH2326" i="1"/>
  <c r="BI2326" i="1" s="1"/>
  <c r="BF2326" i="1"/>
  <c r="BG2326" i="1" s="1"/>
  <c r="BE2326" i="1"/>
  <c r="BR2325" i="1"/>
  <c r="BO2325" i="1"/>
  <c r="BN2325" i="1"/>
  <c r="BM2325" i="1"/>
  <c r="BL2325" i="1"/>
  <c r="BK2325" i="1"/>
  <c r="BH2325" i="1"/>
  <c r="BF2325" i="1"/>
  <c r="BG2325" i="1" s="1"/>
  <c r="BE2325" i="1"/>
  <c r="BR2324" i="1"/>
  <c r="BO2324" i="1"/>
  <c r="BN2324" i="1"/>
  <c r="BM2324" i="1"/>
  <c r="BL2324" i="1"/>
  <c r="BK2324" i="1"/>
  <c r="BH2324" i="1"/>
  <c r="BJ2324" i="1" s="1"/>
  <c r="BF2324" i="1"/>
  <c r="BG2324" i="1" s="1"/>
  <c r="BE2324" i="1"/>
  <c r="BR2323" i="1"/>
  <c r="BO2323" i="1"/>
  <c r="BN2323" i="1"/>
  <c r="BM2323" i="1"/>
  <c r="BL2323" i="1"/>
  <c r="BK2323" i="1"/>
  <c r="BH2323" i="1"/>
  <c r="BF2323" i="1"/>
  <c r="BG2323" i="1" s="1"/>
  <c r="BE2323" i="1"/>
  <c r="BR2322" i="1"/>
  <c r="BO2322" i="1"/>
  <c r="BN2322" i="1"/>
  <c r="BM2322" i="1"/>
  <c r="BL2322" i="1"/>
  <c r="BK2322" i="1"/>
  <c r="BH2322" i="1"/>
  <c r="BJ2322" i="1" s="1"/>
  <c r="BF2322" i="1"/>
  <c r="BG2322" i="1" s="1"/>
  <c r="BE2322" i="1"/>
  <c r="BR2321" i="1"/>
  <c r="BO2321" i="1"/>
  <c r="BN2321" i="1"/>
  <c r="BM2321" i="1"/>
  <c r="BL2321" i="1"/>
  <c r="BK2321" i="1"/>
  <c r="BH2321" i="1"/>
  <c r="BJ2321" i="1" s="1"/>
  <c r="BF2321" i="1"/>
  <c r="BG2321" i="1" s="1"/>
  <c r="BE2321" i="1"/>
  <c r="BR2320" i="1"/>
  <c r="BO2320" i="1"/>
  <c r="BN2320" i="1"/>
  <c r="BM2320" i="1"/>
  <c r="BL2320" i="1"/>
  <c r="BK2320" i="1"/>
  <c r="BH2320" i="1"/>
  <c r="BI2320" i="1" s="1"/>
  <c r="BF2320" i="1"/>
  <c r="BG2320" i="1" s="1"/>
  <c r="BE2320" i="1"/>
  <c r="BR2319" i="1"/>
  <c r="BO2319" i="1"/>
  <c r="BN2319" i="1"/>
  <c r="BM2319" i="1"/>
  <c r="BL2319" i="1"/>
  <c r="BK2319" i="1"/>
  <c r="BH2319" i="1"/>
  <c r="BF2319" i="1"/>
  <c r="BG2319" i="1" s="1"/>
  <c r="BE2319" i="1"/>
  <c r="BR2318" i="1"/>
  <c r="BO2318" i="1"/>
  <c r="BN2318" i="1"/>
  <c r="BM2318" i="1"/>
  <c r="BL2318" i="1"/>
  <c r="BK2318" i="1"/>
  <c r="BH2318" i="1"/>
  <c r="BI2318" i="1" s="1"/>
  <c r="BF2318" i="1"/>
  <c r="BG2318" i="1" s="1"/>
  <c r="BE2318" i="1"/>
  <c r="BR2317" i="1"/>
  <c r="BO2317" i="1"/>
  <c r="BN2317" i="1"/>
  <c r="BM2317" i="1"/>
  <c r="BL2317" i="1"/>
  <c r="BK2317" i="1"/>
  <c r="BH2317" i="1"/>
  <c r="BF2317" i="1"/>
  <c r="BG2317" i="1" s="1"/>
  <c r="BE2317" i="1"/>
  <c r="BR2316" i="1"/>
  <c r="BO2316" i="1"/>
  <c r="BN2316" i="1"/>
  <c r="BM2316" i="1"/>
  <c r="BL2316" i="1"/>
  <c r="BK2316" i="1"/>
  <c r="BH2316" i="1"/>
  <c r="BJ2316" i="1" s="1"/>
  <c r="BF2316" i="1"/>
  <c r="BG2316" i="1" s="1"/>
  <c r="BE2316" i="1"/>
  <c r="BR2315" i="1"/>
  <c r="BO2315" i="1"/>
  <c r="BN2315" i="1"/>
  <c r="BM2315" i="1"/>
  <c r="BL2315" i="1"/>
  <c r="BK2315" i="1"/>
  <c r="BH2315" i="1"/>
  <c r="BJ2315" i="1" s="1"/>
  <c r="BF2315" i="1"/>
  <c r="BG2315" i="1" s="1"/>
  <c r="BE2315" i="1"/>
  <c r="BR2314" i="1"/>
  <c r="BO2314" i="1"/>
  <c r="BN2314" i="1"/>
  <c r="BM2314" i="1"/>
  <c r="BL2314" i="1"/>
  <c r="BK2314" i="1"/>
  <c r="BH2314" i="1"/>
  <c r="BJ2314" i="1" s="1"/>
  <c r="BF2314" i="1"/>
  <c r="BG2314" i="1" s="1"/>
  <c r="BE2314" i="1"/>
  <c r="BR2313" i="1"/>
  <c r="BO2313" i="1"/>
  <c r="BN2313" i="1"/>
  <c r="BM2313" i="1"/>
  <c r="BL2313" i="1"/>
  <c r="BK2313" i="1"/>
  <c r="BH2313" i="1"/>
  <c r="BJ2313" i="1" s="1"/>
  <c r="BF2313" i="1"/>
  <c r="BG2313" i="1" s="1"/>
  <c r="BE2313" i="1"/>
  <c r="BR2312" i="1"/>
  <c r="BO2312" i="1"/>
  <c r="BN2312" i="1"/>
  <c r="BM2312" i="1"/>
  <c r="BL2312" i="1"/>
  <c r="BK2312" i="1"/>
  <c r="BH2312" i="1"/>
  <c r="BI2312" i="1" s="1"/>
  <c r="BF2312" i="1"/>
  <c r="BG2312" i="1" s="1"/>
  <c r="BE2312" i="1"/>
  <c r="BR2311" i="1"/>
  <c r="BO2311" i="1"/>
  <c r="BN2311" i="1"/>
  <c r="BM2311" i="1"/>
  <c r="BL2311" i="1"/>
  <c r="BK2311" i="1"/>
  <c r="BH2311" i="1"/>
  <c r="BF2311" i="1"/>
  <c r="BG2311" i="1" s="1"/>
  <c r="BE2311" i="1"/>
  <c r="BR2310" i="1"/>
  <c r="BO2310" i="1"/>
  <c r="BN2310" i="1"/>
  <c r="BM2310" i="1"/>
  <c r="BL2310" i="1"/>
  <c r="BK2310" i="1"/>
  <c r="BH2310" i="1"/>
  <c r="BI2310" i="1" s="1"/>
  <c r="BF2310" i="1"/>
  <c r="BG2310" i="1" s="1"/>
  <c r="BE2310" i="1"/>
  <c r="BR2309" i="1"/>
  <c r="BO2309" i="1"/>
  <c r="BN2309" i="1"/>
  <c r="BM2309" i="1"/>
  <c r="BL2309" i="1"/>
  <c r="BK2309" i="1"/>
  <c r="BH2309" i="1"/>
  <c r="BF2309" i="1"/>
  <c r="BG2309" i="1" s="1"/>
  <c r="BE2309" i="1"/>
  <c r="BR2308" i="1"/>
  <c r="BO2308" i="1"/>
  <c r="BN2308" i="1"/>
  <c r="BM2308" i="1"/>
  <c r="BL2308" i="1"/>
  <c r="BK2308" i="1"/>
  <c r="BH2308" i="1"/>
  <c r="BJ2308" i="1" s="1"/>
  <c r="BF2308" i="1"/>
  <c r="BG2308" i="1" s="1"/>
  <c r="BE2308" i="1"/>
  <c r="BR2307" i="1"/>
  <c r="BO2307" i="1"/>
  <c r="BN2307" i="1"/>
  <c r="BM2307" i="1"/>
  <c r="BL2307" i="1"/>
  <c r="BK2307" i="1"/>
  <c r="BH2307" i="1"/>
  <c r="BJ2307" i="1" s="1"/>
  <c r="BF2307" i="1"/>
  <c r="BG2307" i="1" s="1"/>
  <c r="BE2307" i="1"/>
  <c r="BR2306" i="1"/>
  <c r="BO2306" i="1"/>
  <c r="BN2306" i="1"/>
  <c r="BM2306" i="1"/>
  <c r="BL2306" i="1"/>
  <c r="BK2306" i="1"/>
  <c r="BH2306" i="1"/>
  <c r="BJ2306" i="1" s="1"/>
  <c r="BF2306" i="1"/>
  <c r="BG2306" i="1" s="1"/>
  <c r="BE2306" i="1"/>
  <c r="BR2305" i="1"/>
  <c r="BO2305" i="1"/>
  <c r="BN2305" i="1"/>
  <c r="BM2305" i="1"/>
  <c r="BL2305" i="1"/>
  <c r="BK2305" i="1"/>
  <c r="BH2305" i="1"/>
  <c r="BJ2305" i="1" s="1"/>
  <c r="BF2305" i="1"/>
  <c r="BG2305" i="1" s="1"/>
  <c r="BE2305" i="1"/>
  <c r="BR2304" i="1"/>
  <c r="BO2304" i="1"/>
  <c r="BN2304" i="1"/>
  <c r="BM2304" i="1"/>
  <c r="BL2304" i="1"/>
  <c r="BK2304" i="1"/>
  <c r="BH2304" i="1"/>
  <c r="BJ2304" i="1" s="1"/>
  <c r="BF2304" i="1"/>
  <c r="BG2304" i="1" s="1"/>
  <c r="BE2304" i="1"/>
  <c r="BR2303" i="1"/>
  <c r="BO2303" i="1"/>
  <c r="BN2303" i="1"/>
  <c r="BM2303" i="1"/>
  <c r="BL2303" i="1"/>
  <c r="BK2303" i="1"/>
  <c r="BH2303" i="1"/>
  <c r="BF2303" i="1"/>
  <c r="BG2303" i="1" s="1"/>
  <c r="BE2303" i="1"/>
  <c r="BR2302" i="1"/>
  <c r="BO2302" i="1"/>
  <c r="BN2302" i="1"/>
  <c r="BM2302" i="1"/>
  <c r="BL2302" i="1"/>
  <c r="BK2302" i="1"/>
  <c r="BH2302" i="1"/>
  <c r="BI2302" i="1" s="1"/>
  <c r="BF2302" i="1"/>
  <c r="BG2302" i="1" s="1"/>
  <c r="BE2302" i="1"/>
  <c r="BR2301" i="1"/>
  <c r="BO2301" i="1"/>
  <c r="BN2301" i="1"/>
  <c r="BM2301" i="1"/>
  <c r="BL2301" i="1"/>
  <c r="BK2301" i="1"/>
  <c r="BH2301" i="1"/>
  <c r="BF2301" i="1"/>
  <c r="BG2301" i="1" s="1"/>
  <c r="BE2301" i="1"/>
  <c r="BR2300" i="1"/>
  <c r="BO2300" i="1"/>
  <c r="BN2300" i="1"/>
  <c r="BM2300" i="1"/>
  <c r="BL2300" i="1"/>
  <c r="BK2300" i="1"/>
  <c r="BH2300" i="1"/>
  <c r="BJ2300" i="1" s="1"/>
  <c r="BF2300" i="1"/>
  <c r="BG2300" i="1" s="1"/>
  <c r="BE2300" i="1"/>
  <c r="BR2299" i="1"/>
  <c r="BO2299" i="1"/>
  <c r="BN2299" i="1"/>
  <c r="BM2299" i="1"/>
  <c r="BL2299" i="1"/>
  <c r="BK2299" i="1"/>
  <c r="BH2299" i="1"/>
  <c r="BJ2299" i="1" s="1"/>
  <c r="BF2299" i="1"/>
  <c r="BG2299" i="1" s="1"/>
  <c r="BE2299" i="1"/>
  <c r="BR2298" i="1"/>
  <c r="BO2298" i="1"/>
  <c r="BN2298" i="1"/>
  <c r="BM2298" i="1"/>
  <c r="BL2298" i="1"/>
  <c r="BK2298" i="1"/>
  <c r="BH2298" i="1"/>
  <c r="BJ2298" i="1" s="1"/>
  <c r="BF2298" i="1"/>
  <c r="BG2298" i="1" s="1"/>
  <c r="BE2298" i="1"/>
  <c r="BR2297" i="1"/>
  <c r="BO2297" i="1"/>
  <c r="BN2297" i="1"/>
  <c r="BM2297" i="1"/>
  <c r="BL2297" i="1"/>
  <c r="BK2297" i="1"/>
  <c r="BH2297" i="1"/>
  <c r="BJ2297" i="1" s="1"/>
  <c r="BF2297" i="1"/>
  <c r="BG2297" i="1" s="1"/>
  <c r="BE2297" i="1"/>
  <c r="BR2296" i="1"/>
  <c r="BO2296" i="1"/>
  <c r="BN2296" i="1"/>
  <c r="BM2296" i="1"/>
  <c r="BL2296" i="1"/>
  <c r="BK2296" i="1"/>
  <c r="BH2296" i="1"/>
  <c r="BJ2296" i="1" s="1"/>
  <c r="BF2296" i="1"/>
  <c r="BG2296" i="1" s="1"/>
  <c r="BE2296" i="1"/>
  <c r="BR2295" i="1"/>
  <c r="BO2295" i="1"/>
  <c r="BN2295" i="1"/>
  <c r="BM2295" i="1"/>
  <c r="BL2295" i="1"/>
  <c r="BK2295" i="1"/>
  <c r="BH2295" i="1"/>
  <c r="BF2295" i="1"/>
  <c r="BG2295" i="1" s="1"/>
  <c r="BE2295" i="1"/>
  <c r="BR2294" i="1"/>
  <c r="BO2294" i="1"/>
  <c r="BN2294" i="1"/>
  <c r="BM2294" i="1"/>
  <c r="BL2294" i="1"/>
  <c r="BK2294" i="1"/>
  <c r="BH2294" i="1"/>
  <c r="BI2294" i="1" s="1"/>
  <c r="BF2294" i="1"/>
  <c r="BG2294" i="1" s="1"/>
  <c r="BE2294" i="1"/>
  <c r="BR2293" i="1"/>
  <c r="BO2293" i="1"/>
  <c r="BN2293" i="1"/>
  <c r="BM2293" i="1"/>
  <c r="BL2293" i="1"/>
  <c r="BK2293" i="1"/>
  <c r="BH2293" i="1"/>
  <c r="BF2293" i="1"/>
  <c r="BG2293" i="1" s="1"/>
  <c r="BE2293" i="1"/>
  <c r="BR2292" i="1"/>
  <c r="BO2292" i="1"/>
  <c r="BN2292" i="1"/>
  <c r="BM2292" i="1"/>
  <c r="BL2292" i="1"/>
  <c r="BK2292" i="1"/>
  <c r="BH2292" i="1"/>
  <c r="BJ2292" i="1" s="1"/>
  <c r="BF2292" i="1"/>
  <c r="BG2292" i="1" s="1"/>
  <c r="BE2292" i="1"/>
  <c r="BR2291" i="1"/>
  <c r="BO2291" i="1"/>
  <c r="BN2291" i="1"/>
  <c r="BM2291" i="1"/>
  <c r="BL2291" i="1"/>
  <c r="BK2291" i="1"/>
  <c r="BH2291" i="1"/>
  <c r="BJ2291" i="1" s="1"/>
  <c r="BF2291" i="1"/>
  <c r="BG2291" i="1" s="1"/>
  <c r="BE2291" i="1"/>
  <c r="BR2290" i="1"/>
  <c r="BO2290" i="1"/>
  <c r="BN2290" i="1"/>
  <c r="BM2290" i="1"/>
  <c r="BL2290" i="1"/>
  <c r="BK2290" i="1"/>
  <c r="BH2290" i="1"/>
  <c r="BJ2290" i="1" s="1"/>
  <c r="BF2290" i="1"/>
  <c r="BG2290" i="1" s="1"/>
  <c r="BE2290" i="1"/>
  <c r="BR2289" i="1"/>
  <c r="BO2289" i="1"/>
  <c r="BN2289" i="1"/>
  <c r="BM2289" i="1"/>
  <c r="BL2289" i="1"/>
  <c r="BK2289" i="1"/>
  <c r="BH2289" i="1"/>
  <c r="BJ2289" i="1" s="1"/>
  <c r="BF2289" i="1"/>
  <c r="BG2289" i="1" s="1"/>
  <c r="BE2289" i="1"/>
  <c r="BR2288" i="1"/>
  <c r="BO2288" i="1"/>
  <c r="BN2288" i="1"/>
  <c r="BM2288" i="1"/>
  <c r="BL2288" i="1"/>
  <c r="BK2288" i="1"/>
  <c r="BH2288" i="1"/>
  <c r="BJ2288" i="1" s="1"/>
  <c r="BF2288" i="1"/>
  <c r="BG2288" i="1" s="1"/>
  <c r="BE2288" i="1"/>
  <c r="BR2287" i="1"/>
  <c r="BO2287" i="1"/>
  <c r="BN2287" i="1"/>
  <c r="BM2287" i="1"/>
  <c r="BL2287" i="1"/>
  <c r="BK2287" i="1"/>
  <c r="BH2287" i="1"/>
  <c r="BF2287" i="1"/>
  <c r="BG2287" i="1" s="1"/>
  <c r="BE2287" i="1"/>
  <c r="BR2286" i="1"/>
  <c r="BO2286" i="1"/>
  <c r="BN2286" i="1"/>
  <c r="BM2286" i="1"/>
  <c r="BL2286" i="1"/>
  <c r="BK2286" i="1"/>
  <c r="BH2286" i="1"/>
  <c r="BI2286" i="1" s="1"/>
  <c r="BF2286" i="1"/>
  <c r="BG2286" i="1" s="1"/>
  <c r="BE2286" i="1"/>
  <c r="BR2285" i="1"/>
  <c r="BO2285" i="1"/>
  <c r="BN2285" i="1"/>
  <c r="BM2285" i="1"/>
  <c r="BL2285" i="1"/>
  <c r="BK2285" i="1"/>
  <c r="BH2285" i="1"/>
  <c r="BF2285" i="1"/>
  <c r="BG2285" i="1" s="1"/>
  <c r="BE2285" i="1"/>
  <c r="BR2284" i="1"/>
  <c r="BO2284" i="1"/>
  <c r="BN2284" i="1"/>
  <c r="BM2284" i="1"/>
  <c r="BL2284" i="1"/>
  <c r="BK2284" i="1"/>
  <c r="BH2284" i="1"/>
  <c r="BF2284" i="1"/>
  <c r="BG2284" i="1" s="1"/>
  <c r="BE2284" i="1"/>
  <c r="BR2283" i="1"/>
  <c r="BO2283" i="1"/>
  <c r="BN2283" i="1"/>
  <c r="BM2283" i="1"/>
  <c r="BL2283" i="1"/>
  <c r="BK2283" i="1"/>
  <c r="BH2283" i="1"/>
  <c r="BJ2283" i="1" s="1"/>
  <c r="BF2283" i="1"/>
  <c r="BG2283" i="1" s="1"/>
  <c r="BE2283" i="1"/>
  <c r="BR2282" i="1"/>
  <c r="BO2282" i="1"/>
  <c r="BN2282" i="1"/>
  <c r="BM2282" i="1"/>
  <c r="BL2282" i="1"/>
  <c r="BK2282" i="1"/>
  <c r="BH2282" i="1"/>
  <c r="BI2282" i="1" s="1"/>
  <c r="BF2282" i="1"/>
  <c r="BG2282" i="1" s="1"/>
  <c r="BE2282" i="1"/>
  <c r="BR2281" i="1"/>
  <c r="BO2281" i="1"/>
  <c r="BN2281" i="1"/>
  <c r="BM2281" i="1"/>
  <c r="BL2281" i="1"/>
  <c r="BK2281" i="1"/>
  <c r="BH2281" i="1"/>
  <c r="BJ2281" i="1" s="1"/>
  <c r="BF2281" i="1"/>
  <c r="BG2281" i="1" s="1"/>
  <c r="BE2281" i="1"/>
  <c r="BR2280" i="1"/>
  <c r="BO2280" i="1"/>
  <c r="BN2280" i="1"/>
  <c r="BM2280" i="1"/>
  <c r="BL2280" i="1"/>
  <c r="BK2280" i="1"/>
  <c r="BH2280" i="1"/>
  <c r="BI2280" i="1" s="1"/>
  <c r="BF2280" i="1"/>
  <c r="BG2280" i="1" s="1"/>
  <c r="BE2280" i="1"/>
  <c r="BR2279" i="1"/>
  <c r="BO2279" i="1"/>
  <c r="BN2279" i="1"/>
  <c r="BM2279" i="1"/>
  <c r="BL2279" i="1"/>
  <c r="BK2279" i="1"/>
  <c r="BH2279" i="1"/>
  <c r="BF2279" i="1"/>
  <c r="BG2279" i="1" s="1"/>
  <c r="BE2279" i="1"/>
  <c r="BR2278" i="1"/>
  <c r="BO2278" i="1"/>
  <c r="BN2278" i="1"/>
  <c r="BM2278" i="1"/>
  <c r="BL2278" i="1"/>
  <c r="BK2278" i="1"/>
  <c r="BH2278" i="1"/>
  <c r="BI2278" i="1" s="1"/>
  <c r="BF2278" i="1"/>
  <c r="BG2278" i="1" s="1"/>
  <c r="BE2278" i="1"/>
  <c r="BR2277" i="1"/>
  <c r="BO2277" i="1"/>
  <c r="BN2277" i="1"/>
  <c r="BM2277" i="1"/>
  <c r="BL2277" i="1"/>
  <c r="BK2277" i="1"/>
  <c r="BH2277" i="1"/>
  <c r="BF2277" i="1"/>
  <c r="BG2277" i="1" s="1"/>
  <c r="BE2277" i="1"/>
  <c r="BR2276" i="1"/>
  <c r="BO2276" i="1"/>
  <c r="BN2276" i="1"/>
  <c r="BM2276" i="1"/>
  <c r="BL2276" i="1"/>
  <c r="BK2276" i="1"/>
  <c r="BH2276" i="1"/>
  <c r="BJ2276" i="1" s="1"/>
  <c r="BF2276" i="1"/>
  <c r="BG2276" i="1" s="1"/>
  <c r="BE2276" i="1"/>
  <c r="BR2275" i="1"/>
  <c r="BO2275" i="1"/>
  <c r="BN2275" i="1"/>
  <c r="BM2275" i="1"/>
  <c r="BL2275" i="1"/>
  <c r="BK2275" i="1"/>
  <c r="BH2275" i="1"/>
  <c r="BJ2275" i="1" s="1"/>
  <c r="BF2275" i="1"/>
  <c r="BG2275" i="1" s="1"/>
  <c r="BE2275" i="1"/>
  <c r="BR2274" i="1"/>
  <c r="BO2274" i="1"/>
  <c r="BN2274" i="1"/>
  <c r="BM2274" i="1"/>
  <c r="BL2274" i="1"/>
  <c r="BK2274" i="1"/>
  <c r="BH2274" i="1"/>
  <c r="BJ2274" i="1" s="1"/>
  <c r="BF2274" i="1"/>
  <c r="BG2274" i="1" s="1"/>
  <c r="BE2274" i="1"/>
  <c r="BR2273" i="1"/>
  <c r="BO2273" i="1"/>
  <c r="BN2273" i="1"/>
  <c r="BM2273" i="1"/>
  <c r="BL2273" i="1"/>
  <c r="BK2273" i="1"/>
  <c r="BH2273" i="1"/>
  <c r="BJ2273" i="1" s="1"/>
  <c r="BF2273" i="1"/>
  <c r="BG2273" i="1" s="1"/>
  <c r="BE2273" i="1"/>
  <c r="BR2272" i="1"/>
  <c r="BO2272" i="1"/>
  <c r="BN2272" i="1"/>
  <c r="BM2272" i="1"/>
  <c r="BL2272" i="1"/>
  <c r="BK2272" i="1"/>
  <c r="BH2272" i="1"/>
  <c r="BJ2272" i="1" s="1"/>
  <c r="BF2272" i="1"/>
  <c r="BG2272" i="1" s="1"/>
  <c r="BE2272" i="1"/>
  <c r="BR2271" i="1"/>
  <c r="BO2271" i="1"/>
  <c r="BN2271" i="1"/>
  <c r="BM2271" i="1"/>
  <c r="BL2271" i="1"/>
  <c r="BK2271" i="1"/>
  <c r="BH2271" i="1"/>
  <c r="BF2271" i="1"/>
  <c r="BG2271" i="1" s="1"/>
  <c r="BE2271" i="1"/>
  <c r="BR2270" i="1"/>
  <c r="BO2270" i="1"/>
  <c r="BN2270" i="1"/>
  <c r="BM2270" i="1"/>
  <c r="BL2270" i="1"/>
  <c r="BK2270" i="1"/>
  <c r="BH2270" i="1"/>
  <c r="BI2270" i="1" s="1"/>
  <c r="BF2270" i="1"/>
  <c r="BG2270" i="1" s="1"/>
  <c r="BE2270" i="1"/>
  <c r="BR2269" i="1"/>
  <c r="BO2269" i="1"/>
  <c r="BN2269" i="1"/>
  <c r="BM2269" i="1"/>
  <c r="BL2269" i="1"/>
  <c r="BK2269" i="1"/>
  <c r="BH2269" i="1"/>
  <c r="BF2269" i="1"/>
  <c r="BG2269" i="1" s="1"/>
  <c r="BE2269" i="1"/>
  <c r="BR2268" i="1"/>
  <c r="BO2268" i="1"/>
  <c r="BN2268" i="1"/>
  <c r="BM2268" i="1"/>
  <c r="BL2268" i="1"/>
  <c r="BK2268" i="1"/>
  <c r="BH2268" i="1"/>
  <c r="BJ2268" i="1" s="1"/>
  <c r="BF2268" i="1"/>
  <c r="BG2268" i="1" s="1"/>
  <c r="BE2268" i="1"/>
  <c r="BR2267" i="1"/>
  <c r="BO2267" i="1"/>
  <c r="BN2267" i="1"/>
  <c r="BM2267" i="1"/>
  <c r="BL2267" i="1"/>
  <c r="BK2267" i="1"/>
  <c r="BH2267" i="1"/>
  <c r="BJ2267" i="1" s="1"/>
  <c r="BF2267" i="1"/>
  <c r="BG2267" i="1" s="1"/>
  <c r="BE2267" i="1"/>
  <c r="BR2266" i="1"/>
  <c r="BO2266" i="1"/>
  <c r="BN2266" i="1"/>
  <c r="BM2266" i="1"/>
  <c r="BL2266" i="1"/>
  <c r="BK2266" i="1"/>
  <c r="BH2266" i="1"/>
  <c r="BJ2266" i="1" s="1"/>
  <c r="BF2266" i="1"/>
  <c r="BG2266" i="1" s="1"/>
  <c r="BE2266" i="1"/>
  <c r="BR2265" i="1"/>
  <c r="BO2265" i="1"/>
  <c r="BN2265" i="1"/>
  <c r="BM2265" i="1"/>
  <c r="BL2265" i="1"/>
  <c r="BK2265" i="1"/>
  <c r="BH2265" i="1"/>
  <c r="BJ2265" i="1" s="1"/>
  <c r="BF2265" i="1"/>
  <c r="BG2265" i="1" s="1"/>
  <c r="BE2265" i="1"/>
  <c r="BR2264" i="1"/>
  <c r="BO2264" i="1"/>
  <c r="BN2264" i="1"/>
  <c r="BM2264" i="1"/>
  <c r="BL2264" i="1"/>
  <c r="BK2264" i="1"/>
  <c r="BH2264" i="1"/>
  <c r="BJ2264" i="1" s="1"/>
  <c r="BF2264" i="1"/>
  <c r="BG2264" i="1" s="1"/>
  <c r="BE2264" i="1"/>
  <c r="BR2263" i="1"/>
  <c r="BO2263" i="1"/>
  <c r="BN2263" i="1"/>
  <c r="BM2263" i="1"/>
  <c r="BL2263" i="1"/>
  <c r="BK2263" i="1"/>
  <c r="BH2263" i="1"/>
  <c r="BF2263" i="1"/>
  <c r="BG2263" i="1" s="1"/>
  <c r="BE2263" i="1"/>
  <c r="BR2262" i="1"/>
  <c r="BO2262" i="1"/>
  <c r="BN2262" i="1"/>
  <c r="BM2262" i="1"/>
  <c r="BL2262" i="1"/>
  <c r="BK2262" i="1"/>
  <c r="BH2262" i="1"/>
  <c r="BI2262" i="1" s="1"/>
  <c r="BF2262" i="1"/>
  <c r="BG2262" i="1" s="1"/>
  <c r="BE2262" i="1"/>
  <c r="BR2261" i="1"/>
  <c r="BO2261" i="1"/>
  <c r="BN2261" i="1"/>
  <c r="BM2261" i="1"/>
  <c r="BL2261" i="1"/>
  <c r="BK2261" i="1"/>
  <c r="BH2261" i="1"/>
  <c r="BJ2261" i="1" s="1"/>
  <c r="BF2261" i="1"/>
  <c r="BG2261" i="1" s="1"/>
  <c r="BE2261" i="1"/>
  <c r="BR2260" i="1"/>
  <c r="BO2260" i="1"/>
  <c r="BN2260" i="1"/>
  <c r="BM2260" i="1"/>
  <c r="BL2260" i="1"/>
  <c r="BK2260" i="1"/>
  <c r="BH2260" i="1"/>
  <c r="BI2260" i="1" s="1"/>
  <c r="BF2260" i="1"/>
  <c r="BG2260" i="1" s="1"/>
  <c r="BE2260" i="1"/>
  <c r="BR2259" i="1"/>
  <c r="BO2259" i="1"/>
  <c r="BN2259" i="1"/>
  <c r="BM2259" i="1"/>
  <c r="BL2259" i="1"/>
  <c r="BK2259" i="1"/>
  <c r="BH2259" i="1"/>
  <c r="BJ2259" i="1" s="1"/>
  <c r="BF2259" i="1"/>
  <c r="BG2259" i="1" s="1"/>
  <c r="BE2259" i="1"/>
  <c r="BR2258" i="1"/>
  <c r="BO2258" i="1"/>
  <c r="BN2258" i="1"/>
  <c r="BM2258" i="1"/>
  <c r="BL2258" i="1"/>
  <c r="BK2258" i="1"/>
  <c r="BH2258" i="1"/>
  <c r="BF2258" i="1"/>
  <c r="BG2258" i="1" s="1"/>
  <c r="BE2258" i="1"/>
  <c r="BR2257" i="1"/>
  <c r="BO2257" i="1"/>
  <c r="BN2257" i="1"/>
  <c r="BM2257" i="1"/>
  <c r="BL2257" i="1"/>
  <c r="BK2257" i="1"/>
  <c r="BH2257" i="1"/>
  <c r="BJ2257" i="1" s="1"/>
  <c r="BF2257" i="1"/>
  <c r="BG2257" i="1" s="1"/>
  <c r="BE2257" i="1"/>
  <c r="BR2256" i="1"/>
  <c r="BO2256" i="1"/>
  <c r="BN2256" i="1"/>
  <c r="BM2256" i="1"/>
  <c r="BL2256" i="1"/>
  <c r="BK2256" i="1"/>
  <c r="BH2256" i="1"/>
  <c r="BJ2256" i="1" s="1"/>
  <c r="BF2256" i="1"/>
  <c r="BG2256" i="1" s="1"/>
  <c r="BE2256" i="1"/>
  <c r="BR2255" i="1"/>
  <c r="BO2255" i="1"/>
  <c r="BN2255" i="1"/>
  <c r="BM2255" i="1"/>
  <c r="BL2255" i="1"/>
  <c r="BK2255" i="1"/>
  <c r="BH2255" i="1"/>
  <c r="BJ2255" i="1" s="1"/>
  <c r="BF2255" i="1"/>
  <c r="BG2255" i="1" s="1"/>
  <c r="BE2255" i="1"/>
  <c r="BR2254" i="1"/>
  <c r="BO2254" i="1"/>
  <c r="BN2254" i="1"/>
  <c r="BM2254" i="1"/>
  <c r="BL2254" i="1"/>
  <c r="BK2254" i="1"/>
  <c r="BH2254" i="1"/>
  <c r="BI2254" i="1" s="1"/>
  <c r="BF2254" i="1"/>
  <c r="BG2254" i="1" s="1"/>
  <c r="BE2254" i="1"/>
  <c r="BR2253" i="1"/>
  <c r="BO2253" i="1"/>
  <c r="BN2253" i="1"/>
  <c r="BM2253" i="1"/>
  <c r="BL2253" i="1"/>
  <c r="BK2253" i="1"/>
  <c r="BH2253" i="1"/>
  <c r="BJ2253" i="1" s="1"/>
  <c r="BF2253" i="1"/>
  <c r="BG2253" i="1" s="1"/>
  <c r="BE2253" i="1"/>
  <c r="BR2252" i="1"/>
  <c r="BO2252" i="1"/>
  <c r="BN2252" i="1"/>
  <c r="BM2252" i="1"/>
  <c r="BL2252" i="1"/>
  <c r="BK2252" i="1"/>
  <c r="BH2252" i="1"/>
  <c r="BI2252" i="1" s="1"/>
  <c r="BF2252" i="1"/>
  <c r="BG2252" i="1" s="1"/>
  <c r="BE2252" i="1"/>
  <c r="BR2251" i="1"/>
  <c r="BO2251" i="1"/>
  <c r="BN2251" i="1"/>
  <c r="BM2251" i="1"/>
  <c r="BL2251" i="1"/>
  <c r="BK2251" i="1"/>
  <c r="BH2251" i="1"/>
  <c r="BJ2251" i="1" s="1"/>
  <c r="BF2251" i="1"/>
  <c r="BG2251" i="1" s="1"/>
  <c r="BE2251" i="1"/>
  <c r="BR2250" i="1"/>
  <c r="BO2250" i="1"/>
  <c r="BN2250" i="1"/>
  <c r="BM2250" i="1"/>
  <c r="BL2250" i="1"/>
  <c r="BK2250" i="1"/>
  <c r="BH2250" i="1"/>
  <c r="BF2250" i="1"/>
  <c r="BG2250" i="1" s="1"/>
  <c r="BE2250" i="1"/>
  <c r="BR2249" i="1"/>
  <c r="BO2249" i="1"/>
  <c r="BN2249" i="1"/>
  <c r="BM2249" i="1"/>
  <c r="BL2249" i="1"/>
  <c r="BK2249" i="1"/>
  <c r="BH2249" i="1"/>
  <c r="BJ2249" i="1" s="1"/>
  <c r="BF2249" i="1"/>
  <c r="BG2249" i="1" s="1"/>
  <c r="BE2249" i="1"/>
  <c r="BR2248" i="1"/>
  <c r="BO2248" i="1"/>
  <c r="BN2248" i="1"/>
  <c r="BM2248" i="1"/>
  <c r="BL2248" i="1"/>
  <c r="BK2248" i="1"/>
  <c r="BH2248" i="1"/>
  <c r="BJ2248" i="1" s="1"/>
  <c r="BF2248" i="1"/>
  <c r="BG2248" i="1" s="1"/>
  <c r="BE2248" i="1"/>
  <c r="BR2247" i="1"/>
  <c r="BO2247" i="1"/>
  <c r="BN2247" i="1"/>
  <c r="BM2247" i="1"/>
  <c r="BL2247" i="1"/>
  <c r="BK2247" i="1"/>
  <c r="BH2247" i="1"/>
  <c r="BJ2247" i="1" s="1"/>
  <c r="BF2247" i="1"/>
  <c r="BG2247" i="1" s="1"/>
  <c r="BE2247" i="1"/>
  <c r="BR2246" i="1"/>
  <c r="BO2246" i="1"/>
  <c r="BN2246" i="1"/>
  <c r="BM2246" i="1"/>
  <c r="BL2246" i="1"/>
  <c r="BK2246" i="1"/>
  <c r="BH2246" i="1"/>
  <c r="BI2246" i="1" s="1"/>
  <c r="BF2246" i="1"/>
  <c r="BG2246" i="1" s="1"/>
  <c r="BE2246" i="1"/>
  <c r="BR2245" i="1"/>
  <c r="BO2245" i="1"/>
  <c r="BN2245" i="1"/>
  <c r="BM2245" i="1"/>
  <c r="BL2245" i="1"/>
  <c r="BK2245" i="1"/>
  <c r="BH2245" i="1"/>
  <c r="BJ2245" i="1" s="1"/>
  <c r="BF2245" i="1"/>
  <c r="BG2245" i="1" s="1"/>
  <c r="BE2245" i="1"/>
  <c r="BR2244" i="1"/>
  <c r="BO2244" i="1"/>
  <c r="BN2244" i="1"/>
  <c r="BM2244" i="1"/>
  <c r="BL2244" i="1"/>
  <c r="BK2244" i="1"/>
  <c r="BH2244" i="1"/>
  <c r="BI2244" i="1" s="1"/>
  <c r="BF2244" i="1"/>
  <c r="BG2244" i="1" s="1"/>
  <c r="BE2244" i="1"/>
  <c r="BR2243" i="1"/>
  <c r="BO2243" i="1"/>
  <c r="BN2243" i="1"/>
  <c r="BM2243" i="1"/>
  <c r="BL2243" i="1"/>
  <c r="BK2243" i="1"/>
  <c r="BH2243" i="1"/>
  <c r="BJ2243" i="1" s="1"/>
  <c r="BF2243" i="1"/>
  <c r="BG2243" i="1" s="1"/>
  <c r="BE2243" i="1"/>
  <c r="BR2242" i="1"/>
  <c r="BO2242" i="1"/>
  <c r="BN2242" i="1"/>
  <c r="BM2242" i="1"/>
  <c r="BL2242" i="1"/>
  <c r="BK2242" i="1"/>
  <c r="BH2242" i="1"/>
  <c r="BF2242" i="1"/>
  <c r="BG2242" i="1" s="1"/>
  <c r="BE2242" i="1"/>
  <c r="BR2241" i="1"/>
  <c r="BO2241" i="1"/>
  <c r="BN2241" i="1"/>
  <c r="BM2241" i="1"/>
  <c r="BL2241" i="1"/>
  <c r="BK2241" i="1"/>
  <c r="BH2241" i="1"/>
  <c r="BJ2241" i="1" s="1"/>
  <c r="BF2241" i="1"/>
  <c r="BG2241" i="1" s="1"/>
  <c r="BE2241" i="1"/>
  <c r="BR2240" i="1"/>
  <c r="BO2240" i="1"/>
  <c r="BN2240" i="1"/>
  <c r="BM2240" i="1"/>
  <c r="BL2240" i="1"/>
  <c r="BK2240" i="1"/>
  <c r="BH2240" i="1"/>
  <c r="BJ2240" i="1" s="1"/>
  <c r="BF2240" i="1"/>
  <c r="BG2240" i="1" s="1"/>
  <c r="BE2240" i="1"/>
  <c r="BR2239" i="1"/>
  <c r="BO2239" i="1"/>
  <c r="BN2239" i="1"/>
  <c r="BM2239" i="1"/>
  <c r="BL2239" i="1"/>
  <c r="BK2239" i="1"/>
  <c r="BH2239" i="1"/>
  <c r="BJ2239" i="1" s="1"/>
  <c r="BF2239" i="1"/>
  <c r="BG2239" i="1" s="1"/>
  <c r="BE2239" i="1"/>
  <c r="BR2238" i="1"/>
  <c r="BO2238" i="1"/>
  <c r="BN2238" i="1"/>
  <c r="BM2238" i="1"/>
  <c r="BL2238" i="1"/>
  <c r="BK2238" i="1"/>
  <c r="BH2238" i="1"/>
  <c r="BI2238" i="1" s="1"/>
  <c r="BF2238" i="1"/>
  <c r="BG2238" i="1" s="1"/>
  <c r="BE2238" i="1"/>
  <c r="BR2237" i="1"/>
  <c r="BO2237" i="1"/>
  <c r="BN2237" i="1"/>
  <c r="BM2237" i="1"/>
  <c r="BL2237" i="1"/>
  <c r="BK2237" i="1"/>
  <c r="BH2237" i="1"/>
  <c r="BJ2237" i="1" s="1"/>
  <c r="BF2237" i="1"/>
  <c r="BG2237" i="1" s="1"/>
  <c r="BE2237" i="1"/>
  <c r="BR2236" i="1"/>
  <c r="BO2236" i="1"/>
  <c r="BN2236" i="1"/>
  <c r="BM2236" i="1"/>
  <c r="BL2236" i="1"/>
  <c r="BK2236" i="1"/>
  <c r="BH2236" i="1"/>
  <c r="BI2236" i="1" s="1"/>
  <c r="BF2236" i="1"/>
  <c r="BG2236" i="1" s="1"/>
  <c r="BE2236" i="1"/>
  <c r="BR2235" i="1"/>
  <c r="BO2235" i="1"/>
  <c r="BN2235" i="1"/>
  <c r="BM2235" i="1"/>
  <c r="BL2235" i="1"/>
  <c r="BK2235" i="1"/>
  <c r="BH2235" i="1"/>
  <c r="BJ2235" i="1" s="1"/>
  <c r="BF2235" i="1"/>
  <c r="BG2235" i="1" s="1"/>
  <c r="BE2235" i="1"/>
  <c r="BR2234" i="1"/>
  <c r="BO2234" i="1"/>
  <c r="BN2234" i="1"/>
  <c r="BM2234" i="1"/>
  <c r="BL2234" i="1"/>
  <c r="BK2234" i="1"/>
  <c r="BH2234" i="1"/>
  <c r="BF2234" i="1"/>
  <c r="BG2234" i="1" s="1"/>
  <c r="BE2234" i="1"/>
  <c r="BR2233" i="1"/>
  <c r="BO2233" i="1"/>
  <c r="BN2233" i="1"/>
  <c r="BM2233" i="1"/>
  <c r="BL2233" i="1"/>
  <c r="BK2233" i="1"/>
  <c r="BH2233" i="1"/>
  <c r="BJ2233" i="1" s="1"/>
  <c r="BF2233" i="1"/>
  <c r="BG2233" i="1" s="1"/>
  <c r="BE2233" i="1"/>
  <c r="BR2232" i="1"/>
  <c r="BO2232" i="1"/>
  <c r="BN2232" i="1"/>
  <c r="BM2232" i="1"/>
  <c r="BL2232" i="1"/>
  <c r="BK2232" i="1"/>
  <c r="BH2232" i="1"/>
  <c r="BJ2232" i="1" s="1"/>
  <c r="BF2232" i="1"/>
  <c r="BG2232" i="1" s="1"/>
  <c r="BE2232" i="1"/>
  <c r="BR2231" i="1"/>
  <c r="BO2231" i="1"/>
  <c r="BN2231" i="1"/>
  <c r="BM2231" i="1"/>
  <c r="BL2231" i="1"/>
  <c r="BK2231" i="1"/>
  <c r="BH2231" i="1"/>
  <c r="BJ2231" i="1" s="1"/>
  <c r="BF2231" i="1"/>
  <c r="BG2231" i="1" s="1"/>
  <c r="BE2231" i="1"/>
  <c r="BR2230" i="1"/>
  <c r="BO2230" i="1"/>
  <c r="BN2230" i="1"/>
  <c r="BM2230" i="1"/>
  <c r="BL2230" i="1"/>
  <c r="BK2230" i="1"/>
  <c r="BH2230" i="1"/>
  <c r="BI2230" i="1" s="1"/>
  <c r="BF2230" i="1"/>
  <c r="BG2230" i="1" s="1"/>
  <c r="BE2230" i="1"/>
  <c r="BR2229" i="1"/>
  <c r="BO2229" i="1"/>
  <c r="BN2229" i="1"/>
  <c r="BM2229" i="1"/>
  <c r="BL2229" i="1"/>
  <c r="BK2229" i="1"/>
  <c r="BH2229" i="1"/>
  <c r="BJ2229" i="1" s="1"/>
  <c r="BF2229" i="1"/>
  <c r="BG2229" i="1" s="1"/>
  <c r="BE2229" i="1"/>
  <c r="BR2228" i="1"/>
  <c r="BO2228" i="1"/>
  <c r="BN2228" i="1"/>
  <c r="BM2228" i="1"/>
  <c r="BL2228" i="1"/>
  <c r="BK2228" i="1"/>
  <c r="BH2228" i="1"/>
  <c r="BI2228" i="1" s="1"/>
  <c r="BF2228" i="1"/>
  <c r="BG2228" i="1" s="1"/>
  <c r="BE2228" i="1"/>
  <c r="BR2227" i="1"/>
  <c r="BO2227" i="1"/>
  <c r="BN2227" i="1"/>
  <c r="BM2227" i="1"/>
  <c r="BL2227" i="1"/>
  <c r="BK2227" i="1"/>
  <c r="BH2227" i="1"/>
  <c r="BJ2227" i="1" s="1"/>
  <c r="BF2227" i="1"/>
  <c r="BG2227" i="1" s="1"/>
  <c r="BE2227" i="1"/>
  <c r="BR2226" i="1"/>
  <c r="BO2226" i="1"/>
  <c r="BN2226" i="1"/>
  <c r="BM2226" i="1"/>
  <c r="BL2226" i="1"/>
  <c r="BK2226" i="1"/>
  <c r="BH2226" i="1"/>
  <c r="BF2226" i="1"/>
  <c r="BG2226" i="1" s="1"/>
  <c r="BE2226" i="1"/>
  <c r="BR2225" i="1"/>
  <c r="BO2225" i="1"/>
  <c r="BN2225" i="1"/>
  <c r="BM2225" i="1"/>
  <c r="BL2225" i="1"/>
  <c r="BK2225" i="1"/>
  <c r="BH2225" i="1"/>
  <c r="BJ2225" i="1" s="1"/>
  <c r="BF2225" i="1"/>
  <c r="BG2225" i="1" s="1"/>
  <c r="BE2225" i="1"/>
  <c r="BR2224" i="1"/>
  <c r="BO2224" i="1"/>
  <c r="BN2224" i="1"/>
  <c r="BM2224" i="1"/>
  <c r="BL2224" i="1"/>
  <c r="BK2224" i="1"/>
  <c r="BH2224" i="1"/>
  <c r="BJ2224" i="1" s="1"/>
  <c r="BF2224" i="1"/>
  <c r="BG2224" i="1" s="1"/>
  <c r="BE2224" i="1"/>
  <c r="BR2223" i="1"/>
  <c r="BO2223" i="1"/>
  <c r="BN2223" i="1"/>
  <c r="BM2223" i="1"/>
  <c r="BL2223" i="1"/>
  <c r="BK2223" i="1"/>
  <c r="BH2223" i="1"/>
  <c r="BJ2223" i="1" s="1"/>
  <c r="BF2223" i="1"/>
  <c r="BG2223" i="1" s="1"/>
  <c r="BE2223" i="1"/>
  <c r="BR2222" i="1"/>
  <c r="BO2222" i="1"/>
  <c r="BN2222" i="1"/>
  <c r="BM2222" i="1"/>
  <c r="BL2222" i="1"/>
  <c r="BK2222" i="1"/>
  <c r="BH2222" i="1"/>
  <c r="BI2222" i="1" s="1"/>
  <c r="BF2222" i="1"/>
  <c r="BG2222" i="1" s="1"/>
  <c r="BE2222" i="1"/>
  <c r="BR2221" i="1"/>
  <c r="BO2221" i="1"/>
  <c r="BN2221" i="1"/>
  <c r="BM2221" i="1"/>
  <c r="BL2221" i="1"/>
  <c r="BK2221" i="1"/>
  <c r="BH2221" i="1"/>
  <c r="BJ2221" i="1" s="1"/>
  <c r="BF2221" i="1"/>
  <c r="BG2221" i="1" s="1"/>
  <c r="BE2221" i="1"/>
  <c r="BR2220" i="1"/>
  <c r="BO2220" i="1"/>
  <c r="BN2220" i="1"/>
  <c r="BM2220" i="1"/>
  <c r="BL2220" i="1"/>
  <c r="BK2220" i="1"/>
  <c r="BH2220" i="1"/>
  <c r="BI2220" i="1" s="1"/>
  <c r="BF2220" i="1"/>
  <c r="BG2220" i="1" s="1"/>
  <c r="BE2220" i="1"/>
  <c r="BR2219" i="1"/>
  <c r="BO2219" i="1"/>
  <c r="BN2219" i="1"/>
  <c r="BM2219" i="1"/>
  <c r="BL2219" i="1"/>
  <c r="BK2219" i="1"/>
  <c r="BH2219" i="1"/>
  <c r="BJ2219" i="1" s="1"/>
  <c r="BF2219" i="1"/>
  <c r="BG2219" i="1" s="1"/>
  <c r="BE2219" i="1"/>
  <c r="BR2218" i="1"/>
  <c r="BO2218" i="1"/>
  <c r="BN2218" i="1"/>
  <c r="BM2218" i="1"/>
  <c r="BL2218" i="1"/>
  <c r="BK2218" i="1"/>
  <c r="BH2218" i="1"/>
  <c r="BF2218" i="1"/>
  <c r="BG2218" i="1" s="1"/>
  <c r="BE2218" i="1"/>
  <c r="BR2217" i="1"/>
  <c r="BO2217" i="1"/>
  <c r="BN2217" i="1"/>
  <c r="BM2217" i="1"/>
  <c r="BL2217" i="1"/>
  <c r="BK2217" i="1"/>
  <c r="BH2217" i="1"/>
  <c r="BJ2217" i="1" s="1"/>
  <c r="BF2217" i="1"/>
  <c r="BG2217" i="1" s="1"/>
  <c r="BE2217" i="1"/>
  <c r="BR2216" i="1"/>
  <c r="BO2216" i="1"/>
  <c r="BN2216" i="1"/>
  <c r="BM2216" i="1"/>
  <c r="BL2216" i="1"/>
  <c r="BK2216" i="1"/>
  <c r="BH2216" i="1"/>
  <c r="BJ2216" i="1" s="1"/>
  <c r="BF2216" i="1"/>
  <c r="BG2216" i="1" s="1"/>
  <c r="BE2216" i="1"/>
  <c r="BR2215" i="1"/>
  <c r="BO2215" i="1"/>
  <c r="BN2215" i="1"/>
  <c r="BM2215" i="1"/>
  <c r="BL2215" i="1"/>
  <c r="BK2215" i="1"/>
  <c r="BH2215" i="1"/>
  <c r="BJ2215" i="1" s="1"/>
  <c r="BF2215" i="1"/>
  <c r="BG2215" i="1" s="1"/>
  <c r="BE2215" i="1"/>
  <c r="BR2214" i="1"/>
  <c r="BO2214" i="1"/>
  <c r="BN2214" i="1"/>
  <c r="BM2214" i="1"/>
  <c r="BL2214" i="1"/>
  <c r="BK2214" i="1"/>
  <c r="BH2214" i="1"/>
  <c r="BI2214" i="1" s="1"/>
  <c r="BF2214" i="1"/>
  <c r="BG2214" i="1" s="1"/>
  <c r="BE2214" i="1"/>
  <c r="BR2213" i="1"/>
  <c r="BO2213" i="1"/>
  <c r="BN2213" i="1"/>
  <c r="BM2213" i="1"/>
  <c r="BL2213" i="1"/>
  <c r="BK2213" i="1"/>
  <c r="BH2213" i="1"/>
  <c r="BJ2213" i="1" s="1"/>
  <c r="BF2213" i="1"/>
  <c r="BG2213" i="1" s="1"/>
  <c r="BE2213" i="1"/>
  <c r="BR2212" i="1"/>
  <c r="BO2212" i="1"/>
  <c r="BN2212" i="1"/>
  <c r="BM2212" i="1"/>
  <c r="BL2212" i="1"/>
  <c r="BK2212" i="1"/>
  <c r="BH2212" i="1"/>
  <c r="BI2212" i="1" s="1"/>
  <c r="BF2212" i="1"/>
  <c r="BG2212" i="1" s="1"/>
  <c r="BE2212" i="1"/>
  <c r="BR2211" i="1"/>
  <c r="BO2211" i="1"/>
  <c r="BN2211" i="1"/>
  <c r="BM2211" i="1"/>
  <c r="BL2211" i="1"/>
  <c r="BK2211" i="1"/>
  <c r="BH2211" i="1"/>
  <c r="BJ2211" i="1" s="1"/>
  <c r="BF2211" i="1"/>
  <c r="BG2211" i="1" s="1"/>
  <c r="BE2211" i="1"/>
  <c r="BR2210" i="1"/>
  <c r="BO2210" i="1"/>
  <c r="BN2210" i="1"/>
  <c r="BM2210" i="1"/>
  <c r="BL2210" i="1"/>
  <c r="BK2210" i="1"/>
  <c r="BH2210" i="1"/>
  <c r="BF2210" i="1"/>
  <c r="BG2210" i="1" s="1"/>
  <c r="BE2210" i="1"/>
  <c r="BR2209" i="1"/>
  <c r="BO2209" i="1"/>
  <c r="BN2209" i="1"/>
  <c r="BM2209" i="1"/>
  <c r="BL2209" i="1"/>
  <c r="BK2209" i="1"/>
  <c r="BH2209" i="1"/>
  <c r="BJ2209" i="1" s="1"/>
  <c r="BF2209" i="1"/>
  <c r="BG2209" i="1" s="1"/>
  <c r="BE2209" i="1"/>
  <c r="BR2208" i="1"/>
  <c r="BO2208" i="1"/>
  <c r="BN2208" i="1"/>
  <c r="BM2208" i="1"/>
  <c r="BL2208" i="1"/>
  <c r="BK2208" i="1"/>
  <c r="BH2208" i="1"/>
  <c r="BJ2208" i="1" s="1"/>
  <c r="BF2208" i="1"/>
  <c r="BG2208" i="1" s="1"/>
  <c r="BE2208" i="1"/>
  <c r="BR2207" i="1"/>
  <c r="BO2207" i="1"/>
  <c r="BN2207" i="1"/>
  <c r="BM2207" i="1"/>
  <c r="BL2207" i="1"/>
  <c r="BK2207" i="1"/>
  <c r="BH2207" i="1"/>
  <c r="BJ2207" i="1" s="1"/>
  <c r="BF2207" i="1"/>
  <c r="BG2207" i="1" s="1"/>
  <c r="BE2207" i="1"/>
  <c r="BR2206" i="1"/>
  <c r="BO2206" i="1"/>
  <c r="BN2206" i="1"/>
  <c r="BM2206" i="1"/>
  <c r="BL2206" i="1"/>
  <c r="BK2206" i="1"/>
  <c r="BH2206" i="1"/>
  <c r="BI2206" i="1" s="1"/>
  <c r="BF2206" i="1"/>
  <c r="BG2206" i="1" s="1"/>
  <c r="BE2206" i="1"/>
  <c r="BR2205" i="1"/>
  <c r="BO2205" i="1"/>
  <c r="BN2205" i="1"/>
  <c r="BM2205" i="1"/>
  <c r="BL2205" i="1"/>
  <c r="BK2205" i="1"/>
  <c r="BH2205" i="1"/>
  <c r="BJ2205" i="1" s="1"/>
  <c r="BF2205" i="1"/>
  <c r="BG2205" i="1" s="1"/>
  <c r="BE2205" i="1"/>
  <c r="BR2204" i="1"/>
  <c r="BO2204" i="1"/>
  <c r="BN2204" i="1"/>
  <c r="BM2204" i="1"/>
  <c r="BL2204" i="1"/>
  <c r="BK2204" i="1"/>
  <c r="BH2204" i="1"/>
  <c r="BI2204" i="1" s="1"/>
  <c r="BF2204" i="1"/>
  <c r="BG2204" i="1" s="1"/>
  <c r="BE2204" i="1"/>
  <c r="BR2203" i="1"/>
  <c r="BO2203" i="1"/>
  <c r="BN2203" i="1"/>
  <c r="BM2203" i="1"/>
  <c r="BL2203" i="1"/>
  <c r="BK2203" i="1"/>
  <c r="BH2203" i="1"/>
  <c r="BJ2203" i="1" s="1"/>
  <c r="BF2203" i="1"/>
  <c r="BG2203" i="1" s="1"/>
  <c r="BE2203" i="1"/>
  <c r="BR2202" i="1"/>
  <c r="BO2202" i="1"/>
  <c r="BN2202" i="1"/>
  <c r="BM2202" i="1"/>
  <c r="BL2202" i="1"/>
  <c r="BK2202" i="1"/>
  <c r="BH2202" i="1"/>
  <c r="BF2202" i="1"/>
  <c r="BG2202" i="1" s="1"/>
  <c r="BE2202" i="1"/>
  <c r="BR2201" i="1"/>
  <c r="BO2201" i="1"/>
  <c r="BN2201" i="1"/>
  <c r="BM2201" i="1"/>
  <c r="BL2201" i="1"/>
  <c r="BK2201" i="1"/>
  <c r="BH2201" i="1"/>
  <c r="BJ2201" i="1" s="1"/>
  <c r="BF2201" i="1"/>
  <c r="BG2201" i="1" s="1"/>
  <c r="BE2201" i="1"/>
  <c r="BR2200" i="1"/>
  <c r="BO2200" i="1"/>
  <c r="BN2200" i="1"/>
  <c r="BM2200" i="1"/>
  <c r="BL2200" i="1"/>
  <c r="BK2200" i="1"/>
  <c r="BH2200" i="1"/>
  <c r="BJ2200" i="1" s="1"/>
  <c r="BF2200" i="1"/>
  <c r="BG2200" i="1" s="1"/>
  <c r="BE2200" i="1"/>
  <c r="BR2199" i="1"/>
  <c r="BO2199" i="1"/>
  <c r="BN2199" i="1"/>
  <c r="BM2199" i="1"/>
  <c r="BL2199" i="1"/>
  <c r="BK2199" i="1"/>
  <c r="BH2199" i="1"/>
  <c r="BJ2199" i="1" s="1"/>
  <c r="BF2199" i="1"/>
  <c r="BG2199" i="1" s="1"/>
  <c r="BE2199" i="1"/>
  <c r="BR2198" i="1"/>
  <c r="BO2198" i="1"/>
  <c r="BN2198" i="1"/>
  <c r="BM2198" i="1"/>
  <c r="BL2198" i="1"/>
  <c r="BK2198" i="1"/>
  <c r="BH2198" i="1"/>
  <c r="BI2198" i="1" s="1"/>
  <c r="BF2198" i="1"/>
  <c r="BG2198" i="1" s="1"/>
  <c r="BE2198" i="1"/>
  <c r="BR2197" i="1"/>
  <c r="BO2197" i="1"/>
  <c r="BN2197" i="1"/>
  <c r="BM2197" i="1"/>
  <c r="BL2197" i="1"/>
  <c r="BK2197" i="1"/>
  <c r="BH2197" i="1"/>
  <c r="BJ2197" i="1" s="1"/>
  <c r="BF2197" i="1"/>
  <c r="BG2197" i="1" s="1"/>
  <c r="BE2197" i="1"/>
  <c r="BR2196" i="1"/>
  <c r="BO2196" i="1"/>
  <c r="BN2196" i="1"/>
  <c r="BM2196" i="1"/>
  <c r="BL2196" i="1"/>
  <c r="BK2196" i="1"/>
  <c r="BH2196" i="1"/>
  <c r="BI2196" i="1" s="1"/>
  <c r="BF2196" i="1"/>
  <c r="BG2196" i="1" s="1"/>
  <c r="BE2196" i="1"/>
  <c r="BR2195" i="1"/>
  <c r="BO2195" i="1"/>
  <c r="BN2195" i="1"/>
  <c r="BM2195" i="1"/>
  <c r="BL2195" i="1"/>
  <c r="BK2195" i="1"/>
  <c r="BH2195" i="1"/>
  <c r="BJ2195" i="1" s="1"/>
  <c r="BF2195" i="1"/>
  <c r="BG2195" i="1" s="1"/>
  <c r="BE2195" i="1"/>
  <c r="BR2194" i="1"/>
  <c r="BO2194" i="1"/>
  <c r="BN2194" i="1"/>
  <c r="BM2194" i="1"/>
  <c r="BL2194" i="1"/>
  <c r="BK2194" i="1"/>
  <c r="BH2194" i="1"/>
  <c r="BI2194" i="1" s="1"/>
  <c r="BF2194" i="1"/>
  <c r="BG2194" i="1" s="1"/>
  <c r="BE2194" i="1"/>
  <c r="BR2193" i="1"/>
  <c r="BO2193" i="1"/>
  <c r="BN2193" i="1"/>
  <c r="BM2193" i="1"/>
  <c r="BL2193" i="1"/>
  <c r="BK2193" i="1"/>
  <c r="BH2193" i="1"/>
  <c r="BJ2193" i="1" s="1"/>
  <c r="BF2193" i="1"/>
  <c r="BG2193" i="1" s="1"/>
  <c r="BE2193" i="1"/>
  <c r="BR2192" i="1"/>
  <c r="BO2192" i="1"/>
  <c r="BN2192" i="1"/>
  <c r="BM2192" i="1"/>
  <c r="BL2192" i="1"/>
  <c r="BK2192" i="1"/>
  <c r="BH2192" i="1"/>
  <c r="BJ2192" i="1" s="1"/>
  <c r="BF2192" i="1"/>
  <c r="BG2192" i="1" s="1"/>
  <c r="BE2192" i="1"/>
  <c r="BR2191" i="1"/>
  <c r="BO2191" i="1"/>
  <c r="BN2191" i="1"/>
  <c r="BM2191" i="1"/>
  <c r="BL2191" i="1"/>
  <c r="BK2191" i="1"/>
  <c r="BH2191" i="1"/>
  <c r="BJ2191" i="1" s="1"/>
  <c r="BF2191" i="1"/>
  <c r="BG2191" i="1" s="1"/>
  <c r="BE2191" i="1"/>
  <c r="BR2190" i="1"/>
  <c r="BO2190" i="1"/>
  <c r="BN2190" i="1"/>
  <c r="BM2190" i="1"/>
  <c r="BL2190" i="1"/>
  <c r="BK2190" i="1"/>
  <c r="BH2190" i="1"/>
  <c r="BJ2190" i="1" s="1"/>
  <c r="BF2190" i="1"/>
  <c r="BG2190" i="1" s="1"/>
  <c r="BE2190" i="1"/>
  <c r="BR2189" i="1"/>
  <c r="BO2189" i="1"/>
  <c r="BN2189" i="1"/>
  <c r="BM2189" i="1"/>
  <c r="BL2189" i="1"/>
  <c r="BK2189" i="1"/>
  <c r="BH2189" i="1"/>
  <c r="BJ2189" i="1" s="1"/>
  <c r="BF2189" i="1"/>
  <c r="BG2189" i="1" s="1"/>
  <c r="BE2189" i="1"/>
  <c r="BR2188" i="1"/>
  <c r="BO2188" i="1"/>
  <c r="BN2188" i="1"/>
  <c r="BM2188" i="1"/>
  <c r="BL2188" i="1"/>
  <c r="BK2188" i="1"/>
  <c r="BH2188" i="1"/>
  <c r="BJ2188" i="1" s="1"/>
  <c r="BF2188" i="1"/>
  <c r="BG2188" i="1" s="1"/>
  <c r="BE2188" i="1"/>
  <c r="BR2187" i="1"/>
  <c r="BO2187" i="1"/>
  <c r="BN2187" i="1"/>
  <c r="BM2187" i="1"/>
  <c r="BL2187" i="1"/>
  <c r="BK2187" i="1"/>
  <c r="BH2187" i="1"/>
  <c r="BJ2187" i="1" s="1"/>
  <c r="BF2187" i="1"/>
  <c r="BG2187" i="1" s="1"/>
  <c r="BE2187" i="1"/>
  <c r="BR2186" i="1"/>
  <c r="BO2186" i="1"/>
  <c r="BN2186" i="1"/>
  <c r="BM2186" i="1"/>
  <c r="BL2186" i="1"/>
  <c r="BK2186" i="1"/>
  <c r="BH2186" i="1"/>
  <c r="BI2186" i="1" s="1"/>
  <c r="BF2186" i="1"/>
  <c r="BG2186" i="1" s="1"/>
  <c r="BE2186" i="1"/>
  <c r="BR2185" i="1"/>
  <c r="BO2185" i="1"/>
  <c r="BN2185" i="1"/>
  <c r="BM2185" i="1"/>
  <c r="BL2185" i="1"/>
  <c r="BK2185" i="1"/>
  <c r="BH2185" i="1"/>
  <c r="BJ2185" i="1" s="1"/>
  <c r="BF2185" i="1"/>
  <c r="BG2185" i="1" s="1"/>
  <c r="BE2185" i="1"/>
  <c r="BR2184" i="1"/>
  <c r="BO2184" i="1"/>
  <c r="BN2184" i="1"/>
  <c r="BM2184" i="1"/>
  <c r="BL2184" i="1"/>
  <c r="BK2184" i="1"/>
  <c r="BH2184" i="1"/>
  <c r="BJ2184" i="1" s="1"/>
  <c r="BF2184" i="1"/>
  <c r="BG2184" i="1" s="1"/>
  <c r="BE2184" i="1"/>
  <c r="BR2183" i="1"/>
  <c r="BO2183" i="1"/>
  <c r="BN2183" i="1"/>
  <c r="BM2183" i="1"/>
  <c r="BL2183" i="1"/>
  <c r="BK2183" i="1"/>
  <c r="BH2183" i="1"/>
  <c r="BJ2183" i="1" s="1"/>
  <c r="BF2183" i="1"/>
  <c r="BG2183" i="1" s="1"/>
  <c r="BE2183" i="1"/>
  <c r="BR2182" i="1"/>
  <c r="BO2182" i="1"/>
  <c r="BN2182" i="1"/>
  <c r="BM2182" i="1"/>
  <c r="BL2182" i="1"/>
  <c r="BK2182" i="1"/>
  <c r="BH2182" i="1"/>
  <c r="BI2182" i="1" s="1"/>
  <c r="BF2182" i="1"/>
  <c r="BG2182" i="1" s="1"/>
  <c r="BE2182" i="1"/>
  <c r="BR2181" i="1"/>
  <c r="BO2181" i="1"/>
  <c r="BN2181" i="1"/>
  <c r="BM2181" i="1"/>
  <c r="BL2181" i="1"/>
  <c r="BK2181" i="1"/>
  <c r="BH2181" i="1"/>
  <c r="BJ2181" i="1" s="1"/>
  <c r="BF2181" i="1"/>
  <c r="BG2181" i="1" s="1"/>
  <c r="BE2181" i="1"/>
  <c r="BR2180" i="1"/>
  <c r="BO2180" i="1"/>
  <c r="BN2180" i="1"/>
  <c r="BM2180" i="1"/>
  <c r="BL2180" i="1"/>
  <c r="BK2180" i="1"/>
  <c r="BH2180" i="1"/>
  <c r="BI2180" i="1" s="1"/>
  <c r="BF2180" i="1"/>
  <c r="BG2180" i="1" s="1"/>
  <c r="BE2180" i="1"/>
  <c r="BR2179" i="1"/>
  <c r="BO2179" i="1"/>
  <c r="BN2179" i="1"/>
  <c r="BM2179" i="1"/>
  <c r="BL2179" i="1"/>
  <c r="BK2179" i="1"/>
  <c r="BH2179" i="1"/>
  <c r="BJ2179" i="1" s="1"/>
  <c r="BF2179" i="1"/>
  <c r="BG2179" i="1" s="1"/>
  <c r="BE2179" i="1"/>
  <c r="BR2178" i="1"/>
  <c r="BO2178" i="1"/>
  <c r="BN2178" i="1"/>
  <c r="BM2178" i="1"/>
  <c r="BL2178" i="1"/>
  <c r="BK2178" i="1"/>
  <c r="BH2178" i="1"/>
  <c r="BI2178" i="1" s="1"/>
  <c r="BF2178" i="1"/>
  <c r="BG2178" i="1" s="1"/>
  <c r="BE2178" i="1"/>
  <c r="BR2177" i="1"/>
  <c r="BO2177" i="1"/>
  <c r="BN2177" i="1"/>
  <c r="BM2177" i="1"/>
  <c r="BL2177" i="1"/>
  <c r="BK2177" i="1"/>
  <c r="BH2177" i="1"/>
  <c r="BI2177" i="1" s="1"/>
  <c r="BF2177" i="1"/>
  <c r="BG2177" i="1" s="1"/>
  <c r="BE2177" i="1"/>
  <c r="BR2176" i="1"/>
  <c r="BO2176" i="1"/>
  <c r="BN2176" i="1"/>
  <c r="BM2176" i="1"/>
  <c r="BL2176" i="1"/>
  <c r="BK2176" i="1"/>
  <c r="BH2176" i="1"/>
  <c r="BI2176" i="1" s="1"/>
  <c r="BF2176" i="1"/>
  <c r="BG2176" i="1" s="1"/>
  <c r="BE2176" i="1"/>
  <c r="BR2175" i="1"/>
  <c r="BO2175" i="1"/>
  <c r="BN2175" i="1"/>
  <c r="BM2175" i="1"/>
  <c r="BL2175" i="1"/>
  <c r="BK2175" i="1"/>
  <c r="BH2175" i="1"/>
  <c r="BI2175" i="1" s="1"/>
  <c r="BF2175" i="1"/>
  <c r="BG2175" i="1" s="1"/>
  <c r="BE2175" i="1"/>
  <c r="BR2174" i="1"/>
  <c r="BO2174" i="1"/>
  <c r="BN2174" i="1"/>
  <c r="BM2174" i="1"/>
  <c r="BL2174" i="1"/>
  <c r="BK2174" i="1"/>
  <c r="BH2174" i="1"/>
  <c r="BI2174" i="1" s="1"/>
  <c r="BF2174" i="1"/>
  <c r="BG2174" i="1" s="1"/>
  <c r="BE2174" i="1"/>
  <c r="BR2173" i="1"/>
  <c r="BO2173" i="1"/>
  <c r="BN2173" i="1"/>
  <c r="BM2173" i="1"/>
  <c r="BL2173" i="1"/>
  <c r="BK2173" i="1"/>
  <c r="BH2173" i="1"/>
  <c r="BI2173" i="1" s="1"/>
  <c r="BF2173" i="1"/>
  <c r="BG2173" i="1" s="1"/>
  <c r="BE2173" i="1"/>
  <c r="BR2172" i="1"/>
  <c r="BO2172" i="1"/>
  <c r="BN2172" i="1"/>
  <c r="BM2172" i="1"/>
  <c r="BL2172" i="1"/>
  <c r="BK2172" i="1"/>
  <c r="BH2172" i="1"/>
  <c r="BI2172" i="1" s="1"/>
  <c r="BF2172" i="1"/>
  <c r="BG2172" i="1" s="1"/>
  <c r="BE2172" i="1"/>
  <c r="BR2171" i="1"/>
  <c r="BO2171" i="1"/>
  <c r="BN2171" i="1"/>
  <c r="BM2171" i="1"/>
  <c r="BL2171" i="1"/>
  <c r="BK2171" i="1"/>
  <c r="BH2171" i="1"/>
  <c r="BI2171" i="1" s="1"/>
  <c r="BF2171" i="1"/>
  <c r="BG2171" i="1" s="1"/>
  <c r="BE2171" i="1"/>
  <c r="BR2170" i="1"/>
  <c r="BO2170" i="1"/>
  <c r="BN2170" i="1"/>
  <c r="BM2170" i="1"/>
  <c r="BL2170" i="1"/>
  <c r="BK2170" i="1"/>
  <c r="BH2170" i="1"/>
  <c r="BI2170" i="1" s="1"/>
  <c r="BF2170" i="1"/>
  <c r="BG2170" i="1" s="1"/>
  <c r="BE2170" i="1"/>
  <c r="BR2169" i="1"/>
  <c r="BO2169" i="1"/>
  <c r="BN2169" i="1"/>
  <c r="BM2169" i="1"/>
  <c r="BL2169" i="1"/>
  <c r="BK2169" i="1"/>
  <c r="BH2169" i="1"/>
  <c r="BI2169" i="1" s="1"/>
  <c r="BF2169" i="1"/>
  <c r="BG2169" i="1" s="1"/>
  <c r="BE2169" i="1"/>
  <c r="BR2168" i="1"/>
  <c r="BO2168" i="1"/>
  <c r="BN2168" i="1"/>
  <c r="BM2168" i="1"/>
  <c r="BL2168" i="1"/>
  <c r="BK2168" i="1"/>
  <c r="BH2168" i="1"/>
  <c r="BI2168" i="1" s="1"/>
  <c r="BF2168" i="1"/>
  <c r="BG2168" i="1" s="1"/>
  <c r="BE2168" i="1"/>
  <c r="BR2167" i="1"/>
  <c r="BO2167" i="1"/>
  <c r="BN2167" i="1"/>
  <c r="BM2167" i="1"/>
  <c r="BL2167" i="1"/>
  <c r="BK2167" i="1"/>
  <c r="BH2167" i="1"/>
  <c r="BI2167" i="1" s="1"/>
  <c r="BF2167" i="1"/>
  <c r="BG2167" i="1" s="1"/>
  <c r="BE2167" i="1"/>
  <c r="BR2166" i="1"/>
  <c r="BO2166" i="1"/>
  <c r="BN2166" i="1"/>
  <c r="BM2166" i="1"/>
  <c r="BL2166" i="1"/>
  <c r="BK2166" i="1"/>
  <c r="BH2166" i="1"/>
  <c r="BI2166" i="1" s="1"/>
  <c r="BF2166" i="1"/>
  <c r="BG2166" i="1" s="1"/>
  <c r="BE2166" i="1"/>
  <c r="BR2165" i="1"/>
  <c r="BO2165" i="1"/>
  <c r="BN2165" i="1"/>
  <c r="BM2165" i="1"/>
  <c r="BL2165" i="1"/>
  <c r="BK2165" i="1"/>
  <c r="BH2165" i="1"/>
  <c r="BI2165" i="1" s="1"/>
  <c r="BF2165" i="1"/>
  <c r="BG2165" i="1" s="1"/>
  <c r="BE2165" i="1"/>
  <c r="BR2164" i="1"/>
  <c r="BO2164" i="1"/>
  <c r="BN2164" i="1"/>
  <c r="BM2164" i="1"/>
  <c r="BL2164" i="1"/>
  <c r="BK2164" i="1"/>
  <c r="BH2164" i="1"/>
  <c r="BI2164" i="1" s="1"/>
  <c r="BF2164" i="1"/>
  <c r="BG2164" i="1" s="1"/>
  <c r="BE2164" i="1"/>
  <c r="BR2163" i="1"/>
  <c r="BO2163" i="1"/>
  <c r="BN2163" i="1"/>
  <c r="BM2163" i="1"/>
  <c r="BL2163" i="1"/>
  <c r="BK2163" i="1"/>
  <c r="BH2163" i="1"/>
  <c r="BI2163" i="1" s="1"/>
  <c r="BF2163" i="1"/>
  <c r="BG2163" i="1" s="1"/>
  <c r="BE2163" i="1"/>
  <c r="BR2162" i="1"/>
  <c r="BO2162" i="1"/>
  <c r="BN2162" i="1"/>
  <c r="BM2162" i="1"/>
  <c r="BL2162" i="1"/>
  <c r="BK2162" i="1"/>
  <c r="BH2162" i="1"/>
  <c r="BI2162" i="1" s="1"/>
  <c r="BF2162" i="1"/>
  <c r="BG2162" i="1" s="1"/>
  <c r="BE2162" i="1"/>
  <c r="BR2161" i="1"/>
  <c r="BO2161" i="1"/>
  <c r="BN2161" i="1"/>
  <c r="BM2161" i="1"/>
  <c r="BL2161" i="1"/>
  <c r="BK2161" i="1"/>
  <c r="BH2161" i="1"/>
  <c r="BI2161" i="1" s="1"/>
  <c r="BF2161" i="1"/>
  <c r="BG2161" i="1" s="1"/>
  <c r="BE2161" i="1"/>
  <c r="BR2160" i="1"/>
  <c r="BO2160" i="1"/>
  <c r="BN2160" i="1"/>
  <c r="BM2160" i="1"/>
  <c r="BL2160" i="1"/>
  <c r="BK2160" i="1"/>
  <c r="BH2160" i="1"/>
  <c r="BI2160" i="1" s="1"/>
  <c r="BF2160" i="1"/>
  <c r="BG2160" i="1" s="1"/>
  <c r="BE2160" i="1"/>
  <c r="BR2159" i="1"/>
  <c r="BO2159" i="1"/>
  <c r="BN2159" i="1"/>
  <c r="BM2159" i="1"/>
  <c r="BL2159" i="1"/>
  <c r="BK2159" i="1"/>
  <c r="BH2159" i="1"/>
  <c r="BI2159" i="1" s="1"/>
  <c r="BF2159" i="1"/>
  <c r="BG2159" i="1" s="1"/>
  <c r="BE2159" i="1"/>
  <c r="BR2158" i="1"/>
  <c r="BO2158" i="1"/>
  <c r="BN2158" i="1"/>
  <c r="BM2158" i="1"/>
  <c r="BL2158" i="1"/>
  <c r="BK2158" i="1"/>
  <c r="BH2158" i="1"/>
  <c r="BI2158" i="1" s="1"/>
  <c r="BF2158" i="1"/>
  <c r="BG2158" i="1" s="1"/>
  <c r="BE2158" i="1"/>
  <c r="BR2157" i="1"/>
  <c r="BO2157" i="1"/>
  <c r="BN2157" i="1"/>
  <c r="BM2157" i="1"/>
  <c r="BL2157" i="1"/>
  <c r="BK2157" i="1"/>
  <c r="BH2157" i="1"/>
  <c r="BI2157" i="1" s="1"/>
  <c r="BF2157" i="1"/>
  <c r="BG2157" i="1" s="1"/>
  <c r="BE2157" i="1"/>
  <c r="BR2156" i="1"/>
  <c r="BO2156" i="1"/>
  <c r="BN2156" i="1"/>
  <c r="BM2156" i="1"/>
  <c r="BL2156" i="1"/>
  <c r="BK2156" i="1"/>
  <c r="BH2156" i="1"/>
  <c r="BI2156" i="1" s="1"/>
  <c r="BF2156" i="1"/>
  <c r="BG2156" i="1" s="1"/>
  <c r="BE2156" i="1"/>
  <c r="BR2155" i="1"/>
  <c r="BO2155" i="1"/>
  <c r="BN2155" i="1"/>
  <c r="BM2155" i="1"/>
  <c r="BL2155" i="1"/>
  <c r="BK2155" i="1"/>
  <c r="BH2155" i="1"/>
  <c r="BI2155" i="1" s="1"/>
  <c r="BF2155" i="1"/>
  <c r="BG2155" i="1" s="1"/>
  <c r="BE2155" i="1"/>
  <c r="BR2154" i="1"/>
  <c r="BO2154" i="1"/>
  <c r="BN2154" i="1"/>
  <c r="BM2154" i="1"/>
  <c r="BL2154" i="1"/>
  <c r="BK2154" i="1"/>
  <c r="BH2154" i="1"/>
  <c r="BI2154" i="1" s="1"/>
  <c r="BF2154" i="1"/>
  <c r="BG2154" i="1" s="1"/>
  <c r="BE2154" i="1"/>
  <c r="BR2153" i="1"/>
  <c r="BO2153" i="1"/>
  <c r="BN2153" i="1"/>
  <c r="BM2153" i="1"/>
  <c r="BL2153" i="1"/>
  <c r="BK2153" i="1"/>
  <c r="BH2153" i="1"/>
  <c r="BI2153" i="1" s="1"/>
  <c r="BF2153" i="1"/>
  <c r="BG2153" i="1" s="1"/>
  <c r="BE2153" i="1"/>
  <c r="BR2152" i="1"/>
  <c r="BO2152" i="1"/>
  <c r="BN2152" i="1"/>
  <c r="BM2152" i="1"/>
  <c r="BL2152" i="1"/>
  <c r="BK2152" i="1"/>
  <c r="BH2152" i="1"/>
  <c r="BI2152" i="1" s="1"/>
  <c r="BF2152" i="1"/>
  <c r="BG2152" i="1" s="1"/>
  <c r="BE2152" i="1"/>
  <c r="BR2151" i="1"/>
  <c r="BO2151" i="1"/>
  <c r="BN2151" i="1"/>
  <c r="BM2151" i="1"/>
  <c r="BL2151" i="1"/>
  <c r="BK2151" i="1"/>
  <c r="BH2151" i="1"/>
  <c r="BI2151" i="1" s="1"/>
  <c r="BF2151" i="1"/>
  <c r="BG2151" i="1" s="1"/>
  <c r="BE2151" i="1"/>
  <c r="BR2150" i="1"/>
  <c r="BO2150" i="1"/>
  <c r="BN2150" i="1"/>
  <c r="BM2150" i="1"/>
  <c r="BL2150" i="1"/>
  <c r="BK2150" i="1"/>
  <c r="BH2150" i="1"/>
  <c r="BI2150" i="1" s="1"/>
  <c r="BF2150" i="1"/>
  <c r="BG2150" i="1" s="1"/>
  <c r="BE2150" i="1"/>
  <c r="BR2149" i="1"/>
  <c r="BO2149" i="1"/>
  <c r="BN2149" i="1"/>
  <c r="BM2149" i="1"/>
  <c r="BL2149" i="1"/>
  <c r="BK2149" i="1"/>
  <c r="BH2149" i="1"/>
  <c r="BI2149" i="1" s="1"/>
  <c r="BF2149" i="1"/>
  <c r="BG2149" i="1" s="1"/>
  <c r="BE2149" i="1"/>
  <c r="BR2148" i="1"/>
  <c r="BO2148" i="1"/>
  <c r="BN2148" i="1"/>
  <c r="BM2148" i="1"/>
  <c r="BL2148" i="1"/>
  <c r="BK2148" i="1"/>
  <c r="BH2148" i="1"/>
  <c r="BI2148" i="1" s="1"/>
  <c r="BF2148" i="1"/>
  <c r="BG2148" i="1" s="1"/>
  <c r="BE2148" i="1"/>
  <c r="BR2147" i="1"/>
  <c r="BO2147" i="1"/>
  <c r="BN2147" i="1"/>
  <c r="BM2147" i="1"/>
  <c r="BL2147" i="1"/>
  <c r="BK2147" i="1"/>
  <c r="BH2147" i="1"/>
  <c r="BI2147" i="1" s="1"/>
  <c r="BF2147" i="1"/>
  <c r="BG2147" i="1" s="1"/>
  <c r="BE2147" i="1"/>
  <c r="BR2146" i="1"/>
  <c r="BO2146" i="1"/>
  <c r="BN2146" i="1"/>
  <c r="BM2146" i="1"/>
  <c r="BL2146" i="1"/>
  <c r="BK2146" i="1"/>
  <c r="BH2146" i="1"/>
  <c r="BI2146" i="1" s="1"/>
  <c r="BF2146" i="1"/>
  <c r="BG2146" i="1" s="1"/>
  <c r="BE2146" i="1"/>
  <c r="BR2145" i="1"/>
  <c r="BO2145" i="1"/>
  <c r="BN2145" i="1"/>
  <c r="BM2145" i="1"/>
  <c r="BL2145" i="1"/>
  <c r="BK2145" i="1"/>
  <c r="BH2145" i="1"/>
  <c r="BI2145" i="1" s="1"/>
  <c r="BF2145" i="1"/>
  <c r="BG2145" i="1" s="1"/>
  <c r="BE2145" i="1"/>
  <c r="BR2144" i="1"/>
  <c r="BO2144" i="1"/>
  <c r="BN2144" i="1"/>
  <c r="BM2144" i="1"/>
  <c r="BL2144" i="1"/>
  <c r="BK2144" i="1"/>
  <c r="BH2144" i="1"/>
  <c r="BI2144" i="1" s="1"/>
  <c r="BF2144" i="1"/>
  <c r="BG2144" i="1" s="1"/>
  <c r="BE2144" i="1"/>
  <c r="BR2143" i="1"/>
  <c r="BO2143" i="1"/>
  <c r="BN2143" i="1"/>
  <c r="BM2143" i="1"/>
  <c r="BL2143" i="1"/>
  <c r="BK2143" i="1"/>
  <c r="BH2143" i="1"/>
  <c r="BI2143" i="1" s="1"/>
  <c r="BF2143" i="1"/>
  <c r="BG2143" i="1" s="1"/>
  <c r="BE2143" i="1"/>
  <c r="BR2142" i="1"/>
  <c r="BO2142" i="1"/>
  <c r="BN2142" i="1"/>
  <c r="BM2142" i="1"/>
  <c r="BL2142" i="1"/>
  <c r="BK2142" i="1"/>
  <c r="BH2142" i="1"/>
  <c r="BI2142" i="1" s="1"/>
  <c r="BF2142" i="1"/>
  <c r="BG2142" i="1" s="1"/>
  <c r="BE2142" i="1"/>
  <c r="BR2141" i="1"/>
  <c r="BO2141" i="1"/>
  <c r="BN2141" i="1"/>
  <c r="BM2141" i="1"/>
  <c r="BL2141" i="1"/>
  <c r="BK2141" i="1"/>
  <c r="BH2141" i="1"/>
  <c r="BI2141" i="1" s="1"/>
  <c r="BF2141" i="1"/>
  <c r="BG2141" i="1" s="1"/>
  <c r="BE2141" i="1"/>
  <c r="BR2140" i="1"/>
  <c r="BO2140" i="1"/>
  <c r="BN2140" i="1"/>
  <c r="BM2140" i="1"/>
  <c r="BL2140" i="1"/>
  <c r="BK2140" i="1"/>
  <c r="BH2140" i="1"/>
  <c r="BI2140" i="1" s="1"/>
  <c r="BF2140" i="1"/>
  <c r="BG2140" i="1" s="1"/>
  <c r="BE2140" i="1"/>
  <c r="BR2139" i="1"/>
  <c r="BO2139" i="1"/>
  <c r="BN2139" i="1"/>
  <c r="BM2139" i="1"/>
  <c r="BL2139" i="1"/>
  <c r="BK2139" i="1"/>
  <c r="BH2139" i="1"/>
  <c r="BI2139" i="1" s="1"/>
  <c r="BF2139" i="1"/>
  <c r="BG2139" i="1" s="1"/>
  <c r="BE2139" i="1"/>
  <c r="BR2138" i="1"/>
  <c r="BO2138" i="1"/>
  <c r="BN2138" i="1"/>
  <c r="BM2138" i="1"/>
  <c r="BL2138" i="1"/>
  <c r="BK2138" i="1"/>
  <c r="BH2138" i="1"/>
  <c r="BI2138" i="1" s="1"/>
  <c r="BF2138" i="1"/>
  <c r="BG2138" i="1" s="1"/>
  <c r="BE2138" i="1"/>
  <c r="BR2137" i="1"/>
  <c r="BO2137" i="1"/>
  <c r="BN2137" i="1"/>
  <c r="BM2137" i="1"/>
  <c r="BL2137" i="1"/>
  <c r="BK2137" i="1"/>
  <c r="BH2137" i="1"/>
  <c r="BI2137" i="1" s="1"/>
  <c r="BF2137" i="1"/>
  <c r="BG2137" i="1" s="1"/>
  <c r="BE2137" i="1"/>
  <c r="BR2136" i="1"/>
  <c r="BO2136" i="1"/>
  <c r="BN2136" i="1"/>
  <c r="BM2136" i="1"/>
  <c r="BL2136" i="1"/>
  <c r="BK2136" i="1"/>
  <c r="BH2136" i="1"/>
  <c r="BI2136" i="1" s="1"/>
  <c r="BF2136" i="1"/>
  <c r="BG2136" i="1" s="1"/>
  <c r="BE2136" i="1"/>
  <c r="BR2135" i="1"/>
  <c r="BO2135" i="1"/>
  <c r="BN2135" i="1"/>
  <c r="BM2135" i="1"/>
  <c r="BL2135" i="1"/>
  <c r="BK2135" i="1"/>
  <c r="BH2135" i="1"/>
  <c r="BI2135" i="1" s="1"/>
  <c r="BF2135" i="1"/>
  <c r="BG2135" i="1" s="1"/>
  <c r="BE2135" i="1"/>
  <c r="BR2134" i="1"/>
  <c r="BO2134" i="1"/>
  <c r="BN2134" i="1"/>
  <c r="BM2134" i="1"/>
  <c r="BL2134" i="1"/>
  <c r="BK2134" i="1"/>
  <c r="BH2134" i="1"/>
  <c r="BI2134" i="1" s="1"/>
  <c r="BF2134" i="1"/>
  <c r="BG2134" i="1" s="1"/>
  <c r="BE2134" i="1"/>
  <c r="BR2133" i="1"/>
  <c r="BO2133" i="1"/>
  <c r="BN2133" i="1"/>
  <c r="BM2133" i="1"/>
  <c r="BL2133" i="1"/>
  <c r="BK2133" i="1"/>
  <c r="BH2133" i="1"/>
  <c r="BI2133" i="1" s="1"/>
  <c r="BF2133" i="1"/>
  <c r="BG2133" i="1" s="1"/>
  <c r="BE2133" i="1"/>
  <c r="BR2132" i="1"/>
  <c r="BO2132" i="1"/>
  <c r="BN2132" i="1"/>
  <c r="BM2132" i="1"/>
  <c r="BL2132" i="1"/>
  <c r="BK2132" i="1"/>
  <c r="BH2132" i="1"/>
  <c r="BI2132" i="1" s="1"/>
  <c r="BF2132" i="1"/>
  <c r="BG2132" i="1" s="1"/>
  <c r="BE2132" i="1"/>
  <c r="BR2131" i="1"/>
  <c r="BO2131" i="1"/>
  <c r="BN2131" i="1"/>
  <c r="BM2131" i="1"/>
  <c r="BL2131" i="1"/>
  <c r="BK2131" i="1"/>
  <c r="BH2131" i="1"/>
  <c r="BI2131" i="1" s="1"/>
  <c r="BF2131" i="1"/>
  <c r="BG2131" i="1" s="1"/>
  <c r="BE2131" i="1"/>
  <c r="BR2130" i="1"/>
  <c r="BO2130" i="1"/>
  <c r="BN2130" i="1"/>
  <c r="BM2130" i="1"/>
  <c r="BL2130" i="1"/>
  <c r="BK2130" i="1"/>
  <c r="BH2130" i="1"/>
  <c r="BI2130" i="1" s="1"/>
  <c r="BF2130" i="1"/>
  <c r="BG2130" i="1" s="1"/>
  <c r="BE2130" i="1"/>
  <c r="BR2129" i="1"/>
  <c r="BO2129" i="1"/>
  <c r="BN2129" i="1"/>
  <c r="BM2129" i="1"/>
  <c r="BL2129" i="1"/>
  <c r="BK2129" i="1"/>
  <c r="BH2129" i="1"/>
  <c r="BI2129" i="1" s="1"/>
  <c r="BF2129" i="1"/>
  <c r="BG2129" i="1" s="1"/>
  <c r="BE2129" i="1"/>
  <c r="BR2128" i="1"/>
  <c r="BO2128" i="1"/>
  <c r="BN2128" i="1"/>
  <c r="BM2128" i="1"/>
  <c r="BL2128" i="1"/>
  <c r="BK2128" i="1"/>
  <c r="BH2128" i="1"/>
  <c r="BI2128" i="1" s="1"/>
  <c r="BF2128" i="1"/>
  <c r="BG2128" i="1" s="1"/>
  <c r="BE2128" i="1"/>
  <c r="BR2127" i="1"/>
  <c r="BO2127" i="1"/>
  <c r="BN2127" i="1"/>
  <c r="BM2127" i="1"/>
  <c r="BL2127" i="1"/>
  <c r="BK2127" i="1"/>
  <c r="BH2127" i="1"/>
  <c r="BI2127" i="1" s="1"/>
  <c r="BF2127" i="1"/>
  <c r="BG2127" i="1" s="1"/>
  <c r="BE2127" i="1"/>
  <c r="BR2126" i="1"/>
  <c r="BO2126" i="1"/>
  <c r="BN2126" i="1"/>
  <c r="BM2126" i="1"/>
  <c r="BL2126" i="1"/>
  <c r="BK2126" i="1"/>
  <c r="BH2126" i="1"/>
  <c r="BI2126" i="1" s="1"/>
  <c r="BF2126" i="1"/>
  <c r="BG2126" i="1" s="1"/>
  <c r="BE2126" i="1"/>
  <c r="BR2125" i="1"/>
  <c r="BO2125" i="1"/>
  <c r="BN2125" i="1"/>
  <c r="BM2125" i="1"/>
  <c r="BL2125" i="1"/>
  <c r="BK2125" i="1"/>
  <c r="BH2125" i="1"/>
  <c r="BI2125" i="1" s="1"/>
  <c r="BF2125" i="1"/>
  <c r="BG2125" i="1" s="1"/>
  <c r="BE2125" i="1"/>
  <c r="BR2124" i="1"/>
  <c r="BO2124" i="1"/>
  <c r="BN2124" i="1"/>
  <c r="BM2124" i="1"/>
  <c r="BL2124" i="1"/>
  <c r="BK2124" i="1"/>
  <c r="BH2124" i="1"/>
  <c r="BI2124" i="1" s="1"/>
  <c r="BF2124" i="1"/>
  <c r="BG2124" i="1" s="1"/>
  <c r="BE2124" i="1"/>
  <c r="BR2123" i="1"/>
  <c r="BO2123" i="1"/>
  <c r="BN2123" i="1"/>
  <c r="BM2123" i="1"/>
  <c r="BL2123" i="1"/>
  <c r="BK2123" i="1"/>
  <c r="BH2123" i="1"/>
  <c r="BI2123" i="1" s="1"/>
  <c r="BF2123" i="1"/>
  <c r="BG2123" i="1" s="1"/>
  <c r="BE2123" i="1"/>
  <c r="BR2122" i="1"/>
  <c r="BO2122" i="1"/>
  <c r="BN2122" i="1"/>
  <c r="BM2122" i="1"/>
  <c r="BL2122" i="1"/>
  <c r="BK2122" i="1"/>
  <c r="BH2122" i="1"/>
  <c r="BI2122" i="1" s="1"/>
  <c r="BF2122" i="1"/>
  <c r="BG2122" i="1" s="1"/>
  <c r="BE2122" i="1"/>
  <c r="BR2121" i="1"/>
  <c r="BO2121" i="1"/>
  <c r="BN2121" i="1"/>
  <c r="BM2121" i="1"/>
  <c r="BL2121" i="1"/>
  <c r="BK2121" i="1"/>
  <c r="BH2121" i="1"/>
  <c r="BI2121" i="1" s="1"/>
  <c r="BF2121" i="1"/>
  <c r="BG2121" i="1" s="1"/>
  <c r="BE2121" i="1"/>
  <c r="BR2120" i="1"/>
  <c r="BO2120" i="1"/>
  <c r="BN2120" i="1"/>
  <c r="BM2120" i="1"/>
  <c r="BL2120" i="1"/>
  <c r="BK2120" i="1"/>
  <c r="BH2120" i="1"/>
  <c r="BI2120" i="1" s="1"/>
  <c r="BF2120" i="1"/>
  <c r="BG2120" i="1" s="1"/>
  <c r="BE2120" i="1"/>
  <c r="BR2119" i="1"/>
  <c r="BO2119" i="1"/>
  <c r="BN2119" i="1"/>
  <c r="BM2119" i="1"/>
  <c r="BL2119" i="1"/>
  <c r="BK2119" i="1"/>
  <c r="BH2119" i="1"/>
  <c r="BI2119" i="1" s="1"/>
  <c r="BF2119" i="1"/>
  <c r="BG2119" i="1" s="1"/>
  <c r="BE2119" i="1"/>
  <c r="BR2118" i="1"/>
  <c r="BO2118" i="1"/>
  <c r="BN2118" i="1"/>
  <c r="BM2118" i="1"/>
  <c r="BL2118" i="1"/>
  <c r="BK2118" i="1"/>
  <c r="BH2118" i="1"/>
  <c r="BI2118" i="1" s="1"/>
  <c r="BF2118" i="1"/>
  <c r="BG2118" i="1" s="1"/>
  <c r="BE2118" i="1"/>
  <c r="BR2117" i="1"/>
  <c r="BO2117" i="1"/>
  <c r="BN2117" i="1"/>
  <c r="BM2117" i="1"/>
  <c r="BL2117" i="1"/>
  <c r="BK2117" i="1"/>
  <c r="BH2117" i="1"/>
  <c r="BI2117" i="1" s="1"/>
  <c r="BF2117" i="1"/>
  <c r="BG2117" i="1" s="1"/>
  <c r="BE2117" i="1"/>
  <c r="BR2116" i="1"/>
  <c r="BO2116" i="1"/>
  <c r="BN2116" i="1"/>
  <c r="BM2116" i="1"/>
  <c r="BL2116" i="1"/>
  <c r="BK2116" i="1"/>
  <c r="BH2116" i="1"/>
  <c r="BI2116" i="1" s="1"/>
  <c r="BF2116" i="1"/>
  <c r="BG2116" i="1" s="1"/>
  <c r="BE2116" i="1"/>
  <c r="BR2115" i="1"/>
  <c r="BO2115" i="1"/>
  <c r="BN2115" i="1"/>
  <c r="BM2115" i="1"/>
  <c r="BL2115" i="1"/>
  <c r="BK2115" i="1"/>
  <c r="BH2115" i="1"/>
  <c r="BI2115" i="1" s="1"/>
  <c r="BF2115" i="1"/>
  <c r="BG2115" i="1" s="1"/>
  <c r="BE2115" i="1"/>
  <c r="BR2114" i="1"/>
  <c r="BO2114" i="1"/>
  <c r="BN2114" i="1"/>
  <c r="BM2114" i="1"/>
  <c r="BL2114" i="1"/>
  <c r="BK2114" i="1"/>
  <c r="BH2114" i="1"/>
  <c r="BI2114" i="1" s="1"/>
  <c r="BF2114" i="1"/>
  <c r="BG2114" i="1" s="1"/>
  <c r="BE2114" i="1"/>
  <c r="BR2113" i="1"/>
  <c r="BO2113" i="1"/>
  <c r="BN2113" i="1"/>
  <c r="BM2113" i="1"/>
  <c r="BL2113" i="1"/>
  <c r="BK2113" i="1"/>
  <c r="BH2113" i="1"/>
  <c r="BI2113" i="1" s="1"/>
  <c r="BF2113" i="1"/>
  <c r="BG2113" i="1" s="1"/>
  <c r="BE2113" i="1"/>
  <c r="BR2112" i="1"/>
  <c r="BO2112" i="1"/>
  <c r="BN2112" i="1"/>
  <c r="BM2112" i="1"/>
  <c r="BL2112" i="1"/>
  <c r="BK2112" i="1"/>
  <c r="BH2112" i="1"/>
  <c r="BI2112" i="1" s="1"/>
  <c r="BF2112" i="1"/>
  <c r="BG2112" i="1" s="1"/>
  <c r="BE2112" i="1"/>
  <c r="BR2111" i="1"/>
  <c r="BO2111" i="1"/>
  <c r="BN2111" i="1"/>
  <c r="BM2111" i="1"/>
  <c r="BL2111" i="1"/>
  <c r="BK2111" i="1"/>
  <c r="BH2111" i="1"/>
  <c r="BI2111" i="1" s="1"/>
  <c r="BF2111" i="1"/>
  <c r="BG2111" i="1" s="1"/>
  <c r="BE2111" i="1"/>
  <c r="BR2110" i="1"/>
  <c r="BO2110" i="1"/>
  <c r="BN2110" i="1"/>
  <c r="BM2110" i="1"/>
  <c r="BL2110" i="1"/>
  <c r="BK2110" i="1"/>
  <c r="BH2110" i="1"/>
  <c r="BI2110" i="1" s="1"/>
  <c r="BF2110" i="1"/>
  <c r="BG2110" i="1" s="1"/>
  <c r="BE2110" i="1"/>
  <c r="BR2109" i="1"/>
  <c r="BO2109" i="1"/>
  <c r="BN2109" i="1"/>
  <c r="BM2109" i="1"/>
  <c r="BL2109" i="1"/>
  <c r="BK2109" i="1"/>
  <c r="BH2109" i="1"/>
  <c r="BI2109" i="1" s="1"/>
  <c r="BF2109" i="1"/>
  <c r="BG2109" i="1" s="1"/>
  <c r="BE2109" i="1"/>
  <c r="BR2108" i="1"/>
  <c r="BO2108" i="1"/>
  <c r="BN2108" i="1"/>
  <c r="BM2108" i="1"/>
  <c r="BL2108" i="1"/>
  <c r="BK2108" i="1"/>
  <c r="BH2108" i="1"/>
  <c r="BI2108" i="1" s="1"/>
  <c r="BF2108" i="1"/>
  <c r="BG2108" i="1" s="1"/>
  <c r="BE2108" i="1"/>
  <c r="BR2107" i="1"/>
  <c r="BO2107" i="1"/>
  <c r="BN2107" i="1"/>
  <c r="BM2107" i="1"/>
  <c r="BL2107" i="1"/>
  <c r="BK2107" i="1"/>
  <c r="BH2107" i="1"/>
  <c r="BI2107" i="1" s="1"/>
  <c r="BF2107" i="1"/>
  <c r="BG2107" i="1" s="1"/>
  <c r="BE2107" i="1"/>
  <c r="BR2106" i="1"/>
  <c r="BO2106" i="1"/>
  <c r="BN2106" i="1"/>
  <c r="BM2106" i="1"/>
  <c r="BL2106" i="1"/>
  <c r="BK2106" i="1"/>
  <c r="BH2106" i="1"/>
  <c r="BI2106" i="1" s="1"/>
  <c r="BF2106" i="1"/>
  <c r="BG2106" i="1" s="1"/>
  <c r="BE2106" i="1"/>
  <c r="BR2105" i="1"/>
  <c r="BO2105" i="1"/>
  <c r="BN2105" i="1"/>
  <c r="BM2105" i="1"/>
  <c r="BL2105" i="1"/>
  <c r="BK2105" i="1"/>
  <c r="BH2105" i="1"/>
  <c r="BI2105" i="1" s="1"/>
  <c r="BF2105" i="1"/>
  <c r="BG2105" i="1" s="1"/>
  <c r="BE2105" i="1"/>
  <c r="BR2104" i="1"/>
  <c r="BO2104" i="1"/>
  <c r="BN2104" i="1"/>
  <c r="BM2104" i="1"/>
  <c r="BL2104" i="1"/>
  <c r="BK2104" i="1"/>
  <c r="BH2104" i="1"/>
  <c r="BI2104" i="1" s="1"/>
  <c r="BF2104" i="1"/>
  <c r="BG2104" i="1" s="1"/>
  <c r="BE2104" i="1"/>
  <c r="BR2103" i="1"/>
  <c r="BO2103" i="1"/>
  <c r="BN2103" i="1"/>
  <c r="BM2103" i="1"/>
  <c r="BL2103" i="1"/>
  <c r="BK2103" i="1"/>
  <c r="BH2103" i="1"/>
  <c r="BI2103" i="1" s="1"/>
  <c r="BF2103" i="1"/>
  <c r="BG2103" i="1" s="1"/>
  <c r="BE2103" i="1"/>
  <c r="BR2102" i="1"/>
  <c r="BO2102" i="1"/>
  <c r="BN2102" i="1"/>
  <c r="BM2102" i="1"/>
  <c r="BL2102" i="1"/>
  <c r="BK2102" i="1"/>
  <c r="BH2102" i="1"/>
  <c r="BI2102" i="1" s="1"/>
  <c r="BF2102" i="1"/>
  <c r="BG2102" i="1" s="1"/>
  <c r="BE2102" i="1"/>
  <c r="BR2101" i="1"/>
  <c r="BO2101" i="1"/>
  <c r="BN2101" i="1"/>
  <c r="BM2101" i="1"/>
  <c r="BL2101" i="1"/>
  <c r="BK2101" i="1"/>
  <c r="BH2101" i="1"/>
  <c r="BI2101" i="1" s="1"/>
  <c r="BF2101" i="1"/>
  <c r="BG2101" i="1" s="1"/>
  <c r="BE2101" i="1"/>
  <c r="BR2100" i="1"/>
  <c r="BO2100" i="1"/>
  <c r="BN2100" i="1"/>
  <c r="BM2100" i="1"/>
  <c r="BL2100" i="1"/>
  <c r="BK2100" i="1"/>
  <c r="BH2100" i="1"/>
  <c r="BI2100" i="1" s="1"/>
  <c r="BF2100" i="1"/>
  <c r="BG2100" i="1" s="1"/>
  <c r="BE2100" i="1"/>
  <c r="BR2099" i="1"/>
  <c r="BO2099" i="1"/>
  <c r="BN2099" i="1"/>
  <c r="BM2099" i="1"/>
  <c r="BL2099" i="1"/>
  <c r="BK2099" i="1"/>
  <c r="BH2099" i="1"/>
  <c r="BI2099" i="1" s="1"/>
  <c r="BF2099" i="1"/>
  <c r="BG2099" i="1" s="1"/>
  <c r="BE2099" i="1"/>
  <c r="BR2098" i="1"/>
  <c r="BO2098" i="1"/>
  <c r="BN2098" i="1"/>
  <c r="BM2098" i="1"/>
  <c r="BL2098" i="1"/>
  <c r="BK2098" i="1"/>
  <c r="BH2098" i="1"/>
  <c r="BI2098" i="1" s="1"/>
  <c r="BF2098" i="1"/>
  <c r="BG2098" i="1" s="1"/>
  <c r="BE2098" i="1"/>
  <c r="BR2097" i="1"/>
  <c r="BO2097" i="1"/>
  <c r="BN2097" i="1"/>
  <c r="BM2097" i="1"/>
  <c r="BL2097" i="1"/>
  <c r="BK2097" i="1"/>
  <c r="BH2097" i="1"/>
  <c r="BI2097" i="1" s="1"/>
  <c r="BF2097" i="1"/>
  <c r="BG2097" i="1" s="1"/>
  <c r="BE2097" i="1"/>
  <c r="BR2096" i="1"/>
  <c r="BO2096" i="1"/>
  <c r="BN2096" i="1"/>
  <c r="BM2096" i="1"/>
  <c r="BL2096" i="1"/>
  <c r="BK2096" i="1"/>
  <c r="BH2096" i="1"/>
  <c r="BI2096" i="1" s="1"/>
  <c r="BF2096" i="1"/>
  <c r="BG2096" i="1" s="1"/>
  <c r="BE2096" i="1"/>
  <c r="BR2095" i="1"/>
  <c r="BO2095" i="1"/>
  <c r="BN2095" i="1"/>
  <c r="BM2095" i="1"/>
  <c r="BL2095" i="1"/>
  <c r="BK2095" i="1"/>
  <c r="BH2095" i="1"/>
  <c r="BI2095" i="1" s="1"/>
  <c r="BF2095" i="1"/>
  <c r="BG2095" i="1" s="1"/>
  <c r="BE2095" i="1"/>
  <c r="BR2094" i="1"/>
  <c r="BO2094" i="1"/>
  <c r="BN2094" i="1"/>
  <c r="BM2094" i="1"/>
  <c r="BL2094" i="1"/>
  <c r="BK2094" i="1"/>
  <c r="BH2094" i="1"/>
  <c r="BI2094" i="1" s="1"/>
  <c r="BF2094" i="1"/>
  <c r="BG2094" i="1" s="1"/>
  <c r="BE2094" i="1"/>
  <c r="BR2093" i="1"/>
  <c r="BO2093" i="1"/>
  <c r="BN2093" i="1"/>
  <c r="BM2093" i="1"/>
  <c r="BL2093" i="1"/>
  <c r="BK2093" i="1"/>
  <c r="BH2093" i="1"/>
  <c r="BI2093" i="1" s="1"/>
  <c r="BF2093" i="1"/>
  <c r="BG2093" i="1" s="1"/>
  <c r="BE2093" i="1"/>
  <c r="BR2092" i="1"/>
  <c r="BO2092" i="1"/>
  <c r="BN2092" i="1"/>
  <c r="BM2092" i="1"/>
  <c r="BL2092" i="1"/>
  <c r="BK2092" i="1"/>
  <c r="BH2092" i="1"/>
  <c r="BI2092" i="1" s="1"/>
  <c r="BF2092" i="1"/>
  <c r="BG2092" i="1" s="1"/>
  <c r="BE2092" i="1"/>
  <c r="BR2091" i="1"/>
  <c r="BO2091" i="1"/>
  <c r="BN2091" i="1"/>
  <c r="BM2091" i="1"/>
  <c r="BL2091" i="1"/>
  <c r="BK2091" i="1"/>
  <c r="BH2091" i="1"/>
  <c r="BI2091" i="1" s="1"/>
  <c r="BF2091" i="1"/>
  <c r="BG2091" i="1" s="1"/>
  <c r="BE2091" i="1"/>
  <c r="BR2090" i="1"/>
  <c r="BO2090" i="1"/>
  <c r="BN2090" i="1"/>
  <c r="BM2090" i="1"/>
  <c r="BL2090" i="1"/>
  <c r="BK2090" i="1"/>
  <c r="BH2090" i="1"/>
  <c r="BI2090" i="1" s="1"/>
  <c r="BF2090" i="1"/>
  <c r="BG2090" i="1" s="1"/>
  <c r="BE2090" i="1"/>
  <c r="BR2089" i="1"/>
  <c r="BO2089" i="1"/>
  <c r="BN2089" i="1"/>
  <c r="BM2089" i="1"/>
  <c r="BL2089" i="1"/>
  <c r="BK2089" i="1"/>
  <c r="BH2089" i="1"/>
  <c r="BI2089" i="1" s="1"/>
  <c r="BF2089" i="1"/>
  <c r="BG2089" i="1" s="1"/>
  <c r="BE2089" i="1"/>
  <c r="BR2088" i="1"/>
  <c r="BO2088" i="1"/>
  <c r="BN2088" i="1"/>
  <c r="BM2088" i="1"/>
  <c r="BL2088" i="1"/>
  <c r="BK2088" i="1"/>
  <c r="BH2088" i="1"/>
  <c r="BI2088" i="1" s="1"/>
  <c r="BF2088" i="1"/>
  <c r="BG2088" i="1" s="1"/>
  <c r="BE2088" i="1"/>
  <c r="BR2087" i="1"/>
  <c r="BO2087" i="1"/>
  <c r="BN2087" i="1"/>
  <c r="BM2087" i="1"/>
  <c r="BL2087" i="1"/>
  <c r="BK2087" i="1"/>
  <c r="BH2087" i="1"/>
  <c r="BI2087" i="1" s="1"/>
  <c r="BF2087" i="1"/>
  <c r="BG2087" i="1" s="1"/>
  <c r="BE2087" i="1"/>
  <c r="BR2086" i="1"/>
  <c r="BO2086" i="1"/>
  <c r="BN2086" i="1"/>
  <c r="BM2086" i="1"/>
  <c r="BL2086" i="1"/>
  <c r="BK2086" i="1"/>
  <c r="BH2086" i="1"/>
  <c r="BI2086" i="1" s="1"/>
  <c r="BF2086" i="1"/>
  <c r="BG2086" i="1" s="1"/>
  <c r="BE2086" i="1"/>
  <c r="BR2085" i="1"/>
  <c r="BO2085" i="1"/>
  <c r="BN2085" i="1"/>
  <c r="BM2085" i="1"/>
  <c r="BL2085" i="1"/>
  <c r="BK2085" i="1"/>
  <c r="BH2085" i="1"/>
  <c r="BI2085" i="1" s="1"/>
  <c r="BF2085" i="1"/>
  <c r="BG2085" i="1" s="1"/>
  <c r="BE2085" i="1"/>
  <c r="BR2084" i="1"/>
  <c r="BO2084" i="1"/>
  <c r="BN2084" i="1"/>
  <c r="BM2084" i="1"/>
  <c r="BL2084" i="1"/>
  <c r="BK2084" i="1"/>
  <c r="BH2084" i="1"/>
  <c r="BI2084" i="1" s="1"/>
  <c r="BF2084" i="1"/>
  <c r="BG2084" i="1" s="1"/>
  <c r="BE2084" i="1"/>
  <c r="BR2083" i="1"/>
  <c r="BO2083" i="1"/>
  <c r="BN2083" i="1"/>
  <c r="BM2083" i="1"/>
  <c r="BL2083" i="1"/>
  <c r="BK2083" i="1"/>
  <c r="BH2083" i="1"/>
  <c r="BI2083" i="1" s="1"/>
  <c r="BF2083" i="1"/>
  <c r="BG2083" i="1" s="1"/>
  <c r="BE2083" i="1"/>
  <c r="BR2082" i="1"/>
  <c r="BO2082" i="1"/>
  <c r="BN2082" i="1"/>
  <c r="BM2082" i="1"/>
  <c r="BL2082" i="1"/>
  <c r="BK2082" i="1"/>
  <c r="BH2082" i="1"/>
  <c r="BI2082" i="1" s="1"/>
  <c r="BF2082" i="1"/>
  <c r="BG2082" i="1" s="1"/>
  <c r="BE2082" i="1"/>
  <c r="BR2081" i="1"/>
  <c r="BO2081" i="1"/>
  <c r="BN2081" i="1"/>
  <c r="BM2081" i="1"/>
  <c r="BL2081" i="1"/>
  <c r="BK2081" i="1"/>
  <c r="BH2081" i="1"/>
  <c r="BI2081" i="1" s="1"/>
  <c r="BF2081" i="1"/>
  <c r="BG2081" i="1" s="1"/>
  <c r="BE2081" i="1"/>
  <c r="BR2080" i="1"/>
  <c r="BO2080" i="1"/>
  <c r="BN2080" i="1"/>
  <c r="BM2080" i="1"/>
  <c r="BL2080" i="1"/>
  <c r="BK2080" i="1"/>
  <c r="BH2080" i="1"/>
  <c r="BI2080" i="1" s="1"/>
  <c r="BF2080" i="1"/>
  <c r="BG2080" i="1" s="1"/>
  <c r="BE2080" i="1"/>
  <c r="BR2079" i="1"/>
  <c r="BO2079" i="1"/>
  <c r="BN2079" i="1"/>
  <c r="BM2079" i="1"/>
  <c r="BL2079" i="1"/>
  <c r="BK2079" i="1"/>
  <c r="BH2079" i="1"/>
  <c r="BI2079" i="1" s="1"/>
  <c r="BF2079" i="1"/>
  <c r="BG2079" i="1" s="1"/>
  <c r="BE2079" i="1"/>
  <c r="BR2078" i="1"/>
  <c r="BO2078" i="1"/>
  <c r="BN2078" i="1"/>
  <c r="BM2078" i="1"/>
  <c r="BL2078" i="1"/>
  <c r="BK2078" i="1"/>
  <c r="BH2078" i="1"/>
  <c r="BI2078" i="1" s="1"/>
  <c r="BF2078" i="1"/>
  <c r="BG2078" i="1" s="1"/>
  <c r="BE2078" i="1"/>
  <c r="BR2077" i="1"/>
  <c r="BO2077" i="1"/>
  <c r="BN2077" i="1"/>
  <c r="BM2077" i="1"/>
  <c r="BL2077" i="1"/>
  <c r="BK2077" i="1"/>
  <c r="BH2077" i="1"/>
  <c r="BI2077" i="1" s="1"/>
  <c r="BF2077" i="1"/>
  <c r="BG2077" i="1" s="1"/>
  <c r="BE2077" i="1"/>
  <c r="BR2076" i="1"/>
  <c r="BO2076" i="1"/>
  <c r="BN2076" i="1"/>
  <c r="BM2076" i="1"/>
  <c r="BL2076" i="1"/>
  <c r="BK2076" i="1"/>
  <c r="BH2076" i="1"/>
  <c r="BI2076" i="1" s="1"/>
  <c r="BF2076" i="1"/>
  <c r="BG2076" i="1" s="1"/>
  <c r="BE2076" i="1"/>
  <c r="BR2075" i="1"/>
  <c r="BO2075" i="1"/>
  <c r="BN2075" i="1"/>
  <c r="BM2075" i="1"/>
  <c r="BL2075" i="1"/>
  <c r="BK2075" i="1"/>
  <c r="BH2075" i="1"/>
  <c r="BI2075" i="1" s="1"/>
  <c r="BF2075" i="1"/>
  <c r="BG2075" i="1" s="1"/>
  <c r="BE2075" i="1"/>
  <c r="BR2074" i="1"/>
  <c r="BO2074" i="1"/>
  <c r="BN2074" i="1"/>
  <c r="BM2074" i="1"/>
  <c r="BL2074" i="1"/>
  <c r="BK2074" i="1"/>
  <c r="BH2074" i="1"/>
  <c r="BI2074" i="1" s="1"/>
  <c r="BF2074" i="1"/>
  <c r="BG2074" i="1" s="1"/>
  <c r="BE2074" i="1"/>
  <c r="BR2073" i="1"/>
  <c r="BO2073" i="1"/>
  <c r="BN2073" i="1"/>
  <c r="BM2073" i="1"/>
  <c r="BL2073" i="1"/>
  <c r="BK2073" i="1"/>
  <c r="BH2073" i="1"/>
  <c r="BI2073" i="1" s="1"/>
  <c r="BF2073" i="1"/>
  <c r="BG2073" i="1" s="1"/>
  <c r="BE2073" i="1"/>
  <c r="BR2072" i="1"/>
  <c r="BO2072" i="1"/>
  <c r="BN2072" i="1"/>
  <c r="BM2072" i="1"/>
  <c r="BL2072" i="1"/>
  <c r="BK2072" i="1"/>
  <c r="BH2072" i="1"/>
  <c r="BF2072" i="1"/>
  <c r="BG2072" i="1" s="1"/>
  <c r="BE2072" i="1"/>
  <c r="BR2071" i="1"/>
  <c r="BO2071" i="1"/>
  <c r="BN2071" i="1"/>
  <c r="BM2071" i="1"/>
  <c r="BL2071" i="1"/>
  <c r="BK2071" i="1"/>
  <c r="BH2071" i="1"/>
  <c r="BI2071" i="1" s="1"/>
  <c r="BF2071" i="1"/>
  <c r="BG2071" i="1" s="1"/>
  <c r="BE2071" i="1"/>
  <c r="BR2070" i="1"/>
  <c r="BO2070" i="1"/>
  <c r="BN2070" i="1"/>
  <c r="BM2070" i="1"/>
  <c r="BL2070" i="1"/>
  <c r="BK2070" i="1"/>
  <c r="BH2070" i="1"/>
  <c r="BF2070" i="1"/>
  <c r="BG2070" i="1" s="1"/>
  <c r="BE2070" i="1"/>
  <c r="BR2069" i="1"/>
  <c r="BO2069" i="1"/>
  <c r="BN2069" i="1"/>
  <c r="BM2069" i="1"/>
  <c r="BL2069" i="1"/>
  <c r="BK2069" i="1"/>
  <c r="BH2069" i="1"/>
  <c r="BI2069" i="1" s="1"/>
  <c r="BF2069" i="1"/>
  <c r="BG2069" i="1" s="1"/>
  <c r="BE2069" i="1"/>
  <c r="BR2068" i="1"/>
  <c r="BO2068" i="1"/>
  <c r="BN2068" i="1"/>
  <c r="BM2068" i="1"/>
  <c r="BL2068" i="1"/>
  <c r="BK2068" i="1"/>
  <c r="BH2068" i="1"/>
  <c r="BF2068" i="1"/>
  <c r="BG2068" i="1" s="1"/>
  <c r="BE2068" i="1"/>
  <c r="BR2067" i="1"/>
  <c r="BO2067" i="1"/>
  <c r="BN2067" i="1"/>
  <c r="BM2067" i="1"/>
  <c r="BL2067" i="1"/>
  <c r="BK2067" i="1"/>
  <c r="BH2067" i="1"/>
  <c r="BI2067" i="1" s="1"/>
  <c r="BF2067" i="1"/>
  <c r="BG2067" i="1" s="1"/>
  <c r="BE2067" i="1"/>
  <c r="BR2066" i="1"/>
  <c r="BO2066" i="1"/>
  <c r="BN2066" i="1"/>
  <c r="BM2066" i="1"/>
  <c r="BL2066" i="1"/>
  <c r="BK2066" i="1"/>
  <c r="BH2066" i="1"/>
  <c r="BF2066" i="1"/>
  <c r="BG2066" i="1" s="1"/>
  <c r="BE2066" i="1"/>
  <c r="BR2065" i="1"/>
  <c r="BO2065" i="1"/>
  <c r="BN2065" i="1"/>
  <c r="BM2065" i="1"/>
  <c r="BL2065" i="1"/>
  <c r="BK2065" i="1"/>
  <c r="BH2065" i="1"/>
  <c r="BI2065" i="1" s="1"/>
  <c r="BF2065" i="1"/>
  <c r="BG2065" i="1" s="1"/>
  <c r="BE2065" i="1"/>
  <c r="BR2064" i="1"/>
  <c r="BO2064" i="1"/>
  <c r="BN2064" i="1"/>
  <c r="BM2064" i="1"/>
  <c r="BL2064" i="1"/>
  <c r="BK2064" i="1"/>
  <c r="BH2064" i="1"/>
  <c r="BF2064" i="1"/>
  <c r="BG2064" i="1" s="1"/>
  <c r="BE2064" i="1"/>
  <c r="BR2063" i="1"/>
  <c r="BO2063" i="1"/>
  <c r="BN2063" i="1"/>
  <c r="BM2063" i="1"/>
  <c r="BL2063" i="1"/>
  <c r="BK2063" i="1"/>
  <c r="BH2063" i="1"/>
  <c r="BI2063" i="1" s="1"/>
  <c r="BF2063" i="1"/>
  <c r="BG2063" i="1" s="1"/>
  <c r="BE2063" i="1"/>
  <c r="BR2062" i="1"/>
  <c r="BO2062" i="1"/>
  <c r="BN2062" i="1"/>
  <c r="BM2062" i="1"/>
  <c r="BL2062" i="1"/>
  <c r="BK2062" i="1"/>
  <c r="BH2062" i="1"/>
  <c r="BF2062" i="1"/>
  <c r="BG2062" i="1" s="1"/>
  <c r="BE2062" i="1"/>
  <c r="BR2061" i="1"/>
  <c r="BO2061" i="1"/>
  <c r="BN2061" i="1"/>
  <c r="BM2061" i="1"/>
  <c r="BL2061" i="1"/>
  <c r="BK2061" i="1"/>
  <c r="BH2061" i="1"/>
  <c r="BI2061" i="1" s="1"/>
  <c r="BF2061" i="1"/>
  <c r="BG2061" i="1" s="1"/>
  <c r="BE2061" i="1"/>
  <c r="BR2060" i="1"/>
  <c r="BO2060" i="1"/>
  <c r="BN2060" i="1"/>
  <c r="BM2060" i="1"/>
  <c r="BL2060" i="1"/>
  <c r="BK2060" i="1"/>
  <c r="BH2060" i="1"/>
  <c r="BF2060" i="1"/>
  <c r="BG2060" i="1" s="1"/>
  <c r="BE2060" i="1"/>
  <c r="BR2059" i="1"/>
  <c r="BO2059" i="1"/>
  <c r="BN2059" i="1"/>
  <c r="BM2059" i="1"/>
  <c r="BL2059" i="1"/>
  <c r="BK2059" i="1"/>
  <c r="BH2059" i="1"/>
  <c r="BI2059" i="1" s="1"/>
  <c r="BF2059" i="1"/>
  <c r="BG2059" i="1" s="1"/>
  <c r="BE2059" i="1"/>
  <c r="BR2058" i="1"/>
  <c r="BO2058" i="1"/>
  <c r="BN2058" i="1"/>
  <c r="BM2058" i="1"/>
  <c r="BL2058" i="1"/>
  <c r="BK2058" i="1"/>
  <c r="BH2058" i="1"/>
  <c r="BF2058" i="1"/>
  <c r="BG2058" i="1" s="1"/>
  <c r="BE2058" i="1"/>
  <c r="BR2057" i="1"/>
  <c r="BO2057" i="1"/>
  <c r="BN2057" i="1"/>
  <c r="BM2057" i="1"/>
  <c r="BL2057" i="1"/>
  <c r="BK2057" i="1"/>
  <c r="BH2057" i="1"/>
  <c r="BI2057" i="1" s="1"/>
  <c r="BF2057" i="1"/>
  <c r="BG2057" i="1" s="1"/>
  <c r="BE2057" i="1"/>
  <c r="BR2056" i="1"/>
  <c r="BO2056" i="1"/>
  <c r="BN2056" i="1"/>
  <c r="BM2056" i="1"/>
  <c r="BL2056" i="1"/>
  <c r="BK2056" i="1"/>
  <c r="BH2056" i="1"/>
  <c r="BF2056" i="1"/>
  <c r="BG2056" i="1" s="1"/>
  <c r="BE2056" i="1"/>
  <c r="BR2055" i="1"/>
  <c r="BO2055" i="1"/>
  <c r="BN2055" i="1"/>
  <c r="BM2055" i="1"/>
  <c r="BL2055" i="1"/>
  <c r="BK2055" i="1"/>
  <c r="BH2055" i="1"/>
  <c r="BI2055" i="1" s="1"/>
  <c r="BF2055" i="1"/>
  <c r="BG2055" i="1" s="1"/>
  <c r="BE2055" i="1"/>
  <c r="BR2054" i="1"/>
  <c r="BO2054" i="1"/>
  <c r="BN2054" i="1"/>
  <c r="BM2054" i="1"/>
  <c r="BL2054" i="1"/>
  <c r="BK2054" i="1"/>
  <c r="BH2054" i="1"/>
  <c r="BF2054" i="1"/>
  <c r="BG2054" i="1" s="1"/>
  <c r="BE2054" i="1"/>
  <c r="BR2053" i="1"/>
  <c r="BO2053" i="1"/>
  <c r="BN2053" i="1"/>
  <c r="BM2053" i="1"/>
  <c r="BL2053" i="1"/>
  <c r="BK2053" i="1"/>
  <c r="BH2053" i="1"/>
  <c r="BI2053" i="1" s="1"/>
  <c r="BF2053" i="1"/>
  <c r="BG2053" i="1" s="1"/>
  <c r="BE2053" i="1"/>
  <c r="BR2052" i="1"/>
  <c r="BO2052" i="1"/>
  <c r="BN2052" i="1"/>
  <c r="BM2052" i="1"/>
  <c r="BL2052" i="1"/>
  <c r="BK2052" i="1"/>
  <c r="BH2052" i="1"/>
  <c r="BF2052" i="1"/>
  <c r="BG2052" i="1" s="1"/>
  <c r="BE2052" i="1"/>
  <c r="BR2051" i="1"/>
  <c r="BO2051" i="1"/>
  <c r="BN2051" i="1"/>
  <c r="BM2051" i="1"/>
  <c r="BL2051" i="1"/>
  <c r="BK2051" i="1"/>
  <c r="BH2051" i="1"/>
  <c r="BI2051" i="1" s="1"/>
  <c r="BF2051" i="1"/>
  <c r="BG2051" i="1" s="1"/>
  <c r="BE2051" i="1"/>
  <c r="BR2050" i="1"/>
  <c r="BO2050" i="1"/>
  <c r="BN2050" i="1"/>
  <c r="BM2050" i="1"/>
  <c r="BL2050" i="1"/>
  <c r="BK2050" i="1"/>
  <c r="BH2050" i="1"/>
  <c r="BF2050" i="1"/>
  <c r="BG2050" i="1" s="1"/>
  <c r="BE2050" i="1"/>
  <c r="BR2049" i="1"/>
  <c r="BO2049" i="1"/>
  <c r="BN2049" i="1"/>
  <c r="BM2049" i="1"/>
  <c r="BL2049" i="1"/>
  <c r="BK2049" i="1"/>
  <c r="BH2049" i="1"/>
  <c r="BI2049" i="1" s="1"/>
  <c r="BF2049" i="1"/>
  <c r="BG2049" i="1" s="1"/>
  <c r="BE2049" i="1"/>
  <c r="BR2048" i="1"/>
  <c r="BO2048" i="1"/>
  <c r="BN2048" i="1"/>
  <c r="BM2048" i="1"/>
  <c r="BL2048" i="1"/>
  <c r="BK2048" i="1"/>
  <c r="BH2048" i="1"/>
  <c r="BF2048" i="1"/>
  <c r="BG2048" i="1" s="1"/>
  <c r="BE2048" i="1"/>
  <c r="BR2047" i="1"/>
  <c r="BO2047" i="1"/>
  <c r="BN2047" i="1"/>
  <c r="BM2047" i="1"/>
  <c r="BL2047" i="1"/>
  <c r="BK2047" i="1"/>
  <c r="BH2047" i="1"/>
  <c r="BI2047" i="1" s="1"/>
  <c r="BF2047" i="1"/>
  <c r="BG2047" i="1" s="1"/>
  <c r="BE2047" i="1"/>
  <c r="BR2046" i="1"/>
  <c r="BO2046" i="1"/>
  <c r="BN2046" i="1"/>
  <c r="BM2046" i="1"/>
  <c r="BL2046" i="1"/>
  <c r="BK2046" i="1"/>
  <c r="BH2046" i="1"/>
  <c r="BF2046" i="1"/>
  <c r="BG2046" i="1" s="1"/>
  <c r="BE2046" i="1"/>
  <c r="BR2045" i="1"/>
  <c r="BO2045" i="1"/>
  <c r="BN2045" i="1"/>
  <c r="BM2045" i="1"/>
  <c r="BL2045" i="1"/>
  <c r="BK2045" i="1"/>
  <c r="BH2045" i="1"/>
  <c r="BI2045" i="1" s="1"/>
  <c r="BF2045" i="1"/>
  <c r="BG2045" i="1" s="1"/>
  <c r="BE2045" i="1"/>
  <c r="BR2044" i="1"/>
  <c r="BO2044" i="1"/>
  <c r="BN2044" i="1"/>
  <c r="BM2044" i="1"/>
  <c r="BL2044" i="1"/>
  <c r="BK2044" i="1"/>
  <c r="BH2044" i="1"/>
  <c r="BF2044" i="1"/>
  <c r="BG2044" i="1" s="1"/>
  <c r="BE2044" i="1"/>
  <c r="BR2043" i="1"/>
  <c r="BO2043" i="1"/>
  <c r="BN2043" i="1"/>
  <c r="BM2043" i="1"/>
  <c r="BL2043" i="1"/>
  <c r="BK2043" i="1"/>
  <c r="BH2043" i="1"/>
  <c r="BI2043" i="1" s="1"/>
  <c r="BF2043" i="1"/>
  <c r="BG2043" i="1" s="1"/>
  <c r="BE2043" i="1"/>
  <c r="BR2042" i="1"/>
  <c r="BO2042" i="1"/>
  <c r="BN2042" i="1"/>
  <c r="BM2042" i="1"/>
  <c r="BL2042" i="1"/>
  <c r="BK2042" i="1"/>
  <c r="BH2042" i="1"/>
  <c r="BF2042" i="1"/>
  <c r="BG2042" i="1" s="1"/>
  <c r="BE2042" i="1"/>
  <c r="BR2041" i="1"/>
  <c r="BO2041" i="1"/>
  <c r="BN2041" i="1"/>
  <c r="BM2041" i="1"/>
  <c r="BL2041" i="1"/>
  <c r="BK2041" i="1"/>
  <c r="BH2041" i="1"/>
  <c r="BI2041" i="1" s="1"/>
  <c r="BF2041" i="1"/>
  <c r="BG2041" i="1" s="1"/>
  <c r="BE2041" i="1"/>
  <c r="BR2040" i="1"/>
  <c r="BO2040" i="1"/>
  <c r="BN2040" i="1"/>
  <c r="BM2040" i="1"/>
  <c r="BL2040" i="1"/>
  <c r="BK2040" i="1"/>
  <c r="BH2040" i="1"/>
  <c r="BI2040" i="1" s="1"/>
  <c r="BF2040" i="1"/>
  <c r="BG2040" i="1" s="1"/>
  <c r="BE2040" i="1"/>
  <c r="BR2039" i="1"/>
  <c r="BO2039" i="1"/>
  <c r="BN2039" i="1"/>
  <c r="BM2039" i="1"/>
  <c r="BL2039" i="1"/>
  <c r="BK2039" i="1"/>
  <c r="BH2039" i="1"/>
  <c r="BI2039" i="1" s="1"/>
  <c r="BF2039" i="1"/>
  <c r="BG2039" i="1" s="1"/>
  <c r="BE2039" i="1"/>
  <c r="BR2038" i="1"/>
  <c r="BO2038" i="1"/>
  <c r="BN2038" i="1"/>
  <c r="BM2038" i="1"/>
  <c r="BL2038" i="1"/>
  <c r="BK2038" i="1"/>
  <c r="BH2038" i="1"/>
  <c r="BI2038" i="1" s="1"/>
  <c r="BF2038" i="1"/>
  <c r="BG2038" i="1" s="1"/>
  <c r="BE2038" i="1"/>
  <c r="BR2037" i="1"/>
  <c r="BO2037" i="1"/>
  <c r="BN2037" i="1"/>
  <c r="BM2037" i="1"/>
  <c r="BL2037" i="1"/>
  <c r="BK2037" i="1"/>
  <c r="BH2037" i="1"/>
  <c r="BI2037" i="1" s="1"/>
  <c r="BF2037" i="1"/>
  <c r="BG2037" i="1" s="1"/>
  <c r="BE2037" i="1"/>
  <c r="BR2036" i="1"/>
  <c r="BO2036" i="1"/>
  <c r="BN2036" i="1"/>
  <c r="BM2036" i="1"/>
  <c r="BL2036" i="1"/>
  <c r="BK2036" i="1"/>
  <c r="BH2036" i="1"/>
  <c r="BI2036" i="1" s="1"/>
  <c r="BF2036" i="1"/>
  <c r="BG2036" i="1" s="1"/>
  <c r="BE2036" i="1"/>
  <c r="BR2035" i="1"/>
  <c r="BO2035" i="1"/>
  <c r="BN2035" i="1"/>
  <c r="BM2035" i="1"/>
  <c r="BL2035" i="1"/>
  <c r="BK2035" i="1"/>
  <c r="BH2035" i="1"/>
  <c r="BF2035" i="1"/>
  <c r="BG2035" i="1" s="1"/>
  <c r="BE2035" i="1"/>
  <c r="BR2034" i="1"/>
  <c r="BO2034" i="1"/>
  <c r="BN2034" i="1"/>
  <c r="BM2034" i="1"/>
  <c r="BL2034" i="1"/>
  <c r="BK2034" i="1"/>
  <c r="BH2034" i="1"/>
  <c r="BI2034" i="1" s="1"/>
  <c r="BF2034" i="1"/>
  <c r="BG2034" i="1" s="1"/>
  <c r="BE2034" i="1"/>
  <c r="BR2033" i="1"/>
  <c r="BO2033" i="1"/>
  <c r="BN2033" i="1"/>
  <c r="BM2033" i="1"/>
  <c r="BL2033" i="1"/>
  <c r="BK2033" i="1"/>
  <c r="BH2033" i="1"/>
  <c r="BI2033" i="1" s="1"/>
  <c r="BF2033" i="1"/>
  <c r="BG2033" i="1" s="1"/>
  <c r="BE2033" i="1"/>
  <c r="BR2032" i="1"/>
  <c r="BO2032" i="1"/>
  <c r="BN2032" i="1"/>
  <c r="BM2032" i="1"/>
  <c r="BL2032" i="1"/>
  <c r="BK2032" i="1"/>
  <c r="BH2032" i="1"/>
  <c r="BI2032" i="1" s="1"/>
  <c r="BF2032" i="1"/>
  <c r="BG2032" i="1" s="1"/>
  <c r="BE2032" i="1"/>
  <c r="BR2031" i="1"/>
  <c r="BO2031" i="1"/>
  <c r="BN2031" i="1"/>
  <c r="BM2031" i="1"/>
  <c r="BL2031" i="1"/>
  <c r="BK2031" i="1"/>
  <c r="BH2031" i="1"/>
  <c r="BI2031" i="1" s="1"/>
  <c r="BF2031" i="1"/>
  <c r="BG2031" i="1" s="1"/>
  <c r="BE2031" i="1"/>
  <c r="BR2030" i="1"/>
  <c r="BO2030" i="1"/>
  <c r="BN2030" i="1"/>
  <c r="BM2030" i="1"/>
  <c r="BL2030" i="1"/>
  <c r="BK2030" i="1"/>
  <c r="BH2030" i="1"/>
  <c r="BI2030" i="1" s="1"/>
  <c r="BF2030" i="1"/>
  <c r="BG2030" i="1" s="1"/>
  <c r="BE2030" i="1"/>
  <c r="BR2029" i="1"/>
  <c r="BO2029" i="1"/>
  <c r="BN2029" i="1"/>
  <c r="BM2029" i="1"/>
  <c r="BL2029" i="1"/>
  <c r="BK2029" i="1"/>
  <c r="BH2029" i="1"/>
  <c r="BI2029" i="1" s="1"/>
  <c r="BF2029" i="1"/>
  <c r="BG2029" i="1" s="1"/>
  <c r="BE2029" i="1"/>
  <c r="BR2028" i="1"/>
  <c r="BO2028" i="1"/>
  <c r="BN2028" i="1"/>
  <c r="BM2028" i="1"/>
  <c r="BL2028" i="1"/>
  <c r="BK2028" i="1"/>
  <c r="BH2028" i="1"/>
  <c r="BF2028" i="1"/>
  <c r="BG2028" i="1" s="1"/>
  <c r="BE2028" i="1"/>
  <c r="BR2027" i="1"/>
  <c r="BO2027" i="1"/>
  <c r="BN2027" i="1"/>
  <c r="BM2027" i="1"/>
  <c r="BL2027" i="1"/>
  <c r="BK2027" i="1"/>
  <c r="BH2027" i="1"/>
  <c r="BI2027" i="1" s="1"/>
  <c r="BF2027" i="1"/>
  <c r="BG2027" i="1" s="1"/>
  <c r="BE2027" i="1"/>
  <c r="BR2026" i="1"/>
  <c r="BO2026" i="1"/>
  <c r="BN2026" i="1"/>
  <c r="BM2026" i="1"/>
  <c r="BL2026" i="1"/>
  <c r="BK2026" i="1"/>
  <c r="BH2026" i="1"/>
  <c r="BF2026" i="1"/>
  <c r="BG2026" i="1" s="1"/>
  <c r="BE2026" i="1"/>
  <c r="BR2025" i="1"/>
  <c r="BO2025" i="1"/>
  <c r="BN2025" i="1"/>
  <c r="BM2025" i="1"/>
  <c r="BL2025" i="1"/>
  <c r="BK2025" i="1"/>
  <c r="BH2025" i="1"/>
  <c r="BI2025" i="1" s="1"/>
  <c r="BF2025" i="1"/>
  <c r="BG2025" i="1" s="1"/>
  <c r="BE2025" i="1"/>
  <c r="BR2024" i="1"/>
  <c r="BO2024" i="1"/>
  <c r="BN2024" i="1"/>
  <c r="BM2024" i="1"/>
  <c r="BL2024" i="1"/>
  <c r="BK2024" i="1"/>
  <c r="BH2024" i="1"/>
  <c r="BI2024" i="1" s="1"/>
  <c r="BF2024" i="1"/>
  <c r="BG2024" i="1" s="1"/>
  <c r="BE2024" i="1"/>
  <c r="BR2023" i="1"/>
  <c r="BO2023" i="1"/>
  <c r="BN2023" i="1"/>
  <c r="BM2023" i="1"/>
  <c r="BL2023" i="1"/>
  <c r="BK2023" i="1"/>
  <c r="BH2023" i="1"/>
  <c r="BI2023" i="1" s="1"/>
  <c r="BF2023" i="1"/>
  <c r="BG2023" i="1" s="1"/>
  <c r="BE2023" i="1"/>
  <c r="BR2022" i="1"/>
  <c r="BO2022" i="1"/>
  <c r="BN2022" i="1"/>
  <c r="BM2022" i="1"/>
  <c r="BL2022" i="1"/>
  <c r="BK2022" i="1"/>
  <c r="BH2022" i="1"/>
  <c r="BI2022" i="1" s="1"/>
  <c r="BF2022" i="1"/>
  <c r="BG2022" i="1" s="1"/>
  <c r="BE2022" i="1"/>
  <c r="BR2021" i="1"/>
  <c r="BO2021" i="1"/>
  <c r="BN2021" i="1"/>
  <c r="BM2021" i="1"/>
  <c r="BL2021" i="1"/>
  <c r="BK2021" i="1"/>
  <c r="BH2021" i="1"/>
  <c r="BI2021" i="1" s="1"/>
  <c r="BF2021" i="1"/>
  <c r="BG2021" i="1" s="1"/>
  <c r="BE2021" i="1"/>
  <c r="BR2020" i="1"/>
  <c r="BO2020" i="1"/>
  <c r="BN2020" i="1"/>
  <c r="BM2020" i="1"/>
  <c r="BL2020" i="1"/>
  <c r="BK2020" i="1"/>
  <c r="BH2020" i="1"/>
  <c r="BI2020" i="1" s="1"/>
  <c r="BF2020" i="1"/>
  <c r="BG2020" i="1" s="1"/>
  <c r="BE2020" i="1"/>
  <c r="BR2019" i="1"/>
  <c r="BO2019" i="1"/>
  <c r="BN2019" i="1"/>
  <c r="BM2019" i="1"/>
  <c r="BL2019" i="1"/>
  <c r="BK2019" i="1"/>
  <c r="BH2019" i="1"/>
  <c r="BF2019" i="1"/>
  <c r="BG2019" i="1" s="1"/>
  <c r="BE2019" i="1"/>
  <c r="BR2018" i="1"/>
  <c r="BO2018" i="1"/>
  <c r="BN2018" i="1"/>
  <c r="BM2018" i="1"/>
  <c r="BL2018" i="1"/>
  <c r="BK2018" i="1"/>
  <c r="BH2018" i="1"/>
  <c r="BI2018" i="1" s="1"/>
  <c r="BF2018" i="1"/>
  <c r="BG2018" i="1" s="1"/>
  <c r="BE2018" i="1"/>
  <c r="BR2017" i="1"/>
  <c r="BO2017" i="1"/>
  <c r="BN2017" i="1"/>
  <c r="BM2017" i="1"/>
  <c r="BL2017" i="1"/>
  <c r="BK2017" i="1"/>
  <c r="BH2017" i="1"/>
  <c r="BI2017" i="1" s="1"/>
  <c r="BF2017" i="1"/>
  <c r="BG2017" i="1" s="1"/>
  <c r="BE2017" i="1"/>
  <c r="BR2016" i="1"/>
  <c r="BO2016" i="1"/>
  <c r="BN2016" i="1"/>
  <c r="BM2016" i="1"/>
  <c r="BL2016" i="1"/>
  <c r="BK2016" i="1"/>
  <c r="BH2016" i="1"/>
  <c r="BI2016" i="1" s="1"/>
  <c r="BF2016" i="1"/>
  <c r="BG2016" i="1" s="1"/>
  <c r="BE2016" i="1"/>
  <c r="BR2015" i="1"/>
  <c r="BO2015" i="1"/>
  <c r="BN2015" i="1"/>
  <c r="BM2015" i="1"/>
  <c r="BL2015" i="1"/>
  <c r="BK2015" i="1"/>
  <c r="BH2015" i="1"/>
  <c r="BI2015" i="1" s="1"/>
  <c r="BF2015" i="1"/>
  <c r="BG2015" i="1" s="1"/>
  <c r="BE2015" i="1"/>
  <c r="BR2014" i="1"/>
  <c r="BO2014" i="1"/>
  <c r="BN2014" i="1"/>
  <c r="BM2014" i="1"/>
  <c r="BL2014" i="1"/>
  <c r="BK2014" i="1"/>
  <c r="BH2014" i="1"/>
  <c r="BI2014" i="1" s="1"/>
  <c r="BF2014" i="1"/>
  <c r="BG2014" i="1" s="1"/>
  <c r="BE2014" i="1"/>
  <c r="BR2013" i="1"/>
  <c r="BO2013" i="1"/>
  <c r="BN2013" i="1"/>
  <c r="BM2013" i="1"/>
  <c r="BL2013" i="1"/>
  <c r="BK2013" i="1"/>
  <c r="BH2013" i="1"/>
  <c r="BF2013" i="1"/>
  <c r="BG2013" i="1" s="1"/>
  <c r="BE2013" i="1"/>
  <c r="BR2012" i="1"/>
  <c r="BO2012" i="1"/>
  <c r="BN2012" i="1"/>
  <c r="BM2012" i="1"/>
  <c r="BL2012" i="1"/>
  <c r="BK2012" i="1"/>
  <c r="BH2012" i="1"/>
  <c r="BI2012" i="1" s="1"/>
  <c r="BF2012" i="1"/>
  <c r="BG2012" i="1" s="1"/>
  <c r="BE2012" i="1"/>
  <c r="BR2011" i="1"/>
  <c r="BO2011" i="1"/>
  <c r="BN2011" i="1"/>
  <c r="BM2011" i="1"/>
  <c r="BL2011" i="1"/>
  <c r="BK2011" i="1"/>
  <c r="BH2011" i="1"/>
  <c r="BI2011" i="1" s="1"/>
  <c r="BF2011" i="1"/>
  <c r="BG2011" i="1" s="1"/>
  <c r="BE2011" i="1"/>
  <c r="BR2010" i="1"/>
  <c r="BO2010" i="1"/>
  <c r="BN2010" i="1"/>
  <c r="BM2010" i="1"/>
  <c r="BL2010" i="1"/>
  <c r="BK2010" i="1"/>
  <c r="BH2010" i="1"/>
  <c r="BI2010" i="1" s="1"/>
  <c r="BF2010" i="1"/>
  <c r="BG2010" i="1" s="1"/>
  <c r="BE2010" i="1"/>
  <c r="BR2009" i="1"/>
  <c r="BO2009" i="1"/>
  <c r="BN2009" i="1"/>
  <c r="BM2009" i="1"/>
  <c r="BL2009" i="1"/>
  <c r="BK2009" i="1"/>
  <c r="BH2009" i="1"/>
  <c r="BI2009" i="1" s="1"/>
  <c r="BF2009" i="1"/>
  <c r="BG2009" i="1" s="1"/>
  <c r="BE2009" i="1"/>
  <c r="BR2008" i="1"/>
  <c r="BO2008" i="1"/>
  <c r="BN2008" i="1"/>
  <c r="BM2008" i="1"/>
  <c r="BL2008" i="1"/>
  <c r="BK2008" i="1"/>
  <c r="BH2008" i="1"/>
  <c r="BI2008" i="1" s="1"/>
  <c r="BF2008" i="1"/>
  <c r="BG2008" i="1" s="1"/>
  <c r="BE2008" i="1"/>
  <c r="BR2007" i="1"/>
  <c r="BO2007" i="1"/>
  <c r="BN2007" i="1"/>
  <c r="BM2007" i="1"/>
  <c r="BL2007" i="1"/>
  <c r="BK2007" i="1"/>
  <c r="BH2007" i="1"/>
  <c r="BI2007" i="1" s="1"/>
  <c r="BF2007" i="1"/>
  <c r="BG2007" i="1" s="1"/>
  <c r="BE2007" i="1"/>
  <c r="BR2006" i="1"/>
  <c r="BO2006" i="1"/>
  <c r="BN2006" i="1"/>
  <c r="BM2006" i="1"/>
  <c r="BL2006" i="1"/>
  <c r="BK2006" i="1"/>
  <c r="BH2006" i="1"/>
  <c r="BF2006" i="1"/>
  <c r="BG2006" i="1" s="1"/>
  <c r="BE2006" i="1"/>
  <c r="BR2005" i="1"/>
  <c r="BO2005" i="1"/>
  <c r="BN2005" i="1"/>
  <c r="BM2005" i="1"/>
  <c r="BL2005" i="1"/>
  <c r="BK2005" i="1"/>
  <c r="BH2005" i="1"/>
  <c r="BI2005" i="1" s="1"/>
  <c r="BF2005" i="1"/>
  <c r="BG2005" i="1" s="1"/>
  <c r="BE2005" i="1"/>
  <c r="BR2004" i="1"/>
  <c r="BO2004" i="1"/>
  <c r="BN2004" i="1"/>
  <c r="BM2004" i="1"/>
  <c r="BL2004" i="1"/>
  <c r="BK2004" i="1"/>
  <c r="BH2004" i="1"/>
  <c r="BF2004" i="1"/>
  <c r="BG2004" i="1" s="1"/>
  <c r="BE2004" i="1"/>
  <c r="BR2003" i="1"/>
  <c r="BO2003" i="1"/>
  <c r="BN2003" i="1"/>
  <c r="BM2003" i="1"/>
  <c r="BL2003" i="1"/>
  <c r="BK2003" i="1"/>
  <c r="BH2003" i="1"/>
  <c r="BF2003" i="1"/>
  <c r="BG2003" i="1" s="1"/>
  <c r="BE2003" i="1"/>
  <c r="BR2002" i="1"/>
  <c r="BO2002" i="1"/>
  <c r="BN2002" i="1"/>
  <c r="BM2002" i="1"/>
  <c r="BL2002" i="1"/>
  <c r="BK2002" i="1"/>
  <c r="BH2002" i="1"/>
  <c r="BI2002" i="1" s="1"/>
  <c r="BF2002" i="1"/>
  <c r="BG2002" i="1" s="1"/>
  <c r="BE2002" i="1"/>
  <c r="BR2001" i="1"/>
  <c r="BO2001" i="1"/>
  <c r="BN2001" i="1"/>
  <c r="BM2001" i="1"/>
  <c r="BL2001" i="1"/>
  <c r="BK2001" i="1"/>
  <c r="BH2001" i="1"/>
  <c r="BI2001" i="1" s="1"/>
  <c r="BF2001" i="1"/>
  <c r="BG2001" i="1" s="1"/>
  <c r="BE2001" i="1"/>
  <c r="BR2000" i="1"/>
  <c r="BO2000" i="1"/>
  <c r="BN2000" i="1"/>
  <c r="BM2000" i="1"/>
  <c r="BL2000" i="1"/>
  <c r="BK2000" i="1"/>
  <c r="BH2000" i="1"/>
  <c r="BI2000" i="1" s="1"/>
  <c r="BF2000" i="1"/>
  <c r="BG2000" i="1" s="1"/>
  <c r="BE2000" i="1"/>
  <c r="BR1999" i="1"/>
  <c r="BO1999" i="1"/>
  <c r="BN1999" i="1"/>
  <c r="BM1999" i="1"/>
  <c r="BL1999" i="1"/>
  <c r="BK1999" i="1"/>
  <c r="BH1999" i="1"/>
  <c r="BF1999" i="1"/>
  <c r="BG1999" i="1" s="1"/>
  <c r="BE1999" i="1"/>
  <c r="BR1998" i="1"/>
  <c r="BO1998" i="1"/>
  <c r="BN1998" i="1"/>
  <c r="BM1998" i="1"/>
  <c r="BL1998" i="1"/>
  <c r="BK1998" i="1"/>
  <c r="BH1998" i="1"/>
  <c r="BI1998" i="1" s="1"/>
  <c r="BF1998" i="1"/>
  <c r="BG1998" i="1" s="1"/>
  <c r="BE1998" i="1"/>
  <c r="BR1997" i="1"/>
  <c r="BO1997" i="1"/>
  <c r="BN1997" i="1"/>
  <c r="BM1997" i="1"/>
  <c r="BL1997" i="1"/>
  <c r="BK1997" i="1"/>
  <c r="BH1997" i="1"/>
  <c r="BI1997" i="1" s="1"/>
  <c r="BF1997" i="1"/>
  <c r="BG1997" i="1" s="1"/>
  <c r="BE1997" i="1"/>
  <c r="BR1996" i="1"/>
  <c r="BO1996" i="1"/>
  <c r="BN1996" i="1"/>
  <c r="BM1996" i="1"/>
  <c r="BL1996" i="1"/>
  <c r="BK1996" i="1"/>
  <c r="BH1996" i="1"/>
  <c r="BI1996" i="1" s="1"/>
  <c r="BF1996" i="1"/>
  <c r="BG1996" i="1" s="1"/>
  <c r="BE1996" i="1"/>
  <c r="BR1995" i="1"/>
  <c r="BO1995" i="1"/>
  <c r="BN1995" i="1"/>
  <c r="BM1995" i="1"/>
  <c r="BL1995" i="1"/>
  <c r="BK1995" i="1"/>
  <c r="BH1995" i="1"/>
  <c r="BI1995" i="1" s="1"/>
  <c r="BF1995" i="1"/>
  <c r="BG1995" i="1" s="1"/>
  <c r="BE1995" i="1"/>
  <c r="BR1994" i="1"/>
  <c r="BO1994" i="1"/>
  <c r="BN1994" i="1"/>
  <c r="BM1994" i="1"/>
  <c r="BL1994" i="1"/>
  <c r="BK1994" i="1"/>
  <c r="BH1994" i="1"/>
  <c r="BI1994" i="1" s="1"/>
  <c r="BF1994" i="1"/>
  <c r="BG1994" i="1" s="1"/>
  <c r="BE1994" i="1"/>
  <c r="BR1993" i="1"/>
  <c r="BO1993" i="1"/>
  <c r="BN1993" i="1"/>
  <c r="BM1993" i="1"/>
  <c r="BL1993" i="1"/>
  <c r="BK1993" i="1"/>
  <c r="BH1993" i="1"/>
  <c r="BI1993" i="1" s="1"/>
  <c r="BF1993" i="1"/>
  <c r="BG1993" i="1" s="1"/>
  <c r="BE1993" i="1"/>
  <c r="BR1992" i="1"/>
  <c r="BO1992" i="1"/>
  <c r="BN1992" i="1"/>
  <c r="BM1992" i="1"/>
  <c r="BL1992" i="1"/>
  <c r="BK1992" i="1"/>
  <c r="BH1992" i="1"/>
  <c r="BI1992" i="1" s="1"/>
  <c r="BF1992" i="1"/>
  <c r="BG1992" i="1" s="1"/>
  <c r="BE1992" i="1"/>
  <c r="BR1991" i="1"/>
  <c r="BO1991" i="1"/>
  <c r="BN1991" i="1"/>
  <c r="BM1991" i="1"/>
  <c r="BL1991" i="1"/>
  <c r="BK1991" i="1"/>
  <c r="BH1991" i="1"/>
  <c r="BF1991" i="1"/>
  <c r="BG1991" i="1" s="1"/>
  <c r="BE1991" i="1"/>
  <c r="BR1990" i="1"/>
  <c r="BO1990" i="1"/>
  <c r="BN1990" i="1"/>
  <c r="BM1990" i="1"/>
  <c r="BL1990" i="1"/>
  <c r="BK1990" i="1"/>
  <c r="BH1990" i="1"/>
  <c r="BI1990" i="1" s="1"/>
  <c r="BF1990" i="1"/>
  <c r="BG1990" i="1" s="1"/>
  <c r="BE1990" i="1"/>
  <c r="BR1989" i="1"/>
  <c r="BO1989" i="1"/>
  <c r="BN1989" i="1"/>
  <c r="BM1989" i="1"/>
  <c r="BL1989" i="1"/>
  <c r="BK1989" i="1"/>
  <c r="BH1989" i="1"/>
  <c r="BI1989" i="1" s="1"/>
  <c r="BF1989" i="1"/>
  <c r="BG1989" i="1" s="1"/>
  <c r="BE1989" i="1"/>
  <c r="BR1988" i="1"/>
  <c r="BO1988" i="1"/>
  <c r="BN1988" i="1"/>
  <c r="BM1988" i="1"/>
  <c r="BL1988" i="1"/>
  <c r="BK1988" i="1"/>
  <c r="BH1988" i="1"/>
  <c r="BI1988" i="1" s="1"/>
  <c r="BF1988" i="1"/>
  <c r="BG1988" i="1" s="1"/>
  <c r="BE1988" i="1"/>
  <c r="BR1987" i="1"/>
  <c r="BO1987" i="1"/>
  <c r="BN1987" i="1"/>
  <c r="BM1987" i="1"/>
  <c r="BL1987" i="1"/>
  <c r="BK1987" i="1"/>
  <c r="BH1987" i="1"/>
  <c r="BI1987" i="1" s="1"/>
  <c r="BF1987" i="1"/>
  <c r="BG1987" i="1" s="1"/>
  <c r="BE1987" i="1"/>
  <c r="BR1986" i="1"/>
  <c r="BO1986" i="1"/>
  <c r="BN1986" i="1"/>
  <c r="BM1986" i="1"/>
  <c r="BL1986" i="1"/>
  <c r="BK1986" i="1"/>
  <c r="BH1986" i="1"/>
  <c r="BI1986" i="1" s="1"/>
  <c r="BF1986" i="1"/>
  <c r="BG1986" i="1" s="1"/>
  <c r="BE1986" i="1"/>
  <c r="BR1985" i="1"/>
  <c r="BO1985" i="1"/>
  <c r="BN1985" i="1"/>
  <c r="BM1985" i="1"/>
  <c r="BL1985" i="1"/>
  <c r="BK1985" i="1"/>
  <c r="BH1985" i="1"/>
  <c r="BI1985" i="1" s="1"/>
  <c r="BF1985" i="1"/>
  <c r="BG1985" i="1" s="1"/>
  <c r="BE1985" i="1"/>
  <c r="BR1984" i="1"/>
  <c r="BO1984" i="1"/>
  <c r="BN1984" i="1"/>
  <c r="BM1984" i="1"/>
  <c r="BL1984" i="1"/>
  <c r="BK1984" i="1"/>
  <c r="BH1984" i="1"/>
  <c r="BI1984" i="1" s="1"/>
  <c r="BF1984" i="1"/>
  <c r="BG1984" i="1" s="1"/>
  <c r="BE1984" i="1"/>
  <c r="BR1983" i="1"/>
  <c r="BO1983" i="1"/>
  <c r="BN1983" i="1"/>
  <c r="BM1983" i="1"/>
  <c r="BL1983" i="1"/>
  <c r="BK1983" i="1"/>
  <c r="BH1983" i="1"/>
  <c r="BI1983" i="1" s="1"/>
  <c r="BF1983" i="1"/>
  <c r="BG1983" i="1" s="1"/>
  <c r="BE1983" i="1"/>
  <c r="BR1982" i="1"/>
  <c r="BO1982" i="1"/>
  <c r="BN1982" i="1"/>
  <c r="BM1982" i="1"/>
  <c r="BL1982" i="1"/>
  <c r="BK1982" i="1"/>
  <c r="BH1982" i="1"/>
  <c r="BI1982" i="1" s="1"/>
  <c r="BF1982" i="1"/>
  <c r="BG1982" i="1" s="1"/>
  <c r="BE1982" i="1"/>
  <c r="BR1981" i="1"/>
  <c r="BO1981" i="1"/>
  <c r="BN1981" i="1"/>
  <c r="BM1981" i="1"/>
  <c r="BL1981" i="1"/>
  <c r="BK1981" i="1"/>
  <c r="BH1981" i="1"/>
  <c r="BF1981" i="1"/>
  <c r="BG1981" i="1" s="1"/>
  <c r="BE1981" i="1"/>
  <c r="BR1980" i="1"/>
  <c r="BO1980" i="1"/>
  <c r="BN1980" i="1"/>
  <c r="BM1980" i="1"/>
  <c r="BL1980" i="1"/>
  <c r="BK1980" i="1"/>
  <c r="BH1980" i="1"/>
  <c r="BF1980" i="1"/>
  <c r="BG1980" i="1" s="1"/>
  <c r="BE1980" i="1"/>
  <c r="BR1979" i="1"/>
  <c r="BO1979" i="1"/>
  <c r="BN1979" i="1"/>
  <c r="BM1979" i="1"/>
  <c r="BL1979" i="1"/>
  <c r="BK1979" i="1"/>
  <c r="BH1979" i="1"/>
  <c r="BI1979" i="1" s="1"/>
  <c r="BF1979" i="1"/>
  <c r="BG1979" i="1" s="1"/>
  <c r="BE1979" i="1"/>
  <c r="BR1978" i="1"/>
  <c r="BO1978" i="1"/>
  <c r="BN1978" i="1"/>
  <c r="BM1978" i="1"/>
  <c r="BL1978" i="1"/>
  <c r="BK1978" i="1"/>
  <c r="BH1978" i="1"/>
  <c r="BI1978" i="1" s="1"/>
  <c r="BF1978" i="1"/>
  <c r="BG1978" i="1" s="1"/>
  <c r="BE1978" i="1"/>
  <c r="BR1977" i="1"/>
  <c r="BO1977" i="1"/>
  <c r="BN1977" i="1"/>
  <c r="BM1977" i="1"/>
  <c r="BL1977" i="1"/>
  <c r="BK1977" i="1"/>
  <c r="BH1977" i="1"/>
  <c r="BI1977" i="1" s="1"/>
  <c r="BF1977" i="1"/>
  <c r="BG1977" i="1" s="1"/>
  <c r="BE1977" i="1"/>
  <c r="BR1976" i="1"/>
  <c r="BO1976" i="1"/>
  <c r="BN1976" i="1"/>
  <c r="BM1976" i="1"/>
  <c r="BL1976" i="1"/>
  <c r="BK1976" i="1"/>
  <c r="BH1976" i="1"/>
  <c r="BI1976" i="1" s="1"/>
  <c r="BF1976" i="1"/>
  <c r="BG1976" i="1" s="1"/>
  <c r="BE1976" i="1"/>
  <c r="BR1975" i="1"/>
  <c r="BO1975" i="1"/>
  <c r="BN1975" i="1"/>
  <c r="BM1975" i="1"/>
  <c r="BL1975" i="1"/>
  <c r="BK1975" i="1"/>
  <c r="BH1975" i="1"/>
  <c r="BI1975" i="1" s="1"/>
  <c r="BF1975" i="1"/>
  <c r="BG1975" i="1" s="1"/>
  <c r="BE1975" i="1"/>
  <c r="BR1974" i="1"/>
  <c r="BO1974" i="1"/>
  <c r="BN1974" i="1"/>
  <c r="BM1974" i="1"/>
  <c r="BL1974" i="1"/>
  <c r="BK1974" i="1"/>
  <c r="BH1974" i="1"/>
  <c r="BF1974" i="1"/>
  <c r="BG1974" i="1" s="1"/>
  <c r="BE1974" i="1"/>
  <c r="BR1973" i="1"/>
  <c r="BO1973" i="1"/>
  <c r="BN1973" i="1"/>
  <c r="BM1973" i="1"/>
  <c r="BL1973" i="1"/>
  <c r="BK1973" i="1"/>
  <c r="BH1973" i="1"/>
  <c r="BI1973" i="1" s="1"/>
  <c r="BF1973" i="1"/>
  <c r="BG1973" i="1" s="1"/>
  <c r="BE1973" i="1"/>
  <c r="BR1972" i="1"/>
  <c r="BO1972" i="1"/>
  <c r="BN1972" i="1"/>
  <c r="BM1972" i="1"/>
  <c r="BL1972" i="1"/>
  <c r="BK1972" i="1"/>
  <c r="BH1972" i="1"/>
  <c r="BF1972" i="1"/>
  <c r="BG1972" i="1" s="1"/>
  <c r="BE1972" i="1"/>
  <c r="BR1971" i="1"/>
  <c r="BO1971" i="1"/>
  <c r="BN1971" i="1"/>
  <c r="BM1971" i="1"/>
  <c r="BL1971" i="1"/>
  <c r="BK1971" i="1"/>
  <c r="BH1971" i="1"/>
  <c r="BF1971" i="1"/>
  <c r="BG1971" i="1" s="1"/>
  <c r="BE1971" i="1"/>
  <c r="BR1970" i="1"/>
  <c r="BO1970" i="1"/>
  <c r="BN1970" i="1"/>
  <c r="BM1970" i="1"/>
  <c r="BL1970" i="1"/>
  <c r="BK1970" i="1"/>
  <c r="BH1970" i="1"/>
  <c r="BF1970" i="1"/>
  <c r="BG1970" i="1" s="1"/>
  <c r="BE1970" i="1"/>
  <c r="BR1969" i="1"/>
  <c r="BO1969" i="1"/>
  <c r="BN1969" i="1"/>
  <c r="BM1969" i="1"/>
  <c r="BL1969" i="1"/>
  <c r="BK1969" i="1"/>
  <c r="BH1969" i="1"/>
  <c r="BJ1969" i="1" s="1"/>
  <c r="BF1969" i="1"/>
  <c r="BG1969" i="1" s="1"/>
  <c r="BE1969" i="1"/>
  <c r="BR1968" i="1"/>
  <c r="BO1968" i="1"/>
  <c r="BN1968" i="1"/>
  <c r="BM1968" i="1"/>
  <c r="BL1968" i="1"/>
  <c r="BK1968" i="1"/>
  <c r="BH1968" i="1"/>
  <c r="BJ1968" i="1" s="1"/>
  <c r="BF1968" i="1"/>
  <c r="BG1968" i="1" s="1"/>
  <c r="BE1968" i="1"/>
  <c r="BR1967" i="1"/>
  <c r="BO1967" i="1"/>
  <c r="BN1967" i="1"/>
  <c r="BM1967" i="1"/>
  <c r="BL1967" i="1"/>
  <c r="BK1967" i="1"/>
  <c r="BH1967" i="1"/>
  <c r="BI1967" i="1" s="1"/>
  <c r="BF1967" i="1"/>
  <c r="BG1967" i="1" s="1"/>
  <c r="BE1967" i="1"/>
  <c r="BR1966" i="1"/>
  <c r="BO1966" i="1"/>
  <c r="BN1966" i="1"/>
  <c r="BM1966" i="1"/>
  <c r="BL1966" i="1"/>
  <c r="BK1966" i="1"/>
  <c r="BH1966" i="1"/>
  <c r="BJ1966" i="1" s="1"/>
  <c r="BF1966" i="1"/>
  <c r="BG1966" i="1" s="1"/>
  <c r="BE1966" i="1"/>
  <c r="BR1965" i="1"/>
  <c r="BO1965" i="1"/>
  <c r="BN1965" i="1"/>
  <c r="BM1965" i="1"/>
  <c r="BL1965" i="1"/>
  <c r="BK1965" i="1"/>
  <c r="BH1965" i="1"/>
  <c r="BJ1965" i="1" s="1"/>
  <c r="BF1965" i="1"/>
  <c r="BG1965" i="1" s="1"/>
  <c r="BE1965" i="1"/>
  <c r="BR1964" i="1"/>
  <c r="BO1964" i="1"/>
  <c r="BN1964" i="1"/>
  <c r="BM1964" i="1"/>
  <c r="BL1964" i="1"/>
  <c r="BK1964" i="1"/>
  <c r="BH1964" i="1"/>
  <c r="BF1964" i="1"/>
  <c r="BG1964" i="1" s="1"/>
  <c r="BE1964" i="1"/>
  <c r="BR1963" i="1"/>
  <c r="BO1963" i="1"/>
  <c r="BN1963" i="1"/>
  <c r="BM1963" i="1"/>
  <c r="BL1963" i="1"/>
  <c r="BK1963" i="1"/>
  <c r="BH1963" i="1"/>
  <c r="BI1963" i="1" s="1"/>
  <c r="BF1963" i="1"/>
  <c r="BG1963" i="1" s="1"/>
  <c r="BE1963" i="1"/>
  <c r="BR1962" i="1"/>
  <c r="BO1962" i="1"/>
  <c r="BN1962" i="1"/>
  <c r="BM1962" i="1"/>
  <c r="BL1962" i="1"/>
  <c r="BK1962" i="1"/>
  <c r="BH1962" i="1"/>
  <c r="BF1962" i="1"/>
  <c r="BG1962" i="1" s="1"/>
  <c r="BE1962" i="1"/>
  <c r="BR1961" i="1"/>
  <c r="BO1961" i="1"/>
  <c r="BN1961" i="1"/>
  <c r="BM1961" i="1"/>
  <c r="BL1961" i="1"/>
  <c r="BK1961" i="1"/>
  <c r="BH1961" i="1"/>
  <c r="BJ1961" i="1" s="1"/>
  <c r="BF1961" i="1"/>
  <c r="BG1961" i="1" s="1"/>
  <c r="BE1961" i="1"/>
  <c r="BR1960" i="1"/>
  <c r="BO1960" i="1"/>
  <c r="BN1960" i="1"/>
  <c r="BM1960" i="1"/>
  <c r="BL1960" i="1"/>
  <c r="BK1960" i="1"/>
  <c r="BH1960" i="1"/>
  <c r="BJ1960" i="1" s="1"/>
  <c r="BF1960" i="1"/>
  <c r="BG1960" i="1" s="1"/>
  <c r="BE1960" i="1"/>
  <c r="BR1959" i="1"/>
  <c r="BO1959" i="1"/>
  <c r="BN1959" i="1"/>
  <c r="BM1959" i="1"/>
  <c r="BL1959" i="1"/>
  <c r="BK1959" i="1"/>
  <c r="BH1959" i="1"/>
  <c r="BI1959" i="1" s="1"/>
  <c r="BF1959" i="1"/>
  <c r="BG1959" i="1" s="1"/>
  <c r="BE1959" i="1"/>
  <c r="BR1958" i="1"/>
  <c r="BO1958" i="1"/>
  <c r="BN1958" i="1"/>
  <c r="BM1958" i="1"/>
  <c r="BL1958" i="1"/>
  <c r="BK1958" i="1"/>
  <c r="BH1958" i="1"/>
  <c r="BJ1958" i="1" s="1"/>
  <c r="BF1958" i="1"/>
  <c r="BG1958" i="1" s="1"/>
  <c r="BE1958" i="1"/>
  <c r="BR1957" i="1"/>
  <c r="BO1957" i="1"/>
  <c r="BN1957" i="1"/>
  <c r="BM1957" i="1"/>
  <c r="BL1957" i="1"/>
  <c r="BK1957" i="1"/>
  <c r="BH1957" i="1"/>
  <c r="BJ1957" i="1" s="1"/>
  <c r="BF1957" i="1"/>
  <c r="BG1957" i="1" s="1"/>
  <c r="BE1957" i="1"/>
  <c r="BR1956" i="1"/>
  <c r="BO1956" i="1"/>
  <c r="BN1956" i="1"/>
  <c r="BM1956" i="1"/>
  <c r="BL1956" i="1"/>
  <c r="BK1956" i="1"/>
  <c r="BH1956" i="1"/>
  <c r="BF1956" i="1"/>
  <c r="BG1956" i="1" s="1"/>
  <c r="BE1956" i="1"/>
  <c r="BR1955" i="1"/>
  <c r="BO1955" i="1"/>
  <c r="BN1955" i="1"/>
  <c r="BM1955" i="1"/>
  <c r="BL1955" i="1"/>
  <c r="BK1955" i="1"/>
  <c r="BH1955" i="1"/>
  <c r="BI1955" i="1" s="1"/>
  <c r="BF1955" i="1"/>
  <c r="BG1955" i="1" s="1"/>
  <c r="BE1955" i="1"/>
  <c r="BR1954" i="1"/>
  <c r="BO1954" i="1"/>
  <c r="BN1954" i="1"/>
  <c r="BM1954" i="1"/>
  <c r="BL1954" i="1"/>
  <c r="BK1954" i="1"/>
  <c r="BH1954" i="1"/>
  <c r="BF1954" i="1"/>
  <c r="BG1954" i="1" s="1"/>
  <c r="BE1954" i="1"/>
  <c r="BR1953" i="1"/>
  <c r="BO1953" i="1"/>
  <c r="BN1953" i="1"/>
  <c r="BM1953" i="1"/>
  <c r="BL1953" i="1"/>
  <c r="BK1953" i="1"/>
  <c r="BH1953" i="1"/>
  <c r="BJ1953" i="1" s="1"/>
  <c r="BF1953" i="1"/>
  <c r="BG1953" i="1" s="1"/>
  <c r="BE1953" i="1"/>
  <c r="BR1952" i="1"/>
  <c r="BO1952" i="1"/>
  <c r="BN1952" i="1"/>
  <c r="BM1952" i="1"/>
  <c r="BL1952" i="1"/>
  <c r="BK1952" i="1"/>
  <c r="BH1952" i="1"/>
  <c r="BJ1952" i="1" s="1"/>
  <c r="BF1952" i="1"/>
  <c r="BG1952" i="1" s="1"/>
  <c r="BE1952" i="1"/>
  <c r="BR1951" i="1"/>
  <c r="BO1951" i="1"/>
  <c r="BN1951" i="1"/>
  <c r="BM1951" i="1"/>
  <c r="BL1951" i="1"/>
  <c r="BK1951" i="1"/>
  <c r="BH1951" i="1"/>
  <c r="BI1951" i="1" s="1"/>
  <c r="BF1951" i="1"/>
  <c r="BG1951" i="1" s="1"/>
  <c r="BE1951" i="1"/>
  <c r="BR1950" i="1"/>
  <c r="BO1950" i="1"/>
  <c r="BN1950" i="1"/>
  <c r="BM1950" i="1"/>
  <c r="BL1950" i="1"/>
  <c r="BK1950" i="1"/>
  <c r="BH1950" i="1"/>
  <c r="BJ1950" i="1" s="1"/>
  <c r="BF1950" i="1"/>
  <c r="BG1950" i="1" s="1"/>
  <c r="BE1950" i="1"/>
  <c r="BR1949" i="1"/>
  <c r="BO1949" i="1"/>
  <c r="BN1949" i="1"/>
  <c r="BM1949" i="1"/>
  <c r="BL1949" i="1"/>
  <c r="BK1949" i="1"/>
  <c r="BH1949" i="1"/>
  <c r="BF1949" i="1"/>
  <c r="BG1949" i="1" s="1"/>
  <c r="BE1949" i="1"/>
  <c r="BR1948" i="1"/>
  <c r="BO1948" i="1"/>
  <c r="BN1948" i="1"/>
  <c r="BM1948" i="1"/>
  <c r="BL1948" i="1"/>
  <c r="BK1948" i="1"/>
  <c r="BH1948" i="1"/>
  <c r="BF1948" i="1"/>
  <c r="BG1948" i="1" s="1"/>
  <c r="BE1948" i="1"/>
  <c r="BR1947" i="1"/>
  <c r="BO1947" i="1"/>
  <c r="BN1947" i="1"/>
  <c r="BM1947" i="1"/>
  <c r="BL1947" i="1"/>
  <c r="BK1947" i="1"/>
  <c r="BH1947" i="1"/>
  <c r="BI1947" i="1" s="1"/>
  <c r="BF1947" i="1"/>
  <c r="BG1947" i="1" s="1"/>
  <c r="BE1947" i="1"/>
  <c r="BR1946" i="1"/>
  <c r="BO1946" i="1"/>
  <c r="BN1946" i="1"/>
  <c r="BM1946" i="1"/>
  <c r="BL1946" i="1"/>
  <c r="BK1946" i="1"/>
  <c r="BH1946" i="1"/>
  <c r="BJ1946" i="1" s="1"/>
  <c r="BF1946" i="1"/>
  <c r="BG1946" i="1" s="1"/>
  <c r="BE1946" i="1"/>
  <c r="BR1945" i="1"/>
  <c r="BO1945" i="1"/>
  <c r="BN1945" i="1"/>
  <c r="BM1945" i="1"/>
  <c r="BL1945" i="1"/>
  <c r="BK1945" i="1"/>
  <c r="BH1945" i="1"/>
  <c r="BJ1945" i="1" s="1"/>
  <c r="BF1945" i="1"/>
  <c r="BG1945" i="1" s="1"/>
  <c r="BE1945" i="1"/>
  <c r="BR1944" i="1"/>
  <c r="BO1944" i="1"/>
  <c r="BN1944" i="1"/>
  <c r="BM1944" i="1"/>
  <c r="BL1944" i="1"/>
  <c r="BK1944" i="1"/>
  <c r="BH1944" i="1"/>
  <c r="BJ1944" i="1" s="1"/>
  <c r="BF1944" i="1"/>
  <c r="BG1944" i="1" s="1"/>
  <c r="BE1944" i="1"/>
  <c r="BR1943" i="1"/>
  <c r="BO1943" i="1"/>
  <c r="BN1943" i="1"/>
  <c r="BM1943" i="1"/>
  <c r="BL1943" i="1"/>
  <c r="BK1943" i="1"/>
  <c r="BH1943" i="1"/>
  <c r="BF1943" i="1"/>
  <c r="BG1943" i="1" s="1"/>
  <c r="BE1943" i="1"/>
  <c r="BR1942" i="1"/>
  <c r="BO1942" i="1"/>
  <c r="BN1942" i="1"/>
  <c r="BM1942" i="1"/>
  <c r="BL1942" i="1"/>
  <c r="BK1942" i="1"/>
  <c r="BH1942" i="1"/>
  <c r="BJ1942" i="1" s="1"/>
  <c r="BF1942" i="1"/>
  <c r="BG1942" i="1" s="1"/>
  <c r="BE1942" i="1"/>
  <c r="BR1941" i="1"/>
  <c r="BO1941" i="1"/>
  <c r="BN1941" i="1"/>
  <c r="BM1941" i="1"/>
  <c r="BL1941" i="1"/>
  <c r="BK1941" i="1"/>
  <c r="BH1941" i="1"/>
  <c r="BJ1941" i="1" s="1"/>
  <c r="BF1941" i="1"/>
  <c r="BG1941" i="1" s="1"/>
  <c r="BE1941" i="1"/>
  <c r="BR1940" i="1"/>
  <c r="BO1940" i="1"/>
  <c r="BN1940" i="1"/>
  <c r="BM1940" i="1"/>
  <c r="BL1940" i="1"/>
  <c r="BK1940" i="1"/>
  <c r="BH1940" i="1"/>
  <c r="BF1940" i="1"/>
  <c r="BG1940" i="1" s="1"/>
  <c r="BE1940" i="1"/>
  <c r="BR1939" i="1"/>
  <c r="BO1939" i="1"/>
  <c r="BN1939" i="1"/>
  <c r="BM1939" i="1"/>
  <c r="BL1939" i="1"/>
  <c r="BK1939" i="1"/>
  <c r="BH1939" i="1"/>
  <c r="BI1939" i="1" s="1"/>
  <c r="BF1939" i="1"/>
  <c r="BG1939" i="1" s="1"/>
  <c r="BE1939" i="1"/>
  <c r="BR1938" i="1"/>
  <c r="BO1938" i="1"/>
  <c r="BN1938" i="1"/>
  <c r="BM1938" i="1"/>
  <c r="BL1938" i="1"/>
  <c r="BK1938" i="1"/>
  <c r="BH1938" i="1"/>
  <c r="BJ1938" i="1" s="1"/>
  <c r="BF1938" i="1"/>
  <c r="BG1938" i="1" s="1"/>
  <c r="BE1938" i="1"/>
  <c r="BR1937" i="1"/>
  <c r="BO1937" i="1"/>
  <c r="BN1937" i="1"/>
  <c r="BM1937" i="1"/>
  <c r="BL1937" i="1"/>
  <c r="BK1937" i="1"/>
  <c r="BH1937" i="1"/>
  <c r="BJ1937" i="1" s="1"/>
  <c r="BF1937" i="1"/>
  <c r="BG1937" i="1" s="1"/>
  <c r="BE1937" i="1"/>
  <c r="BR1936" i="1"/>
  <c r="BO1936" i="1"/>
  <c r="BN1936" i="1"/>
  <c r="BM1936" i="1"/>
  <c r="BL1936" i="1"/>
  <c r="BK1936" i="1"/>
  <c r="BH1936" i="1"/>
  <c r="BJ1936" i="1" s="1"/>
  <c r="BF1936" i="1"/>
  <c r="BG1936" i="1" s="1"/>
  <c r="BE1936" i="1"/>
  <c r="BR1935" i="1"/>
  <c r="BO1935" i="1"/>
  <c r="BN1935" i="1"/>
  <c r="BM1935" i="1"/>
  <c r="BL1935" i="1"/>
  <c r="BK1935" i="1"/>
  <c r="BH1935" i="1"/>
  <c r="BI1935" i="1" s="1"/>
  <c r="BF1935" i="1"/>
  <c r="BG1935" i="1" s="1"/>
  <c r="BE1935" i="1"/>
  <c r="BR1934" i="1"/>
  <c r="BO1934" i="1"/>
  <c r="BN1934" i="1"/>
  <c r="BM1934" i="1"/>
  <c r="BL1934" i="1"/>
  <c r="BK1934" i="1"/>
  <c r="BH1934" i="1"/>
  <c r="BJ1934" i="1" s="1"/>
  <c r="BF1934" i="1"/>
  <c r="BG1934" i="1" s="1"/>
  <c r="BE1934" i="1"/>
  <c r="BR1933" i="1"/>
  <c r="BO1933" i="1"/>
  <c r="BN1933" i="1"/>
  <c r="BM1933" i="1"/>
  <c r="BL1933" i="1"/>
  <c r="BK1933" i="1"/>
  <c r="BH1933" i="1"/>
  <c r="BI1933" i="1" s="1"/>
  <c r="BF1933" i="1"/>
  <c r="BG1933" i="1" s="1"/>
  <c r="BE1933" i="1"/>
  <c r="BR1932" i="1"/>
  <c r="BO1932" i="1"/>
  <c r="BN1932" i="1"/>
  <c r="BM1932" i="1"/>
  <c r="BL1932" i="1"/>
  <c r="BK1932" i="1"/>
  <c r="BH1932" i="1"/>
  <c r="BF1932" i="1"/>
  <c r="BG1932" i="1" s="1"/>
  <c r="BE1932" i="1"/>
  <c r="BR1931" i="1"/>
  <c r="BO1931" i="1"/>
  <c r="BN1931" i="1"/>
  <c r="BM1931" i="1"/>
  <c r="BL1931" i="1"/>
  <c r="BK1931" i="1"/>
  <c r="BH1931" i="1"/>
  <c r="BI1931" i="1" s="1"/>
  <c r="BF1931" i="1"/>
  <c r="BG1931" i="1" s="1"/>
  <c r="BE1931" i="1"/>
  <c r="BR1930" i="1"/>
  <c r="BO1930" i="1"/>
  <c r="BN1930" i="1"/>
  <c r="BM1930" i="1"/>
  <c r="BL1930" i="1"/>
  <c r="BK1930" i="1"/>
  <c r="BH1930" i="1"/>
  <c r="BJ1930" i="1" s="1"/>
  <c r="BF1930" i="1"/>
  <c r="BG1930" i="1" s="1"/>
  <c r="BE1930" i="1"/>
  <c r="BR1929" i="1"/>
  <c r="BO1929" i="1"/>
  <c r="BN1929" i="1"/>
  <c r="BM1929" i="1"/>
  <c r="BL1929" i="1"/>
  <c r="BK1929" i="1"/>
  <c r="BH1929" i="1"/>
  <c r="BJ1929" i="1" s="1"/>
  <c r="BF1929" i="1"/>
  <c r="BG1929" i="1" s="1"/>
  <c r="BE1929" i="1"/>
  <c r="BR1928" i="1"/>
  <c r="BO1928" i="1"/>
  <c r="BN1928" i="1"/>
  <c r="BM1928" i="1"/>
  <c r="BL1928" i="1"/>
  <c r="BK1928" i="1"/>
  <c r="BH1928" i="1"/>
  <c r="BF1928" i="1"/>
  <c r="BG1928" i="1" s="1"/>
  <c r="BE1928" i="1"/>
  <c r="BR1927" i="1"/>
  <c r="BO1927" i="1"/>
  <c r="BN1927" i="1"/>
  <c r="BM1927" i="1"/>
  <c r="BL1927" i="1"/>
  <c r="BK1927" i="1"/>
  <c r="BH1927" i="1"/>
  <c r="BJ1927" i="1" s="1"/>
  <c r="BF1927" i="1"/>
  <c r="BG1927" i="1" s="1"/>
  <c r="BE1927" i="1"/>
  <c r="BR1926" i="1"/>
  <c r="BO1926" i="1"/>
  <c r="BN1926" i="1"/>
  <c r="BM1926" i="1"/>
  <c r="BL1926" i="1"/>
  <c r="BK1926" i="1"/>
  <c r="BH1926" i="1"/>
  <c r="BJ1926" i="1" s="1"/>
  <c r="BF1926" i="1"/>
  <c r="BG1926" i="1" s="1"/>
  <c r="BE1926" i="1"/>
  <c r="BR1925" i="1"/>
  <c r="BO1925" i="1"/>
  <c r="BN1925" i="1"/>
  <c r="BM1925" i="1"/>
  <c r="BL1925" i="1"/>
  <c r="BK1925" i="1"/>
  <c r="BH1925" i="1"/>
  <c r="BF1925" i="1"/>
  <c r="BG1925" i="1" s="1"/>
  <c r="BE1925" i="1"/>
  <c r="BR1924" i="1"/>
  <c r="BO1924" i="1"/>
  <c r="BN1924" i="1"/>
  <c r="BM1924" i="1"/>
  <c r="BL1924" i="1"/>
  <c r="BK1924" i="1"/>
  <c r="BH1924" i="1"/>
  <c r="BJ1924" i="1" s="1"/>
  <c r="BF1924" i="1"/>
  <c r="BG1924" i="1" s="1"/>
  <c r="BE1924" i="1"/>
  <c r="BR1923" i="1"/>
  <c r="BO1923" i="1"/>
  <c r="BN1923" i="1"/>
  <c r="BM1923" i="1"/>
  <c r="BL1923" i="1"/>
  <c r="BK1923" i="1"/>
  <c r="BH1923" i="1"/>
  <c r="BI1923" i="1" s="1"/>
  <c r="BF1923" i="1"/>
  <c r="BG1923" i="1" s="1"/>
  <c r="BE1923" i="1"/>
  <c r="BR1922" i="1"/>
  <c r="BO1922" i="1"/>
  <c r="BN1922" i="1"/>
  <c r="BM1922" i="1"/>
  <c r="BL1922" i="1"/>
  <c r="BK1922" i="1"/>
  <c r="BH1922" i="1"/>
  <c r="BJ1922" i="1" s="1"/>
  <c r="BF1922" i="1"/>
  <c r="BG1922" i="1" s="1"/>
  <c r="BE1922" i="1"/>
  <c r="BR1921" i="1"/>
  <c r="BO1921" i="1"/>
  <c r="BN1921" i="1"/>
  <c r="BM1921" i="1"/>
  <c r="BL1921" i="1"/>
  <c r="BK1921" i="1"/>
  <c r="BH1921" i="1"/>
  <c r="BJ1921" i="1" s="1"/>
  <c r="BF1921" i="1"/>
  <c r="BG1921" i="1" s="1"/>
  <c r="BE1921" i="1"/>
  <c r="BR1920" i="1"/>
  <c r="BO1920" i="1"/>
  <c r="BN1920" i="1"/>
  <c r="BM1920" i="1"/>
  <c r="BL1920" i="1"/>
  <c r="BK1920" i="1"/>
  <c r="BH1920" i="1"/>
  <c r="BF1920" i="1"/>
  <c r="BG1920" i="1" s="1"/>
  <c r="BE1920" i="1"/>
  <c r="BR1919" i="1"/>
  <c r="BO1919" i="1"/>
  <c r="BN1919" i="1"/>
  <c r="BM1919" i="1"/>
  <c r="BL1919" i="1"/>
  <c r="BK1919" i="1"/>
  <c r="BH1919" i="1"/>
  <c r="BI1919" i="1" s="1"/>
  <c r="BF1919" i="1"/>
  <c r="BG1919" i="1" s="1"/>
  <c r="BE1919" i="1"/>
  <c r="BR1918" i="1"/>
  <c r="BO1918" i="1"/>
  <c r="BN1918" i="1"/>
  <c r="BM1918" i="1"/>
  <c r="BL1918" i="1"/>
  <c r="BK1918" i="1"/>
  <c r="BH1918" i="1"/>
  <c r="BF1918" i="1"/>
  <c r="BG1918" i="1" s="1"/>
  <c r="BE1918" i="1"/>
  <c r="BR1917" i="1"/>
  <c r="BO1917" i="1"/>
  <c r="BN1917" i="1"/>
  <c r="BM1917" i="1"/>
  <c r="BL1917" i="1"/>
  <c r="BK1917" i="1"/>
  <c r="BH1917" i="1"/>
  <c r="BJ1917" i="1" s="1"/>
  <c r="BF1917" i="1"/>
  <c r="BG1917" i="1" s="1"/>
  <c r="BE1917" i="1"/>
  <c r="BR1916" i="1"/>
  <c r="BO1916" i="1"/>
  <c r="BN1916" i="1"/>
  <c r="BM1916" i="1"/>
  <c r="BL1916" i="1"/>
  <c r="BK1916" i="1"/>
  <c r="BH1916" i="1"/>
  <c r="BJ1916" i="1" s="1"/>
  <c r="BF1916" i="1"/>
  <c r="BG1916" i="1" s="1"/>
  <c r="BE1916" i="1"/>
  <c r="BR1915" i="1"/>
  <c r="BO1915" i="1"/>
  <c r="BN1915" i="1"/>
  <c r="BM1915" i="1"/>
  <c r="BL1915" i="1"/>
  <c r="BK1915" i="1"/>
  <c r="BH1915" i="1"/>
  <c r="BI1915" i="1" s="1"/>
  <c r="BF1915" i="1"/>
  <c r="BG1915" i="1" s="1"/>
  <c r="BE1915" i="1"/>
  <c r="BR1914" i="1"/>
  <c r="BO1914" i="1"/>
  <c r="BN1914" i="1"/>
  <c r="BM1914" i="1"/>
  <c r="BL1914" i="1"/>
  <c r="BK1914" i="1"/>
  <c r="BH1914" i="1"/>
  <c r="BJ1914" i="1" s="1"/>
  <c r="BF1914" i="1"/>
  <c r="BG1914" i="1" s="1"/>
  <c r="BE1914" i="1"/>
  <c r="BR1913" i="1"/>
  <c r="BO1913" i="1"/>
  <c r="BN1913" i="1"/>
  <c r="BM1913" i="1"/>
  <c r="BL1913" i="1"/>
  <c r="BK1913" i="1"/>
  <c r="BH1913" i="1"/>
  <c r="BI1913" i="1" s="1"/>
  <c r="BF1913" i="1"/>
  <c r="BG1913" i="1" s="1"/>
  <c r="BE1913" i="1"/>
  <c r="BR1912" i="1"/>
  <c r="BO1912" i="1"/>
  <c r="BN1912" i="1"/>
  <c r="BM1912" i="1"/>
  <c r="BL1912" i="1"/>
  <c r="BK1912" i="1"/>
  <c r="BH1912" i="1"/>
  <c r="BJ1912" i="1" s="1"/>
  <c r="BF1912" i="1"/>
  <c r="BG1912" i="1" s="1"/>
  <c r="BE1912" i="1"/>
  <c r="BR1911" i="1"/>
  <c r="BO1911" i="1"/>
  <c r="BN1911" i="1"/>
  <c r="BM1911" i="1"/>
  <c r="BL1911" i="1"/>
  <c r="BK1911" i="1"/>
  <c r="BH1911" i="1"/>
  <c r="BJ1911" i="1" s="1"/>
  <c r="BF1911" i="1"/>
  <c r="BG1911" i="1" s="1"/>
  <c r="BE1911" i="1"/>
  <c r="BR1910" i="1"/>
  <c r="BO1910" i="1"/>
  <c r="BN1910" i="1"/>
  <c r="BM1910" i="1"/>
  <c r="BL1910" i="1"/>
  <c r="BK1910" i="1"/>
  <c r="BH1910" i="1"/>
  <c r="BJ1910" i="1" s="1"/>
  <c r="BF1910" i="1"/>
  <c r="BG1910" i="1" s="1"/>
  <c r="BE1910" i="1"/>
  <c r="BR1909" i="1"/>
  <c r="BO1909" i="1"/>
  <c r="BN1909" i="1"/>
  <c r="BM1909" i="1"/>
  <c r="BL1909" i="1"/>
  <c r="BK1909" i="1"/>
  <c r="BH1909" i="1"/>
  <c r="BJ1909" i="1" s="1"/>
  <c r="BF1909" i="1"/>
  <c r="BG1909" i="1" s="1"/>
  <c r="BE1909" i="1"/>
  <c r="BR1908" i="1"/>
  <c r="BO1908" i="1"/>
  <c r="BN1908" i="1"/>
  <c r="BM1908" i="1"/>
  <c r="BL1908" i="1"/>
  <c r="BK1908" i="1"/>
  <c r="BH1908" i="1"/>
  <c r="BJ1908" i="1" s="1"/>
  <c r="BF1908" i="1"/>
  <c r="BG1908" i="1" s="1"/>
  <c r="BE1908" i="1"/>
  <c r="BR1907" i="1"/>
  <c r="BO1907" i="1"/>
  <c r="BN1907" i="1"/>
  <c r="BM1907" i="1"/>
  <c r="BL1907" i="1"/>
  <c r="BK1907" i="1"/>
  <c r="BH1907" i="1"/>
  <c r="BI1907" i="1" s="1"/>
  <c r="BF1907" i="1"/>
  <c r="BG1907" i="1" s="1"/>
  <c r="BE1907" i="1"/>
  <c r="BR1906" i="1"/>
  <c r="BO1906" i="1"/>
  <c r="BN1906" i="1"/>
  <c r="BM1906" i="1"/>
  <c r="BL1906" i="1"/>
  <c r="BK1906" i="1"/>
  <c r="BH1906" i="1"/>
  <c r="BJ1906" i="1" s="1"/>
  <c r="BF1906" i="1"/>
  <c r="BG1906" i="1" s="1"/>
  <c r="BE1906" i="1"/>
  <c r="BR1905" i="1"/>
  <c r="BO1905" i="1"/>
  <c r="BN1905" i="1"/>
  <c r="BM1905" i="1"/>
  <c r="BL1905" i="1"/>
  <c r="BK1905" i="1"/>
  <c r="BH1905" i="1"/>
  <c r="BI1905" i="1" s="1"/>
  <c r="BF1905" i="1"/>
  <c r="BG1905" i="1" s="1"/>
  <c r="BE1905" i="1"/>
  <c r="BR1904" i="1"/>
  <c r="BO1904" i="1"/>
  <c r="BN1904" i="1"/>
  <c r="BM1904" i="1"/>
  <c r="BL1904" i="1"/>
  <c r="BK1904" i="1"/>
  <c r="BH1904" i="1"/>
  <c r="BJ1904" i="1" s="1"/>
  <c r="BF1904" i="1"/>
  <c r="BG1904" i="1" s="1"/>
  <c r="BE1904" i="1"/>
  <c r="BR1903" i="1"/>
  <c r="BO1903" i="1"/>
  <c r="BN1903" i="1"/>
  <c r="BM1903" i="1"/>
  <c r="BL1903" i="1"/>
  <c r="BK1903" i="1"/>
  <c r="BH1903" i="1"/>
  <c r="BF1903" i="1"/>
  <c r="BG1903" i="1" s="1"/>
  <c r="BE1903" i="1"/>
  <c r="BR1902" i="1"/>
  <c r="BO1902" i="1"/>
  <c r="BN1902" i="1"/>
  <c r="BM1902" i="1"/>
  <c r="BL1902" i="1"/>
  <c r="BK1902" i="1"/>
  <c r="BH1902" i="1"/>
  <c r="BJ1902" i="1" s="1"/>
  <c r="BF1902" i="1"/>
  <c r="BG1902" i="1" s="1"/>
  <c r="BE1902" i="1"/>
  <c r="BR1901" i="1"/>
  <c r="BO1901" i="1"/>
  <c r="BN1901" i="1"/>
  <c r="BM1901" i="1"/>
  <c r="BL1901" i="1"/>
  <c r="BK1901" i="1"/>
  <c r="BH1901" i="1"/>
  <c r="BJ1901" i="1" s="1"/>
  <c r="BF1901" i="1"/>
  <c r="BG1901" i="1" s="1"/>
  <c r="BE1901" i="1"/>
  <c r="BR1900" i="1"/>
  <c r="BO1900" i="1"/>
  <c r="BN1900" i="1"/>
  <c r="BM1900" i="1"/>
  <c r="BL1900" i="1"/>
  <c r="BK1900" i="1"/>
  <c r="BH1900" i="1"/>
  <c r="BJ1900" i="1" s="1"/>
  <c r="BF1900" i="1"/>
  <c r="BG1900" i="1" s="1"/>
  <c r="BE1900" i="1"/>
  <c r="BR1899" i="1"/>
  <c r="BO1899" i="1"/>
  <c r="BN1899" i="1"/>
  <c r="BM1899" i="1"/>
  <c r="BL1899" i="1"/>
  <c r="BK1899" i="1"/>
  <c r="BH1899" i="1"/>
  <c r="BI1899" i="1" s="1"/>
  <c r="BF1899" i="1"/>
  <c r="BG1899" i="1" s="1"/>
  <c r="BE1899" i="1"/>
  <c r="BR1898" i="1"/>
  <c r="BO1898" i="1"/>
  <c r="BN1898" i="1"/>
  <c r="BM1898" i="1"/>
  <c r="BL1898" i="1"/>
  <c r="BK1898" i="1"/>
  <c r="BH1898" i="1"/>
  <c r="BJ1898" i="1" s="1"/>
  <c r="BF1898" i="1"/>
  <c r="BG1898" i="1" s="1"/>
  <c r="BE1898" i="1"/>
  <c r="BR1897" i="1"/>
  <c r="BO1897" i="1"/>
  <c r="BN1897" i="1"/>
  <c r="BM1897" i="1"/>
  <c r="BL1897" i="1"/>
  <c r="BK1897" i="1"/>
  <c r="BH1897" i="1"/>
  <c r="BJ1897" i="1" s="1"/>
  <c r="BF1897" i="1"/>
  <c r="BG1897" i="1" s="1"/>
  <c r="BE1897" i="1"/>
  <c r="BR1896" i="1"/>
  <c r="BO1896" i="1"/>
  <c r="BN1896" i="1"/>
  <c r="BM1896" i="1"/>
  <c r="BL1896" i="1"/>
  <c r="BK1896" i="1"/>
  <c r="BH1896" i="1"/>
  <c r="BJ1896" i="1" s="1"/>
  <c r="BF1896" i="1"/>
  <c r="BG1896" i="1" s="1"/>
  <c r="BE1896" i="1"/>
  <c r="BR1895" i="1"/>
  <c r="BO1895" i="1"/>
  <c r="BN1895" i="1"/>
  <c r="BM1895" i="1"/>
  <c r="BL1895" i="1"/>
  <c r="BK1895" i="1"/>
  <c r="BH1895" i="1"/>
  <c r="BJ1895" i="1" s="1"/>
  <c r="BF1895" i="1"/>
  <c r="BG1895" i="1" s="1"/>
  <c r="BE1895" i="1"/>
  <c r="BR1894" i="1"/>
  <c r="BO1894" i="1"/>
  <c r="BN1894" i="1"/>
  <c r="BM1894" i="1"/>
  <c r="BL1894" i="1"/>
  <c r="BK1894" i="1"/>
  <c r="BH1894" i="1"/>
  <c r="BJ1894" i="1" s="1"/>
  <c r="BF1894" i="1"/>
  <c r="BG1894" i="1" s="1"/>
  <c r="BE1894" i="1"/>
  <c r="BR1893" i="1"/>
  <c r="BO1893" i="1"/>
  <c r="BN1893" i="1"/>
  <c r="BM1893" i="1"/>
  <c r="BL1893" i="1"/>
  <c r="BK1893" i="1"/>
  <c r="BH1893" i="1"/>
  <c r="BI1893" i="1" s="1"/>
  <c r="BF1893" i="1"/>
  <c r="BG1893" i="1" s="1"/>
  <c r="BE1893" i="1"/>
  <c r="BR1892" i="1"/>
  <c r="BO1892" i="1"/>
  <c r="BN1892" i="1"/>
  <c r="BM1892" i="1"/>
  <c r="BL1892" i="1"/>
  <c r="BK1892" i="1"/>
  <c r="BH1892" i="1"/>
  <c r="BF1892" i="1"/>
  <c r="BG1892" i="1" s="1"/>
  <c r="BE1892" i="1"/>
  <c r="BR1891" i="1"/>
  <c r="BO1891" i="1"/>
  <c r="BN1891" i="1"/>
  <c r="BM1891" i="1"/>
  <c r="BL1891" i="1"/>
  <c r="BK1891" i="1"/>
  <c r="BH1891" i="1"/>
  <c r="BI1891" i="1" s="1"/>
  <c r="BF1891" i="1"/>
  <c r="BG1891" i="1" s="1"/>
  <c r="BE1891" i="1"/>
  <c r="BR1890" i="1"/>
  <c r="BO1890" i="1"/>
  <c r="BN1890" i="1"/>
  <c r="BM1890" i="1"/>
  <c r="BL1890" i="1"/>
  <c r="BK1890" i="1"/>
  <c r="BH1890" i="1"/>
  <c r="BJ1890" i="1" s="1"/>
  <c r="BF1890" i="1"/>
  <c r="BG1890" i="1" s="1"/>
  <c r="BE1890" i="1"/>
  <c r="BR1889" i="1"/>
  <c r="BO1889" i="1"/>
  <c r="BN1889" i="1"/>
  <c r="BM1889" i="1"/>
  <c r="BL1889" i="1"/>
  <c r="BK1889" i="1"/>
  <c r="BH1889" i="1"/>
  <c r="BI1889" i="1" s="1"/>
  <c r="BF1889" i="1"/>
  <c r="BG1889" i="1" s="1"/>
  <c r="BE1889" i="1"/>
  <c r="BR1888" i="1"/>
  <c r="BO1888" i="1"/>
  <c r="BN1888" i="1"/>
  <c r="BM1888" i="1"/>
  <c r="BL1888" i="1"/>
  <c r="BK1888" i="1"/>
  <c r="BH1888" i="1"/>
  <c r="BJ1888" i="1" s="1"/>
  <c r="BF1888" i="1"/>
  <c r="BG1888" i="1" s="1"/>
  <c r="BE1888" i="1"/>
  <c r="BR1887" i="1"/>
  <c r="BO1887" i="1"/>
  <c r="BN1887" i="1"/>
  <c r="BM1887" i="1"/>
  <c r="BL1887" i="1"/>
  <c r="BK1887" i="1"/>
  <c r="BH1887" i="1"/>
  <c r="BJ1887" i="1" s="1"/>
  <c r="BF1887" i="1"/>
  <c r="BG1887" i="1" s="1"/>
  <c r="BE1887" i="1"/>
  <c r="BR1886" i="1"/>
  <c r="BO1886" i="1"/>
  <c r="BN1886" i="1"/>
  <c r="BM1886" i="1"/>
  <c r="BL1886" i="1"/>
  <c r="BK1886" i="1"/>
  <c r="BH1886" i="1"/>
  <c r="BJ1886" i="1" s="1"/>
  <c r="BF1886" i="1"/>
  <c r="BG1886" i="1" s="1"/>
  <c r="BE1886" i="1"/>
  <c r="BR1885" i="1"/>
  <c r="BO1885" i="1"/>
  <c r="BN1885" i="1"/>
  <c r="BM1885" i="1"/>
  <c r="BL1885" i="1"/>
  <c r="BK1885" i="1"/>
  <c r="BH1885" i="1"/>
  <c r="BI1885" i="1" s="1"/>
  <c r="BF1885" i="1"/>
  <c r="BG1885" i="1" s="1"/>
  <c r="BE1885" i="1"/>
  <c r="BR1884" i="1"/>
  <c r="BO1884" i="1"/>
  <c r="BN1884" i="1"/>
  <c r="BM1884" i="1"/>
  <c r="BL1884" i="1"/>
  <c r="BK1884" i="1"/>
  <c r="BH1884" i="1"/>
  <c r="BJ1884" i="1" s="1"/>
  <c r="BF1884" i="1"/>
  <c r="BG1884" i="1" s="1"/>
  <c r="BE1884" i="1"/>
  <c r="BR1883" i="1"/>
  <c r="BO1883" i="1"/>
  <c r="BN1883" i="1"/>
  <c r="BM1883" i="1"/>
  <c r="BL1883" i="1"/>
  <c r="BK1883" i="1"/>
  <c r="BH1883" i="1"/>
  <c r="BI1883" i="1" s="1"/>
  <c r="BF1883" i="1"/>
  <c r="BG1883" i="1" s="1"/>
  <c r="BE1883" i="1"/>
  <c r="BR1882" i="1"/>
  <c r="BO1882" i="1"/>
  <c r="BN1882" i="1"/>
  <c r="BM1882" i="1"/>
  <c r="BL1882" i="1"/>
  <c r="BK1882" i="1"/>
  <c r="BH1882" i="1"/>
  <c r="BF1882" i="1"/>
  <c r="BG1882" i="1" s="1"/>
  <c r="BE1882" i="1"/>
  <c r="BR1881" i="1"/>
  <c r="BO1881" i="1"/>
  <c r="BN1881" i="1"/>
  <c r="BM1881" i="1"/>
  <c r="BL1881" i="1"/>
  <c r="BK1881" i="1"/>
  <c r="BH1881" i="1"/>
  <c r="BJ1881" i="1" s="1"/>
  <c r="BF1881" i="1"/>
  <c r="BG1881" i="1" s="1"/>
  <c r="BE1881" i="1"/>
  <c r="BR1880" i="1"/>
  <c r="BO1880" i="1"/>
  <c r="BN1880" i="1"/>
  <c r="BM1880" i="1"/>
  <c r="BL1880" i="1"/>
  <c r="BK1880" i="1"/>
  <c r="BH1880" i="1"/>
  <c r="BJ1880" i="1" s="1"/>
  <c r="BF1880" i="1"/>
  <c r="BG1880" i="1" s="1"/>
  <c r="BE1880" i="1"/>
  <c r="BR1879" i="1"/>
  <c r="BO1879" i="1"/>
  <c r="BN1879" i="1"/>
  <c r="BM1879" i="1"/>
  <c r="BL1879" i="1"/>
  <c r="BK1879" i="1"/>
  <c r="BH1879" i="1"/>
  <c r="BJ1879" i="1" s="1"/>
  <c r="BF1879" i="1"/>
  <c r="BG1879" i="1" s="1"/>
  <c r="BE1879" i="1"/>
  <c r="BR1878" i="1"/>
  <c r="BO1878" i="1"/>
  <c r="BN1878" i="1"/>
  <c r="BM1878" i="1"/>
  <c r="BL1878" i="1"/>
  <c r="BK1878" i="1"/>
  <c r="BH1878" i="1"/>
  <c r="BJ1878" i="1" s="1"/>
  <c r="BF1878" i="1"/>
  <c r="BG1878" i="1" s="1"/>
  <c r="BE1878" i="1"/>
  <c r="BR1877" i="1"/>
  <c r="BO1877" i="1"/>
  <c r="BN1877" i="1"/>
  <c r="BM1877" i="1"/>
  <c r="BL1877" i="1"/>
  <c r="BK1877" i="1"/>
  <c r="BH1877" i="1"/>
  <c r="BI1877" i="1" s="1"/>
  <c r="BF1877" i="1"/>
  <c r="BG1877" i="1" s="1"/>
  <c r="BE1877" i="1"/>
  <c r="BR1876" i="1"/>
  <c r="BO1876" i="1"/>
  <c r="BN1876" i="1"/>
  <c r="BM1876" i="1"/>
  <c r="BL1876" i="1"/>
  <c r="BK1876" i="1"/>
  <c r="BH1876" i="1"/>
  <c r="BJ1876" i="1" s="1"/>
  <c r="BF1876" i="1"/>
  <c r="BG1876" i="1" s="1"/>
  <c r="BE1876" i="1"/>
  <c r="BR1875" i="1"/>
  <c r="BO1875" i="1"/>
  <c r="BN1875" i="1"/>
  <c r="BM1875" i="1"/>
  <c r="BL1875" i="1"/>
  <c r="BK1875" i="1"/>
  <c r="BH1875" i="1"/>
  <c r="BJ1875" i="1" s="1"/>
  <c r="BF1875" i="1"/>
  <c r="BG1875" i="1" s="1"/>
  <c r="BE1875" i="1"/>
  <c r="BR1874" i="1"/>
  <c r="BO1874" i="1"/>
  <c r="BN1874" i="1"/>
  <c r="BM1874" i="1"/>
  <c r="BL1874" i="1"/>
  <c r="BK1874" i="1"/>
  <c r="BH1874" i="1"/>
  <c r="BJ1874" i="1" s="1"/>
  <c r="BF1874" i="1"/>
  <c r="BG1874" i="1" s="1"/>
  <c r="BE1874" i="1"/>
  <c r="BR1873" i="1"/>
  <c r="BO1873" i="1"/>
  <c r="BN1873" i="1"/>
  <c r="BM1873" i="1"/>
  <c r="BL1873" i="1"/>
  <c r="BK1873" i="1"/>
  <c r="BH1873" i="1"/>
  <c r="BF1873" i="1"/>
  <c r="BG1873" i="1" s="1"/>
  <c r="BE1873" i="1"/>
  <c r="BR1872" i="1"/>
  <c r="BO1872" i="1"/>
  <c r="BN1872" i="1"/>
  <c r="BM1872" i="1"/>
  <c r="BL1872" i="1"/>
  <c r="BK1872" i="1"/>
  <c r="BH1872" i="1"/>
  <c r="BJ1872" i="1" s="1"/>
  <c r="BF1872" i="1"/>
  <c r="BG1872" i="1" s="1"/>
  <c r="BE1872" i="1"/>
  <c r="BR1871" i="1"/>
  <c r="BO1871" i="1"/>
  <c r="BN1871" i="1"/>
  <c r="BM1871" i="1"/>
  <c r="BL1871" i="1"/>
  <c r="BK1871" i="1"/>
  <c r="BH1871" i="1"/>
  <c r="BI1871" i="1" s="1"/>
  <c r="BF1871" i="1"/>
  <c r="BG1871" i="1" s="1"/>
  <c r="BE1871" i="1"/>
  <c r="BR1870" i="1"/>
  <c r="BO1870" i="1"/>
  <c r="BN1870" i="1"/>
  <c r="BM1870" i="1"/>
  <c r="BL1870" i="1"/>
  <c r="BK1870" i="1"/>
  <c r="BH1870" i="1"/>
  <c r="BJ1870" i="1" s="1"/>
  <c r="BF1870" i="1"/>
  <c r="BG1870" i="1" s="1"/>
  <c r="BE1870" i="1"/>
  <c r="BR1869" i="1"/>
  <c r="BO1869" i="1"/>
  <c r="BN1869" i="1"/>
  <c r="BM1869" i="1"/>
  <c r="BL1869" i="1"/>
  <c r="BK1869" i="1"/>
  <c r="BH1869" i="1"/>
  <c r="BF1869" i="1"/>
  <c r="BG1869" i="1" s="1"/>
  <c r="BE1869" i="1"/>
  <c r="BR1868" i="1"/>
  <c r="BO1868" i="1"/>
  <c r="BN1868" i="1"/>
  <c r="BM1868" i="1"/>
  <c r="BL1868" i="1"/>
  <c r="BK1868" i="1"/>
  <c r="BH1868" i="1"/>
  <c r="BJ1868" i="1" s="1"/>
  <c r="BF1868" i="1"/>
  <c r="BG1868" i="1" s="1"/>
  <c r="BE1868" i="1"/>
  <c r="BR1867" i="1"/>
  <c r="BO1867" i="1"/>
  <c r="BN1867" i="1"/>
  <c r="BM1867" i="1"/>
  <c r="BL1867" i="1"/>
  <c r="BK1867" i="1"/>
  <c r="BH1867" i="1"/>
  <c r="BF1867" i="1"/>
  <c r="BG1867" i="1" s="1"/>
  <c r="BE1867" i="1"/>
  <c r="BR1866" i="1"/>
  <c r="BO1866" i="1"/>
  <c r="BN1866" i="1"/>
  <c r="BM1866" i="1"/>
  <c r="BL1866" i="1"/>
  <c r="BK1866" i="1"/>
  <c r="BH1866" i="1"/>
  <c r="BJ1866" i="1" s="1"/>
  <c r="BF1866" i="1"/>
  <c r="BG1866" i="1" s="1"/>
  <c r="BE1866" i="1"/>
  <c r="BR1865" i="1"/>
  <c r="BO1865" i="1"/>
  <c r="BN1865" i="1"/>
  <c r="BM1865" i="1"/>
  <c r="BL1865" i="1"/>
  <c r="BK1865" i="1"/>
  <c r="BH1865" i="1"/>
  <c r="BJ1865" i="1" s="1"/>
  <c r="BF1865" i="1"/>
  <c r="BG1865" i="1" s="1"/>
  <c r="BE1865" i="1"/>
  <c r="BR1864" i="1"/>
  <c r="BO1864" i="1"/>
  <c r="BN1864" i="1"/>
  <c r="BM1864" i="1"/>
  <c r="BL1864" i="1"/>
  <c r="BK1864" i="1"/>
  <c r="BH1864" i="1"/>
  <c r="BJ1864" i="1" s="1"/>
  <c r="BF1864" i="1"/>
  <c r="BG1864" i="1" s="1"/>
  <c r="BE1864" i="1"/>
  <c r="BR1863" i="1"/>
  <c r="BO1863" i="1"/>
  <c r="BN1863" i="1"/>
  <c r="BM1863" i="1"/>
  <c r="BL1863" i="1"/>
  <c r="BK1863" i="1"/>
  <c r="BH1863" i="1"/>
  <c r="BI1863" i="1" s="1"/>
  <c r="BF1863" i="1"/>
  <c r="BG1863" i="1" s="1"/>
  <c r="BE1863" i="1"/>
  <c r="BR1862" i="1"/>
  <c r="BO1862" i="1"/>
  <c r="BN1862" i="1"/>
  <c r="BM1862" i="1"/>
  <c r="BL1862" i="1"/>
  <c r="BK1862" i="1"/>
  <c r="BH1862" i="1"/>
  <c r="BF1862" i="1"/>
  <c r="BG1862" i="1" s="1"/>
  <c r="BE1862" i="1"/>
  <c r="BR1861" i="1"/>
  <c r="BO1861" i="1"/>
  <c r="BN1861" i="1"/>
  <c r="BM1861" i="1"/>
  <c r="BL1861" i="1"/>
  <c r="BK1861" i="1"/>
  <c r="BH1861" i="1"/>
  <c r="BJ1861" i="1" s="1"/>
  <c r="BF1861" i="1"/>
  <c r="BG1861" i="1" s="1"/>
  <c r="BE1861" i="1"/>
  <c r="BR1860" i="1"/>
  <c r="BO1860" i="1"/>
  <c r="BN1860" i="1"/>
  <c r="BM1860" i="1"/>
  <c r="BL1860" i="1"/>
  <c r="BK1860" i="1"/>
  <c r="BH1860" i="1"/>
  <c r="BJ1860" i="1" s="1"/>
  <c r="BF1860" i="1"/>
  <c r="BG1860" i="1" s="1"/>
  <c r="BE1860" i="1"/>
  <c r="BR1859" i="1"/>
  <c r="BO1859" i="1"/>
  <c r="BN1859" i="1"/>
  <c r="BM1859" i="1"/>
  <c r="BL1859" i="1"/>
  <c r="BK1859" i="1"/>
  <c r="BH1859" i="1"/>
  <c r="BJ1859" i="1" s="1"/>
  <c r="BF1859" i="1"/>
  <c r="BG1859" i="1" s="1"/>
  <c r="BE1859" i="1"/>
  <c r="BR1858" i="1"/>
  <c r="BO1858" i="1"/>
  <c r="BN1858" i="1"/>
  <c r="BM1858" i="1"/>
  <c r="BL1858" i="1"/>
  <c r="BK1858" i="1"/>
  <c r="BH1858" i="1"/>
  <c r="BJ1858" i="1" s="1"/>
  <c r="BF1858" i="1"/>
  <c r="BG1858" i="1" s="1"/>
  <c r="BE1858" i="1"/>
  <c r="BR1857" i="1"/>
  <c r="BO1857" i="1"/>
  <c r="BN1857" i="1"/>
  <c r="BM1857" i="1"/>
  <c r="BL1857" i="1"/>
  <c r="BK1857" i="1"/>
  <c r="BH1857" i="1"/>
  <c r="BJ1857" i="1" s="1"/>
  <c r="BF1857" i="1"/>
  <c r="BG1857" i="1" s="1"/>
  <c r="BE1857" i="1"/>
  <c r="BR1856" i="1"/>
  <c r="BO1856" i="1"/>
  <c r="BN1856" i="1"/>
  <c r="BM1856" i="1"/>
  <c r="BL1856" i="1"/>
  <c r="BK1856" i="1"/>
  <c r="BH1856" i="1"/>
  <c r="BJ1856" i="1" s="1"/>
  <c r="BF1856" i="1"/>
  <c r="BG1856" i="1" s="1"/>
  <c r="BE1856" i="1"/>
  <c r="BR1855" i="1"/>
  <c r="BO1855" i="1"/>
  <c r="BN1855" i="1"/>
  <c r="BM1855" i="1"/>
  <c r="BL1855" i="1"/>
  <c r="BK1855" i="1"/>
  <c r="BH1855" i="1"/>
  <c r="BF1855" i="1"/>
  <c r="BG1855" i="1" s="1"/>
  <c r="BE1855" i="1"/>
  <c r="BR1854" i="1"/>
  <c r="BO1854" i="1"/>
  <c r="BN1854" i="1"/>
  <c r="BM1854" i="1"/>
  <c r="BL1854" i="1"/>
  <c r="BK1854" i="1"/>
  <c r="BH1854" i="1"/>
  <c r="BJ1854" i="1" s="1"/>
  <c r="BF1854" i="1"/>
  <c r="BG1854" i="1" s="1"/>
  <c r="BE1854" i="1"/>
  <c r="BR1853" i="1"/>
  <c r="BO1853" i="1"/>
  <c r="BN1853" i="1"/>
  <c r="BM1853" i="1"/>
  <c r="BL1853" i="1"/>
  <c r="BK1853" i="1"/>
  <c r="BH1853" i="1"/>
  <c r="BF1853" i="1"/>
  <c r="BG1853" i="1" s="1"/>
  <c r="BE1853" i="1"/>
  <c r="BR1852" i="1"/>
  <c r="BO1852" i="1"/>
  <c r="BN1852" i="1"/>
  <c r="BM1852" i="1"/>
  <c r="BL1852" i="1"/>
  <c r="BK1852" i="1"/>
  <c r="BH1852" i="1"/>
  <c r="BJ1852" i="1" s="1"/>
  <c r="BF1852" i="1"/>
  <c r="BG1852" i="1" s="1"/>
  <c r="BE1852" i="1"/>
  <c r="BR1851" i="1"/>
  <c r="BO1851" i="1"/>
  <c r="BN1851" i="1"/>
  <c r="BM1851" i="1"/>
  <c r="BL1851" i="1"/>
  <c r="BK1851" i="1"/>
  <c r="BH1851" i="1"/>
  <c r="BJ1851" i="1" s="1"/>
  <c r="BF1851" i="1"/>
  <c r="BG1851" i="1" s="1"/>
  <c r="BE1851" i="1"/>
  <c r="BR1850" i="1"/>
  <c r="BO1850" i="1"/>
  <c r="BN1850" i="1"/>
  <c r="BM1850" i="1"/>
  <c r="BL1850" i="1"/>
  <c r="BK1850" i="1"/>
  <c r="BH1850" i="1"/>
  <c r="BJ1850" i="1" s="1"/>
  <c r="BF1850" i="1"/>
  <c r="BG1850" i="1" s="1"/>
  <c r="BE1850" i="1"/>
  <c r="BR1849" i="1"/>
  <c r="BO1849" i="1"/>
  <c r="BN1849" i="1"/>
  <c r="BM1849" i="1"/>
  <c r="BL1849" i="1"/>
  <c r="BK1849" i="1"/>
  <c r="BH1849" i="1"/>
  <c r="BI1849" i="1" s="1"/>
  <c r="BF1849" i="1"/>
  <c r="BG1849" i="1" s="1"/>
  <c r="BE1849" i="1"/>
  <c r="BR1848" i="1"/>
  <c r="BO1848" i="1"/>
  <c r="BN1848" i="1"/>
  <c r="BM1848" i="1"/>
  <c r="BL1848" i="1"/>
  <c r="BK1848" i="1"/>
  <c r="BH1848" i="1"/>
  <c r="BJ1848" i="1" s="1"/>
  <c r="BF1848" i="1"/>
  <c r="BG1848" i="1" s="1"/>
  <c r="BE1848" i="1"/>
  <c r="BR1847" i="1"/>
  <c r="BO1847" i="1"/>
  <c r="BN1847" i="1"/>
  <c r="BM1847" i="1"/>
  <c r="BL1847" i="1"/>
  <c r="BK1847" i="1"/>
  <c r="BH1847" i="1"/>
  <c r="BJ1847" i="1" s="1"/>
  <c r="BF1847" i="1"/>
  <c r="BG1847" i="1" s="1"/>
  <c r="BE1847" i="1"/>
  <c r="BR1846" i="1"/>
  <c r="BO1846" i="1"/>
  <c r="BN1846" i="1"/>
  <c r="BM1846" i="1"/>
  <c r="BL1846" i="1"/>
  <c r="BK1846" i="1"/>
  <c r="BH1846" i="1"/>
  <c r="BJ1846" i="1" s="1"/>
  <c r="BF1846" i="1"/>
  <c r="BG1846" i="1" s="1"/>
  <c r="BE1846" i="1"/>
  <c r="BR1845" i="1"/>
  <c r="BO1845" i="1"/>
  <c r="BN1845" i="1"/>
  <c r="BM1845" i="1"/>
  <c r="BL1845" i="1"/>
  <c r="BK1845" i="1"/>
  <c r="BH1845" i="1"/>
  <c r="BI1845" i="1" s="1"/>
  <c r="BF1845" i="1"/>
  <c r="BG1845" i="1" s="1"/>
  <c r="BE1845" i="1"/>
  <c r="BR1844" i="1"/>
  <c r="BO1844" i="1"/>
  <c r="BN1844" i="1"/>
  <c r="BM1844" i="1"/>
  <c r="BL1844" i="1"/>
  <c r="BK1844" i="1"/>
  <c r="BH1844" i="1"/>
  <c r="BJ1844" i="1" s="1"/>
  <c r="BF1844" i="1"/>
  <c r="BG1844" i="1" s="1"/>
  <c r="BE1844" i="1"/>
  <c r="BR1843" i="1"/>
  <c r="BO1843" i="1"/>
  <c r="BN1843" i="1"/>
  <c r="BM1843" i="1"/>
  <c r="BL1843" i="1"/>
  <c r="BK1843" i="1"/>
  <c r="BH1843" i="1"/>
  <c r="BI1843" i="1" s="1"/>
  <c r="BF1843" i="1"/>
  <c r="BG1843" i="1" s="1"/>
  <c r="BE1843" i="1"/>
  <c r="BR1842" i="1"/>
  <c r="BO1842" i="1"/>
  <c r="BN1842" i="1"/>
  <c r="BM1842" i="1"/>
  <c r="BL1842" i="1"/>
  <c r="BK1842" i="1"/>
  <c r="BH1842" i="1"/>
  <c r="BJ1842" i="1" s="1"/>
  <c r="BF1842" i="1"/>
  <c r="BG1842" i="1" s="1"/>
  <c r="BE1842" i="1"/>
  <c r="BR1841" i="1"/>
  <c r="BO1841" i="1"/>
  <c r="BN1841" i="1"/>
  <c r="BM1841" i="1"/>
  <c r="BL1841" i="1"/>
  <c r="BK1841" i="1"/>
  <c r="BH1841" i="1"/>
  <c r="BF1841" i="1"/>
  <c r="BG1841" i="1" s="1"/>
  <c r="BE1841" i="1"/>
  <c r="BR1840" i="1"/>
  <c r="BO1840" i="1"/>
  <c r="BN1840" i="1"/>
  <c r="BM1840" i="1"/>
  <c r="BL1840" i="1"/>
  <c r="BK1840" i="1"/>
  <c r="BH1840" i="1"/>
  <c r="BJ1840" i="1" s="1"/>
  <c r="BF1840" i="1"/>
  <c r="BG1840" i="1" s="1"/>
  <c r="BE1840" i="1"/>
  <c r="BR1839" i="1"/>
  <c r="BO1839" i="1"/>
  <c r="BN1839" i="1"/>
  <c r="BM1839" i="1"/>
  <c r="BL1839" i="1"/>
  <c r="BK1839" i="1"/>
  <c r="BH1839" i="1"/>
  <c r="BJ1839" i="1" s="1"/>
  <c r="BF1839" i="1"/>
  <c r="BG1839" i="1" s="1"/>
  <c r="BE1839" i="1"/>
  <c r="BR1838" i="1"/>
  <c r="BO1838" i="1"/>
  <c r="BN1838" i="1"/>
  <c r="BM1838" i="1"/>
  <c r="BL1838" i="1"/>
  <c r="BK1838" i="1"/>
  <c r="BH1838" i="1"/>
  <c r="BJ1838" i="1" s="1"/>
  <c r="BF1838" i="1"/>
  <c r="BG1838" i="1" s="1"/>
  <c r="BE1838" i="1"/>
  <c r="BR1837" i="1"/>
  <c r="BO1837" i="1"/>
  <c r="BN1837" i="1"/>
  <c r="BM1837" i="1"/>
  <c r="BL1837" i="1"/>
  <c r="BK1837" i="1"/>
  <c r="BH1837" i="1"/>
  <c r="BF1837" i="1"/>
  <c r="BG1837" i="1" s="1"/>
  <c r="BE1837" i="1"/>
  <c r="BR1836" i="1"/>
  <c r="BO1836" i="1"/>
  <c r="BN1836" i="1"/>
  <c r="BM1836" i="1"/>
  <c r="BL1836" i="1"/>
  <c r="BK1836" i="1"/>
  <c r="BH1836" i="1"/>
  <c r="BJ1836" i="1" s="1"/>
  <c r="BF1836" i="1"/>
  <c r="BG1836" i="1" s="1"/>
  <c r="BE1836" i="1"/>
  <c r="BR1835" i="1"/>
  <c r="BO1835" i="1"/>
  <c r="BN1835" i="1"/>
  <c r="BM1835" i="1"/>
  <c r="BL1835" i="1"/>
  <c r="BK1835" i="1"/>
  <c r="BH1835" i="1"/>
  <c r="BI1835" i="1" s="1"/>
  <c r="BF1835" i="1"/>
  <c r="BG1835" i="1" s="1"/>
  <c r="BE1835" i="1"/>
  <c r="BR1834" i="1"/>
  <c r="BO1834" i="1"/>
  <c r="BN1834" i="1"/>
  <c r="BM1834" i="1"/>
  <c r="BL1834" i="1"/>
  <c r="BK1834" i="1"/>
  <c r="BH1834" i="1"/>
  <c r="BJ1834" i="1" s="1"/>
  <c r="BF1834" i="1"/>
  <c r="BG1834" i="1" s="1"/>
  <c r="BE1834" i="1"/>
  <c r="BR1833" i="1"/>
  <c r="BO1833" i="1"/>
  <c r="BN1833" i="1"/>
  <c r="BM1833" i="1"/>
  <c r="BL1833" i="1"/>
  <c r="BK1833" i="1"/>
  <c r="BH1833" i="1"/>
  <c r="BJ1833" i="1" s="1"/>
  <c r="BF1833" i="1"/>
  <c r="BG1833" i="1" s="1"/>
  <c r="BE1833" i="1"/>
  <c r="BR1832" i="1"/>
  <c r="BO1832" i="1"/>
  <c r="BN1832" i="1"/>
  <c r="BM1832" i="1"/>
  <c r="BL1832" i="1"/>
  <c r="BK1832" i="1"/>
  <c r="BH1832" i="1"/>
  <c r="BJ1832" i="1" s="1"/>
  <c r="BF1832" i="1"/>
  <c r="BG1832" i="1" s="1"/>
  <c r="BE1832" i="1"/>
  <c r="BR1831" i="1"/>
  <c r="BO1831" i="1"/>
  <c r="BN1831" i="1"/>
  <c r="BM1831" i="1"/>
  <c r="BL1831" i="1"/>
  <c r="BK1831" i="1"/>
  <c r="BH1831" i="1"/>
  <c r="BJ1831" i="1" s="1"/>
  <c r="BF1831" i="1"/>
  <c r="BG1831" i="1" s="1"/>
  <c r="BE1831" i="1"/>
  <c r="BR1830" i="1"/>
  <c r="BO1830" i="1"/>
  <c r="BN1830" i="1"/>
  <c r="BM1830" i="1"/>
  <c r="BL1830" i="1"/>
  <c r="BK1830" i="1"/>
  <c r="BH1830" i="1"/>
  <c r="BJ1830" i="1" s="1"/>
  <c r="BF1830" i="1"/>
  <c r="BG1830" i="1" s="1"/>
  <c r="BE1830" i="1"/>
  <c r="BR1829" i="1"/>
  <c r="BO1829" i="1"/>
  <c r="BN1829" i="1"/>
  <c r="BM1829" i="1"/>
  <c r="BL1829" i="1"/>
  <c r="BK1829" i="1"/>
  <c r="BH1829" i="1"/>
  <c r="BJ1829" i="1" s="1"/>
  <c r="BF1829" i="1"/>
  <c r="BG1829" i="1" s="1"/>
  <c r="BE1829" i="1"/>
  <c r="BR1828" i="1"/>
  <c r="BO1828" i="1"/>
  <c r="BN1828" i="1"/>
  <c r="BM1828" i="1"/>
  <c r="BL1828" i="1"/>
  <c r="BK1828" i="1"/>
  <c r="BH1828" i="1"/>
  <c r="BJ1828" i="1" s="1"/>
  <c r="BF1828" i="1"/>
  <c r="BG1828" i="1" s="1"/>
  <c r="BE1828" i="1"/>
  <c r="BR1827" i="1"/>
  <c r="BO1827" i="1"/>
  <c r="BN1827" i="1"/>
  <c r="BM1827" i="1"/>
  <c r="BL1827" i="1"/>
  <c r="BK1827" i="1"/>
  <c r="BH1827" i="1"/>
  <c r="BJ1827" i="1" s="1"/>
  <c r="BF1827" i="1"/>
  <c r="BG1827" i="1" s="1"/>
  <c r="BE1827" i="1"/>
  <c r="BR1826" i="1"/>
  <c r="BO1826" i="1"/>
  <c r="BN1826" i="1"/>
  <c r="BM1826" i="1"/>
  <c r="BL1826" i="1"/>
  <c r="BK1826" i="1"/>
  <c r="BH1826" i="1"/>
  <c r="BJ1826" i="1" s="1"/>
  <c r="BF1826" i="1"/>
  <c r="BG1826" i="1" s="1"/>
  <c r="BE1826" i="1"/>
  <c r="BR1825" i="1"/>
  <c r="BO1825" i="1"/>
  <c r="BN1825" i="1"/>
  <c r="BM1825" i="1"/>
  <c r="BL1825" i="1"/>
  <c r="BK1825" i="1"/>
  <c r="BH1825" i="1"/>
  <c r="BJ1825" i="1" s="1"/>
  <c r="BF1825" i="1"/>
  <c r="BG1825" i="1" s="1"/>
  <c r="BE1825" i="1"/>
  <c r="BR1824" i="1"/>
  <c r="BO1824" i="1"/>
  <c r="BN1824" i="1"/>
  <c r="BM1824" i="1"/>
  <c r="BL1824" i="1"/>
  <c r="BK1824" i="1"/>
  <c r="BH1824" i="1"/>
  <c r="BJ1824" i="1" s="1"/>
  <c r="BF1824" i="1"/>
  <c r="BG1824" i="1" s="1"/>
  <c r="BE1824" i="1"/>
  <c r="BR1823" i="1"/>
  <c r="BO1823" i="1"/>
  <c r="BN1823" i="1"/>
  <c r="BM1823" i="1"/>
  <c r="BL1823" i="1"/>
  <c r="BK1823" i="1"/>
  <c r="BH1823" i="1"/>
  <c r="BF1823" i="1"/>
  <c r="BG1823" i="1" s="1"/>
  <c r="BE1823" i="1"/>
  <c r="BR1822" i="1"/>
  <c r="BO1822" i="1"/>
  <c r="BN1822" i="1"/>
  <c r="BM1822" i="1"/>
  <c r="BL1822" i="1"/>
  <c r="BK1822" i="1"/>
  <c r="BH1822" i="1"/>
  <c r="BJ1822" i="1" s="1"/>
  <c r="BF1822" i="1"/>
  <c r="BG1822" i="1" s="1"/>
  <c r="BE1822" i="1"/>
  <c r="BR1821" i="1"/>
  <c r="BO1821" i="1"/>
  <c r="BN1821" i="1"/>
  <c r="BM1821" i="1"/>
  <c r="BL1821" i="1"/>
  <c r="BK1821" i="1"/>
  <c r="BH1821" i="1"/>
  <c r="BF1821" i="1"/>
  <c r="BG1821" i="1" s="1"/>
  <c r="BE1821" i="1"/>
  <c r="BR1820" i="1"/>
  <c r="BO1820" i="1"/>
  <c r="BN1820" i="1"/>
  <c r="BM1820" i="1"/>
  <c r="BL1820" i="1"/>
  <c r="BK1820" i="1"/>
  <c r="BH1820" i="1"/>
  <c r="BJ1820" i="1" s="1"/>
  <c r="BF1820" i="1"/>
  <c r="BG1820" i="1" s="1"/>
  <c r="BE1820" i="1"/>
  <c r="BR1819" i="1"/>
  <c r="BO1819" i="1"/>
  <c r="BN1819" i="1"/>
  <c r="BM1819" i="1"/>
  <c r="BL1819" i="1"/>
  <c r="BK1819" i="1"/>
  <c r="BH1819" i="1"/>
  <c r="BI1819" i="1" s="1"/>
  <c r="BF1819" i="1"/>
  <c r="BG1819" i="1" s="1"/>
  <c r="BE1819" i="1"/>
  <c r="BR1818" i="1"/>
  <c r="BO1818" i="1"/>
  <c r="BN1818" i="1"/>
  <c r="BM1818" i="1"/>
  <c r="BL1818" i="1"/>
  <c r="BK1818" i="1"/>
  <c r="BH1818" i="1"/>
  <c r="BJ1818" i="1" s="1"/>
  <c r="BF1818" i="1"/>
  <c r="BG1818" i="1" s="1"/>
  <c r="BE1818" i="1"/>
  <c r="BR1817" i="1"/>
  <c r="BO1817" i="1"/>
  <c r="BN1817" i="1"/>
  <c r="BM1817" i="1"/>
  <c r="BL1817" i="1"/>
  <c r="BK1817" i="1"/>
  <c r="BH1817" i="1"/>
  <c r="BI1817" i="1" s="1"/>
  <c r="BF1817" i="1"/>
  <c r="BG1817" i="1" s="1"/>
  <c r="BE1817" i="1"/>
  <c r="BR1816" i="1"/>
  <c r="BO1816" i="1"/>
  <c r="BN1816" i="1"/>
  <c r="BM1816" i="1"/>
  <c r="BL1816" i="1"/>
  <c r="BK1816" i="1"/>
  <c r="BH1816" i="1"/>
  <c r="BJ1816" i="1" s="1"/>
  <c r="BF1816" i="1"/>
  <c r="BG1816" i="1" s="1"/>
  <c r="BE1816" i="1"/>
  <c r="BR1815" i="1"/>
  <c r="BO1815" i="1"/>
  <c r="BN1815" i="1"/>
  <c r="BM1815" i="1"/>
  <c r="BL1815" i="1"/>
  <c r="BK1815" i="1"/>
  <c r="BH1815" i="1"/>
  <c r="BI1815" i="1" s="1"/>
  <c r="BF1815" i="1"/>
  <c r="BG1815" i="1" s="1"/>
  <c r="BE1815" i="1"/>
  <c r="BR1814" i="1"/>
  <c r="BO1814" i="1"/>
  <c r="BN1814" i="1"/>
  <c r="BM1814" i="1"/>
  <c r="BL1814" i="1"/>
  <c r="BK1814" i="1"/>
  <c r="BH1814" i="1"/>
  <c r="BJ1814" i="1" s="1"/>
  <c r="BF1814" i="1"/>
  <c r="BG1814" i="1" s="1"/>
  <c r="BE1814" i="1"/>
  <c r="BR1813" i="1"/>
  <c r="BO1813" i="1"/>
  <c r="BN1813" i="1"/>
  <c r="BM1813" i="1"/>
  <c r="BL1813" i="1"/>
  <c r="BK1813" i="1"/>
  <c r="BH1813" i="1"/>
  <c r="BI1813" i="1" s="1"/>
  <c r="BF1813" i="1"/>
  <c r="BG1813" i="1" s="1"/>
  <c r="BE1813" i="1"/>
  <c r="BR1812" i="1"/>
  <c r="BO1812" i="1"/>
  <c r="BN1812" i="1"/>
  <c r="BM1812" i="1"/>
  <c r="BL1812" i="1"/>
  <c r="BK1812" i="1"/>
  <c r="BH1812" i="1"/>
  <c r="BJ1812" i="1" s="1"/>
  <c r="BF1812" i="1"/>
  <c r="BG1812" i="1" s="1"/>
  <c r="BE1812" i="1"/>
  <c r="BR1811" i="1"/>
  <c r="BO1811" i="1"/>
  <c r="BN1811" i="1"/>
  <c r="BM1811" i="1"/>
  <c r="BL1811" i="1"/>
  <c r="BK1811" i="1"/>
  <c r="BH1811" i="1"/>
  <c r="BI1811" i="1" s="1"/>
  <c r="BF1811" i="1"/>
  <c r="BG1811" i="1" s="1"/>
  <c r="BE1811" i="1"/>
  <c r="BR1810" i="1"/>
  <c r="BO1810" i="1"/>
  <c r="BN1810" i="1"/>
  <c r="BM1810" i="1"/>
  <c r="BL1810" i="1"/>
  <c r="BK1810" i="1"/>
  <c r="BH1810" i="1"/>
  <c r="BJ1810" i="1" s="1"/>
  <c r="BF1810" i="1"/>
  <c r="BG1810" i="1" s="1"/>
  <c r="BE1810" i="1"/>
  <c r="BR1809" i="1"/>
  <c r="BO1809" i="1"/>
  <c r="BN1809" i="1"/>
  <c r="BM1809" i="1"/>
  <c r="BL1809" i="1"/>
  <c r="BK1809" i="1"/>
  <c r="BH1809" i="1"/>
  <c r="BI1809" i="1" s="1"/>
  <c r="BF1809" i="1"/>
  <c r="BG1809" i="1" s="1"/>
  <c r="BE1809" i="1"/>
  <c r="BR1808" i="1"/>
  <c r="BO1808" i="1"/>
  <c r="BN1808" i="1"/>
  <c r="BM1808" i="1"/>
  <c r="BL1808" i="1"/>
  <c r="BK1808" i="1"/>
  <c r="BH1808" i="1"/>
  <c r="BJ1808" i="1" s="1"/>
  <c r="BF1808" i="1"/>
  <c r="BG1808" i="1" s="1"/>
  <c r="BE1808" i="1"/>
  <c r="BR1807" i="1"/>
  <c r="BO1807" i="1"/>
  <c r="BN1807" i="1"/>
  <c r="BM1807" i="1"/>
  <c r="BL1807" i="1"/>
  <c r="BK1807" i="1"/>
  <c r="BH1807" i="1"/>
  <c r="BF1807" i="1"/>
  <c r="BG1807" i="1" s="1"/>
  <c r="BE1807" i="1"/>
  <c r="BR1806" i="1"/>
  <c r="BO1806" i="1"/>
  <c r="BN1806" i="1"/>
  <c r="BM1806" i="1"/>
  <c r="BL1806" i="1"/>
  <c r="BK1806" i="1"/>
  <c r="BH1806" i="1"/>
  <c r="BJ1806" i="1" s="1"/>
  <c r="BF1806" i="1"/>
  <c r="BG1806" i="1" s="1"/>
  <c r="BE1806" i="1"/>
  <c r="BR1805" i="1"/>
  <c r="BO1805" i="1"/>
  <c r="BN1805" i="1"/>
  <c r="BM1805" i="1"/>
  <c r="BL1805" i="1"/>
  <c r="BK1805" i="1"/>
  <c r="BH1805" i="1"/>
  <c r="BF1805" i="1"/>
  <c r="BG1805" i="1" s="1"/>
  <c r="BE1805" i="1"/>
  <c r="BR1804" i="1"/>
  <c r="BO1804" i="1"/>
  <c r="BN1804" i="1"/>
  <c r="BM1804" i="1"/>
  <c r="BL1804" i="1"/>
  <c r="BK1804" i="1"/>
  <c r="BH1804" i="1"/>
  <c r="BJ1804" i="1" s="1"/>
  <c r="BF1804" i="1"/>
  <c r="BG1804" i="1" s="1"/>
  <c r="BE1804" i="1"/>
  <c r="BR1803" i="1"/>
  <c r="BO1803" i="1"/>
  <c r="BN1803" i="1"/>
  <c r="BM1803" i="1"/>
  <c r="BL1803" i="1"/>
  <c r="BK1803" i="1"/>
  <c r="BH1803" i="1"/>
  <c r="BI1803" i="1" s="1"/>
  <c r="BF1803" i="1"/>
  <c r="BG1803" i="1" s="1"/>
  <c r="BE1803" i="1"/>
  <c r="BR1802" i="1"/>
  <c r="BO1802" i="1"/>
  <c r="BN1802" i="1"/>
  <c r="BM1802" i="1"/>
  <c r="BL1802" i="1"/>
  <c r="BK1802" i="1"/>
  <c r="BH1802" i="1"/>
  <c r="BJ1802" i="1" s="1"/>
  <c r="BF1802" i="1"/>
  <c r="BG1802" i="1" s="1"/>
  <c r="BE1802" i="1"/>
  <c r="BR1801" i="1"/>
  <c r="BO1801" i="1"/>
  <c r="BN1801" i="1"/>
  <c r="BM1801" i="1"/>
  <c r="BL1801" i="1"/>
  <c r="BK1801" i="1"/>
  <c r="BH1801" i="1"/>
  <c r="BI1801" i="1" s="1"/>
  <c r="BF1801" i="1"/>
  <c r="BG1801" i="1" s="1"/>
  <c r="BE1801" i="1"/>
  <c r="BR1800" i="1"/>
  <c r="BO1800" i="1"/>
  <c r="BN1800" i="1"/>
  <c r="BM1800" i="1"/>
  <c r="BL1800" i="1"/>
  <c r="BK1800" i="1"/>
  <c r="BH1800" i="1"/>
  <c r="BJ1800" i="1" s="1"/>
  <c r="BF1800" i="1"/>
  <c r="BG1800" i="1" s="1"/>
  <c r="BE1800" i="1"/>
  <c r="BR1799" i="1"/>
  <c r="BO1799" i="1"/>
  <c r="BN1799" i="1"/>
  <c r="BM1799" i="1"/>
  <c r="BL1799" i="1"/>
  <c r="BK1799" i="1"/>
  <c r="BH1799" i="1"/>
  <c r="BF1799" i="1"/>
  <c r="BG1799" i="1" s="1"/>
  <c r="BE1799" i="1"/>
  <c r="BR1798" i="1"/>
  <c r="BO1798" i="1"/>
  <c r="BN1798" i="1"/>
  <c r="BM1798" i="1"/>
  <c r="BL1798" i="1"/>
  <c r="BK1798" i="1"/>
  <c r="BH1798" i="1"/>
  <c r="BJ1798" i="1" s="1"/>
  <c r="BF1798" i="1"/>
  <c r="BG1798" i="1" s="1"/>
  <c r="BE1798" i="1"/>
  <c r="BR1797" i="1"/>
  <c r="BO1797" i="1"/>
  <c r="BN1797" i="1"/>
  <c r="BM1797" i="1"/>
  <c r="BL1797" i="1"/>
  <c r="BK1797" i="1"/>
  <c r="BH1797" i="1"/>
  <c r="BI1797" i="1" s="1"/>
  <c r="BF1797" i="1"/>
  <c r="BG1797" i="1" s="1"/>
  <c r="BE1797" i="1"/>
  <c r="BR1796" i="1"/>
  <c r="BO1796" i="1"/>
  <c r="BN1796" i="1"/>
  <c r="BM1796" i="1"/>
  <c r="BL1796" i="1"/>
  <c r="BK1796" i="1"/>
  <c r="BH1796" i="1"/>
  <c r="BJ1796" i="1" s="1"/>
  <c r="BF1796" i="1"/>
  <c r="BG1796" i="1" s="1"/>
  <c r="BE1796" i="1"/>
  <c r="BR1795" i="1"/>
  <c r="BO1795" i="1"/>
  <c r="BN1795" i="1"/>
  <c r="BM1795" i="1"/>
  <c r="BL1795" i="1"/>
  <c r="BK1795" i="1"/>
  <c r="BH1795" i="1"/>
  <c r="BI1795" i="1" s="1"/>
  <c r="BF1795" i="1"/>
  <c r="BG1795" i="1" s="1"/>
  <c r="BE1795" i="1"/>
  <c r="BR1794" i="1"/>
  <c r="BO1794" i="1"/>
  <c r="BN1794" i="1"/>
  <c r="BM1794" i="1"/>
  <c r="BL1794" i="1"/>
  <c r="BK1794" i="1"/>
  <c r="BH1794" i="1"/>
  <c r="BJ1794" i="1" s="1"/>
  <c r="BF1794" i="1"/>
  <c r="BG1794" i="1" s="1"/>
  <c r="BE1794" i="1"/>
  <c r="BR1793" i="1"/>
  <c r="BO1793" i="1"/>
  <c r="BN1793" i="1"/>
  <c r="BM1793" i="1"/>
  <c r="BL1793" i="1"/>
  <c r="BK1793" i="1"/>
  <c r="BH1793" i="1"/>
  <c r="BI1793" i="1" s="1"/>
  <c r="BF1793" i="1"/>
  <c r="BG1793" i="1" s="1"/>
  <c r="BE1793" i="1"/>
  <c r="BR1792" i="1"/>
  <c r="BO1792" i="1"/>
  <c r="BN1792" i="1"/>
  <c r="BM1792" i="1"/>
  <c r="BL1792" i="1"/>
  <c r="BK1792" i="1"/>
  <c r="BH1792" i="1"/>
  <c r="BJ1792" i="1" s="1"/>
  <c r="BF1792" i="1"/>
  <c r="BG1792" i="1" s="1"/>
  <c r="BE1792" i="1"/>
  <c r="BR1791" i="1"/>
  <c r="BO1791" i="1"/>
  <c r="BN1791" i="1"/>
  <c r="BM1791" i="1"/>
  <c r="BL1791" i="1"/>
  <c r="BK1791" i="1"/>
  <c r="BH1791" i="1"/>
  <c r="BI1791" i="1" s="1"/>
  <c r="BF1791" i="1"/>
  <c r="BG1791" i="1" s="1"/>
  <c r="BE1791" i="1"/>
  <c r="BR1790" i="1"/>
  <c r="BO1790" i="1"/>
  <c r="BN1790" i="1"/>
  <c r="BM1790" i="1"/>
  <c r="BL1790" i="1"/>
  <c r="BK1790" i="1"/>
  <c r="BH1790" i="1"/>
  <c r="BJ1790" i="1" s="1"/>
  <c r="BF1790" i="1"/>
  <c r="BG1790" i="1" s="1"/>
  <c r="BE1790" i="1"/>
  <c r="BR1789" i="1"/>
  <c r="BO1789" i="1"/>
  <c r="BN1789" i="1"/>
  <c r="BM1789" i="1"/>
  <c r="BL1789" i="1"/>
  <c r="BK1789" i="1"/>
  <c r="BH1789" i="1"/>
  <c r="BF1789" i="1"/>
  <c r="BG1789" i="1" s="1"/>
  <c r="BE1789" i="1"/>
  <c r="BR1788" i="1"/>
  <c r="BO1788" i="1"/>
  <c r="BN1788" i="1"/>
  <c r="BM1788" i="1"/>
  <c r="BL1788" i="1"/>
  <c r="BK1788" i="1"/>
  <c r="BH1788" i="1"/>
  <c r="BJ1788" i="1" s="1"/>
  <c r="BF1788" i="1"/>
  <c r="BG1788" i="1" s="1"/>
  <c r="BE1788" i="1"/>
  <c r="BR1787" i="1"/>
  <c r="BO1787" i="1"/>
  <c r="BN1787" i="1"/>
  <c r="BM1787" i="1"/>
  <c r="BL1787" i="1"/>
  <c r="BK1787" i="1"/>
  <c r="BH1787" i="1"/>
  <c r="BF1787" i="1"/>
  <c r="BG1787" i="1" s="1"/>
  <c r="BE1787" i="1"/>
  <c r="BR1786" i="1"/>
  <c r="BO1786" i="1"/>
  <c r="BN1786" i="1"/>
  <c r="BM1786" i="1"/>
  <c r="BL1786" i="1"/>
  <c r="BK1786" i="1"/>
  <c r="BH1786" i="1"/>
  <c r="BJ1786" i="1" s="1"/>
  <c r="BF1786" i="1"/>
  <c r="BG1786" i="1" s="1"/>
  <c r="BE1786" i="1"/>
  <c r="BR1785" i="1"/>
  <c r="BO1785" i="1"/>
  <c r="BN1785" i="1"/>
  <c r="BM1785" i="1"/>
  <c r="BL1785" i="1"/>
  <c r="BK1785" i="1"/>
  <c r="BH1785" i="1"/>
  <c r="BI1785" i="1" s="1"/>
  <c r="BF1785" i="1"/>
  <c r="BG1785" i="1" s="1"/>
  <c r="BE1785" i="1"/>
  <c r="BR1784" i="1"/>
  <c r="BO1784" i="1"/>
  <c r="BN1784" i="1"/>
  <c r="BM1784" i="1"/>
  <c r="BL1784" i="1"/>
  <c r="BK1784" i="1"/>
  <c r="BH1784" i="1"/>
  <c r="BJ1784" i="1" s="1"/>
  <c r="BF1784" i="1"/>
  <c r="BG1784" i="1" s="1"/>
  <c r="BE1784" i="1"/>
  <c r="BR1783" i="1"/>
  <c r="BO1783" i="1"/>
  <c r="BN1783" i="1"/>
  <c r="BM1783" i="1"/>
  <c r="BL1783" i="1"/>
  <c r="BK1783" i="1"/>
  <c r="BH1783" i="1"/>
  <c r="BI1783" i="1" s="1"/>
  <c r="BF1783" i="1"/>
  <c r="BG1783" i="1" s="1"/>
  <c r="BE1783" i="1"/>
  <c r="BR1782" i="1"/>
  <c r="BO1782" i="1"/>
  <c r="BN1782" i="1"/>
  <c r="BM1782" i="1"/>
  <c r="BL1782" i="1"/>
  <c r="BK1782" i="1"/>
  <c r="BH1782" i="1"/>
  <c r="BJ1782" i="1" s="1"/>
  <c r="BF1782" i="1"/>
  <c r="BG1782" i="1" s="1"/>
  <c r="BE1782" i="1"/>
  <c r="BR1781" i="1"/>
  <c r="BO1781" i="1"/>
  <c r="BN1781" i="1"/>
  <c r="BM1781" i="1"/>
  <c r="BL1781" i="1"/>
  <c r="BK1781" i="1"/>
  <c r="BH1781" i="1"/>
  <c r="BF1781" i="1"/>
  <c r="BG1781" i="1" s="1"/>
  <c r="BE1781" i="1"/>
  <c r="BR1780" i="1"/>
  <c r="BO1780" i="1"/>
  <c r="BN1780" i="1"/>
  <c r="BM1780" i="1"/>
  <c r="BL1780" i="1"/>
  <c r="BK1780" i="1"/>
  <c r="BH1780" i="1"/>
  <c r="BJ1780" i="1" s="1"/>
  <c r="BF1780" i="1"/>
  <c r="BG1780" i="1" s="1"/>
  <c r="BE1780" i="1"/>
  <c r="BR1779" i="1"/>
  <c r="BO1779" i="1"/>
  <c r="BN1779" i="1"/>
  <c r="BM1779" i="1"/>
  <c r="BL1779" i="1"/>
  <c r="BK1779" i="1"/>
  <c r="BH1779" i="1"/>
  <c r="BI1779" i="1" s="1"/>
  <c r="BF1779" i="1"/>
  <c r="BG1779" i="1" s="1"/>
  <c r="BE1779" i="1"/>
  <c r="BR1778" i="1"/>
  <c r="BO1778" i="1"/>
  <c r="BN1778" i="1"/>
  <c r="BM1778" i="1"/>
  <c r="BL1778" i="1"/>
  <c r="BK1778" i="1"/>
  <c r="BH1778" i="1"/>
  <c r="BJ1778" i="1" s="1"/>
  <c r="BF1778" i="1"/>
  <c r="BG1778" i="1" s="1"/>
  <c r="BE1778" i="1"/>
  <c r="BR1777" i="1"/>
  <c r="BO1777" i="1"/>
  <c r="BN1777" i="1"/>
  <c r="BM1777" i="1"/>
  <c r="BL1777" i="1"/>
  <c r="BK1777" i="1"/>
  <c r="BH1777" i="1"/>
  <c r="BI1777" i="1" s="1"/>
  <c r="BF1777" i="1"/>
  <c r="BG1777" i="1" s="1"/>
  <c r="BE1777" i="1"/>
  <c r="BR1776" i="1"/>
  <c r="BO1776" i="1"/>
  <c r="BN1776" i="1"/>
  <c r="BM1776" i="1"/>
  <c r="BL1776" i="1"/>
  <c r="BK1776" i="1"/>
  <c r="BH1776" i="1"/>
  <c r="BJ1776" i="1" s="1"/>
  <c r="BF1776" i="1"/>
  <c r="BG1776" i="1" s="1"/>
  <c r="BE1776" i="1"/>
  <c r="BR1775" i="1"/>
  <c r="BO1775" i="1"/>
  <c r="BN1775" i="1"/>
  <c r="BM1775" i="1"/>
  <c r="BL1775" i="1"/>
  <c r="BK1775" i="1"/>
  <c r="BH1775" i="1"/>
  <c r="BF1775" i="1"/>
  <c r="BG1775" i="1" s="1"/>
  <c r="BE1775" i="1"/>
  <c r="BR1774" i="1"/>
  <c r="BO1774" i="1"/>
  <c r="BN1774" i="1"/>
  <c r="BM1774" i="1"/>
  <c r="BL1774" i="1"/>
  <c r="BK1774" i="1"/>
  <c r="BH1774" i="1"/>
  <c r="BJ1774" i="1" s="1"/>
  <c r="BF1774" i="1"/>
  <c r="BG1774" i="1" s="1"/>
  <c r="BE1774" i="1"/>
  <c r="BR1773" i="1"/>
  <c r="BO1773" i="1"/>
  <c r="BN1773" i="1"/>
  <c r="BM1773" i="1"/>
  <c r="BL1773" i="1"/>
  <c r="BK1773" i="1"/>
  <c r="BH1773" i="1"/>
  <c r="BI1773" i="1" s="1"/>
  <c r="BF1773" i="1"/>
  <c r="BG1773" i="1" s="1"/>
  <c r="BE1773" i="1"/>
  <c r="BR1772" i="1"/>
  <c r="BO1772" i="1"/>
  <c r="BN1772" i="1"/>
  <c r="BM1772" i="1"/>
  <c r="BL1772" i="1"/>
  <c r="BK1772" i="1"/>
  <c r="BH1772" i="1"/>
  <c r="BJ1772" i="1" s="1"/>
  <c r="BF1772" i="1"/>
  <c r="BG1772" i="1" s="1"/>
  <c r="BE1772" i="1"/>
  <c r="BR1771" i="1"/>
  <c r="BO1771" i="1"/>
  <c r="BN1771" i="1"/>
  <c r="BM1771" i="1"/>
  <c r="BL1771" i="1"/>
  <c r="BK1771" i="1"/>
  <c r="BH1771" i="1"/>
  <c r="BI1771" i="1" s="1"/>
  <c r="BF1771" i="1"/>
  <c r="BG1771" i="1" s="1"/>
  <c r="BE1771" i="1"/>
  <c r="BR1770" i="1"/>
  <c r="BO1770" i="1"/>
  <c r="BN1770" i="1"/>
  <c r="BM1770" i="1"/>
  <c r="BL1770" i="1"/>
  <c r="BK1770" i="1"/>
  <c r="BH1770" i="1"/>
  <c r="BJ1770" i="1" s="1"/>
  <c r="BF1770" i="1"/>
  <c r="BG1770" i="1" s="1"/>
  <c r="BE1770" i="1"/>
  <c r="BR1769" i="1"/>
  <c r="BO1769" i="1"/>
  <c r="BN1769" i="1"/>
  <c r="BM1769" i="1"/>
  <c r="BL1769" i="1"/>
  <c r="BK1769" i="1"/>
  <c r="BH1769" i="1"/>
  <c r="BF1769" i="1"/>
  <c r="BG1769" i="1" s="1"/>
  <c r="BE1769" i="1"/>
  <c r="BR1768" i="1"/>
  <c r="BO1768" i="1"/>
  <c r="BN1768" i="1"/>
  <c r="BM1768" i="1"/>
  <c r="BL1768" i="1"/>
  <c r="BK1768" i="1"/>
  <c r="BH1768" i="1"/>
  <c r="BJ1768" i="1" s="1"/>
  <c r="BF1768" i="1"/>
  <c r="BG1768" i="1" s="1"/>
  <c r="BE1768" i="1"/>
  <c r="BR1767" i="1"/>
  <c r="BO1767" i="1"/>
  <c r="BN1767" i="1"/>
  <c r="BM1767" i="1"/>
  <c r="BL1767" i="1"/>
  <c r="BK1767" i="1"/>
  <c r="BH1767" i="1"/>
  <c r="BF1767" i="1"/>
  <c r="BG1767" i="1" s="1"/>
  <c r="BE1767" i="1"/>
  <c r="BR1766" i="1"/>
  <c r="BO1766" i="1"/>
  <c r="BN1766" i="1"/>
  <c r="BM1766" i="1"/>
  <c r="BL1766" i="1"/>
  <c r="BK1766" i="1"/>
  <c r="BH1766" i="1"/>
  <c r="BJ1766" i="1" s="1"/>
  <c r="BF1766" i="1"/>
  <c r="BG1766" i="1" s="1"/>
  <c r="BE1766" i="1"/>
  <c r="BR1765" i="1"/>
  <c r="BO1765" i="1"/>
  <c r="BN1765" i="1"/>
  <c r="BM1765" i="1"/>
  <c r="BL1765" i="1"/>
  <c r="BK1765" i="1"/>
  <c r="BH1765" i="1"/>
  <c r="BI1765" i="1" s="1"/>
  <c r="BF1765" i="1"/>
  <c r="BG1765" i="1" s="1"/>
  <c r="BE1765" i="1"/>
  <c r="BR1764" i="1"/>
  <c r="BO1764" i="1"/>
  <c r="BN1764" i="1"/>
  <c r="BM1764" i="1"/>
  <c r="BL1764" i="1"/>
  <c r="BK1764" i="1"/>
  <c r="BH1764" i="1"/>
  <c r="BJ1764" i="1" s="1"/>
  <c r="BF1764" i="1"/>
  <c r="BG1764" i="1" s="1"/>
  <c r="BE1764" i="1"/>
  <c r="BR1763" i="1"/>
  <c r="BO1763" i="1"/>
  <c r="BN1763" i="1"/>
  <c r="BM1763" i="1"/>
  <c r="BL1763" i="1"/>
  <c r="BK1763" i="1"/>
  <c r="BH1763" i="1"/>
  <c r="BI1763" i="1" s="1"/>
  <c r="BF1763" i="1"/>
  <c r="BG1763" i="1" s="1"/>
  <c r="BE1763" i="1"/>
  <c r="BR1762" i="1"/>
  <c r="BO1762" i="1"/>
  <c r="BN1762" i="1"/>
  <c r="BM1762" i="1"/>
  <c r="BL1762" i="1"/>
  <c r="BK1762" i="1"/>
  <c r="BH1762" i="1"/>
  <c r="BJ1762" i="1" s="1"/>
  <c r="BF1762" i="1"/>
  <c r="BG1762" i="1" s="1"/>
  <c r="BE1762" i="1"/>
  <c r="BR1761" i="1"/>
  <c r="BO1761" i="1"/>
  <c r="BN1761" i="1"/>
  <c r="BM1761" i="1"/>
  <c r="BL1761" i="1"/>
  <c r="BK1761" i="1"/>
  <c r="BH1761" i="1"/>
  <c r="BI1761" i="1" s="1"/>
  <c r="BF1761" i="1"/>
  <c r="BG1761" i="1" s="1"/>
  <c r="BE1761" i="1"/>
  <c r="BR1760" i="1"/>
  <c r="BO1760" i="1"/>
  <c r="BN1760" i="1"/>
  <c r="BM1760" i="1"/>
  <c r="BL1760" i="1"/>
  <c r="BK1760" i="1"/>
  <c r="BH1760" i="1"/>
  <c r="BJ1760" i="1" s="1"/>
  <c r="BF1760" i="1"/>
  <c r="BG1760" i="1" s="1"/>
  <c r="BE1760" i="1"/>
  <c r="BR1759" i="1"/>
  <c r="BO1759" i="1"/>
  <c r="BN1759" i="1"/>
  <c r="BM1759" i="1"/>
  <c r="BL1759" i="1"/>
  <c r="BK1759" i="1"/>
  <c r="BH1759" i="1"/>
  <c r="BI1759" i="1" s="1"/>
  <c r="BF1759" i="1"/>
  <c r="BG1759" i="1" s="1"/>
  <c r="BE1759" i="1"/>
  <c r="BR1758" i="1"/>
  <c r="BO1758" i="1"/>
  <c r="BN1758" i="1"/>
  <c r="BM1758" i="1"/>
  <c r="BL1758" i="1"/>
  <c r="BK1758" i="1"/>
  <c r="BH1758" i="1"/>
  <c r="BJ1758" i="1" s="1"/>
  <c r="BF1758" i="1"/>
  <c r="BG1758" i="1" s="1"/>
  <c r="BE1758" i="1"/>
  <c r="BR1757" i="1"/>
  <c r="BO1757" i="1"/>
  <c r="BN1757" i="1"/>
  <c r="BM1757" i="1"/>
  <c r="BL1757" i="1"/>
  <c r="BK1757" i="1"/>
  <c r="BH1757" i="1"/>
  <c r="BI1757" i="1" s="1"/>
  <c r="BF1757" i="1"/>
  <c r="BG1757" i="1" s="1"/>
  <c r="BE1757" i="1"/>
  <c r="BR1756" i="1"/>
  <c r="BO1756" i="1"/>
  <c r="BN1756" i="1"/>
  <c r="BM1756" i="1"/>
  <c r="BL1756" i="1"/>
  <c r="BK1756" i="1"/>
  <c r="BH1756" i="1"/>
  <c r="BJ1756" i="1" s="1"/>
  <c r="BF1756" i="1"/>
  <c r="BG1756" i="1" s="1"/>
  <c r="BE1756" i="1"/>
  <c r="BR1755" i="1"/>
  <c r="BO1755" i="1"/>
  <c r="BN1755" i="1"/>
  <c r="BM1755" i="1"/>
  <c r="BL1755" i="1"/>
  <c r="BK1755" i="1"/>
  <c r="BH1755" i="1"/>
  <c r="BF1755" i="1"/>
  <c r="BG1755" i="1" s="1"/>
  <c r="BE1755" i="1"/>
  <c r="BR1754" i="1"/>
  <c r="BO1754" i="1"/>
  <c r="BN1754" i="1"/>
  <c r="BM1754" i="1"/>
  <c r="BL1754" i="1"/>
  <c r="BK1754" i="1"/>
  <c r="BH1754" i="1"/>
  <c r="BJ1754" i="1" s="1"/>
  <c r="BF1754" i="1"/>
  <c r="BG1754" i="1" s="1"/>
  <c r="BE1754" i="1"/>
  <c r="BR1753" i="1"/>
  <c r="BO1753" i="1"/>
  <c r="BN1753" i="1"/>
  <c r="BM1753" i="1"/>
  <c r="BL1753" i="1"/>
  <c r="BK1753" i="1"/>
  <c r="BH1753" i="1"/>
  <c r="BI1753" i="1" s="1"/>
  <c r="BF1753" i="1"/>
  <c r="BG1753" i="1" s="1"/>
  <c r="BE1753" i="1"/>
  <c r="BR1752" i="1"/>
  <c r="BO1752" i="1"/>
  <c r="BN1752" i="1"/>
  <c r="BM1752" i="1"/>
  <c r="BL1752" i="1"/>
  <c r="BK1752" i="1"/>
  <c r="BH1752" i="1"/>
  <c r="BJ1752" i="1" s="1"/>
  <c r="BF1752" i="1"/>
  <c r="BG1752" i="1" s="1"/>
  <c r="BE1752" i="1"/>
  <c r="BR1751" i="1"/>
  <c r="BO1751" i="1"/>
  <c r="BN1751" i="1"/>
  <c r="BM1751" i="1"/>
  <c r="BL1751" i="1"/>
  <c r="BK1751" i="1"/>
  <c r="BH1751" i="1"/>
  <c r="BI1751" i="1" s="1"/>
  <c r="BF1751" i="1"/>
  <c r="BG1751" i="1" s="1"/>
  <c r="BE1751" i="1"/>
  <c r="BR1750" i="1"/>
  <c r="BO1750" i="1"/>
  <c r="BN1750" i="1"/>
  <c r="BM1750" i="1"/>
  <c r="BL1750" i="1"/>
  <c r="BK1750" i="1"/>
  <c r="BH1750" i="1"/>
  <c r="BJ1750" i="1" s="1"/>
  <c r="BF1750" i="1"/>
  <c r="BG1750" i="1" s="1"/>
  <c r="BE1750" i="1"/>
  <c r="BR1749" i="1"/>
  <c r="BO1749" i="1"/>
  <c r="BN1749" i="1"/>
  <c r="BM1749" i="1"/>
  <c r="BL1749" i="1"/>
  <c r="BK1749" i="1"/>
  <c r="BH1749" i="1"/>
  <c r="BF1749" i="1"/>
  <c r="BG1749" i="1" s="1"/>
  <c r="BE1749" i="1"/>
  <c r="BR1748" i="1"/>
  <c r="BO1748" i="1"/>
  <c r="BN1748" i="1"/>
  <c r="BM1748" i="1"/>
  <c r="BL1748" i="1"/>
  <c r="BK1748" i="1"/>
  <c r="BH1748" i="1"/>
  <c r="BJ1748" i="1" s="1"/>
  <c r="BF1748" i="1"/>
  <c r="BG1748" i="1" s="1"/>
  <c r="BE1748" i="1"/>
  <c r="BR1747" i="1"/>
  <c r="BO1747" i="1"/>
  <c r="BN1747" i="1"/>
  <c r="BM1747" i="1"/>
  <c r="BL1747" i="1"/>
  <c r="BK1747" i="1"/>
  <c r="BH1747" i="1"/>
  <c r="BI1747" i="1" s="1"/>
  <c r="BF1747" i="1"/>
  <c r="BG1747" i="1" s="1"/>
  <c r="BE1747" i="1"/>
  <c r="BR1746" i="1"/>
  <c r="BO1746" i="1"/>
  <c r="BN1746" i="1"/>
  <c r="BM1746" i="1"/>
  <c r="BL1746" i="1"/>
  <c r="BK1746" i="1"/>
  <c r="BH1746" i="1"/>
  <c r="BJ1746" i="1" s="1"/>
  <c r="BF1746" i="1"/>
  <c r="BG1746" i="1" s="1"/>
  <c r="BE1746" i="1"/>
  <c r="BR1745" i="1"/>
  <c r="BO1745" i="1"/>
  <c r="BN1745" i="1"/>
  <c r="BM1745" i="1"/>
  <c r="BL1745" i="1"/>
  <c r="BK1745" i="1"/>
  <c r="BH1745" i="1"/>
  <c r="BI1745" i="1" s="1"/>
  <c r="BF1745" i="1"/>
  <c r="BG1745" i="1" s="1"/>
  <c r="BE1745" i="1"/>
  <c r="BR1744" i="1"/>
  <c r="BO1744" i="1"/>
  <c r="BN1744" i="1"/>
  <c r="BM1744" i="1"/>
  <c r="BL1744" i="1"/>
  <c r="BK1744" i="1"/>
  <c r="BH1744" i="1"/>
  <c r="BJ1744" i="1" s="1"/>
  <c r="BF1744" i="1"/>
  <c r="BG1744" i="1" s="1"/>
  <c r="BE1744" i="1"/>
  <c r="BR1743" i="1"/>
  <c r="BO1743" i="1"/>
  <c r="BN1743" i="1"/>
  <c r="BM1743" i="1"/>
  <c r="BL1743" i="1"/>
  <c r="BK1743" i="1"/>
  <c r="BH1743" i="1"/>
  <c r="BI1743" i="1" s="1"/>
  <c r="BF1743" i="1"/>
  <c r="BG1743" i="1" s="1"/>
  <c r="BE1743" i="1"/>
  <c r="BR1742" i="1"/>
  <c r="BO1742" i="1"/>
  <c r="BN1742" i="1"/>
  <c r="BM1742" i="1"/>
  <c r="BL1742" i="1"/>
  <c r="BK1742" i="1"/>
  <c r="BH1742" i="1"/>
  <c r="BJ1742" i="1" s="1"/>
  <c r="BF1742" i="1"/>
  <c r="BG1742" i="1" s="1"/>
  <c r="BE1742" i="1"/>
  <c r="BR1741" i="1"/>
  <c r="BO1741" i="1"/>
  <c r="BN1741" i="1"/>
  <c r="BM1741" i="1"/>
  <c r="BL1741" i="1"/>
  <c r="BK1741" i="1"/>
  <c r="BH1741" i="1"/>
  <c r="BI1741" i="1" s="1"/>
  <c r="BF1741" i="1"/>
  <c r="BG1741" i="1" s="1"/>
  <c r="BE1741" i="1"/>
  <c r="BR1740" i="1"/>
  <c r="BO1740" i="1"/>
  <c r="BN1740" i="1"/>
  <c r="BM1740" i="1"/>
  <c r="BL1740" i="1"/>
  <c r="BK1740" i="1"/>
  <c r="BH1740" i="1"/>
  <c r="BJ1740" i="1" s="1"/>
  <c r="BF1740" i="1"/>
  <c r="BG1740" i="1" s="1"/>
  <c r="BE1740" i="1"/>
  <c r="BR1739" i="1"/>
  <c r="BO1739" i="1"/>
  <c r="BN1739" i="1"/>
  <c r="BM1739" i="1"/>
  <c r="BL1739" i="1"/>
  <c r="BK1739" i="1"/>
  <c r="BH1739" i="1"/>
  <c r="BI1739" i="1" s="1"/>
  <c r="BF1739" i="1"/>
  <c r="BG1739" i="1" s="1"/>
  <c r="BE1739" i="1"/>
  <c r="BR1738" i="1"/>
  <c r="BO1738" i="1"/>
  <c r="BN1738" i="1"/>
  <c r="BM1738" i="1"/>
  <c r="BL1738" i="1"/>
  <c r="BK1738" i="1"/>
  <c r="BH1738" i="1"/>
  <c r="BJ1738" i="1" s="1"/>
  <c r="BF1738" i="1"/>
  <c r="BG1738" i="1" s="1"/>
  <c r="BE1738" i="1"/>
  <c r="BR1737" i="1"/>
  <c r="BO1737" i="1"/>
  <c r="BN1737" i="1"/>
  <c r="BM1737" i="1"/>
  <c r="BL1737" i="1"/>
  <c r="BK1737" i="1"/>
  <c r="BH1737" i="1"/>
  <c r="BF1737" i="1"/>
  <c r="BG1737" i="1" s="1"/>
  <c r="BE1737" i="1"/>
  <c r="BR1736" i="1"/>
  <c r="BO1736" i="1"/>
  <c r="BN1736" i="1"/>
  <c r="BM1736" i="1"/>
  <c r="BL1736" i="1"/>
  <c r="BK1736" i="1"/>
  <c r="BH1736" i="1"/>
  <c r="BJ1736" i="1" s="1"/>
  <c r="BF1736" i="1"/>
  <c r="BG1736" i="1" s="1"/>
  <c r="BE1736" i="1"/>
  <c r="BR1735" i="1"/>
  <c r="BO1735" i="1"/>
  <c r="BN1735" i="1"/>
  <c r="BM1735" i="1"/>
  <c r="BL1735" i="1"/>
  <c r="BK1735" i="1"/>
  <c r="BH1735" i="1"/>
  <c r="BF1735" i="1"/>
  <c r="BG1735" i="1" s="1"/>
  <c r="BE1735" i="1"/>
  <c r="BR1734" i="1"/>
  <c r="BO1734" i="1"/>
  <c r="BN1734" i="1"/>
  <c r="BM1734" i="1"/>
  <c r="BL1734" i="1"/>
  <c r="BK1734" i="1"/>
  <c r="BH1734" i="1"/>
  <c r="BJ1734" i="1" s="1"/>
  <c r="BF1734" i="1"/>
  <c r="BG1734" i="1" s="1"/>
  <c r="BE1734" i="1"/>
  <c r="BR1733" i="1"/>
  <c r="BO1733" i="1"/>
  <c r="BN1733" i="1"/>
  <c r="BM1733" i="1"/>
  <c r="BL1733" i="1"/>
  <c r="BK1733" i="1"/>
  <c r="BH1733" i="1"/>
  <c r="BI1733" i="1" s="1"/>
  <c r="BF1733" i="1"/>
  <c r="BG1733" i="1" s="1"/>
  <c r="BE1733" i="1"/>
  <c r="BR1732" i="1"/>
  <c r="BO1732" i="1"/>
  <c r="BN1732" i="1"/>
  <c r="BM1732" i="1"/>
  <c r="BL1732" i="1"/>
  <c r="BK1732" i="1"/>
  <c r="BH1732" i="1"/>
  <c r="BJ1732" i="1" s="1"/>
  <c r="BF1732" i="1"/>
  <c r="BG1732" i="1" s="1"/>
  <c r="BE1732" i="1"/>
  <c r="BR1731" i="1"/>
  <c r="BO1731" i="1"/>
  <c r="BN1731" i="1"/>
  <c r="BM1731" i="1"/>
  <c r="BL1731" i="1"/>
  <c r="BK1731" i="1"/>
  <c r="BH1731" i="1"/>
  <c r="BI1731" i="1" s="1"/>
  <c r="BF1731" i="1"/>
  <c r="BG1731" i="1" s="1"/>
  <c r="BE1731" i="1"/>
  <c r="BR1730" i="1"/>
  <c r="BO1730" i="1"/>
  <c r="BN1730" i="1"/>
  <c r="BM1730" i="1"/>
  <c r="BL1730" i="1"/>
  <c r="BK1730" i="1"/>
  <c r="BH1730" i="1"/>
  <c r="BJ1730" i="1" s="1"/>
  <c r="BF1730" i="1"/>
  <c r="BG1730" i="1" s="1"/>
  <c r="BE1730" i="1"/>
  <c r="BR1729" i="1"/>
  <c r="BO1729" i="1"/>
  <c r="BN1729" i="1"/>
  <c r="BM1729" i="1"/>
  <c r="BL1729" i="1"/>
  <c r="BK1729" i="1"/>
  <c r="BH1729" i="1"/>
  <c r="BI1729" i="1" s="1"/>
  <c r="BF1729" i="1"/>
  <c r="BG1729" i="1" s="1"/>
  <c r="BE1729" i="1"/>
  <c r="BR1728" i="1"/>
  <c r="BO1728" i="1"/>
  <c r="BN1728" i="1"/>
  <c r="BM1728" i="1"/>
  <c r="BL1728" i="1"/>
  <c r="BK1728" i="1"/>
  <c r="BH1728" i="1"/>
  <c r="BJ1728" i="1" s="1"/>
  <c r="BF1728" i="1"/>
  <c r="BG1728" i="1" s="1"/>
  <c r="BE1728" i="1"/>
  <c r="BR1727" i="1"/>
  <c r="BO1727" i="1"/>
  <c r="BN1727" i="1"/>
  <c r="BM1727" i="1"/>
  <c r="BL1727" i="1"/>
  <c r="BK1727" i="1"/>
  <c r="BH1727" i="1"/>
  <c r="BI1727" i="1" s="1"/>
  <c r="BF1727" i="1"/>
  <c r="BG1727" i="1" s="1"/>
  <c r="BE1727" i="1"/>
  <c r="BR1726" i="1"/>
  <c r="BO1726" i="1"/>
  <c r="BN1726" i="1"/>
  <c r="BM1726" i="1"/>
  <c r="BL1726" i="1"/>
  <c r="BK1726" i="1"/>
  <c r="BH1726" i="1"/>
  <c r="BJ1726" i="1" s="1"/>
  <c r="BF1726" i="1"/>
  <c r="BG1726" i="1" s="1"/>
  <c r="BE1726" i="1"/>
  <c r="BR1725" i="1"/>
  <c r="BO1725" i="1"/>
  <c r="BN1725" i="1"/>
  <c r="BM1725" i="1"/>
  <c r="BL1725" i="1"/>
  <c r="BK1725" i="1"/>
  <c r="BH1725" i="1"/>
  <c r="BI1725" i="1" s="1"/>
  <c r="BF1725" i="1"/>
  <c r="BG1725" i="1" s="1"/>
  <c r="BE1725" i="1"/>
  <c r="BR1724" i="1"/>
  <c r="BO1724" i="1"/>
  <c r="BN1724" i="1"/>
  <c r="BM1724" i="1"/>
  <c r="BL1724" i="1"/>
  <c r="BK1724" i="1"/>
  <c r="BH1724" i="1"/>
  <c r="BJ1724" i="1" s="1"/>
  <c r="BF1724" i="1"/>
  <c r="BG1724" i="1" s="1"/>
  <c r="BE1724" i="1"/>
  <c r="BR1723" i="1"/>
  <c r="BO1723" i="1"/>
  <c r="BN1723" i="1"/>
  <c r="BM1723" i="1"/>
  <c r="BL1723" i="1"/>
  <c r="BK1723" i="1"/>
  <c r="BH1723" i="1"/>
  <c r="BF1723" i="1"/>
  <c r="BG1723" i="1" s="1"/>
  <c r="BE1723" i="1"/>
  <c r="BR1722" i="1"/>
  <c r="BO1722" i="1"/>
  <c r="BN1722" i="1"/>
  <c r="BM1722" i="1"/>
  <c r="BL1722" i="1"/>
  <c r="BK1722" i="1"/>
  <c r="BH1722" i="1"/>
  <c r="BJ1722" i="1" s="1"/>
  <c r="BF1722" i="1"/>
  <c r="BG1722" i="1" s="1"/>
  <c r="BE1722" i="1"/>
  <c r="BR1721" i="1"/>
  <c r="BO1721" i="1"/>
  <c r="BN1721" i="1"/>
  <c r="BM1721" i="1"/>
  <c r="BL1721" i="1"/>
  <c r="BK1721" i="1"/>
  <c r="BH1721" i="1"/>
  <c r="BI1721" i="1" s="1"/>
  <c r="BF1721" i="1"/>
  <c r="BG1721" i="1" s="1"/>
  <c r="BE1721" i="1"/>
  <c r="BR1720" i="1"/>
  <c r="BO1720" i="1"/>
  <c r="BN1720" i="1"/>
  <c r="BM1720" i="1"/>
  <c r="BL1720" i="1"/>
  <c r="BK1720" i="1"/>
  <c r="BH1720" i="1"/>
  <c r="BJ1720" i="1" s="1"/>
  <c r="BF1720" i="1"/>
  <c r="BG1720" i="1" s="1"/>
  <c r="BE1720" i="1"/>
  <c r="BR1719" i="1"/>
  <c r="BO1719" i="1"/>
  <c r="BN1719" i="1"/>
  <c r="BM1719" i="1"/>
  <c r="BL1719" i="1"/>
  <c r="BK1719" i="1"/>
  <c r="BH1719" i="1"/>
  <c r="BI1719" i="1" s="1"/>
  <c r="BF1719" i="1"/>
  <c r="BG1719" i="1" s="1"/>
  <c r="BE1719" i="1"/>
  <c r="BR1718" i="1"/>
  <c r="BO1718" i="1"/>
  <c r="BN1718" i="1"/>
  <c r="BM1718" i="1"/>
  <c r="BL1718" i="1"/>
  <c r="BK1718" i="1"/>
  <c r="BH1718" i="1"/>
  <c r="BJ1718" i="1" s="1"/>
  <c r="BF1718" i="1"/>
  <c r="BG1718" i="1" s="1"/>
  <c r="BE1718" i="1"/>
  <c r="BR1717" i="1"/>
  <c r="BO1717" i="1"/>
  <c r="BN1717" i="1"/>
  <c r="BM1717" i="1"/>
  <c r="BL1717" i="1"/>
  <c r="BK1717" i="1"/>
  <c r="BH1717" i="1"/>
  <c r="BF1717" i="1"/>
  <c r="BG1717" i="1" s="1"/>
  <c r="BE1717" i="1"/>
  <c r="BR1716" i="1"/>
  <c r="BO1716" i="1"/>
  <c r="BN1716" i="1"/>
  <c r="BM1716" i="1"/>
  <c r="BL1716" i="1"/>
  <c r="BK1716" i="1"/>
  <c r="BH1716" i="1"/>
  <c r="BJ1716" i="1" s="1"/>
  <c r="BF1716" i="1"/>
  <c r="BG1716" i="1" s="1"/>
  <c r="BE1716" i="1"/>
  <c r="BR1715" i="1"/>
  <c r="BO1715" i="1"/>
  <c r="BN1715" i="1"/>
  <c r="BM1715" i="1"/>
  <c r="BL1715" i="1"/>
  <c r="BK1715" i="1"/>
  <c r="BH1715" i="1"/>
  <c r="BI1715" i="1" s="1"/>
  <c r="BF1715" i="1"/>
  <c r="BG1715" i="1" s="1"/>
  <c r="BE1715" i="1"/>
  <c r="BR1714" i="1"/>
  <c r="BO1714" i="1"/>
  <c r="BN1714" i="1"/>
  <c r="BM1714" i="1"/>
  <c r="BL1714" i="1"/>
  <c r="BK1714" i="1"/>
  <c r="BH1714" i="1"/>
  <c r="BJ1714" i="1" s="1"/>
  <c r="BF1714" i="1"/>
  <c r="BG1714" i="1" s="1"/>
  <c r="BE1714" i="1"/>
  <c r="BR1713" i="1"/>
  <c r="BO1713" i="1"/>
  <c r="BN1713" i="1"/>
  <c r="BM1713" i="1"/>
  <c r="BL1713" i="1"/>
  <c r="BK1713" i="1"/>
  <c r="BH1713" i="1"/>
  <c r="BI1713" i="1" s="1"/>
  <c r="BF1713" i="1"/>
  <c r="BG1713" i="1" s="1"/>
  <c r="BE1713" i="1"/>
  <c r="BR1712" i="1"/>
  <c r="BO1712" i="1"/>
  <c r="BN1712" i="1"/>
  <c r="BM1712" i="1"/>
  <c r="BL1712" i="1"/>
  <c r="BK1712" i="1"/>
  <c r="BH1712" i="1"/>
  <c r="BJ1712" i="1" s="1"/>
  <c r="BF1712" i="1"/>
  <c r="BG1712" i="1" s="1"/>
  <c r="BE1712" i="1"/>
  <c r="BR1711" i="1"/>
  <c r="BO1711" i="1"/>
  <c r="BN1711" i="1"/>
  <c r="BM1711" i="1"/>
  <c r="BL1711" i="1"/>
  <c r="BK1711" i="1"/>
  <c r="BH1711" i="1"/>
  <c r="BI1711" i="1" s="1"/>
  <c r="BF1711" i="1"/>
  <c r="BG1711" i="1" s="1"/>
  <c r="BE1711" i="1"/>
  <c r="BR1710" i="1"/>
  <c r="BO1710" i="1"/>
  <c r="BN1710" i="1"/>
  <c r="BM1710" i="1"/>
  <c r="BL1710" i="1"/>
  <c r="BK1710" i="1"/>
  <c r="BH1710" i="1"/>
  <c r="BJ1710" i="1" s="1"/>
  <c r="BF1710" i="1"/>
  <c r="BG1710" i="1" s="1"/>
  <c r="BE1710" i="1"/>
  <c r="BR1709" i="1"/>
  <c r="BO1709" i="1"/>
  <c r="BN1709" i="1"/>
  <c r="BM1709" i="1"/>
  <c r="BL1709" i="1"/>
  <c r="BK1709" i="1"/>
  <c r="BH1709" i="1"/>
  <c r="BI1709" i="1" s="1"/>
  <c r="BF1709" i="1"/>
  <c r="BG1709" i="1" s="1"/>
  <c r="BE1709" i="1"/>
  <c r="BR1708" i="1"/>
  <c r="BO1708" i="1"/>
  <c r="BN1708" i="1"/>
  <c r="BM1708" i="1"/>
  <c r="BL1708" i="1"/>
  <c r="BK1708" i="1"/>
  <c r="BH1708" i="1"/>
  <c r="BJ1708" i="1" s="1"/>
  <c r="BF1708" i="1"/>
  <c r="BG1708" i="1" s="1"/>
  <c r="BE1708" i="1"/>
  <c r="BR1707" i="1"/>
  <c r="BO1707" i="1"/>
  <c r="BN1707" i="1"/>
  <c r="BM1707" i="1"/>
  <c r="BL1707" i="1"/>
  <c r="BK1707" i="1"/>
  <c r="BH1707" i="1"/>
  <c r="BI1707" i="1" s="1"/>
  <c r="BF1707" i="1"/>
  <c r="BG1707" i="1" s="1"/>
  <c r="BE1707" i="1"/>
  <c r="BR1706" i="1"/>
  <c r="BO1706" i="1"/>
  <c r="BN1706" i="1"/>
  <c r="BM1706" i="1"/>
  <c r="BL1706" i="1"/>
  <c r="BK1706" i="1"/>
  <c r="BH1706" i="1"/>
  <c r="BJ1706" i="1" s="1"/>
  <c r="BF1706" i="1"/>
  <c r="BG1706" i="1" s="1"/>
  <c r="BE1706" i="1"/>
  <c r="BR1705" i="1"/>
  <c r="BO1705" i="1"/>
  <c r="BN1705" i="1"/>
  <c r="BM1705" i="1"/>
  <c r="BL1705" i="1"/>
  <c r="BK1705" i="1"/>
  <c r="BH1705" i="1"/>
  <c r="BF1705" i="1"/>
  <c r="BG1705" i="1" s="1"/>
  <c r="BE1705" i="1"/>
  <c r="BR1704" i="1"/>
  <c r="BO1704" i="1"/>
  <c r="BN1704" i="1"/>
  <c r="BM1704" i="1"/>
  <c r="BL1704" i="1"/>
  <c r="BK1704" i="1"/>
  <c r="BH1704" i="1"/>
  <c r="BJ1704" i="1" s="1"/>
  <c r="BF1704" i="1"/>
  <c r="BG1704" i="1" s="1"/>
  <c r="BE1704" i="1"/>
  <c r="BR1703" i="1"/>
  <c r="BO1703" i="1"/>
  <c r="BN1703" i="1"/>
  <c r="BM1703" i="1"/>
  <c r="BL1703" i="1"/>
  <c r="BK1703" i="1"/>
  <c r="BH1703" i="1"/>
  <c r="BF1703" i="1"/>
  <c r="BG1703" i="1" s="1"/>
  <c r="BE1703" i="1"/>
  <c r="BR1702" i="1"/>
  <c r="BO1702" i="1"/>
  <c r="BN1702" i="1"/>
  <c r="BM1702" i="1"/>
  <c r="BL1702" i="1"/>
  <c r="BK1702" i="1"/>
  <c r="BH1702" i="1"/>
  <c r="BJ1702" i="1" s="1"/>
  <c r="BF1702" i="1"/>
  <c r="BG1702" i="1" s="1"/>
  <c r="BE1702" i="1"/>
  <c r="BR1701" i="1"/>
  <c r="BO1701" i="1"/>
  <c r="BN1701" i="1"/>
  <c r="BM1701" i="1"/>
  <c r="BL1701" i="1"/>
  <c r="BK1701" i="1"/>
  <c r="BH1701" i="1"/>
  <c r="BI1701" i="1" s="1"/>
  <c r="BF1701" i="1"/>
  <c r="BG1701" i="1" s="1"/>
  <c r="BE1701" i="1"/>
  <c r="BR1700" i="1"/>
  <c r="BO1700" i="1"/>
  <c r="BN1700" i="1"/>
  <c r="BM1700" i="1"/>
  <c r="BL1700" i="1"/>
  <c r="BK1700" i="1"/>
  <c r="BH1700" i="1"/>
  <c r="BJ1700" i="1" s="1"/>
  <c r="BF1700" i="1"/>
  <c r="BG1700" i="1" s="1"/>
  <c r="BE1700" i="1"/>
  <c r="BR1699" i="1"/>
  <c r="BO1699" i="1"/>
  <c r="BN1699" i="1"/>
  <c r="BM1699" i="1"/>
  <c r="BL1699" i="1"/>
  <c r="BK1699" i="1"/>
  <c r="BH1699" i="1"/>
  <c r="BI1699" i="1" s="1"/>
  <c r="BF1699" i="1"/>
  <c r="BG1699" i="1" s="1"/>
  <c r="BE1699" i="1"/>
  <c r="BR1698" i="1"/>
  <c r="BO1698" i="1"/>
  <c r="BN1698" i="1"/>
  <c r="BM1698" i="1"/>
  <c r="BL1698" i="1"/>
  <c r="BK1698" i="1"/>
  <c r="BH1698" i="1"/>
  <c r="BJ1698" i="1" s="1"/>
  <c r="BF1698" i="1"/>
  <c r="BG1698" i="1" s="1"/>
  <c r="BE1698" i="1"/>
  <c r="BR1697" i="1"/>
  <c r="BO1697" i="1"/>
  <c r="BN1697" i="1"/>
  <c r="BM1697" i="1"/>
  <c r="BL1697" i="1"/>
  <c r="BK1697" i="1"/>
  <c r="BH1697" i="1"/>
  <c r="BI1697" i="1" s="1"/>
  <c r="BF1697" i="1"/>
  <c r="BG1697" i="1" s="1"/>
  <c r="BE1697" i="1"/>
  <c r="BR1696" i="1"/>
  <c r="BO1696" i="1"/>
  <c r="BN1696" i="1"/>
  <c r="BM1696" i="1"/>
  <c r="BL1696" i="1"/>
  <c r="BK1696" i="1"/>
  <c r="BH1696" i="1"/>
  <c r="BJ1696" i="1" s="1"/>
  <c r="BF1696" i="1"/>
  <c r="BG1696" i="1" s="1"/>
  <c r="BE1696" i="1"/>
  <c r="BR1695" i="1"/>
  <c r="BO1695" i="1"/>
  <c r="BN1695" i="1"/>
  <c r="BM1695" i="1"/>
  <c r="BL1695" i="1"/>
  <c r="BK1695" i="1"/>
  <c r="BH1695" i="1"/>
  <c r="BI1695" i="1" s="1"/>
  <c r="BF1695" i="1"/>
  <c r="BG1695" i="1" s="1"/>
  <c r="BE1695" i="1"/>
  <c r="BR1694" i="1"/>
  <c r="BO1694" i="1"/>
  <c r="BN1694" i="1"/>
  <c r="BM1694" i="1"/>
  <c r="BL1694" i="1"/>
  <c r="BK1694" i="1"/>
  <c r="BH1694" i="1"/>
  <c r="BJ1694" i="1" s="1"/>
  <c r="BF1694" i="1"/>
  <c r="BG1694" i="1" s="1"/>
  <c r="BE1694" i="1"/>
  <c r="BR1693" i="1"/>
  <c r="BO1693" i="1"/>
  <c r="BN1693" i="1"/>
  <c r="BM1693" i="1"/>
  <c r="BL1693" i="1"/>
  <c r="BK1693" i="1"/>
  <c r="BH1693" i="1"/>
  <c r="BI1693" i="1" s="1"/>
  <c r="BF1693" i="1"/>
  <c r="BG1693" i="1" s="1"/>
  <c r="BE1693" i="1"/>
  <c r="BR1692" i="1"/>
  <c r="BO1692" i="1"/>
  <c r="BN1692" i="1"/>
  <c r="BM1692" i="1"/>
  <c r="BL1692" i="1"/>
  <c r="BK1692" i="1"/>
  <c r="BH1692" i="1"/>
  <c r="BJ1692" i="1" s="1"/>
  <c r="BF1692" i="1"/>
  <c r="BG1692" i="1" s="1"/>
  <c r="BE1692" i="1"/>
  <c r="BR1691" i="1"/>
  <c r="BO1691" i="1"/>
  <c r="BN1691" i="1"/>
  <c r="BM1691" i="1"/>
  <c r="BL1691" i="1"/>
  <c r="BK1691" i="1"/>
  <c r="BH1691" i="1"/>
  <c r="BF1691" i="1"/>
  <c r="BG1691" i="1" s="1"/>
  <c r="BE1691" i="1"/>
  <c r="BR1690" i="1"/>
  <c r="BO1690" i="1"/>
  <c r="BN1690" i="1"/>
  <c r="BM1690" i="1"/>
  <c r="BL1690" i="1"/>
  <c r="BK1690" i="1"/>
  <c r="BH1690" i="1"/>
  <c r="BJ1690" i="1" s="1"/>
  <c r="BF1690" i="1"/>
  <c r="BG1690" i="1" s="1"/>
  <c r="BE1690" i="1"/>
  <c r="BR1689" i="1"/>
  <c r="BO1689" i="1"/>
  <c r="BN1689" i="1"/>
  <c r="BM1689" i="1"/>
  <c r="BL1689" i="1"/>
  <c r="BK1689" i="1"/>
  <c r="BH1689" i="1"/>
  <c r="BI1689" i="1" s="1"/>
  <c r="BF1689" i="1"/>
  <c r="BG1689" i="1" s="1"/>
  <c r="BE1689" i="1"/>
  <c r="BR1688" i="1"/>
  <c r="BO1688" i="1"/>
  <c r="BN1688" i="1"/>
  <c r="BM1688" i="1"/>
  <c r="BL1688" i="1"/>
  <c r="BK1688" i="1"/>
  <c r="BH1688" i="1"/>
  <c r="BJ1688" i="1" s="1"/>
  <c r="BF1688" i="1"/>
  <c r="BG1688" i="1" s="1"/>
  <c r="BE1688" i="1"/>
  <c r="BR1687" i="1"/>
  <c r="BO1687" i="1"/>
  <c r="BN1687" i="1"/>
  <c r="BM1687" i="1"/>
  <c r="BL1687" i="1"/>
  <c r="BK1687" i="1"/>
  <c r="BH1687" i="1"/>
  <c r="BI1687" i="1" s="1"/>
  <c r="BF1687" i="1"/>
  <c r="BG1687" i="1" s="1"/>
  <c r="BE1687" i="1"/>
  <c r="BR1686" i="1"/>
  <c r="BO1686" i="1"/>
  <c r="BN1686" i="1"/>
  <c r="BM1686" i="1"/>
  <c r="BL1686" i="1"/>
  <c r="BK1686" i="1"/>
  <c r="BH1686" i="1"/>
  <c r="BJ1686" i="1" s="1"/>
  <c r="BF1686" i="1"/>
  <c r="BG1686" i="1" s="1"/>
  <c r="BE1686" i="1"/>
  <c r="BR1685" i="1"/>
  <c r="BO1685" i="1"/>
  <c r="BN1685" i="1"/>
  <c r="BM1685" i="1"/>
  <c r="BL1685" i="1"/>
  <c r="BK1685" i="1"/>
  <c r="BH1685" i="1"/>
  <c r="BF1685" i="1"/>
  <c r="BG1685" i="1" s="1"/>
  <c r="BE1685" i="1"/>
  <c r="BR1684" i="1"/>
  <c r="BO1684" i="1"/>
  <c r="BN1684" i="1"/>
  <c r="BM1684" i="1"/>
  <c r="BL1684" i="1"/>
  <c r="BK1684" i="1"/>
  <c r="BH1684" i="1"/>
  <c r="BJ1684" i="1" s="1"/>
  <c r="BF1684" i="1"/>
  <c r="BG1684" i="1" s="1"/>
  <c r="BE1684" i="1"/>
  <c r="BR1683" i="1"/>
  <c r="BO1683" i="1"/>
  <c r="BN1683" i="1"/>
  <c r="BM1683" i="1"/>
  <c r="BL1683" i="1"/>
  <c r="BK1683" i="1"/>
  <c r="BH1683" i="1"/>
  <c r="BI1683" i="1" s="1"/>
  <c r="BF1683" i="1"/>
  <c r="BG1683" i="1" s="1"/>
  <c r="BE1683" i="1"/>
  <c r="BR1682" i="1"/>
  <c r="BO1682" i="1"/>
  <c r="BN1682" i="1"/>
  <c r="BM1682" i="1"/>
  <c r="BL1682" i="1"/>
  <c r="BK1682" i="1"/>
  <c r="BH1682" i="1"/>
  <c r="BJ1682" i="1" s="1"/>
  <c r="BF1682" i="1"/>
  <c r="BG1682" i="1" s="1"/>
  <c r="BE1682" i="1"/>
  <c r="BR1681" i="1"/>
  <c r="BO1681" i="1"/>
  <c r="BN1681" i="1"/>
  <c r="BM1681" i="1"/>
  <c r="BL1681" i="1"/>
  <c r="BK1681" i="1"/>
  <c r="BH1681" i="1"/>
  <c r="BI1681" i="1" s="1"/>
  <c r="BF1681" i="1"/>
  <c r="BG1681" i="1" s="1"/>
  <c r="BE1681" i="1"/>
  <c r="BR1680" i="1"/>
  <c r="BO1680" i="1"/>
  <c r="BN1680" i="1"/>
  <c r="BM1680" i="1"/>
  <c r="BL1680" i="1"/>
  <c r="BK1680" i="1"/>
  <c r="BH1680" i="1"/>
  <c r="BJ1680" i="1" s="1"/>
  <c r="BF1680" i="1"/>
  <c r="BG1680" i="1" s="1"/>
  <c r="BE1680" i="1"/>
  <c r="BR1679" i="1"/>
  <c r="BO1679" i="1"/>
  <c r="BN1679" i="1"/>
  <c r="BM1679" i="1"/>
  <c r="BL1679" i="1"/>
  <c r="BK1679" i="1"/>
  <c r="BH1679" i="1"/>
  <c r="BI1679" i="1" s="1"/>
  <c r="BF1679" i="1"/>
  <c r="BG1679" i="1" s="1"/>
  <c r="BE1679" i="1"/>
  <c r="BR1678" i="1"/>
  <c r="BO1678" i="1"/>
  <c r="BN1678" i="1"/>
  <c r="BM1678" i="1"/>
  <c r="BL1678" i="1"/>
  <c r="BK1678" i="1"/>
  <c r="BH1678" i="1"/>
  <c r="BJ1678" i="1" s="1"/>
  <c r="BF1678" i="1"/>
  <c r="BG1678" i="1" s="1"/>
  <c r="BE1678" i="1"/>
  <c r="BR1677" i="1"/>
  <c r="BO1677" i="1"/>
  <c r="BN1677" i="1"/>
  <c r="BM1677" i="1"/>
  <c r="BL1677" i="1"/>
  <c r="BK1677" i="1"/>
  <c r="BH1677" i="1"/>
  <c r="BI1677" i="1" s="1"/>
  <c r="BF1677" i="1"/>
  <c r="BG1677" i="1" s="1"/>
  <c r="BE1677" i="1"/>
  <c r="BR1676" i="1"/>
  <c r="BO1676" i="1"/>
  <c r="BN1676" i="1"/>
  <c r="BM1676" i="1"/>
  <c r="BL1676" i="1"/>
  <c r="BK1676" i="1"/>
  <c r="BH1676" i="1"/>
  <c r="BJ1676" i="1" s="1"/>
  <c r="BF1676" i="1"/>
  <c r="BG1676" i="1" s="1"/>
  <c r="BE1676" i="1"/>
  <c r="BR1675" i="1"/>
  <c r="BO1675" i="1"/>
  <c r="BN1675" i="1"/>
  <c r="BM1675" i="1"/>
  <c r="BL1675" i="1"/>
  <c r="BK1675" i="1"/>
  <c r="BH1675" i="1"/>
  <c r="BI1675" i="1" s="1"/>
  <c r="BF1675" i="1"/>
  <c r="BG1675" i="1" s="1"/>
  <c r="BE1675" i="1"/>
  <c r="BR1674" i="1"/>
  <c r="BO1674" i="1"/>
  <c r="BN1674" i="1"/>
  <c r="BM1674" i="1"/>
  <c r="BL1674" i="1"/>
  <c r="BK1674" i="1"/>
  <c r="BH1674" i="1"/>
  <c r="BJ1674" i="1" s="1"/>
  <c r="BF1674" i="1"/>
  <c r="BG1674" i="1" s="1"/>
  <c r="BE1674" i="1"/>
  <c r="BR1673" i="1"/>
  <c r="BO1673" i="1"/>
  <c r="BN1673" i="1"/>
  <c r="BM1673" i="1"/>
  <c r="BL1673" i="1"/>
  <c r="BK1673" i="1"/>
  <c r="BH1673" i="1"/>
  <c r="BF1673" i="1"/>
  <c r="BG1673" i="1" s="1"/>
  <c r="BE1673" i="1"/>
  <c r="BR1672" i="1"/>
  <c r="BO1672" i="1"/>
  <c r="BN1672" i="1"/>
  <c r="BM1672" i="1"/>
  <c r="BL1672" i="1"/>
  <c r="BK1672" i="1"/>
  <c r="BH1672" i="1"/>
  <c r="BJ1672" i="1" s="1"/>
  <c r="BF1672" i="1"/>
  <c r="BG1672" i="1" s="1"/>
  <c r="BE1672" i="1"/>
  <c r="BR1671" i="1"/>
  <c r="BO1671" i="1"/>
  <c r="BN1671" i="1"/>
  <c r="BM1671" i="1"/>
  <c r="BL1671" i="1"/>
  <c r="BK1671" i="1"/>
  <c r="BH1671" i="1"/>
  <c r="BI1671" i="1" s="1"/>
  <c r="BF1671" i="1"/>
  <c r="BG1671" i="1" s="1"/>
  <c r="BE1671" i="1"/>
  <c r="BR1670" i="1"/>
  <c r="BO1670" i="1"/>
  <c r="BN1670" i="1"/>
  <c r="BM1670" i="1"/>
  <c r="BL1670" i="1"/>
  <c r="BK1670" i="1"/>
  <c r="BH1670" i="1"/>
  <c r="BJ1670" i="1" s="1"/>
  <c r="BF1670" i="1"/>
  <c r="BG1670" i="1" s="1"/>
  <c r="BE1670" i="1"/>
  <c r="BR1669" i="1"/>
  <c r="BO1669" i="1"/>
  <c r="BN1669" i="1"/>
  <c r="BM1669" i="1"/>
  <c r="BL1669" i="1"/>
  <c r="BK1669" i="1"/>
  <c r="BH1669" i="1"/>
  <c r="BI1669" i="1" s="1"/>
  <c r="BF1669" i="1"/>
  <c r="BG1669" i="1" s="1"/>
  <c r="BE1669" i="1"/>
  <c r="BR1668" i="1"/>
  <c r="BO1668" i="1"/>
  <c r="BN1668" i="1"/>
  <c r="BM1668" i="1"/>
  <c r="BL1668" i="1"/>
  <c r="BK1668" i="1"/>
  <c r="BH1668" i="1"/>
  <c r="BJ1668" i="1" s="1"/>
  <c r="BF1668" i="1"/>
  <c r="BG1668" i="1" s="1"/>
  <c r="BE1668" i="1"/>
  <c r="BR1667" i="1"/>
  <c r="BO1667" i="1"/>
  <c r="BN1667" i="1"/>
  <c r="BM1667" i="1"/>
  <c r="BL1667" i="1"/>
  <c r="BK1667" i="1"/>
  <c r="BH1667" i="1"/>
  <c r="BI1667" i="1" s="1"/>
  <c r="BF1667" i="1"/>
  <c r="BG1667" i="1" s="1"/>
  <c r="BE1667" i="1"/>
  <c r="BR1666" i="1"/>
  <c r="BO1666" i="1"/>
  <c r="BN1666" i="1"/>
  <c r="BM1666" i="1"/>
  <c r="BL1666" i="1"/>
  <c r="BK1666" i="1"/>
  <c r="BH1666" i="1"/>
  <c r="BJ1666" i="1" s="1"/>
  <c r="BF1666" i="1"/>
  <c r="BG1666" i="1" s="1"/>
  <c r="BE1666" i="1"/>
  <c r="BR1665" i="1"/>
  <c r="BO1665" i="1"/>
  <c r="BN1665" i="1"/>
  <c r="BM1665" i="1"/>
  <c r="BL1665" i="1"/>
  <c r="BK1665" i="1"/>
  <c r="BH1665" i="1"/>
  <c r="BI1665" i="1" s="1"/>
  <c r="BF1665" i="1"/>
  <c r="BG1665" i="1" s="1"/>
  <c r="BE1665" i="1"/>
  <c r="BR1664" i="1"/>
  <c r="BO1664" i="1"/>
  <c r="BN1664" i="1"/>
  <c r="BM1664" i="1"/>
  <c r="BL1664" i="1"/>
  <c r="BK1664" i="1"/>
  <c r="BH1664" i="1"/>
  <c r="BJ1664" i="1" s="1"/>
  <c r="BF1664" i="1"/>
  <c r="BG1664" i="1" s="1"/>
  <c r="BE1664" i="1"/>
  <c r="BR1663" i="1"/>
  <c r="BO1663" i="1"/>
  <c r="BN1663" i="1"/>
  <c r="BM1663" i="1"/>
  <c r="BL1663" i="1"/>
  <c r="BK1663" i="1"/>
  <c r="BH1663" i="1"/>
  <c r="BI1663" i="1" s="1"/>
  <c r="BF1663" i="1"/>
  <c r="BG1663" i="1" s="1"/>
  <c r="BE1663" i="1"/>
  <c r="BR1662" i="1"/>
  <c r="BO1662" i="1"/>
  <c r="BN1662" i="1"/>
  <c r="BM1662" i="1"/>
  <c r="BL1662" i="1"/>
  <c r="BK1662" i="1"/>
  <c r="BH1662" i="1"/>
  <c r="BJ1662" i="1" s="1"/>
  <c r="BF1662" i="1"/>
  <c r="BG1662" i="1" s="1"/>
  <c r="BE1662" i="1"/>
  <c r="BR1661" i="1"/>
  <c r="BO1661" i="1"/>
  <c r="BN1661" i="1"/>
  <c r="BM1661" i="1"/>
  <c r="BL1661" i="1"/>
  <c r="BK1661" i="1"/>
  <c r="BH1661" i="1"/>
  <c r="BI1661" i="1" s="1"/>
  <c r="BF1661" i="1"/>
  <c r="BG1661" i="1" s="1"/>
  <c r="BE1661" i="1"/>
  <c r="BR1660" i="1"/>
  <c r="BO1660" i="1"/>
  <c r="BN1660" i="1"/>
  <c r="BM1660" i="1"/>
  <c r="BL1660" i="1"/>
  <c r="BK1660" i="1"/>
  <c r="BH1660" i="1"/>
  <c r="BJ1660" i="1" s="1"/>
  <c r="BF1660" i="1"/>
  <c r="BG1660" i="1" s="1"/>
  <c r="BE1660" i="1"/>
  <c r="BR1659" i="1"/>
  <c r="BO1659" i="1"/>
  <c r="BN1659" i="1"/>
  <c r="BM1659" i="1"/>
  <c r="BL1659" i="1"/>
  <c r="BK1659" i="1"/>
  <c r="BH1659" i="1"/>
  <c r="BI1659" i="1" s="1"/>
  <c r="BF1659" i="1"/>
  <c r="BG1659" i="1" s="1"/>
  <c r="BE1659" i="1"/>
  <c r="BR1658" i="1"/>
  <c r="BO1658" i="1"/>
  <c r="BN1658" i="1"/>
  <c r="BM1658" i="1"/>
  <c r="BL1658" i="1"/>
  <c r="BK1658" i="1"/>
  <c r="BH1658" i="1"/>
  <c r="BJ1658" i="1" s="1"/>
  <c r="BF1658" i="1"/>
  <c r="BG1658" i="1" s="1"/>
  <c r="BE1658" i="1"/>
  <c r="BR1657" i="1"/>
  <c r="BO1657" i="1"/>
  <c r="BN1657" i="1"/>
  <c r="BM1657" i="1"/>
  <c r="BL1657" i="1"/>
  <c r="BK1657" i="1"/>
  <c r="BH1657" i="1"/>
  <c r="BI1657" i="1" s="1"/>
  <c r="BF1657" i="1"/>
  <c r="BG1657" i="1" s="1"/>
  <c r="BE1657" i="1"/>
  <c r="BR1656" i="1"/>
  <c r="BO1656" i="1"/>
  <c r="BN1656" i="1"/>
  <c r="BM1656" i="1"/>
  <c r="BL1656" i="1"/>
  <c r="BK1656" i="1"/>
  <c r="BH1656" i="1"/>
  <c r="BJ1656" i="1" s="1"/>
  <c r="BF1656" i="1"/>
  <c r="BG1656" i="1" s="1"/>
  <c r="BE1656" i="1"/>
  <c r="BR1655" i="1"/>
  <c r="BO1655" i="1"/>
  <c r="BN1655" i="1"/>
  <c r="BM1655" i="1"/>
  <c r="BL1655" i="1"/>
  <c r="BK1655" i="1"/>
  <c r="BH1655" i="1"/>
  <c r="BI1655" i="1" s="1"/>
  <c r="BF1655" i="1"/>
  <c r="BG1655" i="1" s="1"/>
  <c r="BE1655" i="1"/>
  <c r="BR1654" i="1"/>
  <c r="BO1654" i="1"/>
  <c r="BN1654" i="1"/>
  <c r="BM1654" i="1"/>
  <c r="BL1654" i="1"/>
  <c r="BK1654" i="1"/>
  <c r="BH1654" i="1"/>
  <c r="BJ1654" i="1" s="1"/>
  <c r="BF1654" i="1"/>
  <c r="BG1654" i="1" s="1"/>
  <c r="BE1654" i="1"/>
  <c r="BR1653" i="1"/>
  <c r="BO1653" i="1"/>
  <c r="BN1653" i="1"/>
  <c r="BM1653" i="1"/>
  <c r="BL1653" i="1"/>
  <c r="BK1653" i="1"/>
  <c r="BH1653" i="1"/>
  <c r="BI1653" i="1" s="1"/>
  <c r="BF1653" i="1"/>
  <c r="BG1653" i="1" s="1"/>
  <c r="BE1653" i="1"/>
  <c r="BR1652" i="1"/>
  <c r="BO1652" i="1"/>
  <c r="BN1652" i="1"/>
  <c r="BM1652" i="1"/>
  <c r="BL1652" i="1"/>
  <c r="BK1652" i="1"/>
  <c r="BH1652" i="1"/>
  <c r="BJ1652" i="1" s="1"/>
  <c r="BF1652" i="1"/>
  <c r="BG1652" i="1" s="1"/>
  <c r="BE1652" i="1"/>
  <c r="BR1651" i="1"/>
  <c r="BO1651" i="1"/>
  <c r="BN1651" i="1"/>
  <c r="BM1651" i="1"/>
  <c r="BL1651" i="1"/>
  <c r="BK1651" i="1"/>
  <c r="BH1651" i="1"/>
  <c r="BI1651" i="1" s="1"/>
  <c r="BF1651" i="1"/>
  <c r="BG1651" i="1" s="1"/>
  <c r="BE1651" i="1"/>
  <c r="BR1650" i="1"/>
  <c r="BO1650" i="1"/>
  <c r="BN1650" i="1"/>
  <c r="BM1650" i="1"/>
  <c r="BL1650" i="1"/>
  <c r="BK1650" i="1"/>
  <c r="BH1650" i="1"/>
  <c r="BJ1650" i="1" s="1"/>
  <c r="BF1650" i="1"/>
  <c r="BG1650" i="1" s="1"/>
  <c r="BE1650" i="1"/>
  <c r="BR1649" i="1"/>
  <c r="BO1649" i="1"/>
  <c r="BN1649" i="1"/>
  <c r="BM1649" i="1"/>
  <c r="BL1649" i="1"/>
  <c r="BK1649" i="1"/>
  <c r="BH1649" i="1"/>
  <c r="BI1649" i="1" s="1"/>
  <c r="BF1649" i="1"/>
  <c r="BG1649" i="1" s="1"/>
  <c r="BE1649" i="1"/>
  <c r="BR1648" i="1"/>
  <c r="BO1648" i="1"/>
  <c r="BN1648" i="1"/>
  <c r="BM1648" i="1"/>
  <c r="BL1648" i="1"/>
  <c r="BK1648" i="1"/>
  <c r="BH1648" i="1"/>
  <c r="BJ1648" i="1" s="1"/>
  <c r="BF1648" i="1"/>
  <c r="BG1648" i="1" s="1"/>
  <c r="BE1648" i="1"/>
  <c r="BR1647" i="1"/>
  <c r="BO1647" i="1"/>
  <c r="BN1647" i="1"/>
  <c r="BM1647" i="1"/>
  <c r="BL1647" i="1"/>
  <c r="BK1647" i="1"/>
  <c r="BH1647" i="1"/>
  <c r="BI1647" i="1" s="1"/>
  <c r="BF1647" i="1"/>
  <c r="BG1647" i="1" s="1"/>
  <c r="BE1647" i="1"/>
  <c r="BR1646" i="1"/>
  <c r="BO1646" i="1"/>
  <c r="BN1646" i="1"/>
  <c r="BM1646" i="1"/>
  <c r="BL1646" i="1"/>
  <c r="BK1646" i="1"/>
  <c r="BH1646" i="1"/>
  <c r="BJ1646" i="1" s="1"/>
  <c r="BF1646" i="1"/>
  <c r="BG1646" i="1" s="1"/>
  <c r="BE1646" i="1"/>
  <c r="BR1645" i="1"/>
  <c r="BO1645" i="1"/>
  <c r="BN1645" i="1"/>
  <c r="BM1645" i="1"/>
  <c r="BL1645" i="1"/>
  <c r="BK1645" i="1"/>
  <c r="BH1645" i="1"/>
  <c r="BI1645" i="1" s="1"/>
  <c r="BF1645" i="1"/>
  <c r="BG1645" i="1" s="1"/>
  <c r="BE1645" i="1"/>
  <c r="BR1644" i="1"/>
  <c r="BO1644" i="1"/>
  <c r="BN1644" i="1"/>
  <c r="BM1644" i="1"/>
  <c r="BL1644" i="1"/>
  <c r="BK1644" i="1"/>
  <c r="BH1644" i="1"/>
  <c r="BJ1644" i="1" s="1"/>
  <c r="BF1644" i="1"/>
  <c r="BG1644" i="1" s="1"/>
  <c r="BE1644" i="1"/>
  <c r="BR1643" i="1"/>
  <c r="BO1643" i="1"/>
  <c r="BN1643" i="1"/>
  <c r="BM1643" i="1"/>
  <c r="BL1643" i="1"/>
  <c r="BK1643" i="1"/>
  <c r="BH1643" i="1"/>
  <c r="BI1643" i="1" s="1"/>
  <c r="BF1643" i="1"/>
  <c r="BG1643" i="1" s="1"/>
  <c r="BE1643" i="1"/>
  <c r="BR1642" i="1"/>
  <c r="BO1642" i="1"/>
  <c r="BN1642" i="1"/>
  <c r="BM1642" i="1"/>
  <c r="BL1642" i="1"/>
  <c r="BK1642" i="1"/>
  <c r="BH1642" i="1"/>
  <c r="BF1642" i="1"/>
  <c r="BG1642" i="1" s="1"/>
  <c r="BE1642" i="1"/>
  <c r="BR1641" i="1"/>
  <c r="BO1641" i="1"/>
  <c r="BN1641" i="1"/>
  <c r="BM1641" i="1"/>
  <c r="BL1641" i="1"/>
  <c r="BK1641" i="1"/>
  <c r="BH1641" i="1"/>
  <c r="BI1641" i="1" s="1"/>
  <c r="BF1641" i="1"/>
  <c r="BG1641" i="1" s="1"/>
  <c r="BE1641" i="1"/>
  <c r="BR1640" i="1"/>
  <c r="BO1640" i="1"/>
  <c r="BN1640" i="1"/>
  <c r="BM1640" i="1"/>
  <c r="BL1640" i="1"/>
  <c r="BK1640" i="1"/>
  <c r="BH1640" i="1"/>
  <c r="BF1640" i="1"/>
  <c r="BG1640" i="1" s="1"/>
  <c r="BE1640" i="1"/>
  <c r="BR1639" i="1"/>
  <c r="BO1639" i="1"/>
  <c r="BN1639" i="1"/>
  <c r="BM1639" i="1"/>
  <c r="BL1639" i="1"/>
  <c r="BK1639" i="1"/>
  <c r="BH1639" i="1"/>
  <c r="BI1639" i="1" s="1"/>
  <c r="BF1639" i="1"/>
  <c r="BG1639" i="1" s="1"/>
  <c r="BE1639" i="1"/>
  <c r="BR1638" i="1"/>
  <c r="BO1638" i="1"/>
  <c r="BN1638" i="1"/>
  <c r="BM1638" i="1"/>
  <c r="BL1638" i="1"/>
  <c r="BK1638" i="1"/>
  <c r="BH1638" i="1"/>
  <c r="BF1638" i="1"/>
  <c r="BG1638" i="1" s="1"/>
  <c r="BE1638" i="1"/>
  <c r="BR1637" i="1"/>
  <c r="BO1637" i="1"/>
  <c r="BN1637" i="1"/>
  <c r="BM1637" i="1"/>
  <c r="BL1637" i="1"/>
  <c r="BK1637" i="1"/>
  <c r="BH1637" i="1"/>
  <c r="BI1637" i="1" s="1"/>
  <c r="BF1637" i="1"/>
  <c r="BG1637" i="1" s="1"/>
  <c r="BE1637" i="1"/>
  <c r="BR1636" i="1"/>
  <c r="BO1636" i="1"/>
  <c r="BN1636" i="1"/>
  <c r="BM1636" i="1"/>
  <c r="BL1636" i="1"/>
  <c r="BK1636" i="1"/>
  <c r="BH1636" i="1"/>
  <c r="BF1636" i="1"/>
  <c r="BG1636" i="1" s="1"/>
  <c r="BE1636" i="1"/>
  <c r="BR1635" i="1"/>
  <c r="BO1635" i="1"/>
  <c r="BN1635" i="1"/>
  <c r="BM1635" i="1"/>
  <c r="BL1635" i="1"/>
  <c r="BK1635" i="1"/>
  <c r="BH1635" i="1"/>
  <c r="BI1635" i="1" s="1"/>
  <c r="BF1635" i="1"/>
  <c r="BG1635" i="1" s="1"/>
  <c r="BE1635" i="1"/>
  <c r="BR1634" i="1"/>
  <c r="BO1634" i="1"/>
  <c r="BN1634" i="1"/>
  <c r="BM1634" i="1"/>
  <c r="BL1634" i="1"/>
  <c r="BK1634" i="1"/>
  <c r="BH1634" i="1"/>
  <c r="BF1634" i="1"/>
  <c r="BG1634" i="1" s="1"/>
  <c r="BE1634" i="1"/>
  <c r="BR1633" i="1"/>
  <c r="BO1633" i="1"/>
  <c r="BN1633" i="1"/>
  <c r="BM1633" i="1"/>
  <c r="BL1633" i="1"/>
  <c r="BK1633" i="1"/>
  <c r="BH1633" i="1"/>
  <c r="BI1633" i="1" s="1"/>
  <c r="BF1633" i="1"/>
  <c r="BG1633" i="1" s="1"/>
  <c r="BE1633" i="1"/>
  <c r="BR1632" i="1"/>
  <c r="BO1632" i="1"/>
  <c r="BN1632" i="1"/>
  <c r="BM1632" i="1"/>
  <c r="BL1632" i="1"/>
  <c r="BK1632" i="1"/>
  <c r="BH1632" i="1"/>
  <c r="BF1632" i="1"/>
  <c r="BG1632" i="1" s="1"/>
  <c r="BE1632" i="1"/>
  <c r="BR1631" i="1"/>
  <c r="BO1631" i="1"/>
  <c r="BN1631" i="1"/>
  <c r="BM1631" i="1"/>
  <c r="BL1631" i="1"/>
  <c r="BK1631" i="1"/>
  <c r="BH1631" i="1"/>
  <c r="BI1631" i="1" s="1"/>
  <c r="BF1631" i="1"/>
  <c r="BG1631" i="1" s="1"/>
  <c r="BE1631" i="1"/>
  <c r="BR1630" i="1"/>
  <c r="BO1630" i="1"/>
  <c r="BN1630" i="1"/>
  <c r="BM1630" i="1"/>
  <c r="BL1630" i="1"/>
  <c r="BK1630" i="1"/>
  <c r="BH1630" i="1"/>
  <c r="BF1630" i="1"/>
  <c r="BG1630" i="1" s="1"/>
  <c r="BE1630" i="1"/>
  <c r="BR1629" i="1"/>
  <c r="BO1629" i="1"/>
  <c r="BN1629" i="1"/>
  <c r="BM1629" i="1"/>
  <c r="BL1629" i="1"/>
  <c r="BK1629" i="1"/>
  <c r="BH1629" i="1"/>
  <c r="BI1629" i="1" s="1"/>
  <c r="BF1629" i="1"/>
  <c r="BG1629" i="1" s="1"/>
  <c r="BE1629" i="1"/>
  <c r="BR1628" i="1"/>
  <c r="BO1628" i="1"/>
  <c r="BN1628" i="1"/>
  <c r="BM1628" i="1"/>
  <c r="BL1628" i="1"/>
  <c r="BK1628" i="1"/>
  <c r="BH1628" i="1"/>
  <c r="BF1628" i="1"/>
  <c r="BG1628" i="1" s="1"/>
  <c r="BE1628" i="1"/>
  <c r="BR1627" i="1"/>
  <c r="BO1627" i="1"/>
  <c r="BN1627" i="1"/>
  <c r="BM1627" i="1"/>
  <c r="BL1627" i="1"/>
  <c r="BK1627" i="1"/>
  <c r="BH1627" i="1"/>
  <c r="BI1627" i="1" s="1"/>
  <c r="BF1627" i="1"/>
  <c r="BG1627" i="1" s="1"/>
  <c r="BE1627" i="1"/>
  <c r="BR1626" i="1"/>
  <c r="BO1626" i="1"/>
  <c r="BN1626" i="1"/>
  <c r="BM1626" i="1"/>
  <c r="BL1626" i="1"/>
  <c r="BK1626" i="1"/>
  <c r="BH1626" i="1"/>
  <c r="BF1626" i="1"/>
  <c r="BG1626" i="1" s="1"/>
  <c r="BE1626" i="1"/>
  <c r="BR1625" i="1"/>
  <c r="BO1625" i="1"/>
  <c r="BN1625" i="1"/>
  <c r="BM1625" i="1"/>
  <c r="BL1625" i="1"/>
  <c r="BK1625" i="1"/>
  <c r="BH1625" i="1"/>
  <c r="BI1625" i="1" s="1"/>
  <c r="BF1625" i="1"/>
  <c r="BG1625" i="1" s="1"/>
  <c r="BE1625" i="1"/>
  <c r="BR1624" i="1"/>
  <c r="BO1624" i="1"/>
  <c r="BN1624" i="1"/>
  <c r="BM1624" i="1"/>
  <c r="BL1624" i="1"/>
  <c r="BK1624" i="1"/>
  <c r="BH1624" i="1"/>
  <c r="BF1624" i="1"/>
  <c r="BG1624" i="1" s="1"/>
  <c r="BE1624" i="1"/>
  <c r="BR1623" i="1"/>
  <c r="BO1623" i="1"/>
  <c r="BN1623" i="1"/>
  <c r="BM1623" i="1"/>
  <c r="BL1623" i="1"/>
  <c r="BK1623" i="1"/>
  <c r="BH1623" i="1"/>
  <c r="BI1623" i="1" s="1"/>
  <c r="BF1623" i="1"/>
  <c r="BG1623" i="1" s="1"/>
  <c r="BE1623" i="1"/>
  <c r="BR1622" i="1"/>
  <c r="BO1622" i="1"/>
  <c r="BN1622" i="1"/>
  <c r="BM1622" i="1"/>
  <c r="BL1622" i="1"/>
  <c r="BK1622" i="1"/>
  <c r="BH1622" i="1"/>
  <c r="BF1622" i="1"/>
  <c r="BG1622" i="1" s="1"/>
  <c r="BE1622" i="1"/>
  <c r="BR1621" i="1"/>
  <c r="BO1621" i="1"/>
  <c r="BN1621" i="1"/>
  <c r="BM1621" i="1"/>
  <c r="BL1621" i="1"/>
  <c r="BK1621" i="1"/>
  <c r="BH1621" i="1"/>
  <c r="BI1621" i="1" s="1"/>
  <c r="BF1621" i="1"/>
  <c r="BG1621" i="1" s="1"/>
  <c r="BE1621" i="1"/>
  <c r="BR1620" i="1"/>
  <c r="BO1620" i="1"/>
  <c r="BN1620" i="1"/>
  <c r="BM1620" i="1"/>
  <c r="BL1620" i="1"/>
  <c r="BK1620" i="1"/>
  <c r="BH1620" i="1"/>
  <c r="BF1620" i="1"/>
  <c r="BG1620" i="1" s="1"/>
  <c r="BE1620" i="1"/>
  <c r="BR1619" i="1"/>
  <c r="BO1619" i="1"/>
  <c r="BN1619" i="1"/>
  <c r="BM1619" i="1"/>
  <c r="BL1619" i="1"/>
  <c r="BK1619" i="1"/>
  <c r="BH1619" i="1"/>
  <c r="BI1619" i="1" s="1"/>
  <c r="BF1619" i="1"/>
  <c r="BG1619" i="1" s="1"/>
  <c r="BE1619" i="1"/>
  <c r="BR1618" i="1"/>
  <c r="BO1618" i="1"/>
  <c r="BN1618" i="1"/>
  <c r="BM1618" i="1"/>
  <c r="BL1618" i="1"/>
  <c r="BK1618" i="1"/>
  <c r="BH1618" i="1"/>
  <c r="BF1618" i="1"/>
  <c r="BG1618" i="1" s="1"/>
  <c r="BE1618" i="1"/>
  <c r="BR1617" i="1"/>
  <c r="BO1617" i="1"/>
  <c r="BN1617" i="1"/>
  <c r="BM1617" i="1"/>
  <c r="BL1617" i="1"/>
  <c r="BK1617" i="1"/>
  <c r="BH1617" i="1"/>
  <c r="BI1617" i="1" s="1"/>
  <c r="BF1617" i="1"/>
  <c r="BG1617" i="1" s="1"/>
  <c r="BE1617" i="1"/>
  <c r="BR1616" i="1"/>
  <c r="BO1616" i="1"/>
  <c r="BN1616" i="1"/>
  <c r="BM1616" i="1"/>
  <c r="BL1616" i="1"/>
  <c r="BK1616" i="1"/>
  <c r="BH1616" i="1"/>
  <c r="BF1616" i="1"/>
  <c r="BG1616" i="1" s="1"/>
  <c r="BE1616" i="1"/>
  <c r="BR1615" i="1"/>
  <c r="BO1615" i="1"/>
  <c r="BN1615" i="1"/>
  <c r="BM1615" i="1"/>
  <c r="BL1615" i="1"/>
  <c r="BK1615" i="1"/>
  <c r="BH1615" i="1"/>
  <c r="BI1615" i="1" s="1"/>
  <c r="BF1615" i="1"/>
  <c r="BG1615" i="1" s="1"/>
  <c r="BE1615" i="1"/>
  <c r="BR1614" i="1"/>
  <c r="BO1614" i="1"/>
  <c r="BN1614" i="1"/>
  <c r="BM1614" i="1"/>
  <c r="BL1614" i="1"/>
  <c r="BK1614" i="1"/>
  <c r="BH1614" i="1"/>
  <c r="BF1614" i="1"/>
  <c r="BG1614" i="1" s="1"/>
  <c r="BE1614" i="1"/>
  <c r="BR1613" i="1"/>
  <c r="BO1613" i="1"/>
  <c r="BN1613" i="1"/>
  <c r="BM1613" i="1"/>
  <c r="BL1613" i="1"/>
  <c r="BK1613" i="1"/>
  <c r="BH1613" i="1"/>
  <c r="BI1613" i="1" s="1"/>
  <c r="BF1613" i="1"/>
  <c r="BG1613" i="1" s="1"/>
  <c r="BE1613" i="1"/>
  <c r="BR1612" i="1"/>
  <c r="BO1612" i="1"/>
  <c r="BN1612" i="1"/>
  <c r="BM1612" i="1"/>
  <c r="BL1612" i="1"/>
  <c r="BK1612" i="1"/>
  <c r="BH1612" i="1"/>
  <c r="BF1612" i="1"/>
  <c r="BG1612" i="1" s="1"/>
  <c r="BE1612" i="1"/>
  <c r="BR1611" i="1"/>
  <c r="BO1611" i="1"/>
  <c r="BN1611" i="1"/>
  <c r="BM1611" i="1"/>
  <c r="BL1611" i="1"/>
  <c r="BK1611" i="1"/>
  <c r="BH1611" i="1"/>
  <c r="BI1611" i="1" s="1"/>
  <c r="BF1611" i="1"/>
  <c r="BG1611" i="1" s="1"/>
  <c r="BE1611" i="1"/>
  <c r="BR1610" i="1"/>
  <c r="BO1610" i="1"/>
  <c r="BN1610" i="1"/>
  <c r="BM1610" i="1"/>
  <c r="BL1610" i="1"/>
  <c r="BK1610" i="1"/>
  <c r="BH1610" i="1"/>
  <c r="BF1610" i="1"/>
  <c r="BG1610" i="1" s="1"/>
  <c r="BE1610" i="1"/>
  <c r="BR1609" i="1"/>
  <c r="BO1609" i="1"/>
  <c r="BN1609" i="1"/>
  <c r="BM1609" i="1"/>
  <c r="BL1609" i="1"/>
  <c r="BK1609" i="1"/>
  <c r="BH1609" i="1"/>
  <c r="BI1609" i="1" s="1"/>
  <c r="BF1609" i="1"/>
  <c r="BG1609" i="1" s="1"/>
  <c r="BE1609" i="1"/>
  <c r="BR1608" i="1"/>
  <c r="BO1608" i="1"/>
  <c r="BN1608" i="1"/>
  <c r="BM1608" i="1"/>
  <c r="BL1608" i="1"/>
  <c r="BK1608" i="1"/>
  <c r="BH1608" i="1"/>
  <c r="BF1608" i="1"/>
  <c r="BG1608" i="1" s="1"/>
  <c r="BE1608" i="1"/>
  <c r="BR1607" i="1"/>
  <c r="BO1607" i="1"/>
  <c r="BN1607" i="1"/>
  <c r="BM1607" i="1"/>
  <c r="BL1607" i="1"/>
  <c r="BK1607" i="1"/>
  <c r="BH1607" i="1"/>
  <c r="BI1607" i="1" s="1"/>
  <c r="BF1607" i="1"/>
  <c r="BG1607" i="1" s="1"/>
  <c r="BE1607" i="1"/>
  <c r="BR1606" i="1"/>
  <c r="BO1606" i="1"/>
  <c r="BN1606" i="1"/>
  <c r="BM1606" i="1"/>
  <c r="BL1606" i="1"/>
  <c r="BK1606" i="1"/>
  <c r="BH1606" i="1"/>
  <c r="BF1606" i="1"/>
  <c r="BG1606" i="1" s="1"/>
  <c r="BE1606" i="1"/>
  <c r="BR1605" i="1"/>
  <c r="BO1605" i="1"/>
  <c r="BN1605" i="1"/>
  <c r="BM1605" i="1"/>
  <c r="BL1605" i="1"/>
  <c r="BK1605" i="1"/>
  <c r="BH1605" i="1"/>
  <c r="BI1605" i="1" s="1"/>
  <c r="BF1605" i="1"/>
  <c r="BG1605" i="1" s="1"/>
  <c r="BE1605" i="1"/>
  <c r="BR1604" i="1"/>
  <c r="BO1604" i="1"/>
  <c r="BN1604" i="1"/>
  <c r="BM1604" i="1"/>
  <c r="BL1604" i="1"/>
  <c r="BK1604" i="1"/>
  <c r="BH1604" i="1"/>
  <c r="BF1604" i="1"/>
  <c r="BG1604" i="1" s="1"/>
  <c r="BE1604" i="1"/>
  <c r="BR1603" i="1"/>
  <c r="BO1603" i="1"/>
  <c r="BN1603" i="1"/>
  <c r="BM1603" i="1"/>
  <c r="BL1603" i="1"/>
  <c r="BK1603" i="1"/>
  <c r="BH1603" i="1"/>
  <c r="BI1603" i="1" s="1"/>
  <c r="BF1603" i="1"/>
  <c r="BG1603" i="1" s="1"/>
  <c r="BE1603" i="1"/>
  <c r="BR1602" i="1"/>
  <c r="BO1602" i="1"/>
  <c r="BN1602" i="1"/>
  <c r="BM1602" i="1"/>
  <c r="BL1602" i="1"/>
  <c r="BK1602" i="1"/>
  <c r="BH1602" i="1"/>
  <c r="BF1602" i="1"/>
  <c r="BG1602" i="1" s="1"/>
  <c r="BE1602" i="1"/>
  <c r="BR1601" i="1"/>
  <c r="BO1601" i="1"/>
  <c r="BN1601" i="1"/>
  <c r="BM1601" i="1"/>
  <c r="BL1601" i="1"/>
  <c r="BK1601" i="1"/>
  <c r="BH1601" i="1"/>
  <c r="BI1601" i="1" s="1"/>
  <c r="BF1601" i="1"/>
  <c r="BG1601" i="1" s="1"/>
  <c r="BE1601" i="1"/>
  <c r="BR1600" i="1"/>
  <c r="BO1600" i="1"/>
  <c r="BN1600" i="1"/>
  <c r="BM1600" i="1"/>
  <c r="BL1600" i="1"/>
  <c r="BK1600" i="1"/>
  <c r="BH1600" i="1"/>
  <c r="BF1600" i="1"/>
  <c r="BG1600" i="1" s="1"/>
  <c r="BE1600" i="1"/>
  <c r="BR1599" i="1"/>
  <c r="BO1599" i="1"/>
  <c r="BN1599" i="1"/>
  <c r="BM1599" i="1"/>
  <c r="BL1599" i="1"/>
  <c r="BK1599" i="1"/>
  <c r="BH1599" i="1"/>
  <c r="BI1599" i="1" s="1"/>
  <c r="BF1599" i="1"/>
  <c r="BG1599" i="1" s="1"/>
  <c r="BE1599" i="1"/>
  <c r="BR1598" i="1"/>
  <c r="BO1598" i="1"/>
  <c r="BN1598" i="1"/>
  <c r="BM1598" i="1"/>
  <c r="BL1598" i="1"/>
  <c r="BK1598" i="1"/>
  <c r="BH1598" i="1"/>
  <c r="BF1598" i="1"/>
  <c r="BG1598" i="1" s="1"/>
  <c r="BE1598" i="1"/>
  <c r="BR1597" i="1"/>
  <c r="BO1597" i="1"/>
  <c r="BN1597" i="1"/>
  <c r="BM1597" i="1"/>
  <c r="BL1597" i="1"/>
  <c r="BK1597" i="1"/>
  <c r="BH1597" i="1"/>
  <c r="BI1597" i="1" s="1"/>
  <c r="BF1597" i="1"/>
  <c r="BG1597" i="1" s="1"/>
  <c r="BE1597" i="1"/>
  <c r="BR1596" i="1"/>
  <c r="BO1596" i="1"/>
  <c r="BN1596" i="1"/>
  <c r="BM1596" i="1"/>
  <c r="BL1596" i="1"/>
  <c r="BK1596" i="1"/>
  <c r="BH1596" i="1"/>
  <c r="BF1596" i="1"/>
  <c r="BG1596" i="1" s="1"/>
  <c r="BE1596" i="1"/>
  <c r="BR1595" i="1"/>
  <c r="BO1595" i="1"/>
  <c r="BN1595" i="1"/>
  <c r="BM1595" i="1"/>
  <c r="BL1595" i="1"/>
  <c r="BK1595" i="1"/>
  <c r="BH1595" i="1"/>
  <c r="BI1595" i="1" s="1"/>
  <c r="BF1595" i="1"/>
  <c r="BG1595" i="1" s="1"/>
  <c r="BE1595" i="1"/>
  <c r="BR1594" i="1"/>
  <c r="BO1594" i="1"/>
  <c r="BN1594" i="1"/>
  <c r="BM1594" i="1"/>
  <c r="BL1594" i="1"/>
  <c r="BK1594" i="1"/>
  <c r="BH1594" i="1"/>
  <c r="BF1594" i="1"/>
  <c r="BG1594" i="1" s="1"/>
  <c r="BE1594" i="1"/>
  <c r="BR1593" i="1"/>
  <c r="BO1593" i="1"/>
  <c r="BN1593" i="1"/>
  <c r="BM1593" i="1"/>
  <c r="BL1593" i="1"/>
  <c r="BK1593" i="1"/>
  <c r="BH1593" i="1"/>
  <c r="BI1593" i="1" s="1"/>
  <c r="BF1593" i="1"/>
  <c r="BG1593" i="1" s="1"/>
  <c r="BE1593" i="1"/>
  <c r="BR1592" i="1"/>
  <c r="BO1592" i="1"/>
  <c r="BN1592" i="1"/>
  <c r="BM1592" i="1"/>
  <c r="BL1592" i="1"/>
  <c r="BK1592" i="1"/>
  <c r="BH1592" i="1"/>
  <c r="BF1592" i="1"/>
  <c r="BG1592" i="1" s="1"/>
  <c r="BE1592" i="1"/>
  <c r="BR1591" i="1"/>
  <c r="BO1591" i="1"/>
  <c r="BN1591" i="1"/>
  <c r="BM1591" i="1"/>
  <c r="BL1591" i="1"/>
  <c r="BK1591" i="1"/>
  <c r="BH1591" i="1"/>
  <c r="BI1591" i="1" s="1"/>
  <c r="BF1591" i="1"/>
  <c r="BG1591" i="1" s="1"/>
  <c r="BE1591" i="1"/>
  <c r="BR1590" i="1"/>
  <c r="BO1590" i="1"/>
  <c r="BN1590" i="1"/>
  <c r="BM1590" i="1"/>
  <c r="BL1590" i="1"/>
  <c r="BK1590" i="1"/>
  <c r="BH1590" i="1"/>
  <c r="BF1590" i="1"/>
  <c r="BG1590" i="1" s="1"/>
  <c r="BE1590" i="1"/>
  <c r="BR1589" i="1"/>
  <c r="BO1589" i="1"/>
  <c r="BN1589" i="1"/>
  <c r="BM1589" i="1"/>
  <c r="BL1589" i="1"/>
  <c r="BK1589" i="1"/>
  <c r="BH1589" i="1"/>
  <c r="BI1589" i="1" s="1"/>
  <c r="BF1589" i="1"/>
  <c r="BG1589" i="1" s="1"/>
  <c r="BE1589" i="1"/>
  <c r="BR1588" i="1"/>
  <c r="BO1588" i="1"/>
  <c r="BN1588" i="1"/>
  <c r="BM1588" i="1"/>
  <c r="BL1588" i="1"/>
  <c r="BK1588" i="1"/>
  <c r="BH1588" i="1"/>
  <c r="BF1588" i="1"/>
  <c r="BG1588" i="1" s="1"/>
  <c r="BE1588" i="1"/>
  <c r="BR1587" i="1"/>
  <c r="BO1587" i="1"/>
  <c r="BN1587" i="1"/>
  <c r="BM1587" i="1"/>
  <c r="BL1587" i="1"/>
  <c r="BK1587" i="1"/>
  <c r="BH1587" i="1"/>
  <c r="BI1587" i="1" s="1"/>
  <c r="BF1587" i="1"/>
  <c r="BG1587" i="1" s="1"/>
  <c r="BE1587" i="1"/>
  <c r="BR1586" i="1"/>
  <c r="BO1586" i="1"/>
  <c r="BN1586" i="1"/>
  <c r="BM1586" i="1"/>
  <c r="BL1586" i="1"/>
  <c r="BK1586" i="1"/>
  <c r="BH1586" i="1"/>
  <c r="BF1586" i="1"/>
  <c r="BG1586" i="1" s="1"/>
  <c r="BE1586" i="1"/>
  <c r="BR1585" i="1"/>
  <c r="BO1585" i="1"/>
  <c r="BN1585" i="1"/>
  <c r="BM1585" i="1"/>
  <c r="BL1585" i="1"/>
  <c r="BK1585" i="1"/>
  <c r="BH1585" i="1"/>
  <c r="BI1585" i="1" s="1"/>
  <c r="BF1585" i="1"/>
  <c r="BG1585" i="1" s="1"/>
  <c r="BE1585" i="1"/>
  <c r="BR1584" i="1"/>
  <c r="BO1584" i="1"/>
  <c r="BN1584" i="1"/>
  <c r="BM1584" i="1"/>
  <c r="BL1584" i="1"/>
  <c r="BK1584" i="1"/>
  <c r="BH1584" i="1"/>
  <c r="BF1584" i="1"/>
  <c r="BG1584" i="1" s="1"/>
  <c r="BE1584" i="1"/>
  <c r="BR1583" i="1"/>
  <c r="BO1583" i="1"/>
  <c r="BN1583" i="1"/>
  <c r="BM1583" i="1"/>
  <c r="BL1583" i="1"/>
  <c r="BK1583" i="1"/>
  <c r="BH1583" i="1"/>
  <c r="BI1583" i="1" s="1"/>
  <c r="BF1583" i="1"/>
  <c r="BG1583" i="1" s="1"/>
  <c r="BE1583" i="1"/>
  <c r="BR1582" i="1"/>
  <c r="BO1582" i="1"/>
  <c r="BN1582" i="1"/>
  <c r="BM1582" i="1"/>
  <c r="BL1582" i="1"/>
  <c r="BK1582" i="1"/>
  <c r="BH1582" i="1"/>
  <c r="BF1582" i="1"/>
  <c r="BG1582" i="1" s="1"/>
  <c r="BE1582" i="1"/>
  <c r="BR1581" i="1"/>
  <c r="BO1581" i="1"/>
  <c r="BN1581" i="1"/>
  <c r="BM1581" i="1"/>
  <c r="BL1581" i="1"/>
  <c r="BK1581" i="1"/>
  <c r="BH1581" i="1"/>
  <c r="BI1581" i="1" s="1"/>
  <c r="BF1581" i="1"/>
  <c r="BG1581" i="1" s="1"/>
  <c r="BE1581" i="1"/>
  <c r="BR1580" i="1"/>
  <c r="BO1580" i="1"/>
  <c r="BN1580" i="1"/>
  <c r="BM1580" i="1"/>
  <c r="BL1580" i="1"/>
  <c r="BK1580" i="1"/>
  <c r="BH1580" i="1"/>
  <c r="BF1580" i="1"/>
  <c r="BG1580" i="1" s="1"/>
  <c r="BE1580" i="1"/>
  <c r="BR1579" i="1"/>
  <c r="BO1579" i="1"/>
  <c r="BN1579" i="1"/>
  <c r="BM1579" i="1"/>
  <c r="BL1579" i="1"/>
  <c r="BK1579" i="1"/>
  <c r="BH1579" i="1"/>
  <c r="BI1579" i="1" s="1"/>
  <c r="BF1579" i="1"/>
  <c r="BG1579" i="1" s="1"/>
  <c r="BE1579" i="1"/>
  <c r="BR1578" i="1"/>
  <c r="BO1578" i="1"/>
  <c r="BN1578" i="1"/>
  <c r="BM1578" i="1"/>
  <c r="BL1578" i="1"/>
  <c r="BK1578" i="1"/>
  <c r="BH1578" i="1"/>
  <c r="BF1578" i="1"/>
  <c r="BG1578" i="1" s="1"/>
  <c r="BE1578" i="1"/>
  <c r="BR1577" i="1"/>
  <c r="BO1577" i="1"/>
  <c r="BN1577" i="1"/>
  <c r="BM1577" i="1"/>
  <c r="BL1577" i="1"/>
  <c r="BK1577" i="1"/>
  <c r="BH1577" i="1"/>
  <c r="BI1577" i="1" s="1"/>
  <c r="BF1577" i="1"/>
  <c r="BG1577" i="1" s="1"/>
  <c r="BE1577" i="1"/>
  <c r="BR1576" i="1"/>
  <c r="BO1576" i="1"/>
  <c r="BN1576" i="1"/>
  <c r="BM1576" i="1"/>
  <c r="BL1576" i="1"/>
  <c r="BK1576" i="1"/>
  <c r="BH1576" i="1"/>
  <c r="BF1576" i="1"/>
  <c r="BG1576" i="1" s="1"/>
  <c r="BE1576" i="1"/>
  <c r="BR1575" i="1"/>
  <c r="BO1575" i="1"/>
  <c r="BN1575" i="1"/>
  <c r="BM1575" i="1"/>
  <c r="BL1575" i="1"/>
  <c r="BK1575" i="1"/>
  <c r="BH1575" i="1"/>
  <c r="BI1575" i="1" s="1"/>
  <c r="BF1575" i="1"/>
  <c r="BG1575" i="1" s="1"/>
  <c r="BE1575" i="1"/>
  <c r="BR1574" i="1"/>
  <c r="BO1574" i="1"/>
  <c r="BN1574" i="1"/>
  <c r="BM1574" i="1"/>
  <c r="BL1574" i="1"/>
  <c r="BK1574" i="1"/>
  <c r="BH1574" i="1"/>
  <c r="BF1574" i="1"/>
  <c r="BG1574" i="1" s="1"/>
  <c r="BE1574" i="1"/>
  <c r="BR1573" i="1"/>
  <c r="BO1573" i="1"/>
  <c r="BN1573" i="1"/>
  <c r="BM1573" i="1"/>
  <c r="BL1573" i="1"/>
  <c r="BK1573" i="1"/>
  <c r="BH1573" i="1"/>
  <c r="BI1573" i="1" s="1"/>
  <c r="BF1573" i="1"/>
  <c r="BG1573" i="1" s="1"/>
  <c r="BE1573" i="1"/>
  <c r="BR1572" i="1"/>
  <c r="BO1572" i="1"/>
  <c r="BN1572" i="1"/>
  <c r="BM1572" i="1"/>
  <c r="BL1572" i="1"/>
  <c r="BK1572" i="1"/>
  <c r="BH1572" i="1"/>
  <c r="BF1572" i="1"/>
  <c r="BG1572" i="1" s="1"/>
  <c r="BE1572" i="1"/>
  <c r="BR1571" i="1"/>
  <c r="BO1571" i="1"/>
  <c r="BN1571" i="1"/>
  <c r="BM1571" i="1"/>
  <c r="BL1571" i="1"/>
  <c r="BK1571" i="1"/>
  <c r="BH1571" i="1"/>
  <c r="BI1571" i="1" s="1"/>
  <c r="BF1571" i="1"/>
  <c r="BG1571" i="1" s="1"/>
  <c r="BE1571" i="1"/>
  <c r="BR1570" i="1"/>
  <c r="BO1570" i="1"/>
  <c r="BN1570" i="1"/>
  <c r="BM1570" i="1"/>
  <c r="BL1570" i="1"/>
  <c r="BK1570" i="1"/>
  <c r="BH1570" i="1"/>
  <c r="BF1570" i="1"/>
  <c r="BG1570" i="1" s="1"/>
  <c r="BE1570" i="1"/>
  <c r="BR1569" i="1"/>
  <c r="BO1569" i="1"/>
  <c r="BN1569" i="1"/>
  <c r="BM1569" i="1"/>
  <c r="BL1569" i="1"/>
  <c r="BK1569" i="1"/>
  <c r="BH1569" i="1"/>
  <c r="BI1569" i="1" s="1"/>
  <c r="BF1569" i="1"/>
  <c r="BG1569" i="1" s="1"/>
  <c r="BE1569" i="1"/>
  <c r="BR1568" i="1"/>
  <c r="BO1568" i="1"/>
  <c r="BN1568" i="1"/>
  <c r="BM1568" i="1"/>
  <c r="BL1568" i="1"/>
  <c r="BK1568" i="1"/>
  <c r="BH1568" i="1"/>
  <c r="BF1568" i="1"/>
  <c r="BG1568" i="1" s="1"/>
  <c r="BE1568" i="1"/>
  <c r="BR1567" i="1"/>
  <c r="BO1567" i="1"/>
  <c r="BN1567" i="1"/>
  <c r="BM1567" i="1"/>
  <c r="BL1567" i="1"/>
  <c r="BK1567" i="1"/>
  <c r="BH1567" i="1"/>
  <c r="BI1567" i="1" s="1"/>
  <c r="BF1567" i="1"/>
  <c r="BG1567" i="1" s="1"/>
  <c r="BE1567" i="1"/>
  <c r="BR1566" i="1"/>
  <c r="BO1566" i="1"/>
  <c r="BN1566" i="1"/>
  <c r="BM1566" i="1"/>
  <c r="BL1566" i="1"/>
  <c r="BK1566" i="1"/>
  <c r="BH1566" i="1"/>
  <c r="BF1566" i="1"/>
  <c r="BG1566" i="1" s="1"/>
  <c r="BE1566" i="1"/>
  <c r="BR1565" i="1"/>
  <c r="BO1565" i="1"/>
  <c r="BN1565" i="1"/>
  <c r="BM1565" i="1"/>
  <c r="BL1565" i="1"/>
  <c r="BK1565" i="1"/>
  <c r="BH1565" i="1"/>
  <c r="BI1565" i="1" s="1"/>
  <c r="BF1565" i="1"/>
  <c r="BG1565" i="1" s="1"/>
  <c r="BE1565" i="1"/>
  <c r="BR1564" i="1"/>
  <c r="BO1564" i="1"/>
  <c r="BN1564" i="1"/>
  <c r="BM1564" i="1"/>
  <c r="BL1564" i="1"/>
  <c r="BK1564" i="1"/>
  <c r="BH1564" i="1"/>
  <c r="BJ1564" i="1" s="1"/>
  <c r="BF1564" i="1"/>
  <c r="BG1564" i="1" s="1"/>
  <c r="BE1564" i="1"/>
  <c r="BR1563" i="1"/>
  <c r="BO1563" i="1"/>
  <c r="BN1563" i="1"/>
  <c r="BM1563" i="1"/>
  <c r="BL1563" i="1"/>
  <c r="BK1563" i="1"/>
  <c r="BH1563" i="1"/>
  <c r="BF1563" i="1"/>
  <c r="BG1563" i="1" s="1"/>
  <c r="BE1563" i="1"/>
  <c r="BR1562" i="1"/>
  <c r="BO1562" i="1"/>
  <c r="BN1562" i="1"/>
  <c r="BM1562" i="1"/>
  <c r="BL1562" i="1"/>
  <c r="BK1562" i="1"/>
  <c r="BH1562" i="1"/>
  <c r="BJ1562" i="1" s="1"/>
  <c r="BF1562" i="1"/>
  <c r="BG1562" i="1" s="1"/>
  <c r="BE1562" i="1"/>
  <c r="BR1561" i="1"/>
  <c r="BO1561" i="1"/>
  <c r="BN1561" i="1"/>
  <c r="BM1561" i="1"/>
  <c r="BL1561" i="1"/>
  <c r="BK1561" i="1"/>
  <c r="BH1561" i="1"/>
  <c r="BI1561" i="1" s="1"/>
  <c r="BF1561" i="1"/>
  <c r="BG1561" i="1" s="1"/>
  <c r="BE1561" i="1"/>
  <c r="BR1560" i="1"/>
  <c r="BO1560" i="1"/>
  <c r="BN1560" i="1"/>
  <c r="BM1560" i="1"/>
  <c r="BL1560" i="1"/>
  <c r="BK1560" i="1"/>
  <c r="BH1560" i="1"/>
  <c r="BJ1560" i="1" s="1"/>
  <c r="BF1560" i="1"/>
  <c r="BG1560" i="1" s="1"/>
  <c r="BE1560" i="1"/>
  <c r="BR1559" i="1"/>
  <c r="BO1559" i="1"/>
  <c r="BN1559" i="1"/>
  <c r="BM1559" i="1"/>
  <c r="BL1559" i="1"/>
  <c r="BK1559" i="1"/>
  <c r="BH1559" i="1"/>
  <c r="BI1559" i="1" s="1"/>
  <c r="BF1559" i="1"/>
  <c r="BG1559" i="1" s="1"/>
  <c r="BE1559" i="1"/>
  <c r="BR1558" i="1"/>
  <c r="BO1558" i="1"/>
  <c r="BN1558" i="1"/>
  <c r="BM1558" i="1"/>
  <c r="BL1558" i="1"/>
  <c r="BK1558" i="1"/>
  <c r="BH1558" i="1"/>
  <c r="BJ1558" i="1" s="1"/>
  <c r="BF1558" i="1"/>
  <c r="BG1558" i="1" s="1"/>
  <c r="BE1558" i="1"/>
  <c r="BR1557" i="1"/>
  <c r="BO1557" i="1"/>
  <c r="BN1557" i="1"/>
  <c r="BM1557" i="1"/>
  <c r="BL1557" i="1"/>
  <c r="BK1557" i="1"/>
  <c r="BH1557" i="1"/>
  <c r="BI1557" i="1" s="1"/>
  <c r="BF1557" i="1"/>
  <c r="BG1557" i="1" s="1"/>
  <c r="BE1557" i="1"/>
  <c r="BR1556" i="1"/>
  <c r="BO1556" i="1"/>
  <c r="BN1556" i="1"/>
  <c r="BM1556" i="1"/>
  <c r="BL1556" i="1"/>
  <c r="BK1556" i="1"/>
  <c r="BH1556" i="1"/>
  <c r="BJ1556" i="1" s="1"/>
  <c r="BF1556" i="1"/>
  <c r="BG1556" i="1" s="1"/>
  <c r="BE1556" i="1"/>
  <c r="BR1555" i="1"/>
  <c r="BO1555" i="1"/>
  <c r="BN1555" i="1"/>
  <c r="BM1555" i="1"/>
  <c r="BL1555" i="1"/>
  <c r="BK1555" i="1"/>
  <c r="BH1555" i="1"/>
  <c r="BI1555" i="1" s="1"/>
  <c r="BF1555" i="1"/>
  <c r="BG1555" i="1" s="1"/>
  <c r="BE1555" i="1"/>
  <c r="BR1554" i="1"/>
  <c r="BO1554" i="1"/>
  <c r="BN1554" i="1"/>
  <c r="BM1554" i="1"/>
  <c r="BL1554" i="1"/>
  <c r="BK1554" i="1"/>
  <c r="BH1554" i="1"/>
  <c r="BJ1554" i="1" s="1"/>
  <c r="BF1554" i="1"/>
  <c r="BG1554" i="1" s="1"/>
  <c r="BE1554" i="1"/>
  <c r="BR1553" i="1"/>
  <c r="BO1553" i="1"/>
  <c r="BN1553" i="1"/>
  <c r="BM1553" i="1"/>
  <c r="BL1553" i="1"/>
  <c r="BK1553" i="1"/>
  <c r="BH1553" i="1"/>
  <c r="BF1553" i="1"/>
  <c r="BG1553" i="1" s="1"/>
  <c r="BE1553" i="1"/>
  <c r="BR1552" i="1"/>
  <c r="BO1552" i="1"/>
  <c r="BN1552" i="1"/>
  <c r="BM1552" i="1"/>
  <c r="BL1552" i="1"/>
  <c r="BK1552" i="1"/>
  <c r="BH1552" i="1"/>
  <c r="BJ1552" i="1" s="1"/>
  <c r="BF1552" i="1"/>
  <c r="BG1552" i="1" s="1"/>
  <c r="BE1552" i="1"/>
  <c r="BR1551" i="1"/>
  <c r="BO1551" i="1"/>
  <c r="BN1551" i="1"/>
  <c r="BM1551" i="1"/>
  <c r="BL1551" i="1"/>
  <c r="BK1551" i="1"/>
  <c r="BH1551" i="1"/>
  <c r="BI1551" i="1" s="1"/>
  <c r="BF1551" i="1"/>
  <c r="BG1551" i="1" s="1"/>
  <c r="BE1551" i="1"/>
  <c r="BR1550" i="1"/>
  <c r="BO1550" i="1"/>
  <c r="BN1550" i="1"/>
  <c r="BM1550" i="1"/>
  <c r="BL1550" i="1"/>
  <c r="BK1550" i="1"/>
  <c r="BH1550" i="1"/>
  <c r="BF1550" i="1"/>
  <c r="BG1550" i="1" s="1"/>
  <c r="BE1550" i="1"/>
  <c r="BR1549" i="1"/>
  <c r="BO1549" i="1"/>
  <c r="BN1549" i="1"/>
  <c r="BM1549" i="1"/>
  <c r="BL1549" i="1"/>
  <c r="BK1549" i="1"/>
  <c r="BH1549" i="1"/>
  <c r="BI1549" i="1" s="1"/>
  <c r="BF1549" i="1"/>
  <c r="BG1549" i="1" s="1"/>
  <c r="BE1549" i="1"/>
  <c r="BR1548" i="1"/>
  <c r="BO1548" i="1"/>
  <c r="BN1548" i="1"/>
  <c r="BM1548" i="1"/>
  <c r="BL1548" i="1"/>
  <c r="BK1548" i="1"/>
  <c r="BH1548" i="1"/>
  <c r="BJ1548" i="1" s="1"/>
  <c r="BF1548" i="1"/>
  <c r="BG1548" i="1" s="1"/>
  <c r="BE1548" i="1"/>
  <c r="BR1547" i="1"/>
  <c r="BO1547" i="1"/>
  <c r="BN1547" i="1"/>
  <c r="BM1547" i="1"/>
  <c r="BL1547" i="1"/>
  <c r="BK1547" i="1"/>
  <c r="BH1547" i="1"/>
  <c r="BI1547" i="1" s="1"/>
  <c r="BF1547" i="1"/>
  <c r="BG1547" i="1" s="1"/>
  <c r="BE1547" i="1"/>
  <c r="BR1546" i="1"/>
  <c r="BO1546" i="1"/>
  <c r="BN1546" i="1"/>
  <c r="BM1546" i="1"/>
  <c r="BL1546" i="1"/>
  <c r="BK1546" i="1"/>
  <c r="BH1546" i="1"/>
  <c r="BJ1546" i="1" s="1"/>
  <c r="BF1546" i="1"/>
  <c r="BG1546" i="1" s="1"/>
  <c r="BE1546" i="1"/>
  <c r="BR1545" i="1"/>
  <c r="BO1545" i="1"/>
  <c r="BN1545" i="1"/>
  <c r="BM1545" i="1"/>
  <c r="BL1545" i="1"/>
  <c r="BK1545" i="1"/>
  <c r="BH1545" i="1"/>
  <c r="BI1545" i="1" s="1"/>
  <c r="BF1545" i="1"/>
  <c r="BG1545" i="1" s="1"/>
  <c r="BE1545" i="1"/>
  <c r="BR1544" i="1"/>
  <c r="BO1544" i="1"/>
  <c r="BN1544" i="1"/>
  <c r="BM1544" i="1"/>
  <c r="BL1544" i="1"/>
  <c r="BK1544" i="1"/>
  <c r="BH1544" i="1"/>
  <c r="BJ1544" i="1" s="1"/>
  <c r="BF1544" i="1"/>
  <c r="BG1544" i="1" s="1"/>
  <c r="BE1544" i="1"/>
  <c r="BR1543" i="1"/>
  <c r="BO1543" i="1"/>
  <c r="BN1543" i="1"/>
  <c r="BM1543" i="1"/>
  <c r="BL1543" i="1"/>
  <c r="BK1543" i="1"/>
  <c r="BH1543" i="1"/>
  <c r="BF1543" i="1"/>
  <c r="BG1543" i="1" s="1"/>
  <c r="BE1543" i="1"/>
  <c r="BR1542" i="1"/>
  <c r="BO1542" i="1"/>
  <c r="BN1542" i="1"/>
  <c r="BM1542" i="1"/>
  <c r="BL1542" i="1"/>
  <c r="BK1542" i="1"/>
  <c r="BH1542" i="1"/>
  <c r="BJ1542" i="1" s="1"/>
  <c r="BF1542" i="1"/>
  <c r="BG1542" i="1" s="1"/>
  <c r="BE1542" i="1"/>
  <c r="BR1541" i="1"/>
  <c r="BO1541" i="1"/>
  <c r="BN1541" i="1"/>
  <c r="BM1541" i="1"/>
  <c r="BL1541" i="1"/>
  <c r="BK1541" i="1"/>
  <c r="BH1541" i="1"/>
  <c r="BI1541" i="1" s="1"/>
  <c r="BF1541" i="1"/>
  <c r="BG1541" i="1" s="1"/>
  <c r="BE1541" i="1"/>
  <c r="BR1540" i="1"/>
  <c r="BO1540" i="1"/>
  <c r="BN1540" i="1"/>
  <c r="BM1540" i="1"/>
  <c r="BL1540" i="1"/>
  <c r="BK1540" i="1"/>
  <c r="BH1540" i="1"/>
  <c r="BJ1540" i="1" s="1"/>
  <c r="BF1540" i="1"/>
  <c r="BG1540" i="1" s="1"/>
  <c r="BE1540" i="1"/>
  <c r="BR1539" i="1"/>
  <c r="BO1539" i="1"/>
  <c r="BN1539" i="1"/>
  <c r="BM1539" i="1"/>
  <c r="BL1539" i="1"/>
  <c r="BK1539" i="1"/>
  <c r="BH1539" i="1"/>
  <c r="BI1539" i="1" s="1"/>
  <c r="BF1539" i="1"/>
  <c r="BG1539" i="1" s="1"/>
  <c r="BE1539" i="1"/>
  <c r="BR1538" i="1"/>
  <c r="BO1538" i="1"/>
  <c r="BN1538" i="1"/>
  <c r="BM1538" i="1"/>
  <c r="BL1538" i="1"/>
  <c r="BK1538" i="1"/>
  <c r="BH1538" i="1"/>
  <c r="BJ1538" i="1" s="1"/>
  <c r="BF1538" i="1"/>
  <c r="BG1538" i="1" s="1"/>
  <c r="BE1538" i="1"/>
  <c r="BR1537" i="1"/>
  <c r="BO1537" i="1"/>
  <c r="BN1537" i="1"/>
  <c r="BM1537" i="1"/>
  <c r="BL1537" i="1"/>
  <c r="BK1537" i="1"/>
  <c r="BH1537" i="1"/>
  <c r="BI1537" i="1" s="1"/>
  <c r="BF1537" i="1"/>
  <c r="BG1537" i="1" s="1"/>
  <c r="BE1537" i="1"/>
  <c r="BR1536" i="1"/>
  <c r="BO1536" i="1"/>
  <c r="BN1536" i="1"/>
  <c r="BM1536" i="1"/>
  <c r="BL1536" i="1"/>
  <c r="BK1536" i="1"/>
  <c r="BH1536" i="1"/>
  <c r="BJ1536" i="1" s="1"/>
  <c r="BF1536" i="1"/>
  <c r="BG1536" i="1" s="1"/>
  <c r="BE1536" i="1"/>
  <c r="BR1535" i="1"/>
  <c r="BO1535" i="1"/>
  <c r="BN1535" i="1"/>
  <c r="BM1535" i="1"/>
  <c r="BL1535" i="1"/>
  <c r="BK1535" i="1"/>
  <c r="BH1535" i="1"/>
  <c r="BI1535" i="1" s="1"/>
  <c r="BF1535" i="1"/>
  <c r="BG1535" i="1" s="1"/>
  <c r="BE1535" i="1"/>
  <c r="BR1534" i="1"/>
  <c r="BO1534" i="1"/>
  <c r="BN1534" i="1"/>
  <c r="BM1534" i="1"/>
  <c r="BL1534" i="1"/>
  <c r="BK1534" i="1"/>
  <c r="BH1534" i="1"/>
  <c r="BJ1534" i="1" s="1"/>
  <c r="BF1534" i="1"/>
  <c r="BG1534" i="1" s="1"/>
  <c r="BE1534" i="1"/>
  <c r="BR1533" i="1"/>
  <c r="BO1533" i="1"/>
  <c r="BN1533" i="1"/>
  <c r="BM1533" i="1"/>
  <c r="BL1533" i="1"/>
  <c r="BK1533" i="1"/>
  <c r="BH1533" i="1"/>
  <c r="BI1533" i="1" s="1"/>
  <c r="BF1533" i="1"/>
  <c r="BG1533" i="1" s="1"/>
  <c r="BE1533" i="1"/>
  <c r="BR1532" i="1"/>
  <c r="BO1532" i="1"/>
  <c r="BN1532" i="1"/>
  <c r="BM1532" i="1"/>
  <c r="BL1532" i="1"/>
  <c r="BK1532" i="1"/>
  <c r="BH1532" i="1"/>
  <c r="BJ1532" i="1" s="1"/>
  <c r="BF1532" i="1"/>
  <c r="BG1532" i="1" s="1"/>
  <c r="BE1532" i="1"/>
  <c r="BR1531" i="1"/>
  <c r="BO1531" i="1"/>
  <c r="BN1531" i="1"/>
  <c r="BM1531" i="1"/>
  <c r="BL1531" i="1"/>
  <c r="BK1531" i="1"/>
  <c r="BH1531" i="1"/>
  <c r="BI1531" i="1" s="1"/>
  <c r="BF1531" i="1"/>
  <c r="BG1531" i="1" s="1"/>
  <c r="BE1531" i="1"/>
  <c r="BR1530" i="1"/>
  <c r="BO1530" i="1"/>
  <c r="BN1530" i="1"/>
  <c r="BM1530" i="1"/>
  <c r="BL1530" i="1"/>
  <c r="BK1530" i="1"/>
  <c r="BH1530" i="1"/>
  <c r="BJ1530" i="1" s="1"/>
  <c r="BF1530" i="1"/>
  <c r="BG1530" i="1" s="1"/>
  <c r="BE1530" i="1"/>
  <c r="BR1529" i="1"/>
  <c r="BO1529" i="1"/>
  <c r="BN1529" i="1"/>
  <c r="BM1529" i="1"/>
  <c r="BL1529" i="1"/>
  <c r="BK1529" i="1"/>
  <c r="BH1529" i="1"/>
  <c r="BI1529" i="1" s="1"/>
  <c r="BF1529" i="1"/>
  <c r="BG1529" i="1" s="1"/>
  <c r="BE1529" i="1"/>
  <c r="BR1528" i="1"/>
  <c r="BO1528" i="1"/>
  <c r="BN1528" i="1"/>
  <c r="BM1528" i="1"/>
  <c r="BL1528" i="1"/>
  <c r="BK1528" i="1"/>
  <c r="BH1528" i="1"/>
  <c r="BJ1528" i="1" s="1"/>
  <c r="BF1528" i="1"/>
  <c r="BG1528" i="1" s="1"/>
  <c r="BE1528" i="1"/>
  <c r="BR1527" i="1"/>
  <c r="BO1527" i="1"/>
  <c r="BN1527" i="1"/>
  <c r="BM1527" i="1"/>
  <c r="BL1527" i="1"/>
  <c r="BK1527" i="1"/>
  <c r="BH1527" i="1"/>
  <c r="BI1527" i="1" s="1"/>
  <c r="BF1527" i="1"/>
  <c r="BG1527" i="1" s="1"/>
  <c r="BE1527" i="1"/>
  <c r="BR1526" i="1"/>
  <c r="BO1526" i="1"/>
  <c r="BN1526" i="1"/>
  <c r="BM1526" i="1"/>
  <c r="BL1526" i="1"/>
  <c r="BK1526" i="1"/>
  <c r="BH1526" i="1"/>
  <c r="BJ1526" i="1" s="1"/>
  <c r="BF1526" i="1"/>
  <c r="BG1526" i="1" s="1"/>
  <c r="BE1526" i="1"/>
  <c r="BR1525" i="1"/>
  <c r="BO1525" i="1"/>
  <c r="BN1525" i="1"/>
  <c r="BM1525" i="1"/>
  <c r="BL1525" i="1"/>
  <c r="BK1525" i="1"/>
  <c r="BH1525" i="1"/>
  <c r="BI1525" i="1" s="1"/>
  <c r="BF1525" i="1"/>
  <c r="BG1525" i="1" s="1"/>
  <c r="BE1525" i="1"/>
  <c r="BR1524" i="1"/>
  <c r="BO1524" i="1"/>
  <c r="BN1524" i="1"/>
  <c r="BM1524" i="1"/>
  <c r="BL1524" i="1"/>
  <c r="BK1524" i="1"/>
  <c r="BH1524" i="1"/>
  <c r="BJ1524" i="1" s="1"/>
  <c r="BF1524" i="1"/>
  <c r="BG1524" i="1" s="1"/>
  <c r="BE1524" i="1"/>
  <c r="BR1523" i="1"/>
  <c r="BO1523" i="1"/>
  <c r="BN1523" i="1"/>
  <c r="BM1523" i="1"/>
  <c r="BL1523" i="1"/>
  <c r="BK1523" i="1"/>
  <c r="BH1523" i="1"/>
  <c r="BI1523" i="1" s="1"/>
  <c r="BF1523" i="1"/>
  <c r="BG1523" i="1" s="1"/>
  <c r="BE1523" i="1"/>
  <c r="BR1522" i="1"/>
  <c r="BO1522" i="1"/>
  <c r="BN1522" i="1"/>
  <c r="BM1522" i="1"/>
  <c r="BL1522" i="1"/>
  <c r="BK1522" i="1"/>
  <c r="BH1522" i="1"/>
  <c r="BJ1522" i="1" s="1"/>
  <c r="BF1522" i="1"/>
  <c r="BG1522" i="1" s="1"/>
  <c r="BE1522" i="1"/>
  <c r="BR1521" i="1"/>
  <c r="BO1521" i="1"/>
  <c r="BN1521" i="1"/>
  <c r="BM1521" i="1"/>
  <c r="BL1521" i="1"/>
  <c r="BK1521" i="1"/>
  <c r="BH1521" i="1"/>
  <c r="BI1521" i="1" s="1"/>
  <c r="BF1521" i="1"/>
  <c r="BG1521" i="1" s="1"/>
  <c r="BE1521" i="1"/>
  <c r="BR1520" i="1"/>
  <c r="BO1520" i="1"/>
  <c r="BN1520" i="1"/>
  <c r="BM1520" i="1"/>
  <c r="BL1520" i="1"/>
  <c r="BK1520" i="1"/>
  <c r="BH1520" i="1"/>
  <c r="BJ1520" i="1" s="1"/>
  <c r="BF1520" i="1"/>
  <c r="BG1520" i="1" s="1"/>
  <c r="BE1520" i="1"/>
  <c r="BR1519" i="1"/>
  <c r="BO1519" i="1"/>
  <c r="BN1519" i="1"/>
  <c r="BM1519" i="1"/>
  <c r="BL1519" i="1"/>
  <c r="BK1519" i="1"/>
  <c r="BH1519" i="1"/>
  <c r="BI1519" i="1" s="1"/>
  <c r="BF1519" i="1"/>
  <c r="BG1519" i="1" s="1"/>
  <c r="BE1519" i="1"/>
  <c r="BR1518" i="1"/>
  <c r="BO1518" i="1"/>
  <c r="BN1518" i="1"/>
  <c r="BM1518" i="1"/>
  <c r="BL1518" i="1"/>
  <c r="BK1518" i="1"/>
  <c r="BH1518" i="1"/>
  <c r="BJ1518" i="1" s="1"/>
  <c r="BF1518" i="1"/>
  <c r="BG1518" i="1" s="1"/>
  <c r="BE1518" i="1"/>
  <c r="BR1517" i="1"/>
  <c r="BO1517" i="1"/>
  <c r="BN1517" i="1"/>
  <c r="BM1517" i="1"/>
  <c r="BL1517" i="1"/>
  <c r="BK1517" i="1"/>
  <c r="BH1517" i="1"/>
  <c r="BI1517" i="1" s="1"/>
  <c r="BF1517" i="1"/>
  <c r="BG1517" i="1" s="1"/>
  <c r="BE1517" i="1"/>
  <c r="BR1516" i="1"/>
  <c r="BO1516" i="1"/>
  <c r="BN1516" i="1"/>
  <c r="BM1516" i="1"/>
  <c r="BL1516" i="1"/>
  <c r="BK1516" i="1"/>
  <c r="BH1516" i="1"/>
  <c r="BJ1516" i="1" s="1"/>
  <c r="BF1516" i="1"/>
  <c r="BG1516" i="1" s="1"/>
  <c r="BE1516" i="1"/>
  <c r="BR1515" i="1"/>
  <c r="BO1515" i="1"/>
  <c r="BN1515" i="1"/>
  <c r="BM1515" i="1"/>
  <c r="BL1515" i="1"/>
  <c r="BK1515" i="1"/>
  <c r="BH1515" i="1"/>
  <c r="BI1515" i="1" s="1"/>
  <c r="BF1515" i="1"/>
  <c r="BG1515" i="1" s="1"/>
  <c r="BE1515" i="1"/>
  <c r="BR1514" i="1"/>
  <c r="BO1514" i="1"/>
  <c r="BN1514" i="1"/>
  <c r="BM1514" i="1"/>
  <c r="BL1514" i="1"/>
  <c r="BK1514" i="1"/>
  <c r="BH1514" i="1"/>
  <c r="BJ1514" i="1" s="1"/>
  <c r="BF1514" i="1"/>
  <c r="BG1514" i="1" s="1"/>
  <c r="BE1514" i="1"/>
  <c r="BR1513" i="1"/>
  <c r="BO1513" i="1"/>
  <c r="BN1513" i="1"/>
  <c r="BM1513" i="1"/>
  <c r="BL1513" i="1"/>
  <c r="BK1513" i="1"/>
  <c r="BH1513" i="1"/>
  <c r="BI1513" i="1" s="1"/>
  <c r="BF1513" i="1"/>
  <c r="BG1513" i="1" s="1"/>
  <c r="BE1513" i="1"/>
  <c r="BR1512" i="1"/>
  <c r="BO1512" i="1"/>
  <c r="BN1512" i="1"/>
  <c r="BM1512" i="1"/>
  <c r="BL1512" i="1"/>
  <c r="BK1512" i="1"/>
  <c r="BH1512" i="1"/>
  <c r="BJ1512" i="1" s="1"/>
  <c r="BF1512" i="1"/>
  <c r="BG1512" i="1" s="1"/>
  <c r="BE1512" i="1"/>
  <c r="BR1511" i="1"/>
  <c r="BO1511" i="1"/>
  <c r="BN1511" i="1"/>
  <c r="BM1511" i="1"/>
  <c r="BL1511" i="1"/>
  <c r="BK1511" i="1"/>
  <c r="BH1511" i="1"/>
  <c r="BI1511" i="1" s="1"/>
  <c r="BF1511" i="1"/>
  <c r="BG1511" i="1" s="1"/>
  <c r="BE1511" i="1"/>
  <c r="BR1510" i="1"/>
  <c r="BO1510" i="1"/>
  <c r="BN1510" i="1"/>
  <c r="BM1510" i="1"/>
  <c r="BL1510" i="1"/>
  <c r="BK1510" i="1"/>
  <c r="BH1510" i="1"/>
  <c r="BJ1510" i="1" s="1"/>
  <c r="BF1510" i="1"/>
  <c r="BG1510" i="1" s="1"/>
  <c r="BE1510" i="1"/>
  <c r="BR1509" i="1"/>
  <c r="BO1509" i="1"/>
  <c r="BN1509" i="1"/>
  <c r="BM1509" i="1"/>
  <c r="BL1509" i="1"/>
  <c r="BK1509" i="1"/>
  <c r="BH1509" i="1"/>
  <c r="BI1509" i="1" s="1"/>
  <c r="BF1509" i="1"/>
  <c r="BG1509" i="1" s="1"/>
  <c r="BE1509" i="1"/>
  <c r="BR1508" i="1"/>
  <c r="BO1508" i="1"/>
  <c r="BN1508" i="1"/>
  <c r="BM1508" i="1"/>
  <c r="BL1508" i="1"/>
  <c r="BK1508" i="1"/>
  <c r="BH1508" i="1"/>
  <c r="BJ1508" i="1" s="1"/>
  <c r="BF1508" i="1"/>
  <c r="BG1508" i="1" s="1"/>
  <c r="BE1508" i="1"/>
  <c r="BR1507" i="1"/>
  <c r="BO1507" i="1"/>
  <c r="BN1507" i="1"/>
  <c r="BM1507" i="1"/>
  <c r="BL1507" i="1"/>
  <c r="BK1507" i="1"/>
  <c r="BH1507" i="1"/>
  <c r="BI1507" i="1" s="1"/>
  <c r="BF1507" i="1"/>
  <c r="BG1507" i="1" s="1"/>
  <c r="BE1507" i="1"/>
  <c r="BR1506" i="1"/>
  <c r="BO1506" i="1"/>
  <c r="BN1506" i="1"/>
  <c r="BM1506" i="1"/>
  <c r="BL1506" i="1"/>
  <c r="BK1506" i="1"/>
  <c r="BH1506" i="1"/>
  <c r="BJ1506" i="1" s="1"/>
  <c r="BF1506" i="1"/>
  <c r="BG1506" i="1" s="1"/>
  <c r="BE1506" i="1"/>
  <c r="BR1505" i="1"/>
  <c r="BO1505" i="1"/>
  <c r="BN1505" i="1"/>
  <c r="BM1505" i="1"/>
  <c r="BL1505" i="1"/>
  <c r="BK1505" i="1"/>
  <c r="BH1505" i="1"/>
  <c r="BI1505" i="1" s="1"/>
  <c r="BF1505" i="1"/>
  <c r="BG1505" i="1" s="1"/>
  <c r="BE1505" i="1"/>
  <c r="BR1504" i="1"/>
  <c r="BO1504" i="1"/>
  <c r="BN1504" i="1"/>
  <c r="BM1504" i="1"/>
  <c r="BL1504" i="1"/>
  <c r="BK1504" i="1"/>
  <c r="BH1504" i="1"/>
  <c r="BJ1504" i="1" s="1"/>
  <c r="BF1504" i="1"/>
  <c r="BG1504" i="1" s="1"/>
  <c r="BE1504" i="1"/>
  <c r="BR1503" i="1"/>
  <c r="BO1503" i="1"/>
  <c r="BN1503" i="1"/>
  <c r="BM1503" i="1"/>
  <c r="BL1503" i="1"/>
  <c r="BK1503" i="1"/>
  <c r="BH1503" i="1"/>
  <c r="BJ1503" i="1" s="1"/>
  <c r="BF1503" i="1"/>
  <c r="BG1503" i="1" s="1"/>
  <c r="BE1503" i="1"/>
  <c r="BR1502" i="1"/>
  <c r="BO1502" i="1"/>
  <c r="BN1502" i="1"/>
  <c r="BM1502" i="1"/>
  <c r="BL1502" i="1"/>
  <c r="BK1502" i="1"/>
  <c r="BH1502" i="1"/>
  <c r="BJ1502" i="1" s="1"/>
  <c r="BF1502" i="1"/>
  <c r="BG1502" i="1" s="1"/>
  <c r="BE1502" i="1"/>
  <c r="BR1501" i="1"/>
  <c r="BO1501" i="1"/>
  <c r="BN1501" i="1"/>
  <c r="BM1501" i="1"/>
  <c r="BL1501" i="1"/>
  <c r="BK1501" i="1"/>
  <c r="BH1501" i="1"/>
  <c r="BI1501" i="1" s="1"/>
  <c r="BF1501" i="1"/>
  <c r="BG1501" i="1" s="1"/>
  <c r="BE1501" i="1"/>
  <c r="BR1500" i="1"/>
  <c r="BO1500" i="1"/>
  <c r="BN1500" i="1"/>
  <c r="BM1500" i="1"/>
  <c r="BL1500" i="1"/>
  <c r="BK1500" i="1"/>
  <c r="BH1500" i="1"/>
  <c r="BI1500" i="1" s="1"/>
  <c r="BF1500" i="1"/>
  <c r="BG1500" i="1" s="1"/>
  <c r="BE1500" i="1"/>
  <c r="BR1499" i="1"/>
  <c r="BO1499" i="1"/>
  <c r="BN1499" i="1"/>
  <c r="BM1499" i="1"/>
  <c r="BL1499" i="1"/>
  <c r="BK1499" i="1"/>
  <c r="BH1499" i="1"/>
  <c r="BJ1499" i="1" s="1"/>
  <c r="BF1499" i="1"/>
  <c r="BG1499" i="1" s="1"/>
  <c r="BE1499" i="1"/>
  <c r="BR1498" i="1"/>
  <c r="BO1498" i="1"/>
  <c r="BN1498" i="1"/>
  <c r="BM1498" i="1"/>
  <c r="BL1498" i="1"/>
  <c r="BK1498" i="1"/>
  <c r="BH1498" i="1"/>
  <c r="BI1498" i="1" s="1"/>
  <c r="BF1498" i="1"/>
  <c r="BG1498" i="1" s="1"/>
  <c r="BE1498" i="1"/>
  <c r="BR1497" i="1"/>
  <c r="BO1497" i="1"/>
  <c r="BN1497" i="1"/>
  <c r="BM1497" i="1"/>
  <c r="BL1497" i="1"/>
  <c r="BK1497" i="1"/>
  <c r="BH1497" i="1"/>
  <c r="BI1497" i="1" s="1"/>
  <c r="BF1497" i="1"/>
  <c r="BG1497" i="1" s="1"/>
  <c r="BE1497" i="1"/>
  <c r="BR1496" i="1"/>
  <c r="BO1496" i="1"/>
  <c r="BN1496" i="1"/>
  <c r="BM1496" i="1"/>
  <c r="BL1496" i="1"/>
  <c r="BK1496" i="1"/>
  <c r="BH1496" i="1"/>
  <c r="BI1496" i="1" s="1"/>
  <c r="BF1496" i="1"/>
  <c r="BG1496" i="1" s="1"/>
  <c r="BE1496" i="1"/>
  <c r="BR1495" i="1"/>
  <c r="BO1495" i="1"/>
  <c r="BN1495" i="1"/>
  <c r="BM1495" i="1"/>
  <c r="BL1495" i="1"/>
  <c r="BK1495" i="1"/>
  <c r="BH1495" i="1"/>
  <c r="BJ1495" i="1" s="1"/>
  <c r="BF1495" i="1"/>
  <c r="BG1495" i="1" s="1"/>
  <c r="BE1495" i="1"/>
  <c r="BR1494" i="1"/>
  <c r="BO1494" i="1"/>
  <c r="BN1494" i="1"/>
  <c r="BM1494" i="1"/>
  <c r="BL1494" i="1"/>
  <c r="BK1494" i="1"/>
  <c r="BH1494" i="1"/>
  <c r="BI1494" i="1" s="1"/>
  <c r="BF1494" i="1"/>
  <c r="BG1494" i="1" s="1"/>
  <c r="BE1494" i="1"/>
  <c r="BR1493" i="1"/>
  <c r="BO1493" i="1"/>
  <c r="BN1493" i="1"/>
  <c r="BM1493" i="1"/>
  <c r="BL1493" i="1"/>
  <c r="BK1493" i="1"/>
  <c r="BH1493" i="1"/>
  <c r="BF1493" i="1"/>
  <c r="BG1493" i="1" s="1"/>
  <c r="BE1493" i="1"/>
  <c r="BR1492" i="1"/>
  <c r="BO1492" i="1"/>
  <c r="BN1492" i="1"/>
  <c r="BM1492" i="1"/>
  <c r="BL1492" i="1"/>
  <c r="BK1492" i="1"/>
  <c r="BH1492" i="1"/>
  <c r="BI1492" i="1" s="1"/>
  <c r="BF1492" i="1"/>
  <c r="BG1492" i="1" s="1"/>
  <c r="BE1492" i="1"/>
  <c r="BR1491" i="1"/>
  <c r="BO1491" i="1"/>
  <c r="BN1491" i="1"/>
  <c r="BM1491" i="1"/>
  <c r="BL1491" i="1"/>
  <c r="BK1491" i="1"/>
  <c r="BH1491" i="1"/>
  <c r="BJ1491" i="1" s="1"/>
  <c r="BF1491" i="1"/>
  <c r="BG1491" i="1" s="1"/>
  <c r="BE1491" i="1"/>
  <c r="BR1490" i="1"/>
  <c r="BO1490" i="1"/>
  <c r="BN1490" i="1"/>
  <c r="BM1490" i="1"/>
  <c r="BL1490" i="1"/>
  <c r="BK1490" i="1"/>
  <c r="BH1490" i="1"/>
  <c r="BI1490" i="1" s="1"/>
  <c r="BF1490" i="1"/>
  <c r="BG1490" i="1" s="1"/>
  <c r="BE1490" i="1"/>
  <c r="BR1489" i="1"/>
  <c r="BO1489" i="1"/>
  <c r="BN1489" i="1"/>
  <c r="BM1489" i="1"/>
  <c r="BL1489" i="1"/>
  <c r="BK1489" i="1"/>
  <c r="BH1489" i="1"/>
  <c r="BJ1489" i="1" s="1"/>
  <c r="BF1489" i="1"/>
  <c r="BG1489" i="1" s="1"/>
  <c r="BE1489" i="1"/>
  <c r="BR1488" i="1"/>
  <c r="BO1488" i="1"/>
  <c r="BN1488" i="1"/>
  <c r="BM1488" i="1"/>
  <c r="BL1488" i="1"/>
  <c r="BK1488" i="1"/>
  <c r="BH1488" i="1"/>
  <c r="BI1488" i="1" s="1"/>
  <c r="BF1488" i="1"/>
  <c r="BG1488" i="1" s="1"/>
  <c r="BE1488" i="1"/>
  <c r="BR1487" i="1"/>
  <c r="BO1487" i="1"/>
  <c r="BN1487" i="1"/>
  <c r="BM1487" i="1"/>
  <c r="BL1487" i="1"/>
  <c r="BK1487" i="1"/>
  <c r="BH1487" i="1"/>
  <c r="BJ1487" i="1" s="1"/>
  <c r="BF1487" i="1"/>
  <c r="BG1487" i="1" s="1"/>
  <c r="BE1487" i="1"/>
  <c r="BR1486" i="1"/>
  <c r="BO1486" i="1"/>
  <c r="BN1486" i="1"/>
  <c r="BM1486" i="1"/>
  <c r="BL1486" i="1"/>
  <c r="BK1486" i="1"/>
  <c r="BH1486" i="1"/>
  <c r="BF1486" i="1"/>
  <c r="BG1486" i="1" s="1"/>
  <c r="BE1486" i="1"/>
  <c r="BR1485" i="1"/>
  <c r="BO1485" i="1"/>
  <c r="BN1485" i="1"/>
  <c r="BM1485" i="1"/>
  <c r="BL1485" i="1"/>
  <c r="BK1485" i="1"/>
  <c r="BH1485" i="1"/>
  <c r="BI1485" i="1" s="1"/>
  <c r="BF1485" i="1"/>
  <c r="BG1485" i="1" s="1"/>
  <c r="BE1485" i="1"/>
  <c r="BR1484" i="1"/>
  <c r="BO1484" i="1"/>
  <c r="BN1484" i="1"/>
  <c r="BM1484" i="1"/>
  <c r="BL1484" i="1"/>
  <c r="BK1484" i="1"/>
  <c r="BH1484" i="1"/>
  <c r="BI1484" i="1" s="1"/>
  <c r="BF1484" i="1"/>
  <c r="BG1484" i="1" s="1"/>
  <c r="BE1484" i="1"/>
  <c r="BR1483" i="1"/>
  <c r="BO1483" i="1"/>
  <c r="BN1483" i="1"/>
  <c r="BM1483" i="1"/>
  <c r="BL1483" i="1"/>
  <c r="BK1483" i="1"/>
  <c r="BH1483" i="1"/>
  <c r="BJ1483" i="1" s="1"/>
  <c r="BF1483" i="1"/>
  <c r="BG1483" i="1" s="1"/>
  <c r="BE1483" i="1"/>
  <c r="BR1482" i="1"/>
  <c r="BO1482" i="1"/>
  <c r="BN1482" i="1"/>
  <c r="BM1482" i="1"/>
  <c r="BL1482" i="1"/>
  <c r="BK1482" i="1"/>
  <c r="BH1482" i="1"/>
  <c r="BI1482" i="1" s="1"/>
  <c r="BF1482" i="1"/>
  <c r="BG1482" i="1" s="1"/>
  <c r="BE1482" i="1"/>
  <c r="BR1481" i="1"/>
  <c r="BO1481" i="1"/>
  <c r="BN1481" i="1"/>
  <c r="BM1481" i="1"/>
  <c r="BL1481" i="1"/>
  <c r="BK1481" i="1"/>
  <c r="BH1481" i="1"/>
  <c r="BI1481" i="1" s="1"/>
  <c r="BF1481" i="1"/>
  <c r="BG1481" i="1" s="1"/>
  <c r="BE1481" i="1"/>
  <c r="BR1480" i="1"/>
  <c r="BO1480" i="1"/>
  <c r="BN1480" i="1"/>
  <c r="BM1480" i="1"/>
  <c r="BL1480" i="1"/>
  <c r="BK1480" i="1"/>
  <c r="BH1480" i="1"/>
  <c r="BI1480" i="1" s="1"/>
  <c r="BF1480" i="1"/>
  <c r="BG1480" i="1" s="1"/>
  <c r="BE1480" i="1"/>
  <c r="BR1479" i="1"/>
  <c r="BO1479" i="1"/>
  <c r="BN1479" i="1"/>
  <c r="BM1479" i="1"/>
  <c r="BL1479" i="1"/>
  <c r="BK1479" i="1"/>
  <c r="BH1479" i="1"/>
  <c r="BJ1479" i="1" s="1"/>
  <c r="BF1479" i="1"/>
  <c r="BG1479" i="1" s="1"/>
  <c r="BE1479" i="1"/>
  <c r="BR1478" i="1"/>
  <c r="BO1478" i="1"/>
  <c r="BN1478" i="1"/>
  <c r="BM1478" i="1"/>
  <c r="BL1478" i="1"/>
  <c r="BK1478" i="1"/>
  <c r="BH1478" i="1"/>
  <c r="BI1478" i="1" s="1"/>
  <c r="BF1478" i="1"/>
  <c r="BG1478" i="1" s="1"/>
  <c r="BE1478" i="1"/>
  <c r="BR1477" i="1"/>
  <c r="BO1477" i="1"/>
  <c r="BN1477" i="1"/>
  <c r="BM1477" i="1"/>
  <c r="BL1477" i="1"/>
  <c r="BK1477" i="1"/>
  <c r="BH1477" i="1"/>
  <c r="BF1477" i="1"/>
  <c r="BG1477" i="1" s="1"/>
  <c r="BE1477" i="1"/>
  <c r="BR1476" i="1"/>
  <c r="BO1476" i="1"/>
  <c r="BN1476" i="1"/>
  <c r="BM1476" i="1"/>
  <c r="BL1476" i="1"/>
  <c r="BK1476" i="1"/>
  <c r="BH1476" i="1"/>
  <c r="BI1476" i="1" s="1"/>
  <c r="BF1476" i="1"/>
  <c r="BG1476" i="1" s="1"/>
  <c r="BE1476" i="1"/>
  <c r="BR1475" i="1"/>
  <c r="BO1475" i="1"/>
  <c r="BN1475" i="1"/>
  <c r="BM1475" i="1"/>
  <c r="BL1475" i="1"/>
  <c r="BK1475" i="1"/>
  <c r="BH1475" i="1"/>
  <c r="BJ1475" i="1" s="1"/>
  <c r="BF1475" i="1"/>
  <c r="BG1475" i="1" s="1"/>
  <c r="BE1475" i="1"/>
  <c r="BR1474" i="1"/>
  <c r="BO1474" i="1"/>
  <c r="BN1474" i="1"/>
  <c r="BM1474" i="1"/>
  <c r="BL1474" i="1"/>
  <c r="BK1474" i="1"/>
  <c r="BH1474" i="1"/>
  <c r="BI1474" i="1" s="1"/>
  <c r="BF1474" i="1"/>
  <c r="BG1474" i="1" s="1"/>
  <c r="BE1474" i="1"/>
  <c r="BR1473" i="1"/>
  <c r="BO1473" i="1"/>
  <c r="BN1473" i="1"/>
  <c r="BM1473" i="1"/>
  <c r="BL1473" i="1"/>
  <c r="BK1473" i="1"/>
  <c r="BH1473" i="1"/>
  <c r="BJ1473" i="1" s="1"/>
  <c r="BF1473" i="1"/>
  <c r="BG1473" i="1" s="1"/>
  <c r="BE1473" i="1"/>
  <c r="BR1472" i="1"/>
  <c r="BO1472" i="1"/>
  <c r="BN1472" i="1"/>
  <c r="BM1472" i="1"/>
  <c r="BL1472" i="1"/>
  <c r="BK1472" i="1"/>
  <c r="BH1472" i="1"/>
  <c r="BI1472" i="1" s="1"/>
  <c r="BF1472" i="1"/>
  <c r="BG1472" i="1" s="1"/>
  <c r="BE1472" i="1"/>
  <c r="BR1471" i="1"/>
  <c r="BO1471" i="1"/>
  <c r="BN1471" i="1"/>
  <c r="BM1471" i="1"/>
  <c r="BL1471" i="1"/>
  <c r="BK1471" i="1"/>
  <c r="BH1471" i="1"/>
  <c r="BJ1471" i="1" s="1"/>
  <c r="BF1471" i="1"/>
  <c r="BG1471" i="1" s="1"/>
  <c r="BE1471" i="1"/>
  <c r="BR1470" i="1"/>
  <c r="BO1470" i="1"/>
  <c r="BN1470" i="1"/>
  <c r="BM1470" i="1"/>
  <c r="BL1470" i="1"/>
  <c r="BK1470" i="1"/>
  <c r="BH1470" i="1"/>
  <c r="BF1470" i="1"/>
  <c r="BG1470" i="1" s="1"/>
  <c r="BE1470" i="1"/>
  <c r="BR1469" i="1"/>
  <c r="BO1469" i="1"/>
  <c r="BN1469" i="1"/>
  <c r="BM1469" i="1"/>
  <c r="BL1469" i="1"/>
  <c r="BK1469" i="1"/>
  <c r="BH1469" i="1"/>
  <c r="BI1469" i="1" s="1"/>
  <c r="BF1469" i="1"/>
  <c r="BG1469" i="1" s="1"/>
  <c r="BE1469" i="1"/>
  <c r="BR1468" i="1"/>
  <c r="BO1468" i="1"/>
  <c r="BN1468" i="1"/>
  <c r="BM1468" i="1"/>
  <c r="BL1468" i="1"/>
  <c r="BK1468" i="1"/>
  <c r="BH1468" i="1"/>
  <c r="BI1468" i="1" s="1"/>
  <c r="BF1468" i="1"/>
  <c r="BG1468" i="1" s="1"/>
  <c r="BE1468" i="1"/>
  <c r="BR1467" i="1"/>
  <c r="BO1467" i="1"/>
  <c r="BN1467" i="1"/>
  <c r="BM1467" i="1"/>
  <c r="BL1467" i="1"/>
  <c r="BK1467" i="1"/>
  <c r="BH1467" i="1"/>
  <c r="BJ1467" i="1" s="1"/>
  <c r="BF1467" i="1"/>
  <c r="BG1467" i="1" s="1"/>
  <c r="BE1467" i="1"/>
  <c r="BR1466" i="1"/>
  <c r="BO1466" i="1"/>
  <c r="BN1466" i="1"/>
  <c r="BM1466" i="1"/>
  <c r="BL1466" i="1"/>
  <c r="BK1466" i="1"/>
  <c r="BH1466" i="1"/>
  <c r="BI1466" i="1" s="1"/>
  <c r="BF1466" i="1"/>
  <c r="BG1466" i="1" s="1"/>
  <c r="BE1466" i="1"/>
  <c r="BR1465" i="1"/>
  <c r="BO1465" i="1"/>
  <c r="BN1465" i="1"/>
  <c r="BM1465" i="1"/>
  <c r="BL1465" i="1"/>
  <c r="BK1465" i="1"/>
  <c r="BH1465" i="1"/>
  <c r="BI1465" i="1" s="1"/>
  <c r="BF1465" i="1"/>
  <c r="BG1465" i="1" s="1"/>
  <c r="BE1465" i="1"/>
  <c r="BR1464" i="1"/>
  <c r="BO1464" i="1"/>
  <c r="BN1464" i="1"/>
  <c r="BM1464" i="1"/>
  <c r="BL1464" i="1"/>
  <c r="BK1464" i="1"/>
  <c r="BH1464" i="1"/>
  <c r="BI1464" i="1" s="1"/>
  <c r="BF1464" i="1"/>
  <c r="BG1464" i="1" s="1"/>
  <c r="BE1464" i="1"/>
  <c r="BR1463" i="1"/>
  <c r="BO1463" i="1"/>
  <c r="BN1463" i="1"/>
  <c r="BM1463" i="1"/>
  <c r="BL1463" i="1"/>
  <c r="BK1463" i="1"/>
  <c r="BH1463" i="1"/>
  <c r="BJ1463" i="1" s="1"/>
  <c r="BF1463" i="1"/>
  <c r="BG1463" i="1" s="1"/>
  <c r="BE1463" i="1"/>
  <c r="BR1462" i="1"/>
  <c r="BO1462" i="1"/>
  <c r="BN1462" i="1"/>
  <c r="BM1462" i="1"/>
  <c r="BL1462" i="1"/>
  <c r="BK1462" i="1"/>
  <c r="BH1462" i="1"/>
  <c r="BI1462" i="1" s="1"/>
  <c r="BF1462" i="1"/>
  <c r="BG1462" i="1" s="1"/>
  <c r="BE1462" i="1"/>
  <c r="BR1461" i="1"/>
  <c r="BO1461" i="1"/>
  <c r="BN1461" i="1"/>
  <c r="BM1461" i="1"/>
  <c r="BL1461" i="1"/>
  <c r="BK1461" i="1"/>
  <c r="BH1461" i="1"/>
  <c r="BF1461" i="1"/>
  <c r="BG1461" i="1" s="1"/>
  <c r="BE1461" i="1"/>
  <c r="BR1460" i="1"/>
  <c r="BO1460" i="1"/>
  <c r="BN1460" i="1"/>
  <c r="BM1460" i="1"/>
  <c r="BL1460" i="1"/>
  <c r="BK1460" i="1"/>
  <c r="BH1460" i="1"/>
  <c r="BI1460" i="1" s="1"/>
  <c r="BF1460" i="1"/>
  <c r="BG1460" i="1" s="1"/>
  <c r="BE1460" i="1"/>
  <c r="BR1459" i="1"/>
  <c r="BO1459" i="1"/>
  <c r="BN1459" i="1"/>
  <c r="BM1459" i="1"/>
  <c r="BL1459" i="1"/>
  <c r="BK1459" i="1"/>
  <c r="BH1459" i="1"/>
  <c r="BI1459" i="1" s="1"/>
  <c r="BF1459" i="1"/>
  <c r="BG1459" i="1" s="1"/>
  <c r="BE1459" i="1"/>
  <c r="BR1458" i="1"/>
  <c r="BO1458" i="1"/>
  <c r="BN1458" i="1"/>
  <c r="BM1458" i="1"/>
  <c r="BL1458" i="1"/>
  <c r="BK1458" i="1"/>
  <c r="BH1458" i="1"/>
  <c r="BI1458" i="1" s="1"/>
  <c r="BF1458" i="1"/>
  <c r="BG1458" i="1" s="1"/>
  <c r="BE1458" i="1"/>
  <c r="BR1457" i="1"/>
  <c r="BO1457" i="1"/>
  <c r="BN1457" i="1"/>
  <c r="BM1457" i="1"/>
  <c r="BL1457" i="1"/>
  <c r="BK1457" i="1"/>
  <c r="BH1457" i="1"/>
  <c r="BJ1457" i="1" s="1"/>
  <c r="BF1457" i="1"/>
  <c r="BG1457" i="1" s="1"/>
  <c r="BE1457" i="1"/>
  <c r="BR1456" i="1"/>
  <c r="BO1456" i="1"/>
  <c r="BN1456" i="1"/>
  <c r="BM1456" i="1"/>
  <c r="BL1456" i="1"/>
  <c r="BK1456" i="1"/>
  <c r="BH1456" i="1"/>
  <c r="BI1456" i="1" s="1"/>
  <c r="BF1456" i="1"/>
  <c r="BG1456" i="1" s="1"/>
  <c r="BE1456" i="1"/>
  <c r="BR1455" i="1"/>
  <c r="BO1455" i="1"/>
  <c r="BN1455" i="1"/>
  <c r="BM1455" i="1"/>
  <c r="BL1455" i="1"/>
  <c r="BK1455" i="1"/>
  <c r="BH1455" i="1"/>
  <c r="BJ1455" i="1" s="1"/>
  <c r="BF1455" i="1"/>
  <c r="BG1455" i="1" s="1"/>
  <c r="BE1455" i="1"/>
  <c r="BR1454" i="1"/>
  <c r="BO1454" i="1"/>
  <c r="BN1454" i="1"/>
  <c r="BM1454" i="1"/>
  <c r="BL1454" i="1"/>
  <c r="BK1454" i="1"/>
  <c r="BH1454" i="1"/>
  <c r="BF1454" i="1"/>
  <c r="BG1454" i="1" s="1"/>
  <c r="BE1454" i="1"/>
  <c r="BR1453" i="1"/>
  <c r="BO1453" i="1"/>
  <c r="BN1453" i="1"/>
  <c r="BM1453" i="1"/>
  <c r="BL1453" i="1"/>
  <c r="BK1453" i="1"/>
  <c r="BH1453" i="1"/>
  <c r="BI1453" i="1" s="1"/>
  <c r="BF1453" i="1"/>
  <c r="BG1453" i="1" s="1"/>
  <c r="BE1453" i="1"/>
  <c r="BR1452" i="1"/>
  <c r="BO1452" i="1"/>
  <c r="BN1452" i="1"/>
  <c r="BM1452" i="1"/>
  <c r="BL1452" i="1"/>
  <c r="BK1452" i="1"/>
  <c r="BH1452" i="1"/>
  <c r="BI1452" i="1" s="1"/>
  <c r="BF1452" i="1"/>
  <c r="BG1452" i="1" s="1"/>
  <c r="BE1452" i="1"/>
  <c r="BR1451" i="1"/>
  <c r="BO1451" i="1"/>
  <c r="BN1451" i="1"/>
  <c r="BM1451" i="1"/>
  <c r="BL1451" i="1"/>
  <c r="BK1451" i="1"/>
  <c r="BH1451" i="1"/>
  <c r="BJ1451" i="1" s="1"/>
  <c r="BF1451" i="1"/>
  <c r="BG1451" i="1" s="1"/>
  <c r="BE1451" i="1"/>
  <c r="BR1450" i="1"/>
  <c r="BO1450" i="1"/>
  <c r="BN1450" i="1"/>
  <c r="BM1450" i="1"/>
  <c r="BL1450" i="1"/>
  <c r="BK1450" i="1"/>
  <c r="BH1450" i="1"/>
  <c r="BI1450" i="1" s="1"/>
  <c r="BF1450" i="1"/>
  <c r="BG1450" i="1" s="1"/>
  <c r="BE1450" i="1"/>
  <c r="BR1449" i="1"/>
  <c r="BO1449" i="1"/>
  <c r="BN1449" i="1"/>
  <c r="BM1449" i="1"/>
  <c r="BL1449" i="1"/>
  <c r="BK1449" i="1"/>
  <c r="BH1449" i="1"/>
  <c r="BI1449" i="1" s="1"/>
  <c r="BF1449" i="1"/>
  <c r="BG1449" i="1" s="1"/>
  <c r="BE1449" i="1"/>
  <c r="BR1448" i="1"/>
  <c r="BO1448" i="1"/>
  <c r="BN1448" i="1"/>
  <c r="BM1448" i="1"/>
  <c r="BL1448" i="1"/>
  <c r="BK1448" i="1"/>
  <c r="BH1448" i="1"/>
  <c r="BI1448" i="1" s="1"/>
  <c r="BF1448" i="1"/>
  <c r="BG1448" i="1" s="1"/>
  <c r="BE1448" i="1"/>
  <c r="BR1447" i="1"/>
  <c r="BO1447" i="1"/>
  <c r="BN1447" i="1"/>
  <c r="BM1447" i="1"/>
  <c r="BL1447" i="1"/>
  <c r="BK1447" i="1"/>
  <c r="BH1447" i="1"/>
  <c r="BJ1447" i="1" s="1"/>
  <c r="BF1447" i="1"/>
  <c r="BG1447" i="1" s="1"/>
  <c r="BE1447" i="1"/>
  <c r="BR1446" i="1"/>
  <c r="BO1446" i="1"/>
  <c r="BN1446" i="1"/>
  <c r="BM1446" i="1"/>
  <c r="BL1446" i="1"/>
  <c r="BK1446" i="1"/>
  <c r="BH1446" i="1"/>
  <c r="BI1446" i="1" s="1"/>
  <c r="BF1446" i="1"/>
  <c r="BG1446" i="1" s="1"/>
  <c r="BE1446" i="1"/>
  <c r="BR1445" i="1"/>
  <c r="BO1445" i="1"/>
  <c r="BN1445" i="1"/>
  <c r="BM1445" i="1"/>
  <c r="BL1445" i="1"/>
  <c r="BK1445" i="1"/>
  <c r="BH1445" i="1"/>
  <c r="BF1445" i="1"/>
  <c r="BG1445" i="1" s="1"/>
  <c r="BE1445" i="1"/>
  <c r="BR1444" i="1"/>
  <c r="BO1444" i="1"/>
  <c r="BN1444" i="1"/>
  <c r="BM1444" i="1"/>
  <c r="BL1444" i="1"/>
  <c r="BK1444" i="1"/>
  <c r="BH1444" i="1"/>
  <c r="BI1444" i="1" s="1"/>
  <c r="BF1444" i="1"/>
  <c r="BG1444" i="1" s="1"/>
  <c r="BE1444" i="1"/>
  <c r="BR1443" i="1"/>
  <c r="BO1443" i="1"/>
  <c r="BN1443" i="1"/>
  <c r="BM1443" i="1"/>
  <c r="BL1443" i="1"/>
  <c r="BK1443" i="1"/>
  <c r="BH1443" i="1"/>
  <c r="BI1443" i="1" s="1"/>
  <c r="BF1443" i="1"/>
  <c r="BG1443" i="1" s="1"/>
  <c r="BE1443" i="1"/>
  <c r="BR1442" i="1"/>
  <c r="BO1442" i="1"/>
  <c r="BN1442" i="1"/>
  <c r="BM1442" i="1"/>
  <c r="BL1442" i="1"/>
  <c r="BK1442" i="1"/>
  <c r="BH1442" i="1"/>
  <c r="BI1442" i="1" s="1"/>
  <c r="BF1442" i="1"/>
  <c r="BG1442" i="1" s="1"/>
  <c r="BE1442" i="1"/>
  <c r="BR1441" i="1"/>
  <c r="BO1441" i="1"/>
  <c r="BN1441" i="1"/>
  <c r="BM1441" i="1"/>
  <c r="BL1441" i="1"/>
  <c r="BK1441" i="1"/>
  <c r="BH1441" i="1"/>
  <c r="BJ1441" i="1" s="1"/>
  <c r="BF1441" i="1"/>
  <c r="BG1441" i="1" s="1"/>
  <c r="BE1441" i="1"/>
  <c r="BR1440" i="1"/>
  <c r="BO1440" i="1"/>
  <c r="BN1440" i="1"/>
  <c r="BM1440" i="1"/>
  <c r="BL1440" i="1"/>
  <c r="BK1440" i="1"/>
  <c r="BH1440" i="1"/>
  <c r="BI1440" i="1" s="1"/>
  <c r="BF1440" i="1"/>
  <c r="BG1440" i="1" s="1"/>
  <c r="BE1440" i="1"/>
  <c r="BR1439" i="1"/>
  <c r="BO1439" i="1"/>
  <c r="BN1439" i="1"/>
  <c r="BM1439" i="1"/>
  <c r="BL1439" i="1"/>
  <c r="BK1439" i="1"/>
  <c r="BH1439" i="1"/>
  <c r="BJ1439" i="1" s="1"/>
  <c r="BF1439" i="1"/>
  <c r="BG1439" i="1" s="1"/>
  <c r="BE1439" i="1"/>
  <c r="BR1438" i="1"/>
  <c r="BO1438" i="1"/>
  <c r="BN1438" i="1"/>
  <c r="BM1438" i="1"/>
  <c r="BL1438" i="1"/>
  <c r="BK1438" i="1"/>
  <c r="BH1438" i="1"/>
  <c r="BF1438" i="1"/>
  <c r="BG1438" i="1" s="1"/>
  <c r="BE1438" i="1"/>
  <c r="BR1437" i="1"/>
  <c r="BO1437" i="1"/>
  <c r="BN1437" i="1"/>
  <c r="BM1437" i="1"/>
  <c r="BL1437" i="1"/>
  <c r="BK1437" i="1"/>
  <c r="BH1437" i="1"/>
  <c r="BI1437" i="1" s="1"/>
  <c r="BF1437" i="1"/>
  <c r="BG1437" i="1" s="1"/>
  <c r="BE1437" i="1"/>
  <c r="BR1436" i="1"/>
  <c r="BO1436" i="1"/>
  <c r="BN1436" i="1"/>
  <c r="BM1436" i="1"/>
  <c r="BL1436" i="1"/>
  <c r="BK1436" i="1"/>
  <c r="BH1436" i="1"/>
  <c r="BI1436" i="1" s="1"/>
  <c r="BF1436" i="1"/>
  <c r="BG1436" i="1" s="1"/>
  <c r="BE1436" i="1"/>
  <c r="BR1435" i="1"/>
  <c r="BO1435" i="1"/>
  <c r="BN1435" i="1"/>
  <c r="BM1435" i="1"/>
  <c r="BL1435" i="1"/>
  <c r="BK1435" i="1"/>
  <c r="BH1435" i="1"/>
  <c r="BJ1435" i="1" s="1"/>
  <c r="BF1435" i="1"/>
  <c r="BG1435" i="1" s="1"/>
  <c r="BE1435" i="1"/>
  <c r="BR1434" i="1"/>
  <c r="BO1434" i="1"/>
  <c r="BN1434" i="1"/>
  <c r="BM1434" i="1"/>
  <c r="BL1434" i="1"/>
  <c r="BK1434" i="1"/>
  <c r="BH1434" i="1"/>
  <c r="BI1434" i="1" s="1"/>
  <c r="BF1434" i="1"/>
  <c r="BG1434" i="1" s="1"/>
  <c r="BE1434" i="1"/>
  <c r="BR1433" i="1"/>
  <c r="BO1433" i="1"/>
  <c r="BN1433" i="1"/>
  <c r="BM1433" i="1"/>
  <c r="BL1433" i="1"/>
  <c r="BK1433" i="1"/>
  <c r="BH1433" i="1"/>
  <c r="BI1433" i="1" s="1"/>
  <c r="BF1433" i="1"/>
  <c r="BG1433" i="1" s="1"/>
  <c r="BE1433" i="1"/>
  <c r="BR1432" i="1"/>
  <c r="BO1432" i="1"/>
  <c r="BN1432" i="1"/>
  <c r="BM1432" i="1"/>
  <c r="BL1432" i="1"/>
  <c r="BK1432" i="1"/>
  <c r="BH1432" i="1"/>
  <c r="BI1432" i="1" s="1"/>
  <c r="BF1432" i="1"/>
  <c r="BG1432" i="1" s="1"/>
  <c r="BE1432" i="1"/>
  <c r="BR1431" i="1"/>
  <c r="BO1431" i="1"/>
  <c r="BN1431" i="1"/>
  <c r="BM1431" i="1"/>
  <c r="BL1431" i="1"/>
  <c r="BK1431" i="1"/>
  <c r="BH1431" i="1"/>
  <c r="BJ1431" i="1" s="1"/>
  <c r="BF1431" i="1"/>
  <c r="BG1431" i="1" s="1"/>
  <c r="BE1431" i="1"/>
  <c r="BR1430" i="1"/>
  <c r="BO1430" i="1"/>
  <c r="BN1430" i="1"/>
  <c r="BM1430" i="1"/>
  <c r="BL1430" i="1"/>
  <c r="BK1430" i="1"/>
  <c r="BH1430" i="1"/>
  <c r="BI1430" i="1" s="1"/>
  <c r="BF1430" i="1"/>
  <c r="BG1430" i="1" s="1"/>
  <c r="BE1430" i="1"/>
  <c r="BR1429" i="1"/>
  <c r="BO1429" i="1"/>
  <c r="BN1429" i="1"/>
  <c r="BM1429" i="1"/>
  <c r="BL1429" i="1"/>
  <c r="BK1429" i="1"/>
  <c r="BH1429" i="1"/>
  <c r="BF1429" i="1"/>
  <c r="BG1429" i="1" s="1"/>
  <c r="BE1429" i="1"/>
  <c r="BR1428" i="1"/>
  <c r="BO1428" i="1"/>
  <c r="BN1428" i="1"/>
  <c r="BM1428" i="1"/>
  <c r="BL1428" i="1"/>
  <c r="BK1428" i="1"/>
  <c r="BH1428" i="1"/>
  <c r="BI1428" i="1" s="1"/>
  <c r="BF1428" i="1"/>
  <c r="BG1428" i="1" s="1"/>
  <c r="BE1428" i="1"/>
  <c r="BR1427" i="1"/>
  <c r="BO1427" i="1"/>
  <c r="BN1427" i="1"/>
  <c r="BM1427" i="1"/>
  <c r="BL1427" i="1"/>
  <c r="BK1427" i="1"/>
  <c r="BH1427" i="1"/>
  <c r="BI1427" i="1" s="1"/>
  <c r="BF1427" i="1"/>
  <c r="BG1427" i="1" s="1"/>
  <c r="BE1427" i="1"/>
  <c r="BR1426" i="1"/>
  <c r="BO1426" i="1"/>
  <c r="BN1426" i="1"/>
  <c r="BM1426" i="1"/>
  <c r="BL1426" i="1"/>
  <c r="BK1426" i="1"/>
  <c r="BH1426" i="1"/>
  <c r="BI1426" i="1" s="1"/>
  <c r="BF1426" i="1"/>
  <c r="BG1426" i="1" s="1"/>
  <c r="BE1426" i="1"/>
  <c r="BR1425" i="1"/>
  <c r="BO1425" i="1"/>
  <c r="BN1425" i="1"/>
  <c r="BM1425" i="1"/>
  <c r="BL1425" i="1"/>
  <c r="BK1425" i="1"/>
  <c r="BH1425" i="1"/>
  <c r="BJ1425" i="1" s="1"/>
  <c r="BF1425" i="1"/>
  <c r="BG1425" i="1" s="1"/>
  <c r="BE1425" i="1"/>
  <c r="BR1424" i="1"/>
  <c r="BO1424" i="1"/>
  <c r="BN1424" i="1"/>
  <c r="BM1424" i="1"/>
  <c r="BL1424" i="1"/>
  <c r="BK1424" i="1"/>
  <c r="BH1424" i="1"/>
  <c r="BI1424" i="1" s="1"/>
  <c r="BF1424" i="1"/>
  <c r="BG1424" i="1" s="1"/>
  <c r="BE1424" i="1"/>
  <c r="BR1423" i="1"/>
  <c r="BO1423" i="1"/>
  <c r="BN1423" i="1"/>
  <c r="BM1423" i="1"/>
  <c r="BL1423" i="1"/>
  <c r="BK1423" i="1"/>
  <c r="BH1423" i="1"/>
  <c r="BJ1423" i="1" s="1"/>
  <c r="BF1423" i="1"/>
  <c r="BG1423" i="1" s="1"/>
  <c r="BE1423" i="1"/>
  <c r="BR1422" i="1"/>
  <c r="BO1422" i="1"/>
  <c r="BN1422" i="1"/>
  <c r="BM1422" i="1"/>
  <c r="BL1422" i="1"/>
  <c r="BK1422" i="1"/>
  <c r="BH1422" i="1"/>
  <c r="BF1422" i="1"/>
  <c r="BG1422" i="1" s="1"/>
  <c r="BE1422" i="1"/>
  <c r="BR1421" i="1"/>
  <c r="BO1421" i="1"/>
  <c r="BN1421" i="1"/>
  <c r="BM1421" i="1"/>
  <c r="BL1421" i="1"/>
  <c r="BK1421" i="1"/>
  <c r="BH1421" i="1"/>
  <c r="BI1421" i="1" s="1"/>
  <c r="BF1421" i="1"/>
  <c r="BG1421" i="1" s="1"/>
  <c r="BE1421" i="1"/>
  <c r="BR1420" i="1"/>
  <c r="BO1420" i="1"/>
  <c r="BN1420" i="1"/>
  <c r="BM1420" i="1"/>
  <c r="BL1420" i="1"/>
  <c r="BK1420" i="1"/>
  <c r="BH1420" i="1"/>
  <c r="BI1420" i="1" s="1"/>
  <c r="BF1420" i="1"/>
  <c r="BG1420" i="1" s="1"/>
  <c r="BE1420" i="1"/>
  <c r="BR1419" i="1"/>
  <c r="BO1419" i="1"/>
  <c r="BN1419" i="1"/>
  <c r="BM1419" i="1"/>
  <c r="BL1419" i="1"/>
  <c r="BK1419" i="1"/>
  <c r="BH1419" i="1"/>
  <c r="BI1419" i="1" s="1"/>
  <c r="BF1419" i="1"/>
  <c r="BG1419" i="1" s="1"/>
  <c r="BE1419" i="1"/>
  <c r="BR1418" i="1"/>
  <c r="BO1418" i="1"/>
  <c r="BN1418" i="1"/>
  <c r="BM1418" i="1"/>
  <c r="BL1418" i="1"/>
  <c r="BK1418" i="1"/>
  <c r="BH1418" i="1"/>
  <c r="BF1418" i="1"/>
  <c r="BG1418" i="1" s="1"/>
  <c r="BE1418" i="1"/>
  <c r="BR1417" i="1"/>
  <c r="BO1417" i="1"/>
  <c r="BN1417" i="1"/>
  <c r="BM1417" i="1"/>
  <c r="BL1417" i="1"/>
  <c r="BK1417" i="1"/>
  <c r="BH1417" i="1"/>
  <c r="BI1417" i="1" s="1"/>
  <c r="BF1417" i="1"/>
  <c r="BG1417" i="1" s="1"/>
  <c r="BE1417" i="1"/>
  <c r="BR1416" i="1"/>
  <c r="BO1416" i="1"/>
  <c r="BN1416" i="1"/>
  <c r="BM1416" i="1"/>
  <c r="BL1416" i="1"/>
  <c r="BK1416" i="1"/>
  <c r="BH1416" i="1"/>
  <c r="BI1416" i="1" s="1"/>
  <c r="BF1416" i="1"/>
  <c r="BG1416" i="1" s="1"/>
  <c r="BE1416" i="1"/>
  <c r="BR1415" i="1"/>
  <c r="BO1415" i="1"/>
  <c r="BN1415" i="1"/>
  <c r="BM1415" i="1"/>
  <c r="BL1415" i="1"/>
  <c r="BK1415" i="1"/>
  <c r="BH1415" i="1"/>
  <c r="BJ1415" i="1" s="1"/>
  <c r="BF1415" i="1"/>
  <c r="BG1415" i="1" s="1"/>
  <c r="BE1415" i="1"/>
  <c r="BR1414" i="1"/>
  <c r="BO1414" i="1"/>
  <c r="BN1414" i="1"/>
  <c r="BM1414" i="1"/>
  <c r="BL1414" i="1"/>
  <c r="BK1414" i="1"/>
  <c r="BH1414" i="1"/>
  <c r="BI1414" i="1" s="1"/>
  <c r="BF1414" i="1"/>
  <c r="BG1414" i="1" s="1"/>
  <c r="BE1414" i="1"/>
  <c r="BR1413" i="1"/>
  <c r="BO1413" i="1"/>
  <c r="BN1413" i="1"/>
  <c r="BM1413" i="1"/>
  <c r="BL1413" i="1"/>
  <c r="BK1413" i="1"/>
  <c r="BH1413" i="1"/>
  <c r="BI1413" i="1" s="1"/>
  <c r="BF1413" i="1"/>
  <c r="BG1413" i="1" s="1"/>
  <c r="BE1413" i="1"/>
  <c r="BR1412" i="1"/>
  <c r="BO1412" i="1"/>
  <c r="BN1412" i="1"/>
  <c r="BM1412" i="1"/>
  <c r="BL1412" i="1"/>
  <c r="BK1412" i="1"/>
  <c r="BH1412" i="1"/>
  <c r="BI1412" i="1" s="1"/>
  <c r="BF1412" i="1"/>
  <c r="BG1412" i="1" s="1"/>
  <c r="BE1412" i="1"/>
  <c r="BR1411" i="1"/>
  <c r="BO1411" i="1"/>
  <c r="BN1411" i="1"/>
  <c r="BM1411" i="1"/>
  <c r="BL1411" i="1"/>
  <c r="BK1411" i="1"/>
  <c r="BH1411" i="1"/>
  <c r="BI1411" i="1" s="1"/>
  <c r="BF1411" i="1"/>
  <c r="BG1411" i="1" s="1"/>
  <c r="BE1411" i="1"/>
  <c r="BR1410" i="1"/>
  <c r="BO1410" i="1"/>
  <c r="BN1410" i="1"/>
  <c r="BM1410" i="1"/>
  <c r="BL1410" i="1"/>
  <c r="BK1410" i="1"/>
  <c r="BH1410" i="1"/>
  <c r="BI1410" i="1" s="1"/>
  <c r="BF1410" i="1"/>
  <c r="BG1410" i="1" s="1"/>
  <c r="BE1410" i="1"/>
  <c r="BR1409" i="1"/>
  <c r="BO1409" i="1"/>
  <c r="BN1409" i="1"/>
  <c r="BM1409" i="1"/>
  <c r="BL1409" i="1"/>
  <c r="BK1409" i="1"/>
  <c r="BH1409" i="1"/>
  <c r="BF1409" i="1"/>
  <c r="BG1409" i="1" s="1"/>
  <c r="BE1409" i="1"/>
  <c r="BR1408" i="1"/>
  <c r="BO1408" i="1"/>
  <c r="BN1408" i="1"/>
  <c r="BM1408" i="1"/>
  <c r="BL1408" i="1"/>
  <c r="BK1408" i="1"/>
  <c r="BH1408" i="1"/>
  <c r="BI1408" i="1" s="1"/>
  <c r="BF1408" i="1"/>
  <c r="BG1408" i="1" s="1"/>
  <c r="BE1408" i="1"/>
  <c r="BR1407" i="1"/>
  <c r="BO1407" i="1"/>
  <c r="BN1407" i="1"/>
  <c r="BM1407" i="1"/>
  <c r="BL1407" i="1"/>
  <c r="BK1407" i="1"/>
  <c r="BH1407" i="1"/>
  <c r="BJ1407" i="1" s="1"/>
  <c r="BF1407" i="1"/>
  <c r="BG1407" i="1" s="1"/>
  <c r="BE1407" i="1"/>
  <c r="BR1406" i="1"/>
  <c r="BO1406" i="1"/>
  <c r="BN1406" i="1"/>
  <c r="BM1406" i="1"/>
  <c r="BL1406" i="1"/>
  <c r="BK1406" i="1"/>
  <c r="BH1406" i="1"/>
  <c r="BF1406" i="1"/>
  <c r="BG1406" i="1" s="1"/>
  <c r="BE1406" i="1"/>
  <c r="BR1405" i="1"/>
  <c r="BO1405" i="1"/>
  <c r="BN1405" i="1"/>
  <c r="BM1405" i="1"/>
  <c r="BL1405" i="1"/>
  <c r="BK1405" i="1"/>
  <c r="BH1405" i="1"/>
  <c r="BI1405" i="1" s="1"/>
  <c r="BF1405" i="1"/>
  <c r="BG1405" i="1" s="1"/>
  <c r="BE1405" i="1"/>
  <c r="BR1404" i="1"/>
  <c r="BO1404" i="1"/>
  <c r="BN1404" i="1"/>
  <c r="BM1404" i="1"/>
  <c r="BL1404" i="1"/>
  <c r="BK1404" i="1"/>
  <c r="BH1404" i="1"/>
  <c r="BI1404" i="1" s="1"/>
  <c r="BF1404" i="1"/>
  <c r="BG1404" i="1" s="1"/>
  <c r="BE1404" i="1"/>
  <c r="BR1403" i="1"/>
  <c r="BO1403" i="1"/>
  <c r="BN1403" i="1"/>
  <c r="BM1403" i="1"/>
  <c r="BL1403" i="1"/>
  <c r="BK1403" i="1"/>
  <c r="BH1403" i="1"/>
  <c r="BJ1403" i="1" s="1"/>
  <c r="BF1403" i="1"/>
  <c r="BG1403" i="1" s="1"/>
  <c r="BE1403" i="1"/>
  <c r="BR1402" i="1"/>
  <c r="BO1402" i="1"/>
  <c r="BN1402" i="1"/>
  <c r="BM1402" i="1"/>
  <c r="BL1402" i="1"/>
  <c r="BK1402" i="1"/>
  <c r="BH1402" i="1"/>
  <c r="BF1402" i="1"/>
  <c r="BG1402" i="1" s="1"/>
  <c r="BE1402" i="1"/>
  <c r="BR1401" i="1"/>
  <c r="BO1401" i="1"/>
  <c r="BN1401" i="1"/>
  <c r="BM1401" i="1"/>
  <c r="BL1401" i="1"/>
  <c r="BK1401" i="1"/>
  <c r="BH1401" i="1"/>
  <c r="BI1401" i="1" s="1"/>
  <c r="BF1401" i="1"/>
  <c r="BG1401" i="1" s="1"/>
  <c r="BE1401" i="1"/>
  <c r="BR1400" i="1"/>
  <c r="BO1400" i="1"/>
  <c r="BN1400" i="1"/>
  <c r="BM1400" i="1"/>
  <c r="BL1400" i="1"/>
  <c r="BK1400" i="1"/>
  <c r="BH1400" i="1"/>
  <c r="BI1400" i="1" s="1"/>
  <c r="BF1400" i="1"/>
  <c r="BG1400" i="1" s="1"/>
  <c r="BE1400" i="1"/>
  <c r="BR1399" i="1"/>
  <c r="BO1399" i="1"/>
  <c r="BN1399" i="1"/>
  <c r="BM1399" i="1"/>
  <c r="BL1399" i="1"/>
  <c r="BK1399" i="1"/>
  <c r="BH1399" i="1"/>
  <c r="BJ1399" i="1" s="1"/>
  <c r="BF1399" i="1"/>
  <c r="BG1399" i="1" s="1"/>
  <c r="BE1399" i="1"/>
  <c r="BR1398" i="1"/>
  <c r="BO1398" i="1"/>
  <c r="BN1398" i="1"/>
  <c r="BM1398" i="1"/>
  <c r="BL1398" i="1"/>
  <c r="BK1398" i="1"/>
  <c r="BH1398" i="1"/>
  <c r="BI1398" i="1" s="1"/>
  <c r="BF1398" i="1"/>
  <c r="BG1398" i="1" s="1"/>
  <c r="BE1398" i="1"/>
  <c r="BR1397" i="1"/>
  <c r="BO1397" i="1"/>
  <c r="BN1397" i="1"/>
  <c r="BM1397" i="1"/>
  <c r="BL1397" i="1"/>
  <c r="BK1397" i="1"/>
  <c r="BH1397" i="1"/>
  <c r="BI1397" i="1" s="1"/>
  <c r="BF1397" i="1"/>
  <c r="BG1397" i="1" s="1"/>
  <c r="BE1397" i="1"/>
  <c r="BR1396" i="1"/>
  <c r="BO1396" i="1"/>
  <c r="BN1396" i="1"/>
  <c r="BM1396" i="1"/>
  <c r="BL1396" i="1"/>
  <c r="BK1396" i="1"/>
  <c r="BH1396" i="1"/>
  <c r="BF1396" i="1"/>
  <c r="BG1396" i="1" s="1"/>
  <c r="BE1396" i="1"/>
  <c r="BR1395" i="1"/>
  <c r="BO1395" i="1"/>
  <c r="BN1395" i="1"/>
  <c r="BM1395" i="1"/>
  <c r="BL1395" i="1"/>
  <c r="BK1395" i="1"/>
  <c r="BH1395" i="1"/>
  <c r="BJ1395" i="1" s="1"/>
  <c r="BF1395" i="1"/>
  <c r="BG1395" i="1" s="1"/>
  <c r="BE1395" i="1"/>
  <c r="BR1394" i="1"/>
  <c r="BO1394" i="1"/>
  <c r="BN1394" i="1"/>
  <c r="BM1394" i="1"/>
  <c r="BL1394" i="1"/>
  <c r="BK1394" i="1"/>
  <c r="BH1394" i="1"/>
  <c r="BI1394" i="1" s="1"/>
  <c r="BF1394" i="1"/>
  <c r="BG1394" i="1" s="1"/>
  <c r="BE1394" i="1"/>
  <c r="BR1393" i="1"/>
  <c r="BO1393" i="1"/>
  <c r="BN1393" i="1"/>
  <c r="BM1393" i="1"/>
  <c r="BL1393" i="1"/>
  <c r="BK1393" i="1"/>
  <c r="BH1393" i="1"/>
  <c r="BF1393" i="1"/>
  <c r="BG1393" i="1" s="1"/>
  <c r="BE1393" i="1"/>
  <c r="BR1392" i="1"/>
  <c r="BO1392" i="1"/>
  <c r="BN1392" i="1"/>
  <c r="BM1392" i="1"/>
  <c r="BL1392" i="1"/>
  <c r="BK1392" i="1"/>
  <c r="BH1392" i="1"/>
  <c r="BF1392" i="1"/>
  <c r="BG1392" i="1" s="1"/>
  <c r="BE1392" i="1"/>
  <c r="BR1391" i="1"/>
  <c r="BO1391" i="1"/>
  <c r="BN1391" i="1"/>
  <c r="BM1391" i="1"/>
  <c r="BL1391" i="1"/>
  <c r="BK1391" i="1"/>
  <c r="BH1391" i="1"/>
  <c r="BJ1391" i="1" s="1"/>
  <c r="BF1391" i="1"/>
  <c r="BG1391" i="1" s="1"/>
  <c r="BE1391" i="1"/>
  <c r="BR1390" i="1"/>
  <c r="BO1390" i="1"/>
  <c r="BN1390" i="1"/>
  <c r="BM1390" i="1"/>
  <c r="BL1390" i="1"/>
  <c r="BK1390" i="1"/>
  <c r="BH1390" i="1"/>
  <c r="BF1390" i="1"/>
  <c r="BG1390" i="1" s="1"/>
  <c r="BE1390" i="1"/>
  <c r="BR1389" i="1"/>
  <c r="BO1389" i="1"/>
  <c r="BN1389" i="1"/>
  <c r="BM1389" i="1"/>
  <c r="BL1389" i="1"/>
  <c r="BK1389" i="1"/>
  <c r="BH1389" i="1"/>
  <c r="BI1389" i="1" s="1"/>
  <c r="BF1389" i="1"/>
  <c r="BG1389" i="1" s="1"/>
  <c r="BE1389" i="1"/>
  <c r="BR1388" i="1"/>
  <c r="BO1388" i="1"/>
  <c r="BN1388" i="1"/>
  <c r="BM1388" i="1"/>
  <c r="BL1388" i="1"/>
  <c r="BK1388" i="1"/>
  <c r="BH1388" i="1"/>
  <c r="BF1388" i="1"/>
  <c r="BG1388" i="1" s="1"/>
  <c r="BE1388" i="1"/>
  <c r="BR1387" i="1"/>
  <c r="BO1387" i="1"/>
  <c r="BN1387" i="1"/>
  <c r="BM1387" i="1"/>
  <c r="BL1387" i="1"/>
  <c r="BK1387" i="1"/>
  <c r="BH1387" i="1"/>
  <c r="BI1387" i="1" s="1"/>
  <c r="BF1387" i="1"/>
  <c r="BG1387" i="1" s="1"/>
  <c r="BE1387" i="1"/>
  <c r="BR1386" i="1"/>
  <c r="BO1386" i="1"/>
  <c r="BN1386" i="1"/>
  <c r="BM1386" i="1"/>
  <c r="BL1386" i="1"/>
  <c r="BK1386" i="1"/>
  <c r="BH1386" i="1"/>
  <c r="BF1386" i="1"/>
  <c r="BG1386" i="1" s="1"/>
  <c r="BE1386" i="1"/>
  <c r="BR1385" i="1"/>
  <c r="BO1385" i="1"/>
  <c r="BN1385" i="1"/>
  <c r="BM1385" i="1"/>
  <c r="BL1385" i="1"/>
  <c r="BK1385" i="1"/>
  <c r="BH1385" i="1"/>
  <c r="BI1385" i="1" s="1"/>
  <c r="BF1385" i="1"/>
  <c r="BG1385" i="1" s="1"/>
  <c r="BE1385" i="1"/>
  <c r="BR1384" i="1"/>
  <c r="BO1384" i="1"/>
  <c r="BN1384" i="1"/>
  <c r="BM1384" i="1"/>
  <c r="BL1384" i="1"/>
  <c r="BK1384" i="1"/>
  <c r="BH1384" i="1"/>
  <c r="BI1384" i="1" s="1"/>
  <c r="BF1384" i="1"/>
  <c r="BG1384" i="1" s="1"/>
  <c r="BE1384" i="1"/>
  <c r="BR1383" i="1"/>
  <c r="BO1383" i="1"/>
  <c r="BN1383" i="1"/>
  <c r="BM1383" i="1"/>
  <c r="BL1383" i="1"/>
  <c r="BK1383" i="1"/>
  <c r="BH1383" i="1"/>
  <c r="BJ1383" i="1" s="1"/>
  <c r="BF1383" i="1"/>
  <c r="BG1383" i="1" s="1"/>
  <c r="BE1383" i="1"/>
  <c r="BR1382" i="1"/>
  <c r="BO1382" i="1"/>
  <c r="BN1382" i="1"/>
  <c r="BM1382" i="1"/>
  <c r="BL1382" i="1"/>
  <c r="BK1382" i="1"/>
  <c r="BH1382" i="1"/>
  <c r="BI1382" i="1" s="1"/>
  <c r="BF1382" i="1"/>
  <c r="BG1382" i="1" s="1"/>
  <c r="BE1382" i="1"/>
  <c r="BR1381" i="1"/>
  <c r="BO1381" i="1"/>
  <c r="BN1381" i="1"/>
  <c r="BM1381" i="1"/>
  <c r="BL1381" i="1"/>
  <c r="BK1381" i="1"/>
  <c r="BH1381" i="1"/>
  <c r="BI1381" i="1" s="1"/>
  <c r="BF1381" i="1"/>
  <c r="BG1381" i="1" s="1"/>
  <c r="BE1381" i="1"/>
  <c r="BR1380" i="1"/>
  <c r="BO1380" i="1"/>
  <c r="BN1380" i="1"/>
  <c r="BM1380" i="1"/>
  <c r="BL1380" i="1"/>
  <c r="BK1380" i="1"/>
  <c r="BH1380" i="1"/>
  <c r="BI1380" i="1" s="1"/>
  <c r="BF1380" i="1"/>
  <c r="BG1380" i="1" s="1"/>
  <c r="BE1380" i="1"/>
  <c r="BR1379" i="1"/>
  <c r="BO1379" i="1"/>
  <c r="BN1379" i="1"/>
  <c r="BM1379" i="1"/>
  <c r="BL1379" i="1"/>
  <c r="BK1379" i="1"/>
  <c r="BH1379" i="1"/>
  <c r="BI1379" i="1" s="1"/>
  <c r="BF1379" i="1"/>
  <c r="BG1379" i="1" s="1"/>
  <c r="BE1379" i="1"/>
  <c r="BR1378" i="1"/>
  <c r="BO1378" i="1"/>
  <c r="BN1378" i="1"/>
  <c r="BM1378" i="1"/>
  <c r="BL1378" i="1"/>
  <c r="BK1378" i="1"/>
  <c r="BH1378" i="1"/>
  <c r="BF1378" i="1"/>
  <c r="BG1378" i="1" s="1"/>
  <c r="BE1378" i="1"/>
  <c r="BR1377" i="1"/>
  <c r="BO1377" i="1"/>
  <c r="BN1377" i="1"/>
  <c r="BM1377" i="1"/>
  <c r="BL1377" i="1"/>
  <c r="BK1377" i="1"/>
  <c r="BH1377" i="1"/>
  <c r="BF1377" i="1"/>
  <c r="BG1377" i="1" s="1"/>
  <c r="BE1377" i="1"/>
  <c r="BR1376" i="1"/>
  <c r="BO1376" i="1"/>
  <c r="BN1376" i="1"/>
  <c r="BM1376" i="1"/>
  <c r="BL1376" i="1"/>
  <c r="BK1376" i="1"/>
  <c r="BH1376" i="1"/>
  <c r="BI1376" i="1" s="1"/>
  <c r="BF1376" i="1"/>
  <c r="BG1376" i="1" s="1"/>
  <c r="BE1376" i="1"/>
  <c r="BR1375" i="1"/>
  <c r="BO1375" i="1"/>
  <c r="BN1375" i="1"/>
  <c r="BM1375" i="1"/>
  <c r="BL1375" i="1"/>
  <c r="BK1375" i="1"/>
  <c r="BH1375" i="1"/>
  <c r="BJ1375" i="1" s="1"/>
  <c r="BF1375" i="1"/>
  <c r="BG1375" i="1" s="1"/>
  <c r="BE1375" i="1"/>
  <c r="BR1374" i="1"/>
  <c r="BO1374" i="1"/>
  <c r="BN1374" i="1"/>
  <c r="BM1374" i="1"/>
  <c r="BL1374" i="1"/>
  <c r="BK1374" i="1"/>
  <c r="BH1374" i="1"/>
  <c r="BF1374" i="1"/>
  <c r="BG1374" i="1" s="1"/>
  <c r="BE1374" i="1"/>
  <c r="BR1373" i="1"/>
  <c r="BO1373" i="1"/>
  <c r="BN1373" i="1"/>
  <c r="BM1373" i="1"/>
  <c r="BL1373" i="1"/>
  <c r="BK1373" i="1"/>
  <c r="BH1373" i="1"/>
  <c r="BI1373" i="1" s="1"/>
  <c r="BF1373" i="1"/>
  <c r="BG1373" i="1" s="1"/>
  <c r="BE1373" i="1"/>
  <c r="BR1372" i="1"/>
  <c r="BO1372" i="1"/>
  <c r="BN1372" i="1"/>
  <c r="BM1372" i="1"/>
  <c r="BL1372" i="1"/>
  <c r="BK1372" i="1"/>
  <c r="BH1372" i="1"/>
  <c r="BI1372" i="1" s="1"/>
  <c r="BF1372" i="1"/>
  <c r="BG1372" i="1" s="1"/>
  <c r="BE1372" i="1"/>
  <c r="BR1371" i="1"/>
  <c r="BO1371" i="1"/>
  <c r="BN1371" i="1"/>
  <c r="BM1371" i="1"/>
  <c r="BL1371" i="1"/>
  <c r="BK1371" i="1"/>
  <c r="BH1371" i="1"/>
  <c r="BI1371" i="1" s="1"/>
  <c r="BF1371" i="1"/>
  <c r="BG1371" i="1" s="1"/>
  <c r="BE1371" i="1"/>
  <c r="BR1370" i="1"/>
  <c r="BO1370" i="1"/>
  <c r="BN1370" i="1"/>
  <c r="BM1370" i="1"/>
  <c r="BL1370" i="1"/>
  <c r="BK1370" i="1"/>
  <c r="BH1370" i="1"/>
  <c r="BF1370" i="1"/>
  <c r="BG1370" i="1" s="1"/>
  <c r="BE1370" i="1"/>
  <c r="BR1369" i="1"/>
  <c r="BO1369" i="1"/>
  <c r="BN1369" i="1"/>
  <c r="BM1369" i="1"/>
  <c r="BL1369" i="1"/>
  <c r="BK1369" i="1"/>
  <c r="BH1369" i="1"/>
  <c r="BJ1369" i="1" s="1"/>
  <c r="BF1369" i="1"/>
  <c r="BG1369" i="1" s="1"/>
  <c r="BE1369" i="1"/>
  <c r="BR1368" i="1"/>
  <c r="BO1368" i="1"/>
  <c r="BN1368" i="1"/>
  <c r="BM1368" i="1"/>
  <c r="BL1368" i="1"/>
  <c r="BK1368" i="1"/>
  <c r="BH1368" i="1"/>
  <c r="BF1368" i="1"/>
  <c r="BG1368" i="1" s="1"/>
  <c r="BE1368" i="1"/>
  <c r="BR1367" i="1"/>
  <c r="BO1367" i="1"/>
  <c r="BN1367" i="1"/>
  <c r="BM1367" i="1"/>
  <c r="BL1367" i="1"/>
  <c r="BK1367" i="1"/>
  <c r="BH1367" i="1"/>
  <c r="BJ1367" i="1" s="1"/>
  <c r="BF1367" i="1"/>
  <c r="BG1367" i="1" s="1"/>
  <c r="BE1367" i="1"/>
  <c r="BR1366" i="1"/>
  <c r="BO1366" i="1"/>
  <c r="BN1366" i="1"/>
  <c r="BM1366" i="1"/>
  <c r="BL1366" i="1"/>
  <c r="BK1366" i="1"/>
  <c r="BH1366" i="1"/>
  <c r="BI1366" i="1" s="1"/>
  <c r="BF1366" i="1"/>
  <c r="BG1366" i="1" s="1"/>
  <c r="BE1366" i="1"/>
  <c r="BR1365" i="1"/>
  <c r="BO1365" i="1"/>
  <c r="BN1365" i="1"/>
  <c r="BM1365" i="1"/>
  <c r="BL1365" i="1"/>
  <c r="BK1365" i="1"/>
  <c r="BH1365" i="1"/>
  <c r="BI1365" i="1" s="1"/>
  <c r="BF1365" i="1"/>
  <c r="BG1365" i="1" s="1"/>
  <c r="BE1365" i="1"/>
  <c r="BR1364" i="1"/>
  <c r="BO1364" i="1"/>
  <c r="BN1364" i="1"/>
  <c r="BM1364" i="1"/>
  <c r="BL1364" i="1"/>
  <c r="BK1364" i="1"/>
  <c r="BH1364" i="1"/>
  <c r="BF1364" i="1"/>
  <c r="BG1364" i="1" s="1"/>
  <c r="BE1364" i="1"/>
  <c r="BR1363" i="1"/>
  <c r="BO1363" i="1"/>
  <c r="BN1363" i="1"/>
  <c r="BM1363" i="1"/>
  <c r="BL1363" i="1"/>
  <c r="BK1363" i="1"/>
  <c r="BH1363" i="1"/>
  <c r="BJ1363" i="1" s="1"/>
  <c r="BF1363" i="1"/>
  <c r="BG1363" i="1" s="1"/>
  <c r="BE1363" i="1"/>
  <c r="BR1362" i="1"/>
  <c r="BO1362" i="1"/>
  <c r="BN1362" i="1"/>
  <c r="BM1362" i="1"/>
  <c r="BL1362" i="1"/>
  <c r="BK1362" i="1"/>
  <c r="BH1362" i="1"/>
  <c r="BF1362" i="1"/>
  <c r="BG1362" i="1" s="1"/>
  <c r="BE1362" i="1"/>
  <c r="BR1361" i="1"/>
  <c r="BO1361" i="1"/>
  <c r="BN1361" i="1"/>
  <c r="BM1361" i="1"/>
  <c r="BL1361" i="1"/>
  <c r="BK1361" i="1"/>
  <c r="BH1361" i="1"/>
  <c r="BJ1361" i="1" s="1"/>
  <c r="BF1361" i="1"/>
  <c r="BG1361" i="1" s="1"/>
  <c r="BE1361" i="1"/>
  <c r="BR1360" i="1"/>
  <c r="BO1360" i="1"/>
  <c r="BN1360" i="1"/>
  <c r="BM1360" i="1"/>
  <c r="BL1360" i="1"/>
  <c r="BK1360" i="1"/>
  <c r="BH1360" i="1"/>
  <c r="BI1360" i="1" s="1"/>
  <c r="BF1360" i="1"/>
  <c r="BG1360" i="1" s="1"/>
  <c r="BE1360" i="1"/>
  <c r="BR1359" i="1"/>
  <c r="BO1359" i="1"/>
  <c r="BN1359" i="1"/>
  <c r="BM1359" i="1"/>
  <c r="BL1359" i="1"/>
  <c r="BK1359" i="1"/>
  <c r="BH1359" i="1"/>
  <c r="BJ1359" i="1" s="1"/>
  <c r="BF1359" i="1"/>
  <c r="BG1359" i="1" s="1"/>
  <c r="BE1359" i="1"/>
  <c r="BR1358" i="1"/>
  <c r="BO1358" i="1"/>
  <c r="BN1358" i="1"/>
  <c r="BM1358" i="1"/>
  <c r="BL1358" i="1"/>
  <c r="BK1358" i="1"/>
  <c r="BH1358" i="1"/>
  <c r="BF1358" i="1"/>
  <c r="BG1358" i="1" s="1"/>
  <c r="BE1358" i="1"/>
  <c r="BR1357" i="1"/>
  <c r="BO1357" i="1"/>
  <c r="BN1357" i="1"/>
  <c r="BM1357" i="1"/>
  <c r="BL1357" i="1"/>
  <c r="BK1357" i="1"/>
  <c r="BH1357" i="1"/>
  <c r="BJ1357" i="1" s="1"/>
  <c r="BF1357" i="1"/>
  <c r="BG1357" i="1" s="1"/>
  <c r="BE1357" i="1"/>
  <c r="BR1356" i="1"/>
  <c r="BO1356" i="1"/>
  <c r="BN1356" i="1"/>
  <c r="BM1356" i="1"/>
  <c r="BL1356" i="1"/>
  <c r="BK1356" i="1"/>
  <c r="BH1356" i="1"/>
  <c r="BF1356" i="1"/>
  <c r="BG1356" i="1" s="1"/>
  <c r="BE1356" i="1"/>
  <c r="BR1355" i="1"/>
  <c r="BO1355" i="1"/>
  <c r="BN1355" i="1"/>
  <c r="BM1355" i="1"/>
  <c r="BL1355" i="1"/>
  <c r="BK1355" i="1"/>
  <c r="BH1355" i="1"/>
  <c r="BJ1355" i="1" s="1"/>
  <c r="BF1355" i="1"/>
  <c r="BG1355" i="1" s="1"/>
  <c r="BE1355" i="1"/>
  <c r="BR1354" i="1"/>
  <c r="BO1354" i="1"/>
  <c r="BN1354" i="1"/>
  <c r="BM1354" i="1"/>
  <c r="BL1354" i="1"/>
  <c r="BK1354" i="1"/>
  <c r="BH1354" i="1"/>
  <c r="BI1354" i="1" s="1"/>
  <c r="BF1354" i="1"/>
  <c r="BG1354" i="1" s="1"/>
  <c r="BE1354" i="1"/>
  <c r="BR1353" i="1"/>
  <c r="BO1353" i="1"/>
  <c r="BN1353" i="1"/>
  <c r="BM1353" i="1"/>
  <c r="BL1353" i="1"/>
  <c r="BK1353" i="1"/>
  <c r="BH1353" i="1"/>
  <c r="BJ1353" i="1" s="1"/>
  <c r="BF1353" i="1"/>
  <c r="BG1353" i="1" s="1"/>
  <c r="BE1353" i="1"/>
  <c r="BR1352" i="1"/>
  <c r="BO1352" i="1"/>
  <c r="BN1352" i="1"/>
  <c r="BM1352" i="1"/>
  <c r="BL1352" i="1"/>
  <c r="BK1352" i="1"/>
  <c r="BH1352" i="1"/>
  <c r="BF1352" i="1"/>
  <c r="BG1352" i="1" s="1"/>
  <c r="BE1352" i="1"/>
  <c r="BR1351" i="1"/>
  <c r="BO1351" i="1"/>
  <c r="BN1351" i="1"/>
  <c r="BM1351" i="1"/>
  <c r="BL1351" i="1"/>
  <c r="BK1351" i="1"/>
  <c r="BH1351" i="1"/>
  <c r="BI1351" i="1" s="1"/>
  <c r="BF1351" i="1"/>
  <c r="BG1351" i="1" s="1"/>
  <c r="BE1351" i="1"/>
  <c r="BR1350" i="1"/>
  <c r="BO1350" i="1"/>
  <c r="BN1350" i="1"/>
  <c r="BM1350" i="1"/>
  <c r="BL1350" i="1"/>
  <c r="BK1350" i="1"/>
  <c r="BH1350" i="1"/>
  <c r="BI1350" i="1" s="1"/>
  <c r="BF1350" i="1"/>
  <c r="BG1350" i="1" s="1"/>
  <c r="BE1350" i="1"/>
  <c r="BR1349" i="1"/>
  <c r="BO1349" i="1"/>
  <c r="BN1349" i="1"/>
  <c r="BM1349" i="1"/>
  <c r="BL1349" i="1"/>
  <c r="BK1349" i="1"/>
  <c r="BH1349" i="1"/>
  <c r="BJ1349" i="1" s="1"/>
  <c r="BF1349" i="1"/>
  <c r="BG1349" i="1" s="1"/>
  <c r="BE1349" i="1"/>
  <c r="BR1348" i="1"/>
  <c r="BO1348" i="1"/>
  <c r="BN1348" i="1"/>
  <c r="BM1348" i="1"/>
  <c r="BL1348" i="1"/>
  <c r="BK1348" i="1"/>
  <c r="BH1348" i="1"/>
  <c r="BI1348" i="1" s="1"/>
  <c r="BF1348" i="1"/>
  <c r="BG1348" i="1" s="1"/>
  <c r="BE1348" i="1"/>
  <c r="BR1347" i="1"/>
  <c r="BO1347" i="1"/>
  <c r="BN1347" i="1"/>
  <c r="BM1347" i="1"/>
  <c r="BL1347" i="1"/>
  <c r="BK1347" i="1"/>
  <c r="BH1347" i="1"/>
  <c r="BF1347" i="1"/>
  <c r="BG1347" i="1" s="1"/>
  <c r="BE1347" i="1"/>
  <c r="BR1346" i="1"/>
  <c r="BO1346" i="1"/>
  <c r="BN1346" i="1"/>
  <c r="BM1346" i="1"/>
  <c r="BL1346" i="1"/>
  <c r="BK1346" i="1"/>
  <c r="BH1346" i="1"/>
  <c r="BI1346" i="1" s="1"/>
  <c r="BF1346" i="1"/>
  <c r="BG1346" i="1" s="1"/>
  <c r="BE1346" i="1"/>
  <c r="BR1345" i="1"/>
  <c r="BO1345" i="1"/>
  <c r="BN1345" i="1"/>
  <c r="BM1345" i="1"/>
  <c r="BL1345" i="1"/>
  <c r="BK1345" i="1"/>
  <c r="BH1345" i="1"/>
  <c r="BI1345" i="1" s="1"/>
  <c r="BF1345" i="1"/>
  <c r="BG1345" i="1" s="1"/>
  <c r="BE1345" i="1"/>
  <c r="BR1344" i="1"/>
  <c r="BO1344" i="1"/>
  <c r="BN1344" i="1"/>
  <c r="BM1344" i="1"/>
  <c r="BL1344" i="1"/>
  <c r="BK1344" i="1"/>
  <c r="BH1344" i="1"/>
  <c r="BI1344" i="1" s="1"/>
  <c r="BF1344" i="1"/>
  <c r="BG1344" i="1" s="1"/>
  <c r="BE1344" i="1"/>
  <c r="BR1343" i="1"/>
  <c r="BO1343" i="1"/>
  <c r="BN1343" i="1"/>
  <c r="BM1343" i="1"/>
  <c r="BL1343" i="1"/>
  <c r="BK1343" i="1"/>
  <c r="BH1343" i="1"/>
  <c r="BI1343" i="1" s="1"/>
  <c r="BF1343" i="1"/>
  <c r="BG1343" i="1" s="1"/>
  <c r="BE1343" i="1"/>
  <c r="BR1342" i="1"/>
  <c r="BO1342" i="1"/>
  <c r="BN1342" i="1"/>
  <c r="BM1342" i="1"/>
  <c r="BL1342" i="1"/>
  <c r="BK1342" i="1"/>
  <c r="BH1342" i="1"/>
  <c r="BF1342" i="1"/>
  <c r="BG1342" i="1" s="1"/>
  <c r="BE1342" i="1"/>
  <c r="BR1341" i="1"/>
  <c r="BO1341" i="1"/>
  <c r="BN1341" i="1"/>
  <c r="BM1341" i="1"/>
  <c r="BL1341" i="1"/>
  <c r="BK1341" i="1"/>
  <c r="BH1341" i="1"/>
  <c r="BI1341" i="1" s="1"/>
  <c r="BF1341" i="1"/>
  <c r="BG1341" i="1" s="1"/>
  <c r="BE1341" i="1"/>
  <c r="BR1340" i="1"/>
  <c r="BO1340" i="1"/>
  <c r="BN1340" i="1"/>
  <c r="BM1340" i="1"/>
  <c r="BL1340" i="1"/>
  <c r="BK1340" i="1"/>
  <c r="BH1340" i="1"/>
  <c r="BI1340" i="1" s="1"/>
  <c r="BF1340" i="1"/>
  <c r="BG1340" i="1" s="1"/>
  <c r="BE1340" i="1"/>
  <c r="BR1339" i="1"/>
  <c r="BO1339" i="1"/>
  <c r="BN1339" i="1"/>
  <c r="BM1339" i="1"/>
  <c r="BL1339" i="1"/>
  <c r="BK1339" i="1"/>
  <c r="BH1339" i="1"/>
  <c r="BJ1339" i="1" s="1"/>
  <c r="BF1339" i="1"/>
  <c r="BG1339" i="1" s="1"/>
  <c r="BE1339" i="1"/>
  <c r="BR1338" i="1"/>
  <c r="BO1338" i="1"/>
  <c r="BN1338" i="1"/>
  <c r="BM1338" i="1"/>
  <c r="BL1338" i="1"/>
  <c r="BK1338" i="1"/>
  <c r="BH1338" i="1"/>
  <c r="BI1338" i="1" s="1"/>
  <c r="BF1338" i="1"/>
  <c r="BG1338" i="1" s="1"/>
  <c r="BE1338" i="1"/>
  <c r="BR1337" i="1"/>
  <c r="BO1337" i="1"/>
  <c r="BN1337" i="1"/>
  <c r="BM1337" i="1"/>
  <c r="BL1337" i="1"/>
  <c r="BK1337" i="1"/>
  <c r="BH1337" i="1"/>
  <c r="BJ1337" i="1" s="1"/>
  <c r="BF1337" i="1"/>
  <c r="BG1337" i="1" s="1"/>
  <c r="BE1337" i="1"/>
  <c r="BR1336" i="1"/>
  <c r="BO1336" i="1"/>
  <c r="BN1336" i="1"/>
  <c r="BM1336" i="1"/>
  <c r="BL1336" i="1"/>
  <c r="BK1336" i="1"/>
  <c r="BH1336" i="1"/>
  <c r="BI1336" i="1" s="1"/>
  <c r="BF1336" i="1"/>
  <c r="BG1336" i="1" s="1"/>
  <c r="BE1336" i="1"/>
  <c r="BR1335" i="1"/>
  <c r="BO1335" i="1"/>
  <c r="BN1335" i="1"/>
  <c r="BM1335" i="1"/>
  <c r="BL1335" i="1"/>
  <c r="BK1335" i="1"/>
  <c r="BH1335" i="1"/>
  <c r="BF1335" i="1"/>
  <c r="BG1335" i="1" s="1"/>
  <c r="BE1335" i="1"/>
  <c r="BR1334" i="1"/>
  <c r="BO1334" i="1"/>
  <c r="BN1334" i="1"/>
  <c r="BM1334" i="1"/>
  <c r="BL1334" i="1"/>
  <c r="BK1334" i="1"/>
  <c r="BH1334" i="1"/>
  <c r="BI1334" i="1" s="1"/>
  <c r="BF1334" i="1"/>
  <c r="BG1334" i="1" s="1"/>
  <c r="BE1334" i="1"/>
  <c r="BR1333" i="1"/>
  <c r="BO1333" i="1"/>
  <c r="BN1333" i="1"/>
  <c r="BM1333" i="1"/>
  <c r="BL1333" i="1"/>
  <c r="BK1333" i="1"/>
  <c r="BH1333" i="1"/>
  <c r="BI1333" i="1" s="1"/>
  <c r="BF1333" i="1"/>
  <c r="BG1333" i="1" s="1"/>
  <c r="BE1333" i="1"/>
  <c r="BR1332" i="1"/>
  <c r="BO1332" i="1"/>
  <c r="BN1332" i="1"/>
  <c r="BM1332" i="1"/>
  <c r="BL1332" i="1"/>
  <c r="BK1332" i="1"/>
  <c r="BH1332" i="1"/>
  <c r="BI1332" i="1" s="1"/>
  <c r="BF1332" i="1"/>
  <c r="BG1332" i="1" s="1"/>
  <c r="BE1332" i="1"/>
  <c r="BR1331" i="1"/>
  <c r="BO1331" i="1"/>
  <c r="BN1331" i="1"/>
  <c r="BM1331" i="1"/>
  <c r="BL1331" i="1"/>
  <c r="BK1331" i="1"/>
  <c r="BH1331" i="1"/>
  <c r="BJ1331" i="1" s="1"/>
  <c r="BF1331" i="1"/>
  <c r="BG1331" i="1" s="1"/>
  <c r="BE1331" i="1"/>
  <c r="BR1330" i="1"/>
  <c r="BO1330" i="1"/>
  <c r="BN1330" i="1"/>
  <c r="BM1330" i="1"/>
  <c r="BL1330" i="1"/>
  <c r="BK1330" i="1"/>
  <c r="BH1330" i="1"/>
  <c r="BF1330" i="1"/>
  <c r="BG1330" i="1" s="1"/>
  <c r="BE1330" i="1"/>
  <c r="BR1329" i="1"/>
  <c r="BO1329" i="1"/>
  <c r="BN1329" i="1"/>
  <c r="BM1329" i="1"/>
  <c r="BL1329" i="1"/>
  <c r="BK1329" i="1"/>
  <c r="BH1329" i="1"/>
  <c r="BJ1329" i="1" s="1"/>
  <c r="BF1329" i="1"/>
  <c r="BG1329" i="1" s="1"/>
  <c r="BE1329" i="1"/>
  <c r="BR1328" i="1"/>
  <c r="BO1328" i="1"/>
  <c r="BN1328" i="1"/>
  <c r="BM1328" i="1"/>
  <c r="BL1328" i="1"/>
  <c r="BK1328" i="1"/>
  <c r="BH1328" i="1"/>
  <c r="BI1328" i="1" s="1"/>
  <c r="BF1328" i="1"/>
  <c r="BG1328" i="1" s="1"/>
  <c r="BE1328" i="1"/>
  <c r="BR1327" i="1"/>
  <c r="BO1327" i="1"/>
  <c r="BN1327" i="1"/>
  <c r="BM1327" i="1"/>
  <c r="BL1327" i="1"/>
  <c r="BK1327" i="1"/>
  <c r="BH1327" i="1"/>
  <c r="BI1327" i="1" s="1"/>
  <c r="BF1327" i="1"/>
  <c r="BG1327" i="1" s="1"/>
  <c r="BE1327" i="1"/>
  <c r="BR1326" i="1"/>
  <c r="BO1326" i="1"/>
  <c r="BN1326" i="1"/>
  <c r="BM1326" i="1"/>
  <c r="BL1326" i="1"/>
  <c r="BK1326" i="1"/>
  <c r="BH1326" i="1"/>
  <c r="BI1326" i="1" s="1"/>
  <c r="BF1326" i="1"/>
  <c r="BG1326" i="1" s="1"/>
  <c r="BE1326" i="1"/>
  <c r="BR1325" i="1"/>
  <c r="BO1325" i="1"/>
  <c r="BN1325" i="1"/>
  <c r="BM1325" i="1"/>
  <c r="BL1325" i="1"/>
  <c r="BK1325" i="1"/>
  <c r="BH1325" i="1"/>
  <c r="BF1325" i="1"/>
  <c r="BG1325" i="1" s="1"/>
  <c r="BE1325" i="1"/>
  <c r="BR1324" i="1"/>
  <c r="BO1324" i="1"/>
  <c r="BN1324" i="1"/>
  <c r="BM1324" i="1"/>
  <c r="BL1324" i="1"/>
  <c r="BK1324" i="1"/>
  <c r="BH1324" i="1"/>
  <c r="BI1324" i="1" s="1"/>
  <c r="BF1324" i="1"/>
  <c r="BG1324" i="1" s="1"/>
  <c r="BE1324" i="1"/>
  <c r="BR1323" i="1"/>
  <c r="BO1323" i="1"/>
  <c r="BN1323" i="1"/>
  <c r="BM1323" i="1"/>
  <c r="BL1323" i="1"/>
  <c r="BK1323" i="1"/>
  <c r="BH1323" i="1"/>
  <c r="BI1323" i="1" s="1"/>
  <c r="BF1323" i="1"/>
  <c r="BG1323" i="1" s="1"/>
  <c r="BE1323" i="1"/>
  <c r="BR1322" i="1"/>
  <c r="BO1322" i="1"/>
  <c r="BN1322" i="1"/>
  <c r="BM1322" i="1"/>
  <c r="BL1322" i="1"/>
  <c r="BK1322" i="1"/>
  <c r="BH1322" i="1"/>
  <c r="BI1322" i="1" s="1"/>
  <c r="BF1322" i="1"/>
  <c r="BG1322" i="1" s="1"/>
  <c r="BE1322" i="1"/>
  <c r="BR1321" i="1"/>
  <c r="BO1321" i="1"/>
  <c r="BN1321" i="1"/>
  <c r="BM1321" i="1"/>
  <c r="BL1321" i="1"/>
  <c r="BK1321" i="1"/>
  <c r="BH1321" i="1"/>
  <c r="BJ1321" i="1" s="1"/>
  <c r="BF1321" i="1"/>
  <c r="BG1321" i="1" s="1"/>
  <c r="BE1321" i="1"/>
  <c r="BR1320" i="1"/>
  <c r="BO1320" i="1"/>
  <c r="BN1320" i="1"/>
  <c r="BM1320" i="1"/>
  <c r="BL1320" i="1"/>
  <c r="BK1320" i="1"/>
  <c r="BH1320" i="1"/>
  <c r="BF1320" i="1"/>
  <c r="BG1320" i="1" s="1"/>
  <c r="BE1320" i="1"/>
  <c r="BR1319" i="1"/>
  <c r="BO1319" i="1"/>
  <c r="BN1319" i="1"/>
  <c r="BM1319" i="1"/>
  <c r="BL1319" i="1"/>
  <c r="BK1319" i="1"/>
  <c r="BH1319" i="1"/>
  <c r="BI1319" i="1" s="1"/>
  <c r="BF1319" i="1"/>
  <c r="BG1319" i="1" s="1"/>
  <c r="BE1319" i="1"/>
  <c r="BR1318" i="1"/>
  <c r="BO1318" i="1"/>
  <c r="BN1318" i="1"/>
  <c r="BM1318" i="1"/>
  <c r="BL1318" i="1"/>
  <c r="BK1318" i="1"/>
  <c r="BH1318" i="1"/>
  <c r="BI1318" i="1" s="1"/>
  <c r="BF1318" i="1"/>
  <c r="BG1318" i="1" s="1"/>
  <c r="BE1318" i="1"/>
  <c r="BR1317" i="1"/>
  <c r="BO1317" i="1"/>
  <c r="BN1317" i="1"/>
  <c r="BM1317" i="1"/>
  <c r="BL1317" i="1"/>
  <c r="BK1317" i="1"/>
  <c r="BH1317" i="1"/>
  <c r="BJ1317" i="1" s="1"/>
  <c r="BF1317" i="1"/>
  <c r="BG1317" i="1" s="1"/>
  <c r="BE1317" i="1"/>
  <c r="BR1316" i="1"/>
  <c r="BO1316" i="1"/>
  <c r="BN1316" i="1"/>
  <c r="BM1316" i="1"/>
  <c r="BL1316" i="1"/>
  <c r="BK1316" i="1"/>
  <c r="BH1316" i="1"/>
  <c r="BI1316" i="1" s="1"/>
  <c r="BF1316" i="1"/>
  <c r="BG1316" i="1" s="1"/>
  <c r="BE1316" i="1"/>
  <c r="BR1315" i="1"/>
  <c r="BO1315" i="1"/>
  <c r="BN1315" i="1"/>
  <c r="BM1315" i="1"/>
  <c r="BL1315" i="1"/>
  <c r="BK1315" i="1"/>
  <c r="BH1315" i="1"/>
  <c r="BJ1315" i="1" s="1"/>
  <c r="BF1315" i="1"/>
  <c r="BG1315" i="1" s="1"/>
  <c r="BE1315" i="1"/>
  <c r="BR1314" i="1"/>
  <c r="BO1314" i="1"/>
  <c r="BN1314" i="1"/>
  <c r="BM1314" i="1"/>
  <c r="BL1314" i="1"/>
  <c r="BK1314" i="1"/>
  <c r="BH1314" i="1"/>
  <c r="BI1314" i="1" s="1"/>
  <c r="BF1314" i="1"/>
  <c r="BG1314" i="1" s="1"/>
  <c r="BE1314" i="1"/>
  <c r="BR1313" i="1"/>
  <c r="BO1313" i="1"/>
  <c r="BN1313" i="1"/>
  <c r="BM1313" i="1"/>
  <c r="BL1313" i="1"/>
  <c r="BK1313" i="1"/>
  <c r="BH1313" i="1"/>
  <c r="BF1313" i="1"/>
  <c r="BG1313" i="1" s="1"/>
  <c r="BE1313" i="1"/>
  <c r="BR1312" i="1"/>
  <c r="BO1312" i="1"/>
  <c r="BN1312" i="1"/>
  <c r="BM1312" i="1"/>
  <c r="BL1312" i="1"/>
  <c r="BK1312" i="1"/>
  <c r="BH1312" i="1"/>
  <c r="BI1312" i="1" s="1"/>
  <c r="BF1312" i="1"/>
  <c r="BG1312" i="1" s="1"/>
  <c r="BE1312" i="1"/>
  <c r="BR1311" i="1"/>
  <c r="BO1311" i="1"/>
  <c r="BN1311" i="1"/>
  <c r="BM1311" i="1"/>
  <c r="BL1311" i="1"/>
  <c r="BK1311" i="1"/>
  <c r="BH1311" i="1"/>
  <c r="BF1311" i="1"/>
  <c r="BG1311" i="1" s="1"/>
  <c r="BE1311" i="1"/>
  <c r="BR1310" i="1"/>
  <c r="BO1310" i="1"/>
  <c r="BN1310" i="1"/>
  <c r="BM1310" i="1"/>
  <c r="BL1310" i="1"/>
  <c r="BK1310" i="1"/>
  <c r="BH1310" i="1"/>
  <c r="BI1310" i="1" s="1"/>
  <c r="BF1310" i="1"/>
  <c r="BG1310" i="1" s="1"/>
  <c r="BE1310" i="1"/>
  <c r="BR1309" i="1"/>
  <c r="BO1309" i="1"/>
  <c r="BN1309" i="1"/>
  <c r="BM1309" i="1"/>
  <c r="BL1309" i="1"/>
  <c r="BK1309" i="1"/>
  <c r="BH1309" i="1"/>
  <c r="BJ1309" i="1" s="1"/>
  <c r="BF1309" i="1"/>
  <c r="BG1309" i="1" s="1"/>
  <c r="BE1309" i="1"/>
  <c r="BR1308" i="1"/>
  <c r="BO1308" i="1"/>
  <c r="BN1308" i="1"/>
  <c r="BM1308" i="1"/>
  <c r="BL1308" i="1"/>
  <c r="BK1308" i="1"/>
  <c r="BH1308" i="1"/>
  <c r="BF1308" i="1"/>
  <c r="BG1308" i="1" s="1"/>
  <c r="BE1308" i="1"/>
  <c r="BR1307" i="1"/>
  <c r="BO1307" i="1"/>
  <c r="BN1307" i="1"/>
  <c r="BM1307" i="1"/>
  <c r="BL1307" i="1"/>
  <c r="BK1307" i="1"/>
  <c r="BH1307" i="1"/>
  <c r="BF1307" i="1"/>
  <c r="BG1307" i="1" s="1"/>
  <c r="BE1307" i="1"/>
  <c r="BR1306" i="1"/>
  <c r="BO1306" i="1"/>
  <c r="BN1306" i="1"/>
  <c r="BM1306" i="1"/>
  <c r="BL1306" i="1"/>
  <c r="BK1306" i="1"/>
  <c r="BH1306" i="1"/>
  <c r="BI1306" i="1" s="1"/>
  <c r="BF1306" i="1"/>
  <c r="BG1306" i="1" s="1"/>
  <c r="BE1306" i="1"/>
  <c r="BR1305" i="1"/>
  <c r="BO1305" i="1"/>
  <c r="BN1305" i="1"/>
  <c r="BM1305" i="1"/>
  <c r="BL1305" i="1"/>
  <c r="BK1305" i="1"/>
  <c r="BH1305" i="1"/>
  <c r="BI1305" i="1" s="1"/>
  <c r="BF1305" i="1"/>
  <c r="BG1305" i="1" s="1"/>
  <c r="BE1305" i="1"/>
  <c r="BR1304" i="1"/>
  <c r="BO1304" i="1"/>
  <c r="BN1304" i="1"/>
  <c r="BM1304" i="1"/>
  <c r="BL1304" i="1"/>
  <c r="BK1304" i="1"/>
  <c r="BH1304" i="1"/>
  <c r="BI1304" i="1" s="1"/>
  <c r="BF1304" i="1"/>
  <c r="BG1304" i="1" s="1"/>
  <c r="BE1304" i="1"/>
  <c r="BR1303" i="1"/>
  <c r="BO1303" i="1"/>
  <c r="BN1303" i="1"/>
  <c r="BM1303" i="1"/>
  <c r="BL1303" i="1"/>
  <c r="BK1303" i="1"/>
  <c r="BH1303" i="1"/>
  <c r="BF1303" i="1"/>
  <c r="BG1303" i="1" s="1"/>
  <c r="BE1303" i="1"/>
  <c r="BR1302" i="1"/>
  <c r="BO1302" i="1"/>
  <c r="BN1302" i="1"/>
  <c r="BM1302" i="1"/>
  <c r="BL1302" i="1"/>
  <c r="BK1302" i="1"/>
  <c r="BH1302" i="1"/>
  <c r="BI1302" i="1" s="1"/>
  <c r="BF1302" i="1"/>
  <c r="BG1302" i="1" s="1"/>
  <c r="BE1302" i="1"/>
  <c r="BR1301" i="1"/>
  <c r="BO1301" i="1"/>
  <c r="BN1301" i="1"/>
  <c r="BM1301" i="1"/>
  <c r="BL1301" i="1"/>
  <c r="BK1301" i="1"/>
  <c r="BH1301" i="1"/>
  <c r="BI1301" i="1" s="1"/>
  <c r="BF1301" i="1"/>
  <c r="BG1301" i="1" s="1"/>
  <c r="BE1301" i="1"/>
  <c r="BR1300" i="1"/>
  <c r="BO1300" i="1"/>
  <c r="BN1300" i="1"/>
  <c r="BM1300" i="1"/>
  <c r="BL1300" i="1"/>
  <c r="BK1300" i="1"/>
  <c r="BH1300" i="1"/>
  <c r="BI1300" i="1" s="1"/>
  <c r="BF1300" i="1"/>
  <c r="BG1300" i="1" s="1"/>
  <c r="BE1300" i="1"/>
  <c r="BR1299" i="1"/>
  <c r="BO1299" i="1"/>
  <c r="BN1299" i="1"/>
  <c r="BM1299" i="1"/>
  <c r="BL1299" i="1"/>
  <c r="BK1299" i="1"/>
  <c r="BH1299" i="1"/>
  <c r="BJ1299" i="1" s="1"/>
  <c r="BF1299" i="1"/>
  <c r="BG1299" i="1" s="1"/>
  <c r="BE1299" i="1"/>
  <c r="BR1298" i="1"/>
  <c r="BO1298" i="1"/>
  <c r="BN1298" i="1"/>
  <c r="BM1298" i="1"/>
  <c r="BL1298" i="1"/>
  <c r="BK1298" i="1"/>
  <c r="BH1298" i="1"/>
  <c r="BI1298" i="1" s="1"/>
  <c r="BF1298" i="1"/>
  <c r="BG1298" i="1" s="1"/>
  <c r="BE1298" i="1"/>
  <c r="BR1297" i="1"/>
  <c r="BO1297" i="1"/>
  <c r="BN1297" i="1"/>
  <c r="BM1297" i="1"/>
  <c r="BL1297" i="1"/>
  <c r="BK1297" i="1"/>
  <c r="BH1297" i="1"/>
  <c r="BJ1297" i="1" s="1"/>
  <c r="BF1297" i="1"/>
  <c r="BG1297" i="1" s="1"/>
  <c r="BE1297" i="1"/>
  <c r="BR1296" i="1"/>
  <c r="BO1296" i="1"/>
  <c r="BN1296" i="1"/>
  <c r="BM1296" i="1"/>
  <c r="BL1296" i="1"/>
  <c r="BK1296" i="1"/>
  <c r="BH1296" i="1"/>
  <c r="BI1296" i="1" s="1"/>
  <c r="BF1296" i="1"/>
  <c r="BG1296" i="1" s="1"/>
  <c r="BE1296" i="1"/>
  <c r="BR1295" i="1"/>
  <c r="BO1295" i="1"/>
  <c r="BN1295" i="1"/>
  <c r="BM1295" i="1"/>
  <c r="BL1295" i="1"/>
  <c r="BK1295" i="1"/>
  <c r="BH1295" i="1"/>
  <c r="BI1295" i="1" s="1"/>
  <c r="BF1295" i="1"/>
  <c r="BG1295" i="1" s="1"/>
  <c r="BE1295" i="1"/>
  <c r="BR1294" i="1"/>
  <c r="BO1294" i="1"/>
  <c r="BN1294" i="1"/>
  <c r="BM1294" i="1"/>
  <c r="BL1294" i="1"/>
  <c r="BK1294" i="1"/>
  <c r="BH1294" i="1"/>
  <c r="BI1294" i="1" s="1"/>
  <c r="BF1294" i="1"/>
  <c r="BG1294" i="1" s="1"/>
  <c r="BE1294" i="1"/>
  <c r="BR1293" i="1"/>
  <c r="BO1293" i="1"/>
  <c r="BN1293" i="1"/>
  <c r="BM1293" i="1"/>
  <c r="BL1293" i="1"/>
  <c r="BK1293" i="1"/>
  <c r="BH1293" i="1"/>
  <c r="BF1293" i="1"/>
  <c r="BG1293" i="1" s="1"/>
  <c r="BE1293" i="1"/>
  <c r="BR1292" i="1"/>
  <c r="BO1292" i="1"/>
  <c r="BN1292" i="1"/>
  <c r="BM1292" i="1"/>
  <c r="BL1292" i="1"/>
  <c r="BK1292" i="1"/>
  <c r="BH1292" i="1"/>
  <c r="BI1292" i="1" s="1"/>
  <c r="BF1292" i="1"/>
  <c r="BG1292" i="1" s="1"/>
  <c r="BE1292" i="1"/>
  <c r="BR1291" i="1"/>
  <c r="BO1291" i="1"/>
  <c r="BN1291" i="1"/>
  <c r="BM1291" i="1"/>
  <c r="BL1291" i="1"/>
  <c r="BK1291" i="1"/>
  <c r="BH1291" i="1"/>
  <c r="BI1291" i="1" s="1"/>
  <c r="BF1291" i="1"/>
  <c r="BG1291" i="1" s="1"/>
  <c r="BE1291" i="1"/>
  <c r="BR1290" i="1"/>
  <c r="BO1290" i="1"/>
  <c r="BN1290" i="1"/>
  <c r="BM1290" i="1"/>
  <c r="BL1290" i="1"/>
  <c r="BK1290" i="1"/>
  <c r="BH1290" i="1"/>
  <c r="BF1290" i="1"/>
  <c r="BG1290" i="1" s="1"/>
  <c r="BE1290" i="1"/>
  <c r="BR1289" i="1"/>
  <c r="BO1289" i="1"/>
  <c r="BN1289" i="1"/>
  <c r="BM1289" i="1"/>
  <c r="BL1289" i="1"/>
  <c r="BK1289" i="1"/>
  <c r="BH1289" i="1"/>
  <c r="BJ1289" i="1" s="1"/>
  <c r="BF1289" i="1"/>
  <c r="BG1289" i="1" s="1"/>
  <c r="BE1289" i="1"/>
  <c r="BR1288" i="1"/>
  <c r="BO1288" i="1"/>
  <c r="BN1288" i="1"/>
  <c r="BM1288" i="1"/>
  <c r="BL1288" i="1"/>
  <c r="BK1288" i="1"/>
  <c r="BH1288" i="1"/>
  <c r="BI1288" i="1" s="1"/>
  <c r="BF1288" i="1"/>
  <c r="BG1288" i="1" s="1"/>
  <c r="BE1288" i="1"/>
  <c r="BR1287" i="1"/>
  <c r="BO1287" i="1"/>
  <c r="BN1287" i="1"/>
  <c r="BM1287" i="1"/>
  <c r="BL1287" i="1"/>
  <c r="BK1287" i="1"/>
  <c r="BH1287" i="1"/>
  <c r="BF1287" i="1"/>
  <c r="BG1287" i="1" s="1"/>
  <c r="BE1287" i="1"/>
  <c r="BR1286" i="1"/>
  <c r="BO1286" i="1"/>
  <c r="BN1286" i="1"/>
  <c r="BM1286" i="1"/>
  <c r="BL1286" i="1"/>
  <c r="BK1286" i="1"/>
  <c r="BH1286" i="1"/>
  <c r="BI1286" i="1" s="1"/>
  <c r="BF1286" i="1"/>
  <c r="BG1286" i="1" s="1"/>
  <c r="BE1286" i="1"/>
  <c r="BR1285" i="1"/>
  <c r="BO1285" i="1"/>
  <c r="BN1285" i="1"/>
  <c r="BM1285" i="1"/>
  <c r="BL1285" i="1"/>
  <c r="BK1285" i="1"/>
  <c r="BH1285" i="1"/>
  <c r="BJ1285" i="1" s="1"/>
  <c r="BF1285" i="1"/>
  <c r="BG1285" i="1" s="1"/>
  <c r="BE1285" i="1"/>
  <c r="BR1284" i="1"/>
  <c r="BO1284" i="1"/>
  <c r="BN1284" i="1"/>
  <c r="BM1284" i="1"/>
  <c r="BL1284" i="1"/>
  <c r="BK1284" i="1"/>
  <c r="BH1284" i="1"/>
  <c r="BI1284" i="1" s="1"/>
  <c r="BF1284" i="1"/>
  <c r="BG1284" i="1" s="1"/>
  <c r="BE1284" i="1"/>
  <c r="BR1283" i="1"/>
  <c r="BO1283" i="1"/>
  <c r="BN1283" i="1"/>
  <c r="BM1283" i="1"/>
  <c r="BL1283" i="1"/>
  <c r="BK1283" i="1"/>
  <c r="BH1283" i="1"/>
  <c r="BI1283" i="1" s="1"/>
  <c r="BF1283" i="1"/>
  <c r="BG1283" i="1" s="1"/>
  <c r="BE1283" i="1"/>
  <c r="BR1282" i="1"/>
  <c r="BO1282" i="1"/>
  <c r="BN1282" i="1"/>
  <c r="BM1282" i="1"/>
  <c r="BL1282" i="1"/>
  <c r="BK1282" i="1"/>
  <c r="BH1282" i="1"/>
  <c r="BI1282" i="1" s="1"/>
  <c r="BF1282" i="1"/>
  <c r="BG1282" i="1" s="1"/>
  <c r="BE1282" i="1"/>
  <c r="BR1281" i="1"/>
  <c r="BO1281" i="1"/>
  <c r="BN1281" i="1"/>
  <c r="BM1281" i="1"/>
  <c r="BL1281" i="1"/>
  <c r="BK1281" i="1"/>
  <c r="BH1281" i="1"/>
  <c r="BJ1281" i="1" s="1"/>
  <c r="BF1281" i="1"/>
  <c r="BG1281" i="1" s="1"/>
  <c r="BE1281" i="1"/>
  <c r="BR1280" i="1"/>
  <c r="BO1280" i="1"/>
  <c r="BN1280" i="1"/>
  <c r="BM1280" i="1"/>
  <c r="BL1280" i="1"/>
  <c r="BK1280" i="1"/>
  <c r="BH1280" i="1"/>
  <c r="BF1280" i="1"/>
  <c r="BG1280" i="1" s="1"/>
  <c r="BE1280" i="1"/>
  <c r="BR1279" i="1"/>
  <c r="BO1279" i="1"/>
  <c r="BN1279" i="1"/>
  <c r="BM1279" i="1"/>
  <c r="BL1279" i="1"/>
  <c r="BK1279" i="1"/>
  <c r="BH1279" i="1"/>
  <c r="BI1279" i="1" s="1"/>
  <c r="BF1279" i="1"/>
  <c r="BG1279" i="1" s="1"/>
  <c r="BE1279" i="1"/>
  <c r="BR1278" i="1"/>
  <c r="BO1278" i="1"/>
  <c r="BN1278" i="1"/>
  <c r="BM1278" i="1"/>
  <c r="BL1278" i="1"/>
  <c r="BK1278" i="1"/>
  <c r="BH1278" i="1"/>
  <c r="BI1278" i="1" s="1"/>
  <c r="BF1278" i="1"/>
  <c r="BG1278" i="1" s="1"/>
  <c r="BE1278" i="1"/>
  <c r="BR1277" i="1"/>
  <c r="BO1277" i="1"/>
  <c r="BN1277" i="1"/>
  <c r="BM1277" i="1"/>
  <c r="BL1277" i="1"/>
  <c r="BK1277" i="1"/>
  <c r="BH1277" i="1"/>
  <c r="BI1277" i="1" s="1"/>
  <c r="BF1277" i="1"/>
  <c r="BG1277" i="1" s="1"/>
  <c r="BE1277" i="1"/>
  <c r="BR1276" i="1"/>
  <c r="BO1276" i="1"/>
  <c r="BN1276" i="1"/>
  <c r="BM1276" i="1"/>
  <c r="BL1276" i="1"/>
  <c r="BK1276" i="1"/>
  <c r="BH1276" i="1"/>
  <c r="BI1276" i="1" s="1"/>
  <c r="BF1276" i="1"/>
  <c r="BG1276" i="1" s="1"/>
  <c r="BE1276" i="1"/>
  <c r="BR1275" i="1"/>
  <c r="BO1275" i="1"/>
  <c r="BN1275" i="1"/>
  <c r="BM1275" i="1"/>
  <c r="BL1275" i="1"/>
  <c r="BK1275" i="1"/>
  <c r="BH1275" i="1"/>
  <c r="BF1275" i="1"/>
  <c r="BG1275" i="1" s="1"/>
  <c r="BE1275" i="1"/>
  <c r="BR1274" i="1"/>
  <c r="BO1274" i="1"/>
  <c r="BN1274" i="1"/>
  <c r="BM1274" i="1"/>
  <c r="BL1274" i="1"/>
  <c r="BK1274" i="1"/>
  <c r="BH1274" i="1"/>
  <c r="BI1274" i="1" s="1"/>
  <c r="BF1274" i="1"/>
  <c r="BG1274" i="1" s="1"/>
  <c r="BE1274" i="1"/>
  <c r="BR1273" i="1"/>
  <c r="BO1273" i="1"/>
  <c r="BN1273" i="1"/>
  <c r="BM1273" i="1"/>
  <c r="BL1273" i="1"/>
  <c r="BK1273" i="1"/>
  <c r="BH1273" i="1"/>
  <c r="BI1273" i="1" s="1"/>
  <c r="BF1273" i="1"/>
  <c r="BG1273" i="1" s="1"/>
  <c r="BE1273" i="1"/>
  <c r="BR1272" i="1"/>
  <c r="BO1272" i="1"/>
  <c r="BN1272" i="1"/>
  <c r="BM1272" i="1"/>
  <c r="BL1272" i="1"/>
  <c r="BK1272" i="1"/>
  <c r="BH1272" i="1"/>
  <c r="BI1272" i="1" s="1"/>
  <c r="BF1272" i="1"/>
  <c r="BG1272" i="1" s="1"/>
  <c r="BE1272" i="1"/>
  <c r="BR1271" i="1"/>
  <c r="BO1271" i="1"/>
  <c r="BN1271" i="1"/>
  <c r="BM1271" i="1"/>
  <c r="BL1271" i="1"/>
  <c r="BK1271" i="1"/>
  <c r="BH1271" i="1"/>
  <c r="BI1271" i="1" s="1"/>
  <c r="BF1271" i="1"/>
  <c r="BG1271" i="1" s="1"/>
  <c r="BE1271" i="1"/>
  <c r="BR1270" i="1"/>
  <c r="BO1270" i="1"/>
  <c r="BN1270" i="1"/>
  <c r="BM1270" i="1"/>
  <c r="BL1270" i="1"/>
  <c r="BK1270" i="1"/>
  <c r="BH1270" i="1"/>
  <c r="BI1270" i="1" s="1"/>
  <c r="BF1270" i="1"/>
  <c r="BG1270" i="1" s="1"/>
  <c r="BE1270" i="1"/>
  <c r="BR1269" i="1"/>
  <c r="BO1269" i="1"/>
  <c r="BN1269" i="1"/>
  <c r="BM1269" i="1"/>
  <c r="BL1269" i="1"/>
  <c r="BK1269" i="1"/>
  <c r="BH1269" i="1"/>
  <c r="BJ1269" i="1" s="1"/>
  <c r="BF1269" i="1"/>
  <c r="BG1269" i="1" s="1"/>
  <c r="BE1269" i="1"/>
  <c r="BR1268" i="1"/>
  <c r="BO1268" i="1"/>
  <c r="BN1268" i="1"/>
  <c r="BM1268" i="1"/>
  <c r="BL1268" i="1"/>
  <c r="BK1268" i="1"/>
  <c r="BH1268" i="1"/>
  <c r="BI1268" i="1" s="1"/>
  <c r="BF1268" i="1"/>
  <c r="BG1268" i="1" s="1"/>
  <c r="BE1268" i="1"/>
  <c r="BR1267" i="1"/>
  <c r="BO1267" i="1"/>
  <c r="BN1267" i="1"/>
  <c r="BM1267" i="1"/>
  <c r="BL1267" i="1"/>
  <c r="BK1267" i="1"/>
  <c r="BH1267" i="1"/>
  <c r="BJ1267" i="1" s="1"/>
  <c r="BF1267" i="1"/>
  <c r="BG1267" i="1" s="1"/>
  <c r="BE1267" i="1"/>
  <c r="BR1266" i="1"/>
  <c r="BO1266" i="1"/>
  <c r="BN1266" i="1"/>
  <c r="BM1266" i="1"/>
  <c r="BL1266" i="1"/>
  <c r="BK1266" i="1"/>
  <c r="BH1266" i="1"/>
  <c r="BI1266" i="1" s="1"/>
  <c r="BF1266" i="1"/>
  <c r="BG1266" i="1" s="1"/>
  <c r="BE1266" i="1"/>
  <c r="BR1265" i="1"/>
  <c r="BO1265" i="1"/>
  <c r="BN1265" i="1"/>
  <c r="BM1265" i="1"/>
  <c r="BL1265" i="1"/>
  <c r="BK1265" i="1"/>
  <c r="BH1265" i="1"/>
  <c r="BI1265" i="1" s="1"/>
  <c r="BF1265" i="1"/>
  <c r="BG1265" i="1" s="1"/>
  <c r="BE1265" i="1"/>
  <c r="BR1264" i="1"/>
  <c r="BO1264" i="1"/>
  <c r="BN1264" i="1"/>
  <c r="BM1264" i="1"/>
  <c r="BL1264" i="1"/>
  <c r="BK1264" i="1"/>
  <c r="BH1264" i="1"/>
  <c r="BI1264" i="1" s="1"/>
  <c r="BF1264" i="1"/>
  <c r="BG1264" i="1" s="1"/>
  <c r="BE1264" i="1"/>
  <c r="BR1263" i="1"/>
  <c r="BO1263" i="1"/>
  <c r="BN1263" i="1"/>
  <c r="BM1263" i="1"/>
  <c r="BL1263" i="1"/>
  <c r="BK1263" i="1"/>
  <c r="BH1263" i="1"/>
  <c r="BJ1263" i="1" s="1"/>
  <c r="BF1263" i="1"/>
  <c r="BG1263" i="1" s="1"/>
  <c r="BE1263" i="1"/>
  <c r="BR1262" i="1"/>
  <c r="BO1262" i="1"/>
  <c r="BN1262" i="1"/>
  <c r="BM1262" i="1"/>
  <c r="BL1262" i="1"/>
  <c r="BK1262" i="1"/>
  <c r="BH1262" i="1"/>
  <c r="BF1262" i="1"/>
  <c r="BG1262" i="1" s="1"/>
  <c r="BE1262" i="1"/>
  <c r="BR1261" i="1"/>
  <c r="BO1261" i="1"/>
  <c r="BN1261" i="1"/>
  <c r="BM1261" i="1"/>
  <c r="BL1261" i="1"/>
  <c r="BK1261" i="1"/>
  <c r="BH1261" i="1"/>
  <c r="BI1261" i="1" s="1"/>
  <c r="BF1261" i="1"/>
  <c r="BG1261" i="1" s="1"/>
  <c r="BE1261" i="1"/>
  <c r="BR1260" i="1"/>
  <c r="BO1260" i="1"/>
  <c r="BN1260" i="1"/>
  <c r="BM1260" i="1"/>
  <c r="BL1260" i="1"/>
  <c r="BK1260" i="1"/>
  <c r="BH1260" i="1"/>
  <c r="BI1260" i="1" s="1"/>
  <c r="BF1260" i="1"/>
  <c r="BG1260" i="1" s="1"/>
  <c r="BE1260" i="1"/>
  <c r="BR1259" i="1"/>
  <c r="BO1259" i="1"/>
  <c r="BN1259" i="1"/>
  <c r="BM1259" i="1"/>
  <c r="BL1259" i="1"/>
  <c r="BK1259" i="1"/>
  <c r="BH1259" i="1"/>
  <c r="BI1259" i="1" s="1"/>
  <c r="BF1259" i="1"/>
  <c r="BG1259" i="1" s="1"/>
  <c r="BE1259" i="1"/>
  <c r="BR1258" i="1"/>
  <c r="BO1258" i="1"/>
  <c r="BN1258" i="1"/>
  <c r="BM1258" i="1"/>
  <c r="BL1258" i="1"/>
  <c r="BK1258" i="1"/>
  <c r="BH1258" i="1"/>
  <c r="BI1258" i="1" s="1"/>
  <c r="BF1258" i="1"/>
  <c r="BG1258" i="1" s="1"/>
  <c r="BE1258" i="1"/>
  <c r="BR1257" i="1"/>
  <c r="BO1257" i="1"/>
  <c r="BN1257" i="1"/>
  <c r="BM1257" i="1"/>
  <c r="BL1257" i="1"/>
  <c r="BK1257" i="1"/>
  <c r="BH1257" i="1"/>
  <c r="BJ1257" i="1" s="1"/>
  <c r="BF1257" i="1"/>
  <c r="BG1257" i="1" s="1"/>
  <c r="BE1257" i="1"/>
  <c r="BR1256" i="1"/>
  <c r="BO1256" i="1"/>
  <c r="BN1256" i="1"/>
  <c r="BM1256" i="1"/>
  <c r="BL1256" i="1"/>
  <c r="BK1256" i="1"/>
  <c r="BH1256" i="1"/>
  <c r="BI1256" i="1" s="1"/>
  <c r="BF1256" i="1"/>
  <c r="BG1256" i="1" s="1"/>
  <c r="BE1256" i="1"/>
  <c r="BR1255" i="1"/>
  <c r="BO1255" i="1"/>
  <c r="BN1255" i="1"/>
  <c r="BM1255" i="1"/>
  <c r="BL1255" i="1"/>
  <c r="BK1255" i="1"/>
  <c r="BH1255" i="1"/>
  <c r="BJ1255" i="1" s="1"/>
  <c r="BF1255" i="1"/>
  <c r="BG1255" i="1" s="1"/>
  <c r="BE1255" i="1"/>
  <c r="BR1254" i="1"/>
  <c r="BO1254" i="1"/>
  <c r="BN1254" i="1"/>
  <c r="BM1254" i="1"/>
  <c r="BL1254" i="1"/>
  <c r="BK1254" i="1"/>
  <c r="BH1254" i="1"/>
  <c r="BI1254" i="1" s="1"/>
  <c r="BF1254" i="1"/>
  <c r="BG1254" i="1" s="1"/>
  <c r="BE1254" i="1"/>
  <c r="BR1253" i="1"/>
  <c r="BO1253" i="1"/>
  <c r="BN1253" i="1"/>
  <c r="BM1253" i="1"/>
  <c r="BL1253" i="1"/>
  <c r="BK1253" i="1"/>
  <c r="BH1253" i="1"/>
  <c r="BJ1253" i="1" s="1"/>
  <c r="BF1253" i="1"/>
  <c r="BG1253" i="1" s="1"/>
  <c r="BE1253" i="1"/>
  <c r="BR1252" i="1"/>
  <c r="BO1252" i="1"/>
  <c r="BN1252" i="1"/>
  <c r="BM1252" i="1"/>
  <c r="BL1252" i="1"/>
  <c r="BK1252" i="1"/>
  <c r="BH1252" i="1"/>
  <c r="BI1252" i="1" s="1"/>
  <c r="BF1252" i="1"/>
  <c r="BG1252" i="1" s="1"/>
  <c r="BE1252" i="1"/>
  <c r="BR1251" i="1"/>
  <c r="BO1251" i="1"/>
  <c r="BN1251" i="1"/>
  <c r="BM1251" i="1"/>
  <c r="BL1251" i="1"/>
  <c r="BK1251" i="1"/>
  <c r="BH1251" i="1"/>
  <c r="BJ1251" i="1" s="1"/>
  <c r="BF1251" i="1"/>
  <c r="BG1251" i="1" s="1"/>
  <c r="BE1251" i="1"/>
  <c r="BR1250" i="1"/>
  <c r="BO1250" i="1"/>
  <c r="BN1250" i="1"/>
  <c r="BM1250" i="1"/>
  <c r="BL1250" i="1"/>
  <c r="BK1250" i="1"/>
  <c r="BH1250" i="1"/>
  <c r="BI1250" i="1" s="1"/>
  <c r="BF1250" i="1"/>
  <c r="BG1250" i="1" s="1"/>
  <c r="BE1250" i="1"/>
  <c r="BR1249" i="1"/>
  <c r="BO1249" i="1"/>
  <c r="BN1249" i="1"/>
  <c r="BM1249" i="1"/>
  <c r="BL1249" i="1"/>
  <c r="BK1249" i="1"/>
  <c r="BH1249" i="1"/>
  <c r="BJ1249" i="1" s="1"/>
  <c r="BF1249" i="1"/>
  <c r="BG1249" i="1" s="1"/>
  <c r="BE1249" i="1"/>
  <c r="BR1248" i="1"/>
  <c r="BO1248" i="1"/>
  <c r="BN1248" i="1"/>
  <c r="BM1248" i="1"/>
  <c r="BL1248" i="1"/>
  <c r="BK1248" i="1"/>
  <c r="BH1248" i="1"/>
  <c r="BI1248" i="1" s="1"/>
  <c r="BF1248" i="1"/>
  <c r="BG1248" i="1" s="1"/>
  <c r="BE1248" i="1"/>
  <c r="BR1247" i="1"/>
  <c r="BO1247" i="1"/>
  <c r="BN1247" i="1"/>
  <c r="BM1247" i="1"/>
  <c r="BL1247" i="1"/>
  <c r="BK1247" i="1"/>
  <c r="BH1247" i="1"/>
  <c r="BJ1247" i="1" s="1"/>
  <c r="BF1247" i="1"/>
  <c r="BG1247" i="1" s="1"/>
  <c r="BE1247" i="1"/>
  <c r="BR1246" i="1"/>
  <c r="BO1246" i="1"/>
  <c r="BN1246" i="1"/>
  <c r="BM1246" i="1"/>
  <c r="BL1246" i="1"/>
  <c r="BK1246" i="1"/>
  <c r="BH1246" i="1"/>
  <c r="BI1246" i="1" s="1"/>
  <c r="BF1246" i="1"/>
  <c r="BG1246" i="1" s="1"/>
  <c r="BE1246" i="1"/>
  <c r="BR1245" i="1"/>
  <c r="BO1245" i="1"/>
  <c r="BN1245" i="1"/>
  <c r="BM1245" i="1"/>
  <c r="BL1245" i="1"/>
  <c r="BK1245" i="1"/>
  <c r="BH1245" i="1"/>
  <c r="BJ1245" i="1" s="1"/>
  <c r="BF1245" i="1"/>
  <c r="BG1245" i="1" s="1"/>
  <c r="BE1245" i="1"/>
  <c r="BR1244" i="1"/>
  <c r="BO1244" i="1"/>
  <c r="BN1244" i="1"/>
  <c r="BM1244" i="1"/>
  <c r="BL1244" i="1"/>
  <c r="BK1244" i="1"/>
  <c r="BH1244" i="1"/>
  <c r="BI1244" i="1" s="1"/>
  <c r="BF1244" i="1"/>
  <c r="BG1244" i="1" s="1"/>
  <c r="BE1244" i="1"/>
  <c r="BR1243" i="1"/>
  <c r="BO1243" i="1"/>
  <c r="BN1243" i="1"/>
  <c r="BM1243" i="1"/>
  <c r="BL1243" i="1"/>
  <c r="BK1243" i="1"/>
  <c r="BH1243" i="1"/>
  <c r="BJ1243" i="1" s="1"/>
  <c r="BF1243" i="1"/>
  <c r="BG1243" i="1" s="1"/>
  <c r="BE1243" i="1"/>
  <c r="BR1242" i="1"/>
  <c r="BO1242" i="1"/>
  <c r="BN1242" i="1"/>
  <c r="BM1242" i="1"/>
  <c r="BL1242" i="1"/>
  <c r="BK1242" i="1"/>
  <c r="BH1242" i="1"/>
  <c r="BI1242" i="1" s="1"/>
  <c r="BF1242" i="1"/>
  <c r="BG1242" i="1" s="1"/>
  <c r="BE1242" i="1"/>
  <c r="BR1241" i="1"/>
  <c r="BO1241" i="1"/>
  <c r="BN1241" i="1"/>
  <c r="BM1241" i="1"/>
  <c r="BL1241" i="1"/>
  <c r="BK1241" i="1"/>
  <c r="BH1241" i="1"/>
  <c r="BJ1241" i="1" s="1"/>
  <c r="BF1241" i="1"/>
  <c r="BG1241" i="1" s="1"/>
  <c r="BE1241" i="1"/>
  <c r="BR1240" i="1"/>
  <c r="BO1240" i="1"/>
  <c r="BN1240" i="1"/>
  <c r="BM1240" i="1"/>
  <c r="BL1240" i="1"/>
  <c r="BK1240" i="1"/>
  <c r="BH1240" i="1"/>
  <c r="BI1240" i="1" s="1"/>
  <c r="BF1240" i="1"/>
  <c r="BG1240" i="1" s="1"/>
  <c r="BE1240" i="1"/>
  <c r="BR1239" i="1"/>
  <c r="BO1239" i="1"/>
  <c r="BN1239" i="1"/>
  <c r="BM1239" i="1"/>
  <c r="BL1239" i="1"/>
  <c r="BK1239" i="1"/>
  <c r="BH1239" i="1"/>
  <c r="BJ1239" i="1" s="1"/>
  <c r="BF1239" i="1"/>
  <c r="BG1239" i="1" s="1"/>
  <c r="BE1239" i="1"/>
  <c r="BR1238" i="1"/>
  <c r="BO1238" i="1"/>
  <c r="BN1238" i="1"/>
  <c r="BM1238" i="1"/>
  <c r="BL1238" i="1"/>
  <c r="BK1238" i="1"/>
  <c r="BH1238" i="1"/>
  <c r="BI1238" i="1" s="1"/>
  <c r="BF1238" i="1"/>
  <c r="BG1238" i="1" s="1"/>
  <c r="BE1238" i="1"/>
  <c r="BR1237" i="1"/>
  <c r="BO1237" i="1"/>
  <c r="BN1237" i="1"/>
  <c r="BM1237" i="1"/>
  <c r="BL1237" i="1"/>
  <c r="BK1237" i="1"/>
  <c r="BH1237" i="1"/>
  <c r="BJ1237" i="1" s="1"/>
  <c r="BF1237" i="1"/>
  <c r="BG1237" i="1" s="1"/>
  <c r="BE1237" i="1"/>
  <c r="BR1236" i="1"/>
  <c r="BO1236" i="1"/>
  <c r="BN1236" i="1"/>
  <c r="BM1236" i="1"/>
  <c r="BL1236" i="1"/>
  <c r="BK1236" i="1"/>
  <c r="BH1236" i="1"/>
  <c r="BI1236" i="1" s="1"/>
  <c r="BF1236" i="1"/>
  <c r="BG1236" i="1" s="1"/>
  <c r="BE1236" i="1"/>
  <c r="BR1235" i="1"/>
  <c r="BO1235" i="1"/>
  <c r="BN1235" i="1"/>
  <c r="BM1235" i="1"/>
  <c r="BL1235" i="1"/>
  <c r="BK1235" i="1"/>
  <c r="BH1235" i="1"/>
  <c r="BJ1235" i="1" s="1"/>
  <c r="BF1235" i="1"/>
  <c r="BG1235" i="1" s="1"/>
  <c r="BE1235" i="1"/>
  <c r="BR1234" i="1"/>
  <c r="BO1234" i="1"/>
  <c r="BN1234" i="1"/>
  <c r="BM1234" i="1"/>
  <c r="BL1234" i="1"/>
  <c r="BK1234" i="1"/>
  <c r="BH1234" i="1"/>
  <c r="BI1234" i="1" s="1"/>
  <c r="BF1234" i="1"/>
  <c r="BG1234" i="1" s="1"/>
  <c r="BE1234" i="1"/>
  <c r="BR1233" i="1"/>
  <c r="BO1233" i="1"/>
  <c r="BN1233" i="1"/>
  <c r="BM1233" i="1"/>
  <c r="BL1233" i="1"/>
  <c r="BK1233" i="1"/>
  <c r="BH1233" i="1"/>
  <c r="BJ1233" i="1" s="1"/>
  <c r="BF1233" i="1"/>
  <c r="BG1233" i="1" s="1"/>
  <c r="BE1233" i="1"/>
  <c r="BR1232" i="1"/>
  <c r="BO1232" i="1"/>
  <c r="BN1232" i="1"/>
  <c r="BM1232" i="1"/>
  <c r="BL1232" i="1"/>
  <c r="BK1232" i="1"/>
  <c r="BH1232" i="1"/>
  <c r="BI1232" i="1" s="1"/>
  <c r="BF1232" i="1"/>
  <c r="BG1232" i="1" s="1"/>
  <c r="BE1232" i="1"/>
  <c r="BR1231" i="1"/>
  <c r="BO1231" i="1"/>
  <c r="BN1231" i="1"/>
  <c r="BM1231" i="1"/>
  <c r="BL1231" i="1"/>
  <c r="BK1231" i="1"/>
  <c r="BH1231" i="1"/>
  <c r="BJ1231" i="1" s="1"/>
  <c r="BF1231" i="1"/>
  <c r="BG1231" i="1" s="1"/>
  <c r="BE1231" i="1"/>
  <c r="BR1230" i="1"/>
  <c r="BO1230" i="1"/>
  <c r="BN1230" i="1"/>
  <c r="BM1230" i="1"/>
  <c r="BL1230" i="1"/>
  <c r="BK1230" i="1"/>
  <c r="BH1230" i="1"/>
  <c r="BI1230" i="1" s="1"/>
  <c r="BF1230" i="1"/>
  <c r="BG1230" i="1" s="1"/>
  <c r="BE1230" i="1"/>
  <c r="BR1229" i="1"/>
  <c r="BO1229" i="1"/>
  <c r="BN1229" i="1"/>
  <c r="BM1229" i="1"/>
  <c r="BL1229" i="1"/>
  <c r="BK1229" i="1"/>
  <c r="BH1229" i="1"/>
  <c r="BJ1229" i="1" s="1"/>
  <c r="BF1229" i="1"/>
  <c r="BG1229" i="1" s="1"/>
  <c r="BE1229" i="1"/>
  <c r="BR1228" i="1"/>
  <c r="BO1228" i="1"/>
  <c r="BN1228" i="1"/>
  <c r="BM1228" i="1"/>
  <c r="BL1228" i="1"/>
  <c r="BK1228" i="1"/>
  <c r="BH1228" i="1"/>
  <c r="BI1228" i="1" s="1"/>
  <c r="BF1228" i="1"/>
  <c r="BG1228" i="1" s="1"/>
  <c r="BE1228" i="1"/>
  <c r="BR1227" i="1"/>
  <c r="BO1227" i="1"/>
  <c r="BN1227" i="1"/>
  <c r="BM1227" i="1"/>
  <c r="BL1227" i="1"/>
  <c r="BK1227" i="1"/>
  <c r="BH1227" i="1"/>
  <c r="BJ1227" i="1" s="1"/>
  <c r="BF1227" i="1"/>
  <c r="BG1227" i="1" s="1"/>
  <c r="BE1227" i="1"/>
  <c r="BR1226" i="1"/>
  <c r="BO1226" i="1"/>
  <c r="BN1226" i="1"/>
  <c r="BM1226" i="1"/>
  <c r="BL1226" i="1"/>
  <c r="BK1226" i="1"/>
  <c r="BH1226" i="1"/>
  <c r="BI1226" i="1" s="1"/>
  <c r="BF1226" i="1"/>
  <c r="BG1226" i="1" s="1"/>
  <c r="BE1226" i="1"/>
  <c r="BR1225" i="1"/>
  <c r="BO1225" i="1"/>
  <c r="BN1225" i="1"/>
  <c r="BM1225" i="1"/>
  <c r="BL1225" i="1"/>
  <c r="BK1225" i="1"/>
  <c r="BH1225" i="1"/>
  <c r="BJ1225" i="1" s="1"/>
  <c r="BF1225" i="1"/>
  <c r="BG1225" i="1" s="1"/>
  <c r="BE1225" i="1"/>
  <c r="BR1224" i="1"/>
  <c r="BO1224" i="1"/>
  <c r="BN1224" i="1"/>
  <c r="BM1224" i="1"/>
  <c r="BL1224" i="1"/>
  <c r="BK1224" i="1"/>
  <c r="BH1224" i="1"/>
  <c r="BI1224" i="1" s="1"/>
  <c r="BF1224" i="1"/>
  <c r="BG1224" i="1" s="1"/>
  <c r="BE1224" i="1"/>
  <c r="BR1223" i="1"/>
  <c r="BO1223" i="1"/>
  <c r="BN1223" i="1"/>
  <c r="BM1223" i="1"/>
  <c r="BL1223" i="1"/>
  <c r="BK1223" i="1"/>
  <c r="BH1223" i="1"/>
  <c r="BJ1223" i="1" s="1"/>
  <c r="BF1223" i="1"/>
  <c r="BG1223" i="1" s="1"/>
  <c r="BE1223" i="1"/>
  <c r="BR1222" i="1"/>
  <c r="BO1222" i="1"/>
  <c r="BN1222" i="1"/>
  <c r="BM1222" i="1"/>
  <c r="BL1222" i="1"/>
  <c r="BK1222" i="1"/>
  <c r="BH1222" i="1"/>
  <c r="BI1222" i="1" s="1"/>
  <c r="BF1222" i="1"/>
  <c r="BG1222" i="1" s="1"/>
  <c r="BE1222" i="1"/>
  <c r="BR1221" i="1"/>
  <c r="BO1221" i="1"/>
  <c r="BN1221" i="1"/>
  <c r="BM1221" i="1"/>
  <c r="BL1221" i="1"/>
  <c r="BK1221" i="1"/>
  <c r="BH1221" i="1"/>
  <c r="BJ1221" i="1" s="1"/>
  <c r="BF1221" i="1"/>
  <c r="BG1221" i="1" s="1"/>
  <c r="BE1221" i="1"/>
  <c r="BR1220" i="1"/>
  <c r="BO1220" i="1"/>
  <c r="BN1220" i="1"/>
  <c r="BM1220" i="1"/>
  <c r="BL1220" i="1"/>
  <c r="BK1220" i="1"/>
  <c r="BH1220" i="1"/>
  <c r="BI1220" i="1" s="1"/>
  <c r="BF1220" i="1"/>
  <c r="BG1220" i="1" s="1"/>
  <c r="BE1220" i="1"/>
  <c r="BR1219" i="1"/>
  <c r="BO1219" i="1"/>
  <c r="BN1219" i="1"/>
  <c r="BM1219" i="1"/>
  <c r="BL1219" i="1"/>
  <c r="BK1219" i="1"/>
  <c r="BH1219" i="1"/>
  <c r="BF1219" i="1"/>
  <c r="BG1219" i="1" s="1"/>
  <c r="BE1219" i="1"/>
  <c r="BR1218" i="1"/>
  <c r="BO1218" i="1"/>
  <c r="BN1218" i="1"/>
  <c r="BM1218" i="1"/>
  <c r="BL1218" i="1"/>
  <c r="BK1218" i="1"/>
  <c r="BH1218" i="1"/>
  <c r="BI1218" i="1" s="1"/>
  <c r="BF1218" i="1"/>
  <c r="BG1218" i="1" s="1"/>
  <c r="BE1218" i="1"/>
  <c r="BR1217" i="1"/>
  <c r="BO1217" i="1"/>
  <c r="BN1217" i="1"/>
  <c r="BM1217" i="1"/>
  <c r="BL1217" i="1"/>
  <c r="BK1217" i="1"/>
  <c r="BH1217" i="1"/>
  <c r="BJ1217" i="1" s="1"/>
  <c r="BF1217" i="1"/>
  <c r="BG1217" i="1" s="1"/>
  <c r="BE1217" i="1"/>
  <c r="BR1216" i="1"/>
  <c r="BO1216" i="1"/>
  <c r="BN1216" i="1"/>
  <c r="BM1216" i="1"/>
  <c r="BL1216" i="1"/>
  <c r="BK1216" i="1"/>
  <c r="BH1216" i="1"/>
  <c r="BI1216" i="1" s="1"/>
  <c r="BF1216" i="1"/>
  <c r="BG1216" i="1" s="1"/>
  <c r="BE1216" i="1"/>
  <c r="BR1215" i="1"/>
  <c r="BO1215" i="1"/>
  <c r="BN1215" i="1"/>
  <c r="BM1215" i="1"/>
  <c r="BL1215" i="1"/>
  <c r="BK1215" i="1"/>
  <c r="BH1215" i="1"/>
  <c r="BJ1215" i="1" s="1"/>
  <c r="BF1215" i="1"/>
  <c r="BG1215" i="1" s="1"/>
  <c r="BE1215" i="1"/>
  <c r="BR1214" i="1"/>
  <c r="BO1214" i="1"/>
  <c r="BN1214" i="1"/>
  <c r="BM1214" i="1"/>
  <c r="BL1214" i="1"/>
  <c r="BK1214" i="1"/>
  <c r="BH1214" i="1"/>
  <c r="BI1214" i="1" s="1"/>
  <c r="BF1214" i="1"/>
  <c r="BG1214" i="1" s="1"/>
  <c r="BE1214" i="1"/>
  <c r="BR1213" i="1"/>
  <c r="BO1213" i="1"/>
  <c r="BN1213" i="1"/>
  <c r="BM1213" i="1"/>
  <c r="BL1213" i="1"/>
  <c r="BK1213" i="1"/>
  <c r="BH1213" i="1"/>
  <c r="BJ1213" i="1" s="1"/>
  <c r="BF1213" i="1"/>
  <c r="BG1213" i="1" s="1"/>
  <c r="BE1213" i="1"/>
  <c r="BR1212" i="1"/>
  <c r="BO1212" i="1"/>
  <c r="BN1212" i="1"/>
  <c r="BM1212" i="1"/>
  <c r="BL1212" i="1"/>
  <c r="BK1212" i="1"/>
  <c r="BH1212" i="1"/>
  <c r="BI1212" i="1" s="1"/>
  <c r="BF1212" i="1"/>
  <c r="BG1212" i="1" s="1"/>
  <c r="BE1212" i="1"/>
  <c r="BR1211" i="1"/>
  <c r="BO1211" i="1"/>
  <c r="BN1211" i="1"/>
  <c r="BM1211" i="1"/>
  <c r="BL1211" i="1"/>
  <c r="BK1211" i="1"/>
  <c r="BH1211" i="1"/>
  <c r="BF1211" i="1"/>
  <c r="BG1211" i="1" s="1"/>
  <c r="BE1211" i="1"/>
  <c r="BR1210" i="1"/>
  <c r="BO1210" i="1"/>
  <c r="BN1210" i="1"/>
  <c r="BM1210" i="1"/>
  <c r="BL1210" i="1"/>
  <c r="BK1210" i="1"/>
  <c r="BH1210" i="1"/>
  <c r="BI1210" i="1" s="1"/>
  <c r="BF1210" i="1"/>
  <c r="BG1210" i="1" s="1"/>
  <c r="BE1210" i="1"/>
  <c r="BR1209" i="1"/>
  <c r="BO1209" i="1"/>
  <c r="BN1209" i="1"/>
  <c r="BM1209" i="1"/>
  <c r="BL1209" i="1"/>
  <c r="BK1209" i="1"/>
  <c r="BH1209" i="1"/>
  <c r="BF1209" i="1"/>
  <c r="BG1209" i="1" s="1"/>
  <c r="BE1209" i="1"/>
  <c r="BR1208" i="1"/>
  <c r="BO1208" i="1"/>
  <c r="BN1208" i="1"/>
  <c r="BM1208" i="1"/>
  <c r="BL1208" i="1"/>
  <c r="BK1208" i="1"/>
  <c r="BH1208" i="1"/>
  <c r="BF1208" i="1"/>
  <c r="BG1208" i="1" s="1"/>
  <c r="BE1208" i="1"/>
  <c r="BR1207" i="1"/>
  <c r="BO1207" i="1"/>
  <c r="BN1207" i="1"/>
  <c r="BM1207" i="1"/>
  <c r="BL1207" i="1"/>
  <c r="BK1207" i="1"/>
  <c r="BH1207" i="1"/>
  <c r="BJ1207" i="1" s="1"/>
  <c r="BF1207" i="1"/>
  <c r="BG1207" i="1" s="1"/>
  <c r="BE1207" i="1"/>
  <c r="BR1206" i="1"/>
  <c r="BO1206" i="1"/>
  <c r="BN1206" i="1"/>
  <c r="BM1206" i="1"/>
  <c r="BL1206" i="1"/>
  <c r="BK1206" i="1"/>
  <c r="BH1206" i="1"/>
  <c r="BI1206" i="1" s="1"/>
  <c r="BF1206" i="1"/>
  <c r="BG1206" i="1" s="1"/>
  <c r="BE1206" i="1"/>
  <c r="BR1205" i="1"/>
  <c r="BO1205" i="1"/>
  <c r="BN1205" i="1"/>
  <c r="BM1205" i="1"/>
  <c r="BL1205" i="1"/>
  <c r="BK1205" i="1"/>
  <c r="BH1205" i="1"/>
  <c r="BJ1205" i="1" s="1"/>
  <c r="BF1205" i="1"/>
  <c r="BG1205" i="1" s="1"/>
  <c r="BE1205" i="1"/>
  <c r="BR1204" i="1"/>
  <c r="BO1204" i="1"/>
  <c r="BN1204" i="1"/>
  <c r="BM1204" i="1"/>
  <c r="BL1204" i="1"/>
  <c r="BK1204" i="1"/>
  <c r="BH1204" i="1"/>
  <c r="BF1204" i="1"/>
  <c r="BG1204" i="1" s="1"/>
  <c r="BE1204" i="1"/>
  <c r="BR1203" i="1"/>
  <c r="BO1203" i="1"/>
  <c r="BN1203" i="1"/>
  <c r="BM1203" i="1"/>
  <c r="BL1203" i="1"/>
  <c r="BK1203" i="1"/>
  <c r="BH1203" i="1"/>
  <c r="BF1203" i="1"/>
  <c r="BG1203" i="1" s="1"/>
  <c r="BE1203" i="1"/>
  <c r="BR1202" i="1"/>
  <c r="BO1202" i="1"/>
  <c r="BN1202" i="1"/>
  <c r="BM1202" i="1"/>
  <c r="BL1202" i="1"/>
  <c r="BK1202" i="1"/>
  <c r="BH1202" i="1"/>
  <c r="BI1202" i="1" s="1"/>
  <c r="BF1202" i="1"/>
  <c r="BG1202" i="1" s="1"/>
  <c r="BE1202" i="1"/>
  <c r="BR1201" i="1"/>
  <c r="BO1201" i="1"/>
  <c r="BN1201" i="1"/>
  <c r="BM1201" i="1"/>
  <c r="BL1201" i="1"/>
  <c r="BK1201" i="1"/>
  <c r="BH1201" i="1"/>
  <c r="BF1201" i="1"/>
  <c r="BG1201" i="1" s="1"/>
  <c r="BE1201" i="1"/>
  <c r="BR1200" i="1"/>
  <c r="BO1200" i="1"/>
  <c r="BN1200" i="1"/>
  <c r="BM1200" i="1"/>
  <c r="BL1200" i="1"/>
  <c r="BK1200" i="1"/>
  <c r="BH1200" i="1"/>
  <c r="BF1200" i="1"/>
  <c r="BG1200" i="1" s="1"/>
  <c r="BE1200" i="1"/>
  <c r="BR1199" i="1"/>
  <c r="BO1199" i="1"/>
  <c r="BN1199" i="1"/>
  <c r="BM1199" i="1"/>
  <c r="BL1199" i="1"/>
  <c r="BK1199" i="1"/>
  <c r="BH1199" i="1"/>
  <c r="BJ1199" i="1" s="1"/>
  <c r="BF1199" i="1"/>
  <c r="BG1199" i="1" s="1"/>
  <c r="BE1199" i="1"/>
  <c r="BR1198" i="1"/>
  <c r="BO1198" i="1"/>
  <c r="BN1198" i="1"/>
  <c r="BM1198" i="1"/>
  <c r="BL1198" i="1"/>
  <c r="BK1198" i="1"/>
  <c r="BH1198" i="1"/>
  <c r="BI1198" i="1" s="1"/>
  <c r="BF1198" i="1"/>
  <c r="BG1198" i="1" s="1"/>
  <c r="BE1198" i="1"/>
  <c r="BR1197" i="1"/>
  <c r="BO1197" i="1"/>
  <c r="BN1197" i="1"/>
  <c r="BM1197" i="1"/>
  <c r="BL1197" i="1"/>
  <c r="BK1197" i="1"/>
  <c r="BH1197" i="1"/>
  <c r="BJ1197" i="1" s="1"/>
  <c r="BF1197" i="1"/>
  <c r="BG1197" i="1" s="1"/>
  <c r="BE1197" i="1"/>
  <c r="BR1196" i="1"/>
  <c r="BO1196" i="1"/>
  <c r="BN1196" i="1"/>
  <c r="BM1196" i="1"/>
  <c r="BL1196" i="1"/>
  <c r="BK1196" i="1"/>
  <c r="BH1196" i="1"/>
  <c r="BI1196" i="1" s="1"/>
  <c r="BF1196" i="1"/>
  <c r="BG1196" i="1" s="1"/>
  <c r="BE1196" i="1"/>
  <c r="BR1195" i="1"/>
  <c r="BO1195" i="1"/>
  <c r="BN1195" i="1"/>
  <c r="BM1195" i="1"/>
  <c r="BL1195" i="1"/>
  <c r="BK1195" i="1"/>
  <c r="BH1195" i="1"/>
  <c r="BF1195" i="1"/>
  <c r="BG1195" i="1" s="1"/>
  <c r="BE1195" i="1"/>
  <c r="BR1194" i="1"/>
  <c r="BO1194" i="1"/>
  <c r="BN1194" i="1"/>
  <c r="BM1194" i="1"/>
  <c r="BL1194" i="1"/>
  <c r="BK1194" i="1"/>
  <c r="BH1194" i="1"/>
  <c r="BI1194" i="1" s="1"/>
  <c r="BF1194" i="1"/>
  <c r="BG1194" i="1" s="1"/>
  <c r="BE1194" i="1"/>
  <c r="BR1193" i="1"/>
  <c r="BO1193" i="1"/>
  <c r="BN1193" i="1"/>
  <c r="BM1193" i="1"/>
  <c r="BL1193" i="1"/>
  <c r="BK1193" i="1"/>
  <c r="BH1193" i="1"/>
  <c r="BJ1193" i="1" s="1"/>
  <c r="BF1193" i="1"/>
  <c r="BG1193" i="1" s="1"/>
  <c r="BE1193" i="1"/>
  <c r="BR1192" i="1"/>
  <c r="BO1192" i="1"/>
  <c r="BN1192" i="1"/>
  <c r="BM1192" i="1"/>
  <c r="BL1192" i="1"/>
  <c r="BK1192" i="1"/>
  <c r="BH1192" i="1"/>
  <c r="BI1192" i="1" s="1"/>
  <c r="BF1192" i="1"/>
  <c r="BG1192" i="1" s="1"/>
  <c r="BE1192" i="1"/>
  <c r="BR1191" i="1"/>
  <c r="BO1191" i="1"/>
  <c r="BN1191" i="1"/>
  <c r="BM1191" i="1"/>
  <c r="BL1191" i="1"/>
  <c r="BK1191" i="1"/>
  <c r="BH1191" i="1"/>
  <c r="BJ1191" i="1" s="1"/>
  <c r="BF1191" i="1"/>
  <c r="BG1191" i="1" s="1"/>
  <c r="BE1191" i="1"/>
  <c r="BR1190" i="1"/>
  <c r="BO1190" i="1"/>
  <c r="BN1190" i="1"/>
  <c r="BM1190" i="1"/>
  <c r="BL1190" i="1"/>
  <c r="BK1190" i="1"/>
  <c r="BH1190" i="1"/>
  <c r="BI1190" i="1" s="1"/>
  <c r="BF1190" i="1"/>
  <c r="BG1190" i="1" s="1"/>
  <c r="BE1190" i="1"/>
  <c r="BR1189" i="1"/>
  <c r="BO1189" i="1"/>
  <c r="BN1189" i="1"/>
  <c r="BM1189" i="1"/>
  <c r="BL1189" i="1"/>
  <c r="BK1189" i="1"/>
  <c r="BH1189" i="1"/>
  <c r="BJ1189" i="1" s="1"/>
  <c r="BF1189" i="1"/>
  <c r="BG1189" i="1" s="1"/>
  <c r="BE1189" i="1"/>
  <c r="BR1188" i="1"/>
  <c r="BO1188" i="1"/>
  <c r="BN1188" i="1"/>
  <c r="BM1188" i="1"/>
  <c r="BL1188" i="1"/>
  <c r="BK1188" i="1"/>
  <c r="BH1188" i="1"/>
  <c r="BI1188" i="1" s="1"/>
  <c r="BF1188" i="1"/>
  <c r="BG1188" i="1" s="1"/>
  <c r="BE1188" i="1"/>
  <c r="BR1187" i="1"/>
  <c r="BO1187" i="1"/>
  <c r="BN1187" i="1"/>
  <c r="BM1187" i="1"/>
  <c r="BL1187" i="1"/>
  <c r="BK1187" i="1"/>
  <c r="BH1187" i="1"/>
  <c r="BJ1187" i="1" s="1"/>
  <c r="BF1187" i="1"/>
  <c r="BG1187" i="1" s="1"/>
  <c r="BE1187" i="1"/>
  <c r="BR1186" i="1"/>
  <c r="BO1186" i="1"/>
  <c r="BN1186" i="1"/>
  <c r="BM1186" i="1"/>
  <c r="BL1186" i="1"/>
  <c r="BK1186" i="1"/>
  <c r="BH1186" i="1"/>
  <c r="BI1186" i="1" s="1"/>
  <c r="BF1186" i="1"/>
  <c r="BG1186" i="1" s="1"/>
  <c r="BE1186" i="1"/>
  <c r="BR1185" i="1"/>
  <c r="BO1185" i="1"/>
  <c r="BN1185" i="1"/>
  <c r="BM1185" i="1"/>
  <c r="BL1185" i="1"/>
  <c r="BK1185" i="1"/>
  <c r="BH1185" i="1"/>
  <c r="BF1185" i="1"/>
  <c r="BG1185" i="1" s="1"/>
  <c r="BE1185" i="1"/>
  <c r="BR1184" i="1"/>
  <c r="BO1184" i="1"/>
  <c r="BN1184" i="1"/>
  <c r="BM1184" i="1"/>
  <c r="BL1184" i="1"/>
  <c r="BK1184" i="1"/>
  <c r="BH1184" i="1"/>
  <c r="BI1184" i="1" s="1"/>
  <c r="BF1184" i="1"/>
  <c r="BG1184" i="1" s="1"/>
  <c r="BE1184" i="1"/>
  <c r="BR1183" i="1"/>
  <c r="BO1183" i="1"/>
  <c r="BN1183" i="1"/>
  <c r="BM1183" i="1"/>
  <c r="BL1183" i="1"/>
  <c r="BK1183" i="1"/>
  <c r="BH1183" i="1"/>
  <c r="BJ1183" i="1" s="1"/>
  <c r="BF1183" i="1"/>
  <c r="BG1183" i="1" s="1"/>
  <c r="BE1183" i="1"/>
  <c r="BR1182" i="1"/>
  <c r="BO1182" i="1"/>
  <c r="BN1182" i="1"/>
  <c r="BM1182" i="1"/>
  <c r="BL1182" i="1"/>
  <c r="BK1182" i="1"/>
  <c r="BH1182" i="1"/>
  <c r="BI1182" i="1" s="1"/>
  <c r="BF1182" i="1"/>
  <c r="BG1182" i="1" s="1"/>
  <c r="BE1182" i="1"/>
  <c r="BR1181" i="1"/>
  <c r="BO1181" i="1"/>
  <c r="BN1181" i="1"/>
  <c r="BM1181" i="1"/>
  <c r="BL1181" i="1"/>
  <c r="BK1181" i="1"/>
  <c r="BH1181" i="1"/>
  <c r="BI1181" i="1" s="1"/>
  <c r="BF1181" i="1"/>
  <c r="BG1181" i="1" s="1"/>
  <c r="BE1181" i="1"/>
  <c r="BR1180" i="1"/>
  <c r="BO1180" i="1"/>
  <c r="BN1180" i="1"/>
  <c r="BM1180" i="1"/>
  <c r="BL1180" i="1"/>
  <c r="BK1180" i="1"/>
  <c r="BH1180" i="1"/>
  <c r="BI1180" i="1" s="1"/>
  <c r="BF1180" i="1"/>
  <c r="BG1180" i="1" s="1"/>
  <c r="BE1180" i="1"/>
  <c r="BR1179" i="1"/>
  <c r="BO1179" i="1"/>
  <c r="BN1179" i="1"/>
  <c r="BM1179" i="1"/>
  <c r="BL1179" i="1"/>
  <c r="BK1179" i="1"/>
  <c r="BH1179" i="1"/>
  <c r="BI1179" i="1" s="1"/>
  <c r="BF1179" i="1"/>
  <c r="BG1179" i="1" s="1"/>
  <c r="BE1179" i="1"/>
  <c r="BR1178" i="1"/>
  <c r="BO1178" i="1"/>
  <c r="BN1178" i="1"/>
  <c r="BM1178" i="1"/>
  <c r="BL1178" i="1"/>
  <c r="BK1178" i="1"/>
  <c r="BH1178" i="1"/>
  <c r="BF1178" i="1"/>
  <c r="BG1178" i="1" s="1"/>
  <c r="BE1178" i="1"/>
  <c r="BR1177" i="1"/>
  <c r="BO1177" i="1"/>
  <c r="BN1177" i="1"/>
  <c r="BM1177" i="1"/>
  <c r="BL1177" i="1"/>
  <c r="BK1177" i="1"/>
  <c r="BH1177" i="1"/>
  <c r="BJ1177" i="1" s="1"/>
  <c r="BF1177" i="1"/>
  <c r="BG1177" i="1" s="1"/>
  <c r="BE1177" i="1"/>
  <c r="BR1176" i="1"/>
  <c r="BO1176" i="1"/>
  <c r="BN1176" i="1"/>
  <c r="BM1176" i="1"/>
  <c r="BL1176" i="1"/>
  <c r="BK1176" i="1"/>
  <c r="BH1176" i="1"/>
  <c r="BI1176" i="1" s="1"/>
  <c r="BF1176" i="1"/>
  <c r="BG1176" i="1" s="1"/>
  <c r="BE1176" i="1"/>
  <c r="BR1175" i="1"/>
  <c r="BO1175" i="1"/>
  <c r="BN1175" i="1"/>
  <c r="BM1175" i="1"/>
  <c r="BL1175" i="1"/>
  <c r="BK1175" i="1"/>
  <c r="BH1175" i="1"/>
  <c r="BJ1175" i="1" s="1"/>
  <c r="BF1175" i="1"/>
  <c r="BG1175" i="1" s="1"/>
  <c r="BE1175" i="1"/>
  <c r="BR1174" i="1"/>
  <c r="BO1174" i="1"/>
  <c r="BN1174" i="1"/>
  <c r="BM1174" i="1"/>
  <c r="BL1174" i="1"/>
  <c r="BK1174" i="1"/>
  <c r="BH1174" i="1"/>
  <c r="BJ1174" i="1" s="1"/>
  <c r="BF1174" i="1"/>
  <c r="BG1174" i="1" s="1"/>
  <c r="BE1174" i="1"/>
  <c r="BR1173" i="1"/>
  <c r="BO1173" i="1"/>
  <c r="BN1173" i="1"/>
  <c r="BM1173" i="1"/>
  <c r="BL1173" i="1"/>
  <c r="BK1173" i="1"/>
  <c r="BH1173" i="1"/>
  <c r="BJ1173" i="1" s="1"/>
  <c r="BF1173" i="1"/>
  <c r="BG1173" i="1" s="1"/>
  <c r="BE1173" i="1"/>
  <c r="BR1172" i="1"/>
  <c r="BO1172" i="1"/>
  <c r="BN1172" i="1"/>
  <c r="BM1172" i="1"/>
  <c r="BL1172" i="1"/>
  <c r="BK1172" i="1"/>
  <c r="BH1172" i="1"/>
  <c r="BJ1172" i="1" s="1"/>
  <c r="BF1172" i="1"/>
  <c r="BG1172" i="1" s="1"/>
  <c r="BE1172" i="1"/>
  <c r="BR1171" i="1"/>
  <c r="BO1171" i="1"/>
  <c r="BN1171" i="1"/>
  <c r="BM1171" i="1"/>
  <c r="BL1171" i="1"/>
  <c r="BK1171" i="1"/>
  <c r="BH1171" i="1"/>
  <c r="BJ1171" i="1" s="1"/>
  <c r="BF1171" i="1"/>
  <c r="BG1171" i="1" s="1"/>
  <c r="BE1171" i="1"/>
  <c r="BR1170" i="1"/>
  <c r="BO1170" i="1"/>
  <c r="BN1170" i="1"/>
  <c r="BM1170" i="1"/>
  <c r="BL1170" i="1"/>
  <c r="BK1170" i="1"/>
  <c r="BH1170" i="1"/>
  <c r="BJ1170" i="1" s="1"/>
  <c r="BF1170" i="1"/>
  <c r="BG1170" i="1" s="1"/>
  <c r="BE1170" i="1"/>
  <c r="BR1169" i="1"/>
  <c r="BO1169" i="1"/>
  <c r="BN1169" i="1"/>
  <c r="BM1169" i="1"/>
  <c r="BL1169" i="1"/>
  <c r="BK1169" i="1"/>
  <c r="BH1169" i="1"/>
  <c r="BJ1169" i="1" s="1"/>
  <c r="BF1169" i="1"/>
  <c r="BG1169" i="1" s="1"/>
  <c r="BE1169" i="1"/>
  <c r="BR1168" i="1"/>
  <c r="BO1168" i="1"/>
  <c r="BN1168" i="1"/>
  <c r="BM1168" i="1"/>
  <c r="BL1168" i="1"/>
  <c r="BK1168" i="1"/>
  <c r="BH1168" i="1"/>
  <c r="BF1168" i="1"/>
  <c r="BG1168" i="1" s="1"/>
  <c r="BE1168" i="1"/>
  <c r="BR1167" i="1"/>
  <c r="BO1167" i="1"/>
  <c r="BN1167" i="1"/>
  <c r="BM1167" i="1"/>
  <c r="BL1167" i="1"/>
  <c r="BK1167" i="1"/>
  <c r="BH1167" i="1"/>
  <c r="BJ1167" i="1" s="1"/>
  <c r="BF1167" i="1"/>
  <c r="BG1167" i="1" s="1"/>
  <c r="BE1167" i="1"/>
  <c r="BR1166" i="1"/>
  <c r="BO1166" i="1"/>
  <c r="BN1166" i="1"/>
  <c r="BM1166" i="1"/>
  <c r="BL1166" i="1"/>
  <c r="BK1166" i="1"/>
  <c r="BH1166" i="1"/>
  <c r="BJ1166" i="1" s="1"/>
  <c r="BF1166" i="1"/>
  <c r="BG1166" i="1" s="1"/>
  <c r="BE1166" i="1"/>
  <c r="BR1165" i="1"/>
  <c r="BO1165" i="1"/>
  <c r="BN1165" i="1"/>
  <c r="BM1165" i="1"/>
  <c r="BL1165" i="1"/>
  <c r="BK1165" i="1"/>
  <c r="BH1165" i="1"/>
  <c r="BJ1165" i="1" s="1"/>
  <c r="BF1165" i="1"/>
  <c r="BG1165" i="1" s="1"/>
  <c r="BE1165" i="1"/>
  <c r="BR1164" i="1"/>
  <c r="BO1164" i="1"/>
  <c r="BN1164" i="1"/>
  <c r="BM1164" i="1"/>
  <c r="BL1164" i="1"/>
  <c r="BK1164" i="1"/>
  <c r="BH1164" i="1"/>
  <c r="BF1164" i="1"/>
  <c r="BG1164" i="1" s="1"/>
  <c r="BE1164" i="1"/>
  <c r="BR1163" i="1"/>
  <c r="BO1163" i="1"/>
  <c r="BN1163" i="1"/>
  <c r="BM1163" i="1"/>
  <c r="BL1163" i="1"/>
  <c r="BK1163" i="1"/>
  <c r="BH1163" i="1"/>
  <c r="BJ1163" i="1" s="1"/>
  <c r="BF1163" i="1"/>
  <c r="BG1163" i="1" s="1"/>
  <c r="BE1163" i="1"/>
  <c r="BR1162" i="1"/>
  <c r="BO1162" i="1"/>
  <c r="BN1162" i="1"/>
  <c r="BM1162" i="1"/>
  <c r="BL1162" i="1"/>
  <c r="BK1162" i="1"/>
  <c r="BH1162" i="1"/>
  <c r="BJ1162" i="1" s="1"/>
  <c r="BF1162" i="1"/>
  <c r="BG1162" i="1" s="1"/>
  <c r="BE1162" i="1"/>
  <c r="BR1161" i="1"/>
  <c r="BO1161" i="1"/>
  <c r="BN1161" i="1"/>
  <c r="BM1161" i="1"/>
  <c r="BL1161" i="1"/>
  <c r="BK1161" i="1"/>
  <c r="BH1161" i="1"/>
  <c r="BJ1161" i="1" s="1"/>
  <c r="BF1161" i="1"/>
  <c r="BG1161" i="1" s="1"/>
  <c r="BE1161" i="1"/>
  <c r="BR1160" i="1"/>
  <c r="BO1160" i="1"/>
  <c r="BN1160" i="1"/>
  <c r="BM1160" i="1"/>
  <c r="BL1160" i="1"/>
  <c r="BK1160" i="1"/>
  <c r="BH1160" i="1"/>
  <c r="BJ1160" i="1" s="1"/>
  <c r="BF1160" i="1"/>
  <c r="BG1160" i="1" s="1"/>
  <c r="BE1160" i="1"/>
  <c r="BR1159" i="1"/>
  <c r="BO1159" i="1"/>
  <c r="BN1159" i="1"/>
  <c r="BM1159" i="1"/>
  <c r="BL1159" i="1"/>
  <c r="BK1159" i="1"/>
  <c r="BH1159" i="1"/>
  <c r="BJ1159" i="1" s="1"/>
  <c r="BF1159" i="1"/>
  <c r="BG1159" i="1" s="1"/>
  <c r="BE1159" i="1"/>
  <c r="BR1158" i="1"/>
  <c r="BO1158" i="1"/>
  <c r="BN1158" i="1"/>
  <c r="BM1158" i="1"/>
  <c r="BL1158" i="1"/>
  <c r="BK1158" i="1"/>
  <c r="BH1158" i="1"/>
  <c r="BJ1158" i="1" s="1"/>
  <c r="BF1158" i="1"/>
  <c r="BG1158" i="1" s="1"/>
  <c r="BE1158" i="1"/>
  <c r="BR1157" i="1"/>
  <c r="BO1157" i="1"/>
  <c r="BN1157" i="1"/>
  <c r="BM1157" i="1"/>
  <c r="BL1157" i="1"/>
  <c r="BK1157" i="1"/>
  <c r="BH1157" i="1"/>
  <c r="BJ1157" i="1" s="1"/>
  <c r="BF1157" i="1"/>
  <c r="BG1157" i="1" s="1"/>
  <c r="BE1157" i="1"/>
  <c r="BR1156" i="1"/>
  <c r="BO1156" i="1"/>
  <c r="BN1156" i="1"/>
  <c r="BM1156" i="1"/>
  <c r="BL1156" i="1"/>
  <c r="BK1156" i="1"/>
  <c r="BH1156" i="1"/>
  <c r="BJ1156" i="1" s="1"/>
  <c r="BF1156" i="1"/>
  <c r="BG1156" i="1" s="1"/>
  <c r="BE1156" i="1"/>
  <c r="BR1155" i="1"/>
  <c r="BO1155" i="1"/>
  <c r="BN1155" i="1"/>
  <c r="BM1155" i="1"/>
  <c r="BL1155" i="1"/>
  <c r="BK1155" i="1"/>
  <c r="BH1155" i="1"/>
  <c r="BJ1155" i="1" s="1"/>
  <c r="BF1155" i="1"/>
  <c r="BG1155" i="1" s="1"/>
  <c r="BE1155" i="1"/>
  <c r="BR1154" i="1"/>
  <c r="BO1154" i="1"/>
  <c r="BN1154" i="1"/>
  <c r="BM1154" i="1"/>
  <c r="BL1154" i="1"/>
  <c r="BK1154" i="1"/>
  <c r="BH1154" i="1"/>
  <c r="BJ1154" i="1" s="1"/>
  <c r="BF1154" i="1"/>
  <c r="BG1154" i="1" s="1"/>
  <c r="BE1154" i="1"/>
  <c r="BR1153" i="1"/>
  <c r="BO1153" i="1"/>
  <c r="BN1153" i="1"/>
  <c r="BM1153" i="1"/>
  <c r="BL1153" i="1"/>
  <c r="BK1153" i="1"/>
  <c r="BH1153" i="1"/>
  <c r="BJ1153" i="1" s="1"/>
  <c r="BF1153" i="1"/>
  <c r="BG1153" i="1" s="1"/>
  <c r="BE1153" i="1"/>
  <c r="BR1152" i="1"/>
  <c r="BO1152" i="1"/>
  <c r="BN1152" i="1"/>
  <c r="BM1152" i="1"/>
  <c r="BL1152" i="1"/>
  <c r="BK1152" i="1"/>
  <c r="BH1152" i="1"/>
  <c r="BF1152" i="1"/>
  <c r="BG1152" i="1" s="1"/>
  <c r="BE1152" i="1"/>
  <c r="BR1151" i="1"/>
  <c r="BO1151" i="1"/>
  <c r="BN1151" i="1"/>
  <c r="BM1151" i="1"/>
  <c r="BL1151" i="1"/>
  <c r="BK1151" i="1"/>
  <c r="BH1151" i="1"/>
  <c r="BJ1151" i="1" s="1"/>
  <c r="BF1151" i="1"/>
  <c r="BG1151" i="1" s="1"/>
  <c r="BE1151" i="1"/>
  <c r="BR1150" i="1"/>
  <c r="BO1150" i="1"/>
  <c r="BN1150" i="1"/>
  <c r="BM1150" i="1"/>
  <c r="BL1150" i="1"/>
  <c r="BK1150" i="1"/>
  <c r="BH1150" i="1"/>
  <c r="BJ1150" i="1" s="1"/>
  <c r="BF1150" i="1"/>
  <c r="BG1150" i="1" s="1"/>
  <c r="BE1150" i="1"/>
  <c r="BR1149" i="1"/>
  <c r="BO1149" i="1"/>
  <c r="BN1149" i="1"/>
  <c r="BM1149" i="1"/>
  <c r="BL1149" i="1"/>
  <c r="BK1149" i="1"/>
  <c r="BH1149" i="1"/>
  <c r="BJ1149" i="1" s="1"/>
  <c r="BF1149" i="1"/>
  <c r="BG1149" i="1" s="1"/>
  <c r="BE1149" i="1"/>
  <c r="BR1148" i="1"/>
  <c r="BO1148" i="1"/>
  <c r="BN1148" i="1"/>
  <c r="BM1148" i="1"/>
  <c r="BL1148" i="1"/>
  <c r="BK1148" i="1"/>
  <c r="BH1148" i="1"/>
  <c r="BF1148" i="1"/>
  <c r="BG1148" i="1" s="1"/>
  <c r="BE1148" i="1"/>
  <c r="BR1147" i="1"/>
  <c r="BO1147" i="1"/>
  <c r="BN1147" i="1"/>
  <c r="BM1147" i="1"/>
  <c r="BL1147" i="1"/>
  <c r="BK1147" i="1"/>
  <c r="BH1147" i="1"/>
  <c r="BF1147" i="1"/>
  <c r="BG1147" i="1" s="1"/>
  <c r="BE1147" i="1"/>
  <c r="BR1146" i="1"/>
  <c r="BO1146" i="1"/>
  <c r="BN1146" i="1"/>
  <c r="BM1146" i="1"/>
  <c r="BL1146" i="1"/>
  <c r="BK1146" i="1"/>
  <c r="BH1146" i="1"/>
  <c r="BJ1146" i="1" s="1"/>
  <c r="BF1146" i="1"/>
  <c r="BG1146" i="1" s="1"/>
  <c r="BE1146" i="1"/>
  <c r="BR1145" i="1"/>
  <c r="BO1145" i="1"/>
  <c r="BN1145" i="1"/>
  <c r="BM1145" i="1"/>
  <c r="BL1145" i="1"/>
  <c r="BK1145" i="1"/>
  <c r="BH1145" i="1"/>
  <c r="BF1145" i="1"/>
  <c r="BG1145" i="1" s="1"/>
  <c r="BE1145" i="1"/>
  <c r="BR1144" i="1"/>
  <c r="BO1144" i="1"/>
  <c r="BN1144" i="1"/>
  <c r="BM1144" i="1"/>
  <c r="BL1144" i="1"/>
  <c r="BK1144" i="1"/>
  <c r="BH1144" i="1"/>
  <c r="BJ1144" i="1" s="1"/>
  <c r="BF1144" i="1"/>
  <c r="BG1144" i="1" s="1"/>
  <c r="BE1144" i="1"/>
  <c r="BR1143" i="1"/>
  <c r="BO1143" i="1"/>
  <c r="BN1143" i="1"/>
  <c r="BM1143" i="1"/>
  <c r="BL1143" i="1"/>
  <c r="BK1143" i="1"/>
  <c r="BH1143" i="1"/>
  <c r="BF1143" i="1"/>
  <c r="BG1143" i="1" s="1"/>
  <c r="BE1143" i="1"/>
  <c r="BR1142" i="1"/>
  <c r="BO1142" i="1"/>
  <c r="BN1142" i="1"/>
  <c r="BM1142" i="1"/>
  <c r="BL1142" i="1"/>
  <c r="BK1142" i="1"/>
  <c r="BH1142" i="1"/>
  <c r="BJ1142" i="1" s="1"/>
  <c r="BF1142" i="1"/>
  <c r="BG1142" i="1" s="1"/>
  <c r="BE1142" i="1"/>
  <c r="BR1141" i="1"/>
  <c r="BO1141" i="1"/>
  <c r="BN1141" i="1"/>
  <c r="BM1141" i="1"/>
  <c r="BL1141" i="1"/>
  <c r="BK1141" i="1"/>
  <c r="BH1141" i="1"/>
  <c r="BF1141" i="1"/>
  <c r="BG1141" i="1" s="1"/>
  <c r="BE1141" i="1"/>
  <c r="BR1140" i="1"/>
  <c r="BO1140" i="1"/>
  <c r="BN1140" i="1"/>
  <c r="BM1140" i="1"/>
  <c r="BL1140" i="1"/>
  <c r="BK1140" i="1"/>
  <c r="BH1140" i="1"/>
  <c r="BJ1140" i="1" s="1"/>
  <c r="BF1140" i="1"/>
  <c r="BG1140" i="1" s="1"/>
  <c r="BE1140" i="1"/>
  <c r="BR1139" i="1"/>
  <c r="BO1139" i="1"/>
  <c r="BN1139" i="1"/>
  <c r="BM1139" i="1"/>
  <c r="BL1139" i="1"/>
  <c r="BK1139" i="1"/>
  <c r="BH1139" i="1"/>
  <c r="BF1139" i="1"/>
  <c r="BG1139" i="1" s="1"/>
  <c r="BE1139" i="1"/>
  <c r="BR1138" i="1"/>
  <c r="BO1138" i="1"/>
  <c r="BN1138" i="1"/>
  <c r="BM1138" i="1"/>
  <c r="BL1138" i="1"/>
  <c r="BK1138" i="1"/>
  <c r="BH1138" i="1"/>
  <c r="BJ1138" i="1" s="1"/>
  <c r="BF1138" i="1"/>
  <c r="BG1138" i="1" s="1"/>
  <c r="BE1138" i="1"/>
  <c r="BR1137" i="1"/>
  <c r="BO1137" i="1"/>
  <c r="BN1137" i="1"/>
  <c r="BM1137" i="1"/>
  <c r="BL1137" i="1"/>
  <c r="BK1137" i="1"/>
  <c r="BH1137" i="1"/>
  <c r="BF1137" i="1"/>
  <c r="BG1137" i="1" s="1"/>
  <c r="BE1137" i="1"/>
  <c r="BR1136" i="1"/>
  <c r="BO1136" i="1"/>
  <c r="BN1136" i="1"/>
  <c r="BM1136" i="1"/>
  <c r="BL1136" i="1"/>
  <c r="BK1136" i="1"/>
  <c r="BH1136" i="1"/>
  <c r="BF1136" i="1"/>
  <c r="BG1136" i="1" s="1"/>
  <c r="BE1136" i="1"/>
  <c r="BR1135" i="1"/>
  <c r="BO1135" i="1"/>
  <c r="BN1135" i="1"/>
  <c r="BM1135" i="1"/>
  <c r="BL1135" i="1"/>
  <c r="BK1135" i="1"/>
  <c r="BH1135" i="1"/>
  <c r="BF1135" i="1"/>
  <c r="BG1135" i="1" s="1"/>
  <c r="BE1135" i="1"/>
  <c r="BR1134" i="1"/>
  <c r="BO1134" i="1"/>
  <c r="BN1134" i="1"/>
  <c r="BM1134" i="1"/>
  <c r="BL1134" i="1"/>
  <c r="BK1134" i="1"/>
  <c r="BH1134" i="1"/>
  <c r="BJ1134" i="1" s="1"/>
  <c r="BF1134" i="1"/>
  <c r="BG1134" i="1" s="1"/>
  <c r="BE1134" i="1"/>
  <c r="BR1133" i="1"/>
  <c r="BO1133" i="1"/>
  <c r="BN1133" i="1"/>
  <c r="BM1133" i="1"/>
  <c r="BL1133" i="1"/>
  <c r="BK1133" i="1"/>
  <c r="BH1133" i="1"/>
  <c r="BF1133" i="1"/>
  <c r="BG1133" i="1" s="1"/>
  <c r="BE1133" i="1"/>
  <c r="BR1132" i="1"/>
  <c r="BO1132" i="1"/>
  <c r="BN1132" i="1"/>
  <c r="BM1132" i="1"/>
  <c r="BL1132" i="1"/>
  <c r="BK1132" i="1"/>
  <c r="BH1132" i="1"/>
  <c r="BF1132" i="1"/>
  <c r="BG1132" i="1" s="1"/>
  <c r="BE1132" i="1"/>
  <c r="BR1131" i="1"/>
  <c r="BO1131" i="1"/>
  <c r="BN1131" i="1"/>
  <c r="BM1131" i="1"/>
  <c r="BL1131" i="1"/>
  <c r="BK1131" i="1"/>
  <c r="BH1131" i="1"/>
  <c r="BF1131" i="1"/>
  <c r="BG1131" i="1" s="1"/>
  <c r="BE1131" i="1"/>
  <c r="BR1130" i="1"/>
  <c r="BO1130" i="1"/>
  <c r="BN1130" i="1"/>
  <c r="BM1130" i="1"/>
  <c r="BL1130" i="1"/>
  <c r="BK1130" i="1"/>
  <c r="BH1130" i="1"/>
  <c r="BJ1130" i="1" s="1"/>
  <c r="BF1130" i="1"/>
  <c r="BG1130" i="1" s="1"/>
  <c r="BE1130" i="1"/>
  <c r="BR1129" i="1"/>
  <c r="BO1129" i="1"/>
  <c r="BN1129" i="1"/>
  <c r="BM1129" i="1"/>
  <c r="BL1129" i="1"/>
  <c r="BK1129" i="1"/>
  <c r="BH1129" i="1"/>
  <c r="BF1129" i="1"/>
  <c r="BG1129" i="1" s="1"/>
  <c r="BE1129" i="1"/>
  <c r="BR1128" i="1"/>
  <c r="BO1128" i="1"/>
  <c r="BN1128" i="1"/>
  <c r="BM1128" i="1"/>
  <c r="BL1128" i="1"/>
  <c r="BK1128" i="1"/>
  <c r="BH1128" i="1"/>
  <c r="BJ1128" i="1" s="1"/>
  <c r="BF1128" i="1"/>
  <c r="BG1128" i="1" s="1"/>
  <c r="BE1128" i="1"/>
  <c r="BR1127" i="1"/>
  <c r="BO1127" i="1"/>
  <c r="BN1127" i="1"/>
  <c r="BM1127" i="1"/>
  <c r="BL1127" i="1"/>
  <c r="BK1127" i="1"/>
  <c r="BH1127" i="1"/>
  <c r="BF1127" i="1"/>
  <c r="BG1127" i="1" s="1"/>
  <c r="BE1127" i="1"/>
  <c r="BR1126" i="1"/>
  <c r="BO1126" i="1"/>
  <c r="BN1126" i="1"/>
  <c r="BM1126" i="1"/>
  <c r="BL1126" i="1"/>
  <c r="BK1126" i="1"/>
  <c r="BH1126" i="1"/>
  <c r="BJ1126" i="1" s="1"/>
  <c r="BF1126" i="1"/>
  <c r="BG1126" i="1" s="1"/>
  <c r="BE1126" i="1"/>
  <c r="BR1125" i="1"/>
  <c r="BO1125" i="1"/>
  <c r="BN1125" i="1"/>
  <c r="BM1125" i="1"/>
  <c r="BL1125" i="1"/>
  <c r="BK1125" i="1"/>
  <c r="BH1125" i="1"/>
  <c r="BF1125" i="1"/>
  <c r="BG1125" i="1" s="1"/>
  <c r="BE1125" i="1"/>
  <c r="BR1124" i="1"/>
  <c r="BO1124" i="1"/>
  <c r="BN1124" i="1"/>
  <c r="BM1124" i="1"/>
  <c r="BL1124" i="1"/>
  <c r="BK1124" i="1"/>
  <c r="BH1124" i="1"/>
  <c r="BJ1124" i="1" s="1"/>
  <c r="BF1124" i="1"/>
  <c r="BG1124" i="1" s="1"/>
  <c r="BE1124" i="1"/>
  <c r="BR1123" i="1"/>
  <c r="BO1123" i="1"/>
  <c r="BN1123" i="1"/>
  <c r="BM1123" i="1"/>
  <c r="BL1123" i="1"/>
  <c r="BK1123" i="1"/>
  <c r="BH1123" i="1"/>
  <c r="BF1123" i="1"/>
  <c r="BG1123" i="1" s="1"/>
  <c r="BE1123" i="1"/>
  <c r="BR1122" i="1"/>
  <c r="BO1122" i="1"/>
  <c r="BN1122" i="1"/>
  <c r="BM1122" i="1"/>
  <c r="BL1122" i="1"/>
  <c r="BK1122" i="1"/>
  <c r="BH1122" i="1"/>
  <c r="BJ1122" i="1" s="1"/>
  <c r="BF1122" i="1"/>
  <c r="BG1122" i="1" s="1"/>
  <c r="BE1122" i="1"/>
  <c r="BR1121" i="1"/>
  <c r="BO1121" i="1"/>
  <c r="BN1121" i="1"/>
  <c r="BM1121" i="1"/>
  <c r="BL1121" i="1"/>
  <c r="BK1121" i="1"/>
  <c r="BH1121" i="1"/>
  <c r="BF1121" i="1"/>
  <c r="BG1121" i="1" s="1"/>
  <c r="BE1121" i="1"/>
  <c r="BR1120" i="1"/>
  <c r="BO1120" i="1"/>
  <c r="BN1120" i="1"/>
  <c r="BM1120" i="1"/>
  <c r="BL1120" i="1"/>
  <c r="BK1120" i="1"/>
  <c r="BH1120" i="1"/>
  <c r="BF1120" i="1"/>
  <c r="BG1120" i="1" s="1"/>
  <c r="BE1120" i="1"/>
  <c r="BR1119" i="1"/>
  <c r="BO1119" i="1"/>
  <c r="BN1119" i="1"/>
  <c r="BM1119" i="1"/>
  <c r="BL1119" i="1"/>
  <c r="BK1119" i="1"/>
  <c r="BH1119" i="1"/>
  <c r="BF1119" i="1"/>
  <c r="BG1119" i="1" s="1"/>
  <c r="BE1119" i="1"/>
  <c r="BR1118" i="1"/>
  <c r="BO1118" i="1"/>
  <c r="BN1118" i="1"/>
  <c r="BM1118" i="1"/>
  <c r="BL1118" i="1"/>
  <c r="BK1118" i="1"/>
  <c r="BH1118" i="1"/>
  <c r="BJ1118" i="1" s="1"/>
  <c r="BF1118" i="1"/>
  <c r="BG1118" i="1" s="1"/>
  <c r="BE1118" i="1"/>
  <c r="BR1117" i="1"/>
  <c r="BO1117" i="1"/>
  <c r="BN1117" i="1"/>
  <c r="BM1117" i="1"/>
  <c r="BL1117" i="1"/>
  <c r="BK1117" i="1"/>
  <c r="BH1117" i="1"/>
  <c r="BF1117" i="1"/>
  <c r="BG1117" i="1" s="1"/>
  <c r="BE1117" i="1"/>
  <c r="BR1116" i="1"/>
  <c r="BO1116" i="1"/>
  <c r="BN1116" i="1"/>
  <c r="BM1116" i="1"/>
  <c r="BL1116" i="1"/>
  <c r="BK1116" i="1"/>
  <c r="BH1116" i="1"/>
  <c r="BF1116" i="1"/>
  <c r="BG1116" i="1" s="1"/>
  <c r="BE1116" i="1"/>
  <c r="BR1115" i="1"/>
  <c r="BO1115" i="1"/>
  <c r="BN1115" i="1"/>
  <c r="BM1115" i="1"/>
  <c r="BL1115" i="1"/>
  <c r="BK1115" i="1"/>
  <c r="BH1115" i="1"/>
  <c r="BF1115" i="1"/>
  <c r="BG1115" i="1" s="1"/>
  <c r="BE1115" i="1"/>
  <c r="BR1114" i="1"/>
  <c r="BO1114" i="1"/>
  <c r="BN1114" i="1"/>
  <c r="BM1114" i="1"/>
  <c r="BL1114" i="1"/>
  <c r="BK1114" i="1"/>
  <c r="BH1114" i="1"/>
  <c r="BJ1114" i="1" s="1"/>
  <c r="BF1114" i="1"/>
  <c r="BG1114" i="1" s="1"/>
  <c r="BE1114" i="1"/>
  <c r="BR1113" i="1"/>
  <c r="BO1113" i="1"/>
  <c r="BN1113" i="1"/>
  <c r="BM1113" i="1"/>
  <c r="BL1113" i="1"/>
  <c r="BK1113" i="1"/>
  <c r="BH1113" i="1"/>
  <c r="BF1113" i="1"/>
  <c r="BG1113" i="1" s="1"/>
  <c r="BE1113" i="1"/>
  <c r="BR1112" i="1"/>
  <c r="BO1112" i="1"/>
  <c r="BN1112" i="1"/>
  <c r="BM1112" i="1"/>
  <c r="BL1112" i="1"/>
  <c r="BK1112" i="1"/>
  <c r="BH1112" i="1"/>
  <c r="BJ1112" i="1" s="1"/>
  <c r="BF1112" i="1"/>
  <c r="BG1112" i="1" s="1"/>
  <c r="BE1112" i="1"/>
  <c r="BR1111" i="1"/>
  <c r="BO1111" i="1"/>
  <c r="BN1111" i="1"/>
  <c r="BM1111" i="1"/>
  <c r="BL1111" i="1"/>
  <c r="BK1111" i="1"/>
  <c r="BH1111" i="1"/>
  <c r="BF1111" i="1"/>
  <c r="BG1111" i="1" s="1"/>
  <c r="BE1111" i="1"/>
  <c r="BR1110" i="1"/>
  <c r="BO1110" i="1"/>
  <c r="BN1110" i="1"/>
  <c r="BM1110" i="1"/>
  <c r="BL1110" i="1"/>
  <c r="BK1110" i="1"/>
  <c r="BH1110" i="1"/>
  <c r="BJ1110" i="1" s="1"/>
  <c r="BF1110" i="1"/>
  <c r="BG1110" i="1" s="1"/>
  <c r="BE1110" i="1"/>
  <c r="BR1109" i="1"/>
  <c r="BO1109" i="1"/>
  <c r="BN1109" i="1"/>
  <c r="BM1109" i="1"/>
  <c r="BL1109" i="1"/>
  <c r="BK1109" i="1"/>
  <c r="BH1109" i="1"/>
  <c r="BF1109" i="1"/>
  <c r="BG1109" i="1" s="1"/>
  <c r="BE1109" i="1"/>
  <c r="BR1108" i="1"/>
  <c r="BO1108" i="1"/>
  <c r="BN1108" i="1"/>
  <c r="BM1108" i="1"/>
  <c r="BL1108" i="1"/>
  <c r="BK1108" i="1"/>
  <c r="BH1108" i="1"/>
  <c r="BJ1108" i="1" s="1"/>
  <c r="BF1108" i="1"/>
  <c r="BG1108" i="1" s="1"/>
  <c r="BE1108" i="1"/>
  <c r="BR1107" i="1"/>
  <c r="BO1107" i="1"/>
  <c r="BN1107" i="1"/>
  <c r="BM1107" i="1"/>
  <c r="BL1107" i="1"/>
  <c r="BK1107" i="1"/>
  <c r="BH1107" i="1"/>
  <c r="BF1107" i="1"/>
  <c r="BG1107" i="1" s="1"/>
  <c r="BE1107" i="1"/>
  <c r="BR1106" i="1"/>
  <c r="BO1106" i="1"/>
  <c r="BN1106" i="1"/>
  <c r="BM1106" i="1"/>
  <c r="BL1106" i="1"/>
  <c r="BK1106" i="1"/>
  <c r="BH1106" i="1"/>
  <c r="BJ1106" i="1" s="1"/>
  <c r="BF1106" i="1"/>
  <c r="BG1106" i="1" s="1"/>
  <c r="BE1106" i="1"/>
  <c r="BR1105" i="1"/>
  <c r="BO1105" i="1"/>
  <c r="BN1105" i="1"/>
  <c r="BM1105" i="1"/>
  <c r="BL1105" i="1"/>
  <c r="BK1105" i="1"/>
  <c r="BH1105" i="1"/>
  <c r="BI1105" i="1" s="1"/>
  <c r="BF1105" i="1"/>
  <c r="BG1105" i="1" s="1"/>
  <c r="BE1105" i="1"/>
  <c r="BR1104" i="1"/>
  <c r="BO1104" i="1"/>
  <c r="BN1104" i="1"/>
  <c r="BM1104" i="1"/>
  <c r="BL1104" i="1"/>
  <c r="BK1104" i="1"/>
  <c r="BH1104" i="1"/>
  <c r="BJ1104" i="1" s="1"/>
  <c r="BF1104" i="1"/>
  <c r="BG1104" i="1" s="1"/>
  <c r="BE1104" i="1"/>
  <c r="BR1103" i="1"/>
  <c r="BO1103" i="1"/>
  <c r="BN1103" i="1"/>
  <c r="BM1103" i="1"/>
  <c r="BL1103" i="1"/>
  <c r="BK1103" i="1"/>
  <c r="BH1103" i="1"/>
  <c r="BI1103" i="1" s="1"/>
  <c r="BF1103" i="1"/>
  <c r="BG1103" i="1" s="1"/>
  <c r="BE1103" i="1"/>
  <c r="BR1102" i="1"/>
  <c r="BO1102" i="1"/>
  <c r="BN1102" i="1"/>
  <c r="BM1102" i="1"/>
  <c r="BL1102" i="1"/>
  <c r="BK1102" i="1"/>
  <c r="BH1102" i="1"/>
  <c r="BF1102" i="1"/>
  <c r="BG1102" i="1" s="1"/>
  <c r="BE1102" i="1"/>
  <c r="BR1101" i="1"/>
  <c r="BO1101" i="1"/>
  <c r="BN1101" i="1"/>
  <c r="BM1101" i="1"/>
  <c r="BL1101" i="1"/>
  <c r="BK1101" i="1"/>
  <c r="BH1101" i="1"/>
  <c r="BI1101" i="1" s="1"/>
  <c r="BF1101" i="1"/>
  <c r="BG1101" i="1" s="1"/>
  <c r="BE1101" i="1"/>
  <c r="BR1100" i="1"/>
  <c r="BO1100" i="1"/>
  <c r="BN1100" i="1"/>
  <c r="BM1100" i="1"/>
  <c r="BL1100" i="1"/>
  <c r="BK1100" i="1"/>
  <c r="BH1100" i="1"/>
  <c r="BF1100" i="1"/>
  <c r="BG1100" i="1" s="1"/>
  <c r="BE1100" i="1"/>
  <c r="BR1099" i="1"/>
  <c r="BO1099" i="1"/>
  <c r="BN1099" i="1"/>
  <c r="BM1099" i="1"/>
  <c r="BL1099" i="1"/>
  <c r="BK1099" i="1"/>
  <c r="BH1099" i="1"/>
  <c r="BI1099" i="1" s="1"/>
  <c r="BF1099" i="1"/>
  <c r="BG1099" i="1" s="1"/>
  <c r="BE1099" i="1"/>
  <c r="BR1098" i="1"/>
  <c r="BO1098" i="1"/>
  <c r="BN1098" i="1"/>
  <c r="BM1098" i="1"/>
  <c r="BL1098" i="1"/>
  <c r="BK1098" i="1"/>
  <c r="BH1098" i="1"/>
  <c r="BF1098" i="1"/>
  <c r="BG1098" i="1" s="1"/>
  <c r="BE1098" i="1"/>
  <c r="BR1097" i="1"/>
  <c r="BO1097" i="1"/>
  <c r="BN1097" i="1"/>
  <c r="BM1097" i="1"/>
  <c r="BL1097" i="1"/>
  <c r="BK1097" i="1"/>
  <c r="BH1097" i="1"/>
  <c r="BI1097" i="1" s="1"/>
  <c r="BF1097" i="1"/>
  <c r="BG1097" i="1" s="1"/>
  <c r="BE1097" i="1"/>
  <c r="BR1096" i="1"/>
  <c r="BO1096" i="1"/>
  <c r="BN1096" i="1"/>
  <c r="BM1096" i="1"/>
  <c r="BL1096" i="1"/>
  <c r="BK1096" i="1"/>
  <c r="BH1096" i="1"/>
  <c r="BF1096" i="1"/>
  <c r="BG1096" i="1" s="1"/>
  <c r="BE1096" i="1"/>
  <c r="BR1095" i="1"/>
  <c r="BO1095" i="1"/>
  <c r="BN1095" i="1"/>
  <c r="BM1095" i="1"/>
  <c r="BL1095" i="1"/>
  <c r="BK1095" i="1"/>
  <c r="BH1095" i="1"/>
  <c r="BI1095" i="1" s="1"/>
  <c r="BF1095" i="1"/>
  <c r="BG1095" i="1" s="1"/>
  <c r="BE1095" i="1"/>
  <c r="BR1094" i="1"/>
  <c r="BO1094" i="1"/>
  <c r="BN1094" i="1"/>
  <c r="BM1094" i="1"/>
  <c r="BL1094" i="1"/>
  <c r="BK1094" i="1"/>
  <c r="BH1094" i="1"/>
  <c r="BJ1094" i="1" s="1"/>
  <c r="BF1094" i="1"/>
  <c r="BG1094" i="1" s="1"/>
  <c r="BE1094" i="1"/>
  <c r="BR1093" i="1"/>
  <c r="BO1093" i="1"/>
  <c r="BN1093" i="1"/>
  <c r="BM1093" i="1"/>
  <c r="BL1093" i="1"/>
  <c r="BK1093" i="1"/>
  <c r="BH1093" i="1"/>
  <c r="BF1093" i="1"/>
  <c r="BG1093" i="1" s="1"/>
  <c r="BE1093" i="1"/>
  <c r="BR1092" i="1"/>
  <c r="BO1092" i="1"/>
  <c r="BN1092" i="1"/>
  <c r="BM1092" i="1"/>
  <c r="BL1092" i="1"/>
  <c r="BK1092" i="1"/>
  <c r="BH1092" i="1"/>
  <c r="BJ1092" i="1" s="1"/>
  <c r="BF1092" i="1"/>
  <c r="BG1092" i="1" s="1"/>
  <c r="BE1092" i="1"/>
  <c r="BR1091" i="1"/>
  <c r="BO1091" i="1"/>
  <c r="BN1091" i="1"/>
  <c r="BM1091" i="1"/>
  <c r="BL1091" i="1"/>
  <c r="BK1091" i="1"/>
  <c r="BH1091" i="1"/>
  <c r="BF1091" i="1"/>
  <c r="BG1091" i="1" s="1"/>
  <c r="BE1091" i="1"/>
  <c r="BR1090" i="1"/>
  <c r="BO1090" i="1"/>
  <c r="BN1090" i="1"/>
  <c r="BM1090" i="1"/>
  <c r="BL1090" i="1"/>
  <c r="BK1090" i="1"/>
  <c r="BH1090" i="1"/>
  <c r="BF1090" i="1"/>
  <c r="BG1090" i="1" s="1"/>
  <c r="BE1090" i="1"/>
  <c r="BR1089" i="1"/>
  <c r="BO1089" i="1"/>
  <c r="BN1089" i="1"/>
  <c r="BM1089" i="1"/>
  <c r="BL1089" i="1"/>
  <c r="BK1089" i="1"/>
  <c r="BH1089" i="1"/>
  <c r="BI1089" i="1" s="1"/>
  <c r="BF1089" i="1"/>
  <c r="BG1089" i="1" s="1"/>
  <c r="BE1089" i="1"/>
  <c r="BR1088" i="1"/>
  <c r="BO1088" i="1"/>
  <c r="BN1088" i="1"/>
  <c r="BM1088" i="1"/>
  <c r="BL1088" i="1"/>
  <c r="BK1088" i="1"/>
  <c r="BH1088" i="1"/>
  <c r="BJ1088" i="1" s="1"/>
  <c r="BF1088" i="1"/>
  <c r="BG1088" i="1" s="1"/>
  <c r="BE1088" i="1"/>
  <c r="BR1087" i="1"/>
  <c r="BO1087" i="1"/>
  <c r="BN1087" i="1"/>
  <c r="BM1087" i="1"/>
  <c r="BL1087" i="1"/>
  <c r="BK1087" i="1"/>
  <c r="BH1087" i="1"/>
  <c r="BI1087" i="1" s="1"/>
  <c r="BF1087" i="1"/>
  <c r="BG1087" i="1" s="1"/>
  <c r="BE1087" i="1"/>
  <c r="BR1086" i="1"/>
  <c r="BO1086" i="1"/>
  <c r="BN1086" i="1"/>
  <c r="BM1086" i="1"/>
  <c r="BL1086" i="1"/>
  <c r="BK1086" i="1"/>
  <c r="BH1086" i="1"/>
  <c r="BJ1086" i="1" s="1"/>
  <c r="BF1086" i="1"/>
  <c r="BG1086" i="1" s="1"/>
  <c r="BE1086" i="1"/>
  <c r="BR1085" i="1"/>
  <c r="BO1085" i="1"/>
  <c r="BN1085" i="1"/>
  <c r="BM1085" i="1"/>
  <c r="BL1085" i="1"/>
  <c r="BK1085" i="1"/>
  <c r="BH1085" i="1"/>
  <c r="BI1085" i="1" s="1"/>
  <c r="BF1085" i="1"/>
  <c r="BG1085" i="1" s="1"/>
  <c r="BE1085" i="1"/>
  <c r="BR1084" i="1"/>
  <c r="BO1084" i="1"/>
  <c r="BN1084" i="1"/>
  <c r="BM1084" i="1"/>
  <c r="BL1084" i="1"/>
  <c r="BK1084" i="1"/>
  <c r="BH1084" i="1"/>
  <c r="BJ1084" i="1" s="1"/>
  <c r="BF1084" i="1"/>
  <c r="BG1084" i="1" s="1"/>
  <c r="BE1084" i="1"/>
  <c r="BR1083" i="1"/>
  <c r="BO1083" i="1"/>
  <c r="BN1083" i="1"/>
  <c r="BM1083" i="1"/>
  <c r="BL1083" i="1"/>
  <c r="BK1083" i="1"/>
  <c r="BH1083" i="1"/>
  <c r="BI1083" i="1" s="1"/>
  <c r="BF1083" i="1"/>
  <c r="BG1083" i="1" s="1"/>
  <c r="BE1083" i="1"/>
  <c r="BR1082" i="1"/>
  <c r="BO1082" i="1"/>
  <c r="BN1082" i="1"/>
  <c r="BM1082" i="1"/>
  <c r="BL1082" i="1"/>
  <c r="BK1082" i="1"/>
  <c r="BH1082" i="1"/>
  <c r="BJ1082" i="1" s="1"/>
  <c r="BF1082" i="1"/>
  <c r="BG1082" i="1" s="1"/>
  <c r="BE1082" i="1"/>
  <c r="BR1081" i="1"/>
  <c r="BO1081" i="1"/>
  <c r="BN1081" i="1"/>
  <c r="BM1081" i="1"/>
  <c r="BL1081" i="1"/>
  <c r="BK1081" i="1"/>
  <c r="BH1081" i="1"/>
  <c r="BI1081" i="1" s="1"/>
  <c r="BF1081" i="1"/>
  <c r="BG1081" i="1" s="1"/>
  <c r="BE1081" i="1"/>
  <c r="BR1080" i="1"/>
  <c r="BO1080" i="1"/>
  <c r="BN1080" i="1"/>
  <c r="BM1080" i="1"/>
  <c r="BL1080" i="1"/>
  <c r="BK1080" i="1"/>
  <c r="BH1080" i="1"/>
  <c r="BF1080" i="1"/>
  <c r="BG1080" i="1" s="1"/>
  <c r="BE1080" i="1"/>
  <c r="BR1079" i="1"/>
  <c r="BO1079" i="1"/>
  <c r="BN1079" i="1"/>
  <c r="BM1079" i="1"/>
  <c r="BL1079" i="1"/>
  <c r="BK1079" i="1"/>
  <c r="BH1079" i="1"/>
  <c r="BF1079" i="1"/>
  <c r="BG1079" i="1" s="1"/>
  <c r="BE1079" i="1"/>
  <c r="BR1078" i="1"/>
  <c r="BO1078" i="1"/>
  <c r="BN1078" i="1"/>
  <c r="BM1078" i="1"/>
  <c r="BL1078" i="1"/>
  <c r="BK1078" i="1"/>
  <c r="BH1078" i="1"/>
  <c r="BJ1078" i="1" s="1"/>
  <c r="BF1078" i="1"/>
  <c r="BG1078" i="1" s="1"/>
  <c r="BE1078" i="1"/>
  <c r="BR1077" i="1"/>
  <c r="BO1077" i="1"/>
  <c r="BN1077" i="1"/>
  <c r="BM1077" i="1"/>
  <c r="BL1077" i="1"/>
  <c r="BK1077" i="1"/>
  <c r="BH1077" i="1"/>
  <c r="BF1077" i="1"/>
  <c r="BG1077" i="1" s="1"/>
  <c r="BE1077" i="1"/>
  <c r="BR1076" i="1"/>
  <c r="BO1076" i="1"/>
  <c r="BN1076" i="1"/>
  <c r="BM1076" i="1"/>
  <c r="BL1076" i="1"/>
  <c r="BK1076" i="1"/>
  <c r="BH1076" i="1"/>
  <c r="BF1076" i="1"/>
  <c r="BG1076" i="1" s="1"/>
  <c r="BE1076" i="1"/>
  <c r="BR1075" i="1"/>
  <c r="BO1075" i="1"/>
  <c r="BN1075" i="1"/>
  <c r="BM1075" i="1"/>
  <c r="BL1075" i="1"/>
  <c r="BK1075" i="1"/>
  <c r="BH1075" i="1"/>
  <c r="BI1075" i="1" s="1"/>
  <c r="BF1075" i="1"/>
  <c r="BG1075" i="1" s="1"/>
  <c r="BE1075" i="1"/>
  <c r="BR1074" i="1"/>
  <c r="BO1074" i="1"/>
  <c r="BN1074" i="1"/>
  <c r="BM1074" i="1"/>
  <c r="BL1074" i="1"/>
  <c r="BK1074" i="1"/>
  <c r="BH1074" i="1"/>
  <c r="BF1074" i="1"/>
  <c r="BG1074" i="1" s="1"/>
  <c r="BE1074" i="1"/>
  <c r="BR1073" i="1"/>
  <c r="BO1073" i="1"/>
  <c r="BN1073" i="1"/>
  <c r="BM1073" i="1"/>
  <c r="BL1073" i="1"/>
  <c r="BK1073" i="1"/>
  <c r="BH1073" i="1"/>
  <c r="BI1073" i="1" s="1"/>
  <c r="BF1073" i="1"/>
  <c r="BG1073" i="1" s="1"/>
  <c r="BE1073" i="1"/>
  <c r="BR1072" i="1"/>
  <c r="BO1072" i="1"/>
  <c r="BN1072" i="1"/>
  <c r="BM1072" i="1"/>
  <c r="BL1072" i="1"/>
  <c r="BK1072" i="1"/>
  <c r="BH1072" i="1"/>
  <c r="BJ1072" i="1" s="1"/>
  <c r="BF1072" i="1"/>
  <c r="BG1072" i="1" s="1"/>
  <c r="BE1072" i="1"/>
  <c r="BR1071" i="1"/>
  <c r="BO1071" i="1"/>
  <c r="BN1071" i="1"/>
  <c r="BM1071" i="1"/>
  <c r="BL1071" i="1"/>
  <c r="BK1071" i="1"/>
  <c r="BH1071" i="1"/>
  <c r="BI1071" i="1" s="1"/>
  <c r="BF1071" i="1"/>
  <c r="BG1071" i="1" s="1"/>
  <c r="BE1071" i="1"/>
  <c r="BR1070" i="1"/>
  <c r="BO1070" i="1"/>
  <c r="BN1070" i="1"/>
  <c r="BM1070" i="1"/>
  <c r="BL1070" i="1"/>
  <c r="BK1070" i="1"/>
  <c r="BH1070" i="1"/>
  <c r="BF1070" i="1"/>
  <c r="BG1070" i="1" s="1"/>
  <c r="BE1070" i="1"/>
  <c r="BR1069" i="1"/>
  <c r="BO1069" i="1"/>
  <c r="BN1069" i="1"/>
  <c r="BM1069" i="1"/>
  <c r="BL1069" i="1"/>
  <c r="BK1069" i="1"/>
  <c r="BH1069" i="1"/>
  <c r="BI1069" i="1" s="1"/>
  <c r="BF1069" i="1"/>
  <c r="BG1069" i="1" s="1"/>
  <c r="BE1069" i="1"/>
  <c r="BR1068" i="1"/>
  <c r="BO1068" i="1"/>
  <c r="BN1068" i="1"/>
  <c r="BM1068" i="1"/>
  <c r="BL1068" i="1"/>
  <c r="BK1068" i="1"/>
  <c r="BH1068" i="1"/>
  <c r="BJ1068" i="1" s="1"/>
  <c r="BF1068" i="1"/>
  <c r="BG1068" i="1" s="1"/>
  <c r="BE1068" i="1"/>
  <c r="BR1067" i="1"/>
  <c r="BO1067" i="1"/>
  <c r="BN1067" i="1"/>
  <c r="BM1067" i="1"/>
  <c r="BL1067" i="1"/>
  <c r="BK1067" i="1"/>
  <c r="BH1067" i="1"/>
  <c r="BI1067" i="1" s="1"/>
  <c r="BF1067" i="1"/>
  <c r="BG1067" i="1" s="1"/>
  <c r="BE1067" i="1"/>
  <c r="BR1066" i="1"/>
  <c r="BO1066" i="1"/>
  <c r="BN1066" i="1"/>
  <c r="BM1066" i="1"/>
  <c r="BL1066" i="1"/>
  <c r="BK1066" i="1"/>
  <c r="BH1066" i="1"/>
  <c r="BF1066" i="1"/>
  <c r="BG1066" i="1" s="1"/>
  <c r="BE1066" i="1"/>
  <c r="BR1065" i="1"/>
  <c r="BO1065" i="1"/>
  <c r="BN1065" i="1"/>
  <c r="BM1065" i="1"/>
  <c r="BL1065" i="1"/>
  <c r="BK1065" i="1"/>
  <c r="BH1065" i="1"/>
  <c r="BF1065" i="1"/>
  <c r="BG1065" i="1" s="1"/>
  <c r="BE1065" i="1"/>
  <c r="BR1064" i="1"/>
  <c r="BO1064" i="1"/>
  <c r="BN1064" i="1"/>
  <c r="BM1064" i="1"/>
  <c r="BL1064" i="1"/>
  <c r="BK1064" i="1"/>
  <c r="BH1064" i="1"/>
  <c r="BF1064" i="1"/>
  <c r="BG1064" i="1" s="1"/>
  <c r="BE1064" i="1"/>
  <c r="BR1063" i="1"/>
  <c r="BO1063" i="1"/>
  <c r="BN1063" i="1"/>
  <c r="BM1063" i="1"/>
  <c r="BL1063" i="1"/>
  <c r="BK1063" i="1"/>
  <c r="BH1063" i="1"/>
  <c r="BI1063" i="1" s="1"/>
  <c r="BF1063" i="1"/>
  <c r="BG1063" i="1" s="1"/>
  <c r="BE1063" i="1"/>
  <c r="BR1062" i="1"/>
  <c r="BO1062" i="1"/>
  <c r="BN1062" i="1"/>
  <c r="BM1062" i="1"/>
  <c r="BL1062" i="1"/>
  <c r="BK1062" i="1"/>
  <c r="BH1062" i="1"/>
  <c r="BF1062" i="1"/>
  <c r="BG1062" i="1" s="1"/>
  <c r="BE1062" i="1"/>
  <c r="BR1061" i="1"/>
  <c r="BO1061" i="1"/>
  <c r="BN1061" i="1"/>
  <c r="BM1061" i="1"/>
  <c r="BL1061" i="1"/>
  <c r="BK1061" i="1"/>
  <c r="BH1061" i="1"/>
  <c r="BI1061" i="1" s="1"/>
  <c r="BF1061" i="1"/>
  <c r="BG1061" i="1" s="1"/>
  <c r="BE1061" i="1"/>
  <c r="BR1060" i="1"/>
  <c r="BO1060" i="1"/>
  <c r="BN1060" i="1"/>
  <c r="BM1060" i="1"/>
  <c r="BL1060" i="1"/>
  <c r="BK1060" i="1"/>
  <c r="BH1060" i="1"/>
  <c r="BJ1060" i="1" s="1"/>
  <c r="BF1060" i="1"/>
  <c r="BG1060" i="1" s="1"/>
  <c r="BE1060" i="1"/>
  <c r="BR1059" i="1"/>
  <c r="BO1059" i="1"/>
  <c r="BN1059" i="1"/>
  <c r="BM1059" i="1"/>
  <c r="BL1059" i="1"/>
  <c r="BK1059" i="1"/>
  <c r="BH1059" i="1"/>
  <c r="BF1059" i="1"/>
  <c r="BG1059" i="1" s="1"/>
  <c r="BE1059" i="1"/>
  <c r="BR1058" i="1"/>
  <c r="BO1058" i="1"/>
  <c r="BN1058" i="1"/>
  <c r="BM1058" i="1"/>
  <c r="BL1058" i="1"/>
  <c r="BK1058" i="1"/>
  <c r="BH1058" i="1"/>
  <c r="BJ1058" i="1" s="1"/>
  <c r="BF1058" i="1"/>
  <c r="BG1058" i="1" s="1"/>
  <c r="BE1058" i="1"/>
  <c r="BR1057" i="1"/>
  <c r="BO1057" i="1"/>
  <c r="BN1057" i="1"/>
  <c r="BM1057" i="1"/>
  <c r="BL1057" i="1"/>
  <c r="BK1057" i="1"/>
  <c r="BH1057" i="1"/>
  <c r="BI1057" i="1" s="1"/>
  <c r="BF1057" i="1"/>
  <c r="BG1057" i="1" s="1"/>
  <c r="BE1057" i="1"/>
  <c r="BR1056" i="1"/>
  <c r="BO1056" i="1"/>
  <c r="BN1056" i="1"/>
  <c r="BM1056" i="1"/>
  <c r="BL1056" i="1"/>
  <c r="BK1056" i="1"/>
  <c r="BH1056" i="1"/>
  <c r="BF1056" i="1"/>
  <c r="BG1056" i="1" s="1"/>
  <c r="BE1056" i="1"/>
  <c r="BR1055" i="1"/>
  <c r="BO1055" i="1"/>
  <c r="BN1055" i="1"/>
  <c r="BM1055" i="1"/>
  <c r="BL1055" i="1"/>
  <c r="BK1055" i="1"/>
  <c r="BH1055" i="1"/>
  <c r="BI1055" i="1" s="1"/>
  <c r="BF1055" i="1"/>
  <c r="BG1055" i="1" s="1"/>
  <c r="BE1055" i="1"/>
  <c r="BR1054" i="1"/>
  <c r="BO1054" i="1"/>
  <c r="BN1054" i="1"/>
  <c r="BM1054" i="1"/>
  <c r="BL1054" i="1"/>
  <c r="BK1054" i="1"/>
  <c r="BH1054" i="1"/>
  <c r="BF1054" i="1"/>
  <c r="BG1054" i="1" s="1"/>
  <c r="BE1054" i="1"/>
  <c r="BR1053" i="1"/>
  <c r="BO1053" i="1"/>
  <c r="BN1053" i="1"/>
  <c r="BM1053" i="1"/>
  <c r="BL1053" i="1"/>
  <c r="BK1053" i="1"/>
  <c r="BH1053" i="1"/>
  <c r="BI1053" i="1" s="1"/>
  <c r="BF1053" i="1"/>
  <c r="BG1053" i="1" s="1"/>
  <c r="BE1053" i="1"/>
  <c r="BR1052" i="1"/>
  <c r="BO1052" i="1"/>
  <c r="BN1052" i="1"/>
  <c r="BM1052" i="1"/>
  <c r="BL1052" i="1"/>
  <c r="BK1052" i="1"/>
  <c r="BH1052" i="1"/>
  <c r="BJ1052" i="1" s="1"/>
  <c r="BF1052" i="1"/>
  <c r="BG1052" i="1" s="1"/>
  <c r="BE1052" i="1"/>
  <c r="BR1051" i="1"/>
  <c r="BO1051" i="1"/>
  <c r="BN1051" i="1"/>
  <c r="BM1051" i="1"/>
  <c r="BL1051" i="1"/>
  <c r="BK1051" i="1"/>
  <c r="BH1051" i="1"/>
  <c r="BF1051" i="1"/>
  <c r="BG1051" i="1" s="1"/>
  <c r="BE1051" i="1"/>
  <c r="BR1050" i="1"/>
  <c r="BO1050" i="1"/>
  <c r="BN1050" i="1"/>
  <c r="BM1050" i="1"/>
  <c r="BL1050" i="1"/>
  <c r="BK1050" i="1"/>
  <c r="BH1050" i="1"/>
  <c r="BJ1050" i="1" s="1"/>
  <c r="BF1050" i="1"/>
  <c r="BG1050" i="1" s="1"/>
  <c r="BE1050" i="1"/>
  <c r="BR1049" i="1"/>
  <c r="BO1049" i="1"/>
  <c r="BN1049" i="1"/>
  <c r="BM1049" i="1"/>
  <c r="BL1049" i="1"/>
  <c r="BK1049" i="1"/>
  <c r="BH1049" i="1"/>
  <c r="BI1049" i="1" s="1"/>
  <c r="BF1049" i="1"/>
  <c r="BG1049" i="1" s="1"/>
  <c r="BE1049" i="1"/>
  <c r="BR1048" i="1"/>
  <c r="BO1048" i="1"/>
  <c r="BN1048" i="1"/>
  <c r="BM1048" i="1"/>
  <c r="BL1048" i="1"/>
  <c r="BK1048" i="1"/>
  <c r="BH1048" i="1"/>
  <c r="BJ1048" i="1" s="1"/>
  <c r="BF1048" i="1"/>
  <c r="BG1048" i="1" s="1"/>
  <c r="BE1048" i="1"/>
  <c r="BR1047" i="1"/>
  <c r="BO1047" i="1"/>
  <c r="BN1047" i="1"/>
  <c r="BM1047" i="1"/>
  <c r="BL1047" i="1"/>
  <c r="BK1047" i="1"/>
  <c r="BH1047" i="1"/>
  <c r="BF1047" i="1"/>
  <c r="BG1047" i="1" s="1"/>
  <c r="BE1047" i="1"/>
  <c r="BR1046" i="1"/>
  <c r="BO1046" i="1"/>
  <c r="BN1046" i="1"/>
  <c r="BM1046" i="1"/>
  <c r="BL1046" i="1"/>
  <c r="BK1046" i="1"/>
  <c r="BH1046" i="1"/>
  <c r="BF1046" i="1"/>
  <c r="BG1046" i="1" s="1"/>
  <c r="BE1046" i="1"/>
  <c r="BR1045" i="1"/>
  <c r="BO1045" i="1"/>
  <c r="BN1045" i="1"/>
  <c r="BM1045" i="1"/>
  <c r="BL1045" i="1"/>
  <c r="BK1045" i="1"/>
  <c r="BH1045" i="1"/>
  <c r="BI1045" i="1" s="1"/>
  <c r="BF1045" i="1"/>
  <c r="BG1045" i="1" s="1"/>
  <c r="BE1045" i="1"/>
  <c r="BR1044" i="1"/>
  <c r="BO1044" i="1"/>
  <c r="BN1044" i="1"/>
  <c r="BM1044" i="1"/>
  <c r="BL1044" i="1"/>
  <c r="BK1044" i="1"/>
  <c r="BH1044" i="1"/>
  <c r="BJ1044" i="1" s="1"/>
  <c r="BF1044" i="1"/>
  <c r="BG1044" i="1" s="1"/>
  <c r="BE1044" i="1"/>
  <c r="BR1043" i="1"/>
  <c r="BO1043" i="1"/>
  <c r="BN1043" i="1"/>
  <c r="BM1043" i="1"/>
  <c r="BL1043" i="1"/>
  <c r="BK1043" i="1"/>
  <c r="BH1043" i="1"/>
  <c r="BF1043" i="1"/>
  <c r="BG1043" i="1" s="1"/>
  <c r="BE1043" i="1"/>
  <c r="BR1042" i="1"/>
  <c r="BO1042" i="1"/>
  <c r="BN1042" i="1"/>
  <c r="BM1042" i="1"/>
  <c r="BL1042" i="1"/>
  <c r="BK1042" i="1"/>
  <c r="BH1042" i="1"/>
  <c r="BJ1042" i="1" s="1"/>
  <c r="BF1042" i="1"/>
  <c r="BG1042" i="1" s="1"/>
  <c r="BE1042" i="1"/>
  <c r="BR1041" i="1"/>
  <c r="BO1041" i="1"/>
  <c r="BN1041" i="1"/>
  <c r="BM1041" i="1"/>
  <c r="BL1041" i="1"/>
  <c r="BK1041" i="1"/>
  <c r="BH1041" i="1"/>
  <c r="BI1041" i="1" s="1"/>
  <c r="BF1041" i="1"/>
  <c r="BG1041" i="1" s="1"/>
  <c r="BE1041" i="1"/>
  <c r="BR1040" i="1"/>
  <c r="BO1040" i="1"/>
  <c r="BN1040" i="1"/>
  <c r="BM1040" i="1"/>
  <c r="BL1040" i="1"/>
  <c r="BK1040" i="1"/>
  <c r="BH1040" i="1"/>
  <c r="BJ1040" i="1" s="1"/>
  <c r="BF1040" i="1"/>
  <c r="BG1040" i="1" s="1"/>
  <c r="BE1040" i="1"/>
  <c r="BR1039" i="1"/>
  <c r="BO1039" i="1"/>
  <c r="BN1039" i="1"/>
  <c r="BM1039" i="1"/>
  <c r="BL1039" i="1"/>
  <c r="BK1039" i="1"/>
  <c r="BH1039" i="1"/>
  <c r="BF1039" i="1"/>
  <c r="BG1039" i="1" s="1"/>
  <c r="BE1039" i="1"/>
  <c r="BR1038" i="1"/>
  <c r="BO1038" i="1"/>
  <c r="BN1038" i="1"/>
  <c r="BM1038" i="1"/>
  <c r="BL1038" i="1"/>
  <c r="BK1038" i="1"/>
  <c r="BH1038" i="1"/>
  <c r="BJ1038" i="1" s="1"/>
  <c r="BF1038" i="1"/>
  <c r="BG1038" i="1" s="1"/>
  <c r="BE1038" i="1"/>
  <c r="BR1037" i="1"/>
  <c r="BO1037" i="1"/>
  <c r="BN1037" i="1"/>
  <c r="BM1037" i="1"/>
  <c r="BL1037" i="1"/>
  <c r="BK1037" i="1"/>
  <c r="BH1037" i="1"/>
  <c r="BJ1037" i="1" s="1"/>
  <c r="BF1037" i="1"/>
  <c r="BG1037" i="1" s="1"/>
  <c r="BE1037" i="1"/>
  <c r="BR1036" i="1"/>
  <c r="BO1036" i="1"/>
  <c r="BN1036" i="1"/>
  <c r="BM1036" i="1"/>
  <c r="BL1036" i="1"/>
  <c r="BK1036" i="1"/>
  <c r="BH1036" i="1"/>
  <c r="BJ1036" i="1" s="1"/>
  <c r="BF1036" i="1"/>
  <c r="BG1036" i="1" s="1"/>
  <c r="BE1036" i="1"/>
  <c r="BR1035" i="1"/>
  <c r="BO1035" i="1"/>
  <c r="BN1035" i="1"/>
  <c r="BM1035" i="1"/>
  <c r="BL1035" i="1"/>
  <c r="BK1035" i="1"/>
  <c r="BH1035" i="1"/>
  <c r="BJ1035" i="1" s="1"/>
  <c r="BF1035" i="1"/>
  <c r="BG1035" i="1" s="1"/>
  <c r="BE1035" i="1"/>
  <c r="BR1034" i="1"/>
  <c r="BO1034" i="1"/>
  <c r="BN1034" i="1"/>
  <c r="BM1034" i="1"/>
  <c r="BL1034" i="1"/>
  <c r="BK1034" i="1"/>
  <c r="BH1034" i="1"/>
  <c r="BF1034" i="1"/>
  <c r="BG1034" i="1" s="1"/>
  <c r="BE1034" i="1"/>
  <c r="BR1033" i="1"/>
  <c r="BO1033" i="1"/>
  <c r="BN1033" i="1"/>
  <c r="BM1033" i="1"/>
  <c r="BL1033" i="1"/>
  <c r="BK1033" i="1"/>
  <c r="BH1033" i="1"/>
  <c r="BJ1033" i="1" s="1"/>
  <c r="BF1033" i="1"/>
  <c r="BG1033" i="1" s="1"/>
  <c r="BE1033" i="1"/>
  <c r="BR1032" i="1"/>
  <c r="BO1032" i="1"/>
  <c r="BN1032" i="1"/>
  <c r="BM1032" i="1"/>
  <c r="BL1032" i="1"/>
  <c r="BK1032" i="1"/>
  <c r="BH1032" i="1"/>
  <c r="BF1032" i="1"/>
  <c r="BG1032" i="1" s="1"/>
  <c r="BE1032" i="1"/>
  <c r="BR1031" i="1"/>
  <c r="BO1031" i="1"/>
  <c r="BN1031" i="1"/>
  <c r="BM1031" i="1"/>
  <c r="BL1031" i="1"/>
  <c r="BK1031" i="1"/>
  <c r="BH1031" i="1"/>
  <c r="BF1031" i="1"/>
  <c r="BG1031" i="1" s="1"/>
  <c r="BE1031" i="1"/>
  <c r="BR1030" i="1"/>
  <c r="BO1030" i="1"/>
  <c r="BN1030" i="1"/>
  <c r="BM1030" i="1"/>
  <c r="BL1030" i="1"/>
  <c r="BK1030" i="1"/>
  <c r="BH1030" i="1"/>
  <c r="BJ1030" i="1" s="1"/>
  <c r="BF1030" i="1"/>
  <c r="BG1030" i="1" s="1"/>
  <c r="BE1030" i="1"/>
  <c r="BR1029" i="1"/>
  <c r="BO1029" i="1"/>
  <c r="BN1029" i="1"/>
  <c r="BM1029" i="1"/>
  <c r="BL1029" i="1"/>
  <c r="BK1029" i="1"/>
  <c r="BH1029" i="1"/>
  <c r="BJ1029" i="1" s="1"/>
  <c r="BF1029" i="1"/>
  <c r="BG1029" i="1" s="1"/>
  <c r="BE1029" i="1"/>
  <c r="BR1028" i="1"/>
  <c r="BO1028" i="1"/>
  <c r="BN1028" i="1"/>
  <c r="BM1028" i="1"/>
  <c r="BL1028" i="1"/>
  <c r="BK1028" i="1"/>
  <c r="BH1028" i="1"/>
  <c r="BJ1028" i="1" s="1"/>
  <c r="BF1028" i="1"/>
  <c r="BG1028" i="1" s="1"/>
  <c r="BE1028" i="1"/>
  <c r="BR1027" i="1"/>
  <c r="BO1027" i="1"/>
  <c r="BN1027" i="1"/>
  <c r="BM1027" i="1"/>
  <c r="BL1027" i="1"/>
  <c r="BK1027" i="1"/>
  <c r="BH1027" i="1"/>
  <c r="BF1027" i="1"/>
  <c r="BG1027" i="1" s="1"/>
  <c r="BE1027" i="1"/>
  <c r="BR1026" i="1"/>
  <c r="BO1026" i="1"/>
  <c r="BN1026" i="1"/>
  <c r="BM1026" i="1"/>
  <c r="BL1026" i="1"/>
  <c r="BK1026" i="1"/>
  <c r="BH1026" i="1"/>
  <c r="BJ1026" i="1" s="1"/>
  <c r="BF1026" i="1"/>
  <c r="BG1026" i="1" s="1"/>
  <c r="BE1026" i="1"/>
  <c r="BR1025" i="1"/>
  <c r="BO1025" i="1"/>
  <c r="BN1025" i="1"/>
  <c r="BM1025" i="1"/>
  <c r="BL1025" i="1"/>
  <c r="BK1025" i="1"/>
  <c r="BH1025" i="1"/>
  <c r="BF1025" i="1"/>
  <c r="BG1025" i="1" s="1"/>
  <c r="BE1025" i="1"/>
  <c r="BR1024" i="1"/>
  <c r="BO1024" i="1"/>
  <c r="BN1024" i="1"/>
  <c r="BM1024" i="1"/>
  <c r="BL1024" i="1"/>
  <c r="BK1024" i="1"/>
  <c r="BH1024" i="1"/>
  <c r="BJ1024" i="1" s="1"/>
  <c r="BF1024" i="1"/>
  <c r="BG1024" i="1" s="1"/>
  <c r="BE1024" i="1"/>
  <c r="BR1023" i="1"/>
  <c r="BO1023" i="1"/>
  <c r="BN1023" i="1"/>
  <c r="BM1023" i="1"/>
  <c r="BL1023" i="1"/>
  <c r="BK1023" i="1"/>
  <c r="BH1023" i="1"/>
  <c r="BF1023" i="1"/>
  <c r="BG1023" i="1" s="1"/>
  <c r="BE1023" i="1"/>
  <c r="BR1022" i="1"/>
  <c r="BO1022" i="1"/>
  <c r="BN1022" i="1"/>
  <c r="BM1022" i="1"/>
  <c r="BL1022" i="1"/>
  <c r="BK1022" i="1"/>
  <c r="BH1022" i="1"/>
  <c r="BJ1022" i="1" s="1"/>
  <c r="BF1022" i="1"/>
  <c r="BG1022" i="1" s="1"/>
  <c r="BE1022" i="1"/>
  <c r="BR1021" i="1"/>
  <c r="BO1021" i="1"/>
  <c r="BN1021" i="1"/>
  <c r="BM1021" i="1"/>
  <c r="BL1021" i="1"/>
  <c r="BK1021" i="1"/>
  <c r="BH1021" i="1"/>
  <c r="BJ1021" i="1" s="1"/>
  <c r="BF1021" i="1"/>
  <c r="BG1021" i="1" s="1"/>
  <c r="BE1021" i="1"/>
  <c r="BR1020" i="1"/>
  <c r="BO1020" i="1"/>
  <c r="BN1020" i="1"/>
  <c r="BM1020" i="1"/>
  <c r="BL1020" i="1"/>
  <c r="BK1020" i="1"/>
  <c r="BH1020" i="1"/>
  <c r="BJ1020" i="1" s="1"/>
  <c r="BF1020" i="1"/>
  <c r="BG1020" i="1" s="1"/>
  <c r="BE1020" i="1"/>
  <c r="BR1019" i="1"/>
  <c r="BO1019" i="1"/>
  <c r="BN1019" i="1"/>
  <c r="BM1019" i="1"/>
  <c r="BL1019" i="1"/>
  <c r="BK1019" i="1"/>
  <c r="BH1019" i="1"/>
  <c r="BJ1019" i="1" s="1"/>
  <c r="BF1019" i="1"/>
  <c r="BG1019" i="1" s="1"/>
  <c r="BE1019" i="1"/>
  <c r="BR1018" i="1"/>
  <c r="BO1018" i="1"/>
  <c r="BN1018" i="1"/>
  <c r="BM1018" i="1"/>
  <c r="BL1018" i="1"/>
  <c r="BK1018" i="1"/>
  <c r="BH1018" i="1"/>
  <c r="BJ1018" i="1" s="1"/>
  <c r="BF1018" i="1"/>
  <c r="BG1018" i="1" s="1"/>
  <c r="BE1018" i="1"/>
  <c r="BR1017" i="1"/>
  <c r="BO1017" i="1"/>
  <c r="BN1017" i="1"/>
  <c r="BM1017" i="1"/>
  <c r="BL1017" i="1"/>
  <c r="BK1017" i="1"/>
  <c r="BH1017" i="1"/>
  <c r="BF1017" i="1"/>
  <c r="BG1017" i="1" s="1"/>
  <c r="BE1017" i="1"/>
  <c r="BR1016" i="1"/>
  <c r="BO1016" i="1"/>
  <c r="BN1016" i="1"/>
  <c r="BM1016" i="1"/>
  <c r="BL1016" i="1"/>
  <c r="BK1016" i="1"/>
  <c r="BH1016" i="1"/>
  <c r="BJ1016" i="1" s="1"/>
  <c r="BF1016" i="1"/>
  <c r="BG1016" i="1" s="1"/>
  <c r="BE1016" i="1"/>
  <c r="BR1015" i="1"/>
  <c r="BO1015" i="1"/>
  <c r="BN1015" i="1"/>
  <c r="BM1015" i="1"/>
  <c r="BL1015" i="1"/>
  <c r="BK1015" i="1"/>
  <c r="BH1015" i="1"/>
  <c r="BJ1015" i="1" s="1"/>
  <c r="BF1015" i="1"/>
  <c r="BG1015" i="1" s="1"/>
  <c r="BE1015" i="1"/>
  <c r="BR1014" i="1"/>
  <c r="BO1014" i="1"/>
  <c r="BN1014" i="1"/>
  <c r="BM1014" i="1"/>
  <c r="BL1014" i="1"/>
  <c r="BK1014" i="1"/>
  <c r="BH1014" i="1"/>
  <c r="BJ1014" i="1" s="1"/>
  <c r="BF1014" i="1"/>
  <c r="BG1014" i="1" s="1"/>
  <c r="BE1014" i="1"/>
  <c r="BR1013" i="1"/>
  <c r="BO1013" i="1"/>
  <c r="BN1013" i="1"/>
  <c r="BM1013" i="1"/>
  <c r="BL1013" i="1"/>
  <c r="BK1013" i="1"/>
  <c r="BH1013" i="1"/>
  <c r="BJ1013" i="1" s="1"/>
  <c r="BF1013" i="1"/>
  <c r="BG1013" i="1" s="1"/>
  <c r="BE1013" i="1"/>
  <c r="BR1012" i="1"/>
  <c r="BO1012" i="1"/>
  <c r="BN1012" i="1"/>
  <c r="BM1012" i="1"/>
  <c r="BL1012" i="1"/>
  <c r="BK1012" i="1"/>
  <c r="BH1012" i="1"/>
  <c r="BJ1012" i="1" s="1"/>
  <c r="BF1012" i="1"/>
  <c r="BG1012" i="1" s="1"/>
  <c r="BE1012" i="1"/>
  <c r="BR1011" i="1"/>
  <c r="BO1011" i="1"/>
  <c r="BN1011" i="1"/>
  <c r="BM1011" i="1"/>
  <c r="BL1011" i="1"/>
  <c r="BK1011" i="1"/>
  <c r="BH1011" i="1"/>
  <c r="BF1011" i="1"/>
  <c r="BG1011" i="1" s="1"/>
  <c r="BE1011" i="1"/>
  <c r="BR1010" i="1"/>
  <c r="BO1010" i="1"/>
  <c r="BN1010" i="1"/>
  <c r="BM1010" i="1"/>
  <c r="BL1010" i="1"/>
  <c r="BK1010" i="1"/>
  <c r="BH1010" i="1"/>
  <c r="BJ1010" i="1" s="1"/>
  <c r="BF1010" i="1"/>
  <c r="BG1010" i="1" s="1"/>
  <c r="BE1010" i="1"/>
  <c r="BR1009" i="1"/>
  <c r="BO1009" i="1"/>
  <c r="BN1009" i="1"/>
  <c r="BM1009" i="1"/>
  <c r="BL1009" i="1"/>
  <c r="BK1009" i="1"/>
  <c r="BH1009" i="1"/>
  <c r="BF1009" i="1"/>
  <c r="BG1009" i="1" s="1"/>
  <c r="BE1009" i="1"/>
  <c r="BR1008" i="1"/>
  <c r="BO1008" i="1"/>
  <c r="BN1008" i="1"/>
  <c r="BM1008" i="1"/>
  <c r="BL1008" i="1"/>
  <c r="BK1008" i="1"/>
  <c r="BH1008" i="1"/>
  <c r="BJ1008" i="1" s="1"/>
  <c r="BF1008" i="1"/>
  <c r="BG1008" i="1" s="1"/>
  <c r="BE1008" i="1"/>
  <c r="BR1007" i="1"/>
  <c r="BO1007" i="1"/>
  <c r="BN1007" i="1"/>
  <c r="BM1007" i="1"/>
  <c r="BL1007" i="1"/>
  <c r="BK1007" i="1"/>
  <c r="BH1007" i="1"/>
  <c r="BJ1007" i="1" s="1"/>
  <c r="BF1007" i="1"/>
  <c r="BG1007" i="1" s="1"/>
  <c r="BE1007" i="1"/>
  <c r="BR1006" i="1"/>
  <c r="BO1006" i="1"/>
  <c r="BN1006" i="1"/>
  <c r="BM1006" i="1"/>
  <c r="BL1006" i="1"/>
  <c r="BK1006" i="1"/>
  <c r="BH1006" i="1"/>
  <c r="BJ1006" i="1" s="1"/>
  <c r="BF1006" i="1"/>
  <c r="BG1006" i="1" s="1"/>
  <c r="BE1006" i="1"/>
  <c r="BR1005" i="1"/>
  <c r="BO1005" i="1"/>
  <c r="BN1005" i="1"/>
  <c r="BM1005" i="1"/>
  <c r="BL1005" i="1"/>
  <c r="BK1005" i="1"/>
  <c r="BH1005" i="1"/>
  <c r="BF1005" i="1"/>
  <c r="BG1005" i="1" s="1"/>
  <c r="BE1005" i="1"/>
  <c r="BR1004" i="1"/>
  <c r="BO1004" i="1"/>
  <c r="BN1004" i="1"/>
  <c r="BM1004" i="1"/>
  <c r="BL1004" i="1"/>
  <c r="BK1004" i="1"/>
  <c r="BH1004" i="1"/>
  <c r="BJ1004" i="1" s="1"/>
  <c r="BF1004" i="1"/>
  <c r="BG1004" i="1" s="1"/>
  <c r="BE1004" i="1"/>
  <c r="BR1003" i="1"/>
  <c r="BO1003" i="1"/>
  <c r="BN1003" i="1"/>
  <c r="BM1003" i="1"/>
  <c r="BL1003" i="1"/>
  <c r="BK1003" i="1"/>
  <c r="BH1003" i="1"/>
  <c r="BF1003" i="1"/>
  <c r="BG1003" i="1" s="1"/>
  <c r="BE1003" i="1"/>
  <c r="BR1002" i="1"/>
  <c r="BO1002" i="1"/>
  <c r="BN1002" i="1"/>
  <c r="BM1002" i="1"/>
  <c r="BL1002" i="1"/>
  <c r="BK1002" i="1"/>
  <c r="BH1002" i="1"/>
  <c r="BJ1002" i="1" s="1"/>
  <c r="BF1002" i="1"/>
  <c r="BG1002" i="1" s="1"/>
  <c r="BE1002" i="1"/>
  <c r="BR1001" i="1"/>
  <c r="BO1001" i="1"/>
  <c r="BN1001" i="1"/>
  <c r="BM1001" i="1"/>
  <c r="BL1001" i="1"/>
  <c r="BK1001" i="1"/>
  <c r="BH1001" i="1"/>
  <c r="BJ1001" i="1" s="1"/>
  <c r="BF1001" i="1"/>
  <c r="BG1001" i="1" s="1"/>
  <c r="BE1001" i="1"/>
  <c r="BR1000" i="1"/>
  <c r="BO1000" i="1"/>
  <c r="BN1000" i="1"/>
  <c r="BM1000" i="1"/>
  <c r="BL1000" i="1"/>
  <c r="BK1000" i="1"/>
  <c r="BH1000" i="1"/>
  <c r="BJ1000" i="1" s="1"/>
  <c r="BF1000" i="1"/>
  <c r="BG1000" i="1" s="1"/>
  <c r="BE1000" i="1"/>
  <c r="BR999" i="1"/>
  <c r="BO999" i="1"/>
  <c r="BN999" i="1"/>
  <c r="BM999" i="1"/>
  <c r="BL999" i="1"/>
  <c r="BK999" i="1"/>
  <c r="BH999" i="1"/>
  <c r="BJ999" i="1" s="1"/>
  <c r="BF999" i="1"/>
  <c r="BG999" i="1" s="1"/>
  <c r="BE999" i="1"/>
  <c r="BR998" i="1"/>
  <c r="BO998" i="1"/>
  <c r="BN998" i="1"/>
  <c r="BM998" i="1"/>
  <c r="BL998" i="1"/>
  <c r="BK998" i="1"/>
  <c r="BH998" i="1"/>
  <c r="BJ998" i="1" s="1"/>
  <c r="BF998" i="1"/>
  <c r="BG998" i="1" s="1"/>
  <c r="BE998" i="1"/>
  <c r="BR997" i="1"/>
  <c r="BO997" i="1"/>
  <c r="BN997" i="1"/>
  <c r="BM997" i="1"/>
  <c r="BL997" i="1"/>
  <c r="BK997" i="1"/>
  <c r="BH997" i="1"/>
  <c r="BJ997" i="1" s="1"/>
  <c r="BF997" i="1"/>
  <c r="BG997" i="1" s="1"/>
  <c r="BE997" i="1"/>
  <c r="BR996" i="1"/>
  <c r="BO996" i="1"/>
  <c r="BN996" i="1"/>
  <c r="BM996" i="1"/>
  <c r="BL996" i="1"/>
  <c r="BK996" i="1"/>
  <c r="BH996" i="1"/>
  <c r="BJ996" i="1" s="1"/>
  <c r="BF996" i="1"/>
  <c r="BG996" i="1" s="1"/>
  <c r="BE996" i="1"/>
  <c r="BR995" i="1"/>
  <c r="BO995" i="1"/>
  <c r="BN995" i="1"/>
  <c r="BM995" i="1"/>
  <c r="BL995" i="1"/>
  <c r="BK995" i="1"/>
  <c r="BH995" i="1"/>
  <c r="BF995" i="1"/>
  <c r="BG995" i="1" s="1"/>
  <c r="BE995" i="1"/>
  <c r="BR994" i="1"/>
  <c r="BO994" i="1"/>
  <c r="BN994" i="1"/>
  <c r="BM994" i="1"/>
  <c r="BL994" i="1"/>
  <c r="BK994" i="1"/>
  <c r="BH994" i="1"/>
  <c r="BJ994" i="1" s="1"/>
  <c r="BF994" i="1"/>
  <c r="BG994" i="1" s="1"/>
  <c r="BE994" i="1"/>
  <c r="BR993" i="1"/>
  <c r="BO993" i="1"/>
  <c r="BN993" i="1"/>
  <c r="BM993" i="1"/>
  <c r="BL993" i="1"/>
  <c r="BK993" i="1"/>
  <c r="BH993" i="1"/>
  <c r="BJ993" i="1" s="1"/>
  <c r="BF993" i="1"/>
  <c r="BG993" i="1" s="1"/>
  <c r="BE993" i="1"/>
  <c r="BR992" i="1"/>
  <c r="BO992" i="1"/>
  <c r="BN992" i="1"/>
  <c r="BM992" i="1"/>
  <c r="BL992" i="1"/>
  <c r="BK992" i="1"/>
  <c r="BH992" i="1"/>
  <c r="BJ992" i="1" s="1"/>
  <c r="BF992" i="1"/>
  <c r="BG992" i="1" s="1"/>
  <c r="BE992" i="1"/>
  <c r="BR991" i="1"/>
  <c r="BO991" i="1"/>
  <c r="BN991" i="1"/>
  <c r="BM991" i="1"/>
  <c r="BL991" i="1"/>
  <c r="BK991" i="1"/>
  <c r="BH991" i="1"/>
  <c r="BJ991" i="1" s="1"/>
  <c r="BF991" i="1"/>
  <c r="BG991" i="1" s="1"/>
  <c r="BE991" i="1"/>
  <c r="BR990" i="1"/>
  <c r="BO990" i="1"/>
  <c r="BN990" i="1"/>
  <c r="BM990" i="1"/>
  <c r="BL990" i="1"/>
  <c r="BK990" i="1"/>
  <c r="BH990" i="1"/>
  <c r="BJ990" i="1" s="1"/>
  <c r="BF990" i="1"/>
  <c r="BG990" i="1" s="1"/>
  <c r="BE990" i="1"/>
  <c r="BR989" i="1"/>
  <c r="BO989" i="1"/>
  <c r="BN989" i="1"/>
  <c r="BM989" i="1"/>
  <c r="BL989" i="1"/>
  <c r="BK989" i="1"/>
  <c r="BH989" i="1"/>
  <c r="BF989" i="1"/>
  <c r="BG989" i="1" s="1"/>
  <c r="BE989" i="1"/>
  <c r="BR988" i="1"/>
  <c r="BO988" i="1"/>
  <c r="BN988" i="1"/>
  <c r="BM988" i="1"/>
  <c r="BL988" i="1"/>
  <c r="BK988" i="1"/>
  <c r="BH988" i="1"/>
  <c r="BJ988" i="1" s="1"/>
  <c r="BF988" i="1"/>
  <c r="BG988" i="1" s="1"/>
  <c r="BE988" i="1"/>
  <c r="BR987" i="1"/>
  <c r="BO987" i="1"/>
  <c r="BN987" i="1"/>
  <c r="BM987" i="1"/>
  <c r="BL987" i="1"/>
  <c r="BK987" i="1"/>
  <c r="BH987" i="1"/>
  <c r="BJ987" i="1" s="1"/>
  <c r="BF987" i="1"/>
  <c r="BG987" i="1" s="1"/>
  <c r="BE987" i="1"/>
  <c r="BR986" i="1"/>
  <c r="BO986" i="1"/>
  <c r="BN986" i="1"/>
  <c r="BM986" i="1"/>
  <c r="BL986" i="1"/>
  <c r="BK986" i="1"/>
  <c r="BH986" i="1"/>
  <c r="BJ986" i="1" s="1"/>
  <c r="BF986" i="1"/>
  <c r="BG986" i="1" s="1"/>
  <c r="BE986" i="1"/>
  <c r="BR985" i="1"/>
  <c r="BO985" i="1"/>
  <c r="BN985" i="1"/>
  <c r="BM985" i="1"/>
  <c r="BL985" i="1"/>
  <c r="BK985" i="1"/>
  <c r="BH985" i="1"/>
  <c r="BJ985" i="1" s="1"/>
  <c r="BF985" i="1"/>
  <c r="BG985" i="1" s="1"/>
  <c r="BE985" i="1"/>
  <c r="BR984" i="1"/>
  <c r="BO984" i="1"/>
  <c r="BN984" i="1"/>
  <c r="BM984" i="1"/>
  <c r="BL984" i="1"/>
  <c r="BK984" i="1"/>
  <c r="BH984" i="1"/>
  <c r="BJ984" i="1" s="1"/>
  <c r="BF984" i="1"/>
  <c r="BG984" i="1" s="1"/>
  <c r="BE984" i="1"/>
  <c r="BR983" i="1"/>
  <c r="BO983" i="1"/>
  <c r="BN983" i="1"/>
  <c r="BM983" i="1"/>
  <c r="BL983" i="1"/>
  <c r="BK983" i="1"/>
  <c r="BH983" i="1"/>
  <c r="BF983" i="1"/>
  <c r="BG983" i="1" s="1"/>
  <c r="BE983" i="1"/>
  <c r="BR982" i="1"/>
  <c r="BO982" i="1"/>
  <c r="BN982" i="1"/>
  <c r="BM982" i="1"/>
  <c r="BL982" i="1"/>
  <c r="BK982" i="1"/>
  <c r="BH982" i="1"/>
  <c r="BJ982" i="1" s="1"/>
  <c r="BF982" i="1"/>
  <c r="BG982" i="1" s="1"/>
  <c r="BE982" i="1"/>
  <c r="BR981" i="1"/>
  <c r="BO981" i="1"/>
  <c r="BN981" i="1"/>
  <c r="BM981" i="1"/>
  <c r="BL981" i="1"/>
  <c r="BK981" i="1"/>
  <c r="BH981" i="1"/>
  <c r="BF981" i="1"/>
  <c r="BG981" i="1" s="1"/>
  <c r="BE981" i="1"/>
  <c r="BR980" i="1"/>
  <c r="BO980" i="1"/>
  <c r="BN980" i="1"/>
  <c r="BM980" i="1"/>
  <c r="BL980" i="1"/>
  <c r="BK980" i="1"/>
  <c r="BH980" i="1"/>
  <c r="BJ980" i="1" s="1"/>
  <c r="BF980" i="1"/>
  <c r="BG980" i="1" s="1"/>
  <c r="BE980" i="1"/>
  <c r="BR979" i="1"/>
  <c r="BO979" i="1"/>
  <c r="BN979" i="1"/>
  <c r="BM979" i="1"/>
  <c r="BL979" i="1"/>
  <c r="BK979" i="1"/>
  <c r="BH979" i="1"/>
  <c r="BJ979" i="1" s="1"/>
  <c r="BF979" i="1"/>
  <c r="BG979" i="1" s="1"/>
  <c r="BE979" i="1"/>
  <c r="BR978" i="1"/>
  <c r="BO978" i="1"/>
  <c r="BN978" i="1"/>
  <c r="BM978" i="1"/>
  <c r="BL978" i="1"/>
  <c r="BK978" i="1"/>
  <c r="BH978" i="1"/>
  <c r="BJ978" i="1" s="1"/>
  <c r="BF978" i="1"/>
  <c r="BG978" i="1" s="1"/>
  <c r="BE978" i="1"/>
  <c r="BR977" i="1"/>
  <c r="BO977" i="1"/>
  <c r="BN977" i="1"/>
  <c r="BM977" i="1"/>
  <c r="BL977" i="1"/>
  <c r="BK977" i="1"/>
  <c r="BH977" i="1"/>
  <c r="BJ977" i="1" s="1"/>
  <c r="BF977" i="1"/>
  <c r="BG977" i="1" s="1"/>
  <c r="BE977" i="1"/>
  <c r="BR976" i="1"/>
  <c r="BO976" i="1"/>
  <c r="BN976" i="1"/>
  <c r="BM976" i="1"/>
  <c r="BL976" i="1"/>
  <c r="BK976" i="1"/>
  <c r="BH976" i="1"/>
  <c r="BJ976" i="1" s="1"/>
  <c r="BF976" i="1"/>
  <c r="BG976" i="1" s="1"/>
  <c r="BE976" i="1"/>
  <c r="BR975" i="1"/>
  <c r="BO975" i="1"/>
  <c r="BN975" i="1"/>
  <c r="BM975" i="1"/>
  <c r="BL975" i="1"/>
  <c r="BK975" i="1"/>
  <c r="BH975" i="1"/>
  <c r="BJ975" i="1" s="1"/>
  <c r="BF975" i="1"/>
  <c r="BG975" i="1" s="1"/>
  <c r="BE975" i="1"/>
  <c r="BR974" i="1"/>
  <c r="BO974" i="1"/>
  <c r="BN974" i="1"/>
  <c r="BM974" i="1"/>
  <c r="BL974" i="1"/>
  <c r="BK974" i="1"/>
  <c r="BH974" i="1"/>
  <c r="BJ974" i="1" s="1"/>
  <c r="BF974" i="1"/>
  <c r="BG974" i="1" s="1"/>
  <c r="BE974" i="1"/>
  <c r="BR973" i="1"/>
  <c r="BO973" i="1"/>
  <c r="BN973" i="1"/>
  <c r="BM973" i="1"/>
  <c r="BL973" i="1"/>
  <c r="BK973" i="1"/>
  <c r="BH973" i="1"/>
  <c r="BJ973" i="1" s="1"/>
  <c r="BF973" i="1"/>
  <c r="BG973" i="1" s="1"/>
  <c r="BE973" i="1"/>
  <c r="BR972" i="1"/>
  <c r="BO972" i="1"/>
  <c r="BN972" i="1"/>
  <c r="BM972" i="1"/>
  <c r="BL972" i="1"/>
  <c r="BK972" i="1"/>
  <c r="BH972" i="1"/>
  <c r="BJ972" i="1" s="1"/>
  <c r="BF972" i="1"/>
  <c r="BG972" i="1" s="1"/>
  <c r="BE972" i="1"/>
  <c r="BR971" i="1"/>
  <c r="BO971" i="1"/>
  <c r="BN971" i="1"/>
  <c r="BM971" i="1"/>
  <c r="BL971" i="1"/>
  <c r="BK971" i="1"/>
  <c r="BH971" i="1"/>
  <c r="BJ971" i="1" s="1"/>
  <c r="BF971" i="1"/>
  <c r="BG971" i="1" s="1"/>
  <c r="BE971" i="1"/>
  <c r="BR970" i="1"/>
  <c r="BO970" i="1"/>
  <c r="BN970" i="1"/>
  <c r="BM970" i="1"/>
  <c r="BL970" i="1"/>
  <c r="BK970" i="1"/>
  <c r="BH970" i="1"/>
  <c r="BJ970" i="1" s="1"/>
  <c r="BF970" i="1"/>
  <c r="BG970" i="1" s="1"/>
  <c r="BE970" i="1"/>
  <c r="BR969" i="1"/>
  <c r="BO969" i="1"/>
  <c r="BN969" i="1"/>
  <c r="BM969" i="1"/>
  <c r="BL969" i="1"/>
  <c r="BK969" i="1"/>
  <c r="BH969" i="1"/>
  <c r="BF969" i="1"/>
  <c r="BG969" i="1" s="1"/>
  <c r="BE969" i="1"/>
  <c r="BR968" i="1"/>
  <c r="BO968" i="1"/>
  <c r="BN968" i="1"/>
  <c r="BM968" i="1"/>
  <c r="BL968" i="1"/>
  <c r="BK968" i="1"/>
  <c r="BH968" i="1"/>
  <c r="BJ968" i="1" s="1"/>
  <c r="BF968" i="1"/>
  <c r="BG968" i="1" s="1"/>
  <c r="BE968" i="1"/>
  <c r="BR967" i="1"/>
  <c r="BO967" i="1"/>
  <c r="BN967" i="1"/>
  <c r="BM967" i="1"/>
  <c r="BL967" i="1"/>
  <c r="BK967" i="1"/>
  <c r="BH967" i="1"/>
  <c r="BJ967" i="1" s="1"/>
  <c r="BF967" i="1"/>
  <c r="BG967" i="1" s="1"/>
  <c r="BE967" i="1"/>
  <c r="BR966" i="1"/>
  <c r="BO966" i="1"/>
  <c r="BN966" i="1"/>
  <c r="BM966" i="1"/>
  <c r="BL966" i="1"/>
  <c r="BK966" i="1"/>
  <c r="BH966" i="1"/>
  <c r="BJ966" i="1" s="1"/>
  <c r="BF966" i="1"/>
  <c r="BG966" i="1" s="1"/>
  <c r="BE966" i="1"/>
  <c r="BR965" i="1"/>
  <c r="BO965" i="1"/>
  <c r="BN965" i="1"/>
  <c r="BM965" i="1"/>
  <c r="BL965" i="1"/>
  <c r="BK965" i="1"/>
  <c r="BH965" i="1"/>
  <c r="BJ965" i="1" s="1"/>
  <c r="BF965" i="1"/>
  <c r="BG965" i="1" s="1"/>
  <c r="BE965" i="1"/>
  <c r="BR964" i="1"/>
  <c r="BO964" i="1"/>
  <c r="BN964" i="1"/>
  <c r="BM964" i="1"/>
  <c r="BL964" i="1"/>
  <c r="BK964" i="1"/>
  <c r="BH964" i="1"/>
  <c r="BJ964" i="1" s="1"/>
  <c r="BF964" i="1"/>
  <c r="BG964" i="1" s="1"/>
  <c r="BE964" i="1"/>
  <c r="BR963" i="1"/>
  <c r="BO963" i="1"/>
  <c r="BN963" i="1"/>
  <c r="BM963" i="1"/>
  <c r="BL963" i="1"/>
  <c r="BK963" i="1"/>
  <c r="BH963" i="1"/>
  <c r="BJ963" i="1" s="1"/>
  <c r="BF963" i="1"/>
  <c r="BG963" i="1" s="1"/>
  <c r="BE963" i="1"/>
  <c r="BR962" i="1"/>
  <c r="BO962" i="1"/>
  <c r="BN962" i="1"/>
  <c r="BM962" i="1"/>
  <c r="BL962" i="1"/>
  <c r="BK962" i="1"/>
  <c r="BH962" i="1"/>
  <c r="BJ962" i="1" s="1"/>
  <c r="BF962" i="1"/>
  <c r="BG962" i="1" s="1"/>
  <c r="BE962" i="1"/>
  <c r="BR961" i="1"/>
  <c r="BO961" i="1"/>
  <c r="BN961" i="1"/>
  <c r="BM961" i="1"/>
  <c r="BL961" i="1"/>
  <c r="BK961" i="1"/>
  <c r="BH961" i="1"/>
  <c r="BF961" i="1"/>
  <c r="BG961" i="1" s="1"/>
  <c r="BE961" i="1"/>
  <c r="BR960" i="1"/>
  <c r="BO960" i="1"/>
  <c r="BN960" i="1"/>
  <c r="BM960" i="1"/>
  <c r="BL960" i="1"/>
  <c r="BK960" i="1"/>
  <c r="BH960" i="1"/>
  <c r="BJ960" i="1" s="1"/>
  <c r="BF960" i="1"/>
  <c r="BG960" i="1" s="1"/>
  <c r="BE960" i="1"/>
  <c r="BR959" i="1"/>
  <c r="BO959" i="1"/>
  <c r="BN959" i="1"/>
  <c r="BM959" i="1"/>
  <c r="BL959" i="1"/>
  <c r="BK959" i="1"/>
  <c r="BH959" i="1"/>
  <c r="BJ959" i="1" s="1"/>
  <c r="BF959" i="1"/>
  <c r="BG959" i="1" s="1"/>
  <c r="BE959" i="1"/>
  <c r="BR958" i="1"/>
  <c r="BO958" i="1"/>
  <c r="BN958" i="1"/>
  <c r="BM958" i="1"/>
  <c r="BL958" i="1"/>
  <c r="BK958" i="1"/>
  <c r="BH958" i="1"/>
  <c r="BJ958" i="1" s="1"/>
  <c r="BF958" i="1"/>
  <c r="BG958" i="1" s="1"/>
  <c r="BE958" i="1"/>
  <c r="BR957" i="1"/>
  <c r="BO957" i="1"/>
  <c r="BN957" i="1"/>
  <c r="BM957" i="1"/>
  <c r="BL957" i="1"/>
  <c r="BK957" i="1"/>
  <c r="BH957" i="1"/>
  <c r="BF957" i="1"/>
  <c r="BG957" i="1" s="1"/>
  <c r="BE957" i="1"/>
  <c r="BR956" i="1"/>
  <c r="BO956" i="1"/>
  <c r="BN956" i="1"/>
  <c r="BM956" i="1"/>
  <c r="BL956" i="1"/>
  <c r="BK956" i="1"/>
  <c r="BH956" i="1"/>
  <c r="BJ956" i="1" s="1"/>
  <c r="BF956" i="1"/>
  <c r="BG956" i="1" s="1"/>
  <c r="BE956" i="1"/>
  <c r="BR955" i="1"/>
  <c r="BO955" i="1"/>
  <c r="BN955" i="1"/>
  <c r="BM955" i="1"/>
  <c r="BL955" i="1"/>
  <c r="BK955" i="1"/>
  <c r="BH955" i="1"/>
  <c r="BF955" i="1"/>
  <c r="BG955" i="1" s="1"/>
  <c r="BE955" i="1"/>
  <c r="BR954" i="1"/>
  <c r="BO954" i="1"/>
  <c r="BN954" i="1"/>
  <c r="BM954" i="1"/>
  <c r="BL954" i="1"/>
  <c r="BK954" i="1"/>
  <c r="BH954" i="1"/>
  <c r="BJ954" i="1" s="1"/>
  <c r="BF954" i="1"/>
  <c r="BG954" i="1" s="1"/>
  <c r="BE954" i="1"/>
  <c r="BR953" i="1"/>
  <c r="BO953" i="1"/>
  <c r="BN953" i="1"/>
  <c r="BM953" i="1"/>
  <c r="BL953" i="1"/>
  <c r="BK953" i="1"/>
  <c r="BH953" i="1"/>
  <c r="BJ953" i="1" s="1"/>
  <c r="BF953" i="1"/>
  <c r="BG953" i="1" s="1"/>
  <c r="BE953" i="1"/>
  <c r="BR952" i="1"/>
  <c r="BO952" i="1"/>
  <c r="BN952" i="1"/>
  <c r="BM952" i="1"/>
  <c r="BL952" i="1"/>
  <c r="BK952" i="1"/>
  <c r="BH952" i="1"/>
  <c r="BJ952" i="1" s="1"/>
  <c r="BF952" i="1"/>
  <c r="BG952" i="1" s="1"/>
  <c r="BE952" i="1"/>
  <c r="BR951" i="1"/>
  <c r="BO951" i="1"/>
  <c r="BN951" i="1"/>
  <c r="BM951" i="1"/>
  <c r="BL951" i="1"/>
  <c r="BK951" i="1"/>
  <c r="BH951" i="1"/>
  <c r="BF951" i="1"/>
  <c r="BG951" i="1" s="1"/>
  <c r="BE951" i="1"/>
  <c r="BR950" i="1"/>
  <c r="BO950" i="1"/>
  <c r="BN950" i="1"/>
  <c r="BM950" i="1"/>
  <c r="BL950" i="1"/>
  <c r="BK950" i="1"/>
  <c r="BH950" i="1"/>
  <c r="BJ950" i="1" s="1"/>
  <c r="BF950" i="1"/>
  <c r="BG950" i="1" s="1"/>
  <c r="BE950" i="1"/>
  <c r="BR949" i="1"/>
  <c r="BO949" i="1"/>
  <c r="BN949" i="1"/>
  <c r="BM949" i="1"/>
  <c r="BL949" i="1"/>
  <c r="BK949" i="1"/>
  <c r="BH949" i="1"/>
  <c r="BJ949" i="1" s="1"/>
  <c r="BF949" i="1"/>
  <c r="BG949" i="1" s="1"/>
  <c r="BE949" i="1"/>
  <c r="BR948" i="1"/>
  <c r="BO948" i="1"/>
  <c r="BN948" i="1"/>
  <c r="BM948" i="1"/>
  <c r="BL948" i="1"/>
  <c r="BK948" i="1"/>
  <c r="BH948" i="1"/>
  <c r="BJ948" i="1" s="1"/>
  <c r="BF948" i="1"/>
  <c r="BG948" i="1" s="1"/>
  <c r="BE948" i="1"/>
  <c r="BR947" i="1"/>
  <c r="BO947" i="1"/>
  <c r="BN947" i="1"/>
  <c r="BM947" i="1"/>
  <c r="BL947" i="1"/>
  <c r="BK947" i="1"/>
  <c r="BH947" i="1"/>
  <c r="BJ947" i="1" s="1"/>
  <c r="BF947" i="1"/>
  <c r="BG947" i="1" s="1"/>
  <c r="BE947" i="1"/>
  <c r="BR946" i="1"/>
  <c r="BO946" i="1"/>
  <c r="BN946" i="1"/>
  <c r="BM946" i="1"/>
  <c r="BL946" i="1"/>
  <c r="BK946" i="1"/>
  <c r="BH946" i="1"/>
  <c r="BJ946" i="1" s="1"/>
  <c r="BF946" i="1"/>
  <c r="BG946" i="1" s="1"/>
  <c r="BE946" i="1"/>
  <c r="BR945" i="1"/>
  <c r="BO945" i="1"/>
  <c r="BN945" i="1"/>
  <c r="BM945" i="1"/>
  <c r="BL945" i="1"/>
  <c r="BK945" i="1"/>
  <c r="BH945" i="1"/>
  <c r="BJ945" i="1" s="1"/>
  <c r="BF945" i="1"/>
  <c r="BG945" i="1" s="1"/>
  <c r="BE945" i="1"/>
  <c r="BR944" i="1"/>
  <c r="BO944" i="1"/>
  <c r="BN944" i="1"/>
  <c r="BM944" i="1"/>
  <c r="BL944" i="1"/>
  <c r="BK944" i="1"/>
  <c r="BH944" i="1"/>
  <c r="BJ944" i="1" s="1"/>
  <c r="BF944" i="1"/>
  <c r="BG944" i="1" s="1"/>
  <c r="BE944" i="1"/>
  <c r="BR943" i="1"/>
  <c r="BO943" i="1"/>
  <c r="BN943" i="1"/>
  <c r="BM943" i="1"/>
  <c r="BL943" i="1"/>
  <c r="BK943" i="1"/>
  <c r="BH943" i="1"/>
  <c r="BJ943" i="1" s="1"/>
  <c r="BF943" i="1"/>
  <c r="BG943" i="1" s="1"/>
  <c r="BE943" i="1"/>
  <c r="BR942" i="1"/>
  <c r="BO942" i="1"/>
  <c r="BN942" i="1"/>
  <c r="BM942" i="1"/>
  <c r="BL942" i="1"/>
  <c r="BK942" i="1"/>
  <c r="BH942" i="1"/>
  <c r="BJ942" i="1" s="1"/>
  <c r="BF942" i="1"/>
  <c r="BG942" i="1" s="1"/>
  <c r="BE942" i="1"/>
  <c r="BR941" i="1"/>
  <c r="BO941" i="1"/>
  <c r="BN941" i="1"/>
  <c r="BM941" i="1"/>
  <c r="BL941" i="1"/>
  <c r="BK941" i="1"/>
  <c r="BH941" i="1"/>
  <c r="BJ941" i="1" s="1"/>
  <c r="BF941" i="1"/>
  <c r="BG941" i="1" s="1"/>
  <c r="BE941" i="1"/>
  <c r="BR940" i="1"/>
  <c r="BO940" i="1"/>
  <c r="BN940" i="1"/>
  <c r="BM940" i="1"/>
  <c r="BL940" i="1"/>
  <c r="BK940" i="1"/>
  <c r="BH940" i="1"/>
  <c r="BJ940" i="1" s="1"/>
  <c r="BF940" i="1"/>
  <c r="BG940" i="1" s="1"/>
  <c r="BE940" i="1"/>
  <c r="BR939" i="1"/>
  <c r="BO939" i="1"/>
  <c r="BN939" i="1"/>
  <c r="BM939" i="1"/>
  <c r="BL939" i="1"/>
  <c r="BK939" i="1"/>
  <c r="BH939" i="1"/>
  <c r="BJ939" i="1" s="1"/>
  <c r="BF939" i="1"/>
  <c r="BG939" i="1" s="1"/>
  <c r="BE939" i="1"/>
  <c r="BR938" i="1"/>
  <c r="BO938" i="1"/>
  <c r="BN938" i="1"/>
  <c r="BM938" i="1"/>
  <c r="BL938" i="1"/>
  <c r="BK938" i="1"/>
  <c r="BH938" i="1"/>
  <c r="BJ938" i="1" s="1"/>
  <c r="BF938" i="1"/>
  <c r="BG938" i="1" s="1"/>
  <c r="BE938" i="1"/>
  <c r="BR937" i="1"/>
  <c r="BO937" i="1"/>
  <c r="BN937" i="1"/>
  <c r="BM937" i="1"/>
  <c r="BL937" i="1"/>
  <c r="BK937" i="1"/>
  <c r="BH937" i="1"/>
  <c r="BJ937" i="1" s="1"/>
  <c r="BF937" i="1"/>
  <c r="BG937" i="1" s="1"/>
  <c r="BE937" i="1"/>
  <c r="BR936" i="1"/>
  <c r="BO936" i="1"/>
  <c r="BN936" i="1"/>
  <c r="BM936" i="1"/>
  <c r="BL936" i="1"/>
  <c r="BK936" i="1"/>
  <c r="BH936" i="1"/>
  <c r="BJ936" i="1" s="1"/>
  <c r="BF936" i="1"/>
  <c r="BG936" i="1" s="1"/>
  <c r="BE936" i="1"/>
  <c r="BR935" i="1"/>
  <c r="BO935" i="1"/>
  <c r="BN935" i="1"/>
  <c r="BM935" i="1"/>
  <c r="BL935" i="1"/>
  <c r="BK935" i="1"/>
  <c r="BH935" i="1"/>
  <c r="BJ935" i="1" s="1"/>
  <c r="BF935" i="1"/>
  <c r="BG935" i="1" s="1"/>
  <c r="BE935" i="1"/>
  <c r="BR934" i="1"/>
  <c r="BO934" i="1"/>
  <c r="BN934" i="1"/>
  <c r="BM934" i="1"/>
  <c r="BL934" i="1"/>
  <c r="BK934" i="1"/>
  <c r="BH934" i="1"/>
  <c r="BJ934" i="1" s="1"/>
  <c r="BF934" i="1"/>
  <c r="BG934" i="1" s="1"/>
  <c r="BE934" i="1"/>
  <c r="BR933" i="1"/>
  <c r="BO933" i="1"/>
  <c r="BN933" i="1"/>
  <c r="BM933" i="1"/>
  <c r="BL933" i="1"/>
  <c r="BK933" i="1"/>
  <c r="BH933" i="1"/>
  <c r="BJ933" i="1" s="1"/>
  <c r="BF933" i="1"/>
  <c r="BG933" i="1" s="1"/>
  <c r="BE933" i="1"/>
  <c r="BR932" i="1"/>
  <c r="BO932" i="1"/>
  <c r="BN932" i="1"/>
  <c r="BM932" i="1"/>
  <c r="BL932" i="1"/>
  <c r="BK932" i="1"/>
  <c r="BH932" i="1"/>
  <c r="BJ932" i="1" s="1"/>
  <c r="BF932" i="1"/>
  <c r="BG932" i="1" s="1"/>
  <c r="BE932" i="1"/>
  <c r="BR931" i="1"/>
  <c r="BO931" i="1"/>
  <c r="BN931" i="1"/>
  <c r="BM931" i="1"/>
  <c r="BL931" i="1"/>
  <c r="BK931" i="1"/>
  <c r="BH931" i="1"/>
  <c r="BJ931" i="1" s="1"/>
  <c r="BF931" i="1"/>
  <c r="BG931" i="1" s="1"/>
  <c r="BE931" i="1"/>
  <c r="BR930" i="1"/>
  <c r="BO930" i="1"/>
  <c r="BN930" i="1"/>
  <c r="BM930" i="1"/>
  <c r="BL930" i="1"/>
  <c r="BK930" i="1"/>
  <c r="BH930" i="1"/>
  <c r="BJ930" i="1" s="1"/>
  <c r="BF930" i="1"/>
  <c r="BG930" i="1" s="1"/>
  <c r="BE930" i="1"/>
  <c r="BR929" i="1"/>
  <c r="BO929" i="1"/>
  <c r="BN929" i="1"/>
  <c r="BM929" i="1"/>
  <c r="BL929" i="1"/>
  <c r="BK929" i="1"/>
  <c r="BH929" i="1"/>
  <c r="BF929" i="1"/>
  <c r="BG929" i="1" s="1"/>
  <c r="BE929" i="1"/>
  <c r="BR928" i="1"/>
  <c r="BO928" i="1"/>
  <c r="BN928" i="1"/>
  <c r="BM928" i="1"/>
  <c r="BL928" i="1"/>
  <c r="BK928" i="1"/>
  <c r="BH928" i="1"/>
  <c r="BJ928" i="1" s="1"/>
  <c r="BF928" i="1"/>
  <c r="BG928" i="1" s="1"/>
  <c r="BE928" i="1"/>
  <c r="BR927" i="1"/>
  <c r="BO927" i="1"/>
  <c r="BN927" i="1"/>
  <c r="BM927" i="1"/>
  <c r="BL927" i="1"/>
  <c r="BK927" i="1"/>
  <c r="BH927" i="1"/>
  <c r="BJ927" i="1" s="1"/>
  <c r="BF927" i="1"/>
  <c r="BG927" i="1" s="1"/>
  <c r="BE927" i="1"/>
  <c r="BR926" i="1"/>
  <c r="BO926" i="1"/>
  <c r="BN926" i="1"/>
  <c r="BM926" i="1"/>
  <c r="BL926" i="1"/>
  <c r="BK926" i="1"/>
  <c r="BH926" i="1"/>
  <c r="BJ926" i="1" s="1"/>
  <c r="BF926" i="1"/>
  <c r="BG926" i="1" s="1"/>
  <c r="BE926" i="1"/>
  <c r="BR925" i="1"/>
  <c r="BO925" i="1"/>
  <c r="BN925" i="1"/>
  <c r="BM925" i="1"/>
  <c r="BL925" i="1"/>
  <c r="BK925" i="1"/>
  <c r="BH925" i="1"/>
  <c r="BJ925" i="1" s="1"/>
  <c r="BF925" i="1"/>
  <c r="BG925" i="1" s="1"/>
  <c r="BE925" i="1"/>
  <c r="BR924" i="1"/>
  <c r="BO924" i="1"/>
  <c r="BN924" i="1"/>
  <c r="BM924" i="1"/>
  <c r="BL924" i="1"/>
  <c r="BK924" i="1"/>
  <c r="BH924" i="1"/>
  <c r="BJ924" i="1" s="1"/>
  <c r="BF924" i="1"/>
  <c r="BG924" i="1" s="1"/>
  <c r="BE924" i="1"/>
  <c r="BR923" i="1"/>
  <c r="BO923" i="1"/>
  <c r="BN923" i="1"/>
  <c r="BM923" i="1"/>
  <c r="BL923" i="1"/>
  <c r="BK923" i="1"/>
  <c r="BH923" i="1"/>
  <c r="BF923" i="1"/>
  <c r="BG923" i="1" s="1"/>
  <c r="BE923" i="1"/>
  <c r="BR922" i="1"/>
  <c r="BO922" i="1"/>
  <c r="BN922" i="1"/>
  <c r="BM922" i="1"/>
  <c r="BL922" i="1"/>
  <c r="BK922" i="1"/>
  <c r="BH922" i="1"/>
  <c r="BJ922" i="1" s="1"/>
  <c r="BF922" i="1"/>
  <c r="BG922" i="1" s="1"/>
  <c r="BE922" i="1"/>
  <c r="BR921" i="1"/>
  <c r="BO921" i="1"/>
  <c r="BN921" i="1"/>
  <c r="BM921" i="1"/>
  <c r="BL921" i="1"/>
  <c r="BK921" i="1"/>
  <c r="BH921" i="1"/>
  <c r="BF921" i="1"/>
  <c r="BG921" i="1" s="1"/>
  <c r="BE921" i="1"/>
  <c r="BR920" i="1"/>
  <c r="BO920" i="1"/>
  <c r="BN920" i="1"/>
  <c r="BM920" i="1"/>
  <c r="BL920" i="1"/>
  <c r="BK920" i="1"/>
  <c r="BH920" i="1"/>
  <c r="BJ920" i="1" s="1"/>
  <c r="BF920" i="1"/>
  <c r="BG920" i="1" s="1"/>
  <c r="BE920" i="1"/>
  <c r="BR919" i="1"/>
  <c r="BO919" i="1"/>
  <c r="BN919" i="1"/>
  <c r="BM919" i="1"/>
  <c r="BL919" i="1"/>
  <c r="BK919" i="1"/>
  <c r="BH919" i="1"/>
  <c r="BJ919" i="1" s="1"/>
  <c r="BF919" i="1"/>
  <c r="BG919" i="1" s="1"/>
  <c r="BE919" i="1"/>
  <c r="BR918" i="1"/>
  <c r="BO918" i="1"/>
  <c r="BN918" i="1"/>
  <c r="BM918" i="1"/>
  <c r="BL918" i="1"/>
  <c r="BK918" i="1"/>
  <c r="BH918" i="1"/>
  <c r="BJ918" i="1" s="1"/>
  <c r="BF918" i="1"/>
  <c r="BG918" i="1" s="1"/>
  <c r="BE918" i="1"/>
  <c r="BR917" i="1"/>
  <c r="BO917" i="1"/>
  <c r="BN917" i="1"/>
  <c r="BM917" i="1"/>
  <c r="BL917" i="1"/>
  <c r="BK917" i="1"/>
  <c r="BH917" i="1"/>
  <c r="BJ917" i="1" s="1"/>
  <c r="BF917" i="1"/>
  <c r="BG917" i="1" s="1"/>
  <c r="BE917" i="1"/>
  <c r="BR916" i="1"/>
  <c r="BO916" i="1"/>
  <c r="BN916" i="1"/>
  <c r="BM916" i="1"/>
  <c r="BL916" i="1"/>
  <c r="BK916" i="1"/>
  <c r="BH916" i="1"/>
  <c r="BJ916" i="1" s="1"/>
  <c r="BF916" i="1"/>
  <c r="BG916" i="1" s="1"/>
  <c r="BE916" i="1"/>
  <c r="BR915" i="1"/>
  <c r="BO915" i="1"/>
  <c r="BN915" i="1"/>
  <c r="BM915" i="1"/>
  <c r="BL915" i="1"/>
  <c r="BK915" i="1"/>
  <c r="BH915" i="1"/>
  <c r="BJ915" i="1" s="1"/>
  <c r="BF915" i="1"/>
  <c r="BG915" i="1" s="1"/>
  <c r="BE915" i="1"/>
  <c r="BR914" i="1"/>
  <c r="BO914" i="1"/>
  <c r="BN914" i="1"/>
  <c r="BM914" i="1"/>
  <c r="BL914" i="1"/>
  <c r="BK914" i="1"/>
  <c r="BH914" i="1"/>
  <c r="BJ914" i="1" s="1"/>
  <c r="BF914" i="1"/>
  <c r="BG914" i="1" s="1"/>
  <c r="BE914" i="1"/>
  <c r="BR913" i="1"/>
  <c r="BO913" i="1"/>
  <c r="BN913" i="1"/>
  <c r="BM913" i="1"/>
  <c r="BL913" i="1"/>
  <c r="BK913" i="1"/>
  <c r="BH913" i="1"/>
  <c r="BJ913" i="1" s="1"/>
  <c r="BF913" i="1"/>
  <c r="BG913" i="1" s="1"/>
  <c r="BE913" i="1"/>
  <c r="BR912" i="1"/>
  <c r="BO912" i="1"/>
  <c r="BN912" i="1"/>
  <c r="BM912" i="1"/>
  <c r="BL912" i="1"/>
  <c r="BK912" i="1"/>
  <c r="BH912" i="1"/>
  <c r="BJ912" i="1" s="1"/>
  <c r="BF912" i="1"/>
  <c r="BG912" i="1" s="1"/>
  <c r="BE912" i="1"/>
  <c r="BR911" i="1"/>
  <c r="BO911" i="1"/>
  <c r="BN911" i="1"/>
  <c r="BM911" i="1"/>
  <c r="BL911" i="1"/>
  <c r="BK911" i="1"/>
  <c r="BH911" i="1"/>
  <c r="BJ911" i="1" s="1"/>
  <c r="BF911" i="1"/>
  <c r="BG911" i="1" s="1"/>
  <c r="BE911" i="1"/>
  <c r="BR910" i="1"/>
  <c r="BO910" i="1"/>
  <c r="BN910" i="1"/>
  <c r="BM910" i="1"/>
  <c r="BL910" i="1"/>
  <c r="BK910" i="1"/>
  <c r="BH910" i="1"/>
  <c r="BJ910" i="1" s="1"/>
  <c r="BF910" i="1"/>
  <c r="BG910" i="1" s="1"/>
  <c r="BE910" i="1"/>
  <c r="BR909" i="1"/>
  <c r="BO909" i="1"/>
  <c r="BN909" i="1"/>
  <c r="BM909" i="1"/>
  <c r="BL909" i="1"/>
  <c r="BK909" i="1"/>
  <c r="BH909" i="1"/>
  <c r="BJ909" i="1" s="1"/>
  <c r="BF909" i="1"/>
  <c r="BG909" i="1" s="1"/>
  <c r="BE909" i="1"/>
  <c r="BR908" i="1"/>
  <c r="BO908" i="1"/>
  <c r="BN908" i="1"/>
  <c r="BM908" i="1"/>
  <c r="BL908" i="1"/>
  <c r="BK908" i="1"/>
  <c r="BH908" i="1"/>
  <c r="BJ908" i="1" s="1"/>
  <c r="BF908" i="1"/>
  <c r="BG908" i="1" s="1"/>
  <c r="BE908" i="1"/>
  <c r="BR907" i="1"/>
  <c r="BO907" i="1"/>
  <c r="BN907" i="1"/>
  <c r="BM907" i="1"/>
  <c r="BL907" i="1"/>
  <c r="BK907" i="1"/>
  <c r="BH907" i="1"/>
  <c r="BF907" i="1"/>
  <c r="BG907" i="1" s="1"/>
  <c r="BE907" i="1"/>
  <c r="BR906" i="1"/>
  <c r="BO906" i="1"/>
  <c r="BN906" i="1"/>
  <c r="BM906" i="1"/>
  <c r="BL906" i="1"/>
  <c r="BK906" i="1"/>
  <c r="BH906" i="1"/>
  <c r="BJ906" i="1" s="1"/>
  <c r="BF906" i="1"/>
  <c r="BG906" i="1" s="1"/>
  <c r="BE906" i="1"/>
  <c r="BR905" i="1"/>
  <c r="BO905" i="1"/>
  <c r="BN905" i="1"/>
  <c r="BM905" i="1"/>
  <c r="BL905" i="1"/>
  <c r="BK905" i="1"/>
  <c r="BH905" i="1"/>
  <c r="BJ905" i="1" s="1"/>
  <c r="BF905" i="1"/>
  <c r="BG905" i="1" s="1"/>
  <c r="BE905" i="1"/>
  <c r="BR904" i="1"/>
  <c r="BO904" i="1"/>
  <c r="BN904" i="1"/>
  <c r="BM904" i="1"/>
  <c r="BL904" i="1"/>
  <c r="BK904" i="1"/>
  <c r="BH904" i="1"/>
  <c r="BJ904" i="1" s="1"/>
  <c r="BF904" i="1"/>
  <c r="BG904" i="1" s="1"/>
  <c r="BE904" i="1"/>
  <c r="BR903" i="1"/>
  <c r="BO903" i="1"/>
  <c r="BN903" i="1"/>
  <c r="BM903" i="1"/>
  <c r="BL903" i="1"/>
  <c r="BK903" i="1"/>
  <c r="BH903" i="1"/>
  <c r="BJ903" i="1" s="1"/>
  <c r="BF903" i="1"/>
  <c r="BG903" i="1" s="1"/>
  <c r="BE903" i="1"/>
  <c r="BR902" i="1"/>
  <c r="BO902" i="1"/>
  <c r="BN902" i="1"/>
  <c r="BM902" i="1"/>
  <c r="BL902" i="1"/>
  <c r="BK902" i="1"/>
  <c r="BH902" i="1"/>
  <c r="BJ902" i="1" s="1"/>
  <c r="BF902" i="1"/>
  <c r="BG902" i="1" s="1"/>
  <c r="BE902" i="1"/>
  <c r="BR901" i="1"/>
  <c r="BO901" i="1"/>
  <c r="BN901" i="1"/>
  <c r="BM901" i="1"/>
  <c r="BL901" i="1"/>
  <c r="BK901" i="1"/>
  <c r="BH901" i="1"/>
  <c r="BF901" i="1"/>
  <c r="BG901" i="1" s="1"/>
  <c r="BE901" i="1"/>
  <c r="BR900" i="1"/>
  <c r="BO900" i="1"/>
  <c r="BN900" i="1"/>
  <c r="BM900" i="1"/>
  <c r="BL900" i="1"/>
  <c r="BK900" i="1"/>
  <c r="BH900" i="1"/>
  <c r="BJ900" i="1" s="1"/>
  <c r="BF900" i="1"/>
  <c r="BG900" i="1" s="1"/>
  <c r="BE900" i="1"/>
  <c r="BR899" i="1"/>
  <c r="BO899" i="1"/>
  <c r="BN899" i="1"/>
  <c r="BM899" i="1"/>
  <c r="BL899" i="1"/>
  <c r="BK899" i="1"/>
  <c r="BH899" i="1"/>
  <c r="BJ899" i="1" s="1"/>
  <c r="BF899" i="1"/>
  <c r="BG899" i="1" s="1"/>
  <c r="BE899" i="1"/>
  <c r="BR898" i="1"/>
  <c r="BO898" i="1"/>
  <c r="BN898" i="1"/>
  <c r="BM898" i="1"/>
  <c r="BL898" i="1"/>
  <c r="BK898" i="1"/>
  <c r="BH898" i="1"/>
  <c r="BJ898" i="1" s="1"/>
  <c r="BF898" i="1"/>
  <c r="BG898" i="1" s="1"/>
  <c r="BE898" i="1"/>
  <c r="BR897" i="1"/>
  <c r="BO897" i="1"/>
  <c r="BN897" i="1"/>
  <c r="BM897" i="1"/>
  <c r="BL897" i="1"/>
  <c r="BK897" i="1"/>
  <c r="BH897" i="1"/>
  <c r="BJ897" i="1" s="1"/>
  <c r="BF897" i="1"/>
  <c r="BG897" i="1" s="1"/>
  <c r="BE897" i="1"/>
  <c r="BR896" i="1"/>
  <c r="BO896" i="1"/>
  <c r="BN896" i="1"/>
  <c r="BM896" i="1"/>
  <c r="BL896" i="1"/>
  <c r="BK896" i="1"/>
  <c r="BH896" i="1"/>
  <c r="BJ896" i="1" s="1"/>
  <c r="BF896" i="1"/>
  <c r="BG896" i="1" s="1"/>
  <c r="BE896" i="1"/>
  <c r="BR895" i="1"/>
  <c r="BO895" i="1"/>
  <c r="BN895" i="1"/>
  <c r="BM895" i="1"/>
  <c r="BL895" i="1"/>
  <c r="BK895" i="1"/>
  <c r="BH895" i="1"/>
  <c r="BJ895" i="1" s="1"/>
  <c r="BF895" i="1"/>
  <c r="BG895" i="1" s="1"/>
  <c r="BE895" i="1"/>
  <c r="BR894" i="1"/>
  <c r="BO894" i="1"/>
  <c r="BN894" i="1"/>
  <c r="BM894" i="1"/>
  <c r="BL894" i="1"/>
  <c r="BK894" i="1"/>
  <c r="BH894" i="1"/>
  <c r="BJ894" i="1" s="1"/>
  <c r="BF894" i="1"/>
  <c r="BG894" i="1" s="1"/>
  <c r="BE894" i="1"/>
  <c r="BR893" i="1"/>
  <c r="BO893" i="1"/>
  <c r="BN893" i="1"/>
  <c r="BM893" i="1"/>
  <c r="BL893" i="1"/>
  <c r="BK893" i="1"/>
  <c r="BH893" i="1"/>
  <c r="BJ893" i="1" s="1"/>
  <c r="BF893" i="1"/>
  <c r="BG893" i="1" s="1"/>
  <c r="BE893" i="1"/>
  <c r="BR892" i="1"/>
  <c r="BO892" i="1"/>
  <c r="BN892" i="1"/>
  <c r="BM892" i="1"/>
  <c r="BL892" i="1"/>
  <c r="BK892" i="1"/>
  <c r="BH892" i="1"/>
  <c r="BJ892" i="1" s="1"/>
  <c r="BF892" i="1"/>
  <c r="BG892" i="1" s="1"/>
  <c r="BE892" i="1"/>
  <c r="BR891" i="1"/>
  <c r="BO891" i="1"/>
  <c r="BN891" i="1"/>
  <c r="BM891" i="1"/>
  <c r="BL891" i="1"/>
  <c r="BK891" i="1"/>
  <c r="BH891" i="1"/>
  <c r="BF891" i="1"/>
  <c r="BG891" i="1" s="1"/>
  <c r="BE891" i="1"/>
  <c r="BR890" i="1"/>
  <c r="BO890" i="1"/>
  <c r="BN890" i="1"/>
  <c r="BM890" i="1"/>
  <c r="BL890" i="1"/>
  <c r="BK890" i="1"/>
  <c r="BH890" i="1"/>
  <c r="BJ890" i="1" s="1"/>
  <c r="BF890" i="1"/>
  <c r="BG890" i="1" s="1"/>
  <c r="BE890" i="1"/>
  <c r="BR889" i="1"/>
  <c r="BO889" i="1"/>
  <c r="BN889" i="1"/>
  <c r="BM889" i="1"/>
  <c r="BL889" i="1"/>
  <c r="BK889" i="1"/>
  <c r="BH889" i="1"/>
  <c r="BJ889" i="1" s="1"/>
  <c r="BF889" i="1"/>
  <c r="BG889" i="1" s="1"/>
  <c r="BE889" i="1"/>
  <c r="BR888" i="1"/>
  <c r="BO888" i="1"/>
  <c r="BN888" i="1"/>
  <c r="BM888" i="1"/>
  <c r="BL888" i="1"/>
  <c r="BK888" i="1"/>
  <c r="BH888" i="1"/>
  <c r="BJ888" i="1" s="1"/>
  <c r="BF888" i="1"/>
  <c r="BG888" i="1" s="1"/>
  <c r="BE888" i="1"/>
  <c r="BR887" i="1"/>
  <c r="BO887" i="1"/>
  <c r="BN887" i="1"/>
  <c r="BM887" i="1"/>
  <c r="BL887" i="1"/>
  <c r="BK887" i="1"/>
  <c r="BH887" i="1"/>
  <c r="BF887" i="1"/>
  <c r="BG887" i="1" s="1"/>
  <c r="BE887" i="1"/>
  <c r="BR886" i="1"/>
  <c r="BO886" i="1"/>
  <c r="BN886" i="1"/>
  <c r="BM886" i="1"/>
  <c r="BL886" i="1"/>
  <c r="BK886" i="1"/>
  <c r="BH886" i="1"/>
  <c r="BJ886" i="1" s="1"/>
  <c r="BF886" i="1"/>
  <c r="BG886" i="1" s="1"/>
  <c r="BE886" i="1"/>
  <c r="BR885" i="1"/>
  <c r="BO885" i="1"/>
  <c r="BN885" i="1"/>
  <c r="BM885" i="1"/>
  <c r="BL885" i="1"/>
  <c r="BK885" i="1"/>
  <c r="BH885" i="1"/>
  <c r="BJ885" i="1" s="1"/>
  <c r="BF885" i="1"/>
  <c r="BG885" i="1" s="1"/>
  <c r="BE885" i="1"/>
  <c r="BR884" i="1"/>
  <c r="BO884" i="1"/>
  <c r="BN884" i="1"/>
  <c r="BM884" i="1"/>
  <c r="BL884" i="1"/>
  <c r="BK884" i="1"/>
  <c r="BH884" i="1"/>
  <c r="BJ884" i="1" s="1"/>
  <c r="BF884" i="1"/>
  <c r="BG884" i="1" s="1"/>
  <c r="BE884" i="1"/>
  <c r="BR883" i="1"/>
  <c r="BO883" i="1"/>
  <c r="BN883" i="1"/>
  <c r="BM883" i="1"/>
  <c r="BL883" i="1"/>
  <c r="BK883" i="1"/>
  <c r="BH883" i="1"/>
  <c r="BJ883" i="1" s="1"/>
  <c r="BF883" i="1"/>
  <c r="BG883" i="1" s="1"/>
  <c r="BE883" i="1"/>
  <c r="BR882" i="1"/>
  <c r="BO882" i="1"/>
  <c r="BN882" i="1"/>
  <c r="BM882" i="1"/>
  <c r="BL882" i="1"/>
  <c r="BK882" i="1"/>
  <c r="BH882" i="1"/>
  <c r="BJ882" i="1" s="1"/>
  <c r="BF882" i="1"/>
  <c r="BG882" i="1" s="1"/>
  <c r="BE882" i="1"/>
  <c r="BR881" i="1"/>
  <c r="BO881" i="1"/>
  <c r="BN881" i="1"/>
  <c r="BM881" i="1"/>
  <c r="BL881" i="1"/>
  <c r="BK881" i="1"/>
  <c r="BH881" i="1"/>
  <c r="BJ881" i="1" s="1"/>
  <c r="BF881" i="1"/>
  <c r="BG881" i="1" s="1"/>
  <c r="BE881" i="1"/>
  <c r="BR880" i="1"/>
  <c r="BO880" i="1"/>
  <c r="BN880" i="1"/>
  <c r="BM880" i="1"/>
  <c r="BL880" i="1"/>
  <c r="BK880" i="1"/>
  <c r="BH880" i="1"/>
  <c r="BJ880" i="1" s="1"/>
  <c r="BF880" i="1"/>
  <c r="BG880" i="1" s="1"/>
  <c r="BE880" i="1"/>
  <c r="BR879" i="1"/>
  <c r="BO879" i="1"/>
  <c r="BN879" i="1"/>
  <c r="BM879" i="1"/>
  <c r="BL879" i="1"/>
  <c r="BK879" i="1"/>
  <c r="BH879" i="1"/>
  <c r="BF879" i="1"/>
  <c r="BG879" i="1" s="1"/>
  <c r="BE879" i="1"/>
  <c r="BR878" i="1"/>
  <c r="BO878" i="1"/>
  <c r="BN878" i="1"/>
  <c r="BM878" i="1"/>
  <c r="BL878" i="1"/>
  <c r="BK878" i="1"/>
  <c r="BH878" i="1"/>
  <c r="BJ878" i="1" s="1"/>
  <c r="BF878" i="1"/>
  <c r="BG878" i="1" s="1"/>
  <c r="BE878" i="1"/>
  <c r="BR877" i="1"/>
  <c r="BO877" i="1"/>
  <c r="BN877" i="1"/>
  <c r="BM877" i="1"/>
  <c r="BL877" i="1"/>
  <c r="BK877" i="1"/>
  <c r="BH877" i="1"/>
  <c r="BJ877" i="1" s="1"/>
  <c r="BF877" i="1"/>
  <c r="BG877" i="1" s="1"/>
  <c r="BE877" i="1"/>
  <c r="BR876" i="1"/>
  <c r="BO876" i="1"/>
  <c r="BN876" i="1"/>
  <c r="BM876" i="1"/>
  <c r="BL876" i="1"/>
  <c r="BK876" i="1"/>
  <c r="BH876" i="1"/>
  <c r="BJ876" i="1" s="1"/>
  <c r="BF876" i="1"/>
  <c r="BG876" i="1" s="1"/>
  <c r="BE876" i="1"/>
  <c r="BR875" i="1"/>
  <c r="BO875" i="1"/>
  <c r="BN875" i="1"/>
  <c r="BM875" i="1"/>
  <c r="BL875" i="1"/>
  <c r="BK875" i="1"/>
  <c r="BH875" i="1"/>
  <c r="BJ875" i="1" s="1"/>
  <c r="BF875" i="1"/>
  <c r="BG875" i="1" s="1"/>
  <c r="BE875" i="1"/>
  <c r="BR874" i="1"/>
  <c r="BO874" i="1"/>
  <c r="BN874" i="1"/>
  <c r="BM874" i="1"/>
  <c r="BL874" i="1"/>
  <c r="BK874" i="1"/>
  <c r="BH874" i="1"/>
  <c r="BJ874" i="1" s="1"/>
  <c r="BF874" i="1"/>
  <c r="BG874" i="1" s="1"/>
  <c r="BE874" i="1"/>
  <c r="BR873" i="1"/>
  <c r="BO873" i="1"/>
  <c r="BN873" i="1"/>
  <c r="BM873" i="1"/>
  <c r="BL873" i="1"/>
  <c r="BK873" i="1"/>
  <c r="BH873" i="1"/>
  <c r="BJ873" i="1" s="1"/>
  <c r="BF873" i="1"/>
  <c r="BG873" i="1" s="1"/>
  <c r="BE873" i="1"/>
  <c r="BR872" i="1"/>
  <c r="BO872" i="1"/>
  <c r="BN872" i="1"/>
  <c r="BM872" i="1"/>
  <c r="BL872" i="1"/>
  <c r="BK872" i="1"/>
  <c r="BH872" i="1"/>
  <c r="BJ872" i="1" s="1"/>
  <c r="BF872" i="1"/>
  <c r="BG872" i="1" s="1"/>
  <c r="BE872" i="1"/>
  <c r="BR871" i="1"/>
  <c r="BO871" i="1"/>
  <c r="BN871" i="1"/>
  <c r="BM871" i="1"/>
  <c r="BL871" i="1"/>
  <c r="BK871" i="1"/>
  <c r="BH871" i="1"/>
  <c r="BJ871" i="1" s="1"/>
  <c r="BF871" i="1"/>
  <c r="BG871" i="1" s="1"/>
  <c r="BE871" i="1"/>
  <c r="BR870" i="1"/>
  <c r="BO870" i="1"/>
  <c r="BN870" i="1"/>
  <c r="BM870" i="1"/>
  <c r="BL870" i="1"/>
  <c r="BK870" i="1"/>
  <c r="BH870" i="1"/>
  <c r="BJ870" i="1" s="1"/>
  <c r="BF870" i="1"/>
  <c r="BG870" i="1" s="1"/>
  <c r="BE870" i="1"/>
  <c r="BR869" i="1"/>
  <c r="BO869" i="1"/>
  <c r="BN869" i="1"/>
  <c r="BM869" i="1"/>
  <c r="BL869" i="1"/>
  <c r="BK869" i="1"/>
  <c r="BH869" i="1"/>
  <c r="BF869" i="1"/>
  <c r="BG869" i="1" s="1"/>
  <c r="BE869" i="1"/>
  <c r="BR868" i="1"/>
  <c r="BO868" i="1"/>
  <c r="BN868" i="1"/>
  <c r="BM868" i="1"/>
  <c r="BL868" i="1"/>
  <c r="BK868" i="1"/>
  <c r="BH868" i="1"/>
  <c r="BJ868" i="1" s="1"/>
  <c r="BF868" i="1"/>
  <c r="BG868" i="1" s="1"/>
  <c r="BE868" i="1"/>
  <c r="BR867" i="1"/>
  <c r="BO867" i="1"/>
  <c r="BN867" i="1"/>
  <c r="BM867" i="1"/>
  <c r="BL867" i="1"/>
  <c r="BK867" i="1"/>
  <c r="BH867" i="1"/>
  <c r="BF867" i="1"/>
  <c r="BG867" i="1" s="1"/>
  <c r="BE867" i="1"/>
  <c r="BR866" i="1"/>
  <c r="BO866" i="1"/>
  <c r="BN866" i="1"/>
  <c r="BM866" i="1"/>
  <c r="BL866" i="1"/>
  <c r="BK866" i="1"/>
  <c r="BH866" i="1"/>
  <c r="BJ866" i="1" s="1"/>
  <c r="BF866" i="1"/>
  <c r="BG866" i="1" s="1"/>
  <c r="BE866" i="1"/>
  <c r="BR865" i="1"/>
  <c r="BO865" i="1"/>
  <c r="BN865" i="1"/>
  <c r="BM865" i="1"/>
  <c r="BL865" i="1"/>
  <c r="BK865" i="1"/>
  <c r="BH865" i="1"/>
  <c r="BJ865" i="1" s="1"/>
  <c r="BF865" i="1"/>
  <c r="BG865" i="1" s="1"/>
  <c r="BE865" i="1"/>
  <c r="BR864" i="1"/>
  <c r="BO864" i="1"/>
  <c r="BN864" i="1"/>
  <c r="BM864" i="1"/>
  <c r="BL864" i="1"/>
  <c r="BK864" i="1"/>
  <c r="BH864" i="1"/>
  <c r="BJ864" i="1" s="1"/>
  <c r="BF864" i="1"/>
  <c r="BG864" i="1" s="1"/>
  <c r="BE864" i="1"/>
  <c r="BR863" i="1"/>
  <c r="BO863" i="1"/>
  <c r="BN863" i="1"/>
  <c r="BM863" i="1"/>
  <c r="BL863" i="1"/>
  <c r="BK863" i="1"/>
  <c r="BH863" i="1"/>
  <c r="BJ863" i="1" s="1"/>
  <c r="BF863" i="1"/>
  <c r="BG863" i="1" s="1"/>
  <c r="BE863" i="1"/>
  <c r="BR862" i="1"/>
  <c r="BO862" i="1"/>
  <c r="BN862" i="1"/>
  <c r="BM862" i="1"/>
  <c r="BL862" i="1"/>
  <c r="BK862" i="1"/>
  <c r="BH862" i="1"/>
  <c r="BF862" i="1"/>
  <c r="BG862" i="1" s="1"/>
  <c r="BE862" i="1"/>
  <c r="BR861" i="1"/>
  <c r="BO861" i="1"/>
  <c r="BN861" i="1"/>
  <c r="BM861" i="1"/>
  <c r="BL861" i="1"/>
  <c r="BK861" i="1"/>
  <c r="BH861" i="1"/>
  <c r="BJ861" i="1" s="1"/>
  <c r="BF861" i="1"/>
  <c r="BG861" i="1" s="1"/>
  <c r="BE861" i="1"/>
  <c r="BR860" i="1"/>
  <c r="BO860" i="1"/>
  <c r="BN860" i="1"/>
  <c r="BM860" i="1"/>
  <c r="BL860" i="1"/>
  <c r="BK860" i="1"/>
  <c r="BH860" i="1"/>
  <c r="BF860" i="1"/>
  <c r="BG860" i="1" s="1"/>
  <c r="BE860" i="1"/>
  <c r="BR859" i="1"/>
  <c r="BO859" i="1"/>
  <c r="BN859" i="1"/>
  <c r="BM859" i="1"/>
  <c r="BL859" i="1"/>
  <c r="BK859" i="1"/>
  <c r="BH859" i="1"/>
  <c r="BJ859" i="1" s="1"/>
  <c r="BF859" i="1"/>
  <c r="BG859" i="1" s="1"/>
  <c r="BE859" i="1"/>
  <c r="BR858" i="1"/>
  <c r="BO858" i="1"/>
  <c r="BN858" i="1"/>
  <c r="BM858" i="1"/>
  <c r="BL858" i="1"/>
  <c r="BK858" i="1"/>
  <c r="BH858" i="1"/>
  <c r="BF858" i="1"/>
  <c r="BG858" i="1" s="1"/>
  <c r="BE858" i="1"/>
  <c r="BR857" i="1"/>
  <c r="BO857" i="1"/>
  <c r="BN857" i="1"/>
  <c r="BM857" i="1"/>
  <c r="BL857" i="1"/>
  <c r="BK857" i="1"/>
  <c r="BH857" i="1"/>
  <c r="BJ857" i="1" s="1"/>
  <c r="BF857" i="1"/>
  <c r="BG857" i="1" s="1"/>
  <c r="BE857" i="1"/>
  <c r="BR856" i="1"/>
  <c r="BO856" i="1"/>
  <c r="BN856" i="1"/>
  <c r="BM856" i="1"/>
  <c r="BL856" i="1"/>
  <c r="BK856" i="1"/>
  <c r="BH856" i="1"/>
  <c r="BF856" i="1"/>
  <c r="BG856" i="1" s="1"/>
  <c r="BE856" i="1"/>
  <c r="BR855" i="1"/>
  <c r="BO855" i="1"/>
  <c r="BN855" i="1"/>
  <c r="BM855" i="1"/>
  <c r="BL855" i="1"/>
  <c r="BK855" i="1"/>
  <c r="BH855" i="1"/>
  <c r="BF855" i="1"/>
  <c r="BG855" i="1" s="1"/>
  <c r="BE855" i="1"/>
  <c r="BR854" i="1"/>
  <c r="BO854" i="1"/>
  <c r="BN854" i="1"/>
  <c r="BM854" i="1"/>
  <c r="BL854" i="1"/>
  <c r="BK854" i="1"/>
  <c r="BH854" i="1"/>
  <c r="BF854" i="1"/>
  <c r="BG854" i="1" s="1"/>
  <c r="BE854" i="1"/>
  <c r="BR853" i="1"/>
  <c r="BO853" i="1"/>
  <c r="BN853" i="1"/>
  <c r="BM853" i="1"/>
  <c r="BL853" i="1"/>
  <c r="BK853" i="1"/>
  <c r="BH853" i="1"/>
  <c r="BJ853" i="1" s="1"/>
  <c r="BF853" i="1"/>
  <c r="BG853" i="1" s="1"/>
  <c r="BE853" i="1"/>
  <c r="BR852" i="1"/>
  <c r="BO852" i="1"/>
  <c r="BN852" i="1"/>
  <c r="BM852" i="1"/>
  <c r="BL852" i="1"/>
  <c r="BK852" i="1"/>
  <c r="BH852" i="1"/>
  <c r="BF852" i="1"/>
  <c r="BG852" i="1" s="1"/>
  <c r="BE852" i="1"/>
  <c r="BR851" i="1"/>
  <c r="BO851" i="1"/>
  <c r="BN851" i="1"/>
  <c r="BM851" i="1"/>
  <c r="BL851" i="1"/>
  <c r="BK851" i="1"/>
  <c r="BH851" i="1"/>
  <c r="BJ851" i="1" s="1"/>
  <c r="BF851" i="1"/>
  <c r="BG851" i="1" s="1"/>
  <c r="BE851" i="1"/>
  <c r="BR850" i="1"/>
  <c r="BO850" i="1"/>
  <c r="BN850" i="1"/>
  <c r="BM850" i="1"/>
  <c r="BL850" i="1"/>
  <c r="BK850" i="1"/>
  <c r="BH850" i="1"/>
  <c r="BF850" i="1"/>
  <c r="BG850" i="1" s="1"/>
  <c r="BE850" i="1"/>
  <c r="BR849" i="1"/>
  <c r="BO849" i="1"/>
  <c r="BN849" i="1"/>
  <c r="BM849" i="1"/>
  <c r="BL849" i="1"/>
  <c r="BK849" i="1"/>
  <c r="BH849" i="1"/>
  <c r="BF849" i="1"/>
  <c r="BG849" i="1" s="1"/>
  <c r="BE849" i="1"/>
  <c r="BR848" i="1"/>
  <c r="BO848" i="1"/>
  <c r="BN848" i="1"/>
  <c r="BM848" i="1"/>
  <c r="BL848" i="1"/>
  <c r="BK848" i="1"/>
  <c r="BH848" i="1"/>
  <c r="BF848" i="1"/>
  <c r="BG848" i="1" s="1"/>
  <c r="BE848" i="1"/>
  <c r="BR847" i="1"/>
  <c r="BO847" i="1"/>
  <c r="BN847" i="1"/>
  <c r="BM847" i="1"/>
  <c r="BL847" i="1"/>
  <c r="BK847" i="1"/>
  <c r="BH847" i="1"/>
  <c r="BJ847" i="1" s="1"/>
  <c r="BF847" i="1"/>
  <c r="BG847" i="1" s="1"/>
  <c r="BE847" i="1"/>
  <c r="BR846" i="1"/>
  <c r="BO846" i="1"/>
  <c r="BN846" i="1"/>
  <c r="BM846" i="1"/>
  <c r="BL846" i="1"/>
  <c r="BK846" i="1"/>
  <c r="BH846" i="1"/>
  <c r="BF846" i="1"/>
  <c r="BG846" i="1" s="1"/>
  <c r="BE846" i="1"/>
  <c r="BR845" i="1"/>
  <c r="BO845" i="1"/>
  <c r="BN845" i="1"/>
  <c r="BM845" i="1"/>
  <c r="BL845" i="1"/>
  <c r="BK845" i="1"/>
  <c r="BH845" i="1"/>
  <c r="BJ845" i="1" s="1"/>
  <c r="BF845" i="1"/>
  <c r="BG845" i="1" s="1"/>
  <c r="BE845" i="1"/>
  <c r="BR844" i="1"/>
  <c r="BO844" i="1"/>
  <c r="BN844" i="1"/>
  <c r="BM844" i="1"/>
  <c r="BL844" i="1"/>
  <c r="BK844" i="1"/>
  <c r="BH844" i="1"/>
  <c r="BF844" i="1"/>
  <c r="BG844" i="1" s="1"/>
  <c r="BE844" i="1"/>
  <c r="BR843" i="1"/>
  <c r="BO843" i="1"/>
  <c r="BN843" i="1"/>
  <c r="BM843" i="1"/>
  <c r="BL843" i="1"/>
  <c r="BK843" i="1"/>
  <c r="BH843" i="1"/>
  <c r="BJ843" i="1" s="1"/>
  <c r="BF843" i="1"/>
  <c r="BG843" i="1" s="1"/>
  <c r="BE843" i="1"/>
  <c r="BR842" i="1"/>
  <c r="BO842" i="1"/>
  <c r="BN842" i="1"/>
  <c r="BM842" i="1"/>
  <c r="BL842" i="1"/>
  <c r="BK842" i="1"/>
  <c r="BH842" i="1"/>
  <c r="BF842" i="1"/>
  <c r="BG842" i="1" s="1"/>
  <c r="BE842" i="1"/>
  <c r="BR841" i="1"/>
  <c r="BO841" i="1"/>
  <c r="BN841" i="1"/>
  <c r="BM841" i="1"/>
  <c r="BL841" i="1"/>
  <c r="BK841" i="1"/>
  <c r="BH841" i="1"/>
  <c r="BJ841" i="1" s="1"/>
  <c r="BF841" i="1"/>
  <c r="BG841" i="1" s="1"/>
  <c r="BE841" i="1"/>
  <c r="BR840" i="1"/>
  <c r="BO840" i="1"/>
  <c r="BN840" i="1"/>
  <c r="BM840" i="1"/>
  <c r="BL840" i="1"/>
  <c r="BK840" i="1"/>
  <c r="BH840" i="1"/>
  <c r="BF840" i="1"/>
  <c r="BG840" i="1" s="1"/>
  <c r="BE840" i="1"/>
  <c r="BR839" i="1"/>
  <c r="BO839" i="1"/>
  <c r="BN839" i="1"/>
  <c r="BM839" i="1"/>
  <c r="BL839" i="1"/>
  <c r="BK839" i="1"/>
  <c r="BH839" i="1"/>
  <c r="BJ839" i="1" s="1"/>
  <c r="BF839" i="1"/>
  <c r="BG839" i="1" s="1"/>
  <c r="BE839" i="1"/>
  <c r="BR838" i="1"/>
  <c r="BO838" i="1"/>
  <c r="BN838" i="1"/>
  <c r="BM838" i="1"/>
  <c r="BL838" i="1"/>
  <c r="BK838" i="1"/>
  <c r="BH838" i="1"/>
  <c r="BF838" i="1"/>
  <c r="BG838" i="1" s="1"/>
  <c r="BE838" i="1"/>
  <c r="BR837" i="1"/>
  <c r="BO837" i="1"/>
  <c r="BN837" i="1"/>
  <c r="BM837" i="1"/>
  <c r="BL837" i="1"/>
  <c r="BK837" i="1"/>
  <c r="BH837" i="1"/>
  <c r="BJ837" i="1" s="1"/>
  <c r="BF837" i="1"/>
  <c r="BG837" i="1" s="1"/>
  <c r="BE837" i="1"/>
  <c r="BR836" i="1"/>
  <c r="BO836" i="1"/>
  <c r="BN836" i="1"/>
  <c r="BM836" i="1"/>
  <c r="BL836" i="1"/>
  <c r="BK836" i="1"/>
  <c r="BH836" i="1"/>
  <c r="BF836" i="1"/>
  <c r="BG836" i="1" s="1"/>
  <c r="BE836" i="1"/>
  <c r="BR835" i="1"/>
  <c r="BO835" i="1"/>
  <c r="BN835" i="1"/>
  <c r="BM835" i="1"/>
  <c r="BL835" i="1"/>
  <c r="BK835" i="1"/>
  <c r="BH835" i="1"/>
  <c r="BJ835" i="1" s="1"/>
  <c r="BF835" i="1"/>
  <c r="BG835" i="1" s="1"/>
  <c r="BE835" i="1"/>
  <c r="BR834" i="1"/>
  <c r="BO834" i="1"/>
  <c r="BN834" i="1"/>
  <c r="BM834" i="1"/>
  <c r="BL834" i="1"/>
  <c r="BK834" i="1"/>
  <c r="BH834" i="1"/>
  <c r="BF834" i="1"/>
  <c r="BG834" i="1" s="1"/>
  <c r="BE834" i="1"/>
  <c r="BR833" i="1"/>
  <c r="BO833" i="1"/>
  <c r="BN833" i="1"/>
  <c r="BM833" i="1"/>
  <c r="BL833" i="1"/>
  <c r="BK833" i="1"/>
  <c r="BH833" i="1"/>
  <c r="BJ833" i="1" s="1"/>
  <c r="BF833" i="1"/>
  <c r="BG833" i="1" s="1"/>
  <c r="BE833" i="1"/>
  <c r="BR832" i="1"/>
  <c r="BO832" i="1"/>
  <c r="BN832" i="1"/>
  <c r="BM832" i="1"/>
  <c r="BL832" i="1"/>
  <c r="BK832" i="1"/>
  <c r="BH832" i="1"/>
  <c r="BF832" i="1"/>
  <c r="BG832" i="1" s="1"/>
  <c r="BE832" i="1"/>
  <c r="BR831" i="1"/>
  <c r="BO831" i="1"/>
  <c r="BN831" i="1"/>
  <c r="BM831" i="1"/>
  <c r="BL831" i="1"/>
  <c r="BK831" i="1"/>
  <c r="BH831" i="1"/>
  <c r="BJ831" i="1" s="1"/>
  <c r="BF831" i="1"/>
  <c r="BG831" i="1" s="1"/>
  <c r="BE831" i="1"/>
  <c r="BR830" i="1"/>
  <c r="BO830" i="1"/>
  <c r="BN830" i="1"/>
  <c r="BM830" i="1"/>
  <c r="BL830" i="1"/>
  <c r="BK830" i="1"/>
  <c r="BH830" i="1"/>
  <c r="BF830" i="1"/>
  <c r="BG830" i="1" s="1"/>
  <c r="BE830" i="1"/>
  <c r="BR829" i="1"/>
  <c r="BO829" i="1"/>
  <c r="BN829" i="1"/>
  <c r="BM829" i="1"/>
  <c r="BL829" i="1"/>
  <c r="BK829" i="1"/>
  <c r="BH829" i="1"/>
  <c r="BF829" i="1"/>
  <c r="BG829" i="1" s="1"/>
  <c r="BE829" i="1"/>
  <c r="BR828" i="1"/>
  <c r="BO828" i="1"/>
  <c r="BN828" i="1"/>
  <c r="BM828" i="1"/>
  <c r="BL828" i="1"/>
  <c r="BK828" i="1"/>
  <c r="BH828" i="1"/>
  <c r="BF828" i="1"/>
  <c r="BG828" i="1" s="1"/>
  <c r="BE828" i="1"/>
  <c r="BR827" i="1"/>
  <c r="BO827" i="1"/>
  <c r="BN827" i="1"/>
  <c r="BM827" i="1"/>
  <c r="BL827" i="1"/>
  <c r="BK827" i="1"/>
  <c r="BH827" i="1"/>
  <c r="BJ827" i="1" s="1"/>
  <c r="BF827" i="1"/>
  <c r="BG827" i="1" s="1"/>
  <c r="BE827" i="1"/>
  <c r="BR826" i="1"/>
  <c r="BO826" i="1"/>
  <c r="BN826" i="1"/>
  <c r="BM826" i="1"/>
  <c r="BL826" i="1"/>
  <c r="BK826" i="1"/>
  <c r="BH826" i="1"/>
  <c r="BF826" i="1"/>
  <c r="BG826" i="1" s="1"/>
  <c r="BE826" i="1"/>
  <c r="BR825" i="1"/>
  <c r="BO825" i="1"/>
  <c r="BN825" i="1"/>
  <c r="BM825" i="1"/>
  <c r="BL825" i="1"/>
  <c r="BK825" i="1"/>
  <c r="BH825" i="1"/>
  <c r="BJ825" i="1" s="1"/>
  <c r="BF825" i="1"/>
  <c r="BG825" i="1" s="1"/>
  <c r="BE825" i="1"/>
  <c r="BR824" i="1"/>
  <c r="BO824" i="1"/>
  <c r="BN824" i="1"/>
  <c r="BM824" i="1"/>
  <c r="BL824" i="1"/>
  <c r="BK824" i="1"/>
  <c r="BH824" i="1"/>
  <c r="BF824" i="1"/>
  <c r="BG824" i="1" s="1"/>
  <c r="BE824" i="1"/>
  <c r="BR823" i="1"/>
  <c r="BO823" i="1"/>
  <c r="BN823" i="1"/>
  <c r="BM823" i="1"/>
  <c r="BL823" i="1"/>
  <c r="BK823" i="1"/>
  <c r="BH823" i="1"/>
  <c r="BJ823" i="1" s="1"/>
  <c r="BF823" i="1"/>
  <c r="BG823" i="1" s="1"/>
  <c r="BE823" i="1"/>
  <c r="BR822" i="1"/>
  <c r="BO822" i="1"/>
  <c r="BN822" i="1"/>
  <c r="BM822" i="1"/>
  <c r="BL822" i="1"/>
  <c r="BK822" i="1"/>
  <c r="BH822" i="1"/>
  <c r="BF822" i="1"/>
  <c r="BG822" i="1" s="1"/>
  <c r="BE822" i="1"/>
  <c r="BR821" i="1"/>
  <c r="BO821" i="1"/>
  <c r="BN821" i="1"/>
  <c r="BM821" i="1"/>
  <c r="BL821" i="1"/>
  <c r="BK821" i="1"/>
  <c r="BH821" i="1"/>
  <c r="BJ821" i="1" s="1"/>
  <c r="BF821" i="1"/>
  <c r="BG821" i="1" s="1"/>
  <c r="BE821" i="1"/>
  <c r="BR820" i="1"/>
  <c r="BO820" i="1"/>
  <c r="BN820" i="1"/>
  <c r="BM820" i="1"/>
  <c r="BL820" i="1"/>
  <c r="BK820" i="1"/>
  <c r="BH820" i="1"/>
  <c r="BF820" i="1"/>
  <c r="BG820" i="1" s="1"/>
  <c r="BE820" i="1"/>
  <c r="BR819" i="1"/>
  <c r="BO819" i="1"/>
  <c r="BN819" i="1"/>
  <c r="BM819" i="1"/>
  <c r="BL819" i="1"/>
  <c r="BK819" i="1"/>
  <c r="BH819" i="1"/>
  <c r="BJ819" i="1" s="1"/>
  <c r="BF819" i="1"/>
  <c r="BG819" i="1" s="1"/>
  <c r="BE819" i="1"/>
  <c r="BR818" i="1"/>
  <c r="BO818" i="1"/>
  <c r="BN818" i="1"/>
  <c r="BM818" i="1"/>
  <c r="BL818" i="1"/>
  <c r="BK818" i="1"/>
  <c r="BH818" i="1"/>
  <c r="BF818" i="1"/>
  <c r="BG818" i="1" s="1"/>
  <c r="BE818" i="1"/>
  <c r="BR817" i="1"/>
  <c r="BO817" i="1"/>
  <c r="BN817" i="1"/>
  <c r="BM817" i="1"/>
  <c r="BL817" i="1"/>
  <c r="BK817" i="1"/>
  <c r="BH817" i="1"/>
  <c r="BJ817" i="1" s="1"/>
  <c r="BF817" i="1"/>
  <c r="BG817" i="1" s="1"/>
  <c r="BE817" i="1"/>
  <c r="BR816" i="1"/>
  <c r="BO816" i="1"/>
  <c r="BN816" i="1"/>
  <c r="BM816" i="1"/>
  <c r="BL816" i="1"/>
  <c r="BK816" i="1"/>
  <c r="BH816" i="1"/>
  <c r="BF816" i="1"/>
  <c r="BG816" i="1" s="1"/>
  <c r="BE816" i="1"/>
  <c r="BR815" i="1"/>
  <c r="BO815" i="1"/>
  <c r="BN815" i="1"/>
  <c r="BM815" i="1"/>
  <c r="BL815" i="1"/>
  <c r="BK815" i="1"/>
  <c r="BH815" i="1"/>
  <c r="BJ815" i="1" s="1"/>
  <c r="BF815" i="1"/>
  <c r="BG815" i="1" s="1"/>
  <c r="BE815" i="1"/>
  <c r="BR814" i="1"/>
  <c r="BO814" i="1"/>
  <c r="BN814" i="1"/>
  <c r="BM814" i="1"/>
  <c r="BL814" i="1"/>
  <c r="BK814" i="1"/>
  <c r="BH814" i="1"/>
  <c r="BF814" i="1"/>
  <c r="BG814" i="1" s="1"/>
  <c r="BE814" i="1"/>
  <c r="BR813" i="1"/>
  <c r="BO813" i="1"/>
  <c r="BN813" i="1"/>
  <c r="BM813" i="1"/>
  <c r="BL813" i="1"/>
  <c r="BK813" i="1"/>
  <c r="BH813" i="1"/>
  <c r="BF813" i="1"/>
  <c r="BG813" i="1" s="1"/>
  <c r="BE813" i="1"/>
  <c r="BR812" i="1"/>
  <c r="BO812" i="1"/>
  <c r="BN812" i="1"/>
  <c r="BM812" i="1"/>
  <c r="BL812" i="1"/>
  <c r="BK812" i="1"/>
  <c r="BH812" i="1"/>
  <c r="BF812" i="1"/>
  <c r="BG812" i="1" s="1"/>
  <c r="BE812" i="1"/>
  <c r="BR811" i="1"/>
  <c r="BO811" i="1"/>
  <c r="BN811" i="1"/>
  <c r="BM811" i="1"/>
  <c r="BL811" i="1"/>
  <c r="BK811" i="1"/>
  <c r="BH811" i="1"/>
  <c r="BJ811" i="1" s="1"/>
  <c r="BF811" i="1"/>
  <c r="BG811" i="1" s="1"/>
  <c r="BE811" i="1"/>
  <c r="BR810" i="1"/>
  <c r="BO810" i="1"/>
  <c r="BN810" i="1"/>
  <c r="BM810" i="1"/>
  <c r="BL810" i="1"/>
  <c r="BK810" i="1"/>
  <c r="BH810" i="1"/>
  <c r="BF810" i="1"/>
  <c r="BG810" i="1" s="1"/>
  <c r="BE810" i="1"/>
  <c r="BR809" i="1"/>
  <c r="BO809" i="1"/>
  <c r="BN809" i="1"/>
  <c r="BM809" i="1"/>
  <c r="BL809" i="1"/>
  <c r="BK809" i="1"/>
  <c r="BH809" i="1"/>
  <c r="BJ809" i="1" s="1"/>
  <c r="BF809" i="1"/>
  <c r="BG809" i="1" s="1"/>
  <c r="BE809" i="1"/>
  <c r="BR808" i="1"/>
  <c r="BO808" i="1"/>
  <c r="BN808" i="1"/>
  <c r="BM808" i="1"/>
  <c r="BL808" i="1"/>
  <c r="BK808" i="1"/>
  <c r="BH808" i="1"/>
  <c r="BF808" i="1"/>
  <c r="BG808" i="1" s="1"/>
  <c r="BE808" i="1"/>
  <c r="BR807" i="1"/>
  <c r="BO807" i="1"/>
  <c r="BN807" i="1"/>
  <c r="BM807" i="1"/>
  <c r="BL807" i="1"/>
  <c r="BK807" i="1"/>
  <c r="BH807" i="1"/>
  <c r="BF807" i="1"/>
  <c r="BG807" i="1" s="1"/>
  <c r="BE807" i="1"/>
  <c r="BR806" i="1"/>
  <c r="BO806" i="1"/>
  <c r="BN806" i="1"/>
  <c r="BM806" i="1"/>
  <c r="BL806" i="1"/>
  <c r="BK806" i="1"/>
  <c r="BH806" i="1"/>
  <c r="BF806" i="1"/>
  <c r="BG806" i="1" s="1"/>
  <c r="BE806" i="1"/>
  <c r="BR805" i="1"/>
  <c r="BO805" i="1"/>
  <c r="BN805" i="1"/>
  <c r="BM805" i="1"/>
  <c r="BL805" i="1"/>
  <c r="BK805" i="1"/>
  <c r="BH805" i="1"/>
  <c r="BF805" i="1"/>
  <c r="BG805" i="1" s="1"/>
  <c r="BE805" i="1"/>
  <c r="BR804" i="1"/>
  <c r="BO804" i="1"/>
  <c r="BN804" i="1"/>
  <c r="BM804" i="1"/>
  <c r="BL804" i="1"/>
  <c r="BK804" i="1"/>
  <c r="BH804" i="1"/>
  <c r="BF804" i="1"/>
  <c r="BG804" i="1" s="1"/>
  <c r="BE804" i="1"/>
  <c r="BR803" i="1"/>
  <c r="BO803" i="1"/>
  <c r="BN803" i="1"/>
  <c r="BM803" i="1"/>
  <c r="BL803" i="1"/>
  <c r="BK803" i="1"/>
  <c r="BH803" i="1"/>
  <c r="BJ803" i="1" s="1"/>
  <c r="BF803" i="1"/>
  <c r="BG803" i="1" s="1"/>
  <c r="BE803" i="1"/>
  <c r="BR802" i="1"/>
  <c r="BO802" i="1"/>
  <c r="BN802" i="1"/>
  <c r="BM802" i="1"/>
  <c r="BL802" i="1"/>
  <c r="BK802" i="1"/>
  <c r="BH802" i="1"/>
  <c r="BF802" i="1"/>
  <c r="BG802" i="1" s="1"/>
  <c r="BE802" i="1"/>
  <c r="BR801" i="1"/>
  <c r="BO801" i="1"/>
  <c r="BN801" i="1"/>
  <c r="BM801" i="1"/>
  <c r="BL801" i="1"/>
  <c r="BK801" i="1"/>
  <c r="BH801" i="1"/>
  <c r="BJ801" i="1" s="1"/>
  <c r="BF801" i="1"/>
  <c r="BG801" i="1" s="1"/>
  <c r="BE801" i="1"/>
  <c r="BR800" i="1"/>
  <c r="BO800" i="1"/>
  <c r="BN800" i="1"/>
  <c r="BM800" i="1"/>
  <c r="BL800" i="1"/>
  <c r="BK800" i="1"/>
  <c r="BH800" i="1"/>
  <c r="BF800" i="1"/>
  <c r="BG800" i="1" s="1"/>
  <c r="BE800" i="1"/>
  <c r="BR799" i="1"/>
  <c r="BO799" i="1"/>
  <c r="BN799" i="1"/>
  <c r="BM799" i="1"/>
  <c r="BL799" i="1"/>
  <c r="BK799" i="1"/>
  <c r="BH799" i="1"/>
  <c r="BJ799" i="1" s="1"/>
  <c r="BF799" i="1"/>
  <c r="BG799" i="1" s="1"/>
  <c r="BE799" i="1"/>
  <c r="BR798" i="1"/>
  <c r="BO798" i="1"/>
  <c r="BN798" i="1"/>
  <c r="BM798" i="1"/>
  <c r="BL798" i="1"/>
  <c r="BK798" i="1"/>
  <c r="BH798" i="1"/>
  <c r="BF798" i="1"/>
  <c r="BG798" i="1" s="1"/>
  <c r="BE798" i="1"/>
  <c r="BR797" i="1"/>
  <c r="BO797" i="1"/>
  <c r="BN797" i="1"/>
  <c r="BM797" i="1"/>
  <c r="BL797" i="1"/>
  <c r="BK797" i="1"/>
  <c r="BH797" i="1"/>
  <c r="BJ797" i="1" s="1"/>
  <c r="BF797" i="1"/>
  <c r="BG797" i="1" s="1"/>
  <c r="BE797" i="1"/>
  <c r="BR796" i="1"/>
  <c r="BO796" i="1"/>
  <c r="BN796" i="1"/>
  <c r="BM796" i="1"/>
  <c r="BL796" i="1"/>
  <c r="BK796" i="1"/>
  <c r="BH796" i="1"/>
  <c r="BF796" i="1"/>
  <c r="BG796" i="1" s="1"/>
  <c r="BE796" i="1"/>
  <c r="BR795" i="1"/>
  <c r="BO795" i="1"/>
  <c r="BN795" i="1"/>
  <c r="BM795" i="1"/>
  <c r="BL795" i="1"/>
  <c r="BK795" i="1"/>
  <c r="BH795" i="1"/>
  <c r="BJ795" i="1" s="1"/>
  <c r="BF795" i="1"/>
  <c r="BG795" i="1" s="1"/>
  <c r="BE795" i="1"/>
  <c r="BR794" i="1"/>
  <c r="BO794" i="1"/>
  <c r="BN794" i="1"/>
  <c r="BM794" i="1"/>
  <c r="BL794" i="1"/>
  <c r="BK794" i="1"/>
  <c r="BH794" i="1"/>
  <c r="BF794" i="1"/>
  <c r="BG794" i="1" s="1"/>
  <c r="BE794" i="1"/>
  <c r="BR793" i="1"/>
  <c r="BO793" i="1"/>
  <c r="BN793" i="1"/>
  <c r="BM793" i="1"/>
  <c r="BL793" i="1"/>
  <c r="BK793" i="1"/>
  <c r="BH793" i="1"/>
  <c r="BF793" i="1"/>
  <c r="BG793" i="1" s="1"/>
  <c r="BE793" i="1"/>
  <c r="BR792" i="1"/>
  <c r="BO792" i="1"/>
  <c r="BN792" i="1"/>
  <c r="BM792" i="1"/>
  <c r="BL792" i="1"/>
  <c r="BK792" i="1"/>
  <c r="BH792" i="1"/>
  <c r="BF792" i="1"/>
  <c r="BG792" i="1" s="1"/>
  <c r="BE792" i="1"/>
  <c r="BR791" i="1"/>
  <c r="BO791" i="1"/>
  <c r="BN791" i="1"/>
  <c r="BM791" i="1"/>
  <c r="BL791" i="1"/>
  <c r="BK791" i="1"/>
  <c r="BH791" i="1"/>
  <c r="BJ791" i="1" s="1"/>
  <c r="BF791" i="1"/>
  <c r="BG791" i="1" s="1"/>
  <c r="BE791" i="1"/>
  <c r="BR790" i="1"/>
  <c r="BO790" i="1"/>
  <c r="BN790" i="1"/>
  <c r="BM790" i="1"/>
  <c r="BL790" i="1"/>
  <c r="BK790" i="1"/>
  <c r="BH790" i="1"/>
  <c r="BF790" i="1"/>
  <c r="BG790" i="1" s="1"/>
  <c r="BE790" i="1"/>
  <c r="BR789" i="1"/>
  <c r="BO789" i="1"/>
  <c r="BN789" i="1"/>
  <c r="BM789" i="1"/>
  <c r="BL789" i="1"/>
  <c r="BK789" i="1"/>
  <c r="BH789" i="1"/>
  <c r="BJ789" i="1" s="1"/>
  <c r="BF789" i="1"/>
  <c r="BG789" i="1" s="1"/>
  <c r="BE789" i="1"/>
  <c r="BR788" i="1"/>
  <c r="BO788" i="1"/>
  <c r="BN788" i="1"/>
  <c r="BM788" i="1"/>
  <c r="BL788" i="1"/>
  <c r="BK788" i="1"/>
  <c r="BH788" i="1"/>
  <c r="BF788" i="1"/>
  <c r="BG788" i="1" s="1"/>
  <c r="BE788" i="1"/>
  <c r="BR787" i="1"/>
  <c r="BO787" i="1"/>
  <c r="BN787" i="1"/>
  <c r="BM787" i="1"/>
  <c r="BL787" i="1"/>
  <c r="BK787" i="1"/>
  <c r="BH787" i="1"/>
  <c r="BJ787" i="1" s="1"/>
  <c r="BF787" i="1"/>
  <c r="BG787" i="1" s="1"/>
  <c r="BE787" i="1"/>
  <c r="BR786" i="1"/>
  <c r="BO786" i="1"/>
  <c r="BN786" i="1"/>
  <c r="BM786" i="1"/>
  <c r="BL786" i="1"/>
  <c r="BK786" i="1"/>
  <c r="BH786" i="1"/>
  <c r="BF786" i="1"/>
  <c r="BG786" i="1" s="1"/>
  <c r="BE786" i="1"/>
  <c r="BR785" i="1"/>
  <c r="BO785" i="1"/>
  <c r="BN785" i="1"/>
  <c r="BM785" i="1"/>
  <c r="BL785" i="1"/>
  <c r="BK785" i="1"/>
  <c r="BH785" i="1"/>
  <c r="BJ785" i="1" s="1"/>
  <c r="BF785" i="1"/>
  <c r="BG785" i="1" s="1"/>
  <c r="BE785" i="1"/>
  <c r="BR784" i="1"/>
  <c r="BO784" i="1"/>
  <c r="BN784" i="1"/>
  <c r="BM784" i="1"/>
  <c r="BL784" i="1"/>
  <c r="BK784" i="1"/>
  <c r="BH784" i="1"/>
  <c r="BF784" i="1"/>
  <c r="BG784" i="1" s="1"/>
  <c r="BE784" i="1"/>
  <c r="BR783" i="1"/>
  <c r="BO783" i="1"/>
  <c r="BN783" i="1"/>
  <c r="BM783" i="1"/>
  <c r="BL783" i="1"/>
  <c r="BK783" i="1"/>
  <c r="BH783" i="1"/>
  <c r="BJ783" i="1" s="1"/>
  <c r="BF783" i="1"/>
  <c r="BG783" i="1" s="1"/>
  <c r="BE783" i="1"/>
  <c r="BR782" i="1"/>
  <c r="BO782" i="1"/>
  <c r="BN782" i="1"/>
  <c r="BM782" i="1"/>
  <c r="BL782" i="1"/>
  <c r="BK782" i="1"/>
  <c r="BH782" i="1"/>
  <c r="BF782" i="1"/>
  <c r="BG782" i="1" s="1"/>
  <c r="BE782" i="1"/>
  <c r="BR781" i="1"/>
  <c r="BO781" i="1"/>
  <c r="BN781" i="1"/>
  <c r="BM781" i="1"/>
  <c r="BL781" i="1"/>
  <c r="BK781" i="1"/>
  <c r="BH781" i="1"/>
  <c r="BJ781" i="1" s="1"/>
  <c r="BF781" i="1"/>
  <c r="BG781" i="1" s="1"/>
  <c r="BE781" i="1"/>
  <c r="BR780" i="1"/>
  <c r="BO780" i="1"/>
  <c r="BN780" i="1"/>
  <c r="BM780" i="1"/>
  <c r="BL780" i="1"/>
  <c r="BK780" i="1"/>
  <c r="BH780" i="1"/>
  <c r="BF780" i="1"/>
  <c r="BG780" i="1" s="1"/>
  <c r="BE780" i="1"/>
  <c r="BR779" i="1"/>
  <c r="BO779" i="1"/>
  <c r="BN779" i="1"/>
  <c r="BM779" i="1"/>
  <c r="BL779" i="1"/>
  <c r="BK779" i="1"/>
  <c r="BH779" i="1"/>
  <c r="BJ779" i="1" s="1"/>
  <c r="BF779" i="1"/>
  <c r="BG779" i="1" s="1"/>
  <c r="BE779" i="1"/>
  <c r="BR778" i="1"/>
  <c r="BO778" i="1"/>
  <c r="BN778" i="1"/>
  <c r="BM778" i="1"/>
  <c r="BL778" i="1"/>
  <c r="BK778" i="1"/>
  <c r="BH778" i="1"/>
  <c r="BF778" i="1"/>
  <c r="BG778" i="1" s="1"/>
  <c r="BE778" i="1"/>
  <c r="BR777" i="1"/>
  <c r="BO777" i="1"/>
  <c r="BN777" i="1"/>
  <c r="BM777" i="1"/>
  <c r="BL777" i="1"/>
  <c r="BK777" i="1"/>
  <c r="BH777" i="1"/>
  <c r="BJ777" i="1" s="1"/>
  <c r="BF777" i="1"/>
  <c r="BG777" i="1" s="1"/>
  <c r="BE777" i="1"/>
  <c r="BR776" i="1"/>
  <c r="BO776" i="1"/>
  <c r="BN776" i="1"/>
  <c r="BM776" i="1"/>
  <c r="BL776" i="1"/>
  <c r="BK776" i="1"/>
  <c r="BH776" i="1"/>
  <c r="BI776" i="1" s="1"/>
  <c r="BF776" i="1"/>
  <c r="BG776" i="1" s="1"/>
  <c r="BE776" i="1"/>
  <c r="BR775" i="1"/>
  <c r="BO775" i="1"/>
  <c r="BN775" i="1"/>
  <c r="BM775" i="1"/>
  <c r="BL775" i="1"/>
  <c r="BK775" i="1"/>
  <c r="BH775" i="1"/>
  <c r="BJ775" i="1" s="1"/>
  <c r="BF775" i="1"/>
  <c r="BG775" i="1" s="1"/>
  <c r="BE775" i="1"/>
  <c r="BR774" i="1"/>
  <c r="BO774" i="1"/>
  <c r="BN774" i="1"/>
  <c r="BM774" i="1"/>
  <c r="BL774" i="1"/>
  <c r="BK774" i="1"/>
  <c r="BH774" i="1"/>
  <c r="BI774" i="1" s="1"/>
  <c r="BF774" i="1"/>
  <c r="BG774" i="1" s="1"/>
  <c r="BE774" i="1"/>
  <c r="BR773" i="1"/>
  <c r="BO773" i="1"/>
  <c r="BN773" i="1"/>
  <c r="BM773" i="1"/>
  <c r="BL773" i="1"/>
  <c r="BK773" i="1"/>
  <c r="BH773" i="1"/>
  <c r="BJ773" i="1" s="1"/>
  <c r="BF773" i="1"/>
  <c r="BG773" i="1" s="1"/>
  <c r="BE773" i="1"/>
  <c r="BR772" i="1"/>
  <c r="BO772" i="1"/>
  <c r="BN772" i="1"/>
  <c r="BM772" i="1"/>
  <c r="BL772" i="1"/>
  <c r="BK772" i="1"/>
  <c r="BH772" i="1"/>
  <c r="BI772" i="1" s="1"/>
  <c r="BF772" i="1"/>
  <c r="BG772" i="1" s="1"/>
  <c r="BE772" i="1"/>
  <c r="BR771" i="1"/>
  <c r="BO771" i="1"/>
  <c r="BN771" i="1"/>
  <c r="BM771" i="1"/>
  <c r="BL771" i="1"/>
  <c r="BK771" i="1"/>
  <c r="BH771" i="1"/>
  <c r="BJ771" i="1" s="1"/>
  <c r="BF771" i="1"/>
  <c r="BG771" i="1" s="1"/>
  <c r="BE771" i="1"/>
  <c r="BR770" i="1"/>
  <c r="BO770" i="1"/>
  <c r="BN770" i="1"/>
  <c r="BM770" i="1"/>
  <c r="BL770" i="1"/>
  <c r="BK770" i="1"/>
  <c r="BH770" i="1"/>
  <c r="BI770" i="1" s="1"/>
  <c r="BF770" i="1"/>
  <c r="BG770" i="1" s="1"/>
  <c r="BE770" i="1"/>
  <c r="BR769" i="1"/>
  <c r="BO769" i="1"/>
  <c r="BN769" i="1"/>
  <c r="BM769" i="1"/>
  <c r="BL769" i="1"/>
  <c r="BK769" i="1"/>
  <c r="BH769" i="1"/>
  <c r="BJ769" i="1" s="1"/>
  <c r="BF769" i="1"/>
  <c r="BG769" i="1" s="1"/>
  <c r="BE769" i="1"/>
  <c r="BR768" i="1"/>
  <c r="BO768" i="1"/>
  <c r="BN768" i="1"/>
  <c r="BM768" i="1"/>
  <c r="BL768" i="1"/>
  <c r="BK768" i="1"/>
  <c r="BH768" i="1"/>
  <c r="BI768" i="1" s="1"/>
  <c r="BF768" i="1"/>
  <c r="BG768" i="1" s="1"/>
  <c r="BE768" i="1"/>
  <c r="BR767" i="1"/>
  <c r="BO767" i="1"/>
  <c r="BN767" i="1"/>
  <c r="BM767" i="1"/>
  <c r="BL767" i="1"/>
  <c r="BK767" i="1"/>
  <c r="BH767" i="1"/>
  <c r="BJ767" i="1" s="1"/>
  <c r="BF767" i="1"/>
  <c r="BG767" i="1" s="1"/>
  <c r="BE767" i="1"/>
  <c r="BR766" i="1"/>
  <c r="BO766" i="1"/>
  <c r="BN766" i="1"/>
  <c r="BM766" i="1"/>
  <c r="BL766" i="1"/>
  <c r="BK766" i="1"/>
  <c r="BH766" i="1"/>
  <c r="BF766" i="1"/>
  <c r="BG766" i="1" s="1"/>
  <c r="BE766" i="1"/>
  <c r="BR765" i="1"/>
  <c r="BO765" i="1"/>
  <c r="BN765" i="1"/>
  <c r="BM765" i="1"/>
  <c r="BL765" i="1"/>
  <c r="BK765" i="1"/>
  <c r="BH765" i="1"/>
  <c r="BJ765" i="1" s="1"/>
  <c r="BF765" i="1"/>
  <c r="BG765" i="1" s="1"/>
  <c r="BE765" i="1"/>
  <c r="BR764" i="1"/>
  <c r="BO764" i="1"/>
  <c r="BN764" i="1"/>
  <c r="BM764" i="1"/>
  <c r="BL764" i="1"/>
  <c r="BK764" i="1"/>
  <c r="BH764" i="1"/>
  <c r="BI764" i="1" s="1"/>
  <c r="BF764" i="1"/>
  <c r="BG764" i="1" s="1"/>
  <c r="BE764" i="1"/>
  <c r="BR763" i="1"/>
  <c r="BO763" i="1"/>
  <c r="BN763" i="1"/>
  <c r="BM763" i="1"/>
  <c r="BL763" i="1"/>
  <c r="BK763" i="1"/>
  <c r="BH763" i="1"/>
  <c r="BJ763" i="1" s="1"/>
  <c r="BF763" i="1"/>
  <c r="BG763" i="1" s="1"/>
  <c r="BE763" i="1"/>
  <c r="BR762" i="1"/>
  <c r="BO762" i="1"/>
  <c r="BN762" i="1"/>
  <c r="BM762" i="1"/>
  <c r="BL762" i="1"/>
  <c r="BK762" i="1"/>
  <c r="BH762" i="1"/>
  <c r="BI762" i="1" s="1"/>
  <c r="BF762" i="1"/>
  <c r="BG762" i="1" s="1"/>
  <c r="BE762" i="1"/>
  <c r="BR761" i="1"/>
  <c r="BO761" i="1"/>
  <c r="BN761" i="1"/>
  <c r="BM761" i="1"/>
  <c r="BL761" i="1"/>
  <c r="BK761" i="1"/>
  <c r="BH761" i="1"/>
  <c r="BJ761" i="1" s="1"/>
  <c r="BF761" i="1"/>
  <c r="BG761" i="1" s="1"/>
  <c r="BE761" i="1"/>
  <c r="BR760" i="1"/>
  <c r="BO760" i="1"/>
  <c r="BN760" i="1"/>
  <c r="BM760" i="1"/>
  <c r="BL760" i="1"/>
  <c r="BK760" i="1"/>
  <c r="BH760" i="1"/>
  <c r="BI760" i="1" s="1"/>
  <c r="BF760" i="1"/>
  <c r="BG760" i="1" s="1"/>
  <c r="BE760" i="1"/>
  <c r="BR759" i="1"/>
  <c r="BO759" i="1"/>
  <c r="BN759" i="1"/>
  <c r="BM759" i="1"/>
  <c r="BL759" i="1"/>
  <c r="BK759" i="1"/>
  <c r="BH759" i="1"/>
  <c r="BJ759" i="1" s="1"/>
  <c r="BF759" i="1"/>
  <c r="BG759" i="1" s="1"/>
  <c r="BE759" i="1"/>
  <c r="BR758" i="1"/>
  <c r="BO758" i="1"/>
  <c r="BN758" i="1"/>
  <c r="BM758" i="1"/>
  <c r="BL758" i="1"/>
  <c r="BK758" i="1"/>
  <c r="BH758" i="1"/>
  <c r="BI758" i="1" s="1"/>
  <c r="BF758" i="1"/>
  <c r="BG758" i="1" s="1"/>
  <c r="BE758" i="1"/>
  <c r="BR757" i="1"/>
  <c r="BO757" i="1"/>
  <c r="BN757" i="1"/>
  <c r="BM757" i="1"/>
  <c r="BL757" i="1"/>
  <c r="BK757" i="1"/>
  <c r="BH757" i="1"/>
  <c r="BJ757" i="1" s="1"/>
  <c r="BF757" i="1"/>
  <c r="BG757" i="1" s="1"/>
  <c r="BE757" i="1"/>
  <c r="BR756" i="1"/>
  <c r="BO756" i="1"/>
  <c r="BN756" i="1"/>
  <c r="BM756" i="1"/>
  <c r="BL756" i="1"/>
  <c r="BK756" i="1"/>
  <c r="BH756" i="1"/>
  <c r="BI756" i="1" s="1"/>
  <c r="BF756" i="1"/>
  <c r="BG756" i="1" s="1"/>
  <c r="BE756" i="1"/>
  <c r="BR755" i="1"/>
  <c r="BO755" i="1"/>
  <c r="BN755" i="1"/>
  <c r="BM755" i="1"/>
  <c r="BL755" i="1"/>
  <c r="BK755" i="1"/>
  <c r="BH755" i="1"/>
  <c r="BJ755" i="1" s="1"/>
  <c r="BF755" i="1"/>
  <c r="BG755" i="1" s="1"/>
  <c r="BE755" i="1"/>
  <c r="BR754" i="1"/>
  <c r="BO754" i="1"/>
  <c r="BN754" i="1"/>
  <c r="BM754" i="1"/>
  <c r="BL754" i="1"/>
  <c r="BK754" i="1"/>
  <c r="BH754" i="1"/>
  <c r="BI754" i="1" s="1"/>
  <c r="BF754" i="1"/>
  <c r="BG754" i="1" s="1"/>
  <c r="BE754" i="1"/>
  <c r="BR753" i="1"/>
  <c r="BO753" i="1"/>
  <c r="BN753" i="1"/>
  <c r="BM753" i="1"/>
  <c r="BL753" i="1"/>
  <c r="BK753" i="1"/>
  <c r="BH753" i="1"/>
  <c r="BJ753" i="1" s="1"/>
  <c r="BF753" i="1"/>
  <c r="BG753" i="1" s="1"/>
  <c r="BE753" i="1"/>
  <c r="BR752" i="1"/>
  <c r="BO752" i="1"/>
  <c r="BN752" i="1"/>
  <c r="BM752" i="1"/>
  <c r="BL752" i="1"/>
  <c r="BK752" i="1"/>
  <c r="BH752" i="1"/>
  <c r="BI752" i="1" s="1"/>
  <c r="BF752" i="1"/>
  <c r="BG752" i="1" s="1"/>
  <c r="BE752" i="1"/>
  <c r="BR751" i="1"/>
  <c r="BO751" i="1"/>
  <c r="BN751" i="1"/>
  <c r="BM751" i="1"/>
  <c r="BL751" i="1"/>
  <c r="BK751" i="1"/>
  <c r="BH751" i="1"/>
  <c r="BJ751" i="1" s="1"/>
  <c r="BF751" i="1"/>
  <c r="BG751" i="1" s="1"/>
  <c r="BE751" i="1"/>
  <c r="BR750" i="1"/>
  <c r="BO750" i="1"/>
  <c r="BN750" i="1"/>
  <c r="BM750" i="1"/>
  <c r="BL750" i="1"/>
  <c r="BK750" i="1"/>
  <c r="BH750" i="1"/>
  <c r="BI750" i="1" s="1"/>
  <c r="BF750" i="1"/>
  <c r="BG750" i="1" s="1"/>
  <c r="BE750" i="1"/>
  <c r="BR749" i="1"/>
  <c r="BO749" i="1"/>
  <c r="BN749" i="1"/>
  <c r="BM749" i="1"/>
  <c r="BL749" i="1"/>
  <c r="BK749" i="1"/>
  <c r="BH749" i="1"/>
  <c r="BJ749" i="1" s="1"/>
  <c r="BF749" i="1"/>
  <c r="BG749" i="1" s="1"/>
  <c r="BE749" i="1"/>
  <c r="BR748" i="1"/>
  <c r="BO748" i="1"/>
  <c r="BN748" i="1"/>
  <c r="BM748" i="1"/>
  <c r="BL748" i="1"/>
  <c r="BK748" i="1"/>
  <c r="BH748" i="1"/>
  <c r="BI748" i="1" s="1"/>
  <c r="BF748" i="1"/>
  <c r="BG748" i="1" s="1"/>
  <c r="BE748" i="1"/>
  <c r="BR747" i="1"/>
  <c r="BO747" i="1"/>
  <c r="BN747" i="1"/>
  <c r="BM747" i="1"/>
  <c r="BL747" i="1"/>
  <c r="BK747" i="1"/>
  <c r="BH747" i="1"/>
  <c r="BJ747" i="1" s="1"/>
  <c r="BF747" i="1"/>
  <c r="BG747" i="1" s="1"/>
  <c r="BE747" i="1"/>
  <c r="BR746" i="1"/>
  <c r="BO746" i="1"/>
  <c r="BN746" i="1"/>
  <c r="BM746" i="1"/>
  <c r="BL746" i="1"/>
  <c r="BK746" i="1"/>
  <c r="BH746" i="1"/>
  <c r="BI746" i="1" s="1"/>
  <c r="BF746" i="1"/>
  <c r="BG746" i="1" s="1"/>
  <c r="BE746" i="1"/>
  <c r="BR745" i="1"/>
  <c r="BO745" i="1"/>
  <c r="BN745" i="1"/>
  <c r="BM745" i="1"/>
  <c r="BL745" i="1"/>
  <c r="BK745" i="1"/>
  <c r="BH745" i="1"/>
  <c r="BJ745" i="1" s="1"/>
  <c r="BF745" i="1"/>
  <c r="BG745" i="1" s="1"/>
  <c r="BE745" i="1"/>
  <c r="BR744" i="1"/>
  <c r="BO744" i="1"/>
  <c r="BN744" i="1"/>
  <c r="BM744" i="1"/>
  <c r="BL744" i="1"/>
  <c r="BK744" i="1"/>
  <c r="BH744" i="1"/>
  <c r="BI744" i="1" s="1"/>
  <c r="BF744" i="1"/>
  <c r="BG744" i="1" s="1"/>
  <c r="BE744" i="1"/>
  <c r="BR743" i="1"/>
  <c r="BO743" i="1"/>
  <c r="BN743" i="1"/>
  <c r="BM743" i="1"/>
  <c r="BL743" i="1"/>
  <c r="BK743" i="1"/>
  <c r="BH743" i="1"/>
  <c r="BJ743" i="1" s="1"/>
  <c r="BF743" i="1"/>
  <c r="BG743" i="1" s="1"/>
  <c r="BE743" i="1"/>
  <c r="BR742" i="1"/>
  <c r="BO742" i="1"/>
  <c r="BN742" i="1"/>
  <c r="BM742" i="1"/>
  <c r="BL742" i="1"/>
  <c r="BK742" i="1"/>
  <c r="BH742" i="1"/>
  <c r="BI742" i="1" s="1"/>
  <c r="BF742" i="1"/>
  <c r="BG742" i="1" s="1"/>
  <c r="BE742" i="1"/>
  <c r="BR741" i="1"/>
  <c r="BO741" i="1"/>
  <c r="BN741" i="1"/>
  <c r="BM741" i="1"/>
  <c r="BL741" i="1"/>
  <c r="BK741" i="1"/>
  <c r="BH741" i="1"/>
  <c r="BJ741" i="1" s="1"/>
  <c r="BF741" i="1"/>
  <c r="BG741" i="1" s="1"/>
  <c r="BE741" i="1"/>
  <c r="BR740" i="1"/>
  <c r="BO740" i="1"/>
  <c r="BN740" i="1"/>
  <c r="BM740" i="1"/>
  <c r="BL740" i="1"/>
  <c r="BK740" i="1"/>
  <c r="BH740" i="1"/>
  <c r="BI740" i="1" s="1"/>
  <c r="BF740" i="1"/>
  <c r="BG740" i="1" s="1"/>
  <c r="BE740" i="1"/>
  <c r="BR739" i="1"/>
  <c r="BO739" i="1"/>
  <c r="BN739" i="1"/>
  <c r="BM739" i="1"/>
  <c r="BL739" i="1"/>
  <c r="BK739" i="1"/>
  <c r="BH739" i="1"/>
  <c r="BJ739" i="1" s="1"/>
  <c r="BF739" i="1"/>
  <c r="BG739" i="1" s="1"/>
  <c r="BE739" i="1"/>
  <c r="BR738" i="1"/>
  <c r="BO738" i="1"/>
  <c r="BN738" i="1"/>
  <c r="BM738" i="1"/>
  <c r="BL738" i="1"/>
  <c r="BK738" i="1"/>
  <c r="BH738" i="1"/>
  <c r="BI738" i="1" s="1"/>
  <c r="BF738" i="1"/>
  <c r="BG738" i="1" s="1"/>
  <c r="BE738" i="1"/>
  <c r="BR737" i="1"/>
  <c r="BO737" i="1"/>
  <c r="BN737" i="1"/>
  <c r="BM737" i="1"/>
  <c r="BL737" i="1"/>
  <c r="BK737" i="1"/>
  <c r="BH737" i="1"/>
  <c r="BJ737" i="1" s="1"/>
  <c r="BF737" i="1"/>
  <c r="BG737" i="1" s="1"/>
  <c r="BE737" i="1"/>
  <c r="BR736" i="1"/>
  <c r="BO736" i="1"/>
  <c r="BN736" i="1"/>
  <c r="BM736" i="1"/>
  <c r="BL736" i="1"/>
  <c r="BK736" i="1"/>
  <c r="BH736" i="1"/>
  <c r="BI736" i="1" s="1"/>
  <c r="BF736" i="1"/>
  <c r="BG736" i="1" s="1"/>
  <c r="BE736" i="1"/>
  <c r="BR735" i="1"/>
  <c r="BO735" i="1"/>
  <c r="BN735" i="1"/>
  <c r="BM735" i="1"/>
  <c r="BL735" i="1"/>
  <c r="BK735" i="1"/>
  <c r="BH735" i="1"/>
  <c r="BJ735" i="1" s="1"/>
  <c r="BF735" i="1"/>
  <c r="BG735" i="1" s="1"/>
  <c r="BE735" i="1"/>
  <c r="BR734" i="1"/>
  <c r="BO734" i="1"/>
  <c r="BN734" i="1"/>
  <c r="BM734" i="1"/>
  <c r="BL734" i="1"/>
  <c r="BK734" i="1"/>
  <c r="BH734" i="1"/>
  <c r="BI734" i="1" s="1"/>
  <c r="BF734" i="1"/>
  <c r="BG734" i="1" s="1"/>
  <c r="BE734" i="1"/>
  <c r="BR733" i="1"/>
  <c r="BO733" i="1"/>
  <c r="BN733" i="1"/>
  <c r="BM733" i="1"/>
  <c r="BL733" i="1"/>
  <c r="BK733" i="1"/>
  <c r="BH733" i="1"/>
  <c r="BJ733" i="1" s="1"/>
  <c r="BF733" i="1"/>
  <c r="BG733" i="1" s="1"/>
  <c r="BE733" i="1"/>
  <c r="BR732" i="1"/>
  <c r="BO732" i="1"/>
  <c r="BN732" i="1"/>
  <c r="BM732" i="1"/>
  <c r="BL732" i="1"/>
  <c r="BK732" i="1"/>
  <c r="BH732" i="1"/>
  <c r="BI732" i="1" s="1"/>
  <c r="BF732" i="1"/>
  <c r="BG732" i="1" s="1"/>
  <c r="BE732" i="1"/>
  <c r="BR731" i="1"/>
  <c r="BO731" i="1"/>
  <c r="BN731" i="1"/>
  <c r="BM731" i="1"/>
  <c r="BL731" i="1"/>
  <c r="BK731" i="1"/>
  <c r="BH731" i="1"/>
  <c r="BJ731" i="1" s="1"/>
  <c r="BF731" i="1"/>
  <c r="BG731" i="1" s="1"/>
  <c r="BE731" i="1"/>
  <c r="BR730" i="1"/>
  <c r="BO730" i="1"/>
  <c r="BN730" i="1"/>
  <c r="BM730" i="1"/>
  <c r="BL730" i="1"/>
  <c r="BK730" i="1"/>
  <c r="BH730" i="1"/>
  <c r="BI730" i="1" s="1"/>
  <c r="BF730" i="1"/>
  <c r="BG730" i="1" s="1"/>
  <c r="BE730" i="1"/>
  <c r="BR729" i="1"/>
  <c r="BO729" i="1"/>
  <c r="BN729" i="1"/>
  <c r="BM729" i="1"/>
  <c r="BL729" i="1"/>
  <c r="BK729" i="1"/>
  <c r="BH729" i="1"/>
  <c r="BJ729" i="1" s="1"/>
  <c r="BF729" i="1"/>
  <c r="BG729" i="1" s="1"/>
  <c r="BE729" i="1"/>
  <c r="BR728" i="1"/>
  <c r="BO728" i="1"/>
  <c r="BN728" i="1"/>
  <c r="BM728" i="1"/>
  <c r="BL728" i="1"/>
  <c r="BK728" i="1"/>
  <c r="BH728" i="1"/>
  <c r="BI728" i="1" s="1"/>
  <c r="BF728" i="1"/>
  <c r="BG728" i="1" s="1"/>
  <c r="BE728" i="1"/>
  <c r="BR727" i="1"/>
  <c r="BO727" i="1"/>
  <c r="BN727" i="1"/>
  <c r="BM727" i="1"/>
  <c r="BL727" i="1"/>
  <c r="BK727" i="1"/>
  <c r="BH727" i="1"/>
  <c r="BJ727" i="1" s="1"/>
  <c r="BF727" i="1"/>
  <c r="BG727" i="1" s="1"/>
  <c r="BE727" i="1"/>
  <c r="BR726" i="1"/>
  <c r="BO726" i="1"/>
  <c r="BN726" i="1"/>
  <c r="BM726" i="1"/>
  <c r="BL726" i="1"/>
  <c r="BK726" i="1"/>
  <c r="BH726" i="1"/>
  <c r="BI726" i="1" s="1"/>
  <c r="BF726" i="1"/>
  <c r="BG726" i="1" s="1"/>
  <c r="BE726" i="1"/>
  <c r="BR725" i="1"/>
  <c r="BO725" i="1"/>
  <c r="BN725" i="1"/>
  <c r="BM725" i="1"/>
  <c r="BL725" i="1"/>
  <c r="BK725" i="1"/>
  <c r="BH725" i="1"/>
  <c r="BJ725" i="1" s="1"/>
  <c r="BF725" i="1"/>
  <c r="BG725" i="1" s="1"/>
  <c r="BE725" i="1"/>
  <c r="BR724" i="1"/>
  <c r="BO724" i="1"/>
  <c r="BN724" i="1"/>
  <c r="BM724" i="1"/>
  <c r="BL724" i="1"/>
  <c r="BK724" i="1"/>
  <c r="BH724" i="1"/>
  <c r="BI724" i="1" s="1"/>
  <c r="BF724" i="1"/>
  <c r="BG724" i="1" s="1"/>
  <c r="BE724" i="1"/>
  <c r="BR723" i="1"/>
  <c r="BO723" i="1"/>
  <c r="BN723" i="1"/>
  <c r="BM723" i="1"/>
  <c r="BL723" i="1"/>
  <c r="BK723" i="1"/>
  <c r="BH723" i="1"/>
  <c r="BJ723" i="1" s="1"/>
  <c r="BF723" i="1"/>
  <c r="BG723" i="1" s="1"/>
  <c r="BE723" i="1"/>
  <c r="BR722" i="1"/>
  <c r="BO722" i="1"/>
  <c r="BN722" i="1"/>
  <c r="BM722" i="1"/>
  <c r="BL722" i="1"/>
  <c r="BK722" i="1"/>
  <c r="BH722" i="1"/>
  <c r="BI722" i="1" s="1"/>
  <c r="BF722" i="1"/>
  <c r="BG722" i="1" s="1"/>
  <c r="BE722" i="1"/>
  <c r="BR721" i="1"/>
  <c r="BO721" i="1"/>
  <c r="BN721" i="1"/>
  <c r="BM721" i="1"/>
  <c r="BL721" i="1"/>
  <c r="BK721" i="1"/>
  <c r="BH721" i="1"/>
  <c r="BJ721" i="1" s="1"/>
  <c r="BF721" i="1"/>
  <c r="BG721" i="1" s="1"/>
  <c r="BE721" i="1"/>
  <c r="BR720" i="1"/>
  <c r="BO720" i="1"/>
  <c r="BN720" i="1"/>
  <c r="BM720" i="1"/>
  <c r="BL720" i="1"/>
  <c r="BK720" i="1"/>
  <c r="BH720" i="1"/>
  <c r="BI720" i="1" s="1"/>
  <c r="BF720" i="1"/>
  <c r="BG720" i="1" s="1"/>
  <c r="BE720" i="1"/>
  <c r="BR719" i="1"/>
  <c r="BO719" i="1"/>
  <c r="BN719" i="1"/>
  <c r="BM719" i="1"/>
  <c r="BL719" i="1"/>
  <c r="BK719" i="1"/>
  <c r="BH719" i="1"/>
  <c r="BJ719" i="1" s="1"/>
  <c r="BF719" i="1"/>
  <c r="BG719" i="1" s="1"/>
  <c r="BE719" i="1"/>
  <c r="BR718" i="1"/>
  <c r="BO718" i="1"/>
  <c r="BN718" i="1"/>
  <c r="BM718" i="1"/>
  <c r="BL718" i="1"/>
  <c r="BK718" i="1"/>
  <c r="BH718" i="1"/>
  <c r="BI718" i="1" s="1"/>
  <c r="BF718" i="1"/>
  <c r="BG718" i="1" s="1"/>
  <c r="BE718" i="1"/>
  <c r="BR717" i="1"/>
  <c r="BO717" i="1"/>
  <c r="BN717" i="1"/>
  <c r="BM717" i="1"/>
  <c r="BL717" i="1"/>
  <c r="BK717" i="1"/>
  <c r="BH717" i="1"/>
  <c r="BJ717" i="1" s="1"/>
  <c r="BF717" i="1"/>
  <c r="BG717" i="1" s="1"/>
  <c r="BE717" i="1"/>
  <c r="BR716" i="1"/>
  <c r="BO716" i="1"/>
  <c r="BN716" i="1"/>
  <c r="BM716" i="1"/>
  <c r="BL716" i="1"/>
  <c r="BK716" i="1"/>
  <c r="BH716" i="1"/>
  <c r="BI716" i="1" s="1"/>
  <c r="BF716" i="1"/>
  <c r="BG716" i="1" s="1"/>
  <c r="BE716" i="1"/>
  <c r="BR715" i="1"/>
  <c r="BO715" i="1"/>
  <c r="BN715" i="1"/>
  <c r="BM715" i="1"/>
  <c r="BL715" i="1"/>
  <c r="BK715" i="1"/>
  <c r="BH715" i="1"/>
  <c r="BJ715" i="1" s="1"/>
  <c r="BF715" i="1"/>
  <c r="BG715" i="1" s="1"/>
  <c r="BE715" i="1"/>
  <c r="BR714" i="1"/>
  <c r="BO714" i="1"/>
  <c r="BN714" i="1"/>
  <c r="BM714" i="1"/>
  <c r="BL714" i="1"/>
  <c r="BK714" i="1"/>
  <c r="BH714" i="1"/>
  <c r="BI714" i="1" s="1"/>
  <c r="BF714" i="1"/>
  <c r="BG714" i="1" s="1"/>
  <c r="BE714" i="1"/>
  <c r="BR713" i="1"/>
  <c r="BO713" i="1"/>
  <c r="BN713" i="1"/>
  <c r="BM713" i="1"/>
  <c r="BL713" i="1"/>
  <c r="BK713" i="1"/>
  <c r="BH713" i="1"/>
  <c r="BJ713" i="1" s="1"/>
  <c r="BF713" i="1"/>
  <c r="BG713" i="1" s="1"/>
  <c r="BE713" i="1"/>
  <c r="BR712" i="1"/>
  <c r="BO712" i="1"/>
  <c r="BN712" i="1"/>
  <c r="BM712" i="1"/>
  <c r="BL712" i="1"/>
  <c r="BK712" i="1"/>
  <c r="BH712" i="1"/>
  <c r="BI712" i="1" s="1"/>
  <c r="BF712" i="1"/>
  <c r="BG712" i="1" s="1"/>
  <c r="BE712" i="1"/>
  <c r="BR711" i="1"/>
  <c r="BO711" i="1"/>
  <c r="BN711" i="1"/>
  <c r="BM711" i="1"/>
  <c r="BL711" i="1"/>
  <c r="BK711" i="1"/>
  <c r="BH711" i="1"/>
  <c r="BF711" i="1"/>
  <c r="BG711" i="1" s="1"/>
  <c r="BE711" i="1"/>
  <c r="BR710" i="1"/>
  <c r="BO710" i="1"/>
  <c r="BN710" i="1"/>
  <c r="BM710" i="1"/>
  <c r="BL710" i="1"/>
  <c r="BK710" i="1"/>
  <c r="BH710" i="1"/>
  <c r="BI710" i="1" s="1"/>
  <c r="BF710" i="1"/>
  <c r="BG710" i="1" s="1"/>
  <c r="BE710" i="1"/>
  <c r="BR709" i="1"/>
  <c r="BO709" i="1"/>
  <c r="BN709" i="1"/>
  <c r="BM709" i="1"/>
  <c r="BL709" i="1"/>
  <c r="BK709" i="1"/>
  <c r="BH709" i="1"/>
  <c r="BJ709" i="1" s="1"/>
  <c r="BF709" i="1"/>
  <c r="BG709" i="1" s="1"/>
  <c r="BE709" i="1"/>
  <c r="BR708" i="1"/>
  <c r="BO708" i="1"/>
  <c r="BN708" i="1"/>
  <c r="BM708" i="1"/>
  <c r="BL708" i="1"/>
  <c r="BK708" i="1"/>
  <c r="BH708" i="1"/>
  <c r="BJ708" i="1" s="1"/>
  <c r="BF708" i="1"/>
  <c r="BG708" i="1" s="1"/>
  <c r="BE708" i="1"/>
  <c r="BR707" i="1"/>
  <c r="BO707" i="1"/>
  <c r="BN707" i="1"/>
  <c r="BM707" i="1"/>
  <c r="BL707" i="1"/>
  <c r="BK707" i="1"/>
  <c r="BH707" i="1"/>
  <c r="BJ707" i="1" s="1"/>
  <c r="BF707" i="1"/>
  <c r="BG707" i="1" s="1"/>
  <c r="BE707" i="1"/>
  <c r="BR706" i="1"/>
  <c r="BO706" i="1"/>
  <c r="BN706" i="1"/>
  <c r="BM706" i="1"/>
  <c r="BL706" i="1"/>
  <c r="BK706" i="1"/>
  <c r="BH706" i="1"/>
  <c r="BF706" i="1"/>
  <c r="BG706" i="1" s="1"/>
  <c r="BE706" i="1"/>
  <c r="BR705" i="1"/>
  <c r="BO705" i="1"/>
  <c r="BN705" i="1"/>
  <c r="BM705" i="1"/>
  <c r="BL705" i="1"/>
  <c r="BK705" i="1"/>
  <c r="BH705" i="1"/>
  <c r="BJ705" i="1" s="1"/>
  <c r="BF705" i="1"/>
  <c r="BG705" i="1" s="1"/>
  <c r="BE705" i="1"/>
  <c r="BR704" i="1"/>
  <c r="BO704" i="1"/>
  <c r="BN704" i="1"/>
  <c r="BM704" i="1"/>
  <c r="BL704" i="1"/>
  <c r="BK704" i="1"/>
  <c r="BH704" i="1"/>
  <c r="BJ704" i="1" s="1"/>
  <c r="BF704" i="1"/>
  <c r="BG704" i="1" s="1"/>
  <c r="BE704" i="1"/>
  <c r="BR703" i="1"/>
  <c r="BO703" i="1"/>
  <c r="BN703" i="1"/>
  <c r="BM703" i="1"/>
  <c r="BL703" i="1"/>
  <c r="BK703" i="1"/>
  <c r="BH703" i="1"/>
  <c r="BJ703" i="1" s="1"/>
  <c r="BF703" i="1"/>
  <c r="BG703" i="1" s="1"/>
  <c r="BE703" i="1"/>
  <c r="BR702" i="1"/>
  <c r="BO702" i="1"/>
  <c r="BN702" i="1"/>
  <c r="BM702" i="1"/>
  <c r="BL702" i="1"/>
  <c r="BK702" i="1"/>
  <c r="BH702" i="1"/>
  <c r="BI702" i="1" s="1"/>
  <c r="BF702" i="1"/>
  <c r="BG702" i="1" s="1"/>
  <c r="BE702" i="1"/>
  <c r="BR701" i="1"/>
  <c r="BO701" i="1"/>
  <c r="BN701" i="1"/>
  <c r="BM701" i="1"/>
  <c r="BL701" i="1"/>
  <c r="BK701" i="1"/>
  <c r="BH701" i="1"/>
  <c r="BJ701" i="1" s="1"/>
  <c r="BF701" i="1"/>
  <c r="BG701" i="1" s="1"/>
  <c r="BE701" i="1"/>
  <c r="BR700" i="1"/>
  <c r="BO700" i="1"/>
  <c r="BN700" i="1"/>
  <c r="BM700" i="1"/>
  <c r="BL700" i="1"/>
  <c r="BK700" i="1"/>
  <c r="BH700" i="1"/>
  <c r="BJ700" i="1" s="1"/>
  <c r="BF700" i="1"/>
  <c r="BG700" i="1" s="1"/>
  <c r="BE700" i="1"/>
  <c r="BR699" i="1"/>
  <c r="BO699" i="1"/>
  <c r="BN699" i="1"/>
  <c r="BM699" i="1"/>
  <c r="BL699" i="1"/>
  <c r="BK699" i="1"/>
  <c r="BH699" i="1"/>
  <c r="BJ699" i="1" s="1"/>
  <c r="BF699" i="1"/>
  <c r="BG699" i="1" s="1"/>
  <c r="BE699" i="1"/>
  <c r="BR698" i="1"/>
  <c r="BO698" i="1"/>
  <c r="BN698" i="1"/>
  <c r="BM698" i="1"/>
  <c r="BL698" i="1"/>
  <c r="BK698" i="1"/>
  <c r="BH698" i="1"/>
  <c r="BJ698" i="1" s="1"/>
  <c r="BF698" i="1"/>
  <c r="BG698" i="1" s="1"/>
  <c r="BE698" i="1"/>
  <c r="BR697" i="1"/>
  <c r="BO697" i="1"/>
  <c r="BN697" i="1"/>
  <c r="BM697" i="1"/>
  <c r="BL697" i="1"/>
  <c r="BK697" i="1"/>
  <c r="BH697" i="1"/>
  <c r="BJ697" i="1" s="1"/>
  <c r="BF697" i="1"/>
  <c r="BG697" i="1" s="1"/>
  <c r="BE697" i="1"/>
  <c r="BR696" i="1"/>
  <c r="BO696" i="1"/>
  <c r="BN696" i="1"/>
  <c r="BM696" i="1"/>
  <c r="BL696" i="1"/>
  <c r="BK696" i="1"/>
  <c r="BH696" i="1"/>
  <c r="BI696" i="1" s="1"/>
  <c r="BF696" i="1"/>
  <c r="BG696" i="1" s="1"/>
  <c r="BE696" i="1"/>
  <c r="BR695" i="1"/>
  <c r="BO695" i="1"/>
  <c r="BN695" i="1"/>
  <c r="BM695" i="1"/>
  <c r="BL695" i="1"/>
  <c r="BK695" i="1"/>
  <c r="BH695" i="1"/>
  <c r="BJ695" i="1" s="1"/>
  <c r="BF695" i="1"/>
  <c r="BG695" i="1" s="1"/>
  <c r="BE695" i="1"/>
  <c r="BR694" i="1"/>
  <c r="BO694" i="1"/>
  <c r="BN694" i="1"/>
  <c r="BM694" i="1"/>
  <c r="BL694" i="1"/>
  <c r="BK694" i="1"/>
  <c r="BH694" i="1"/>
  <c r="BJ694" i="1" s="1"/>
  <c r="BF694" i="1"/>
  <c r="BG694" i="1" s="1"/>
  <c r="BE694" i="1"/>
  <c r="BR693" i="1"/>
  <c r="BO693" i="1"/>
  <c r="BN693" i="1"/>
  <c r="BM693" i="1"/>
  <c r="BL693" i="1"/>
  <c r="BK693" i="1"/>
  <c r="BH693" i="1"/>
  <c r="BJ693" i="1" s="1"/>
  <c r="BF693" i="1"/>
  <c r="BG693" i="1" s="1"/>
  <c r="BE693" i="1"/>
  <c r="BR692" i="1"/>
  <c r="BO692" i="1"/>
  <c r="BN692" i="1"/>
  <c r="BM692" i="1"/>
  <c r="BL692" i="1"/>
  <c r="BK692" i="1"/>
  <c r="BH692" i="1"/>
  <c r="BJ692" i="1" s="1"/>
  <c r="BF692" i="1"/>
  <c r="BG692" i="1" s="1"/>
  <c r="BE692" i="1"/>
  <c r="BR691" i="1"/>
  <c r="BO691" i="1"/>
  <c r="BN691" i="1"/>
  <c r="BM691" i="1"/>
  <c r="BL691" i="1"/>
  <c r="BK691" i="1"/>
  <c r="BH691" i="1"/>
  <c r="BJ691" i="1" s="1"/>
  <c r="BF691" i="1"/>
  <c r="BG691" i="1" s="1"/>
  <c r="BE691" i="1"/>
  <c r="BR690" i="1"/>
  <c r="BO690" i="1"/>
  <c r="BN690" i="1"/>
  <c r="BM690" i="1"/>
  <c r="BL690" i="1"/>
  <c r="BK690" i="1"/>
  <c r="BH690" i="1"/>
  <c r="BI690" i="1" s="1"/>
  <c r="BF690" i="1"/>
  <c r="BG690" i="1" s="1"/>
  <c r="BE690" i="1"/>
  <c r="BR689" i="1"/>
  <c r="BO689" i="1"/>
  <c r="BN689" i="1"/>
  <c r="BM689" i="1"/>
  <c r="BL689" i="1"/>
  <c r="BK689" i="1"/>
  <c r="BH689" i="1"/>
  <c r="BJ689" i="1" s="1"/>
  <c r="BF689" i="1"/>
  <c r="BG689" i="1" s="1"/>
  <c r="BE689" i="1"/>
  <c r="BR688" i="1"/>
  <c r="BO688" i="1"/>
  <c r="BN688" i="1"/>
  <c r="BM688" i="1"/>
  <c r="BL688" i="1"/>
  <c r="BK688" i="1"/>
  <c r="BH688" i="1"/>
  <c r="BJ688" i="1" s="1"/>
  <c r="BF688" i="1"/>
  <c r="BG688" i="1" s="1"/>
  <c r="BE688" i="1"/>
  <c r="BR687" i="1"/>
  <c r="BO687" i="1"/>
  <c r="BN687" i="1"/>
  <c r="BM687" i="1"/>
  <c r="BL687" i="1"/>
  <c r="BK687" i="1"/>
  <c r="BH687" i="1"/>
  <c r="BJ687" i="1" s="1"/>
  <c r="BF687" i="1"/>
  <c r="BG687" i="1" s="1"/>
  <c r="BE687" i="1"/>
  <c r="BR686" i="1"/>
  <c r="BO686" i="1"/>
  <c r="BN686" i="1"/>
  <c r="BM686" i="1"/>
  <c r="BL686" i="1"/>
  <c r="BK686" i="1"/>
  <c r="BH686" i="1"/>
  <c r="BF686" i="1"/>
  <c r="BG686" i="1" s="1"/>
  <c r="BE686" i="1"/>
  <c r="BR685" i="1"/>
  <c r="BO685" i="1"/>
  <c r="BN685" i="1"/>
  <c r="BM685" i="1"/>
  <c r="BL685" i="1"/>
  <c r="BK685" i="1"/>
  <c r="BH685" i="1"/>
  <c r="BJ685" i="1" s="1"/>
  <c r="BF685" i="1"/>
  <c r="BG685" i="1" s="1"/>
  <c r="BE685" i="1"/>
  <c r="BR684" i="1"/>
  <c r="BO684" i="1"/>
  <c r="BN684" i="1"/>
  <c r="BM684" i="1"/>
  <c r="BL684" i="1"/>
  <c r="BK684" i="1"/>
  <c r="BH684" i="1"/>
  <c r="BJ684" i="1" s="1"/>
  <c r="BF684" i="1"/>
  <c r="BG684" i="1" s="1"/>
  <c r="BE684" i="1"/>
  <c r="BR683" i="1"/>
  <c r="BO683" i="1"/>
  <c r="BN683" i="1"/>
  <c r="BM683" i="1"/>
  <c r="BL683" i="1"/>
  <c r="BK683" i="1"/>
  <c r="BH683" i="1"/>
  <c r="BJ683" i="1" s="1"/>
  <c r="BF683" i="1"/>
  <c r="BG683" i="1" s="1"/>
  <c r="BE683" i="1"/>
  <c r="BR682" i="1"/>
  <c r="BO682" i="1"/>
  <c r="BN682" i="1"/>
  <c r="BM682" i="1"/>
  <c r="BL682" i="1"/>
  <c r="BK682" i="1"/>
  <c r="BH682" i="1"/>
  <c r="BJ682" i="1" s="1"/>
  <c r="BF682" i="1"/>
  <c r="BG682" i="1" s="1"/>
  <c r="BE682" i="1"/>
  <c r="BR681" i="1"/>
  <c r="BO681" i="1"/>
  <c r="BN681" i="1"/>
  <c r="BM681" i="1"/>
  <c r="BL681" i="1"/>
  <c r="BK681" i="1"/>
  <c r="BH681" i="1"/>
  <c r="BF681" i="1"/>
  <c r="BG681" i="1" s="1"/>
  <c r="BE681" i="1"/>
  <c r="BR680" i="1"/>
  <c r="BO680" i="1"/>
  <c r="BN680" i="1"/>
  <c r="BM680" i="1"/>
  <c r="BL680" i="1"/>
  <c r="BK680" i="1"/>
  <c r="BH680" i="1"/>
  <c r="BI680" i="1" s="1"/>
  <c r="BF680" i="1"/>
  <c r="BG680" i="1" s="1"/>
  <c r="BE680" i="1"/>
  <c r="BR679" i="1"/>
  <c r="BO679" i="1"/>
  <c r="BN679" i="1"/>
  <c r="BM679" i="1"/>
  <c r="BL679" i="1"/>
  <c r="BK679" i="1"/>
  <c r="BH679" i="1"/>
  <c r="BJ679" i="1" s="1"/>
  <c r="BF679" i="1"/>
  <c r="BG679" i="1" s="1"/>
  <c r="BE679" i="1"/>
  <c r="BR678" i="1"/>
  <c r="BO678" i="1"/>
  <c r="BN678" i="1"/>
  <c r="BM678" i="1"/>
  <c r="BL678" i="1"/>
  <c r="BK678" i="1"/>
  <c r="BH678" i="1"/>
  <c r="BJ678" i="1" s="1"/>
  <c r="BF678" i="1"/>
  <c r="BG678" i="1" s="1"/>
  <c r="BE678" i="1"/>
  <c r="BR677" i="1"/>
  <c r="BO677" i="1"/>
  <c r="BN677" i="1"/>
  <c r="BM677" i="1"/>
  <c r="BL677" i="1"/>
  <c r="BK677" i="1"/>
  <c r="BH677" i="1"/>
  <c r="BF677" i="1"/>
  <c r="BG677" i="1" s="1"/>
  <c r="BE677" i="1"/>
  <c r="BR676" i="1"/>
  <c r="BO676" i="1"/>
  <c r="BN676" i="1"/>
  <c r="BM676" i="1"/>
  <c r="BL676" i="1"/>
  <c r="BK676" i="1"/>
  <c r="BH676" i="1"/>
  <c r="BJ676" i="1" s="1"/>
  <c r="BF676" i="1"/>
  <c r="BG676" i="1" s="1"/>
  <c r="BE676" i="1"/>
  <c r="BR675" i="1"/>
  <c r="BO675" i="1"/>
  <c r="BN675" i="1"/>
  <c r="BM675" i="1"/>
  <c r="BL675" i="1"/>
  <c r="BK675" i="1"/>
  <c r="BH675" i="1"/>
  <c r="BJ675" i="1" s="1"/>
  <c r="BF675" i="1"/>
  <c r="BG675" i="1" s="1"/>
  <c r="BE675" i="1"/>
  <c r="BR674" i="1"/>
  <c r="BO674" i="1"/>
  <c r="BN674" i="1"/>
  <c r="BM674" i="1"/>
  <c r="BL674" i="1"/>
  <c r="BK674" i="1"/>
  <c r="BH674" i="1"/>
  <c r="BI674" i="1" s="1"/>
  <c r="BF674" i="1"/>
  <c r="BG674" i="1" s="1"/>
  <c r="BE674" i="1"/>
  <c r="BR673" i="1"/>
  <c r="BO673" i="1"/>
  <c r="BN673" i="1"/>
  <c r="BM673" i="1"/>
  <c r="BL673" i="1"/>
  <c r="BK673" i="1"/>
  <c r="BH673" i="1"/>
  <c r="BJ673" i="1" s="1"/>
  <c r="BF673" i="1"/>
  <c r="BG673" i="1" s="1"/>
  <c r="BE673" i="1"/>
  <c r="BR672" i="1"/>
  <c r="BO672" i="1"/>
  <c r="BN672" i="1"/>
  <c r="BM672" i="1"/>
  <c r="BL672" i="1"/>
  <c r="BK672" i="1"/>
  <c r="BH672" i="1"/>
  <c r="BJ672" i="1" s="1"/>
  <c r="BF672" i="1"/>
  <c r="BG672" i="1" s="1"/>
  <c r="BE672" i="1"/>
  <c r="BR671" i="1"/>
  <c r="BO671" i="1"/>
  <c r="BN671" i="1"/>
  <c r="BM671" i="1"/>
  <c r="BL671" i="1"/>
  <c r="BK671" i="1"/>
  <c r="BH671" i="1"/>
  <c r="BI671" i="1" s="1"/>
  <c r="BF671" i="1"/>
  <c r="BG671" i="1" s="1"/>
  <c r="BE671" i="1"/>
  <c r="BR670" i="1"/>
  <c r="BO670" i="1"/>
  <c r="BN670" i="1"/>
  <c r="BM670" i="1"/>
  <c r="BL670" i="1"/>
  <c r="BK670" i="1"/>
  <c r="BH670" i="1"/>
  <c r="BF670" i="1"/>
  <c r="BG670" i="1" s="1"/>
  <c r="BE670" i="1"/>
  <c r="BR669" i="1"/>
  <c r="BO669" i="1"/>
  <c r="BN669" i="1"/>
  <c r="BM669" i="1"/>
  <c r="BL669" i="1"/>
  <c r="BK669" i="1"/>
  <c r="BH669" i="1"/>
  <c r="BF669" i="1"/>
  <c r="BG669" i="1" s="1"/>
  <c r="BE669" i="1"/>
  <c r="BR668" i="1"/>
  <c r="BO668" i="1"/>
  <c r="BN668" i="1"/>
  <c r="BM668" i="1"/>
  <c r="BL668" i="1"/>
  <c r="BK668" i="1"/>
  <c r="BH668" i="1"/>
  <c r="BI668" i="1" s="1"/>
  <c r="BF668" i="1"/>
  <c r="BG668" i="1" s="1"/>
  <c r="BE668" i="1"/>
  <c r="BR667" i="1"/>
  <c r="BO667" i="1"/>
  <c r="BN667" i="1"/>
  <c r="BM667" i="1"/>
  <c r="BL667" i="1"/>
  <c r="BK667" i="1"/>
  <c r="BH667" i="1"/>
  <c r="BI667" i="1" s="1"/>
  <c r="BF667" i="1"/>
  <c r="BG667" i="1" s="1"/>
  <c r="BE667" i="1"/>
  <c r="BR666" i="1"/>
  <c r="BO666" i="1"/>
  <c r="BN666" i="1"/>
  <c r="BM666" i="1"/>
  <c r="BL666" i="1"/>
  <c r="BK666" i="1"/>
  <c r="BH666" i="1"/>
  <c r="BJ666" i="1" s="1"/>
  <c r="BF666" i="1"/>
  <c r="BG666" i="1" s="1"/>
  <c r="BE666" i="1"/>
  <c r="BR665" i="1"/>
  <c r="BO665" i="1"/>
  <c r="BN665" i="1"/>
  <c r="BM665" i="1"/>
  <c r="BL665" i="1"/>
  <c r="BK665" i="1"/>
  <c r="BH665" i="1"/>
  <c r="BI665" i="1" s="1"/>
  <c r="BF665" i="1"/>
  <c r="BG665" i="1" s="1"/>
  <c r="BE665" i="1"/>
  <c r="BR664" i="1"/>
  <c r="BO664" i="1"/>
  <c r="BN664" i="1"/>
  <c r="BM664" i="1"/>
  <c r="BL664" i="1"/>
  <c r="BK664" i="1"/>
  <c r="BH664" i="1"/>
  <c r="BJ664" i="1" s="1"/>
  <c r="BF664" i="1"/>
  <c r="BG664" i="1" s="1"/>
  <c r="BE664" i="1"/>
  <c r="BR663" i="1"/>
  <c r="BO663" i="1"/>
  <c r="BN663" i="1"/>
  <c r="BM663" i="1"/>
  <c r="BL663" i="1"/>
  <c r="BK663" i="1"/>
  <c r="BH663" i="1"/>
  <c r="BI663" i="1" s="1"/>
  <c r="BF663" i="1"/>
  <c r="BG663" i="1" s="1"/>
  <c r="BE663" i="1"/>
  <c r="BR662" i="1"/>
  <c r="BO662" i="1"/>
  <c r="BN662" i="1"/>
  <c r="BM662" i="1"/>
  <c r="BL662" i="1"/>
  <c r="BK662" i="1"/>
  <c r="BH662" i="1"/>
  <c r="BI662" i="1" s="1"/>
  <c r="BF662" i="1"/>
  <c r="BG662" i="1" s="1"/>
  <c r="BE662" i="1"/>
  <c r="BR661" i="1"/>
  <c r="BO661" i="1"/>
  <c r="BN661" i="1"/>
  <c r="BM661" i="1"/>
  <c r="BL661" i="1"/>
  <c r="BK661" i="1"/>
  <c r="BH661" i="1"/>
  <c r="BF661" i="1"/>
  <c r="BG661" i="1" s="1"/>
  <c r="BE661" i="1"/>
  <c r="BR660" i="1"/>
  <c r="BO660" i="1"/>
  <c r="BN660" i="1"/>
  <c r="BM660" i="1"/>
  <c r="BL660" i="1"/>
  <c r="BK660" i="1"/>
  <c r="BH660" i="1"/>
  <c r="BI660" i="1" s="1"/>
  <c r="BF660" i="1"/>
  <c r="BG660" i="1" s="1"/>
  <c r="BE660" i="1"/>
  <c r="BR659" i="1"/>
  <c r="BO659" i="1"/>
  <c r="BN659" i="1"/>
  <c r="BM659" i="1"/>
  <c r="BL659" i="1"/>
  <c r="BK659" i="1"/>
  <c r="BH659" i="1"/>
  <c r="BI659" i="1" s="1"/>
  <c r="BF659" i="1"/>
  <c r="BG659" i="1" s="1"/>
  <c r="BE659" i="1"/>
  <c r="BR658" i="1"/>
  <c r="BO658" i="1"/>
  <c r="BN658" i="1"/>
  <c r="BM658" i="1"/>
  <c r="BL658" i="1"/>
  <c r="BK658" i="1"/>
  <c r="BH658" i="1"/>
  <c r="BJ658" i="1" s="1"/>
  <c r="BF658" i="1"/>
  <c r="BG658" i="1" s="1"/>
  <c r="BE658" i="1"/>
  <c r="BR657" i="1"/>
  <c r="BO657" i="1"/>
  <c r="BN657" i="1"/>
  <c r="BM657" i="1"/>
  <c r="BL657" i="1"/>
  <c r="BK657" i="1"/>
  <c r="BH657" i="1"/>
  <c r="BI657" i="1" s="1"/>
  <c r="BF657" i="1"/>
  <c r="BG657" i="1" s="1"/>
  <c r="BE657" i="1"/>
  <c r="BR656" i="1"/>
  <c r="BO656" i="1"/>
  <c r="BN656" i="1"/>
  <c r="BM656" i="1"/>
  <c r="BL656" i="1"/>
  <c r="BK656" i="1"/>
  <c r="BH656" i="1"/>
  <c r="BJ656" i="1" s="1"/>
  <c r="BF656" i="1"/>
  <c r="BG656" i="1" s="1"/>
  <c r="BE656" i="1"/>
  <c r="BR655" i="1"/>
  <c r="BO655" i="1"/>
  <c r="BN655" i="1"/>
  <c r="BM655" i="1"/>
  <c r="BL655" i="1"/>
  <c r="BK655" i="1"/>
  <c r="BH655" i="1"/>
  <c r="BI655" i="1" s="1"/>
  <c r="BF655" i="1"/>
  <c r="BG655" i="1" s="1"/>
  <c r="BE655" i="1"/>
  <c r="BR654" i="1"/>
  <c r="BO654" i="1"/>
  <c r="BN654" i="1"/>
  <c r="BM654" i="1"/>
  <c r="BL654" i="1"/>
  <c r="BK654" i="1"/>
  <c r="BH654" i="1"/>
  <c r="BF654" i="1"/>
  <c r="BG654" i="1" s="1"/>
  <c r="BE654" i="1"/>
  <c r="BR653" i="1"/>
  <c r="BO653" i="1"/>
  <c r="BN653" i="1"/>
  <c r="BM653" i="1"/>
  <c r="BL653" i="1"/>
  <c r="BK653" i="1"/>
  <c r="BH653" i="1"/>
  <c r="BF653" i="1"/>
  <c r="BG653" i="1" s="1"/>
  <c r="BE653" i="1"/>
  <c r="BR652" i="1"/>
  <c r="BO652" i="1"/>
  <c r="BN652" i="1"/>
  <c r="BM652" i="1"/>
  <c r="BL652" i="1"/>
  <c r="BK652" i="1"/>
  <c r="BH652" i="1"/>
  <c r="BI652" i="1" s="1"/>
  <c r="BF652" i="1"/>
  <c r="BG652" i="1" s="1"/>
  <c r="BE652" i="1"/>
  <c r="BR651" i="1"/>
  <c r="BO651" i="1"/>
  <c r="BN651" i="1"/>
  <c r="BM651" i="1"/>
  <c r="BL651" i="1"/>
  <c r="BK651" i="1"/>
  <c r="BH651" i="1"/>
  <c r="BI651" i="1" s="1"/>
  <c r="BF651" i="1"/>
  <c r="BG651" i="1" s="1"/>
  <c r="BE651" i="1"/>
  <c r="BR650" i="1"/>
  <c r="BO650" i="1"/>
  <c r="BN650" i="1"/>
  <c r="BM650" i="1"/>
  <c r="BL650" i="1"/>
  <c r="BK650" i="1"/>
  <c r="BH650" i="1"/>
  <c r="BJ650" i="1" s="1"/>
  <c r="BF650" i="1"/>
  <c r="BG650" i="1" s="1"/>
  <c r="BE650" i="1"/>
  <c r="BR649" i="1"/>
  <c r="BO649" i="1"/>
  <c r="BN649" i="1"/>
  <c r="BM649" i="1"/>
  <c r="BL649" i="1"/>
  <c r="BK649" i="1"/>
  <c r="BH649" i="1"/>
  <c r="BI649" i="1" s="1"/>
  <c r="BF649" i="1"/>
  <c r="BG649" i="1" s="1"/>
  <c r="BE649" i="1"/>
  <c r="BR648" i="1"/>
  <c r="BO648" i="1"/>
  <c r="BN648" i="1"/>
  <c r="BM648" i="1"/>
  <c r="BL648" i="1"/>
  <c r="BK648" i="1"/>
  <c r="BH648" i="1"/>
  <c r="BJ648" i="1" s="1"/>
  <c r="BF648" i="1"/>
  <c r="BG648" i="1" s="1"/>
  <c r="BE648" i="1"/>
  <c r="BR647" i="1"/>
  <c r="BO647" i="1"/>
  <c r="BN647" i="1"/>
  <c r="BM647" i="1"/>
  <c r="BL647" i="1"/>
  <c r="BK647" i="1"/>
  <c r="BH647" i="1"/>
  <c r="BI647" i="1" s="1"/>
  <c r="BF647" i="1"/>
  <c r="BG647" i="1" s="1"/>
  <c r="BE647" i="1"/>
  <c r="BR646" i="1"/>
  <c r="BO646" i="1"/>
  <c r="BN646" i="1"/>
  <c r="BM646" i="1"/>
  <c r="BL646" i="1"/>
  <c r="BK646" i="1"/>
  <c r="BH646" i="1"/>
  <c r="BI646" i="1" s="1"/>
  <c r="BF646" i="1"/>
  <c r="BG646" i="1" s="1"/>
  <c r="BE646" i="1"/>
  <c r="BR645" i="1"/>
  <c r="BO645" i="1"/>
  <c r="BN645" i="1"/>
  <c r="BM645" i="1"/>
  <c r="BL645" i="1"/>
  <c r="BK645" i="1"/>
  <c r="BH645" i="1"/>
  <c r="BF645" i="1"/>
  <c r="BG645" i="1" s="1"/>
  <c r="BE645" i="1"/>
  <c r="BR644" i="1"/>
  <c r="BO644" i="1"/>
  <c r="BN644" i="1"/>
  <c r="BM644" i="1"/>
  <c r="BL644" i="1"/>
  <c r="BK644" i="1"/>
  <c r="BH644" i="1"/>
  <c r="BI644" i="1" s="1"/>
  <c r="BF644" i="1"/>
  <c r="BG644" i="1" s="1"/>
  <c r="BE644" i="1"/>
  <c r="BR643" i="1"/>
  <c r="BO643" i="1"/>
  <c r="BN643" i="1"/>
  <c r="BM643" i="1"/>
  <c r="BL643" i="1"/>
  <c r="BK643" i="1"/>
  <c r="BH643" i="1"/>
  <c r="BI643" i="1" s="1"/>
  <c r="BF643" i="1"/>
  <c r="BG643" i="1" s="1"/>
  <c r="BE643" i="1"/>
  <c r="BR642" i="1"/>
  <c r="BO642" i="1"/>
  <c r="BN642" i="1"/>
  <c r="BM642" i="1"/>
  <c r="BL642" i="1"/>
  <c r="BK642" i="1"/>
  <c r="BH642" i="1"/>
  <c r="BJ642" i="1" s="1"/>
  <c r="BF642" i="1"/>
  <c r="BG642" i="1" s="1"/>
  <c r="BE642" i="1"/>
  <c r="BR641" i="1"/>
  <c r="BO641" i="1"/>
  <c r="BN641" i="1"/>
  <c r="BM641" i="1"/>
  <c r="BL641" i="1"/>
  <c r="BK641" i="1"/>
  <c r="BH641" i="1"/>
  <c r="BI641" i="1" s="1"/>
  <c r="BF641" i="1"/>
  <c r="BG641" i="1" s="1"/>
  <c r="BE641" i="1"/>
  <c r="BR640" i="1"/>
  <c r="BO640" i="1"/>
  <c r="BN640" i="1"/>
  <c r="BM640" i="1"/>
  <c r="BL640" i="1"/>
  <c r="BK640" i="1"/>
  <c r="BH640" i="1"/>
  <c r="BJ640" i="1" s="1"/>
  <c r="BF640" i="1"/>
  <c r="BG640" i="1" s="1"/>
  <c r="BE640" i="1"/>
  <c r="BR639" i="1"/>
  <c r="BO639" i="1"/>
  <c r="BN639" i="1"/>
  <c r="BM639" i="1"/>
  <c r="BL639" i="1"/>
  <c r="BK639" i="1"/>
  <c r="BH639" i="1"/>
  <c r="BI639" i="1" s="1"/>
  <c r="BF639" i="1"/>
  <c r="BG639" i="1" s="1"/>
  <c r="BE639" i="1"/>
  <c r="BR638" i="1"/>
  <c r="BO638" i="1"/>
  <c r="BN638" i="1"/>
  <c r="BM638" i="1"/>
  <c r="BL638" i="1"/>
  <c r="BK638" i="1"/>
  <c r="BH638" i="1"/>
  <c r="BF638" i="1"/>
  <c r="BG638" i="1" s="1"/>
  <c r="BE638" i="1"/>
  <c r="BR637" i="1"/>
  <c r="BO637" i="1"/>
  <c r="BN637" i="1"/>
  <c r="BM637" i="1"/>
  <c r="BL637" i="1"/>
  <c r="BK637" i="1"/>
  <c r="BH637" i="1"/>
  <c r="BF637" i="1"/>
  <c r="BG637" i="1" s="1"/>
  <c r="BE637" i="1"/>
  <c r="BR636" i="1"/>
  <c r="BO636" i="1"/>
  <c r="BN636" i="1"/>
  <c r="BM636" i="1"/>
  <c r="BL636" i="1"/>
  <c r="BK636" i="1"/>
  <c r="BH636" i="1"/>
  <c r="BI636" i="1" s="1"/>
  <c r="BF636" i="1"/>
  <c r="BG636" i="1" s="1"/>
  <c r="BE636" i="1"/>
  <c r="BR635" i="1"/>
  <c r="BO635" i="1"/>
  <c r="BN635" i="1"/>
  <c r="BM635" i="1"/>
  <c r="BL635" i="1"/>
  <c r="BK635" i="1"/>
  <c r="BH635" i="1"/>
  <c r="BI635" i="1" s="1"/>
  <c r="BF635" i="1"/>
  <c r="BG635" i="1" s="1"/>
  <c r="BE635" i="1"/>
  <c r="BR634" i="1"/>
  <c r="BO634" i="1"/>
  <c r="BN634" i="1"/>
  <c r="BM634" i="1"/>
  <c r="BL634" i="1"/>
  <c r="BK634" i="1"/>
  <c r="BH634" i="1"/>
  <c r="BJ634" i="1" s="1"/>
  <c r="BF634" i="1"/>
  <c r="BG634" i="1" s="1"/>
  <c r="BE634" i="1"/>
  <c r="BR633" i="1"/>
  <c r="BO633" i="1"/>
  <c r="BN633" i="1"/>
  <c r="BM633" i="1"/>
  <c r="BL633" i="1"/>
  <c r="BK633" i="1"/>
  <c r="BH633" i="1"/>
  <c r="BI633" i="1" s="1"/>
  <c r="BF633" i="1"/>
  <c r="BG633" i="1" s="1"/>
  <c r="BE633" i="1"/>
  <c r="BR632" i="1"/>
  <c r="BO632" i="1"/>
  <c r="BN632" i="1"/>
  <c r="BM632" i="1"/>
  <c r="BL632" i="1"/>
  <c r="BK632" i="1"/>
  <c r="BH632" i="1"/>
  <c r="BJ632" i="1" s="1"/>
  <c r="BF632" i="1"/>
  <c r="BG632" i="1" s="1"/>
  <c r="BE632" i="1"/>
  <c r="BR631" i="1"/>
  <c r="BO631" i="1"/>
  <c r="BN631" i="1"/>
  <c r="BM631" i="1"/>
  <c r="BL631" i="1"/>
  <c r="BK631" i="1"/>
  <c r="BH631" i="1"/>
  <c r="BI631" i="1" s="1"/>
  <c r="BF631" i="1"/>
  <c r="BG631" i="1" s="1"/>
  <c r="BE631" i="1"/>
  <c r="BR630" i="1"/>
  <c r="BO630" i="1"/>
  <c r="BN630" i="1"/>
  <c r="BM630" i="1"/>
  <c r="BL630" i="1"/>
  <c r="BK630" i="1"/>
  <c r="BH630" i="1"/>
  <c r="BI630" i="1" s="1"/>
  <c r="BF630" i="1"/>
  <c r="BG630" i="1" s="1"/>
  <c r="BE630" i="1"/>
  <c r="BR629" i="1"/>
  <c r="BO629" i="1"/>
  <c r="BN629" i="1"/>
  <c r="BM629" i="1"/>
  <c r="BL629" i="1"/>
  <c r="BK629" i="1"/>
  <c r="BH629" i="1"/>
  <c r="BF629" i="1"/>
  <c r="BG629" i="1" s="1"/>
  <c r="BE629" i="1"/>
  <c r="BR628" i="1"/>
  <c r="BO628" i="1"/>
  <c r="BN628" i="1"/>
  <c r="BM628" i="1"/>
  <c r="BL628" i="1"/>
  <c r="BK628" i="1"/>
  <c r="BH628" i="1"/>
  <c r="BI628" i="1" s="1"/>
  <c r="BF628" i="1"/>
  <c r="BG628" i="1" s="1"/>
  <c r="BE628" i="1"/>
  <c r="BR627" i="1"/>
  <c r="BO627" i="1"/>
  <c r="BN627" i="1"/>
  <c r="BM627" i="1"/>
  <c r="BL627" i="1"/>
  <c r="BK627" i="1"/>
  <c r="BH627" i="1"/>
  <c r="BI627" i="1" s="1"/>
  <c r="BF627" i="1"/>
  <c r="BG627" i="1" s="1"/>
  <c r="BE627" i="1"/>
  <c r="BR626" i="1"/>
  <c r="BO626" i="1"/>
  <c r="BN626" i="1"/>
  <c r="BM626" i="1"/>
  <c r="BL626" i="1"/>
  <c r="BK626" i="1"/>
  <c r="BH626" i="1"/>
  <c r="BJ626" i="1" s="1"/>
  <c r="BF626" i="1"/>
  <c r="BG626" i="1" s="1"/>
  <c r="BE626" i="1"/>
  <c r="BR625" i="1"/>
  <c r="BO625" i="1"/>
  <c r="BN625" i="1"/>
  <c r="BM625" i="1"/>
  <c r="BL625" i="1"/>
  <c r="BK625" i="1"/>
  <c r="BH625" i="1"/>
  <c r="BI625" i="1" s="1"/>
  <c r="BF625" i="1"/>
  <c r="BG625" i="1" s="1"/>
  <c r="BE625" i="1"/>
  <c r="BR624" i="1"/>
  <c r="BO624" i="1"/>
  <c r="BN624" i="1"/>
  <c r="BM624" i="1"/>
  <c r="BL624" i="1"/>
  <c r="BK624" i="1"/>
  <c r="BH624" i="1"/>
  <c r="BJ624" i="1" s="1"/>
  <c r="BF624" i="1"/>
  <c r="BG624" i="1" s="1"/>
  <c r="BE624" i="1"/>
  <c r="BR623" i="1"/>
  <c r="BO623" i="1"/>
  <c r="BN623" i="1"/>
  <c r="BM623" i="1"/>
  <c r="BL623" i="1"/>
  <c r="BK623" i="1"/>
  <c r="BH623" i="1"/>
  <c r="BI623" i="1" s="1"/>
  <c r="BF623" i="1"/>
  <c r="BG623" i="1" s="1"/>
  <c r="BE623" i="1"/>
  <c r="BR622" i="1"/>
  <c r="BO622" i="1"/>
  <c r="BN622" i="1"/>
  <c r="BM622" i="1"/>
  <c r="BL622" i="1"/>
  <c r="BK622" i="1"/>
  <c r="BH622" i="1"/>
  <c r="BF622" i="1"/>
  <c r="BG622" i="1" s="1"/>
  <c r="BE622" i="1"/>
  <c r="BR621" i="1"/>
  <c r="BO621" i="1"/>
  <c r="BN621" i="1"/>
  <c r="BM621" i="1"/>
  <c r="BL621" i="1"/>
  <c r="BK621" i="1"/>
  <c r="BH621" i="1"/>
  <c r="BF621" i="1"/>
  <c r="BG621" i="1" s="1"/>
  <c r="BE621" i="1"/>
  <c r="BR620" i="1"/>
  <c r="BO620" i="1"/>
  <c r="BN620" i="1"/>
  <c r="BM620" i="1"/>
  <c r="BL620" i="1"/>
  <c r="BK620" i="1"/>
  <c r="BH620" i="1"/>
  <c r="BI620" i="1" s="1"/>
  <c r="BF620" i="1"/>
  <c r="BG620" i="1" s="1"/>
  <c r="BE620" i="1"/>
  <c r="BR619" i="1"/>
  <c r="BO619" i="1"/>
  <c r="BN619" i="1"/>
  <c r="BM619" i="1"/>
  <c r="BL619" i="1"/>
  <c r="BK619" i="1"/>
  <c r="BH619" i="1"/>
  <c r="BI619" i="1" s="1"/>
  <c r="BF619" i="1"/>
  <c r="BG619" i="1" s="1"/>
  <c r="BE619" i="1"/>
  <c r="BR618" i="1"/>
  <c r="BO618" i="1"/>
  <c r="BN618" i="1"/>
  <c r="BM618" i="1"/>
  <c r="BL618" i="1"/>
  <c r="BK618" i="1"/>
  <c r="BH618" i="1"/>
  <c r="BJ618" i="1" s="1"/>
  <c r="BF618" i="1"/>
  <c r="BG618" i="1" s="1"/>
  <c r="BE618" i="1"/>
  <c r="BR617" i="1"/>
  <c r="BO617" i="1"/>
  <c r="BN617" i="1"/>
  <c r="BM617" i="1"/>
  <c r="BL617" i="1"/>
  <c r="BK617" i="1"/>
  <c r="BH617" i="1"/>
  <c r="BI617" i="1" s="1"/>
  <c r="BF617" i="1"/>
  <c r="BG617" i="1" s="1"/>
  <c r="BE617" i="1"/>
  <c r="BR616" i="1"/>
  <c r="BO616" i="1"/>
  <c r="BN616" i="1"/>
  <c r="BM616" i="1"/>
  <c r="BL616" i="1"/>
  <c r="BK616" i="1"/>
  <c r="BH616" i="1"/>
  <c r="BJ616" i="1" s="1"/>
  <c r="BF616" i="1"/>
  <c r="BG616" i="1" s="1"/>
  <c r="BE616" i="1"/>
  <c r="BR615" i="1"/>
  <c r="BO615" i="1"/>
  <c r="BN615" i="1"/>
  <c r="BM615" i="1"/>
  <c r="BL615" i="1"/>
  <c r="BK615" i="1"/>
  <c r="BH615" i="1"/>
  <c r="BI615" i="1" s="1"/>
  <c r="BF615" i="1"/>
  <c r="BG615" i="1" s="1"/>
  <c r="BE615" i="1"/>
  <c r="BR614" i="1"/>
  <c r="BO614" i="1"/>
  <c r="BN614" i="1"/>
  <c r="BM614" i="1"/>
  <c r="BL614" i="1"/>
  <c r="BK614" i="1"/>
  <c r="BH614" i="1"/>
  <c r="BI614" i="1" s="1"/>
  <c r="BF614" i="1"/>
  <c r="BG614" i="1" s="1"/>
  <c r="BE614" i="1"/>
  <c r="BR613" i="1"/>
  <c r="BO613" i="1"/>
  <c r="BN613" i="1"/>
  <c r="BM613" i="1"/>
  <c r="BL613" i="1"/>
  <c r="BK613" i="1"/>
  <c r="BH613" i="1"/>
  <c r="BF613" i="1"/>
  <c r="BG613" i="1" s="1"/>
  <c r="BE613" i="1"/>
  <c r="BR612" i="1"/>
  <c r="BO612" i="1"/>
  <c r="BN612" i="1"/>
  <c r="BM612" i="1"/>
  <c r="BL612" i="1"/>
  <c r="BK612" i="1"/>
  <c r="BH612" i="1"/>
  <c r="BI612" i="1" s="1"/>
  <c r="BF612" i="1"/>
  <c r="BG612" i="1" s="1"/>
  <c r="BE612" i="1"/>
  <c r="BR611" i="1"/>
  <c r="BO611" i="1"/>
  <c r="BN611" i="1"/>
  <c r="BM611" i="1"/>
  <c r="BL611" i="1"/>
  <c r="BK611" i="1"/>
  <c r="BH611" i="1"/>
  <c r="BI611" i="1" s="1"/>
  <c r="BF611" i="1"/>
  <c r="BG611" i="1" s="1"/>
  <c r="BE611" i="1"/>
  <c r="BR610" i="1"/>
  <c r="BO610" i="1"/>
  <c r="BN610" i="1"/>
  <c r="BM610" i="1"/>
  <c r="BL610" i="1"/>
  <c r="BK610" i="1"/>
  <c r="BH610" i="1"/>
  <c r="BJ610" i="1" s="1"/>
  <c r="BF610" i="1"/>
  <c r="BG610" i="1" s="1"/>
  <c r="BE610" i="1"/>
  <c r="BR609" i="1"/>
  <c r="BO609" i="1"/>
  <c r="BN609" i="1"/>
  <c r="BM609" i="1"/>
  <c r="BL609" i="1"/>
  <c r="BK609" i="1"/>
  <c r="BH609" i="1"/>
  <c r="BI609" i="1" s="1"/>
  <c r="BF609" i="1"/>
  <c r="BG609" i="1" s="1"/>
  <c r="BE609" i="1"/>
  <c r="BR608" i="1"/>
  <c r="BO608" i="1"/>
  <c r="BN608" i="1"/>
  <c r="BM608" i="1"/>
  <c r="BL608" i="1"/>
  <c r="BK608" i="1"/>
  <c r="BH608" i="1"/>
  <c r="BJ608" i="1" s="1"/>
  <c r="BF608" i="1"/>
  <c r="BG608" i="1" s="1"/>
  <c r="BE608" i="1"/>
  <c r="BR607" i="1"/>
  <c r="BO607" i="1"/>
  <c r="BN607" i="1"/>
  <c r="BM607" i="1"/>
  <c r="BL607" i="1"/>
  <c r="BK607" i="1"/>
  <c r="BH607" i="1"/>
  <c r="BI607" i="1" s="1"/>
  <c r="BF607" i="1"/>
  <c r="BG607" i="1" s="1"/>
  <c r="BE607" i="1"/>
  <c r="BR606" i="1"/>
  <c r="BO606" i="1"/>
  <c r="BN606" i="1"/>
  <c r="BM606" i="1"/>
  <c r="BL606" i="1"/>
  <c r="BK606" i="1"/>
  <c r="BH606" i="1"/>
  <c r="BF606" i="1"/>
  <c r="BG606" i="1" s="1"/>
  <c r="BE606" i="1"/>
  <c r="BR605" i="1"/>
  <c r="BO605" i="1"/>
  <c r="BN605" i="1"/>
  <c r="BM605" i="1"/>
  <c r="BL605" i="1"/>
  <c r="BK605" i="1"/>
  <c r="BH605" i="1"/>
  <c r="BF605" i="1"/>
  <c r="BG605" i="1" s="1"/>
  <c r="BE605" i="1"/>
  <c r="BR604" i="1"/>
  <c r="BO604" i="1"/>
  <c r="BN604" i="1"/>
  <c r="BM604" i="1"/>
  <c r="BL604" i="1"/>
  <c r="BK604" i="1"/>
  <c r="BH604" i="1"/>
  <c r="BI604" i="1" s="1"/>
  <c r="BF604" i="1"/>
  <c r="BG604" i="1" s="1"/>
  <c r="BE604" i="1"/>
  <c r="BR603" i="1"/>
  <c r="BO603" i="1"/>
  <c r="BN603" i="1"/>
  <c r="BM603" i="1"/>
  <c r="BL603" i="1"/>
  <c r="BK603" i="1"/>
  <c r="BH603" i="1"/>
  <c r="BI603" i="1" s="1"/>
  <c r="BF603" i="1"/>
  <c r="BG603" i="1" s="1"/>
  <c r="BE603" i="1"/>
  <c r="BR602" i="1"/>
  <c r="BO602" i="1"/>
  <c r="BN602" i="1"/>
  <c r="BM602" i="1"/>
  <c r="BL602" i="1"/>
  <c r="BK602" i="1"/>
  <c r="BH602" i="1"/>
  <c r="BJ602" i="1" s="1"/>
  <c r="BF602" i="1"/>
  <c r="BG602" i="1" s="1"/>
  <c r="BE602" i="1"/>
  <c r="BR601" i="1"/>
  <c r="BO601" i="1"/>
  <c r="BN601" i="1"/>
  <c r="BM601" i="1"/>
  <c r="BL601" i="1"/>
  <c r="BK601" i="1"/>
  <c r="BH601" i="1"/>
  <c r="BI601" i="1" s="1"/>
  <c r="BF601" i="1"/>
  <c r="BG601" i="1" s="1"/>
  <c r="BE601" i="1"/>
  <c r="BR600" i="1"/>
  <c r="BO600" i="1"/>
  <c r="BN600" i="1"/>
  <c r="BM600" i="1"/>
  <c r="BL600" i="1"/>
  <c r="BK600" i="1"/>
  <c r="BH600" i="1"/>
  <c r="BJ600" i="1" s="1"/>
  <c r="BF600" i="1"/>
  <c r="BG600" i="1" s="1"/>
  <c r="BE600" i="1"/>
  <c r="BR599" i="1"/>
  <c r="BO599" i="1"/>
  <c r="BN599" i="1"/>
  <c r="BM599" i="1"/>
  <c r="BL599" i="1"/>
  <c r="BK599" i="1"/>
  <c r="BH599" i="1"/>
  <c r="BI599" i="1" s="1"/>
  <c r="BF599" i="1"/>
  <c r="BG599" i="1" s="1"/>
  <c r="BE599" i="1"/>
  <c r="BR598" i="1"/>
  <c r="BO598" i="1"/>
  <c r="BN598" i="1"/>
  <c r="BM598" i="1"/>
  <c r="BL598" i="1"/>
  <c r="BK598" i="1"/>
  <c r="BH598" i="1"/>
  <c r="BJ598" i="1" s="1"/>
  <c r="BF598" i="1"/>
  <c r="BG598" i="1" s="1"/>
  <c r="BE598" i="1"/>
  <c r="BR597" i="1"/>
  <c r="BO597" i="1"/>
  <c r="BN597" i="1"/>
  <c r="BM597" i="1"/>
  <c r="BL597" i="1"/>
  <c r="BK597" i="1"/>
  <c r="BH597" i="1"/>
  <c r="BF597" i="1"/>
  <c r="BG597" i="1" s="1"/>
  <c r="BE597" i="1"/>
  <c r="BR596" i="1"/>
  <c r="BO596" i="1"/>
  <c r="BN596" i="1"/>
  <c r="BM596" i="1"/>
  <c r="BL596" i="1"/>
  <c r="BK596" i="1"/>
  <c r="BH596" i="1"/>
  <c r="BI596" i="1" s="1"/>
  <c r="BF596" i="1"/>
  <c r="BG596" i="1" s="1"/>
  <c r="BE596" i="1"/>
  <c r="BR595" i="1"/>
  <c r="BO595" i="1"/>
  <c r="BN595" i="1"/>
  <c r="BM595" i="1"/>
  <c r="BL595" i="1"/>
  <c r="BK595" i="1"/>
  <c r="BH595" i="1"/>
  <c r="BI595" i="1" s="1"/>
  <c r="BF595" i="1"/>
  <c r="BG595" i="1" s="1"/>
  <c r="BE595" i="1"/>
  <c r="BR594" i="1"/>
  <c r="BO594" i="1"/>
  <c r="BN594" i="1"/>
  <c r="BM594" i="1"/>
  <c r="BL594" i="1"/>
  <c r="BK594" i="1"/>
  <c r="BH594" i="1"/>
  <c r="BJ594" i="1" s="1"/>
  <c r="BF594" i="1"/>
  <c r="BG594" i="1" s="1"/>
  <c r="BE594" i="1"/>
  <c r="BR593" i="1"/>
  <c r="BO593" i="1"/>
  <c r="BN593" i="1"/>
  <c r="BM593" i="1"/>
  <c r="BL593" i="1"/>
  <c r="BK593" i="1"/>
  <c r="BH593" i="1"/>
  <c r="BI593" i="1" s="1"/>
  <c r="BF593" i="1"/>
  <c r="BG593" i="1" s="1"/>
  <c r="BE593" i="1"/>
  <c r="BR592" i="1"/>
  <c r="BO592" i="1"/>
  <c r="BN592" i="1"/>
  <c r="BM592" i="1"/>
  <c r="BL592" i="1"/>
  <c r="BK592" i="1"/>
  <c r="BH592" i="1"/>
  <c r="BJ592" i="1" s="1"/>
  <c r="BF592" i="1"/>
  <c r="BG592" i="1" s="1"/>
  <c r="BE592" i="1"/>
  <c r="BR591" i="1"/>
  <c r="BO591" i="1"/>
  <c r="BN591" i="1"/>
  <c r="BM591" i="1"/>
  <c r="BL591" i="1"/>
  <c r="BK591" i="1"/>
  <c r="BH591" i="1"/>
  <c r="BI591" i="1" s="1"/>
  <c r="BF591" i="1"/>
  <c r="BG591" i="1" s="1"/>
  <c r="BE591" i="1"/>
  <c r="BR590" i="1"/>
  <c r="BO590" i="1"/>
  <c r="BN590" i="1"/>
  <c r="BM590" i="1"/>
  <c r="BL590" i="1"/>
  <c r="BK590" i="1"/>
  <c r="BH590" i="1"/>
  <c r="BF590" i="1"/>
  <c r="BG590" i="1" s="1"/>
  <c r="BE590" i="1"/>
  <c r="BR589" i="1"/>
  <c r="BO589" i="1"/>
  <c r="BN589" i="1"/>
  <c r="BM589" i="1"/>
  <c r="BL589" i="1"/>
  <c r="BK589" i="1"/>
  <c r="BH589" i="1"/>
  <c r="BF589" i="1"/>
  <c r="BG589" i="1" s="1"/>
  <c r="BE589" i="1"/>
  <c r="BR588" i="1"/>
  <c r="BO588" i="1"/>
  <c r="BN588" i="1"/>
  <c r="BM588" i="1"/>
  <c r="BL588" i="1"/>
  <c r="BK588" i="1"/>
  <c r="BH588" i="1"/>
  <c r="BI588" i="1" s="1"/>
  <c r="BF588" i="1"/>
  <c r="BG588" i="1" s="1"/>
  <c r="BE588" i="1"/>
  <c r="BR587" i="1"/>
  <c r="BO587" i="1"/>
  <c r="BN587" i="1"/>
  <c r="BM587" i="1"/>
  <c r="BL587" i="1"/>
  <c r="BK587" i="1"/>
  <c r="BH587" i="1"/>
  <c r="BI587" i="1" s="1"/>
  <c r="BF587" i="1"/>
  <c r="BG587" i="1" s="1"/>
  <c r="BE587" i="1"/>
  <c r="BR586" i="1"/>
  <c r="BO586" i="1"/>
  <c r="BN586" i="1"/>
  <c r="BM586" i="1"/>
  <c r="BL586" i="1"/>
  <c r="BK586" i="1"/>
  <c r="BH586" i="1"/>
  <c r="BJ586" i="1" s="1"/>
  <c r="BF586" i="1"/>
  <c r="BG586" i="1" s="1"/>
  <c r="BE586" i="1"/>
  <c r="BR585" i="1"/>
  <c r="BO585" i="1"/>
  <c r="BN585" i="1"/>
  <c r="BM585" i="1"/>
  <c r="BL585" i="1"/>
  <c r="BK585" i="1"/>
  <c r="BH585" i="1"/>
  <c r="BI585" i="1" s="1"/>
  <c r="BF585" i="1"/>
  <c r="BG585" i="1" s="1"/>
  <c r="BE585" i="1"/>
  <c r="BR584" i="1"/>
  <c r="BO584" i="1"/>
  <c r="BN584" i="1"/>
  <c r="BM584" i="1"/>
  <c r="BL584" i="1"/>
  <c r="BK584" i="1"/>
  <c r="BH584" i="1"/>
  <c r="BJ584" i="1" s="1"/>
  <c r="BF584" i="1"/>
  <c r="BG584" i="1" s="1"/>
  <c r="BE584" i="1"/>
  <c r="BR583" i="1"/>
  <c r="BO583" i="1"/>
  <c r="BN583" i="1"/>
  <c r="BM583" i="1"/>
  <c r="BL583" i="1"/>
  <c r="BK583" i="1"/>
  <c r="BH583" i="1"/>
  <c r="BI583" i="1" s="1"/>
  <c r="BF583" i="1"/>
  <c r="BG583" i="1" s="1"/>
  <c r="BE583" i="1"/>
  <c r="BR582" i="1"/>
  <c r="BO582" i="1"/>
  <c r="BN582" i="1"/>
  <c r="BM582" i="1"/>
  <c r="BL582" i="1"/>
  <c r="BK582" i="1"/>
  <c r="BH582" i="1"/>
  <c r="BJ582" i="1" s="1"/>
  <c r="BF582" i="1"/>
  <c r="BG582" i="1" s="1"/>
  <c r="BE582" i="1"/>
  <c r="BR581" i="1"/>
  <c r="BO581" i="1"/>
  <c r="BN581" i="1"/>
  <c r="BM581" i="1"/>
  <c r="BL581" i="1"/>
  <c r="BK581" i="1"/>
  <c r="BH581" i="1"/>
  <c r="BF581" i="1"/>
  <c r="BG581" i="1" s="1"/>
  <c r="BE581" i="1"/>
  <c r="BR580" i="1"/>
  <c r="BO580" i="1"/>
  <c r="BN580" i="1"/>
  <c r="BM580" i="1"/>
  <c r="BL580" i="1"/>
  <c r="BK580" i="1"/>
  <c r="BH580" i="1"/>
  <c r="BI580" i="1" s="1"/>
  <c r="BF580" i="1"/>
  <c r="BG580" i="1" s="1"/>
  <c r="BE580" i="1"/>
  <c r="BR579" i="1"/>
  <c r="BO579" i="1"/>
  <c r="BN579" i="1"/>
  <c r="BM579" i="1"/>
  <c r="BL579" i="1"/>
  <c r="BK579" i="1"/>
  <c r="BH579" i="1"/>
  <c r="BI579" i="1" s="1"/>
  <c r="BF579" i="1"/>
  <c r="BG579" i="1" s="1"/>
  <c r="BE579" i="1"/>
  <c r="BR578" i="1"/>
  <c r="BO578" i="1"/>
  <c r="BN578" i="1"/>
  <c r="BM578" i="1"/>
  <c r="BL578" i="1"/>
  <c r="BK578" i="1"/>
  <c r="BH578" i="1"/>
  <c r="BJ578" i="1" s="1"/>
  <c r="BF578" i="1"/>
  <c r="BG578" i="1" s="1"/>
  <c r="BE578" i="1"/>
  <c r="BR577" i="1"/>
  <c r="BO577" i="1"/>
  <c r="BN577" i="1"/>
  <c r="BM577" i="1"/>
  <c r="BL577" i="1"/>
  <c r="BK577" i="1"/>
  <c r="BH577" i="1"/>
  <c r="BI577" i="1" s="1"/>
  <c r="BF577" i="1"/>
  <c r="BG577" i="1" s="1"/>
  <c r="BE577" i="1"/>
  <c r="BR576" i="1"/>
  <c r="BO576" i="1"/>
  <c r="BN576" i="1"/>
  <c r="BM576" i="1"/>
  <c r="BL576" i="1"/>
  <c r="BK576" i="1"/>
  <c r="BH576" i="1"/>
  <c r="BJ576" i="1" s="1"/>
  <c r="BF576" i="1"/>
  <c r="BG576" i="1" s="1"/>
  <c r="BE576" i="1"/>
  <c r="BR575" i="1"/>
  <c r="BO575" i="1"/>
  <c r="BN575" i="1"/>
  <c r="BM575" i="1"/>
  <c r="BL575" i="1"/>
  <c r="BK575" i="1"/>
  <c r="BH575" i="1"/>
  <c r="BI575" i="1" s="1"/>
  <c r="BF575" i="1"/>
  <c r="BG575" i="1" s="1"/>
  <c r="BE575" i="1"/>
  <c r="BR574" i="1"/>
  <c r="BO574" i="1"/>
  <c r="BN574" i="1"/>
  <c r="BM574" i="1"/>
  <c r="BL574" i="1"/>
  <c r="BK574" i="1"/>
  <c r="BH574" i="1"/>
  <c r="BI574" i="1" s="1"/>
  <c r="BF574" i="1"/>
  <c r="BG574" i="1" s="1"/>
  <c r="BE574" i="1"/>
  <c r="BR573" i="1"/>
  <c r="BO573" i="1"/>
  <c r="BN573" i="1"/>
  <c r="BM573" i="1"/>
  <c r="BL573" i="1"/>
  <c r="BK573" i="1"/>
  <c r="BH573" i="1"/>
  <c r="BF573" i="1"/>
  <c r="BG573" i="1" s="1"/>
  <c r="BE573" i="1"/>
  <c r="BR572" i="1"/>
  <c r="BO572" i="1"/>
  <c r="BN572" i="1"/>
  <c r="BM572" i="1"/>
  <c r="BL572" i="1"/>
  <c r="BK572" i="1"/>
  <c r="BH572" i="1"/>
  <c r="BI572" i="1" s="1"/>
  <c r="BF572" i="1"/>
  <c r="BG572" i="1" s="1"/>
  <c r="BE572" i="1"/>
  <c r="BR571" i="1"/>
  <c r="BO571" i="1"/>
  <c r="BN571" i="1"/>
  <c r="BM571" i="1"/>
  <c r="BL571" i="1"/>
  <c r="BK571" i="1"/>
  <c r="BH571" i="1"/>
  <c r="BI571" i="1" s="1"/>
  <c r="BF571" i="1"/>
  <c r="BG571" i="1" s="1"/>
  <c r="BE571" i="1"/>
  <c r="BR570" i="1"/>
  <c r="BO570" i="1"/>
  <c r="BN570" i="1"/>
  <c r="BM570" i="1"/>
  <c r="BL570" i="1"/>
  <c r="BK570" i="1"/>
  <c r="BH570" i="1"/>
  <c r="BJ570" i="1" s="1"/>
  <c r="BF570" i="1"/>
  <c r="BG570" i="1" s="1"/>
  <c r="BE570" i="1"/>
  <c r="BR569" i="1"/>
  <c r="BO569" i="1"/>
  <c r="BN569" i="1"/>
  <c r="BM569" i="1"/>
  <c r="BL569" i="1"/>
  <c r="BK569" i="1"/>
  <c r="BH569" i="1"/>
  <c r="BI569" i="1" s="1"/>
  <c r="BF569" i="1"/>
  <c r="BG569" i="1" s="1"/>
  <c r="BE569" i="1"/>
  <c r="BR568" i="1"/>
  <c r="BO568" i="1"/>
  <c r="BN568" i="1"/>
  <c r="BM568" i="1"/>
  <c r="BL568" i="1"/>
  <c r="BK568" i="1"/>
  <c r="BH568" i="1"/>
  <c r="BJ568" i="1" s="1"/>
  <c r="BF568" i="1"/>
  <c r="BG568" i="1" s="1"/>
  <c r="BE568" i="1"/>
  <c r="BR567" i="1"/>
  <c r="BO567" i="1"/>
  <c r="BN567" i="1"/>
  <c r="BM567" i="1"/>
  <c r="BL567" i="1"/>
  <c r="BK567" i="1"/>
  <c r="BH567" i="1"/>
  <c r="BI567" i="1" s="1"/>
  <c r="BF567" i="1"/>
  <c r="BG567" i="1" s="1"/>
  <c r="BE567" i="1"/>
  <c r="BR566" i="1"/>
  <c r="BO566" i="1"/>
  <c r="BN566" i="1"/>
  <c r="BM566" i="1"/>
  <c r="BL566" i="1"/>
  <c r="BK566" i="1"/>
  <c r="BH566" i="1"/>
  <c r="BJ566" i="1" s="1"/>
  <c r="BF566" i="1"/>
  <c r="BG566" i="1" s="1"/>
  <c r="BE566" i="1"/>
  <c r="BR565" i="1"/>
  <c r="BO565" i="1"/>
  <c r="BN565" i="1"/>
  <c r="BM565" i="1"/>
  <c r="BL565" i="1"/>
  <c r="BK565" i="1"/>
  <c r="BH565" i="1"/>
  <c r="BF565" i="1"/>
  <c r="BG565" i="1" s="1"/>
  <c r="BE565" i="1"/>
  <c r="BR564" i="1"/>
  <c r="BO564" i="1"/>
  <c r="BN564" i="1"/>
  <c r="BM564" i="1"/>
  <c r="BL564" i="1"/>
  <c r="BK564" i="1"/>
  <c r="BH564" i="1"/>
  <c r="BI564" i="1" s="1"/>
  <c r="BF564" i="1"/>
  <c r="BG564" i="1" s="1"/>
  <c r="BE564" i="1"/>
  <c r="BR563" i="1"/>
  <c r="BO563" i="1"/>
  <c r="BN563" i="1"/>
  <c r="BM563" i="1"/>
  <c r="BL563" i="1"/>
  <c r="BK563" i="1"/>
  <c r="BH563" i="1"/>
  <c r="BI563" i="1" s="1"/>
  <c r="BF563" i="1"/>
  <c r="BG563" i="1" s="1"/>
  <c r="BE563" i="1"/>
  <c r="BR562" i="1"/>
  <c r="BO562" i="1"/>
  <c r="BN562" i="1"/>
  <c r="BM562" i="1"/>
  <c r="BL562" i="1"/>
  <c r="BK562" i="1"/>
  <c r="BH562" i="1"/>
  <c r="BJ562" i="1" s="1"/>
  <c r="BF562" i="1"/>
  <c r="BG562" i="1" s="1"/>
  <c r="BE562" i="1"/>
  <c r="BR561" i="1"/>
  <c r="BO561" i="1"/>
  <c r="BN561" i="1"/>
  <c r="BM561" i="1"/>
  <c r="BL561" i="1"/>
  <c r="BK561" i="1"/>
  <c r="BH561" i="1"/>
  <c r="BI561" i="1" s="1"/>
  <c r="BF561" i="1"/>
  <c r="BG561" i="1" s="1"/>
  <c r="BE561" i="1"/>
  <c r="BR560" i="1"/>
  <c r="BO560" i="1"/>
  <c r="BN560" i="1"/>
  <c r="BM560" i="1"/>
  <c r="BL560" i="1"/>
  <c r="BK560" i="1"/>
  <c r="BH560" i="1"/>
  <c r="BJ560" i="1" s="1"/>
  <c r="BF560" i="1"/>
  <c r="BG560" i="1" s="1"/>
  <c r="BE560" i="1"/>
  <c r="BR559" i="1"/>
  <c r="BO559" i="1"/>
  <c r="BN559" i="1"/>
  <c r="BM559" i="1"/>
  <c r="BL559" i="1"/>
  <c r="BK559" i="1"/>
  <c r="BH559" i="1"/>
  <c r="BI559" i="1" s="1"/>
  <c r="BF559" i="1"/>
  <c r="BG559" i="1" s="1"/>
  <c r="BE559" i="1"/>
  <c r="BR558" i="1"/>
  <c r="BO558" i="1"/>
  <c r="BN558" i="1"/>
  <c r="BM558" i="1"/>
  <c r="BL558" i="1"/>
  <c r="BK558" i="1"/>
  <c r="BH558" i="1"/>
  <c r="BI558" i="1" s="1"/>
  <c r="BF558" i="1"/>
  <c r="BG558" i="1" s="1"/>
  <c r="BE558" i="1"/>
  <c r="BR557" i="1"/>
  <c r="BO557" i="1"/>
  <c r="BN557" i="1"/>
  <c r="BM557" i="1"/>
  <c r="BL557" i="1"/>
  <c r="BK557" i="1"/>
  <c r="BH557" i="1"/>
  <c r="BF557" i="1"/>
  <c r="BG557" i="1" s="1"/>
  <c r="BE557" i="1"/>
  <c r="BR556" i="1"/>
  <c r="BO556" i="1"/>
  <c r="BN556" i="1"/>
  <c r="BM556" i="1"/>
  <c r="BL556" i="1"/>
  <c r="BK556" i="1"/>
  <c r="BH556" i="1"/>
  <c r="BI556" i="1" s="1"/>
  <c r="BF556" i="1"/>
  <c r="BG556" i="1" s="1"/>
  <c r="BE556" i="1"/>
  <c r="BR555" i="1"/>
  <c r="BO555" i="1"/>
  <c r="BN555" i="1"/>
  <c r="BM555" i="1"/>
  <c r="BL555" i="1"/>
  <c r="BK555" i="1"/>
  <c r="BH555" i="1"/>
  <c r="BI555" i="1" s="1"/>
  <c r="BF555" i="1"/>
  <c r="BG555" i="1" s="1"/>
  <c r="BE555" i="1"/>
  <c r="BR554" i="1"/>
  <c r="BO554" i="1"/>
  <c r="BN554" i="1"/>
  <c r="BM554" i="1"/>
  <c r="BL554" i="1"/>
  <c r="BK554" i="1"/>
  <c r="BH554" i="1"/>
  <c r="BJ554" i="1" s="1"/>
  <c r="BF554" i="1"/>
  <c r="BG554" i="1" s="1"/>
  <c r="BE554" i="1"/>
  <c r="BR553" i="1"/>
  <c r="BO553" i="1"/>
  <c r="BN553" i="1"/>
  <c r="BM553" i="1"/>
  <c r="BL553" i="1"/>
  <c r="BK553" i="1"/>
  <c r="BH553" i="1"/>
  <c r="BI553" i="1" s="1"/>
  <c r="BF553" i="1"/>
  <c r="BG553" i="1" s="1"/>
  <c r="BE553" i="1"/>
  <c r="BR552" i="1"/>
  <c r="BO552" i="1"/>
  <c r="BN552" i="1"/>
  <c r="BM552" i="1"/>
  <c r="BL552" i="1"/>
  <c r="BK552" i="1"/>
  <c r="BH552" i="1"/>
  <c r="BJ552" i="1" s="1"/>
  <c r="BF552" i="1"/>
  <c r="BG552" i="1" s="1"/>
  <c r="BE552" i="1"/>
  <c r="BR551" i="1"/>
  <c r="BO551" i="1"/>
  <c r="BN551" i="1"/>
  <c r="BM551" i="1"/>
  <c r="BL551" i="1"/>
  <c r="BK551" i="1"/>
  <c r="BH551" i="1"/>
  <c r="BI551" i="1" s="1"/>
  <c r="BF551" i="1"/>
  <c r="BG551" i="1" s="1"/>
  <c r="BE551" i="1"/>
  <c r="BR550" i="1"/>
  <c r="BO550" i="1"/>
  <c r="BN550" i="1"/>
  <c r="BM550" i="1"/>
  <c r="BL550" i="1"/>
  <c r="BK550" i="1"/>
  <c r="BH550" i="1"/>
  <c r="BJ550" i="1" s="1"/>
  <c r="BF550" i="1"/>
  <c r="BG550" i="1" s="1"/>
  <c r="BE550" i="1"/>
  <c r="BR549" i="1"/>
  <c r="BO549" i="1"/>
  <c r="BN549" i="1"/>
  <c r="BM549" i="1"/>
  <c r="BL549" i="1"/>
  <c r="BK549" i="1"/>
  <c r="BH549" i="1"/>
  <c r="BF549" i="1"/>
  <c r="BG549" i="1" s="1"/>
  <c r="BE549" i="1"/>
  <c r="BR548" i="1"/>
  <c r="BO548" i="1"/>
  <c r="BN548" i="1"/>
  <c r="BM548" i="1"/>
  <c r="BL548" i="1"/>
  <c r="BK548" i="1"/>
  <c r="BH548" i="1"/>
  <c r="BI548" i="1" s="1"/>
  <c r="BF548" i="1"/>
  <c r="BG548" i="1" s="1"/>
  <c r="BE548" i="1"/>
  <c r="BR547" i="1"/>
  <c r="BO547" i="1"/>
  <c r="BN547" i="1"/>
  <c r="BM547" i="1"/>
  <c r="BL547" i="1"/>
  <c r="BK547" i="1"/>
  <c r="BH547" i="1"/>
  <c r="BF547" i="1"/>
  <c r="BG547" i="1" s="1"/>
  <c r="BE547" i="1"/>
  <c r="BR546" i="1"/>
  <c r="BO546" i="1"/>
  <c r="BN546" i="1"/>
  <c r="BM546" i="1"/>
  <c r="BL546" i="1"/>
  <c r="BK546" i="1"/>
  <c r="BH546" i="1"/>
  <c r="BJ546" i="1" s="1"/>
  <c r="BF546" i="1"/>
  <c r="BG546" i="1" s="1"/>
  <c r="BE546" i="1"/>
  <c r="BR545" i="1"/>
  <c r="BO545" i="1"/>
  <c r="BN545" i="1"/>
  <c r="BM545" i="1"/>
  <c r="BL545" i="1"/>
  <c r="BK545" i="1"/>
  <c r="BH545" i="1"/>
  <c r="BI545" i="1" s="1"/>
  <c r="BF545" i="1"/>
  <c r="BG545" i="1" s="1"/>
  <c r="BE545" i="1"/>
  <c r="BR544" i="1"/>
  <c r="BO544" i="1"/>
  <c r="BN544" i="1"/>
  <c r="BM544" i="1"/>
  <c r="BL544" i="1"/>
  <c r="BK544" i="1"/>
  <c r="BH544" i="1"/>
  <c r="BF544" i="1"/>
  <c r="BG544" i="1" s="1"/>
  <c r="BE544" i="1"/>
  <c r="BR543" i="1"/>
  <c r="BO543" i="1"/>
  <c r="BN543" i="1"/>
  <c r="BM543" i="1"/>
  <c r="BL543" i="1"/>
  <c r="BK543" i="1"/>
  <c r="BH543" i="1"/>
  <c r="BI543" i="1" s="1"/>
  <c r="BF543" i="1"/>
  <c r="BG543" i="1" s="1"/>
  <c r="BE543" i="1"/>
  <c r="BR542" i="1"/>
  <c r="BO542" i="1"/>
  <c r="BN542" i="1"/>
  <c r="BM542" i="1"/>
  <c r="BL542" i="1"/>
  <c r="BK542" i="1"/>
  <c r="BH542" i="1"/>
  <c r="BI542" i="1" s="1"/>
  <c r="BF542" i="1"/>
  <c r="BG542" i="1" s="1"/>
  <c r="BE542" i="1"/>
  <c r="BR541" i="1"/>
  <c r="BO541" i="1"/>
  <c r="BN541" i="1"/>
  <c r="BM541" i="1"/>
  <c r="BL541" i="1"/>
  <c r="BK541" i="1"/>
  <c r="BH541" i="1"/>
  <c r="BF541" i="1"/>
  <c r="BG541" i="1" s="1"/>
  <c r="BE541" i="1"/>
  <c r="BR540" i="1"/>
  <c r="BO540" i="1"/>
  <c r="BN540" i="1"/>
  <c r="BM540" i="1"/>
  <c r="BL540" i="1"/>
  <c r="BK540" i="1"/>
  <c r="BH540" i="1"/>
  <c r="BF540" i="1"/>
  <c r="BG540" i="1" s="1"/>
  <c r="BE540" i="1"/>
  <c r="BR539" i="1"/>
  <c r="BO539" i="1"/>
  <c r="BN539" i="1"/>
  <c r="BM539" i="1"/>
  <c r="BL539" i="1"/>
  <c r="BK539" i="1"/>
  <c r="BH539" i="1"/>
  <c r="BF539" i="1"/>
  <c r="BG539" i="1" s="1"/>
  <c r="BE539" i="1"/>
  <c r="BR538" i="1"/>
  <c r="BO538" i="1"/>
  <c r="BN538" i="1"/>
  <c r="BM538" i="1"/>
  <c r="BL538" i="1"/>
  <c r="BK538" i="1"/>
  <c r="BH538" i="1"/>
  <c r="BJ538" i="1" s="1"/>
  <c r="BF538" i="1"/>
  <c r="BG538" i="1" s="1"/>
  <c r="BE538" i="1"/>
  <c r="BR537" i="1"/>
  <c r="BO537" i="1"/>
  <c r="BN537" i="1"/>
  <c r="BM537" i="1"/>
  <c r="BL537" i="1"/>
  <c r="BK537" i="1"/>
  <c r="BH537" i="1"/>
  <c r="BI537" i="1" s="1"/>
  <c r="BF537" i="1"/>
  <c r="BG537" i="1" s="1"/>
  <c r="BE537" i="1"/>
  <c r="BR536" i="1"/>
  <c r="BO536" i="1"/>
  <c r="BN536" i="1"/>
  <c r="BM536" i="1"/>
  <c r="BL536" i="1"/>
  <c r="BK536" i="1"/>
  <c r="BH536" i="1"/>
  <c r="BF536" i="1"/>
  <c r="BG536" i="1" s="1"/>
  <c r="BE536" i="1"/>
  <c r="BR535" i="1"/>
  <c r="BO535" i="1"/>
  <c r="BN535" i="1"/>
  <c r="BM535" i="1"/>
  <c r="BL535" i="1"/>
  <c r="BK535" i="1"/>
  <c r="BH535" i="1"/>
  <c r="BI535" i="1" s="1"/>
  <c r="BF535" i="1"/>
  <c r="BG535" i="1" s="1"/>
  <c r="BE535" i="1"/>
  <c r="BR534" i="1"/>
  <c r="BO534" i="1"/>
  <c r="BN534" i="1"/>
  <c r="BM534" i="1"/>
  <c r="BL534" i="1"/>
  <c r="BK534" i="1"/>
  <c r="BH534" i="1"/>
  <c r="BJ534" i="1" s="1"/>
  <c r="BF534" i="1"/>
  <c r="BG534" i="1" s="1"/>
  <c r="BE534" i="1"/>
  <c r="BR533" i="1"/>
  <c r="BO533" i="1"/>
  <c r="BN533" i="1"/>
  <c r="BM533" i="1"/>
  <c r="BL533" i="1"/>
  <c r="BK533" i="1"/>
  <c r="BH533" i="1"/>
  <c r="BF533" i="1"/>
  <c r="BG533" i="1" s="1"/>
  <c r="BE533" i="1"/>
  <c r="BR532" i="1"/>
  <c r="BO532" i="1"/>
  <c r="BN532" i="1"/>
  <c r="BM532" i="1"/>
  <c r="BL532" i="1"/>
  <c r="BK532" i="1"/>
  <c r="BH532" i="1"/>
  <c r="BF532" i="1"/>
  <c r="BG532" i="1" s="1"/>
  <c r="BE532" i="1"/>
  <c r="BR531" i="1"/>
  <c r="BO531" i="1"/>
  <c r="BN531" i="1"/>
  <c r="BM531" i="1"/>
  <c r="BL531" i="1"/>
  <c r="BK531" i="1"/>
  <c r="BH531" i="1"/>
  <c r="BF531" i="1"/>
  <c r="BG531" i="1" s="1"/>
  <c r="BE531" i="1"/>
  <c r="BR530" i="1"/>
  <c r="BO530" i="1"/>
  <c r="BN530" i="1"/>
  <c r="BM530" i="1"/>
  <c r="BL530" i="1"/>
  <c r="BK530" i="1"/>
  <c r="BH530" i="1"/>
  <c r="BJ530" i="1" s="1"/>
  <c r="BF530" i="1"/>
  <c r="BG530" i="1" s="1"/>
  <c r="BE530" i="1"/>
  <c r="BR529" i="1"/>
  <c r="BO529" i="1"/>
  <c r="BN529" i="1"/>
  <c r="BM529" i="1"/>
  <c r="BL529" i="1"/>
  <c r="BK529" i="1"/>
  <c r="BH529" i="1"/>
  <c r="BI529" i="1" s="1"/>
  <c r="BF529" i="1"/>
  <c r="BG529" i="1" s="1"/>
  <c r="BE529" i="1"/>
  <c r="BR528" i="1"/>
  <c r="BO528" i="1"/>
  <c r="BN528" i="1"/>
  <c r="BM528" i="1"/>
  <c r="BL528" i="1"/>
  <c r="BK528" i="1"/>
  <c r="BH528" i="1"/>
  <c r="BF528" i="1"/>
  <c r="BG528" i="1" s="1"/>
  <c r="BE528" i="1"/>
  <c r="BR527" i="1"/>
  <c r="BO527" i="1"/>
  <c r="BN527" i="1"/>
  <c r="BM527" i="1"/>
  <c r="BL527" i="1"/>
  <c r="BK527" i="1"/>
  <c r="BH527" i="1"/>
  <c r="BI527" i="1" s="1"/>
  <c r="BF527" i="1"/>
  <c r="BG527" i="1" s="1"/>
  <c r="BE527" i="1"/>
  <c r="BR526" i="1"/>
  <c r="BO526" i="1"/>
  <c r="BN526" i="1"/>
  <c r="BM526" i="1"/>
  <c r="BL526" i="1"/>
  <c r="BK526" i="1"/>
  <c r="BH526" i="1"/>
  <c r="BI526" i="1" s="1"/>
  <c r="BF526" i="1"/>
  <c r="BG526" i="1" s="1"/>
  <c r="BE526" i="1"/>
  <c r="BR525" i="1"/>
  <c r="BO525" i="1"/>
  <c r="BN525" i="1"/>
  <c r="BM525" i="1"/>
  <c r="BL525" i="1"/>
  <c r="BK525" i="1"/>
  <c r="BH525" i="1"/>
  <c r="BF525" i="1"/>
  <c r="BG525" i="1" s="1"/>
  <c r="BE525" i="1"/>
  <c r="BR524" i="1"/>
  <c r="BO524" i="1"/>
  <c r="BN524" i="1"/>
  <c r="BM524" i="1"/>
  <c r="BL524" i="1"/>
  <c r="BK524" i="1"/>
  <c r="BH524" i="1"/>
  <c r="BF524" i="1"/>
  <c r="BG524" i="1" s="1"/>
  <c r="BE524" i="1"/>
  <c r="BR523" i="1"/>
  <c r="BO523" i="1"/>
  <c r="BN523" i="1"/>
  <c r="BM523" i="1"/>
  <c r="BL523" i="1"/>
  <c r="BK523" i="1"/>
  <c r="BH523" i="1"/>
  <c r="BF523" i="1"/>
  <c r="BG523" i="1" s="1"/>
  <c r="BE523" i="1"/>
  <c r="BR522" i="1"/>
  <c r="BO522" i="1"/>
  <c r="BN522" i="1"/>
  <c r="BM522" i="1"/>
  <c r="BL522" i="1"/>
  <c r="BK522" i="1"/>
  <c r="BH522" i="1"/>
  <c r="BJ522" i="1" s="1"/>
  <c r="BF522" i="1"/>
  <c r="BG522" i="1" s="1"/>
  <c r="BE522" i="1"/>
  <c r="BR521" i="1"/>
  <c r="BO521" i="1"/>
  <c r="BN521" i="1"/>
  <c r="BM521" i="1"/>
  <c r="BL521" i="1"/>
  <c r="BK521" i="1"/>
  <c r="BH521" i="1"/>
  <c r="BI521" i="1" s="1"/>
  <c r="BF521" i="1"/>
  <c r="BG521" i="1" s="1"/>
  <c r="BE521" i="1"/>
  <c r="BR520" i="1"/>
  <c r="BO520" i="1"/>
  <c r="BN520" i="1"/>
  <c r="BM520" i="1"/>
  <c r="BL520" i="1"/>
  <c r="BK520" i="1"/>
  <c r="BH520" i="1"/>
  <c r="BF520" i="1"/>
  <c r="BG520" i="1" s="1"/>
  <c r="BE520" i="1"/>
  <c r="BR519" i="1"/>
  <c r="BO519" i="1"/>
  <c r="BN519" i="1"/>
  <c r="BM519" i="1"/>
  <c r="BL519" i="1"/>
  <c r="BK519" i="1"/>
  <c r="BH519" i="1"/>
  <c r="BI519" i="1" s="1"/>
  <c r="BF519" i="1"/>
  <c r="BG519" i="1" s="1"/>
  <c r="BE519" i="1"/>
  <c r="BR518" i="1"/>
  <c r="BO518" i="1"/>
  <c r="BN518" i="1"/>
  <c r="BM518" i="1"/>
  <c r="BL518" i="1"/>
  <c r="BK518" i="1"/>
  <c r="BH518" i="1"/>
  <c r="BI518" i="1" s="1"/>
  <c r="BF518" i="1"/>
  <c r="BG518" i="1" s="1"/>
  <c r="BE518" i="1"/>
  <c r="BR517" i="1"/>
  <c r="BO517" i="1"/>
  <c r="BN517" i="1"/>
  <c r="BM517" i="1"/>
  <c r="BL517" i="1"/>
  <c r="BK517" i="1"/>
  <c r="BH517" i="1"/>
  <c r="BF517" i="1"/>
  <c r="BG517" i="1" s="1"/>
  <c r="BE517" i="1"/>
  <c r="BR516" i="1"/>
  <c r="BO516" i="1"/>
  <c r="BN516" i="1"/>
  <c r="BM516" i="1"/>
  <c r="BL516" i="1"/>
  <c r="BK516" i="1"/>
  <c r="BH516" i="1"/>
  <c r="BF516" i="1"/>
  <c r="BG516" i="1" s="1"/>
  <c r="BE516" i="1"/>
  <c r="BR515" i="1"/>
  <c r="BO515" i="1"/>
  <c r="BN515" i="1"/>
  <c r="BM515" i="1"/>
  <c r="BL515" i="1"/>
  <c r="BK515" i="1"/>
  <c r="BH515" i="1"/>
  <c r="BF515" i="1"/>
  <c r="BG515" i="1" s="1"/>
  <c r="BE515" i="1"/>
  <c r="BR514" i="1"/>
  <c r="BO514" i="1"/>
  <c r="BN514" i="1"/>
  <c r="BM514" i="1"/>
  <c r="BL514" i="1"/>
  <c r="BK514" i="1"/>
  <c r="BH514" i="1"/>
  <c r="BJ514" i="1" s="1"/>
  <c r="BF514" i="1"/>
  <c r="BG514" i="1" s="1"/>
  <c r="BE514" i="1"/>
  <c r="BR513" i="1"/>
  <c r="BO513" i="1"/>
  <c r="BN513" i="1"/>
  <c r="BM513" i="1"/>
  <c r="BL513" i="1"/>
  <c r="BK513" i="1"/>
  <c r="BH513" i="1"/>
  <c r="BI513" i="1" s="1"/>
  <c r="BF513" i="1"/>
  <c r="BG513" i="1" s="1"/>
  <c r="BE513" i="1"/>
  <c r="BR512" i="1"/>
  <c r="BO512" i="1"/>
  <c r="BN512" i="1"/>
  <c r="BM512" i="1"/>
  <c r="BL512" i="1"/>
  <c r="BK512" i="1"/>
  <c r="BH512" i="1"/>
  <c r="BF512" i="1"/>
  <c r="BG512" i="1" s="1"/>
  <c r="BE512" i="1"/>
  <c r="BR511" i="1"/>
  <c r="BO511" i="1"/>
  <c r="BN511" i="1"/>
  <c r="BM511" i="1"/>
  <c r="BL511" i="1"/>
  <c r="BK511" i="1"/>
  <c r="BH511" i="1"/>
  <c r="BI511" i="1" s="1"/>
  <c r="BF511" i="1"/>
  <c r="BG511" i="1" s="1"/>
  <c r="BE511" i="1"/>
  <c r="BR510" i="1"/>
  <c r="BO510" i="1"/>
  <c r="BN510" i="1"/>
  <c r="BM510" i="1"/>
  <c r="BL510" i="1"/>
  <c r="BK510" i="1"/>
  <c r="BH510" i="1"/>
  <c r="BI510" i="1" s="1"/>
  <c r="BF510" i="1"/>
  <c r="BG510" i="1" s="1"/>
  <c r="BE510" i="1"/>
  <c r="BR509" i="1"/>
  <c r="BO509" i="1"/>
  <c r="BN509" i="1"/>
  <c r="BM509" i="1"/>
  <c r="BL509" i="1"/>
  <c r="BK509" i="1"/>
  <c r="BH509" i="1"/>
  <c r="BF509" i="1"/>
  <c r="BG509" i="1" s="1"/>
  <c r="BE509" i="1"/>
  <c r="BR508" i="1"/>
  <c r="BO508" i="1"/>
  <c r="BN508" i="1"/>
  <c r="BM508" i="1"/>
  <c r="BL508" i="1"/>
  <c r="BK508" i="1"/>
  <c r="BH508" i="1"/>
  <c r="BF508" i="1"/>
  <c r="BG508" i="1" s="1"/>
  <c r="BE508" i="1"/>
  <c r="BR507" i="1"/>
  <c r="BO507" i="1"/>
  <c r="BN507" i="1"/>
  <c r="BM507" i="1"/>
  <c r="BL507" i="1"/>
  <c r="BK507" i="1"/>
  <c r="BH507" i="1"/>
  <c r="BF507" i="1"/>
  <c r="BG507" i="1" s="1"/>
  <c r="BE507" i="1"/>
  <c r="BR506" i="1"/>
  <c r="BO506" i="1"/>
  <c r="BN506" i="1"/>
  <c r="BM506" i="1"/>
  <c r="BL506" i="1"/>
  <c r="BK506" i="1"/>
  <c r="BH506" i="1"/>
  <c r="BJ506" i="1" s="1"/>
  <c r="BF506" i="1"/>
  <c r="BG506" i="1" s="1"/>
  <c r="BE506" i="1"/>
  <c r="BR505" i="1"/>
  <c r="BO505" i="1"/>
  <c r="BN505" i="1"/>
  <c r="BM505" i="1"/>
  <c r="BL505" i="1"/>
  <c r="BK505" i="1"/>
  <c r="BH505" i="1"/>
  <c r="BI505" i="1" s="1"/>
  <c r="BF505" i="1"/>
  <c r="BG505" i="1" s="1"/>
  <c r="BE505" i="1"/>
  <c r="BR504" i="1"/>
  <c r="BO504" i="1"/>
  <c r="BN504" i="1"/>
  <c r="BM504" i="1"/>
  <c r="BL504" i="1"/>
  <c r="BK504" i="1"/>
  <c r="BH504" i="1"/>
  <c r="BF504" i="1"/>
  <c r="BG504" i="1" s="1"/>
  <c r="BE504" i="1"/>
  <c r="BR503" i="1"/>
  <c r="BO503" i="1"/>
  <c r="BN503" i="1"/>
  <c r="BM503" i="1"/>
  <c r="BL503" i="1"/>
  <c r="BK503" i="1"/>
  <c r="BH503" i="1"/>
  <c r="BI503" i="1" s="1"/>
  <c r="BF503" i="1"/>
  <c r="BG503" i="1" s="1"/>
  <c r="BE503" i="1"/>
  <c r="BR502" i="1"/>
  <c r="BO502" i="1"/>
  <c r="BN502" i="1"/>
  <c r="BM502" i="1"/>
  <c r="BL502" i="1"/>
  <c r="BK502" i="1"/>
  <c r="BH502" i="1"/>
  <c r="BI502" i="1" s="1"/>
  <c r="BF502" i="1"/>
  <c r="BG502" i="1" s="1"/>
  <c r="BE502" i="1"/>
  <c r="BR501" i="1"/>
  <c r="BO501" i="1"/>
  <c r="BN501" i="1"/>
  <c r="BM501" i="1"/>
  <c r="BL501" i="1"/>
  <c r="BK501" i="1"/>
  <c r="BH501" i="1"/>
  <c r="BF501" i="1"/>
  <c r="BG501" i="1" s="1"/>
  <c r="BE501" i="1"/>
  <c r="BR500" i="1"/>
  <c r="BO500" i="1"/>
  <c r="BN500" i="1"/>
  <c r="BM500" i="1"/>
  <c r="BL500" i="1"/>
  <c r="BK500" i="1"/>
  <c r="BH500" i="1"/>
  <c r="BF500" i="1"/>
  <c r="BG500" i="1" s="1"/>
  <c r="BE500" i="1"/>
  <c r="BR499" i="1"/>
  <c r="BO499" i="1"/>
  <c r="BN499" i="1"/>
  <c r="BM499" i="1"/>
  <c r="BL499" i="1"/>
  <c r="BK499" i="1"/>
  <c r="BH499" i="1"/>
  <c r="BF499" i="1"/>
  <c r="BG499" i="1" s="1"/>
  <c r="BE499" i="1"/>
  <c r="BR498" i="1"/>
  <c r="BO498" i="1"/>
  <c r="BN498" i="1"/>
  <c r="BM498" i="1"/>
  <c r="BL498" i="1"/>
  <c r="BK498" i="1"/>
  <c r="BH498" i="1"/>
  <c r="BJ498" i="1" s="1"/>
  <c r="BF498" i="1"/>
  <c r="BG498" i="1" s="1"/>
  <c r="BE498" i="1"/>
  <c r="BR497" i="1"/>
  <c r="BO497" i="1"/>
  <c r="BN497" i="1"/>
  <c r="BM497" i="1"/>
  <c r="BL497" i="1"/>
  <c r="BK497" i="1"/>
  <c r="BH497" i="1"/>
  <c r="BI497" i="1" s="1"/>
  <c r="BF497" i="1"/>
  <c r="BG497" i="1" s="1"/>
  <c r="BE497" i="1"/>
  <c r="BR496" i="1"/>
  <c r="BO496" i="1"/>
  <c r="BN496" i="1"/>
  <c r="BM496" i="1"/>
  <c r="BL496" i="1"/>
  <c r="BK496" i="1"/>
  <c r="BH496" i="1"/>
  <c r="BF496" i="1"/>
  <c r="BG496" i="1" s="1"/>
  <c r="BE496" i="1"/>
  <c r="BR495" i="1"/>
  <c r="BO495" i="1"/>
  <c r="BN495" i="1"/>
  <c r="BM495" i="1"/>
  <c r="BL495" i="1"/>
  <c r="BK495" i="1"/>
  <c r="BH495" i="1"/>
  <c r="BI495" i="1" s="1"/>
  <c r="BF495" i="1"/>
  <c r="BG495" i="1" s="1"/>
  <c r="BE495" i="1"/>
  <c r="BR494" i="1"/>
  <c r="BO494" i="1"/>
  <c r="BN494" i="1"/>
  <c r="BM494" i="1"/>
  <c r="BL494" i="1"/>
  <c r="BK494" i="1"/>
  <c r="BH494" i="1"/>
  <c r="BI494" i="1" s="1"/>
  <c r="BF494" i="1"/>
  <c r="BG494" i="1" s="1"/>
  <c r="BE494" i="1"/>
  <c r="BR493" i="1"/>
  <c r="BO493" i="1"/>
  <c r="BN493" i="1"/>
  <c r="BM493" i="1"/>
  <c r="BL493" i="1"/>
  <c r="BK493" i="1"/>
  <c r="BH493" i="1"/>
  <c r="BF493" i="1"/>
  <c r="BG493" i="1" s="1"/>
  <c r="BE493" i="1"/>
  <c r="BR492" i="1"/>
  <c r="BO492" i="1"/>
  <c r="BN492" i="1"/>
  <c r="BM492" i="1"/>
  <c r="BL492" i="1"/>
  <c r="BK492" i="1"/>
  <c r="BH492" i="1"/>
  <c r="BF492" i="1"/>
  <c r="BG492" i="1" s="1"/>
  <c r="BE492" i="1"/>
  <c r="BR491" i="1"/>
  <c r="BO491" i="1"/>
  <c r="BN491" i="1"/>
  <c r="BM491" i="1"/>
  <c r="BL491" i="1"/>
  <c r="BK491" i="1"/>
  <c r="BH491" i="1"/>
  <c r="BF491" i="1"/>
  <c r="BG491" i="1" s="1"/>
  <c r="BE491" i="1"/>
  <c r="BR490" i="1"/>
  <c r="BO490" i="1"/>
  <c r="BN490" i="1"/>
  <c r="BM490" i="1"/>
  <c r="BL490" i="1"/>
  <c r="BK490" i="1"/>
  <c r="BH490" i="1"/>
  <c r="BJ490" i="1" s="1"/>
  <c r="BF490" i="1"/>
  <c r="BG490" i="1" s="1"/>
  <c r="BE490" i="1"/>
  <c r="BR489" i="1"/>
  <c r="BO489" i="1"/>
  <c r="BN489" i="1"/>
  <c r="BM489" i="1"/>
  <c r="BL489" i="1"/>
  <c r="BK489" i="1"/>
  <c r="BH489" i="1"/>
  <c r="BI489" i="1" s="1"/>
  <c r="BF489" i="1"/>
  <c r="BG489" i="1" s="1"/>
  <c r="BE489" i="1"/>
  <c r="BR488" i="1"/>
  <c r="BO488" i="1"/>
  <c r="BN488" i="1"/>
  <c r="BM488" i="1"/>
  <c r="BL488" i="1"/>
  <c r="BK488" i="1"/>
  <c r="BH488" i="1"/>
  <c r="BJ488" i="1" s="1"/>
  <c r="BF488" i="1"/>
  <c r="BG488" i="1" s="1"/>
  <c r="BE488" i="1"/>
  <c r="BR487" i="1"/>
  <c r="BO487" i="1"/>
  <c r="BN487" i="1"/>
  <c r="BM487" i="1"/>
  <c r="BL487" i="1"/>
  <c r="BK487" i="1"/>
  <c r="BH487" i="1"/>
  <c r="BI487" i="1" s="1"/>
  <c r="BF487" i="1"/>
  <c r="BG487" i="1" s="1"/>
  <c r="BE487" i="1"/>
  <c r="BR486" i="1"/>
  <c r="BO486" i="1"/>
  <c r="BN486" i="1"/>
  <c r="BM486" i="1"/>
  <c r="BL486" i="1"/>
  <c r="BK486" i="1"/>
  <c r="BH486" i="1"/>
  <c r="BI486" i="1" s="1"/>
  <c r="BF486" i="1"/>
  <c r="BG486" i="1" s="1"/>
  <c r="BE486" i="1"/>
  <c r="BR485" i="1"/>
  <c r="BO485" i="1"/>
  <c r="BN485" i="1"/>
  <c r="BM485" i="1"/>
  <c r="BL485" i="1"/>
  <c r="BK485" i="1"/>
  <c r="BH485" i="1"/>
  <c r="BI485" i="1" s="1"/>
  <c r="BF485" i="1"/>
  <c r="BG485" i="1" s="1"/>
  <c r="BE485" i="1"/>
  <c r="BR484" i="1"/>
  <c r="BO484" i="1"/>
  <c r="BN484" i="1"/>
  <c r="BM484" i="1"/>
  <c r="BL484" i="1"/>
  <c r="BK484" i="1"/>
  <c r="BH484" i="1"/>
  <c r="BJ484" i="1" s="1"/>
  <c r="BF484" i="1"/>
  <c r="BG484" i="1" s="1"/>
  <c r="BE484" i="1"/>
  <c r="BR483" i="1"/>
  <c r="BO483" i="1"/>
  <c r="BN483" i="1"/>
  <c r="BM483" i="1"/>
  <c r="BL483" i="1"/>
  <c r="BK483" i="1"/>
  <c r="BH483" i="1"/>
  <c r="BI483" i="1" s="1"/>
  <c r="BF483" i="1"/>
  <c r="BG483" i="1" s="1"/>
  <c r="BE483" i="1"/>
  <c r="BR482" i="1"/>
  <c r="BO482" i="1"/>
  <c r="BN482" i="1"/>
  <c r="BM482" i="1"/>
  <c r="BL482" i="1"/>
  <c r="BK482" i="1"/>
  <c r="BH482" i="1"/>
  <c r="BJ482" i="1" s="1"/>
  <c r="BF482" i="1"/>
  <c r="BG482" i="1" s="1"/>
  <c r="BE482" i="1"/>
  <c r="BR481" i="1"/>
  <c r="BO481" i="1"/>
  <c r="BN481" i="1"/>
  <c r="BM481" i="1"/>
  <c r="BL481" i="1"/>
  <c r="BK481" i="1"/>
  <c r="BH481" i="1"/>
  <c r="BI481" i="1" s="1"/>
  <c r="BF481" i="1"/>
  <c r="BG481" i="1" s="1"/>
  <c r="BE481" i="1"/>
  <c r="BR480" i="1"/>
  <c r="BO480" i="1"/>
  <c r="BN480" i="1"/>
  <c r="BM480" i="1"/>
  <c r="BL480" i="1"/>
  <c r="BK480" i="1"/>
  <c r="BH480" i="1"/>
  <c r="BJ480" i="1" s="1"/>
  <c r="BF480" i="1"/>
  <c r="BG480" i="1" s="1"/>
  <c r="BE480" i="1"/>
  <c r="BR479" i="1"/>
  <c r="BO479" i="1"/>
  <c r="BN479" i="1"/>
  <c r="BM479" i="1"/>
  <c r="BL479" i="1"/>
  <c r="BK479" i="1"/>
  <c r="BH479" i="1"/>
  <c r="BI479" i="1" s="1"/>
  <c r="BF479" i="1"/>
  <c r="BG479" i="1" s="1"/>
  <c r="BE479" i="1"/>
  <c r="BR478" i="1"/>
  <c r="BO478" i="1"/>
  <c r="BN478" i="1"/>
  <c r="BM478" i="1"/>
  <c r="BL478" i="1"/>
  <c r="BK478" i="1"/>
  <c r="BH478" i="1"/>
  <c r="BJ478" i="1" s="1"/>
  <c r="BF478" i="1"/>
  <c r="BG478" i="1" s="1"/>
  <c r="BE478" i="1"/>
  <c r="BR477" i="1"/>
  <c r="BO477" i="1"/>
  <c r="BN477" i="1"/>
  <c r="BM477" i="1"/>
  <c r="BL477" i="1"/>
  <c r="BK477" i="1"/>
  <c r="BH477" i="1"/>
  <c r="BI477" i="1" s="1"/>
  <c r="BF477" i="1"/>
  <c r="BG477" i="1" s="1"/>
  <c r="BE477" i="1"/>
  <c r="BR476" i="1"/>
  <c r="BO476" i="1"/>
  <c r="BN476" i="1"/>
  <c r="BM476" i="1"/>
  <c r="BL476" i="1"/>
  <c r="BK476" i="1"/>
  <c r="BH476" i="1"/>
  <c r="BJ476" i="1" s="1"/>
  <c r="BF476" i="1"/>
  <c r="BG476" i="1" s="1"/>
  <c r="BE476" i="1"/>
  <c r="BR475" i="1"/>
  <c r="BO475" i="1"/>
  <c r="BN475" i="1"/>
  <c r="BM475" i="1"/>
  <c r="BL475" i="1"/>
  <c r="BK475" i="1"/>
  <c r="BH475" i="1"/>
  <c r="BI475" i="1" s="1"/>
  <c r="BF475" i="1"/>
  <c r="BG475" i="1" s="1"/>
  <c r="BE475" i="1"/>
  <c r="BR474" i="1"/>
  <c r="BO474" i="1"/>
  <c r="BN474" i="1"/>
  <c r="BM474" i="1"/>
  <c r="BL474" i="1"/>
  <c r="BK474" i="1"/>
  <c r="BH474" i="1"/>
  <c r="BI474" i="1" s="1"/>
  <c r="BF474" i="1"/>
  <c r="BG474" i="1" s="1"/>
  <c r="BE474" i="1"/>
  <c r="BR473" i="1"/>
  <c r="BO473" i="1"/>
  <c r="BN473" i="1"/>
  <c r="BM473" i="1"/>
  <c r="BL473" i="1"/>
  <c r="BK473" i="1"/>
  <c r="BH473" i="1"/>
  <c r="BI473" i="1" s="1"/>
  <c r="BF473" i="1"/>
  <c r="BG473" i="1" s="1"/>
  <c r="BE473" i="1"/>
  <c r="BR472" i="1"/>
  <c r="BO472" i="1"/>
  <c r="BN472" i="1"/>
  <c r="BM472" i="1"/>
  <c r="BL472" i="1"/>
  <c r="BK472" i="1"/>
  <c r="BH472" i="1"/>
  <c r="BI472" i="1" s="1"/>
  <c r="BF472" i="1"/>
  <c r="BG472" i="1" s="1"/>
  <c r="BE472" i="1"/>
  <c r="BR471" i="1"/>
  <c r="BO471" i="1"/>
  <c r="BN471" i="1"/>
  <c r="BM471" i="1"/>
  <c r="BL471" i="1"/>
  <c r="BK471" i="1"/>
  <c r="BH471" i="1"/>
  <c r="BI471" i="1" s="1"/>
  <c r="BF471" i="1"/>
  <c r="BG471" i="1" s="1"/>
  <c r="BE471" i="1"/>
  <c r="BR470" i="1"/>
  <c r="BO470" i="1"/>
  <c r="BN470" i="1"/>
  <c r="BM470" i="1"/>
  <c r="BL470" i="1"/>
  <c r="BK470" i="1"/>
  <c r="BH470" i="1"/>
  <c r="BF470" i="1"/>
  <c r="BG470" i="1" s="1"/>
  <c r="BE470" i="1"/>
  <c r="BR469" i="1"/>
  <c r="BO469" i="1"/>
  <c r="BN469" i="1"/>
  <c r="BM469" i="1"/>
  <c r="BL469" i="1"/>
  <c r="BK469" i="1"/>
  <c r="BH469" i="1"/>
  <c r="BI469" i="1" s="1"/>
  <c r="BF469" i="1"/>
  <c r="BG469" i="1" s="1"/>
  <c r="BE469" i="1"/>
  <c r="BR468" i="1"/>
  <c r="BO468" i="1"/>
  <c r="BN468" i="1"/>
  <c r="BM468" i="1"/>
  <c r="BL468" i="1"/>
  <c r="BK468" i="1"/>
  <c r="BH468" i="1"/>
  <c r="BI468" i="1" s="1"/>
  <c r="BF468" i="1"/>
  <c r="BG468" i="1" s="1"/>
  <c r="BE468" i="1"/>
  <c r="BR467" i="1"/>
  <c r="BO467" i="1"/>
  <c r="BN467" i="1"/>
  <c r="BM467" i="1"/>
  <c r="BL467" i="1"/>
  <c r="BK467" i="1"/>
  <c r="BH467" i="1"/>
  <c r="BF467" i="1"/>
  <c r="BG467" i="1" s="1"/>
  <c r="BE467" i="1"/>
  <c r="BR466" i="1"/>
  <c r="BO466" i="1"/>
  <c r="BN466" i="1"/>
  <c r="BM466" i="1"/>
  <c r="BL466" i="1"/>
  <c r="BK466" i="1"/>
  <c r="BH466" i="1"/>
  <c r="BF466" i="1"/>
  <c r="BG466" i="1" s="1"/>
  <c r="BE466" i="1"/>
  <c r="BR465" i="1"/>
  <c r="BO465" i="1"/>
  <c r="BN465" i="1"/>
  <c r="BM465" i="1"/>
  <c r="BL465" i="1"/>
  <c r="BK465" i="1"/>
  <c r="BH465" i="1"/>
  <c r="BI465" i="1" s="1"/>
  <c r="BF465" i="1"/>
  <c r="BG465" i="1" s="1"/>
  <c r="BE465" i="1"/>
  <c r="BR464" i="1"/>
  <c r="BO464" i="1"/>
  <c r="BN464" i="1"/>
  <c r="BM464" i="1"/>
  <c r="BL464" i="1"/>
  <c r="BK464" i="1"/>
  <c r="BH464" i="1"/>
  <c r="BI464" i="1" s="1"/>
  <c r="BF464" i="1"/>
  <c r="BG464" i="1" s="1"/>
  <c r="BE464" i="1"/>
  <c r="BR463" i="1"/>
  <c r="BO463" i="1"/>
  <c r="BN463" i="1"/>
  <c r="BM463" i="1"/>
  <c r="BL463" i="1"/>
  <c r="BK463" i="1"/>
  <c r="BH463" i="1"/>
  <c r="BF463" i="1"/>
  <c r="BG463" i="1" s="1"/>
  <c r="BE463" i="1"/>
  <c r="BR462" i="1"/>
  <c r="BO462" i="1"/>
  <c r="BN462" i="1"/>
  <c r="BM462" i="1"/>
  <c r="BL462" i="1"/>
  <c r="BK462" i="1"/>
  <c r="BH462" i="1"/>
  <c r="BJ462" i="1" s="1"/>
  <c r="BF462" i="1"/>
  <c r="BG462" i="1" s="1"/>
  <c r="BE462" i="1"/>
  <c r="BR461" i="1"/>
  <c r="BO461" i="1"/>
  <c r="BN461" i="1"/>
  <c r="BM461" i="1"/>
  <c r="BL461" i="1"/>
  <c r="BK461" i="1"/>
  <c r="BH461" i="1"/>
  <c r="BI461" i="1" s="1"/>
  <c r="BF461" i="1"/>
  <c r="BG461" i="1" s="1"/>
  <c r="BE461" i="1"/>
  <c r="BR460" i="1"/>
  <c r="BO460" i="1"/>
  <c r="BN460" i="1"/>
  <c r="BM460" i="1"/>
  <c r="BL460" i="1"/>
  <c r="BK460" i="1"/>
  <c r="BH460" i="1"/>
  <c r="BJ460" i="1" s="1"/>
  <c r="BF460" i="1"/>
  <c r="BG460" i="1" s="1"/>
  <c r="BE460" i="1"/>
  <c r="BR459" i="1"/>
  <c r="BO459" i="1"/>
  <c r="BN459" i="1"/>
  <c r="BM459" i="1"/>
  <c r="BL459" i="1"/>
  <c r="BK459" i="1"/>
  <c r="BH459" i="1"/>
  <c r="BI459" i="1" s="1"/>
  <c r="BF459" i="1"/>
  <c r="BG459" i="1" s="1"/>
  <c r="BE459" i="1"/>
  <c r="BR458" i="1"/>
  <c r="BO458" i="1"/>
  <c r="BN458" i="1"/>
  <c r="BM458" i="1"/>
  <c r="BL458" i="1"/>
  <c r="BK458" i="1"/>
  <c r="BH458" i="1"/>
  <c r="BI458" i="1" s="1"/>
  <c r="BF458" i="1"/>
  <c r="BG458" i="1" s="1"/>
  <c r="BE458" i="1"/>
  <c r="BR457" i="1"/>
  <c r="BO457" i="1"/>
  <c r="BN457" i="1"/>
  <c r="BM457" i="1"/>
  <c r="BL457" i="1"/>
  <c r="BK457" i="1"/>
  <c r="BH457" i="1"/>
  <c r="BI457" i="1" s="1"/>
  <c r="BF457" i="1"/>
  <c r="BG457" i="1" s="1"/>
  <c r="BE457" i="1"/>
  <c r="BR456" i="1"/>
  <c r="BO456" i="1"/>
  <c r="BN456" i="1"/>
  <c r="BM456" i="1"/>
  <c r="BL456" i="1"/>
  <c r="BK456" i="1"/>
  <c r="BH456" i="1"/>
  <c r="BJ456" i="1" s="1"/>
  <c r="BF456" i="1"/>
  <c r="BG456" i="1" s="1"/>
  <c r="BE456" i="1"/>
  <c r="BR455" i="1"/>
  <c r="BO455" i="1"/>
  <c r="BN455" i="1"/>
  <c r="BM455" i="1"/>
  <c r="BL455" i="1"/>
  <c r="BK455" i="1"/>
  <c r="BH455" i="1"/>
  <c r="BF455" i="1"/>
  <c r="BG455" i="1" s="1"/>
  <c r="BE455" i="1"/>
  <c r="BR454" i="1"/>
  <c r="BO454" i="1"/>
  <c r="BN454" i="1"/>
  <c r="BM454" i="1"/>
  <c r="BL454" i="1"/>
  <c r="BK454" i="1"/>
  <c r="BH454" i="1"/>
  <c r="BI454" i="1" s="1"/>
  <c r="BF454" i="1"/>
  <c r="BG454" i="1" s="1"/>
  <c r="BE454" i="1"/>
  <c r="BR453" i="1"/>
  <c r="BO453" i="1"/>
  <c r="BN453" i="1"/>
  <c r="BM453" i="1"/>
  <c r="BL453" i="1"/>
  <c r="BK453" i="1"/>
  <c r="BH453" i="1"/>
  <c r="BF453" i="1"/>
  <c r="BG453" i="1" s="1"/>
  <c r="BE453" i="1"/>
  <c r="BR452" i="1"/>
  <c r="BO452" i="1"/>
  <c r="BN452" i="1"/>
  <c r="BM452" i="1"/>
  <c r="BL452" i="1"/>
  <c r="BK452" i="1"/>
  <c r="BH452" i="1"/>
  <c r="BI452" i="1" s="1"/>
  <c r="BF452" i="1"/>
  <c r="BG452" i="1" s="1"/>
  <c r="BE452" i="1"/>
  <c r="BR451" i="1"/>
  <c r="BO451" i="1"/>
  <c r="BN451" i="1"/>
  <c r="BM451" i="1"/>
  <c r="BL451" i="1"/>
  <c r="BK451" i="1"/>
  <c r="BH451" i="1"/>
  <c r="BF451" i="1"/>
  <c r="BG451" i="1" s="1"/>
  <c r="BE451" i="1"/>
  <c r="BR450" i="1"/>
  <c r="BO450" i="1"/>
  <c r="BN450" i="1"/>
  <c r="BM450" i="1"/>
  <c r="BL450" i="1"/>
  <c r="BK450" i="1"/>
  <c r="BH450" i="1"/>
  <c r="BF450" i="1"/>
  <c r="BG450" i="1" s="1"/>
  <c r="BE450" i="1"/>
  <c r="BR449" i="1"/>
  <c r="BO449" i="1"/>
  <c r="BN449" i="1"/>
  <c r="BM449" i="1"/>
  <c r="BL449" i="1"/>
  <c r="BK449" i="1"/>
  <c r="BH449" i="1"/>
  <c r="BI449" i="1" s="1"/>
  <c r="BF449" i="1"/>
  <c r="BG449" i="1" s="1"/>
  <c r="BE449" i="1"/>
  <c r="BR448" i="1"/>
  <c r="BO448" i="1"/>
  <c r="BN448" i="1"/>
  <c r="BM448" i="1"/>
  <c r="BL448" i="1"/>
  <c r="BK448" i="1"/>
  <c r="BH448" i="1"/>
  <c r="BJ448" i="1" s="1"/>
  <c r="BF448" i="1"/>
  <c r="BG448" i="1" s="1"/>
  <c r="BE448" i="1"/>
  <c r="BR447" i="1"/>
  <c r="BO447" i="1"/>
  <c r="BN447" i="1"/>
  <c r="BM447" i="1"/>
  <c r="BL447" i="1"/>
  <c r="BK447" i="1"/>
  <c r="BH447" i="1"/>
  <c r="BI447" i="1" s="1"/>
  <c r="BF447" i="1"/>
  <c r="BG447" i="1" s="1"/>
  <c r="BE447" i="1"/>
  <c r="BR446" i="1"/>
  <c r="BO446" i="1"/>
  <c r="BN446" i="1"/>
  <c r="BM446" i="1"/>
  <c r="BL446" i="1"/>
  <c r="BK446" i="1"/>
  <c r="BH446" i="1"/>
  <c r="BJ446" i="1" s="1"/>
  <c r="BF446" i="1"/>
  <c r="BG446" i="1" s="1"/>
  <c r="BE446" i="1"/>
  <c r="BR445" i="1"/>
  <c r="BO445" i="1"/>
  <c r="BN445" i="1"/>
  <c r="BM445" i="1"/>
  <c r="BL445" i="1"/>
  <c r="BK445" i="1"/>
  <c r="BH445" i="1"/>
  <c r="BI445" i="1" s="1"/>
  <c r="BF445" i="1"/>
  <c r="BG445" i="1" s="1"/>
  <c r="BE445" i="1"/>
  <c r="BR444" i="1"/>
  <c r="BO444" i="1"/>
  <c r="BN444" i="1"/>
  <c r="BM444" i="1"/>
  <c r="BL444" i="1"/>
  <c r="BK444" i="1"/>
  <c r="BH444" i="1"/>
  <c r="BJ444" i="1" s="1"/>
  <c r="BF444" i="1"/>
  <c r="BG444" i="1" s="1"/>
  <c r="BE444" i="1"/>
  <c r="BR443" i="1"/>
  <c r="BO443" i="1"/>
  <c r="BN443" i="1"/>
  <c r="BM443" i="1"/>
  <c r="BL443" i="1"/>
  <c r="BK443" i="1"/>
  <c r="BH443" i="1"/>
  <c r="BI443" i="1" s="1"/>
  <c r="BF443" i="1"/>
  <c r="BG443" i="1" s="1"/>
  <c r="BE443" i="1"/>
  <c r="BR442" i="1"/>
  <c r="BO442" i="1"/>
  <c r="BN442" i="1"/>
  <c r="BM442" i="1"/>
  <c r="BL442" i="1"/>
  <c r="BK442" i="1"/>
  <c r="BH442" i="1"/>
  <c r="BI442" i="1" s="1"/>
  <c r="BF442" i="1"/>
  <c r="BG442" i="1" s="1"/>
  <c r="BE442" i="1"/>
  <c r="BR441" i="1"/>
  <c r="BO441" i="1"/>
  <c r="BN441" i="1"/>
  <c r="BM441" i="1"/>
  <c r="BL441" i="1"/>
  <c r="BK441" i="1"/>
  <c r="BH441" i="1"/>
  <c r="BI441" i="1" s="1"/>
  <c r="BF441" i="1"/>
  <c r="BG441" i="1" s="1"/>
  <c r="BE441" i="1"/>
  <c r="BR440" i="1"/>
  <c r="BO440" i="1"/>
  <c r="BN440" i="1"/>
  <c r="BM440" i="1"/>
  <c r="BL440" i="1"/>
  <c r="BK440" i="1"/>
  <c r="BH440" i="1"/>
  <c r="BI440" i="1" s="1"/>
  <c r="BF440" i="1"/>
  <c r="BG440" i="1" s="1"/>
  <c r="BE440" i="1"/>
  <c r="BR439" i="1"/>
  <c r="BO439" i="1"/>
  <c r="BN439" i="1"/>
  <c r="BM439" i="1"/>
  <c r="BL439" i="1"/>
  <c r="BK439" i="1"/>
  <c r="BH439" i="1"/>
  <c r="BF439" i="1"/>
  <c r="BG439" i="1" s="1"/>
  <c r="BE439" i="1"/>
  <c r="BR438" i="1"/>
  <c r="BO438" i="1"/>
  <c r="BN438" i="1"/>
  <c r="BM438" i="1"/>
  <c r="BL438" i="1"/>
  <c r="BK438" i="1"/>
  <c r="BH438" i="1"/>
  <c r="BF438" i="1"/>
  <c r="BG438" i="1" s="1"/>
  <c r="BE438" i="1"/>
  <c r="BR437" i="1"/>
  <c r="BO437" i="1"/>
  <c r="BN437" i="1"/>
  <c r="BM437" i="1"/>
  <c r="BL437" i="1"/>
  <c r="BK437" i="1"/>
  <c r="BH437" i="1"/>
  <c r="BF437" i="1"/>
  <c r="BG437" i="1" s="1"/>
  <c r="BE437" i="1"/>
  <c r="BR436" i="1"/>
  <c r="BO436" i="1"/>
  <c r="BN436" i="1"/>
  <c r="BM436" i="1"/>
  <c r="BL436" i="1"/>
  <c r="BK436" i="1"/>
  <c r="BH436" i="1"/>
  <c r="BF436" i="1"/>
  <c r="BG436" i="1" s="1"/>
  <c r="BE436" i="1"/>
  <c r="BR435" i="1"/>
  <c r="BO435" i="1"/>
  <c r="BN435" i="1"/>
  <c r="BM435" i="1"/>
  <c r="BL435" i="1"/>
  <c r="BK435" i="1"/>
  <c r="BH435" i="1"/>
  <c r="BI435" i="1" s="1"/>
  <c r="BF435" i="1"/>
  <c r="BG435" i="1" s="1"/>
  <c r="BE435" i="1"/>
  <c r="BR434" i="1"/>
  <c r="BO434" i="1"/>
  <c r="BN434" i="1"/>
  <c r="BM434" i="1"/>
  <c r="BL434" i="1"/>
  <c r="BK434" i="1"/>
  <c r="BH434" i="1"/>
  <c r="BF434" i="1"/>
  <c r="BG434" i="1" s="1"/>
  <c r="BE434" i="1"/>
  <c r="BR433" i="1"/>
  <c r="BO433" i="1"/>
  <c r="BN433" i="1"/>
  <c r="BM433" i="1"/>
  <c r="BL433" i="1"/>
  <c r="BK433" i="1"/>
  <c r="BH433" i="1"/>
  <c r="BI433" i="1" s="1"/>
  <c r="BF433" i="1"/>
  <c r="BG433" i="1" s="1"/>
  <c r="BE433" i="1"/>
  <c r="BR432" i="1"/>
  <c r="BO432" i="1"/>
  <c r="BN432" i="1"/>
  <c r="BM432" i="1"/>
  <c r="BL432" i="1"/>
  <c r="BK432" i="1"/>
  <c r="BH432" i="1"/>
  <c r="BJ432" i="1" s="1"/>
  <c r="BF432" i="1"/>
  <c r="BG432" i="1" s="1"/>
  <c r="BE432" i="1"/>
  <c r="BR431" i="1"/>
  <c r="BO431" i="1"/>
  <c r="BN431" i="1"/>
  <c r="BM431" i="1"/>
  <c r="BL431" i="1"/>
  <c r="BK431" i="1"/>
  <c r="BH431" i="1"/>
  <c r="BI431" i="1" s="1"/>
  <c r="BF431" i="1"/>
  <c r="BG431" i="1" s="1"/>
  <c r="BE431" i="1"/>
  <c r="BR430" i="1"/>
  <c r="BO430" i="1"/>
  <c r="BN430" i="1"/>
  <c r="BM430" i="1"/>
  <c r="BL430" i="1"/>
  <c r="BK430" i="1"/>
  <c r="BH430" i="1"/>
  <c r="BI430" i="1" s="1"/>
  <c r="BF430" i="1"/>
  <c r="BG430" i="1" s="1"/>
  <c r="BE430" i="1"/>
  <c r="BR429" i="1"/>
  <c r="BO429" i="1"/>
  <c r="BN429" i="1"/>
  <c r="BM429" i="1"/>
  <c r="BL429" i="1"/>
  <c r="BK429" i="1"/>
  <c r="BH429" i="1"/>
  <c r="BF429" i="1"/>
  <c r="BG429" i="1" s="1"/>
  <c r="BE429" i="1"/>
  <c r="BR428" i="1"/>
  <c r="BO428" i="1"/>
  <c r="BN428" i="1"/>
  <c r="BM428" i="1"/>
  <c r="BL428" i="1"/>
  <c r="BK428" i="1"/>
  <c r="BH428" i="1"/>
  <c r="BJ428" i="1" s="1"/>
  <c r="BF428" i="1"/>
  <c r="BG428" i="1" s="1"/>
  <c r="BE428" i="1"/>
  <c r="BR427" i="1"/>
  <c r="BO427" i="1"/>
  <c r="BN427" i="1"/>
  <c r="BM427" i="1"/>
  <c r="BL427" i="1"/>
  <c r="BK427" i="1"/>
  <c r="BH427" i="1"/>
  <c r="BI427" i="1" s="1"/>
  <c r="BF427" i="1"/>
  <c r="BG427" i="1" s="1"/>
  <c r="BE427" i="1"/>
  <c r="BR426" i="1"/>
  <c r="BO426" i="1"/>
  <c r="BN426" i="1"/>
  <c r="BM426" i="1"/>
  <c r="BL426" i="1"/>
  <c r="BK426" i="1"/>
  <c r="BH426" i="1"/>
  <c r="BJ426" i="1" s="1"/>
  <c r="BF426" i="1"/>
  <c r="BG426" i="1" s="1"/>
  <c r="BE426" i="1"/>
  <c r="BR425" i="1"/>
  <c r="BO425" i="1"/>
  <c r="BN425" i="1"/>
  <c r="BM425" i="1"/>
  <c r="BL425" i="1"/>
  <c r="BK425" i="1"/>
  <c r="BH425" i="1"/>
  <c r="BI425" i="1" s="1"/>
  <c r="BF425" i="1"/>
  <c r="BG425" i="1" s="1"/>
  <c r="BE425" i="1"/>
  <c r="BR424" i="1"/>
  <c r="BO424" i="1"/>
  <c r="BN424" i="1"/>
  <c r="BM424" i="1"/>
  <c r="BL424" i="1"/>
  <c r="BK424" i="1"/>
  <c r="BH424" i="1"/>
  <c r="BI424" i="1" s="1"/>
  <c r="BF424" i="1"/>
  <c r="BG424" i="1" s="1"/>
  <c r="BE424" i="1"/>
  <c r="BR423" i="1"/>
  <c r="BO423" i="1"/>
  <c r="BN423" i="1"/>
  <c r="BM423" i="1"/>
  <c r="BL423" i="1"/>
  <c r="BK423" i="1"/>
  <c r="BH423" i="1"/>
  <c r="BI423" i="1" s="1"/>
  <c r="BF423" i="1"/>
  <c r="BG423" i="1" s="1"/>
  <c r="BE423" i="1"/>
  <c r="BR422" i="1"/>
  <c r="BO422" i="1"/>
  <c r="BN422" i="1"/>
  <c r="BM422" i="1"/>
  <c r="BL422" i="1"/>
  <c r="BK422" i="1"/>
  <c r="BH422" i="1"/>
  <c r="BF422" i="1"/>
  <c r="BG422" i="1" s="1"/>
  <c r="BE422" i="1"/>
  <c r="BR421" i="1"/>
  <c r="BO421" i="1"/>
  <c r="BN421" i="1"/>
  <c r="BM421" i="1"/>
  <c r="BL421" i="1"/>
  <c r="BK421" i="1"/>
  <c r="BH421" i="1"/>
  <c r="BI421" i="1" s="1"/>
  <c r="BF421" i="1"/>
  <c r="BG421" i="1" s="1"/>
  <c r="BE421" i="1"/>
  <c r="BR420" i="1"/>
  <c r="BO420" i="1"/>
  <c r="BN420" i="1"/>
  <c r="BM420" i="1"/>
  <c r="BL420" i="1"/>
  <c r="BK420" i="1"/>
  <c r="BH420" i="1"/>
  <c r="BJ420" i="1" s="1"/>
  <c r="BF420" i="1"/>
  <c r="BG420" i="1" s="1"/>
  <c r="BE420" i="1"/>
  <c r="BR419" i="1"/>
  <c r="BO419" i="1"/>
  <c r="BN419" i="1"/>
  <c r="BM419" i="1"/>
  <c r="BL419" i="1"/>
  <c r="BK419" i="1"/>
  <c r="BH419" i="1"/>
  <c r="BF419" i="1"/>
  <c r="BG419" i="1" s="1"/>
  <c r="BE419" i="1"/>
  <c r="BR418" i="1"/>
  <c r="BO418" i="1"/>
  <c r="BN418" i="1"/>
  <c r="BM418" i="1"/>
  <c r="BL418" i="1"/>
  <c r="BK418" i="1"/>
  <c r="BH418" i="1"/>
  <c r="BJ418" i="1" s="1"/>
  <c r="BF418" i="1"/>
  <c r="BG418" i="1" s="1"/>
  <c r="BE418" i="1"/>
  <c r="BR417" i="1"/>
  <c r="BO417" i="1"/>
  <c r="BN417" i="1"/>
  <c r="BM417" i="1"/>
  <c r="BL417" i="1"/>
  <c r="BK417" i="1"/>
  <c r="BH417" i="1"/>
  <c r="BI417" i="1" s="1"/>
  <c r="BF417" i="1"/>
  <c r="BG417" i="1" s="1"/>
  <c r="BE417" i="1"/>
  <c r="BR416" i="1"/>
  <c r="BO416" i="1"/>
  <c r="BN416" i="1"/>
  <c r="BM416" i="1"/>
  <c r="BL416" i="1"/>
  <c r="BK416" i="1"/>
  <c r="BH416" i="1"/>
  <c r="BI416" i="1" s="1"/>
  <c r="BF416" i="1"/>
  <c r="BG416" i="1" s="1"/>
  <c r="BE416" i="1"/>
  <c r="BR415" i="1"/>
  <c r="BO415" i="1"/>
  <c r="BN415" i="1"/>
  <c r="BM415" i="1"/>
  <c r="BL415" i="1"/>
  <c r="BK415" i="1"/>
  <c r="BH415" i="1"/>
  <c r="BF415" i="1"/>
  <c r="BG415" i="1" s="1"/>
  <c r="BE415" i="1"/>
  <c r="BR414" i="1"/>
  <c r="BO414" i="1"/>
  <c r="BN414" i="1"/>
  <c r="BM414" i="1"/>
  <c r="BL414" i="1"/>
  <c r="BK414" i="1"/>
  <c r="BH414" i="1"/>
  <c r="BJ414" i="1" s="1"/>
  <c r="BF414" i="1"/>
  <c r="BG414" i="1" s="1"/>
  <c r="BE414" i="1"/>
  <c r="BR413" i="1"/>
  <c r="BO413" i="1"/>
  <c r="BN413" i="1"/>
  <c r="BM413" i="1"/>
  <c r="BL413" i="1"/>
  <c r="BK413" i="1"/>
  <c r="BH413" i="1"/>
  <c r="BI413" i="1" s="1"/>
  <c r="BF413" i="1"/>
  <c r="BG413" i="1" s="1"/>
  <c r="BE413" i="1"/>
  <c r="BR412" i="1"/>
  <c r="BO412" i="1"/>
  <c r="BN412" i="1"/>
  <c r="BM412" i="1"/>
  <c r="BL412" i="1"/>
  <c r="BK412" i="1"/>
  <c r="BH412" i="1"/>
  <c r="BJ412" i="1" s="1"/>
  <c r="BF412" i="1"/>
  <c r="BG412" i="1" s="1"/>
  <c r="BE412" i="1"/>
  <c r="BR411" i="1"/>
  <c r="BO411" i="1"/>
  <c r="BN411" i="1"/>
  <c r="BM411" i="1"/>
  <c r="BL411" i="1"/>
  <c r="BK411" i="1"/>
  <c r="BH411" i="1"/>
  <c r="BI411" i="1" s="1"/>
  <c r="BF411" i="1"/>
  <c r="BG411" i="1" s="1"/>
  <c r="BE411" i="1"/>
  <c r="BR410" i="1"/>
  <c r="BO410" i="1"/>
  <c r="BN410" i="1"/>
  <c r="BM410" i="1"/>
  <c r="BL410" i="1"/>
  <c r="BK410" i="1"/>
  <c r="BH410" i="1"/>
  <c r="BJ410" i="1" s="1"/>
  <c r="BF410" i="1"/>
  <c r="BG410" i="1" s="1"/>
  <c r="BE410" i="1"/>
  <c r="BR409" i="1"/>
  <c r="BO409" i="1"/>
  <c r="BN409" i="1"/>
  <c r="BM409" i="1"/>
  <c r="BL409" i="1"/>
  <c r="BK409" i="1"/>
  <c r="BH409" i="1"/>
  <c r="BI409" i="1" s="1"/>
  <c r="BF409" i="1"/>
  <c r="BG409" i="1" s="1"/>
  <c r="BE409" i="1"/>
  <c r="BR408" i="1"/>
  <c r="BO408" i="1"/>
  <c r="BN408" i="1"/>
  <c r="BM408" i="1"/>
  <c r="BL408" i="1"/>
  <c r="BK408" i="1"/>
  <c r="BH408" i="1"/>
  <c r="BF408" i="1"/>
  <c r="BG408" i="1" s="1"/>
  <c r="BE408" i="1"/>
  <c r="BR407" i="1"/>
  <c r="BO407" i="1"/>
  <c r="BN407" i="1"/>
  <c r="BM407" i="1"/>
  <c r="BL407" i="1"/>
  <c r="BK407" i="1"/>
  <c r="BH407" i="1"/>
  <c r="BI407" i="1" s="1"/>
  <c r="BF407" i="1"/>
  <c r="BG407" i="1" s="1"/>
  <c r="BE407" i="1"/>
  <c r="BR406" i="1"/>
  <c r="BO406" i="1"/>
  <c r="BN406" i="1"/>
  <c r="BM406" i="1"/>
  <c r="BL406" i="1"/>
  <c r="BK406" i="1"/>
  <c r="BH406" i="1"/>
  <c r="BJ406" i="1" s="1"/>
  <c r="BF406" i="1"/>
  <c r="BG406" i="1" s="1"/>
  <c r="BE406" i="1"/>
  <c r="BR405" i="1"/>
  <c r="BO405" i="1"/>
  <c r="BN405" i="1"/>
  <c r="BM405" i="1"/>
  <c r="BL405" i="1"/>
  <c r="BK405" i="1"/>
  <c r="BH405" i="1"/>
  <c r="BF405" i="1"/>
  <c r="BG405" i="1" s="1"/>
  <c r="BE405" i="1"/>
  <c r="BR404" i="1"/>
  <c r="BO404" i="1"/>
  <c r="BN404" i="1"/>
  <c r="BM404" i="1"/>
  <c r="BL404" i="1"/>
  <c r="BK404" i="1"/>
  <c r="BH404" i="1"/>
  <c r="BJ404" i="1" s="1"/>
  <c r="BF404" i="1"/>
  <c r="BG404" i="1" s="1"/>
  <c r="BE404" i="1"/>
  <c r="BR403" i="1"/>
  <c r="BO403" i="1"/>
  <c r="BN403" i="1"/>
  <c r="BM403" i="1"/>
  <c r="BL403" i="1"/>
  <c r="BK403" i="1"/>
  <c r="BH403" i="1"/>
  <c r="BI403" i="1" s="1"/>
  <c r="BF403" i="1"/>
  <c r="BG403" i="1" s="1"/>
  <c r="BE403" i="1"/>
  <c r="BR402" i="1"/>
  <c r="BO402" i="1"/>
  <c r="BN402" i="1"/>
  <c r="BM402" i="1"/>
  <c r="BL402" i="1"/>
  <c r="BK402" i="1"/>
  <c r="BH402" i="1"/>
  <c r="BI402" i="1" s="1"/>
  <c r="BF402" i="1"/>
  <c r="BG402" i="1" s="1"/>
  <c r="BE402" i="1"/>
  <c r="BR401" i="1"/>
  <c r="BO401" i="1"/>
  <c r="BN401" i="1"/>
  <c r="BM401" i="1"/>
  <c r="BL401" i="1"/>
  <c r="BK401" i="1"/>
  <c r="BH401" i="1"/>
  <c r="BI401" i="1" s="1"/>
  <c r="BF401" i="1"/>
  <c r="BG401" i="1" s="1"/>
  <c r="BE401" i="1"/>
  <c r="BR400" i="1"/>
  <c r="BO400" i="1"/>
  <c r="BN400" i="1"/>
  <c r="BM400" i="1"/>
  <c r="BL400" i="1"/>
  <c r="BK400" i="1"/>
  <c r="BH400" i="1"/>
  <c r="BJ400" i="1" s="1"/>
  <c r="BF400" i="1"/>
  <c r="BG400" i="1" s="1"/>
  <c r="BE400" i="1"/>
  <c r="BR399" i="1"/>
  <c r="BO399" i="1"/>
  <c r="BN399" i="1"/>
  <c r="BM399" i="1"/>
  <c r="BL399" i="1"/>
  <c r="BK399" i="1"/>
  <c r="BH399" i="1"/>
  <c r="BI399" i="1" s="1"/>
  <c r="BF399" i="1"/>
  <c r="BG399" i="1" s="1"/>
  <c r="BE399" i="1"/>
  <c r="BR398" i="1"/>
  <c r="BO398" i="1"/>
  <c r="BN398" i="1"/>
  <c r="BM398" i="1"/>
  <c r="BL398" i="1"/>
  <c r="BK398" i="1"/>
  <c r="BH398" i="1"/>
  <c r="BJ398" i="1" s="1"/>
  <c r="BF398" i="1"/>
  <c r="BG398" i="1" s="1"/>
  <c r="BE398" i="1"/>
  <c r="BR397" i="1"/>
  <c r="BO397" i="1"/>
  <c r="BN397" i="1"/>
  <c r="BM397" i="1"/>
  <c r="BL397" i="1"/>
  <c r="BK397" i="1"/>
  <c r="BH397" i="1"/>
  <c r="BI397" i="1" s="1"/>
  <c r="BF397" i="1"/>
  <c r="BG397" i="1" s="1"/>
  <c r="BE397" i="1"/>
  <c r="BR396" i="1"/>
  <c r="BO396" i="1"/>
  <c r="BN396" i="1"/>
  <c r="BM396" i="1"/>
  <c r="BL396" i="1"/>
  <c r="BK396" i="1"/>
  <c r="BH396" i="1"/>
  <c r="BJ396" i="1" s="1"/>
  <c r="BF396" i="1"/>
  <c r="BG396" i="1" s="1"/>
  <c r="BE396" i="1"/>
  <c r="BR395" i="1"/>
  <c r="BO395" i="1"/>
  <c r="BN395" i="1"/>
  <c r="BM395" i="1"/>
  <c r="BL395" i="1"/>
  <c r="BK395" i="1"/>
  <c r="BH395" i="1"/>
  <c r="BI395" i="1" s="1"/>
  <c r="BF395" i="1"/>
  <c r="BG395" i="1" s="1"/>
  <c r="BE395" i="1"/>
  <c r="BR394" i="1"/>
  <c r="BO394" i="1"/>
  <c r="BN394" i="1"/>
  <c r="BM394" i="1"/>
  <c r="BL394" i="1"/>
  <c r="BK394" i="1"/>
  <c r="BH394" i="1"/>
  <c r="BI394" i="1" s="1"/>
  <c r="BF394" i="1"/>
  <c r="BG394" i="1" s="1"/>
  <c r="BE394" i="1"/>
  <c r="BR393" i="1"/>
  <c r="BO393" i="1"/>
  <c r="BN393" i="1"/>
  <c r="BM393" i="1"/>
  <c r="BL393" i="1"/>
  <c r="BK393" i="1"/>
  <c r="BH393" i="1"/>
  <c r="BI393" i="1" s="1"/>
  <c r="BF393" i="1"/>
  <c r="BG393" i="1" s="1"/>
  <c r="BE393" i="1"/>
  <c r="BR392" i="1"/>
  <c r="BO392" i="1"/>
  <c r="BN392" i="1"/>
  <c r="BM392" i="1"/>
  <c r="BL392" i="1"/>
  <c r="BK392" i="1"/>
  <c r="BH392" i="1"/>
  <c r="BJ392" i="1" s="1"/>
  <c r="BF392" i="1"/>
  <c r="BG392" i="1" s="1"/>
  <c r="BE392" i="1"/>
  <c r="BR391" i="1"/>
  <c r="BO391" i="1"/>
  <c r="BN391" i="1"/>
  <c r="BM391" i="1"/>
  <c r="BL391" i="1"/>
  <c r="BK391" i="1"/>
  <c r="BH391" i="1"/>
  <c r="BF391" i="1"/>
  <c r="BG391" i="1" s="1"/>
  <c r="BE391" i="1"/>
  <c r="BR390" i="1"/>
  <c r="BO390" i="1"/>
  <c r="BN390" i="1"/>
  <c r="BM390" i="1"/>
  <c r="BL390" i="1"/>
  <c r="BK390" i="1"/>
  <c r="BH390" i="1"/>
  <c r="BJ390" i="1" s="1"/>
  <c r="BF390" i="1"/>
  <c r="BG390" i="1" s="1"/>
  <c r="BE390" i="1"/>
  <c r="BR389" i="1"/>
  <c r="BO389" i="1"/>
  <c r="BN389" i="1"/>
  <c r="BM389" i="1"/>
  <c r="BL389" i="1"/>
  <c r="BK389" i="1"/>
  <c r="BH389" i="1"/>
  <c r="BI389" i="1" s="1"/>
  <c r="BF389" i="1"/>
  <c r="BG389" i="1" s="1"/>
  <c r="BE389" i="1"/>
  <c r="BR388" i="1"/>
  <c r="BO388" i="1"/>
  <c r="BN388" i="1"/>
  <c r="BM388" i="1"/>
  <c r="BL388" i="1"/>
  <c r="BK388" i="1"/>
  <c r="BH388" i="1"/>
  <c r="BI388" i="1" s="1"/>
  <c r="BF388" i="1"/>
  <c r="BG388" i="1" s="1"/>
  <c r="BE388" i="1"/>
  <c r="BR387" i="1"/>
  <c r="BO387" i="1"/>
  <c r="BN387" i="1"/>
  <c r="BM387" i="1"/>
  <c r="BL387" i="1"/>
  <c r="BK387" i="1"/>
  <c r="BH387" i="1"/>
  <c r="BI387" i="1" s="1"/>
  <c r="BF387" i="1"/>
  <c r="BG387" i="1" s="1"/>
  <c r="BE387" i="1"/>
  <c r="BR386" i="1"/>
  <c r="BO386" i="1"/>
  <c r="BN386" i="1"/>
  <c r="BM386" i="1"/>
  <c r="BL386" i="1"/>
  <c r="BK386" i="1"/>
  <c r="BH386" i="1"/>
  <c r="BF386" i="1"/>
  <c r="BG386" i="1" s="1"/>
  <c r="BE386" i="1"/>
  <c r="BR385" i="1"/>
  <c r="BO385" i="1"/>
  <c r="BN385" i="1"/>
  <c r="BM385" i="1"/>
  <c r="BL385" i="1"/>
  <c r="BK385" i="1"/>
  <c r="BH385" i="1"/>
  <c r="BI385" i="1" s="1"/>
  <c r="BF385" i="1"/>
  <c r="BG385" i="1" s="1"/>
  <c r="BE385" i="1"/>
  <c r="BR384" i="1"/>
  <c r="BO384" i="1"/>
  <c r="BN384" i="1"/>
  <c r="BM384" i="1"/>
  <c r="BL384" i="1"/>
  <c r="BK384" i="1"/>
  <c r="BH384" i="1"/>
  <c r="BI384" i="1" s="1"/>
  <c r="BF384" i="1"/>
  <c r="BG384" i="1" s="1"/>
  <c r="BE384" i="1"/>
  <c r="BR383" i="1"/>
  <c r="BO383" i="1"/>
  <c r="BN383" i="1"/>
  <c r="BM383" i="1"/>
  <c r="BL383" i="1"/>
  <c r="BK383" i="1"/>
  <c r="BH383" i="1"/>
  <c r="BI383" i="1" s="1"/>
  <c r="BF383" i="1"/>
  <c r="BG383" i="1" s="1"/>
  <c r="BE383" i="1"/>
  <c r="BR382" i="1"/>
  <c r="BO382" i="1"/>
  <c r="BN382" i="1"/>
  <c r="BM382" i="1"/>
  <c r="BL382" i="1"/>
  <c r="BK382" i="1"/>
  <c r="BH382" i="1"/>
  <c r="BF382" i="1"/>
  <c r="BG382" i="1" s="1"/>
  <c r="BE382" i="1"/>
  <c r="BR381" i="1"/>
  <c r="BO381" i="1"/>
  <c r="BN381" i="1"/>
  <c r="BM381" i="1"/>
  <c r="BL381" i="1"/>
  <c r="BK381" i="1"/>
  <c r="BH381" i="1"/>
  <c r="BF381" i="1"/>
  <c r="BG381" i="1" s="1"/>
  <c r="BE381" i="1"/>
  <c r="BR380" i="1"/>
  <c r="BO380" i="1"/>
  <c r="BN380" i="1"/>
  <c r="BM380" i="1"/>
  <c r="BL380" i="1"/>
  <c r="BK380" i="1"/>
  <c r="BH380" i="1"/>
  <c r="BJ380" i="1" s="1"/>
  <c r="BF380" i="1"/>
  <c r="BG380" i="1" s="1"/>
  <c r="BE380" i="1"/>
  <c r="BR379" i="1"/>
  <c r="BO379" i="1"/>
  <c r="BN379" i="1"/>
  <c r="BM379" i="1"/>
  <c r="BL379" i="1"/>
  <c r="BK379" i="1"/>
  <c r="BH379" i="1"/>
  <c r="BF379" i="1"/>
  <c r="BG379" i="1" s="1"/>
  <c r="BE379" i="1"/>
  <c r="BR378" i="1"/>
  <c r="BO378" i="1"/>
  <c r="BN378" i="1"/>
  <c r="BM378" i="1"/>
  <c r="BL378" i="1"/>
  <c r="BK378" i="1"/>
  <c r="BH378" i="1"/>
  <c r="BI378" i="1" s="1"/>
  <c r="BF378" i="1"/>
  <c r="BG378" i="1" s="1"/>
  <c r="BE378" i="1"/>
  <c r="BR377" i="1"/>
  <c r="BO377" i="1"/>
  <c r="BN377" i="1"/>
  <c r="BM377" i="1"/>
  <c r="BL377" i="1"/>
  <c r="BK377" i="1"/>
  <c r="BH377" i="1"/>
  <c r="BI377" i="1" s="1"/>
  <c r="BF377" i="1"/>
  <c r="BG377" i="1" s="1"/>
  <c r="BE377" i="1"/>
  <c r="BR376" i="1"/>
  <c r="BO376" i="1"/>
  <c r="BN376" i="1"/>
  <c r="BM376" i="1"/>
  <c r="BL376" i="1"/>
  <c r="BK376" i="1"/>
  <c r="BH376" i="1"/>
  <c r="BJ376" i="1" s="1"/>
  <c r="BF376" i="1"/>
  <c r="BG376" i="1" s="1"/>
  <c r="BE376" i="1"/>
  <c r="BR375" i="1"/>
  <c r="BO375" i="1"/>
  <c r="BN375" i="1"/>
  <c r="BM375" i="1"/>
  <c r="BL375" i="1"/>
  <c r="BK375" i="1"/>
  <c r="BH375" i="1"/>
  <c r="BI375" i="1" s="1"/>
  <c r="BF375" i="1"/>
  <c r="BG375" i="1" s="1"/>
  <c r="BE375" i="1"/>
  <c r="BR374" i="1"/>
  <c r="BO374" i="1"/>
  <c r="BN374" i="1"/>
  <c r="BM374" i="1"/>
  <c r="BL374" i="1"/>
  <c r="BK374" i="1"/>
  <c r="BH374" i="1"/>
  <c r="BI374" i="1" s="1"/>
  <c r="BF374" i="1"/>
  <c r="BG374" i="1" s="1"/>
  <c r="BE374" i="1"/>
  <c r="BR373" i="1"/>
  <c r="BO373" i="1"/>
  <c r="BN373" i="1"/>
  <c r="BM373" i="1"/>
  <c r="BL373" i="1"/>
  <c r="BK373" i="1"/>
  <c r="BH373" i="1"/>
  <c r="BI373" i="1" s="1"/>
  <c r="BF373" i="1"/>
  <c r="BG373" i="1" s="1"/>
  <c r="BE373" i="1"/>
  <c r="BR372" i="1"/>
  <c r="BO372" i="1"/>
  <c r="BN372" i="1"/>
  <c r="BM372" i="1"/>
  <c r="BL372" i="1"/>
  <c r="BK372" i="1"/>
  <c r="BH372" i="1"/>
  <c r="BJ372" i="1" s="1"/>
  <c r="BF372" i="1"/>
  <c r="BG372" i="1" s="1"/>
  <c r="BE372" i="1"/>
  <c r="BR371" i="1"/>
  <c r="BO371" i="1"/>
  <c r="BN371" i="1"/>
  <c r="BM371" i="1"/>
  <c r="BL371" i="1"/>
  <c r="BK371" i="1"/>
  <c r="BH371" i="1"/>
  <c r="BI371" i="1" s="1"/>
  <c r="BF371" i="1"/>
  <c r="BG371" i="1" s="1"/>
  <c r="BE371" i="1"/>
  <c r="BR370" i="1"/>
  <c r="BO370" i="1"/>
  <c r="BN370" i="1"/>
  <c r="BM370" i="1"/>
  <c r="BL370" i="1"/>
  <c r="BK370" i="1"/>
  <c r="BH370" i="1"/>
  <c r="BJ370" i="1" s="1"/>
  <c r="BF370" i="1"/>
  <c r="BG370" i="1" s="1"/>
  <c r="BE370" i="1"/>
  <c r="BR369" i="1"/>
  <c r="BO369" i="1"/>
  <c r="BN369" i="1"/>
  <c r="BM369" i="1"/>
  <c r="BL369" i="1"/>
  <c r="BK369" i="1"/>
  <c r="BH369" i="1"/>
  <c r="BI369" i="1" s="1"/>
  <c r="BF369" i="1"/>
  <c r="BG369" i="1" s="1"/>
  <c r="BE369" i="1"/>
  <c r="BR368" i="1"/>
  <c r="BO368" i="1"/>
  <c r="BN368" i="1"/>
  <c r="BM368" i="1"/>
  <c r="BL368" i="1"/>
  <c r="BK368" i="1"/>
  <c r="BH368" i="1"/>
  <c r="BF368" i="1"/>
  <c r="BG368" i="1" s="1"/>
  <c r="BE368" i="1"/>
  <c r="BR367" i="1"/>
  <c r="BO367" i="1"/>
  <c r="BN367" i="1"/>
  <c r="BM367" i="1"/>
  <c r="BL367" i="1"/>
  <c r="BK367" i="1"/>
  <c r="BH367" i="1"/>
  <c r="BF367" i="1"/>
  <c r="BG367" i="1" s="1"/>
  <c r="BE367" i="1"/>
  <c r="BR366" i="1"/>
  <c r="BO366" i="1"/>
  <c r="BN366" i="1"/>
  <c r="BM366" i="1"/>
  <c r="BL366" i="1"/>
  <c r="BK366" i="1"/>
  <c r="BH366" i="1"/>
  <c r="BJ366" i="1" s="1"/>
  <c r="BF366" i="1"/>
  <c r="BG366" i="1" s="1"/>
  <c r="BE366" i="1"/>
  <c r="BR365" i="1"/>
  <c r="BO365" i="1"/>
  <c r="BN365" i="1"/>
  <c r="BM365" i="1"/>
  <c r="BL365" i="1"/>
  <c r="BK365" i="1"/>
  <c r="BH365" i="1"/>
  <c r="BI365" i="1" s="1"/>
  <c r="BF365" i="1"/>
  <c r="BG365" i="1" s="1"/>
  <c r="BE365" i="1"/>
  <c r="BR364" i="1"/>
  <c r="BO364" i="1"/>
  <c r="BN364" i="1"/>
  <c r="BM364" i="1"/>
  <c r="BL364" i="1"/>
  <c r="BK364" i="1"/>
  <c r="BH364" i="1"/>
  <c r="BJ364" i="1" s="1"/>
  <c r="BF364" i="1"/>
  <c r="BG364" i="1" s="1"/>
  <c r="BE364" i="1"/>
  <c r="BR363" i="1"/>
  <c r="BO363" i="1"/>
  <c r="BN363" i="1"/>
  <c r="BM363" i="1"/>
  <c r="BL363" i="1"/>
  <c r="BK363" i="1"/>
  <c r="BH363" i="1"/>
  <c r="BI363" i="1" s="1"/>
  <c r="BF363" i="1"/>
  <c r="BG363" i="1" s="1"/>
  <c r="BE363" i="1"/>
  <c r="BR362" i="1"/>
  <c r="BO362" i="1"/>
  <c r="BN362" i="1"/>
  <c r="BM362" i="1"/>
  <c r="BL362" i="1"/>
  <c r="BK362" i="1"/>
  <c r="BH362" i="1"/>
  <c r="BI362" i="1" s="1"/>
  <c r="BF362" i="1"/>
  <c r="BG362" i="1" s="1"/>
  <c r="BE362" i="1"/>
  <c r="BR361" i="1"/>
  <c r="BO361" i="1"/>
  <c r="BN361" i="1"/>
  <c r="BM361" i="1"/>
  <c r="BL361" i="1"/>
  <c r="BK361" i="1"/>
  <c r="BH361" i="1"/>
  <c r="BI361" i="1" s="1"/>
  <c r="BF361" i="1"/>
  <c r="BG361" i="1" s="1"/>
  <c r="BE361" i="1"/>
  <c r="BR360" i="1"/>
  <c r="BO360" i="1"/>
  <c r="BN360" i="1"/>
  <c r="BM360" i="1"/>
  <c r="BL360" i="1"/>
  <c r="BK360" i="1"/>
  <c r="BH360" i="1"/>
  <c r="BF360" i="1"/>
  <c r="BG360" i="1" s="1"/>
  <c r="BE360" i="1"/>
  <c r="BR359" i="1"/>
  <c r="BO359" i="1"/>
  <c r="BN359" i="1"/>
  <c r="BM359" i="1"/>
  <c r="BL359" i="1"/>
  <c r="BK359" i="1"/>
  <c r="BH359" i="1"/>
  <c r="BF359" i="1"/>
  <c r="BG359" i="1" s="1"/>
  <c r="BE359" i="1"/>
  <c r="BR358" i="1"/>
  <c r="BO358" i="1"/>
  <c r="BN358" i="1"/>
  <c r="BM358" i="1"/>
  <c r="BL358" i="1"/>
  <c r="BK358" i="1"/>
  <c r="BH358" i="1"/>
  <c r="BI358" i="1" s="1"/>
  <c r="BF358" i="1"/>
  <c r="BG358" i="1" s="1"/>
  <c r="BE358" i="1"/>
  <c r="BR357" i="1"/>
  <c r="BO357" i="1"/>
  <c r="BN357" i="1"/>
  <c r="BM357" i="1"/>
  <c r="BL357" i="1"/>
  <c r="BK357" i="1"/>
  <c r="BH357" i="1"/>
  <c r="BI357" i="1" s="1"/>
  <c r="BF357" i="1"/>
  <c r="BG357" i="1" s="1"/>
  <c r="BE357" i="1"/>
  <c r="BR356" i="1"/>
  <c r="BO356" i="1"/>
  <c r="BN356" i="1"/>
  <c r="BM356" i="1"/>
  <c r="BL356" i="1"/>
  <c r="BK356" i="1"/>
  <c r="BH356" i="1"/>
  <c r="BJ356" i="1" s="1"/>
  <c r="BF356" i="1"/>
  <c r="BG356" i="1" s="1"/>
  <c r="BE356" i="1"/>
  <c r="BR355" i="1"/>
  <c r="BO355" i="1"/>
  <c r="BN355" i="1"/>
  <c r="BM355" i="1"/>
  <c r="BL355" i="1"/>
  <c r="BK355" i="1"/>
  <c r="BH355" i="1"/>
  <c r="BI355" i="1" s="1"/>
  <c r="BF355" i="1"/>
  <c r="BG355" i="1" s="1"/>
  <c r="BE355" i="1"/>
  <c r="BR354" i="1"/>
  <c r="BO354" i="1"/>
  <c r="BN354" i="1"/>
  <c r="BM354" i="1"/>
  <c r="BL354" i="1"/>
  <c r="BK354" i="1"/>
  <c r="BH354" i="1"/>
  <c r="BJ354" i="1" s="1"/>
  <c r="BF354" i="1"/>
  <c r="BG354" i="1" s="1"/>
  <c r="BE354" i="1"/>
  <c r="BR353" i="1"/>
  <c r="BO353" i="1"/>
  <c r="BN353" i="1"/>
  <c r="BM353" i="1"/>
  <c r="BL353" i="1"/>
  <c r="BK353" i="1"/>
  <c r="BH353" i="1"/>
  <c r="BI353" i="1" s="1"/>
  <c r="BF353" i="1"/>
  <c r="BG353" i="1" s="1"/>
  <c r="BE353" i="1"/>
  <c r="BR352" i="1"/>
  <c r="BO352" i="1"/>
  <c r="BN352" i="1"/>
  <c r="BM352" i="1"/>
  <c r="BL352" i="1"/>
  <c r="BK352" i="1"/>
  <c r="BH352" i="1"/>
  <c r="BF352" i="1"/>
  <c r="BG352" i="1" s="1"/>
  <c r="BE352" i="1"/>
  <c r="BR351" i="1"/>
  <c r="BO351" i="1"/>
  <c r="BN351" i="1"/>
  <c r="BM351" i="1"/>
  <c r="BL351" i="1"/>
  <c r="BK351" i="1"/>
  <c r="BH351" i="1"/>
  <c r="BF351" i="1"/>
  <c r="BG351" i="1" s="1"/>
  <c r="BE351" i="1"/>
  <c r="BR350" i="1"/>
  <c r="BO350" i="1"/>
  <c r="BN350" i="1"/>
  <c r="BM350" i="1"/>
  <c r="BL350" i="1"/>
  <c r="BK350" i="1"/>
  <c r="BH350" i="1"/>
  <c r="BJ350" i="1" s="1"/>
  <c r="BF350" i="1"/>
  <c r="BG350" i="1" s="1"/>
  <c r="BE350" i="1"/>
  <c r="BR349" i="1"/>
  <c r="BO349" i="1"/>
  <c r="BN349" i="1"/>
  <c r="BM349" i="1"/>
  <c r="BL349" i="1"/>
  <c r="BK349" i="1"/>
  <c r="BH349" i="1"/>
  <c r="BI349" i="1" s="1"/>
  <c r="BF349" i="1"/>
  <c r="BG349" i="1" s="1"/>
  <c r="BE349" i="1"/>
  <c r="BR348" i="1"/>
  <c r="BO348" i="1"/>
  <c r="BN348" i="1"/>
  <c r="BM348" i="1"/>
  <c r="BL348" i="1"/>
  <c r="BK348" i="1"/>
  <c r="BH348" i="1"/>
  <c r="BJ348" i="1" s="1"/>
  <c r="BF348" i="1"/>
  <c r="BG348" i="1" s="1"/>
  <c r="BE348" i="1"/>
  <c r="BR347" i="1"/>
  <c r="BO347" i="1"/>
  <c r="BN347" i="1"/>
  <c r="BM347" i="1"/>
  <c r="BL347" i="1"/>
  <c r="BK347" i="1"/>
  <c r="BH347" i="1"/>
  <c r="BI347" i="1" s="1"/>
  <c r="BF347" i="1"/>
  <c r="BG347" i="1" s="1"/>
  <c r="BE347" i="1"/>
  <c r="BR346" i="1"/>
  <c r="BO346" i="1"/>
  <c r="BN346" i="1"/>
  <c r="BM346" i="1"/>
  <c r="BL346" i="1"/>
  <c r="BK346" i="1"/>
  <c r="BH346" i="1"/>
  <c r="BI346" i="1" s="1"/>
  <c r="BF346" i="1"/>
  <c r="BG346" i="1" s="1"/>
  <c r="BE346" i="1"/>
  <c r="BR345" i="1"/>
  <c r="BO345" i="1"/>
  <c r="BN345" i="1"/>
  <c r="BM345" i="1"/>
  <c r="BL345" i="1"/>
  <c r="BK345" i="1"/>
  <c r="BH345" i="1"/>
  <c r="BI345" i="1" s="1"/>
  <c r="BF345" i="1"/>
  <c r="BG345" i="1" s="1"/>
  <c r="BE345" i="1"/>
  <c r="BR344" i="1"/>
  <c r="BO344" i="1"/>
  <c r="BN344" i="1"/>
  <c r="BM344" i="1"/>
  <c r="BL344" i="1"/>
  <c r="BK344" i="1"/>
  <c r="BH344" i="1"/>
  <c r="BI344" i="1" s="1"/>
  <c r="BF344" i="1"/>
  <c r="BG344" i="1" s="1"/>
  <c r="BE344" i="1"/>
  <c r="BR343" i="1"/>
  <c r="BO343" i="1"/>
  <c r="BN343" i="1"/>
  <c r="BM343" i="1"/>
  <c r="BL343" i="1"/>
  <c r="BK343" i="1"/>
  <c r="BH343" i="1"/>
  <c r="BI343" i="1" s="1"/>
  <c r="BF343" i="1"/>
  <c r="BG343" i="1" s="1"/>
  <c r="BE343" i="1"/>
  <c r="BR342" i="1"/>
  <c r="BO342" i="1"/>
  <c r="BN342" i="1"/>
  <c r="BM342" i="1"/>
  <c r="BL342" i="1"/>
  <c r="BK342" i="1"/>
  <c r="BH342" i="1"/>
  <c r="BJ342" i="1" s="1"/>
  <c r="BF342" i="1"/>
  <c r="BG342" i="1" s="1"/>
  <c r="BE342" i="1"/>
  <c r="BR341" i="1"/>
  <c r="BO341" i="1"/>
  <c r="BN341" i="1"/>
  <c r="BM341" i="1"/>
  <c r="BL341" i="1"/>
  <c r="BK341" i="1"/>
  <c r="BH341" i="1"/>
  <c r="BI341" i="1" s="1"/>
  <c r="BF341" i="1"/>
  <c r="BG341" i="1" s="1"/>
  <c r="BE341" i="1"/>
  <c r="BR340" i="1"/>
  <c r="BO340" i="1"/>
  <c r="BN340" i="1"/>
  <c r="BM340" i="1"/>
  <c r="BL340" i="1"/>
  <c r="BK340" i="1"/>
  <c r="BH340" i="1"/>
  <c r="BJ340" i="1" s="1"/>
  <c r="BF340" i="1"/>
  <c r="BG340" i="1" s="1"/>
  <c r="BE340" i="1"/>
  <c r="BR339" i="1"/>
  <c r="BO339" i="1"/>
  <c r="BN339" i="1"/>
  <c r="BM339" i="1"/>
  <c r="BL339" i="1"/>
  <c r="BK339" i="1"/>
  <c r="BH339" i="1"/>
  <c r="BI339" i="1" s="1"/>
  <c r="BF339" i="1"/>
  <c r="BG339" i="1" s="1"/>
  <c r="BE339" i="1"/>
  <c r="BR338" i="1"/>
  <c r="BO338" i="1"/>
  <c r="BN338" i="1"/>
  <c r="BM338" i="1"/>
  <c r="BL338" i="1"/>
  <c r="BK338" i="1"/>
  <c r="BH338" i="1"/>
  <c r="BI338" i="1" s="1"/>
  <c r="BF338" i="1"/>
  <c r="BG338" i="1" s="1"/>
  <c r="BE338" i="1"/>
  <c r="BR337" i="1"/>
  <c r="BO337" i="1"/>
  <c r="BN337" i="1"/>
  <c r="BM337" i="1"/>
  <c r="BL337" i="1"/>
  <c r="BK337" i="1"/>
  <c r="BH337" i="1"/>
  <c r="BF337" i="1"/>
  <c r="BG337" i="1" s="1"/>
  <c r="BE337" i="1"/>
  <c r="BR336" i="1"/>
  <c r="BO336" i="1"/>
  <c r="BN336" i="1"/>
  <c r="BM336" i="1"/>
  <c r="BL336" i="1"/>
  <c r="BK336" i="1"/>
  <c r="BH336" i="1"/>
  <c r="BI336" i="1" s="1"/>
  <c r="BF336" i="1"/>
  <c r="BG336" i="1" s="1"/>
  <c r="BE336" i="1"/>
  <c r="BR335" i="1"/>
  <c r="BO335" i="1"/>
  <c r="BN335" i="1"/>
  <c r="BM335" i="1"/>
  <c r="BL335" i="1"/>
  <c r="BK335" i="1"/>
  <c r="BH335" i="1"/>
  <c r="BI335" i="1" s="1"/>
  <c r="BF335" i="1"/>
  <c r="BG335" i="1" s="1"/>
  <c r="BE335" i="1"/>
  <c r="BR334" i="1"/>
  <c r="BO334" i="1"/>
  <c r="BN334" i="1"/>
  <c r="BM334" i="1"/>
  <c r="BL334" i="1"/>
  <c r="BK334" i="1"/>
  <c r="BH334" i="1"/>
  <c r="BI334" i="1" s="1"/>
  <c r="BF334" i="1"/>
  <c r="BG334" i="1" s="1"/>
  <c r="BE334" i="1"/>
  <c r="BR333" i="1"/>
  <c r="BO333" i="1"/>
  <c r="BN333" i="1"/>
  <c r="BM333" i="1"/>
  <c r="BL333" i="1"/>
  <c r="BK333" i="1"/>
  <c r="BH333" i="1"/>
  <c r="BI333" i="1" s="1"/>
  <c r="BF333" i="1"/>
  <c r="BG333" i="1" s="1"/>
  <c r="BE333" i="1"/>
  <c r="BR332" i="1"/>
  <c r="BO332" i="1"/>
  <c r="BN332" i="1"/>
  <c r="BM332" i="1"/>
  <c r="BL332" i="1"/>
  <c r="BK332" i="1"/>
  <c r="BH332" i="1"/>
  <c r="BF332" i="1"/>
  <c r="BG332" i="1" s="1"/>
  <c r="BE332" i="1"/>
  <c r="BR331" i="1"/>
  <c r="BO331" i="1"/>
  <c r="BN331" i="1"/>
  <c r="BM331" i="1"/>
  <c r="BL331" i="1"/>
  <c r="BK331" i="1"/>
  <c r="BH331" i="1"/>
  <c r="BF331" i="1"/>
  <c r="BG331" i="1" s="1"/>
  <c r="BE331" i="1"/>
  <c r="BR330" i="1"/>
  <c r="BO330" i="1"/>
  <c r="BN330" i="1"/>
  <c r="BM330" i="1"/>
  <c r="BL330" i="1"/>
  <c r="BK330" i="1"/>
  <c r="BH330" i="1"/>
  <c r="BI330" i="1" s="1"/>
  <c r="BF330" i="1"/>
  <c r="BG330" i="1" s="1"/>
  <c r="BE330" i="1"/>
  <c r="BR329" i="1"/>
  <c r="BO329" i="1"/>
  <c r="BN329" i="1"/>
  <c r="BM329" i="1"/>
  <c r="BL329" i="1"/>
  <c r="BK329" i="1"/>
  <c r="BH329" i="1"/>
  <c r="BI329" i="1" s="1"/>
  <c r="BF329" i="1"/>
  <c r="BG329" i="1" s="1"/>
  <c r="BE329" i="1"/>
  <c r="BR328" i="1"/>
  <c r="BO328" i="1"/>
  <c r="BN328" i="1"/>
  <c r="BM328" i="1"/>
  <c r="BL328" i="1"/>
  <c r="BK328" i="1"/>
  <c r="BH328" i="1"/>
  <c r="BI328" i="1" s="1"/>
  <c r="BF328" i="1"/>
  <c r="BG328" i="1" s="1"/>
  <c r="BE328" i="1"/>
  <c r="BR327" i="1"/>
  <c r="BO327" i="1"/>
  <c r="BN327" i="1"/>
  <c r="BM327" i="1"/>
  <c r="BL327" i="1"/>
  <c r="BK327" i="1"/>
  <c r="BH327" i="1"/>
  <c r="BI327" i="1" s="1"/>
  <c r="BF327" i="1"/>
  <c r="BG327" i="1" s="1"/>
  <c r="BE327" i="1"/>
  <c r="BR326" i="1"/>
  <c r="BO326" i="1"/>
  <c r="BN326" i="1"/>
  <c r="BM326" i="1"/>
  <c r="BL326" i="1"/>
  <c r="BK326" i="1"/>
  <c r="BH326" i="1"/>
  <c r="BF326" i="1"/>
  <c r="BG326" i="1" s="1"/>
  <c r="BE326" i="1"/>
  <c r="BR325" i="1"/>
  <c r="BO325" i="1"/>
  <c r="BN325" i="1"/>
  <c r="BM325" i="1"/>
  <c r="BL325" i="1"/>
  <c r="BK325" i="1"/>
  <c r="BH325" i="1"/>
  <c r="BI325" i="1" s="1"/>
  <c r="BF325" i="1"/>
  <c r="BG325" i="1" s="1"/>
  <c r="BE325" i="1"/>
  <c r="BR324" i="1"/>
  <c r="BO324" i="1"/>
  <c r="BN324" i="1"/>
  <c r="BM324" i="1"/>
  <c r="BL324" i="1"/>
  <c r="BK324" i="1"/>
  <c r="BH324" i="1"/>
  <c r="BJ324" i="1" s="1"/>
  <c r="BF324" i="1"/>
  <c r="BG324" i="1" s="1"/>
  <c r="BE324" i="1"/>
  <c r="BR323" i="1"/>
  <c r="BO323" i="1"/>
  <c r="BN323" i="1"/>
  <c r="BM323" i="1"/>
  <c r="BL323" i="1"/>
  <c r="BK323" i="1"/>
  <c r="BH323" i="1"/>
  <c r="BI323" i="1" s="1"/>
  <c r="BF323" i="1"/>
  <c r="BG323" i="1" s="1"/>
  <c r="BE323" i="1"/>
  <c r="BR322" i="1"/>
  <c r="BO322" i="1"/>
  <c r="BN322" i="1"/>
  <c r="BM322" i="1"/>
  <c r="BL322" i="1"/>
  <c r="BK322" i="1"/>
  <c r="BH322" i="1"/>
  <c r="BI322" i="1" s="1"/>
  <c r="BF322" i="1"/>
  <c r="BG322" i="1" s="1"/>
  <c r="BE322" i="1"/>
  <c r="BR321" i="1"/>
  <c r="BO321" i="1"/>
  <c r="BN321" i="1"/>
  <c r="BM321" i="1"/>
  <c r="BL321" i="1"/>
  <c r="BK321" i="1"/>
  <c r="BH321" i="1"/>
  <c r="BI321" i="1" s="1"/>
  <c r="BF321" i="1"/>
  <c r="BG321" i="1" s="1"/>
  <c r="BE321" i="1"/>
  <c r="BR320" i="1"/>
  <c r="BO320" i="1"/>
  <c r="BN320" i="1"/>
  <c r="BM320" i="1"/>
  <c r="BL320" i="1"/>
  <c r="BK320" i="1"/>
  <c r="BH320" i="1"/>
  <c r="BI320" i="1" s="1"/>
  <c r="BF320" i="1"/>
  <c r="BG320" i="1" s="1"/>
  <c r="BE320" i="1"/>
  <c r="BR319" i="1"/>
  <c r="BO319" i="1"/>
  <c r="BN319" i="1"/>
  <c r="BM319" i="1"/>
  <c r="BL319" i="1"/>
  <c r="BK319" i="1"/>
  <c r="BH319" i="1"/>
  <c r="BI319" i="1" s="1"/>
  <c r="BF319" i="1"/>
  <c r="BG319" i="1" s="1"/>
  <c r="BE319" i="1"/>
  <c r="BR318" i="1"/>
  <c r="BO318" i="1"/>
  <c r="BN318" i="1"/>
  <c r="BM318" i="1"/>
  <c r="BL318" i="1"/>
  <c r="BK318" i="1"/>
  <c r="BH318" i="1"/>
  <c r="BJ318" i="1" s="1"/>
  <c r="BF318" i="1"/>
  <c r="BG318" i="1" s="1"/>
  <c r="BE318" i="1"/>
  <c r="BR317" i="1"/>
  <c r="BO317" i="1"/>
  <c r="BN317" i="1"/>
  <c r="BM317" i="1"/>
  <c r="BL317" i="1"/>
  <c r="BK317" i="1"/>
  <c r="BH317" i="1"/>
  <c r="BI317" i="1" s="1"/>
  <c r="BF317" i="1"/>
  <c r="BG317" i="1" s="1"/>
  <c r="BE317" i="1"/>
  <c r="BR316" i="1"/>
  <c r="BO316" i="1"/>
  <c r="BN316" i="1"/>
  <c r="BM316" i="1"/>
  <c r="BL316" i="1"/>
  <c r="BK316" i="1"/>
  <c r="BH316" i="1"/>
  <c r="BI316" i="1" s="1"/>
  <c r="BF316" i="1"/>
  <c r="BG316" i="1" s="1"/>
  <c r="BE316" i="1"/>
  <c r="BR315" i="1"/>
  <c r="BO315" i="1"/>
  <c r="BN315" i="1"/>
  <c r="BM315" i="1"/>
  <c r="BL315" i="1"/>
  <c r="BK315" i="1"/>
  <c r="BH315" i="1"/>
  <c r="BI315" i="1" s="1"/>
  <c r="BF315" i="1"/>
  <c r="BG315" i="1" s="1"/>
  <c r="BE315" i="1"/>
  <c r="BR314" i="1"/>
  <c r="BO314" i="1"/>
  <c r="BN314" i="1"/>
  <c r="BM314" i="1"/>
  <c r="BL314" i="1"/>
  <c r="BK314" i="1"/>
  <c r="BH314" i="1"/>
  <c r="BI314" i="1" s="1"/>
  <c r="BF314" i="1"/>
  <c r="BG314" i="1" s="1"/>
  <c r="BE314" i="1"/>
  <c r="BR313" i="1"/>
  <c r="BO313" i="1"/>
  <c r="BN313" i="1"/>
  <c r="BM313" i="1"/>
  <c r="BL313" i="1"/>
  <c r="BK313" i="1"/>
  <c r="BH313" i="1"/>
  <c r="BI313" i="1" s="1"/>
  <c r="BF313" i="1"/>
  <c r="BG313" i="1" s="1"/>
  <c r="BE313" i="1"/>
  <c r="BR312" i="1"/>
  <c r="BO312" i="1"/>
  <c r="BN312" i="1"/>
  <c r="BM312" i="1"/>
  <c r="BL312" i="1"/>
  <c r="BK312" i="1"/>
  <c r="BH312" i="1"/>
  <c r="BI312" i="1" s="1"/>
  <c r="BF312" i="1"/>
  <c r="BG312" i="1" s="1"/>
  <c r="BE312" i="1"/>
  <c r="BR311" i="1"/>
  <c r="BO311" i="1"/>
  <c r="BN311" i="1"/>
  <c r="BM311" i="1"/>
  <c r="BL311" i="1"/>
  <c r="BK311" i="1"/>
  <c r="BH311" i="1"/>
  <c r="BI311" i="1" s="1"/>
  <c r="BF311" i="1"/>
  <c r="BG311" i="1" s="1"/>
  <c r="BE311" i="1"/>
  <c r="BR310" i="1"/>
  <c r="BO310" i="1"/>
  <c r="BN310" i="1"/>
  <c r="BM310" i="1"/>
  <c r="BL310" i="1"/>
  <c r="BK310" i="1"/>
  <c r="BH310" i="1"/>
  <c r="BJ310" i="1" s="1"/>
  <c r="BF310" i="1"/>
  <c r="BG310" i="1" s="1"/>
  <c r="BE310" i="1"/>
  <c r="BR309" i="1"/>
  <c r="BO309" i="1"/>
  <c r="BN309" i="1"/>
  <c r="BM309" i="1"/>
  <c r="BL309" i="1"/>
  <c r="BK309" i="1"/>
  <c r="BH309" i="1"/>
  <c r="BJ309" i="1" s="1"/>
  <c r="BF309" i="1"/>
  <c r="BG309" i="1" s="1"/>
  <c r="BE309" i="1"/>
  <c r="BR308" i="1"/>
  <c r="BO308" i="1"/>
  <c r="BN308" i="1"/>
  <c r="BM308" i="1"/>
  <c r="BL308" i="1"/>
  <c r="BK308" i="1"/>
  <c r="BH308" i="1"/>
  <c r="BJ308" i="1" s="1"/>
  <c r="BF308" i="1"/>
  <c r="BG308" i="1" s="1"/>
  <c r="BE308" i="1"/>
  <c r="BR307" i="1"/>
  <c r="BO307" i="1"/>
  <c r="BN307" i="1"/>
  <c r="BM307" i="1"/>
  <c r="BL307" i="1"/>
  <c r="BK307" i="1"/>
  <c r="BH307" i="1"/>
  <c r="BF307" i="1"/>
  <c r="BG307" i="1" s="1"/>
  <c r="BE307" i="1"/>
  <c r="BR306" i="1"/>
  <c r="BO306" i="1"/>
  <c r="BN306" i="1"/>
  <c r="BM306" i="1"/>
  <c r="BL306" i="1"/>
  <c r="BK306" i="1"/>
  <c r="BH306" i="1"/>
  <c r="BJ306" i="1" s="1"/>
  <c r="BF306" i="1"/>
  <c r="BG306" i="1" s="1"/>
  <c r="BE306" i="1"/>
  <c r="BR305" i="1"/>
  <c r="BO305" i="1"/>
  <c r="BN305" i="1"/>
  <c r="BM305" i="1"/>
  <c r="BL305" i="1"/>
  <c r="BK305" i="1"/>
  <c r="BH305" i="1"/>
  <c r="BI305" i="1" s="1"/>
  <c r="BF305" i="1"/>
  <c r="BG305" i="1" s="1"/>
  <c r="BE305" i="1"/>
  <c r="BR304" i="1"/>
  <c r="BO304" i="1"/>
  <c r="BN304" i="1"/>
  <c r="BM304" i="1"/>
  <c r="BL304" i="1"/>
  <c r="BK304" i="1"/>
  <c r="BH304" i="1"/>
  <c r="BJ304" i="1" s="1"/>
  <c r="BF304" i="1"/>
  <c r="BG304" i="1" s="1"/>
  <c r="BE304" i="1"/>
  <c r="BR303" i="1"/>
  <c r="BO303" i="1"/>
  <c r="BN303" i="1"/>
  <c r="BM303" i="1"/>
  <c r="BL303" i="1"/>
  <c r="BK303" i="1"/>
  <c r="BH303" i="1"/>
  <c r="BI303" i="1" s="1"/>
  <c r="BF303" i="1"/>
  <c r="BG303" i="1" s="1"/>
  <c r="BE303" i="1"/>
  <c r="BR302" i="1"/>
  <c r="BO302" i="1"/>
  <c r="BN302" i="1"/>
  <c r="BM302" i="1"/>
  <c r="BL302" i="1"/>
  <c r="BK302" i="1"/>
  <c r="BH302" i="1"/>
  <c r="BJ302" i="1" s="1"/>
  <c r="BF302" i="1"/>
  <c r="BG302" i="1" s="1"/>
  <c r="BE302" i="1"/>
  <c r="BR301" i="1"/>
  <c r="BO301" i="1"/>
  <c r="BN301" i="1"/>
  <c r="BM301" i="1"/>
  <c r="BL301" i="1"/>
  <c r="BK301" i="1"/>
  <c r="BH301" i="1"/>
  <c r="BI301" i="1" s="1"/>
  <c r="BF301" i="1"/>
  <c r="BG301" i="1" s="1"/>
  <c r="BE301" i="1"/>
  <c r="BR300" i="1"/>
  <c r="BO300" i="1"/>
  <c r="BN300" i="1"/>
  <c r="BM300" i="1"/>
  <c r="BL300" i="1"/>
  <c r="BK300" i="1"/>
  <c r="BH300" i="1"/>
  <c r="BJ300" i="1" s="1"/>
  <c r="BF300" i="1"/>
  <c r="BG300" i="1" s="1"/>
  <c r="BE300" i="1"/>
  <c r="BR299" i="1"/>
  <c r="BO299" i="1"/>
  <c r="BN299" i="1"/>
  <c r="BM299" i="1"/>
  <c r="BL299" i="1"/>
  <c r="BK299" i="1"/>
  <c r="BH299" i="1"/>
  <c r="BI299" i="1" s="1"/>
  <c r="BF299" i="1"/>
  <c r="BG299" i="1" s="1"/>
  <c r="BE299" i="1"/>
  <c r="BR298" i="1"/>
  <c r="BO298" i="1"/>
  <c r="BN298" i="1"/>
  <c r="BM298" i="1"/>
  <c r="BL298" i="1"/>
  <c r="BK298" i="1"/>
  <c r="BH298" i="1"/>
  <c r="BJ298" i="1" s="1"/>
  <c r="BF298" i="1"/>
  <c r="BG298" i="1" s="1"/>
  <c r="BE298" i="1"/>
  <c r="BR297" i="1"/>
  <c r="BO297" i="1"/>
  <c r="BN297" i="1"/>
  <c r="BM297" i="1"/>
  <c r="BL297" i="1"/>
  <c r="BK297" i="1"/>
  <c r="BH297" i="1"/>
  <c r="BJ297" i="1" s="1"/>
  <c r="BF297" i="1"/>
  <c r="BG297" i="1" s="1"/>
  <c r="BE297" i="1"/>
  <c r="BR296" i="1"/>
  <c r="BO296" i="1"/>
  <c r="BN296" i="1"/>
  <c r="BM296" i="1"/>
  <c r="BL296" i="1"/>
  <c r="BK296" i="1"/>
  <c r="BH296" i="1"/>
  <c r="BJ296" i="1" s="1"/>
  <c r="BF296" i="1"/>
  <c r="BG296" i="1" s="1"/>
  <c r="BE296" i="1"/>
  <c r="BR295" i="1"/>
  <c r="BO295" i="1"/>
  <c r="BN295" i="1"/>
  <c r="BM295" i="1"/>
  <c r="BL295" i="1"/>
  <c r="BK295" i="1"/>
  <c r="BH295" i="1"/>
  <c r="BI295" i="1" s="1"/>
  <c r="BF295" i="1"/>
  <c r="BG295" i="1" s="1"/>
  <c r="BE295" i="1"/>
  <c r="BR294" i="1"/>
  <c r="BO294" i="1"/>
  <c r="BN294" i="1"/>
  <c r="BM294" i="1"/>
  <c r="BL294" i="1"/>
  <c r="BK294" i="1"/>
  <c r="BH294" i="1"/>
  <c r="BJ294" i="1" s="1"/>
  <c r="BF294" i="1"/>
  <c r="BG294" i="1" s="1"/>
  <c r="BE294" i="1"/>
  <c r="BR293" i="1"/>
  <c r="BO293" i="1"/>
  <c r="BN293" i="1"/>
  <c r="BM293" i="1"/>
  <c r="BL293" i="1"/>
  <c r="BK293" i="1"/>
  <c r="BH293" i="1"/>
  <c r="BJ293" i="1" s="1"/>
  <c r="BF293" i="1"/>
  <c r="BG293" i="1" s="1"/>
  <c r="BE293" i="1"/>
  <c r="BR292" i="1"/>
  <c r="BO292" i="1"/>
  <c r="BN292" i="1"/>
  <c r="BM292" i="1"/>
  <c r="BL292" i="1"/>
  <c r="BK292" i="1"/>
  <c r="BH292" i="1"/>
  <c r="BJ292" i="1" s="1"/>
  <c r="BF292" i="1"/>
  <c r="BG292" i="1" s="1"/>
  <c r="BE292" i="1"/>
  <c r="BR291" i="1"/>
  <c r="BO291" i="1"/>
  <c r="BN291" i="1"/>
  <c r="BM291" i="1"/>
  <c r="BL291" i="1"/>
  <c r="BK291" i="1"/>
  <c r="BH291" i="1"/>
  <c r="BF291" i="1"/>
  <c r="BG291" i="1" s="1"/>
  <c r="BE291" i="1"/>
  <c r="BR290" i="1"/>
  <c r="BO290" i="1"/>
  <c r="BN290" i="1"/>
  <c r="BM290" i="1"/>
  <c r="BL290" i="1"/>
  <c r="BK290" i="1"/>
  <c r="BH290" i="1"/>
  <c r="BJ290" i="1" s="1"/>
  <c r="BF290" i="1"/>
  <c r="BG290" i="1" s="1"/>
  <c r="BE290" i="1"/>
  <c r="BR289" i="1"/>
  <c r="BO289" i="1"/>
  <c r="BN289" i="1"/>
  <c r="BM289" i="1"/>
  <c r="BL289" i="1"/>
  <c r="BK289" i="1"/>
  <c r="BH289" i="1"/>
  <c r="BI289" i="1" s="1"/>
  <c r="BF289" i="1"/>
  <c r="BG289" i="1" s="1"/>
  <c r="BE289" i="1"/>
  <c r="BR288" i="1"/>
  <c r="BO288" i="1"/>
  <c r="BN288" i="1"/>
  <c r="BM288" i="1"/>
  <c r="BL288" i="1"/>
  <c r="BK288" i="1"/>
  <c r="BH288" i="1"/>
  <c r="BJ288" i="1" s="1"/>
  <c r="BF288" i="1"/>
  <c r="BG288" i="1" s="1"/>
  <c r="BE288" i="1"/>
  <c r="BR287" i="1"/>
  <c r="BO287" i="1"/>
  <c r="BN287" i="1"/>
  <c r="BM287" i="1"/>
  <c r="BL287" i="1"/>
  <c r="BK287" i="1"/>
  <c r="BH287" i="1"/>
  <c r="BI287" i="1" s="1"/>
  <c r="BF287" i="1"/>
  <c r="BG287" i="1" s="1"/>
  <c r="BE287" i="1"/>
  <c r="BR286" i="1"/>
  <c r="BO286" i="1"/>
  <c r="BN286" i="1"/>
  <c r="BM286" i="1"/>
  <c r="BL286" i="1"/>
  <c r="BK286" i="1"/>
  <c r="BH286" i="1"/>
  <c r="BJ286" i="1" s="1"/>
  <c r="BF286" i="1"/>
  <c r="BG286" i="1" s="1"/>
  <c r="BE286" i="1"/>
  <c r="BR285" i="1"/>
  <c r="BO285" i="1"/>
  <c r="BN285" i="1"/>
  <c r="BM285" i="1"/>
  <c r="BL285" i="1"/>
  <c r="BK285" i="1"/>
  <c r="BH285" i="1"/>
  <c r="BI285" i="1" s="1"/>
  <c r="BF285" i="1"/>
  <c r="BG285" i="1" s="1"/>
  <c r="BE285" i="1"/>
  <c r="BR284" i="1"/>
  <c r="BO284" i="1"/>
  <c r="BN284" i="1"/>
  <c r="BM284" i="1"/>
  <c r="BL284" i="1"/>
  <c r="BK284" i="1"/>
  <c r="BH284" i="1"/>
  <c r="BJ284" i="1" s="1"/>
  <c r="BF284" i="1"/>
  <c r="BG284" i="1" s="1"/>
  <c r="BE284" i="1"/>
  <c r="BR283" i="1"/>
  <c r="BO283" i="1"/>
  <c r="BN283" i="1"/>
  <c r="BM283" i="1"/>
  <c r="BL283" i="1"/>
  <c r="BK283" i="1"/>
  <c r="BH283" i="1"/>
  <c r="BI283" i="1" s="1"/>
  <c r="BF283" i="1"/>
  <c r="BG283" i="1" s="1"/>
  <c r="BE283" i="1"/>
  <c r="BR282" i="1"/>
  <c r="BO282" i="1"/>
  <c r="BN282" i="1"/>
  <c r="BM282" i="1"/>
  <c r="BL282" i="1"/>
  <c r="BK282" i="1"/>
  <c r="BH282" i="1"/>
  <c r="BJ282" i="1" s="1"/>
  <c r="BF282" i="1"/>
  <c r="BG282" i="1" s="1"/>
  <c r="BE282" i="1"/>
  <c r="BR281" i="1"/>
  <c r="BO281" i="1"/>
  <c r="BN281" i="1"/>
  <c r="BM281" i="1"/>
  <c r="BL281" i="1"/>
  <c r="BK281" i="1"/>
  <c r="BH281" i="1"/>
  <c r="BJ281" i="1" s="1"/>
  <c r="BF281" i="1"/>
  <c r="BG281" i="1" s="1"/>
  <c r="BE281" i="1"/>
  <c r="BR280" i="1"/>
  <c r="BO280" i="1"/>
  <c r="BN280" i="1"/>
  <c r="BM280" i="1"/>
  <c r="BL280" i="1"/>
  <c r="BK280" i="1"/>
  <c r="BH280" i="1"/>
  <c r="BJ280" i="1" s="1"/>
  <c r="BF280" i="1"/>
  <c r="BG280" i="1" s="1"/>
  <c r="BE280" i="1"/>
  <c r="BR279" i="1"/>
  <c r="BO279" i="1"/>
  <c r="BN279" i="1"/>
  <c r="BM279" i="1"/>
  <c r="BL279" i="1"/>
  <c r="BK279" i="1"/>
  <c r="BH279" i="1"/>
  <c r="BJ279" i="1" s="1"/>
  <c r="BF279" i="1"/>
  <c r="BG279" i="1" s="1"/>
  <c r="BE279" i="1"/>
  <c r="BR278" i="1"/>
  <c r="BO278" i="1"/>
  <c r="BN278" i="1"/>
  <c r="BM278" i="1"/>
  <c r="BL278" i="1"/>
  <c r="BK278" i="1"/>
  <c r="BH278" i="1"/>
  <c r="BJ278" i="1" s="1"/>
  <c r="BF278" i="1"/>
  <c r="BG278" i="1" s="1"/>
  <c r="BE278" i="1"/>
  <c r="BR277" i="1"/>
  <c r="BO277" i="1"/>
  <c r="BN277" i="1"/>
  <c r="BM277" i="1"/>
  <c r="BL277" i="1"/>
  <c r="BK277" i="1"/>
  <c r="BH277" i="1"/>
  <c r="BJ277" i="1" s="1"/>
  <c r="BF277" i="1"/>
  <c r="BG277" i="1" s="1"/>
  <c r="BE277" i="1"/>
  <c r="BR276" i="1"/>
  <c r="BO276" i="1"/>
  <c r="BN276" i="1"/>
  <c r="BM276" i="1"/>
  <c r="BL276" i="1"/>
  <c r="BK276" i="1"/>
  <c r="BH276" i="1"/>
  <c r="BJ276" i="1" s="1"/>
  <c r="BF276" i="1"/>
  <c r="BG276" i="1" s="1"/>
  <c r="BE276" i="1"/>
  <c r="BR275" i="1"/>
  <c r="BO275" i="1"/>
  <c r="BN275" i="1"/>
  <c r="BM275" i="1"/>
  <c r="BL275" i="1"/>
  <c r="BK275" i="1"/>
  <c r="BH275" i="1"/>
  <c r="BF275" i="1"/>
  <c r="BG275" i="1" s="1"/>
  <c r="BE275" i="1"/>
  <c r="BR274" i="1"/>
  <c r="BO274" i="1"/>
  <c r="BN274" i="1"/>
  <c r="BM274" i="1"/>
  <c r="BL274" i="1"/>
  <c r="BK274" i="1"/>
  <c r="BH274" i="1"/>
  <c r="BJ274" i="1" s="1"/>
  <c r="BF274" i="1"/>
  <c r="BG274" i="1" s="1"/>
  <c r="BE274" i="1"/>
  <c r="BR273" i="1"/>
  <c r="BO273" i="1"/>
  <c r="BN273" i="1"/>
  <c r="BM273" i="1"/>
  <c r="BL273" i="1"/>
  <c r="BK273" i="1"/>
  <c r="BH273" i="1"/>
  <c r="BJ273" i="1" s="1"/>
  <c r="BF273" i="1"/>
  <c r="BG273" i="1" s="1"/>
  <c r="BE273" i="1"/>
  <c r="BR272" i="1"/>
  <c r="BO272" i="1"/>
  <c r="BN272" i="1"/>
  <c r="BM272" i="1"/>
  <c r="BL272" i="1"/>
  <c r="BK272" i="1"/>
  <c r="BH272" i="1"/>
  <c r="BJ272" i="1" s="1"/>
  <c r="BF272" i="1"/>
  <c r="BG272" i="1" s="1"/>
  <c r="BE272" i="1"/>
  <c r="BR271" i="1"/>
  <c r="BO271" i="1"/>
  <c r="BN271" i="1"/>
  <c r="BM271" i="1"/>
  <c r="BL271" i="1"/>
  <c r="BK271" i="1"/>
  <c r="BH271" i="1"/>
  <c r="BI271" i="1" s="1"/>
  <c r="BF271" i="1"/>
  <c r="BG271" i="1" s="1"/>
  <c r="BE271" i="1"/>
  <c r="BR270" i="1"/>
  <c r="BO270" i="1"/>
  <c r="BN270" i="1"/>
  <c r="BM270" i="1"/>
  <c r="BL270" i="1"/>
  <c r="BK270" i="1"/>
  <c r="BH270" i="1"/>
  <c r="BJ270" i="1" s="1"/>
  <c r="BF270" i="1"/>
  <c r="BG270" i="1" s="1"/>
  <c r="BE270" i="1"/>
  <c r="BR269" i="1"/>
  <c r="BO269" i="1"/>
  <c r="BN269" i="1"/>
  <c r="BM269" i="1"/>
  <c r="BL269" i="1"/>
  <c r="BK269" i="1"/>
  <c r="BH269" i="1"/>
  <c r="BI269" i="1" s="1"/>
  <c r="BF269" i="1"/>
  <c r="BG269" i="1" s="1"/>
  <c r="BE269" i="1"/>
  <c r="BR268" i="1"/>
  <c r="BO268" i="1"/>
  <c r="BN268" i="1"/>
  <c r="BM268" i="1"/>
  <c r="BL268" i="1"/>
  <c r="BK268" i="1"/>
  <c r="BH268" i="1"/>
  <c r="BJ268" i="1" s="1"/>
  <c r="BF268" i="1"/>
  <c r="BG268" i="1" s="1"/>
  <c r="BE268" i="1"/>
  <c r="BR267" i="1"/>
  <c r="BO267" i="1"/>
  <c r="BN267" i="1"/>
  <c r="BM267" i="1"/>
  <c r="BL267" i="1"/>
  <c r="BK267" i="1"/>
  <c r="BH267" i="1"/>
  <c r="BJ267" i="1" s="1"/>
  <c r="BF267" i="1"/>
  <c r="BG267" i="1" s="1"/>
  <c r="BE267" i="1"/>
  <c r="BR266" i="1"/>
  <c r="BO266" i="1"/>
  <c r="BN266" i="1"/>
  <c r="BM266" i="1"/>
  <c r="BL266" i="1"/>
  <c r="BK266" i="1"/>
  <c r="BH266" i="1"/>
  <c r="BJ266" i="1" s="1"/>
  <c r="BF266" i="1"/>
  <c r="BG266" i="1" s="1"/>
  <c r="BE266" i="1"/>
  <c r="BR265" i="1"/>
  <c r="BO265" i="1"/>
  <c r="BN265" i="1"/>
  <c r="BM265" i="1"/>
  <c r="BL265" i="1"/>
  <c r="BK265" i="1"/>
  <c r="BH265" i="1"/>
  <c r="BJ265" i="1" s="1"/>
  <c r="BF265" i="1"/>
  <c r="BG265" i="1" s="1"/>
  <c r="BE265" i="1"/>
  <c r="BR264" i="1"/>
  <c r="BO264" i="1"/>
  <c r="BN264" i="1"/>
  <c r="BM264" i="1"/>
  <c r="BL264" i="1"/>
  <c r="BK264" i="1"/>
  <c r="BH264" i="1"/>
  <c r="BJ264" i="1" s="1"/>
  <c r="BF264" i="1"/>
  <c r="BG264" i="1" s="1"/>
  <c r="BE264" i="1"/>
  <c r="BR263" i="1"/>
  <c r="BO263" i="1"/>
  <c r="BN263" i="1"/>
  <c r="BM263" i="1"/>
  <c r="BL263" i="1"/>
  <c r="BK263" i="1"/>
  <c r="BH263" i="1"/>
  <c r="BJ263" i="1" s="1"/>
  <c r="BF263" i="1"/>
  <c r="BG263" i="1" s="1"/>
  <c r="BE263" i="1"/>
  <c r="BR262" i="1"/>
  <c r="BO262" i="1"/>
  <c r="BN262" i="1"/>
  <c r="BM262" i="1"/>
  <c r="BL262" i="1"/>
  <c r="BK262" i="1"/>
  <c r="BH262" i="1"/>
  <c r="BJ262" i="1" s="1"/>
  <c r="BF262" i="1"/>
  <c r="BG262" i="1" s="1"/>
  <c r="BE262" i="1"/>
  <c r="BR261" i="1"/>
  <c r="BO261" i="1"/>
  <c r="BN261" i="1"/>
  <c r="BM261" i="1"/>
  <c r="BL261" i="1"/>
  <c r="BK261" i="1"/>
  <c r="BH261" i="1"/>
  <c r="BJ261" i="1" s="1"/>
  <c r="BF261" i="1"/>
  <c r="BG261" i="1" s="1"/>
  <c r="BE261" i="1"/>
  <c r="BR260" i="1"/>
  <c r="BO260" i="1"/>
  <c r="BN260" i="1"/>
  <c r="BM260" i="1"/>
  <c r="BL260" i="1"/>
  <c r="BK260" i="1"/>
  <c r="BH260" i="1"/>
  <c r="BJ260" i="1" s="1"/>
  <c r="BF260" i="1"/>
  <c r="BG260" i="1" s="1"/>
  <c r="BE260" i="1"/>
  <c r="BR259" i="1"/>
  <c r="BO259" i="1"/>
  <c r="BN259" i="1"/>
  <c r="BM259" i="1"/>
  <c r="BL259" i="1"/>
  <c r="BK259" i="1"/>
  <c r="BH259" i="1"/>
  <c r="BF259" i="1"/>
  <c r="BG259" i="1" s="1"/>
  <c r="BE259" i="1"/>
  <c r="BR258" i="1"/>
  <c r="BO258" i="1"/>
  <c r="BN258" i="1"/>
  <c r="BM258" i="1"/>
  <c r="BL258" i="1"/>
  <c r="BK258" i="1"/>
  <c r="BH258" i="1"/>
  <c r="BJ258" i="1" s="1"/>
  <c r="BF258" i="1"/>
  <c r="BG258" i="1" s="1"/>
  <c r="BE258" i="1"/>
  <c r="BR257" i="1"/>
  <c r="BO257" i="1"/>
  <c r="BN257" i="1"/>
  <c r="BM257" i="1"/>
  <c r="BL257" i="1"/>
  <c r="BK257" i="1"/>
  <c r="BH257" i="1"/>
  <c r="BJ257" i="1" s="1"/>
  <c r="BF257" i="1"/>
  <c r="BG257" i="1" s="1"/>
  <c r="BE257" i="1"/>
  <c r="BR256" i="1"/>
  <c r="BO256" i="1"/>
  <c r="BN256" i="1"/>
  <c r="BM256" i="1"/>
  <c r="BL256" i="1"/>
  <c r="BK256" i="1"/>
  <c r="BH256" i="1"/>
  <c r="BJ256" i="1" s="1"/>
  <c r="BF256" i="1"/>
  <c r="BG256" i="1" s="1"/>
  <c r="BE256" i="1"/>
  <c r="BR255" i="1"/>
  <c r="BO255" i="1"/>
  <c r="BN255" i="1"/>
  <c r="BM255" i="1"/>
  <c r="BL255" i="1"/>
  <c r="BK255" i="1"/>
  <c r="BH255" i="1"/>
  <c r="BJ255" i="1" s="1"/>
  <c r="BF255" i="1"/>
  <c r="BG255" i="1" s="1"/>
  <c r="BE255" i="1"/>
  <c r="BR254" i="1"/>
  <c r="BO254" i="1"/>
  <c r="BN254" i="1"/>
  <c r="BM254" i="1"/>
  <c r="BL254" i="1"/>
  <c r="BK254" i="1"/>
  <c r="BH254" i="1"/>
  <c r="BJ254" i="1" s="1"/>
  <c r="BF254" i="1"/>
  <c r="BG254" i="1" s="1"/>
  <c r="BE254" i="1"/>
  <c r="BR253" i="1"/>
  <c r="BO253" i="1"/>
  <c r="BN253" i="1"/>
  <c r="BM253" i="1"/>
  <c r="BL253" i="1"/>
  <c r="BK253" i="1"/>
  <c r="BH253" i="1"/>
  <c r="BI253" i="1" s="1"/>
  <c r="BF253" i="1"/>
  <c r="BG253" i="1" s="1"/>
  <c r="BE253" i="1"/>
  <c r="BR252" i="1"/>
  <c r="BO252" i="1"/>
  <c r="BN252" i="1"/>
  <c r="BM252" i="1"/>
  <c r="BL252" i="1"/>
  <c r="BK252" i="1"/>
  <c r="BH252" i="1"/>
  <c r="BJ252" i="1" s="1"/>
  <c r="BF252" i="1"/>
  <c r="BG252" i="1" s="1"/>
  <c r="BE252" i="1"/>
  <c r="BR251" i="1"/>
  <c r="BO251" i="1"/>
  <c r="BN251" i="1"/>
  <c r="BM251" i="1"/>
  <c r="BL251" i="1"/>
  <c r="BK251" i="1"/>
  <c r="BH251" i="1"/>
  <c r="BI251" i="1" s="1"/>
  <c r="BF251" i="1"/>
  <c r="BG251" i="1" s="1"/>
  <c r="BE251" i="1"/>
  <c r="BR250" i="1"/>
  <c r="BO250" i="1"/>
  <c r="BN250" i="1"/>
  <c r="BM250" i="1"/>
  <c r="BL250" i="1"/>
  <c r="BK250" i="1"/>
  <c r="BH250" i="1"/>
  <c r="BJ250" i="1" s="1"/>
  <c r="BF250" i="1"/>
  <c r="BG250" i="1" s="1"/>
  <c r="BE250" i="1"/>
  <c r="BR249" i="1"/>
  <c r="BO249" i="1"/>
  <c r="BN249" i="1"/>
  <c r="BM249" i="1"/>
  <c r="BL249" i="1"/>
  <c r="BK249" i="1"/>
  <c r="BH249" i="1"/>
  <c r="BJ249" i="1" s="1"/>
  <c r="BF249" i="1"/>
  <c r="BG249" i="1" s="1"/>
  <c r="BE249" i="1"/>
  <c r="BR248" i="1"/>
  <c r="BO248" i="1"/>
  <c r="BN248" i="1"/>
  <c r="BM248" i="1"/>
  <c r="BL248" i="1"/>
  <c r="BK248" i="1"/>
  <c r="BH248" i="1"/>
  <c r="BJ248" i="1" s="1"/>
  <c r="BF248" i="1"/>
  <c r="BG248" i="1" s="1"/>
  <c r="BE248" i="1"/>
  <c r="BR247" i="1"/>
  <c r="BO247" i="1"/>
  <c r="BN247" i="1"/>
  <c r="BM247" i="1"/>
  <c r="BL247" i="1"/>
  <c r="BK247" i="1"/>
  <c r="BH247" i="1"/>
  <c r="BJ247" i="1" s="1"/>
  <c r="BF247" i="1"/>
  <c r="BG247" i="1" s="1"/>
  <c r="BE247" i="1"/>
  <c r="BR246" i="1"/>
  <c r="BO246" i="1"/>
  <c r="BN246" i="1"/>
  <c r="BM246" i="1"/>
  <c r="BL246" i="1"/>
  <c r="BK246" i="1"/>
  <c r="BH246" i="1"/>
  <c r="BJ246" i="1" s="1"/>
  <c r="BF246" i="1"/>
  <c r="BG246" i="1" s="1"/>
  <c r="BE246" i="1"/>
  <c r="BR245" i="1"/>
  <c r="BO245" i="1"/>
  <c r="BN245" i="1"/>
  <c r="BM245" i="1"/>
  <c r="BL245" i="1"/>
  <c r="BK245" i="1"/>
  <c r="BH245" i="1"/>
  <c r="BJ245" i="1" s="1"/>
  <c r="BF245" i="1"/>
  <c r="BG245" i="1" s="1"/>
  <c r="BE245" i="1"/>
  <c r="BR244" i="1"/>
  <c r="BO244" i="1"/>
  <c r="BN244" i="1"/>
  <c r="BM244" i="1"/>
  <c r="BL244" i="1"/>
  <c r="BK244" i="1"/>
  <c r="BH244" i="1"/>
  <c r="BJ244" i="1" s="1"/>
  <c r="BF244" i="1"/>
  <c r="BG244" i="1" s="1"/>
  <c r="BE244" i="1"/>
  <c r="BR243" i="1"/>
  <c r="BO243" i="1"/>
  <c r="BN243" i="1"/>
  <c r="BM243" i="1"/>
  <c r="BL243" i="1"/>
  <c r="BK243" i="1"/>
  <c r="BH243" i="1"/>
  <c r="BJ243" i="1" s="1"/>
  <c r="BF243" i="1"/>
  <c r="BG243" i="1" s="1"/>
  <c r="BE243" i="1"/>
  <c r="BR242" i="1"/>
  <c r="BO242" i="1"/>
  <c r="BN242" i="1"/>
  <c r="BM242" i="1"/>
  <c r="BL242" i="1"/>
  <c r="BK242" i="1"/>
  <c r="BH242" i="1"/>
  <c r="BJ242" i="1" s="1"/>
  <c r="BF242" i="1"/>
  <c r="BG242" i="1" s="1"/>
  <c r="BE242" i="1"/>
  <c r="BR241" i="1"/>
  <c r="BO241" i="1"/>
  <c r="BN241" i="1"/>
  <c r="BM241" i="1"/>
  <c r="BL241" i="1"/>
  <c r="BK241" i="1"/>
  <c r="BH241" i="1"/>
  <c r="BJ241" i="1" s="1"/>
  <c r="BF241" i="1"/>
  <c r="BG241" i="1" s="1"/>
  <c r="BE241" i="1"/>
  <c r="BR240" i="1"/>
  <c r="BO240" i="1"/>
  <c r="BN240" i="1"/>
  <c r="BM240" i="1"/>
  <c r="BL240" i="1"/>
  <c r="BK240" i="1"/>
  <c r="BH240" i="1"/>
  <c r="BJ240" i="1" s="1"/>
  <c r="BF240" i="1"/>
  <c r="BG240" i="1" s="1"/>
  <c r="BE240" i="1"/>
  <c r="BR239" i="1"/>
  <c r="BO239" i="1"/>
  <c r="BN239" i="1"/>
  <c r="BM239" i="1"/>
  <c r="BL239" i="1"/>
  <c r="BK239" i="1"/>
  <c r="BH239" i="1"/>
  <c r="BJ239" i="1" s="1"/>
  <c r="BF239" i="1"/>
  <c r="BG239" i="1" s="1"/>
  <c r="BE239" i="1"/>
  <c r="BR238" i="1"/>
  <c r="BO238" i="1"/>
  <c r="BN238" i="1"/>
  <c r="BM238" i="1"/>
  <c r="BL238" i="1"/>
  <c r="BK238" i="1"/>
  <c r="BH238" i="1"/>
  <c r="BJ238" i="1" s="1"/>
  <c r="BF238" i="1"/>
  <c r="BG238" i="1" s="1"/>
  <c r="BE238" i="1"/>
  <c r="BR237" i="1"/>
  <c r="BO237" i="1"/>
  <c r="BN237" i="1"/>
  <c r="BM237" i="1"/>
  <c r="BL237" i="1"/>
  <c r="BK237" i="1"/>
  <c r="BH237" i="1"/>
  <c r="BI237" i="1" s="1"/>
  <c r="BF237" i="1"/>
  <c r="BG237" i="1" s="1"/>
  <c r="BE237" i="1"/>
  <c r="BR236" i="1"/>
  <c r="BO236" i="1"/>
  <c r="BN236" i="1"/>
  <c r="BM236" i="1"/>
  <c r="BL236" i="1"/>
  <c r="BK236" i="1"/>
  <c r="BH236" i="1"/>
  <c r="BJ236" i="1" s="1"/>
  <c r="BF236" i="1"/>
  <c r="BG236" i="1" s="1"/>
  <c r="BE236" i="1"/>
  <c r="BR235" i="1"/>
  <c r="BO235" i="1"/>
  <c r="BN235" i="1"/>
  <c r="BM235" i="1"/>
  <c r="BL235" i="1"/>
  <c r="BK235" i="1"/>
  <c r="BH235" i="1"/>
  <c r="BJ235" i="1" s="1"/>
  <c r="BF235" i="1"/>
  <c r="BG235" i="1" s="1"/>
  <c r="BE235" i="1"/>
  <c r="BR234" i="1"/>
  <c r="BO234" i="1"/>
  <c r="BN234" i="1"/>
  <c r="BM234" i="1"/>
  <c r="BL234" i="1"/>
  <c r="BK234" i="1"/>
  <c r="BH234" i="1"/>
  <c r="BJ234" i="1" s="1"/>
  <c r="BF234" i="1"/>
  <c r="BG234" i="1" s="1"/>
  <c r="BE234" i="1"/>
  <c r="BR233" i="1"/>
  <c r="BO233" i="1"/>
  <c r="BN233" i="1"/>
  <c r="BM233" i="1"/>
  <c r="BL233" i="1"/>
  <c r="BK233" i="1"/>
  <c r="BH233" i="1"/>
  <c r="BJ233" i="1" s="1"/>
  <c r="BF233" i="1"/>
  <c r="BG233" i="1" s="1"/>
  <c r="BE233" i="1"/>
  <c r="BR232" i="1"/>
  <c r="BO232" i="1"/>
  <c r="BN232" i="1"/>
  <c r="BM232" i="1"/>
  <c r="BL232" i="1"/>
  <c r="BK232" i="1"/>
  <c r="BH232" i="1"/>
  <c r="BJ232" i="1" s="1"/>
  <c r="BF232" i="1"/>
  <c r="BG232" i="1" s="1"/>
  <c r="BE232" i="1"/>
  <c r="BR231" i="1"/>
  <c r="BO231" i="1"/>
  <c r="BN231" i="1"/>
  <c r="BM231" i="1"/>
  <c r="BL231" i="1"/>
  <c r="BK231" i="1"/>
  <c r="BH231" i="1"/>
  <c r="BI231" i="1" s="1"/>
  <c r="BF231" i="1"/>
  <c r="BG231" i="1" s="1"/>
  <c r="BE231" i="1"/>
  <c r="BR230" i="1"/>
  <c r="BO230" i="1"/>
  <c r="BN230" i="1"/>
  <c r="BM230" i="1"/>
  <c r="BL230" i="1"/>
  <c r="BK230" i="1"/>
  <c r="BH230" i="1"/>
  <c r="BJ230" i="1" s="1"/>
  <c r="BF230" i="1"/>
  <c r="BG230" i="1" s="1"/>
  <c r="BE230" i="1"/>
  <c r="BR229" i="1"/>
  <c r="BO229" i="1"/>
  <c r="BN229" i="1"/>
  <c r="BM229" i="1"/>
  <c r="BL229" i="1"/>
  <c r="BK229" i="1"/>
  <c r="BH229" i="1"/>
  <c r="BI229" i="1" s="1"/>
  <c r="BF229" i="1"/>
  <c r="BG229" i="1" s="1"/>
  <c r="BE229" i="1"/>
  <c r="BR228" i="1"/>
  <c r="BO228" i="1"/>
  <c r="BN228" i="1"/>
  <c r="BM228" i="1"/>
  <c r="BL228" i="1"/>
  <c r="BK228" i="1"/>
  <c r="BH228" i="1"/>
  <c r="BJ228" i="1" s="1"/>
  <c r="BF228" i="1"/>
  <c r="BG228" i="1" s="1"/>
  <c r="BE228" i="1"/>
  <c r="BR227" i="1"/>
  <c r="BO227" i="1"/>
  <c r="BN227" i="1"/>
  <c r="BM227" i="1"/>
  <c r="BL227" i="1"/>
  <c r="BK227" i="1"/>
  <c r="BH227" i="1"/>
  <c r="BI227" i="1" s="1"/>
  <c r="BF227" i="1"/>
  <c r="BG227" i="1" s="1"/>
  <c r="BE227" i="1"/>
  <c r="BR226" i="1"/>
  <c r="BO226" i="1"/>
  <c r="BN226" i="1"/>
  <c r="BM226" i="1"/>
  <c r="BL226" i="1"/>
  <c r="BK226" i="1"/>
  <c r="BH226" i="1"/>
  <c r="BJ226" i="1" s="1"/>
  <c r="BF226" i="1"/>
  <c r="BG226" i="1" s="1"/>
  <c r="BE226" i="1"/>
  <c r="BR225" i="1"/>
  <c r="BO225" i="1"/>
  <c r="BN225" i="1"/>
  <c r="BM225" i="1"/>
  <c r="BL225" i="1"/>
  <c r="BK225" i="1"/>
  <c r="BH225" i="1"/>
  <c r="BJ225" i="1" s="1"/>
  <c r="BF225" i="1"/>
  <c r="BG225" i="1" s="1"/>
  <c r="BE225" i="1"/>
  <c r="BR224" i="1"/>
  <c r="BO224" i="1"/>
  <c r="BN224" i="1"/>
  <c r="BM224" i="1"/>
  <c r="BL224" i="1"/>
  <c r="BK224" i="1"/>
  <c r="BH224" i="1"/>
  <c r="BJ224" i="1" s="1"/>
  <c r="BF224" i="1"/>
  <c r="BG224" i="1" s="1"/>
  <c r="BE224" i="1"/>
  <c r="BR223" i="1"/>
  <c r="BO223" i="1"/>
  <c r="BN223" i="1"/>
  <c r="BM223" i="1"/>
  <c r="BL223" i="1"/>
  <c r="BK223" i="1"/>
  <c r="BH223" i="1"/>
  <c r="BJ223" i="1" s="1"/>
  <c r="BF223" i="1"/>
  <c r="BG223" i="1" s="1"/>
  <c r="BE223" i="1"/>
  <c r="BR222" i="1"/>
  <c r="BO222" i="1"/>
  <c r="BN222" i="1"/>
  <c r="BM222" i="1"/>
  <c r="BL222" i="1"/>
  <c r="BK222" i="1"/>
  <c r="BH222" i="1"/>
  <c r="BJ222" i="1" s="1"/>
  <c r="BF222" i="1"/>
  <c r="BG222" i="1" s="1"/>
  <c r="BE222" i="1"/>
  <c r="BR221" i="1"/>
  <c r="BO221" i="1"/>
  <c r="BN221" i="1"/>
  <c r="BM221" i="1"/>
  <c r="BL221" i="1"/>
  <c r="BK221" i="1"/>
  <c r="BH221" i="1"/>
  <c r="BI221" i="1" s="1"/>
  <c r="BF221" i="1"/>
  <c r="BG221" i="1" s="1"/>
  <c r="BE221" i="1"/>
  <c r="BR220" i="1"/>
  <c r="BO220" i="1"/>
  <c r="BN220" i="1"/>
  <c r="BM220" i="1"/>
  <c r="BL220" i="1"/>
  <c r="BK220" i="1"/>
  <c r="BH220" i="1"/>
  <c r="BJ220" i="1" s="1"/>
  <c r="BF220" i="1"/>
  <c r="BG220" i="1" s="1"/>
  <c r="BE220" i="1"/>
  <c r="BR219" i="1"/>
  <c r="BO219" i="1"/>
  <c r="BN219" i="1"/>
  <c r="BM219" i="1"/>
  <c r="BL219" i="1"/>
  <c r="BK219" i="1"/>
  <c r="BH219" i="1"/>
  <c r="BJ219" i="1" s="1"/>
  <c r="BF219" i="1"/>
  <c r="BG219" i="1" s="1"/>
  <c r="BE219" i="1"/>
  <c r="BR218" i="1"/>
  <c r="BO218" i="1"/>
  <c r="BN218" i="1"/>
  <c r="BM218" i="1"/>
  <c r="BL218" i="1"/>
  <c r="BK218" i="1"/>
  <c r="BH218" i="1"/>
  <c r="BJ218" i="1" s="1"/>
  <c r="BF218" i="1"/>
  <c r="BG218" i="1" s="1"/>
  <c r="BE218" i="1"/>
  <c r="BR217" i="1"/>
  <c r="BO217" i="1"/>
  <c r="BN217" i="1"/>
  <c r="BM217" i="1"/>
  <c r="BL217" i="1"/>
  <c r="BK217" i="1"/>
  <c r="BH217" i="1"/>
  <c r="BJ217" i="1" s="1"/>
  <c r="BF217" i="1"/>
  <c r="BG217" i="1" s="1"/>
  <c r="BE217" i="1"/>
  <c r="BR216" i="1"/>
  <c r="BO216" i="1"/>
  <c r="BN216" i="1"/>
  <c r="BM216" i="1"/>
  <c r="BL216" i="1"/>
  <c r="BK216" i="1"/>
  <c r="BH216" i="1"/>
  <c r="BJ216" i="1" s="1"/>
  <c r="BF216" i="1"/>
  <c r="BG216" i="1" s="1"/>
  <c r="BE216" i="1"/>
  <c r="BR215" i="1"/>
  <c r="BO215" i="1"/>
  <c r="BN215" i="1"/>
  <c r="BM215" i="1"/>
  <c r="BL215" i="1"/>
  <c r="BK215" i="1"/>
  <c r="BH215" i="1"/>
  <c r="BJ215" i="1" s="1"/>
  <c r="BF215" i="1"/>
  <c r="BG215" i="1" s="1"/>
  <c r="BE215" i="1"/>
  <c r="BR214" i="1"/>
  <c r="BO214" i="1"/>
  <c r="BH214" i="1"/>
  <c r="BF214" i="1"/>
  <c r="BG214" i="1" s="1"/>
  <c r="BE214" i="1"/>
  <c r="BR213" i="1"/>
  <c r="BO213" i="1"/>
  <c r="BH213" i="1"/>
  <c r="BI213" i="1" s="1"/>
  <c r="BJ213" i="1" s="1"/>
  <c r="BF213" i="1"/>
  <c r="BG213" i="1" s="1"/>
  <c r="BE213" i="1"/>
  <c r="BR212" i="1"/>
  <c r="BO212" i="1"/>
  <c r="BH212" i="1"/>
  <c r="BF212" i="1"/>
  <c r="BG212" i="1" s="1"/>
  <c r="BE212" i="1"/>
  <c r="BR211" i="1"/>
  <c r="BO211" i="1"/>
  <c r="BH211" i="1"/>
  <c r="BI211" i="1" s="1"/>
  <c r="BJ211" i="1" s="1"/>
  <c r="BF211" i="1"/>
  <c r="BG211" i="1" s="1"/>
  <c r="BE211" i="1"/>
  <c r="BR210" i="1"/>
  <c r="BO210" i="1"/>
  <c r="BH210" i="1"/>
  <c r="BF210" i="1"/>
  <c r="BG210" i="1" s="1"/>
  <c r="BE210" i="1"/>
  <c r="BR209" i="1"/>
  <c r="BO209" i="1"/>
  <c r="BH209" i="1"/>
  <c r="BF209" i="1"/>
  <c r="BG209" i="1" s="1"/>
  <c r="BE209" i="1"/>
  <c r="BR208" i="1"/>
  <c r="BO208" i="1"/>
  <c r="BH208" i="1"/>
  <c r="BF208" i="1"/>
  <c r="BG208" i="1" s="1"/>
  <c r="BE208" i="1"/>
  <c r="BR207" i="1"/>
  <c r="BO207" i="1"/>
  <c r="BH207" i="1"/>
  <c r="BF207" i="1"/>
  <c r="BG207" i="1" s="1"/>
  <c r="BE207" i="1"/>
  <c r="BR206" i="1"/>
  <c r="BO206" i="1"/>
  <c r="BH206" i="1"/>
  <c r="BF206" i="1"/>
  <c r="BG206" i="1" s="1"/>
  <c r="BE206" i="1"/>
  <c r="BR205" i="1"/>
  <c r="BO205" i="1"/>
  <c r="BH205" i="1"/>
  <c r="BF205" i="1"/>
  <c r="BG205" i="1" s="1"/>
  <c r="BE205" i="1"/>
  <c r="BR204" i="1"/>
  <c r="BO204" i="1"/>
  <c r="BH204" i="1"/>
  <c r="BF204" i="1"/>
  <c r="BG204" i="1" s="1"/>
  <c r="BE204" i="1"/>
  <c r="BR203" i="1"/>
  <c r="BO203" i="1"/>
  <c r="BH203" i="1"/>
  <c r="BI203" i="1" s="1"/>
  <c r="BJ203" i="1" s="1"/>
  <c r="BF203" i="1"/>
  <c r="BG203" i="1" s="1"/>
  <c r="BE203" i="1"/>
  <c r="BR202" i="1"/>
  <c r="BO202" i="1"/>
  <c r="BH202" i="1"/>
  <c r="BF202" i="1"/>
  <c r="BG202" i="1" s="1"/>
  <c r="BE202" i="1"/>
  <c r="BR201" i="1"/>
  <c r="BO201" i="1"/>
  <c r="BH201" i="1"/>
  <c r="BI201" i="1" s="1"/>
  <c r="BJ201" i="1" s="1"/>
  <c r="BF201" i="1"/>
  <c r="BG201" i="1" s="1"/>
  <c r="BE201" i="1"/>
  <c r="BR200" i="1"/>
  <c r="BO200" i="1"/>
  <c r="BH200" i="1"/>
  <c r="BF200" i="1"/>
  <c r="BG200" i="1" s="1"/>
  <c r="BE200" i="1"/>
  <c r="BR199" i="1"/>
  <c r="BO199" i="1"/>
  <c r="BH199" i="1"/>
  <c r="BF199" i="1"/>
  <c r="BG199" i="1" s="1"/>
  <c r="BE199" i="1"/>
  <c r="BR198" i="1"/>
  <c r="BO198" i="1"/>
  <c r="BH198" i="1"/>
  <c r="BF198" i="1"/>
  <c r="BG198" i="1" s="1"/>
  <c r="BE198" i="1"/>
  <c r="BR197" i="1"/>
  <c r="BO197" i="1"/>
  <c r="BH197" i="1"/>
  <c r="BI197" i="1" s="1"/>
  <c r="BJ197" i="1" s="1"/>
  <c r="BF197" i="1"/>
  <c r="BG197" i="1" s="1"/>
  <c r="BE197" i="1"/>
  <c r="BR196" i="1"/>
  <c r="BO196" i="1"/>
  <c r="BH196" i="1"/>
  <c r="BF196" i="1"/>
  <c r="BG196" i="1" s="1"/>
  <c r="BE196" i="1"/>
  <c r="BR195" i="1"/>
  <c r="BO195" i="1"/>
  <c r="BH195" i="1"/>
  <c r="BI195" i="1" s="1"/>
  <c r="BF195" i="1"/>
  <c r="BG195" i="1" s="1"/>
  <c r="BE195" i="1"/>
  <c r="BR194" i="1"/>
  <c r="BO194" i="1"/>
  <c r="BH194" i="1"/>
  <c r="BF194" i="1"/>
  <c r="BG194" i="1" s="1"/>
  <c r="BE194" i="1"/>
  <c r="BR193" i="1"/>
  <c r="BO193" i="1"/>
  <c r="BH193" i="1"/>
  <c r="BI193" i="1" s="1"/>
  <c r="BJ193" i="1" s="1"/>
  <c r="BF193" i="1"/>
  <c r="BG193" i="1" s="1"/>
  <c r="BE193" i="1"/>
  <c r="BR192" i="1"/>
  <c r="BO192" i="1"/>
  <c r="BH192" i="1"/>
  <c r="BF192" i="1"/>
  <c r="BG192" i="1" s="1"/>
  <c r="BE192" i="1"/>
  <c r="BR191" i="1"/>
  <c r="BO191" i="1"/>
  <c r="BH191" i="1"/>
  <c r="BF191" i="1"/>
  <c r="BG191" i="1" s="1"/>
  <c r="BE191" i="1"/>
  <c r="BR190" i="1"/>
  <c r="BO190" i="1"/>
  <c r="BH190" i="1"/>
  <c r="BF190" i="1"/>
  <c r="BG190" i="1" s="1"/>
  <c r="BE190" i="1"/>
  <c r="BR189" i="1"/>
  <c r="BO189" i="1"/>
  <c r="BH189" i="1"/>
  <c r="BI189" i="1" s="1"/>
  <c r="BF189" i="1"/>
  <c r="BG189" i="1" s="1"/>
  <c r="BE189" i="1"/>
  <c r="BR188" i="1"/>
  <c r="BO188" i="1"/>
  <c r="BH188" i="1"/>
  <c r="BF188" i="1"/>
  <c r="BG188" i="1" s="1"/>
  <c r="BE188" i="1"/>
  <c r="BR187" i="1"/>
  <c r="BO187" i="1"/>
  <c r="BH187" i="1"/>
  <c r="BI187" i="1" s="1"/>
  <c r="BJ187" i="1" s="1"/>
  <c r="BF187" i="1"/>
  <c r="BG187" i="1" s="1"/>
  <c r="BE187" i="1"/>
  <c r="BR186" i="1"/>
  <c r="BO186" i="1"/>
  <c r="BH186" i="1"/>
  <c r="BF186" i="1"/>
  <c r="BG186" i="1" s="1"/>
  <c r="BE186" i="1"/>
  <c r="BR185" i="1"/>
  <c r="BO185" i="1"/>
  <c r="BH185" i="1"/>
  <c r="BI185" i="1" s="1"/>
  <c r="BJ185" i="1" s="1"/>
  <c r="BF185" i="1"/>
  <c r="BG185" i="1" s="1"/>
  <c r="BE185" i="1"/>
  <c r="BR184" i="1"/>
  <c r="BO184" i="1"/>
  <c r="BH184" i="1"/>
  <c r="BF184" i="1"/>
  <c r="BG184" i="1" s="1"/>
  <c r="BE184" i="1"/>
  <c r="BR183" i="1"/>
  <c r="BO183" i="1"/>
  <c r="BH183" i="1"/>
  <c r="BF183" i="1"/>
  <c r="BG183" i="1" s="1"/>
  <c r="BE183" i="1"/>
  <c r="BR182" i="1"/>
  <c r="BO182" i="1"/>
  <c r="BH182" i="1"/>
  <c r="BF182" i="1"/>
  <c r="BE182" i="1"/>
  <c r="BR181" i="1"/>
  <c r="BO181" i="1"/>
  <c r="BH181" i="1"/>
  <c r="BI181" i="1" s="1"/>
  <c r="BJ181" i="1" s="1"/>
  <c r="BF181" i="1"/>
  <c r="BG181" i="1" s="1"/>
  <c r="BE181" i="1"/>
  <c r="BR180" i="1"/>
  <c r="BO180" i="1"/>
  <c r="BH180" i="1"/>
  <c r="BF180" i="1"/>
  <c r="BE180" i="1"/>
  <c r="BR179" i="1"/>
  <c r="BO179" i="1"/>
  <c r="BH179" i="1"/>
  <c r="BI179" i="1" s="1"/>
  <c r="BF179" i="1"/>
  <c r="BG179" i="1" s="1"/>
  <c r="BE179" i="1"/>
  <c r="BR178" i="1"/>
  <c r="BO178" i="1"/>
  <c r="BH178" i="1"/>
  <c r="BF178" i="1"/>
  <c r="BE178" i="1"/>
  <c r="BR177" i="1"/>
  <c r="BO177" i="1"/>
  <c r="BH177" i="1"/>
  <c r="BI177" i="1" s="1"/>
  <c r="BJ177" i="1" s="1"/>
  <c r="BF177" i="1"/>
  <c r="BG177" i="1" s="1"/>
  <c r="BE177" i="1"/>
  <c r="BR176" i="1"/>
  <c r="BO176" i="1"/>
  <c r="BH176" i="1"/>
  <c r="BF176" i="1"/>
  <c r="BG176" i="1" s="1"/>
  <c r="BE176" i="1"/>
  <c r="BR175" i="1"/>
  <c r="BO175" i="1"/>
  <c r="BH175" i="1"/>
  <c r="BI175" i="1" s="1"/>
  <c r="BJ175" i="1" s="1"/>
  <c r="BF175" i="1"/>
  <c r="BG175" i="1" s="1"/>
  <c r="BE175" i="1"/>
  <c r="BR174" i="1"/>
  <c r="BO174" i="1"/>
  <c r="BH174" i="1"/>
  <c r="BF174" i="1"/>
  <c r="BE174" i="1"/>
  <c r="BR173" i="1"/>
  <c r="BO173" i="1"/>
  <c r="BH173" i="1"/>
  <c r="BI173" i="1" s="1"/>
  <c r="BJ173" i="1" s="1"/>
  <c r="BF173" i="1"/>
  <c r="BG173" i="1" s="1"/>
  <c r="BE173" i="1"/>
  <c r="BR172" i="1"/>
  <c r="BO172" i="1"/>
  <c r="BH172" i="1"/>
  <c r="BF172" i="1"/>
  <c r="BG172" i="1" s="1"/>
  <c r="BE172" i="1"/>
  <c r="BR171" i="1"/>
  <c r="BO171" i="1"/>
  <c r="BH171" i="1"/>
  <c r="BF171" i="1"/>
  <c r="BG171" i="1" s="1"/>
  <c r="BE171" i="1"/>
  <c r="BR170" i="1"/>
  <c r="BO170" i="1"/>
  <c r="BH170" i="1"/>
  <c r="BF170" i="1"/>
  <c r="BG170" i="1" s="1"/>
  <c r="BE170" i="1"/>
  <c r="BR169" i="1"/>
  <c r="BO169" i="1"/>
  <c r="BH169" i="1"/>
  <c r="BI169" i="1" s="1"/>
  <c r="BJ169" i="1" s="1"/>
  <c r="BF169" i="1"/>
  <c r="BG169" i="1" s="1"/>
  <c r="BE169" i="1"/>
  <c r="BR168" i="1"/>
  <c r="BO168" i="1"/>
  <c r="BH168" i="1"/>
  <c r="BF168" i="1"/>
  <c r="BE168" i="1"/>
  <c r="BR167" i="1"/>
  <c r="BO167" i="1"/>
  <c r="BH167" i="1"/>
  <c r="BI167" i="1" s="1"/>
  <c r="BJ167" i="1" s="1"/>
  <c r="BF167" i="1"/>
  <c r="BG167" i="1" s="1"/>
  <c r="BE167" i="1"/>
  <c r="BR166" i="1"/>
  <c r="BO166" i="1"/>
  <c r="BH166" i="1"/>
  <c r="BF166" i="1"/>
  <c r="BE166" i="1"/>
  <c r="BR165" i="1"/>
  <c r="BO165" i="1"/>
  <c r="BH165" i="1"/>
  <c r="BF165" i="1"/>
  <c r="BG165" i="1" s="1"/>
  <c r="BE165" i="1"/>
  <c r="BR164" i="1"/>
  <c r="BO164" i="1"/>
  <c r="BH164" i="1"/>
  <c r="BF164" i="1"/>
  <c r="BG164" i="1" s="1"/>
  <c r="BE164" i="1"/>
  <c r="BR163" i="1"/>
  <c r="BO163" i="1"/>
  <c r="BH163" i="1"/>
  <c r="BI163" i="1" s="1"/>
  <c r="BJ163" i="1" s="1"/>
  <c r="BF163" i="1"/>
  <c r="BG163" i="1" s="1"/>
  <c r="BE163" i="1"/>
  <c r="BR162" i="1"/>
  <c r="BO162" i="1"/>
  <c r="BH162" i="1"/>
  <c r="BF162" i="1"/>
  <c r="BG162" i="1" s="1"/>
  <c r="BE162" i="1"/>
  <c r="BR161" i="1"/>
  <c r="BO161" i="1"/>
  <c r="BH161" i="1"/>
  <c r="BF161" i="1"/>
  <c r="BG161" i="1" s="1"/>
  <c r="BE161" i="1"/>
  <c r="BR160" i="1"/>
  <c r="BO160" i="1"/>
  <c r="BH160" i="1"/>
  <c r="BF160" i="1"/>
  <c r="BG160" i="1" s="1"/>
  <c r="BE160" i="1"/>
  <c r="BR159" i="1"/>
  <c r="BO159" i="1"/>
  <c r="BH159" i="1"/>
  <c r="BF159" i="1"/>
  <c r="BG159" i="1" s="1"/>
  <c r="BE159" i="1"/>
  <c r="BR158" i="1"/>
  <c r="BO158" i="1"/>
  <c r="BH158" i="1"/>
  <c r="BF158" i="1"/>
  <c r="BE158" i="1"/>
  <c r="BR157" i="1"/>
  <c r="BO157" i="1"/>
  <c r="BH157" i="1"/>
  <c r="BI157" i="1" s="1"/>
  <c r="BJ157" i="1" s="1"/>
  <c r="BF157" i="1"/>
  <c r="BG157" i="1" s="1"/>
  <c r="BE157" i="1"/>
  <c r="BR156" i="1"/>
  <c r="BO156" i="1"/>
  <c r="BH156" i="1"/>
  <c r="BF156" i="1"/>
  <c r="BG156" i="1" s="1"/>
  <c r="BE156" i="1"/>
  <c r="BR155" i="1"/>
  <c r="BO155" i="1"/>
  <c r="BH155" i="1"/>
  <c r="BI155" i="1" s="1"/>
  <c r="BJ155" i="1" s="1"/>
  <c r="BF155" i="1"/>
  <c r="BG155" i="1" s="1"/>
  <c r="BE155" i="1"/>
  <c r="BR154" i="1"/>
  <c r="BO154" i="1"/>
  <c r="BH154" i="1"/>
  <c r="BF154" i="1"/>
  <c r="BG154" i="1" s="1"/>
  <c r="BE154" i="1"/>
  <c r="BR153" i="1"/>
  <c r="BO153" i="1"/>
  <c r="BH153" i="1"/>
  <c r="BI153" i="1" s="1"/>
  <c r="BJ153" i="1" s="1"/>
  <c r="BF153" i="1"/>
  <c r="BG153" i="1" s="1"/>
  <c r="BE153" i="1"/>
  <c r="BR152" i="1"/>
  <c r="BO152" i="1"/>
  <c r="BH152" i="1"/>
  <c r="BF152" i="1"/>
  <c r="BE152" i="1"/>
  <c r="BR151" i="1"/>
  <c r="BO151" i="1"/>
  <c r="BH151" i="1"/>
  <c r="BF151" i="1"/>
  <c r="BG151" i="1" s="1"/>
  <c r="BE151" i="1"/>
  <c r="BR150" i="1"/>
  <c r="BO150" i="1"/>
  <c r="BH150" i="1"/>
  <c r="BF150" i="1"/>
  <c r="BG150" i="1" s="1"/>
  <c r="BE150" i="1"/>
  <c r="BR149" i="1"/>
  <c r="BO149" i="1"/>
  <c r="BH149" i="1"/>
  <c r="BI149" i="1" s="1"/>
  <c r="BJ149" i="1" s="1"/>
  <c r="BF149" i="1"/>
  <c r="BG149" i="1" s="1"/>
  <c r="BE149" i="1"/>
  <c r="BR148" i="1"/>
  <c r="BO148" i="1"/>
  <c r="BH148" i="1"/>
  <c r="BF148" i="1"/>
  <c r="BG148" i="1" s="1"/>
  <c r="BE148" i="1"/>
  <c r="BR147" i="1"/>
  <c r="BO147" i="1"/>
  <c r="BH147" i="1"/>
  <c r="BI147" i="1" s="1"/>
  <c r="BJ147" i="1" s="1"/>
  <c r="BF147" i="1"/>
  <c r="BG147" i="1" s="1"/>
  <c r="BE147" i="1"/>
  <c r="BR146" i="1"/>
  <c r="BO146" i="1"/>
  <c r="BH146" i="1"/>
  <c r="BF146" i="1"/>
  <c r="BG146" i="1" s="1"/>
  <c r="BE146" i="1"/>
  <c r="BR145" i="1"/>
  <c r="BO145" i="1"/>
  <c r="BH145" i="1"/>
  <c r="BF145" i="1"/>
  <c r="BG145" i="1" s="1"/>
  <c r="BE145" i="1"/>
  <c r="BR144" i="1"/>
  <c r="BO144" i="1"/>
  <c r="BH144" i="1"/>
  <c r="BF144" i="1"/>
  <c r="BE144" i="1"/>
  <c r="BR143" i="1"/>
  <c r="BO143" i="1"/>
  <c r="BH143" i="1"/>
  <c r="BI143" i="1" s="1"/>
  <c r="BJ143" i="1" s="1"/>
  <c r="BF143" i="1"/>
  <c r="BG143" i="1" s="1"/>
  <c r="BE143" i="1"/>
  <c r="BR142" i="1"/>
  <c r="BO142" i="1"/>
  <c r="BH142" i="1"/>
  <c r="BF142" i="1"/>
  <c r="BG142" i="1" s="1"/>
  <c r="BE142" i="1"/>
  <c r="BR141" i="1"/>
  <c r="BO141" i="1"/>
  <c r="BH141" i="1"/>
  <c r="BF141" i="1"/>
  <c r="BG141" i="1" s="1"/>
  <c r="BE141" i="1"/>
  <c r="BR140" i="1"/>
  <c r="BO140" i="1"/>
  <c r="BH140" i="1"/>
  <c r="BF140" i="1"/>
  <c r="BG140" i="1" s="1"/>
  <c r="BE140" i="1"/>
  <c r="BR139" i="1"/>
  <c r="BO139" i="1"/>
  <c r="BH139" i="1"/>
  <c r="BI139" i="1" s="1"/>
  <c r="BF139" i="1"/>
  <c r="BG139" i="1" s="1"/>
  <c r="BE139" i="1"/>
  <c r="BR138" i="1"/>
  <c r="BO138" i="1"/>
  <c r="BH138" i="1"/>
  <c r="BF138" i="1"/>
  <c r="BG138" i="1" s="1"/>
  <c r="BE138" i="1"/>
  <c r="BR137" i="1"/>
  <c r="BO137" i="1"/>
  <c r="BH137" i="1"/>
  <c r="BI137" i="1" s="1"/>
  <c r="BJ137" i="1" s="1"/>
  <c r="BF137" i="1"/>
  <c r="BG137" i="1" s="1"/>
  <c r="BE137" i="1"/>
  <c r="BR136" i="1"/>
  <c r="BO136" i="1"/>
  <c r="BH136" i="1"/>
  <c r="BF136" i="1"/>
  <c r="BE136" i="1"/>
  <c r="BR135" i="1"/>
  <c r="BO135" i="1"/>
  <c r="BH135" i="1"/>
  <c r="BF135" i="1"/>
  <c r="BG135" i="1" s="1"/>
  <c r="BE135" i="1"/>
  <c r="BR134" i="1"/>
  <c r="BO134" i="1"/>
  <c r="BH134" i="1"/>
  <c r="BF134" i="1"/>
  <c r="BG134" i="1" s="1"/>
  <c r="BE134" i="1"/>
  <c r="BR133" i="1"/>
  <c r="BO133" i="1"/>
  <c r="BH133" i="1"/>
  <c r="BI133" i="1" s="1"/>
  <c r="BJ133" i="1" s="1"/>
  <c r="BF133" i="1"/>
  <c r="BG133" i="1" s="1"/>
  <c r="BE133" i="1"/>
  <c r="BR132" i="1"/>
  <c r="BO132" i="1"/>
  <c r="BH132" i="1"/>
  <c r="BF132" i="1"/>
  <c r="BG132" i="1" s="1"/>
  <c r="BE132" i="1"/>
  <c r="BR131" i="1"/>
  <c r="BO131" i="1"/>
  <c r="BH131" i="1"/>
  <c r="BI131" i="1" s="1"/>
  <c r="BF131" i="1"/>
  <c r="BG131" i="1" s="1"/>
  <c r="BE131" i="1"/>
  <c r="BR130" i="1"/>
  <c r="BO130" i="1"/>
  <c r="BH130" i="1"/>
  <c r="BF130" i="1"/>
  <c r="BG130" i="1" s="1"/>
  <c r="BE130" i="1"/>
  <c r="BR129" i="1"/>
  <c r="BO129" i="1"/>
  <c r="BH129" i="1"/>
  <c r="BI129" i="1" s="1"/>
  <c r="BJ129" i="1" s="1"/>
  <c r="BF129" i="1"/>
  <c r="BG129" i="1" s="1"/>
  <c r="BE129" i="1"/>
  <c r="BR128" i="1"/>
  <c r="BO128" i="1"/>
  <c r="BH128" i="1"/>
  <c r="BF128" i="1"/>
  <c r="BG128" i="1" s="1"/>
  <c r="BE128" i="1"/>
  <c r="BR127" i="1"/>
  <c r="BO127" i="1"/>
  <c r="BH127" i="1"/>
  <c r="BI127" i="1" s="1"/>
  <c r="BF127" i="1"/>
  <c r="BG127" i="1" s="1"/>
  <c r="BE127" i="1"/>
  <c r="BR126" i="1"/>
  <c r="BO126" i="1"/>
  <c r="BH126" i="1"/>
  <c r="BF126" i="1"/>
  <c r="BG126" i="1" s="1"/>
  <c r="BE126" i="1"/>
  <c r="BR125" i="1"/>
  <c r="BO125" i="1"/>
  <c r="BH125" i="1"/>
  <c r="BI125" i="1" s="1"/>
  <c r="BF125" i="1"/>
  <c r="BG125" i="1" s="1"/>
  <c r="BE125" i="1"/>
  <c r="BR124" i="1"/>
  <c r="BO124" i="1"/>
  <c r="BH124" i="1"/>
  <c r="BF124" i="1"/>
  <c r="BE124" i="1"/>
  <c r="BR123" i="1"/>
  <c r="BO123" i="1"/>
  <c r="BH123" i="1"/>
  <c r="BI123" i="1" s="1"/>
  <c r="BJ123" i="1" s="1"/>
  <c r="BF123" i="1"/>
  <c r="BG123" i="1" s="1"/>
  <c r="BE123" i="1"/>
  <c r="BR122" i="1"/>
  <c r="BO122" i="1"/>
  <c r="BH122" i="1"/>
  <c r="BF122" i="1"/>
  <c r="BG122" i="1" s="1"/>
  <c r="BE122" i="1"/>
  <c r="BR121" i="1"/>
  <c r="BO121" i="1"/>
  <c r="BH121" i="1"/>
  <c r="BI121" i="1" s="1"/>
  <c r="BJ121" i="1" s="1"/>
  <c r="BF121" i="1"/>
  <c r="BG121" i="1" s="1"/>
  <c r="BE121" i="1"/>
  <c r="BR120" i="1"/>
  <c r="BO120" i="1"/>
  <c r="BH120" i="1"/>
  <c r="BF120" i="1"/>
  <c r="BG120" i="1" s="1"/>
  <c r="BE120" i="1"/>
  <c r="BR119" i="1"/>
  <c r="BO119" i="1"/>
  <c r="BH119" i="1"/>
  <c r="BI119" i="1" s="1"/>
  <c r="BF119" i="1"/>
  <c r="BG119" i="1" s="1"/>
  <c r="BE119" i="1"/>
  <c r="BR118" i="1"/>
  <c r="BO118" i="1"/>
  <c r="BH118" i="1"/>
  <c r="BF118" i="1"/>
  <c r="BG118" i="1" s="1"/>
  <c r="BE118" i="1"/>
  <c r="BR117" i="1"/>
  <c r="BO117" i="1"/>
  <c r="BH117" i="1"/>
  <c r="BI117" i="1" s="1"/>
  <c r="BF117" i="1"/>
  <c r="BG117" i="1" s="1"/>
  <c r="BE117" i="1"/>
  <c r="BR116" i="1"/>
  <c r="BO116" i="1"/>
  <c r="BH116" i="1"/>
  <c r="BF116" i="1"/>
  <c r="BG116" i="1" s="1"/>
  <c r="BE116" i="1"/>
  <c r="BR115" i="1"/>
  <c r="BO115" i="1"/>
  <c r="BH115" i="1"/>
  <c r="BI115" i="1" s="1"/>
  <c r="BF115" i="1"/>
  <c r="BG115" i="1" s="1"/>
  <c r="BE115" i="1"/>
  <c r="BR114" i="1"/>
  <c r="BO114" i="1"/>
  <c r="BH114" i="1"/>
  <c r="BF114" i="1"/>
  <c r="BG114" i="1" s="1"/>
  <c r="BE114" i="1"/>
  <c r="BR113" i="1"/>
  <c r="BO113" i="1"/>
  <c r="BH113" i="1"/>
  <c r="BI113" i="1" s="1"/>
  <c r="BJ113" i="1" s="1"/>
  <c r="BF113" i="1"/>
  <c r="BG113" i="1" s="1"/>
  <c r="BE113" i="1"/>
  <c r="BR112" i="1"/>
  <c r="BO112" i="1"/>
  <c r="BH112" i="1"/>
  <c r="BF112" i="1"/>
  <c r="BG112" i="1" s="1"/>
  <c r="BE112" i="1"/>
  <c r="BR111" i="1"/>
  <c r="BO111" i="1"/>
  <c r="BH111" i="1"/>
  <c r="BI111" i="1" s="1"/>
  <c r="BF111" i="1"/>
  <c r="BG111" i="1" s="1"/>
  <c r="BE111" i="1"/>
  <c r="BR110" i="1"/>
  <c r="BO110" i="1"/>
  <c r="BH110" i="1"/>
  <c r="BF110" i="1"/>
  <c r="BG110" i="1" s="1"/>
  <c r="BE110" i="1"/>
  <c r="BR109" i="1"/>
  <c r="BO109" i="1"/>
  <c r="BH109" i="1"/>
  <c r="BI109" i="1" s="1"/>
  <c r="BF109" i="1"/>
  <c r="BG109" i="1" s="1"/>
  <c r="BE109" i="1"/>
  <c r="BR108" i="1"/>
  <c r="BO108" i="1"/>
  <c r="BH108" i="1"/>
  <c r="BF108" i="1"/>
  <c r="BE108" i="1"/>
  <c r="BR107" i="1"/>
  <c r="BO107" i="1"/>
  <c r="BH107" i="1"/>
  <c r="BI107" i="1" s="1"/>
  <c r="BJ107" i="1" s="1"/>
  <c r="BF107" i="1"/>
  <c r="BG107" i="1" s="1"/>
  <c r="BE107" i="1"/>
  <c r="BR106" i="1"/>
  <c r="BO106" i="1"/>
  <c r="BH106" i="1"/>
  <c r="BF106" i="1"/>
  <c r="BG106" i="1" s="1"/>
  <c r="BE106" i="1"/>
  <c r="BR105" i="1"/>
  <c r="BO105" i="1"/>
  <c r="BH105" i="1"/>
  <c r="BI105" i="1" s="1"/>
  <c r="BF105" i="1"/>
  <c r="BG105" i="1" s="1"/>
  <c r="BE105" i="1"/>
  <c r="BR104" i="1"/>
  <c r="BO104" i="1"/>
  <c r="BH104" i="1"/>
  <c r="BF104" i="1"/>
  <c r="BG104" i="1" s="1"/>
  <c r="BE104" i="1"/>
  <c r="BR103" i="1"/>
  <c r="BO103" i="1"/>
  <c r="BH103" i="1"/>
  <c r="BI103" i="1" s="1"/>
  <c r="BF103" i="1"/>
  <c r="BG103" i="1" s="1"/>
  <c r="BE103" i="1"/>
  <c r="BR102" i="1"/>
  <c r="BO102" i="1"/>
  <c r="BH102" i="1"/>
  <c r="BF102" i="1"/>
  <c r="BG102" i="1" s="1"/>
  <c r="BE102" i="1"/>
  <c r="BR101" i="1"/>
  <c r="BO101" i="1"/>
  <c r="BH101" i="1"/>
  <c r="BI101" i="1" s="1"/>
  <c r="BF101" i="1"/>
  <c r="BG101" i="1" s="1"/>
  <c r="BE101" i="1"/>
  <c r="BR100" i="1"/>
  <c r="BO100" i="1"/>
  <c r="BH100" i="1"/>
  <c r="BF100" i="1"/>
  <c r="BG100" i="1" s="1"/>
  <c r="BE100" i="1"/>
  <c r="BR99" i="1"/>
  <c r="BO99" i="1"/>
  <c r="BH99" i="1"/>
  <c r="BI99" i="1" s="1"/>
  <c r="BF99" i="1"/>
  <c r="BG99" i="1" s="1"/>
  <c r="BE99" i="1"/>
  <c r="BR98" i="1"/>
  <c r="BO98" i="1"/>
  <c r="BH98" i="1"/>
  <c r="BF98" i="1"/>
  <c r="BE98" i="1"/>
  <c r="BR97" i="1"/>
  <c r="BO97" i="1"/>
  <c r="BH97" i="1"/>
  <c r="BI97" i="1" s="1"/>
  <c r="BF97" i="1"/>
  <c r="BG97" i="1" s="1"/>
  <c r="BE97" i="1"/>
  <c r="BR96" i="1"/>
  <c r="BO96" i="1"/>
  <c r="BH96" i="1"/>
  <c r="BF96" i="1"/>
  <c r="BG96" i="1" s="1"/>
  <c r="BE96" i="1"/>
  <c r="BR95" i="1"/>
  <c r="BO95" i="1"/>
  <c r="BH95" i="1"/>
  <c r="BI95" i="1" s="1"/>
  <c r="BF95" i="1"/>
  <c r="BG95" i="1" s="1"/>
  <c r="BE95" i="1"/>
  <c r="BR94" i="1"/>
  <c r="BO94" i="1"/>
  <c r="BH94" i="1"/>
  <c r="BF94" i="1"/>
  <c r="BG94" i="1" s="1"/>
  <c r="BE94" i="1"/>
  <c r="BR93" i="1"/>
  <c r="BO93" i="1"/>
  <c r="BH93" i="1"/>
  <c r="BI93" i="1" s="1"/>
  <c r="BF93" i="1"/>
  <c r="BG93" i="1" s="1"/>
  <c r="BE93" i="1"/>
  <c r="BR92" i="1"/>
  <c r="BO92" i="1"/>
  <c r="BH92" i="1"/>
  <c r="BF92" i="1"/>
  <c r="BG92" i="1" s="1"/>
  <c r="BE92" i="1"/>
  <c r="BR91" i="1"/>
  <c r="BO91" i="1"/>
  <c r="BH91" i="1"/>
  <c r="BI91" i="1" s="1"/>
  <c r="BF91" i="1"/>
  <c r="BG91" i="1" s="1"/>
  <c r="BE91" i="1"/>
  <c r="BR90" i="1"/>
  <c r="BO90" i="1"/>
  <c r="BH90" i="1"/>
  <c r="BF90" i="1"/>
  <c r="BE90" i="1"/>
  <c r="BR89" i="1"/>
  <c r="BO89" i="1"/>
  <c r="BH89" i="1"/>
  <c r="BI89" i="1" s="1"/>
  <c r="BF89" i="1"/>
  <c r="BG89" i="1" s="1"/>
  <c r="BE89" i="1"/>
  <c r="BR88" i="1"/>
  <c r="BO88" i="1"/>
  <c r="BH88" i="1"/>
  <c r="BF88" i="1"/>
  <c r="BG88" i="1" s="1"/>
  <c r="BE88" i="1"/>
  <c r="BR87" i="1"/>
  <c r="BO87" i="1"/>
  <c r="BH87" i="1"/>
  <c r="BF87" i="1"/>
  <c r="BG87" i="1" s="1"/>
  <c r="BE87" i="1"/>
  <c r="BR86" i="1"/>
  <c r="BO86" i="1"/>
  <c r="BH86" i="1"/>
  <c r="BF86" i="1"/>
  <c r="BE86" i="1"/>
  <c r="BR85" i="1"/>
  <c r="BO85" i="1"/>
  <c r="BH85" i="1"/>
  <c r="BF85" i="1"/>
  <c r="BG85" i="1" s="1"/>
  <c r="BE85" i="1"/>
  <c r="BR84" i="1"/>
  <c r="BO84" i="1"/>
  <c r="BH84" i="1"/>
  <c r="BF84" i="1"/>
  <c r="BG84" i="1" s="1"/>
  <c r="BE84" i="1"/>
  <c r="BR83" i="1"/>
  <c r="BO83" i="1"/>
  <c r="BH83" i="1"/>
  <c r="BF83" i="1"/>
  <c r="BG83" i="1" s="1"/>
  <c r="BE83" i="1"/>
  <c r="BR82" i="1"/>
  <c r="BO82" i="1"/>
  <c r="BH82" i="1"/>
  <c r="BF82" i="1"/>
  <c r="BE82" i="1"/>
  <c r="BR81" i="1"/>
  <c r="BO81" i="1"/>
  <c r="BH81" i="1"/>
  <c r="BF81" i="1"/>
  <c r="BG81" i="1" s="1"/>
  <c r="BE81" i="1"/>
  <c r="BR80" i="1"/>
  <c r="BO80" i="1"/>
  <c r="BH80" i="1"/>
  <c r="BF80" i="1"/>
  <c r="BG80" i="1" s="1"/>
  <c r="BE80" i="1"/>
  <c r="BR79" i="1"/>
  <c r="BO79" i="1"/>
  <c r="BH79" i="1"/>
  <c r="BF79" i="1"/>
  <c r="BG79" i="1" s="1"/>
  <c r="BE79" i="1"/>
  <c r="BR78" i="1"/>
  <c r="BO78" i="1"/>
  <c r="BH78" i="1"/>
  <c r="BF78" i="1"/>
  <c r="BE78" i="1"/>
  <c r="BR77" i="1"/>
  <c r="BO77" i="1"/>
  <c r="BH77" i="1"/>
  <c r="BF77" i="1"/>
  <c r="BG77" i="1" s="1"/>
  <c r="BE77" i="1"/>
  <c r="BR76" i="1"/>
  <c r="BO76" i="1"/>
  <c r="BH76" i="1"/>
  <c r="BF76" i="1"/>
  <c r="BG76" i="1" s="1"/>
  <c r="BE76" i="1"/>
  <c r="BR75" i="1"/>
  <c r="BO75" i="1"/>
  <c r="BH75" i="1"/>
  <c r="BF75" i="1"/>
  <c r="BG75" i="1" s="1"/>
  <c r="BE75" i="1"/>
  <c r="BR74" i="1"/>
  <c r="BO74" i="1"/>
  <c r="BH74" i="1"/>
  <c r="BF74" i="1"/>
  <c r="BE74" i="1"/>
  <c r="BR73" i="1"/>
  <c r="BO73" i="1"/>
  <c r="BH73" i="1"/>
  <c r="BF73" i="1"/>
  <c r="BG73" i="1" s="1"/>
  <c r="BE73" i="1"/>
  <c r="BR72" i="1"/>
  <c r="BO72" i="1"/>
  <c r="BH72" i="1"/>
  <c r="BF72" i="1"/>
  <c r="BE72" i="1"/>
  <c r="BR71" i="1"/>
  <c r="BO71" i="1"/>
  <c r="BH71" i="1"/>
  <c r="BF71" i="1"/>
  <c r="BG71" i="1" s="1"/>
  <c r="BE71" i="1"/>
  <c r="BR70" i="1"/>
  <c r="BO70" i="1"/>
  <c r="BH70" i="1"/>
  <c r="BF70" i="1"/>
  <c r="BE70" i="1"/>
  <c r="BR69" i="1"/>
  <c r="BO69" i="1"/>
  <c r="BH69" i="1"/>
  <c r="BF69" i="1"/>
  <c r="BG69" i="1" s="1"/>
  <c r="BE69" i="1"/>
  <c r="BR68" i="1"/>
  <c r="BO68" i="1"/>
  <c r="BH68" i="1"/>
  <c r="BF68" i="1"/>
  <c r="BE68" i="1"/>
  <c r="BR67" i="1"/>
  <c r="BO67" i="1"/>
  <c r="BH67" i="1"/>
  <c r="BF67" i="1"/>
  <c r="BG67" i="1" s="1"/>
  <c r="BE67" i="1"/>
  <c r="BR66" i="1"/>
  <c r="BO66" i="1"/>
  <c r="BH66" i="1"/>
  <c r="BF66" i="1"/>
  <c r="BE66" i="1"/>
  <c r="BR65" i="1"/>
  <c r="BO65" i="1"/>
  <c r="BH65" i="1"/>
  <c r="BL65" i="1" s="1"/>
  <c r="BN65" i="1" s="1"/>
  <c r="BF65" i="1"/>
  <c r="BK65" i="1" s="1"/>
  <c r="BM65" i="1" s="1"/>
  <c r="BE65" i="1"/>
  <c r="BR64" i="1"/>
  <c r="BO64" i="1"/>
  <c r="BH64" i="1"/>
  <c r="BF64" i="1"/>
  <c r="BG64" i="1" s="1"/>
  <c r="BE64" i="1"/>
  <c r="BR63" i="1"/>
  <c r="BO63" i="1"/>
  <c r="BH63" i="1"/>
  <c r="BF63" i="1"/>
  <c r="BG63" i="1" s="1"/>
  <c r="BE63" i="1"/>
  <c r="BR62" i="1"/>
  <c r="BO62" i="1"/>
  <c r="BH62" i="1"/>
  <c r="BF62" i="1"/>
  <c r="BG62" i="1" s="1"/>
  <c r="BE62" i="1"/>
  <c r="BR61" i="1"/>
  <c r="BO61" i="1"/>
  <c r="BH61" i="1"/>
  <c r="BF61" i="1"/>
  <c r="BG61" i="1" s="1"/>
  <c r="BE61" i="1"/>
  <c r="BR60" i="1"/>
  <c r="BO60" i="1"/>
  <c r="BH60" i="1"/>
  <c r="BF60" i="1"/>
  <c r="BG60" i="1" s="1"/>
  <c r="BE60" i="1"/>
  <c r="BR59" i="1"/>
  <c r="BO59" i="1"/>
  <c r="BH59" i="1"/>
  <c r="BF59" i="1"/>
  <c r="BG59" i="1" s="1"/>
  <c r="BE59" i="1"/>
  <c r="BR58" i="1"/>
  <c r="BO58" i="1"/>
  <c r="BH58" i="1"/>
  <c r="BF58" i="1"/>
  <c r="BG58" i="1" s="1"/>
  <c r="BE58" i="1"/>
  <c r="BR57" i="1"/>
  <c r="BO57" i="1"/>
  <c r="BH57" i="1"/>
  <c r="BF57" i="1"/>
  <c r="BG57" i="1" s="1"/>
  <c r="BE57" i="1"/>
  <c r="BR56" i="1"/>
  <c r="BO56" i="1"/>
  <c r="BH56" i="1"/>
  <c r="BF56" i="1"/>
  <c r="BG56" i="1" s="1"/>
  <c r="BE56" i="1"/>
  <c r="BR55" i="1"/>
  <c r="BO55" i="1"/>
  <c r="BH55" i="1"/>
  <c r="BF55" i="1"/>
  <c r="BG55" i="1" s="1"/>
  <c r="BE55" i="1"/>
  <c r="BR54" i="1"/>
  <c r="BO54" i="1"/>
  <c r="BH54" i="1"/>
  <c r="BF54" i="1"/>
  <c r="BG54" i="1" s="1"/>
  <c r="BE54" i="1"/>
  <c r="BR53" i="1"/>
  <c r="BO53" i="1"/>
  <c r="BH53" i="1"/>
  <c r="BF53" i="1"/>
  <c r="BG53" i="1" s="1"/>
  <c r="BE53" i="1"/>
  <c r="BR52" i="1"/>
  <c r="BO52" i="1"/>
  <c r="BH52" i="1"/>
  <c r="BF52" i="1"/>
  <c r="BG52" i="1" s="1"/>
  <c r="BE52" i="1"/>
  <c r="BR51" i="1"/>
  <c r="BO51" i="1"/>
  <c r="BH51" i="1"/>
  <c r="BF51" i="1"/>
  <c r="BG51" i="1" s="1"/>
  <c r="BE51" i="1"/>
  <c r="BR50" i="1"/>
  <c r="BO50" i="1"/>
  <c r="BH50" i="1"/>
  <c r="BF50" i="1"/>
  <c r="BG50" i="1" s="1"/>
  <c r="BE50" i="1"/>
  <c r="BR49" i="1"/>
  <c r="BO49" i="1"/>
  <c r="BH49" i="1"/>
  <c r="BF49" i="1"/>
  <c r="BG49" i="1" s="1"/>
  <c r="BE49" i="1"/>
  <c r="BR48" i="1"/>
  <c r="BO48" i="1"/>
  <c r="BH48" i="1"/>
  <c r="BF48" i="1"/>
  <c r="BG48" i="1" s="1"/>
  <c r="BE48" i="1"/>
  <c r="BR47" i="1"/>
  <c r="BO47" i="1"/>
  <c r="BH47" i="1"/>
  <c r="BF47" i="1"/>
  <c r="BG47" i="1" s="1"/>
  <c r="BE47" i="1"/>
  <c r="BR46" i="1"/>
  <c r="BO46" i="1"/>
  <c r="BH46" i="1"/>
  <c r="BF46" i="1"/>
  <c r="BG46" i="1" s="1"/>
  <c r="BE46" i="1"/>
  <c r="BR45" i="1"/>
  <c r="BO45" i="1"/>
  <c r="BH45" i="1"/>
  <c r="BF45" i="1"/>
  <c r="BG45" i="1" s="1"/>
  <c r="BE45" i="1"/>
  <c r="BR44" i="1"/>
  <c r="BO44" i="1"/>
  <c r="BH44" i="1"/>
  <c r="BF44" i="1"/>
  <c r="BG44" i="1" s="1"/>
  <c r="BE44" i="1"/>
  <c r="BR43" i="1"/>
  <c r="BO43" i="1"/>
  <c r="BH43" i="1"/>
  <c r="BF43" i="1"/>
  <c r="BG43" i="1" s="1"/>
  <c r="BE43" i="1"/>
  <c r="BR42" i="1"/>
  <c r="BO42" i="1"/>
  <c r="BH42" i="1"/>
  <c r="BF42" i="1"/>
  <c r="BG42" i="1" s="1"/>
  <c r="BE42" i="1"/>
  <c r="BR41" i="1"/>
  <c r="BO41" i="1"/>
  <c r="BH41" i="1"/>
  <c r="BF41" i="1"/>
  <c r="BG41" i="1" s="1"/>
  <c r="BE41" i="1"/>
  <c r="BR40" i="1"/>
  <c r="BO40" i="1"/>
  <c r="BH40" i="1"/>
  <c r="BF40" i="1"/>
  <c r="BG40" i="1" s="1"/>
  <c r="BE40" i="1"/>
  <c r="BR39" i="1"/>
  <c r="BO39" i="1"/>
  <c r="BH39" i="1"/>
  <c r="BF39" i="1"/>
  <c r="BG39" i="1" s="1"/>
  <c r="BE39" i="1"/>
  <c r="BR38" i="1"/>
  <c r="BO38" i="1"/>
  <c r="BH38" i="1"/>
  <c r="BF38" i="1"/>
  <c r="BG38" i="1" s="1"/>
  <c r="BE38" i="1"/>
  <c r="BR37" i="1"/>
  <c r="BO37" i="1"/>
  <c r="BH37" i="1"/>
  <c r="BF37" i="1"/>
  <c r="BG37" i="1" s="1"/>
  <c r="BE37" i="1"/>
  <c r="BR36" i="1"/>
  <c r="BO36" i="1"/>
  <c r="BH36" i="1"/>
  <c r="BF36" i="1"/>
  <c r="BG36" i="1" s="1"/>
  <c r="BE36" i="1"/>
  <c r="BR35" i="1"/>
  <c r="BO35" i="1"/>
  <c r="BH35" i="1"/>
  <c r="BF35" i="1"/>
  <c r="BG35" i="1" s="1"/>
  <c r="BE35" i="1"/>
  <c r="BR34" i="1"/>
  <c r="BO34" i="1"/>
  <c r="BH34" i="1"/>
  <c r="BF34" i="1"/>
  <c r="BG34" i="1" s="1"/>
  <c r="BE34" i="1"/>
  <c r="BR33" i="1"/>
  <c r="BO33" i="1"/>
  <c r="BH33" i="1"/>
  <c r="BF33" i="1"/>
  <c r="BG33" i="1" s="1"/>
  <c r="BE33" i="1"/>
  <c r="BR32" i="1"/>
  <c r="BO32" i="1"/>
  <c r="BH32" i="1"/>
  <c r="BF32" i="1"/>
  <c r="BG32" i="1" s="1"/>
  <c r="BE32" i="1"/>
  <c r="BR31" i="1"/>
  <c r="BO31" i="1"/>
  <c r="BH31" i="1"/>
  <c r="BF31" i="1"/>
  <c r="BG31" i="1" s="1"/>
  <c r="BE31" i="1"/>
  <c r="BR30" i="1"/>
  <c r="BO30" i="1"/>
  <c r="BH30" i="1"/>
  <c r="BF30" i="1"/>
  <c r="BG30" i="1" s="1"/>
  <c r="BE30" i="1"/>
  <c r="BR29" i="1"/>
  <c r="BO29" i="1"/>
  <c r="BH29" i="1"/>
  <c r="BF29" i="1"/>
  <c r="BG29" i="1" s="1"/>
  <c r="BE29" i="1"/>
  <c r="BR28" i="1"/>
  <c r="BO28" i="1"/>
  <c r="BH28" i="1"/>
  <c r="BF28" i="1"/>
  <c r="BG28" i="1" s="1"/>
  <c r="BE28" i="1"/>
  <c r="BR27" i="1"/>
  <c r="BO27" i="1"/>
  <c r="BH27" i="1"/>
  <c r="BF27" i="1"/>
  <c r="BG27" i="1" s="1"/>
  <c r="BE27" i="1"/>
  <c r="BR26" i="1"/>
  <c r="BO26" i="1"/>
  <c r="BH26" i="1"/>
  <c r="BF26" i="1"/>
  <c r="BG26" i="1" s="1"/>
  <c r="BE26" i="1"/>
  <c r="BR25" i="1"/>
  <c r="BO25" i="1"/>
  <c r="BH25" i="1"/>
  <c r="BF25" i="1"/>
  <c r="BG25" i="1" s="1"/>
  <c r="BE25" i="1"/>
  <c r="BR24" i="1"/>
  <c r="BO24" i="1"/>
  <c r="BH24" i="1"/>
  <c r="BF24" i="1"/>
  <c r="BG24" i="1" s="1"/>
  <c r="BE24" i="1"/>
  <c r="BR23" i="1"/>
  <c r="BO23" i="1"/>
  <c r="BH23" i="1"/>
  <c r="BF23" i="1"/>
  <c r="BG23" i="1" s="1"/>
  <c r="BE23" i="1"/>
  <c r="BR22" i="1"/>
  <c r="BO22" i="1"/>
  <c r="BH22" i="1"/>
  <c r="BF22" i="1"/>
  <c r="BG22" i="1" s="1"/>
  <c r="BE22" i="1"/>
  <c r="BR21" i="1"/>
  <c r="BO21" i="1"/>
  <c r="BH21" i="1"/>
  <c r="BF21" i="1"/>
  <c r="BG21" i="1" s="1"/>
  <c r="BE21" i="1"/>
  <c r="BR20" i="1"/>
  <c r="BO20" i="1"/>
  <c r="BH20" i="1"/>
  <c r="BF20" i="1"/>
  <c r="BG20" i="1" s="1"/>
  <c r="BE20" i="1"/>
  <c r="BR19" i="1"/>
  <c r="BO19" i="1"/>
  <c r="BH19" i="1"/>
  <c r="BF19" i="1"/>
  <c r="BG19" i="1" s="1"/>
  <c r="BE19" i="1"/>
  <c r="BR18" i="1"/>
  <c r="BO18" i="1"/>
  <c r="BH18" i="1"/>
  <c r="BI18" i="1" s="1"/>
  <c r="BF18" i="1"/>
  <c r="BG18" i="1" s="1"/>
  <c r="BE18" i="1"/>
  <c r="BR17" i="1"/>
  <c r="BO17" i="1"/>
  <c r="BH17" i="1"/>
  <c r="BI17" i="1" s="1"/>
  <c r="BJ17" i="1" s="1"/>
  <c r="BF17" i="1"/>
  <c r="BG17" i="1" s="1"/>
  <c r="BE17" i="1"/>
  <c r="BR16" i="1"/>
  <c r="BO16" i="1"/>
  <c r="BH16" i="1"/>
  <c r="BI16" i="1" s="1"/>
  <c r="BF16" i="1"/>
  <c r="BG16" i="1" s="1"/>
  <c r="BE16" i="1"/>
  <c r="BR15" i="1"/>
  <c r="BO15" i="1"/>
  <c r="BH15" i="1"/>
  <c r="BF15" i="1"/>
  <c r="BG15" i="1" s="1"/>
  <c r="BE15" i="1"/>
  <c r="BR14" i="1"/>
  <c r="BO14" i="1"/>
  <c r="BH14" i="1"/>
  <c r="BF14" i="1"/>
  <c r="BG14" i="1" s="1"/>
  <c r="BE14" i="1"/>
  <c r="BR13" i="1"/>
  <c r="BO13" i="1"/>
  <c r="BH13" i="1"/>
  <c r="BI13" i="1" s="1"/>
  <c r="BJ13" i="1" s="1"/>
  <c r="BF13" i="1"/>
  <c r="BG13" i="1" s="1"/>
  <c r="BE13" i="1"/>
  <c r="BR12" i="1"/>
  <c r="BO12" i="1"/>
  <c r="BH12" i="1"/>
  <c r="BF12" i="1"/>
  <c r="BG12" i="1" s="1"/>
  <c r="BE12" i="1"/>
  <c r="BR11" i="1"/>
  <c r="BO11" i="1"/>
  <c r="BH11" i="1"/>
  <c r="BF11" i="1"/>
  <c r="BG11" i="1" s="1"/>
  <c r="BE11" i="1"/>
  <c r="BR10" i="1"/>
  <c r="BO10" i="1"/>
  <c r="BH10" i="1"/>
  <c r="BI10" i="1" s="1"/>
  <c r="BF10" i="1"/>
  <c r="BG10" i="1" s="1"/>
  <c r="BE10" i="1"/>
  <c r="BR9" i="1"/>
  <c r="BO9" i="1"/>
  <c r="BH9" i="1"/>
  <c r="BI9" i="1" s="1"/>
  <c r="BJ9" i="1" s="1"/>
  <c r="BF9" i="1"/>
  <c r="BG9" i="1" s="1"/>
  <c r="BE9" i="1"/>
  <c r="BR8" i="1"/>
  <c r="BO8" i="1"/>
  <c r="BH8" i="1"/>
  <c r="BI8" i="1" s="1"/>
  <c r="BJ8" i="1" s="1"/>
  <c r="BF8" i="1"/>
  <c r="BE8" i="1"/>
  <c r="BR7" i="1"/>
  <c r="BO7" i="1"/>
  <c r="BH7" i="1"/>
  <c r="BI7" i="1" s="1"/>
  <c r="BJ7" i="1" s="1"/>
  <c r="BF7" i="1"/>
  <c r="BE7" i="1"/>
  <c r="BR6" i="1"/>
  <c r="BO6" i="1"/>
  <c r="BH6" i="1"/>
  <c r="BI6" i="1" s="1"/>
  <c r="BJ6" i="1" s="1"/>
  <c r="BF6" i="1"/>
  <c r="BE6" i="1"/>
  <c r="BR5" i="1"/>
  <c r="BO5" i="1"/>
  <c r="BH5" i="1"/>
  <c r="BI5" i="1" s="1"/>
  <c r="BJ5" i="1" s="1"/>
  <c r="BF5" i="1"/>
  <c r="BE5" i="1"/>
  <c r="BJ1176" i="1" l="1"/>
  <c r="BI1403" i="1"/>
  <c r="BJ1449" i="1"/>
  <c r="BL67" i="1"/>
  <c r="BN67" i="1" s="1"/>
  <c r="BI1241" i="1"/>
  <c r="BJ1657" i="1"/>
  <c r="BI2519" i="1"/>
  <c r="BJ231" i="1"/>
  <c r="BJ373" i="1"/>
  <c r="BI380" i="1"/>
  <c r="BJ1791" i="1"/>
  <c r="BJ1893" i="1"/>
  <c r="BJ1699" i="1"/>
  <c r="BJ1745" i="1"/>
  <c r="BJ1815" i="1"/>
  <c r="BL69" i="1"/>
  <c r="BN69" i="1" s="1"/>
  <c r="BJ338" i="1"/>
  <c r="BI1435" i="1"/>
  <c r="BJ1529" i="1"/>
  <c r="BI1536" i="1"/>
  <c r="BJ1709" i="1"/>
  <c r="BJ344" i="1"/>
  <c r="BJ397" i="1"/>
  <c r="BI727" i="1"/>
  <c r="BJ1713" i="1"/>
  <c r="BJ2427" i="1"/>
  <c r="BJ526" i="1"/>
  <c r="BI987" i="1"/>
  <c r="BJ1277" i="1"/>
  <c r="BJ1785" i="1"/>
  <c r="BI550" i="1"/>
  <c r="BI893" i="1"/>
  <c r="BJ1485" i="1"/>
  <c r="BJ1633" i="1"/>
  <c r="BJ1809" i="1"/>
  <c r="BJ1863" i="1"/>
  <c r="BI841" i="1"/>
  <c r="BJ1242" i="1"/>
  <c r="BJ2141" i="1"/>
  <c r="BJ2204" i="1"/>
  <c r="BI2306" i="1"/>
  <c r="BJ2455" i="1"/>
  <c r="BI873" i="1"/>
  <c r="BJ1443" i="1"/>
  <c r="BJ1481" i="1"/>
  <c r="BJ103" i="1"/>
  <c r="BJ347" i="1"/>
  <c r="BJ542" i="1"/>
  <c r="BI753" i="1"/>
  <c r="BI859" i="1"/>
  <c r="BI881" i="1"/>
  <c r="BI967" i="1"/>
  <c r="BJ1053" i="1"/>
  <c r="BJ1105" i="1"/>
  <c r="BJ1427" i="1"/>
  <c r="BJ1521" i="1"/>
  <c r="BJ1653" i="1"/>
  <c r="BJ1933" i="1"/>
  <c r="BJ2073" i="1"/>
  <c r="BJ2228" i="1"/>
  <c r="BI2372" i="1"/>
  <c r="BI2527" i="1"/>
  <c r="BI2571" i="1"/>
  <c r="BI2640" i="1"/>
  <c r="BI1499" i="1"/>
  <c r="BJ1719" i="1"/>
  <c r="BI1830" i="1"/>
  <c r="BJ2236" i="1"/>
  <c r="BI2400" i="1"/>
  <c r="BJ468" i="1"/>
  <c r="BJ614" i="1"/>
  <c r="BI735" i="1"/>
  <c r="BI741" i="1"/>
  <c r="BJ1312" i="1"/>
  <c r="BI1349" i="1"/>
  <c r="BJ1371" i="1"/>
  <c r="BJ1581" i="1"/>
  <c r="BJ1693" i="1"/>
  <c r="BI1929" i="1"/>
  <c r="BJ2007" i="1"/>
  <c r="BJ2045" i="1"/>
  <c r="BI2381" i="1"/>
  <c r="BJ2387" i="1"/>
  <c r="BI2559" i="1"/>
  <c r="BI2613" i="1"/>
  <c r="BI1086" i="1"/>
  <c r="BJ1328" i="1"/>
  <c r="BJ1343" i="1"/>
  <c r="BI1357" i="1"/>
  <c r="BJ1589" i="1"/>
  <c r="BJ1687" i="1"/>
  <c r="BJ1729" i="1"/>
  <c r="BJ1751" i="1"/>
  <c r="BJ1877" i="1"/>
  <c r="BJ1923" i="1"/>
  <c r="BI2418" i="1"/>
  <c r="BJ2431" i="1"/>
  <c r="BJ387" i="1"/>
  <c r="BJ394" i="1"/>
  <c r="BJ510" i="1"/>
  <c r="BI1235" i="1"/>
  <c r="BJ1453" i="1"/>
  <c r="BJ1849" i="1"/>
  <c r="BJ99" i="1"/>
  <c r="BJ179" i="1"/>
  <c r="BI354" i="1"/>
  <c r="BJ389" i="1"/>
  <c r="BJ403" i="1"/>
  <c r="BI476" i="1"/>
  <c r="BI482" i="1"/>
  <c r="BJ558" i="1"/>
  <c r="BJ630" i="1"/>
  <c r="BI709" i="1"/>
  <c r="BJ1073" i="1"/>
  <c r="BI1112" i="1"/>
  <c r="BJ1261" i="1"/>
  <c r="BJ1295" i="1"/>
  <c r="BI1299" i="1"/>
  <c r="BJ1323" i="1"/>
  <c r="BJ1569" i="1"/>
  <c r="BJ1645" i="1"/>
  <c r="BJ1681" i="1"/>
  <c r="BJ1733" i="1"/>
  <c r="BJ1739" i="1"/>
  <c r="BJ1797" i="1"/>
  <c r="BJ1803" i="1"/>
  <c r="BI1875" i="1"/>
  <c r="BI1881" i="1"/>
  <c r="BI1887" i="1"/>
  <c r="BJ1947" i="1"/>
  <c r="BJ1975" i="1"/>
  <c r="BJ1982" i="1"/>
  <c r="BJ1995" i="1"/>
  <c r="BJ2214" i="1"/>
  <c r="BI2255" i="1"/>
  <c r="BI2290" i="1"/>
  <c r="BI2304" i="1"/>
  <c r="BI2337" i="1"/>
  <c r="BI241" i="1"/>
  <c r="BJ301" i="1"/>
  <c r="BJ314" i="1"/>
  <c r="BI340" i="1"/>
  <c r="BI350" i="1"/>
  <c r="BI390" i="1"/>
  <c r="BJ399" i="1"/>
  <c r="BI566" i="1"/>
  <c r="BJ646" i="1"/>
  <c r="BI821" i="1"/>
  <c r="BI889" i="1"/>
  <c r="BI917" i="1"/>
  <c r="BI939" i="1"/>
  <c r="BJ1081" i="1"/>
  <c r="BI1257" i="1"/>
  <c r="BJ1296" i="1"/>
  <c r="BJ1300" i="1"/>
  <c r="BI1339" i="1"/>
  <c r="BJ1419" i="1"/>
  <c r="BJ1437" i="1"/>
  <c r="BJ1469" i="1"/>
  <c r="BJ1715" i="1"/>
  <c r="BJ1793" i="1"/>
  <c r="BJ1811" i="1"/>
  <c r="BJ1817" i="1"/>
  <c r="BI1910" i="1"/>
  <c r="BJ1935" i="1"/>
  <c r="BJ2113" i="1"/>
  <c r="BJ2230" i="1"/>
  <c r="BI2368" i="1"/>
  <c r="BI2393" i="1"/>
  <c r="BJ2413" i="1"/>
  <c r="BI2579" i="1"/>
  <c r="BJ295" i="1"/>
  <c r="BJ363" i="1"/>
  <c r="BJ472" i="1"/>
  <c r="BI534" i="1"/>
  <c r="BI687" i="1"/>
  <c r="BJ718" i="1"/>
  <c r="BI769" i="1"/>
  <c r="BI925" i="1"/>
  <c r="BJ1063" i="1"/>
  <c r="BI1108" i="1"/>
  <c r="BI1144" i="1"/>
  <c r="BI1263" i="1"/>
  <c r="BI1267" i="1"/>
  <c r="BJ1291" i="1"/>
  <c r="BJ1319" i="1"/>
  <c r="BJ1497" i="1"/>
  <c r="BJ1557" i="1"/>
  <c r="BJ1621" i="1"/>
  <c r="BJ1669" i="1"/>
  <c r="BI215" i="1"/>
  <c r="BJ283" i="1"/>
  <c r="BJ289" i="1"/>
  <c r="BI406" i="1"/>
  <c r="BI420" i="1"/>
  <c r="BJ427" i="1"/>
  <c r="BJ674" i="1"/>
  <c r="BI694" i="1"/>
  <c r="BI700" i="1"/>
  <c r="BI725" i="1"/>
  <c r="BI731" i="1"/>
  <c r="BI743" i="1"/>
  <c r="BI811" i="1"/>
  <c r="BI963" i="1"/>
  <c r="BI977" i="1"/>
  <c r="BI1021" i="1"/>
  <c r="BI1082" i="1"/>
  <c r="BJ1181" i="1"/>
  <c r="BJ1188" i="1"/>
  <c r="BJ1273" i="1"/>
  <c r="BI1297" i="1"/>
  <c r="BJ1373" i="1"/>
  <c r="BJ1387" i="1"/>
  <c r="BJ1401" i="1"/>
  <c r="BJ1433" i="1"/>
  <c r="BI1552" i="1"/>
  <c r="BJ1763" i="1"/>
  <c r="BJ1777" i="1"/>
  <c r="BJ1783" i="1"/>
  <c r="BI1826" i="1"/>
  <c r="BJ1845" i="1"/>
  <c r="BI1859" i="1"/>
  <c r="BJ1905" i="1"/>
  <c r="BJ1931" i="1"/>
  <c r="BJ2005" i="1"/>
  <c r="BJ2018" i="1"/>
  <c r="BJ2077" i="1"/>
  <c r="BJ2145" i="1"/>
  <c r="BJ2198" i="1"/>
  <c r="BJ2238" i="1"/>
  <c r="BI2348" i="1"/>
  <c r="BJ2441" i="1"/>
  <c r="BI257" i="1"/>
  <c r="BJ269" i="1"/>
  <c r="BJ303" i="1"/>
  <c r="BJ316" i="1"/>
  <c r="BI342" i="1"/>
  <c r="BJ358" i="1"/>
  <c r="BJ494" i="1"/>
  <c r="BI905" i="1"/>
  <c r="BI949" i="1"/>
  <c r="BI1015" i="1"/>
  <c r="BJ1089" i="1"/>
  <c r="BJ1302" i="1"/>
  <c r="BI1309" i="1"/>
  <c r="BI1520" i="1"/>
  <c r="BJ1771" i="1"/>
  <c r="BJ1885" i="1"/>
  <c r="BI1912" i="1"/>
  <c r="BI1926" i="1"/>
  <c r="BJ2109" i="1"/>
  <c r="BJ2212" i="1"/>
  <c r="BJ2246" i="1"/>
  <c r="BJ2280" i="1"/>
  <c r="BJ2320" i="1"/>
  <c r="BJ2409" i="1"/>
  <c r="BI2581" i="1"/>
  <c r="BI2603" i="1"/>
  <c r="BJ251" i="1"/>
  <c r="BJ378" i="1"/>
  <c r="BJ402" i="1"/>
  <c r="BJ502" i="1"/>
  <c r="BI993" i="1"/>
  <c r="BI1078" i="1"/>
  <c r="BI1281" i="1"/>
  <c r="BI1946" i="1"/>
  <c r="BJ1959" i="1"/>
  <c r="BJ1987" i="1"/>
  <c r="BJ2027" i="1"/>
  <c r="BJ2049" i="1"/>
  <c r="BJ2206" i="1"/>
  <c r="BI2314" i="1"/>
  <c r="BJ2457" i="1"/>
  <c r="BI2487" i="1"/>
  <c r="BI2611" i="1"/>
  <c r="BI2617" i="1"/>
  <c r="BI2631" i="1"/>
  <c r="BJ91" i="1"/>
  <c r="BJ95" i="1"/>
  <c r="BJ195" i="1"/>
  <c r="BI223" i="1"/>
  <c r="BI239" i="1"/>
  <c r="BJ285" i="1"/>
  <c r="BJ311" i="1"/>
  <c r="BJ319" i="1"/>
  <c r="BJ330" i="1"/>
  <c r="BI348" i="1"/>
  <c r="BI366" i="1"/>
  <c r="BJ383" i="1"/>
  <c r="BJ388" i="1"/>
  <c r="BI392" i="1"/>
  <c r="BI400" i="1"/>
  <c r="BI404" i="1"/>
  <c r="BJ413" i="1"/>
  <c r="BI418" i="1"/>
  <c r="BJ458" i="1"/>
  <c r="BJ474" i="1"/>
  <c r="BJ518" i="1"/>
  <c r="BJ670" i="1"/>
  <c r="BI670" i="1"/>
  <c r="BJ867" i="1"/>
  <c r="BI867" i="1"/>
  <c r="BJ995" i="1"/>
  <c r="BI995" i="1"/>
  <c r="BJ229" i="1"/>
  <c r="BI263" i="1"/>
  <c r="BI297" i="1"/>
  <c r="BI376" i="1"/>
  <c r="BJ464" i="1"/>
  <c r="BJ486" i="1"/>
  <c r="BJ989" i="1"/>
  <c r="BI989" i="1"/>
  <c r="BI255" i="1"/>
  <c r="BI279" i="1"/>
  <c r="BJ312" i="1"/>
  <c r="BJ320" i="1"/>
  <c r="BJ336" i="1"/>
  <c r="BI410" i="1"/>
  <c r="BI414" i="1"/>
  <c r="BJ424" i="1"/>
  <c r="BJ430" i="1"/>
  <c r="BJ442" i="1"/>
  <c r="BJ454" i="1"/>
  <c r="BJ574" i="1"/>
  <c r="BI598" i="1"/>
  <c r="BJ638" i="1"/>
  <c r="BI638" i="1"/>
  <c r="BJ829" i="1"/>
  <c r="BI829" i="1"/>
  <c r="BJ111" i="1"/>
  <c r="BJ127" i="1"/>
  <c r="BJ849" i="1"/>
  <c r="BI849" i="1"/>
  <c r="BJ606" i="1"/>
  <c r="BI606" i="1"/>
  <c r="BJ891" i="1"/>
  <c r="BI891" i="1"/>
  <c r="BJ139" i="1"/>
  <c r="BI145" i="1"/>
  <c r="BJ145" i="1" s="1"/>
  <c r="BI159" i="1"/>
  <c r="BJ159" i="1" s="1"/>
  <c r="BJ189" i="1"/>
  <c r="BJ221" i="1"/>
  <c r="BJ237" i="1"/>
  <c r="BI247" i="1"/>
  <c r="BI261" i="1"/>
  <c r="BJ299" i="1"/>
  <c r="BI309" i="1"/>
  <c r="BI318" i="1"/>
  <c r="BJ374" i="1"/>
  <c r="BJ411" i="1"/>
  <c r="BJ416" i="1"/>
  <c r="BI444" i="1"/>
  <c r="BJ461" i="1"/>
  <c r="BI582" i="1"/>
  <c r="BJ654" i="1"/>
  <c r="BI654" i="1"/>
  <c r="BI678" i="1"/>
  <c r="BJ726" i="1"/>
  <c r="BJ879" i="1"/>
  <c r="BI879" i="1"/>
  <c r="BJ921" i="1"/>
  <c r="BI921" i="1"/>
  <c r="BJ109" i="1"/>
  <c r="BJ119" i="1"/>
  <c r="BI205" i="1"/>
  <c r="BJ205" i="1" s="1"/>
  <c r="BJ253" i="1"/>
  <c r="BJ271" i="1"/>
  <c r="BI277" i="1"/>
  <c r="BI281" i="1"/>
  <c r="BJ305" i="1"/>
  <c r="BJ334" i="1"/>
  <c r="BJ343" i="1"/>
  <c r="BI356" i="1"/>
  <c r="BJ440" i="1"/>
  <c r="BJ485" i="1"/>
  <c r="BJ590" i="1"/>
  <c r="BI590" i="1"/>
  <c r="BJ622" i="1"/>
  <c r="BI622" i="1"/>
  <c r="BJ662" i="1"/>
  <c r="BI704" i="1"/>
  <c r="BJ807" i="1"/>
  <c r="BI807" i="1"/>
  <c r="BJ907" i="1"/>
  <c r="BI907" i="1"/>
  <c r="BJ1017" i="1"/>
  <c r="BI1017" i="1"/>
  <c r="BI1029" i="1"/>
  <c r="BI1035" i="1"/>
  <c r="BI1084" i="1"/>
  <c r="BI1124" i="1"/>
  <c r="BJ1265" i="1"/>
  <c r="BI1269" i="1"/>
  <c r="BJ1279" i="1"/>
  <c r="BJ1283" i="1"/>
  <c r="BJ1459" i="1"/>
  <c r="BJ1465" i="1"/>
  <c r="BJ1517" i="1"/>
  <c r="BI1542" i="1"/>
  <c r="BJ1593" i="1"/>
  <c r="BJ1244" i="1"/>
  <c r="BJ1284" i="1"/>
  <c r="BJ1316" i="1"/>
  <c r="BI1363" i="1"/>
  <c r="BJ1389" i="1"/>
  <c r="BI1395" i="1"/>
  <c r="BI1451" i="1"/>
  <c r="BI1483" i="1"/>
  <c r="BJ1513" i="1"/>
  <c r="BJ1549" i="1"/>
  <c r="BJ1601" i="1"/>
  <c r="BJ1683" i="1"/>
  <c r="BJ1695" i="1"/>
  <c r="BJ1741" i="1"/>
  <c r="BJ1765" i="1"/>
  <c r="BI1966" i="1"/>
  <c r="BJ2015" i="1"/>
  <c r="BJ2169" i="1"/>
  <c r="BJ2222" i="1"/>
  <c r="BI2281" i="1"/>
  <c r="BI2296" i="1"/>
  <c r="BI2369" i="1"/>
  <c r="BJ2373" i="1"/>
  <c r="BI2419" i="1"/>
  <c r="BI2439" i="1"/>
  <c r="BI2585" i="1"/>
  <c r="BI2610" i="1"/>
  <c r="BI1467" i="1"/>
  <c r="BJ1613" i="1"/>
  <c r="BJ1707" i="1"/>
  <c r="BJ1731" i="1"/>
  <c r="BJ1753" i="1"/>
  <c r="BJ1795" i="1"/>
  <c r="BJ2081" i="1"/>
  <c r="BJ2254" i="1"/>
  <c r="BJ2260" i="1"/>
  <c r="BJ2312" i="1"/>
  <c r="BJ2326" i="1"/>
  <c r="BJ2345" i="1"/>
  <c r="BJ2379" i="1"/>
  <c r="BI2425" i="1"/>
  <c r="BJ2433" i="1"/>
  <c r="BI2547" i="1"/>
  <c r="BI733" i="1"/>
  <c r="BI773" i="1"/>
  <c r="BI779" i="1"/>
  <c r="BI809" i="1"/>
  <c r="BI857" i="1"/>
  <c r="BI875" i="1"/>
  <c r="BI931" i="1"/>
  <c r="BI945" i="1"/>
  <c r="BI965" i="1"/>
  <c r="BI971" i="1"/>
  <c r="BI985" i="1"/>
  <c r="BI1160" i="1"/>
  <c r="BJ1179" i="1"/>
  <c r="BI1317" i="1"/>
  <c r="BJ1327" i="1"/>
  <c r="BI1337" i="1"/>
  <c r="BI1353" i="1"/>
  <c r="BJ1405" i="1"/>
  <c r="BJ1561" i="1"/>
  <c r="BJ1625" i="1"/>
  <c r="BJ1701" i="1"/>
  <c r="BJ1889" i="1"/>
  <c r="BI1921" i="1"/>
  <c r="BI1941" i="1"/>
  <c r="BJ1951" i="1"/>
  <c r="BJ1967" i="1"/>
  <c r="BJ2105" i="1"/>
  <c r="BJ2177" i="1"/>
  <c r="BI2272" i="1"/>
  <c r="BJ2282" i="1"/>
  <c r="BI2288" i="1"/>
  <c r="BJ2459" i="1"/>
  <c r="BI1369" i="1"/>
  <c r="BJ1379" i="1"/>
  <c r="BJ1411" i="1"/>
  <c r="BJ1417" i="1"/>
  <c r="BJ1421" i="1"/>
  <c r="BJ1501" i="1"/>
  <c r="BJ1697" i="1"/>
  <c r="BI1896" i="1"/>
  <c r="BJ1915" i="1"/>
  <c r="BJ2244" i="1"/>
  <c r="BI2313" i="1"/>
  <c r="BJ2318" i="1"/>
  <c r="BI2322" i="1"/>
  <c r="BI2346" i="1"/>
  <c r="BI2370" i="1"/>
  <c r="BI2380" i="1"/>
  <c r="BI2420" i="1"/>
  <c r="BI2482" i="1"/>
  <c r="BJ702" i="1"/>
  <c r="BJ734" i="1"/>
  <c r="BI751" i="1"/>
  <c r="BJ762" i="1"/>
  <c r="BI899" i="1"/>
  <c r="BI953" i="1"/>
  <c r="BI1060" i="1"/>
  <c r="BI1128" i="1"/>
  <c r="BJ1278" i="1"/>
  <c r="BJ1397" i="1"/>
  <c r="BI1958" i="1"/>
  <c r="BI2341" i="1"/>
  <c r="BI1942" i="1"/>
  <c r="BJ2137" i="1"/>
  <c r="BJ2173" i="1"/>
  <c r="BJ2220" i="1"/>
  <c r="BJ2252" i="1"/>
  <c r="BJ2262" i="1"/>
  <c r="BI2289" i="1"/>
  <c r="BJ2294" i="1"/>
  <c r="BI2305" i="1"/>
  <c r="BJ2310" i="1"/>
  <c r="BJ2336" i="1"/>
  <c r="BI2354" i="1"/>
  <c r="BJ2377" i="1"/>
  <c r="BI2497" i="1"/>
  <c r="BI2539" i="1"/>
  <c r="BI2632" i="1"/>
  <c r="BI415" i="1"/>
  <c r="BJ415" i="1"/>
  <c r="BI429" i="1"/>
  <c r="BJ429" i="1"/>
  <c r="BJ434" i="1"/>
  <c r="BI434" i="1"/>
  <c r="BI437" i="1"/>
  <c r="BJ437" i="1"/>
  <c r="BI438" i="1"/>
  <c r="BJ438" i="1"/>
  <c r="BI439" i="1"/>
  <c r="BJ439" i="1"/>
  <c r="BI451" i="1"/>
  <c r="BJ451" i="1"/>
  <c r="BI453" i="1"/>
  <c r="BJ453" i="1"/>
  <c r="BI463" i="1"/>
  <c r="BJ463" i="1"/>
  <c r="BI466" i="1"/>
  <c r="BJ466" i="1"/>
  <c r="BI467" i="1"/>
  <c r="BJ467" i="1"/>
  <c r="BJ470" i="1"/>
  <c r="BI470" i="1"/>
  <c r="BI491" i="1"/>
  <c r="BJ491" i="1"/>
  <c r="BI492" i="1"/>
  <c r="BJ492" i="1"/>
  <c r="BI493" i="1"/>
  <c r="BJ493" i="1"/>
  <c r="BJ496" i="1"/>
  <c r="BI496" i="1"/>
  <c r="BI499" i="1"/>
  <c r="BJ499" i="1"/>
  <c r="BI500" i="1"/>
  <c r="BJ500" i="1"/>
  <c r="BI501" i="1"/>
  <c r="BJ501" i="1"/>
  <c r="BJ504" i="1"/>
  <c r="BI504" i="1"/>
  <c r="BI507" i="1"/>
  <c r="BJ507" i="1"/>
  <c r="BI508" i="1"/>
  <c r="BJ508" i="1"/>
  <c r="BI509" i="1"/>
  <c r="BJ509" i="1"/>
  <c r="BJ512" i="1"/>
  <c r="BI512" i="1"/>
  <c r="BI515" i="1"/>
  <c r="BJ515" i="1"/>
  <c r="BI516" i="1"/>
  <c r="BJ516" i="1"/>
  <c r="BI517" i="1"/>
  <c r="BJ517" i="1"/>
  <c r="BJ520" i="1"/>
  <c r="BI520" i="1"/>
  <c r="BI523" i="1"/>
  <c r="BJ523" i="1"/>
  <c r="BI524" i="1"/>
  <c r="BJ524" i="1"/>
  <c r="BI525" i="1"/>
  <c r="BJ525" i="1"/>
  <c r="BJ528" i="1"/>
  <c r="BI528" i="1"/>
  <c r="BI531" i="1"/>
  <c r="BJ531" i="1"/>
  <c r="BI532" i="1"/>
  <c r="BJ532" i="1"/>
  <c r="BI533" i="1"/>
  <c r="BJ533" i="1"/>
  <c r="BJ536" i="1"/>
  <c r="BI536" i="1"/>
  <c r="BI539" i="1"/>
  <c r="BJ539" i="1"/>
  <c r="BI540" i="1"/>
  <c r="BJ540" i="1"/>
  <c r="BI541" i="1"/>
  <c r="BJ541" i="1"/>
  <c r="BJ544" i="1"/>
  <c r="BI544" i="1"/>
  <c r="BI547" i="1"/>
  <c r="BJ547" i="1"/>
  <c r="BI549" i="1"/>
  <c r="BJ549" i="1"/>
  <c r="BI557" i="1"/>
  <c r="BJ557" i="1"/>
  <c r="BI565" i="1"/>
  <c r="BJ565" i="1"/>
  <c r="BI573" i="1"/>
  <c r="BJ573" i="1"/>
  <c r="BI581" i="1"/>
  <c r="BJ581" i="1"/>
  <c r="BI589" i="1"/>
  <c r="BJ589" i="1"/>
  <c r="BI597" i="1"/>
  <c r="BJ597" i="1"/>
  <c r="BI605" i="1"/>
  <c r="BJ605" i="1"/>
  <c r="BI613" i="1"/>
  <c r="BJ613" i="1"/>
  <c r="BI621" i="1"/>
  <c r="BJ621" i="1"/>
  <c r="BI629" i="1"/>
  <c r="BJ629" i="1"/>
  <c r="BI637" i="1"/>
  <c r="BJ637" i="1"/>
  <c r="BI645" i="1"/>
  <c r="BJ645" i="1"/>
  <c r="BI653" i="1"/>
  <c r="BJ653" i="1"/>
  <c r="BI661" i="1"/>
  <c r="BJ661" i="1"/>
  <c r="BI669" i="1"/>
  <c r="BJ669" i="1"/>
  <c r="BJ677" i="1"/>
  <c r="BI677" i="1"/>
  <c r="BJ681" i="1"/>
  <c r="BI681" i="1"/>
  <c r="BI686" i="1"/>
  <c r="BJ686" i="1"/>
  <c r="BI706" i="1"/>
  <c r="BJ706" i="1"/>
  <c r="BJ711" i="1"/>
  <c r="BI711" i="1"/>
  <c r="BI766" i="1"/>
  <c r="BJ766" i="1"/>
  <c r="BJ793" i="1"/>
  <c r="BI793" i="1"/>
  <c r="BJ805" i="1"/>
  <c r="BI805" i="1"/>
  <c r="BJ813" i="1"/>
  <c r="BI813" i="1"/>
  <c r="BJ855" i="1"/>
  <c r="BI855" i="1"/>
  <c r="BJ869" i="1"/>
  <c r="BI869" i="1"/>
  <c r="BJ887" i="1"/>
  <c r="BI887" i="1"/>
  <c r="BJ901" i="1"/>
  <c r="BI901" i="1"/>
  <c r="BJ923" i="1"/>
  <c r="BI923" i="1"/>
  <c r="BJ929" i="1"/>
  <c r="BI929" i="1"/>
  <c r="BJ951" i="1"/>
  <c r="BI951" i="1"/>
  <c r="BJ957" i="1"/>
  <c r="BI957" i="1"/>
  <c r="BJ969" i="1"/>
  <c r="BI969" i="1"/>
  <c r="BJ1023" i="1"/>
  <c r="BI1023" i="1"/>
  <c r="BJ1054" i="1"/>
  <c r="BI1054" i="1"/>
  <c r="BI1388" i="1"/>
  <c r="BJ1388" i="1"/>
  <c r="BJ981" i="1"/>
  <c r="BI981" i="1"/>
  <c r="BJ1005" i="1"/>
  <c r="BI1005" i="1"/>
  <c r="BJ1064" i="1"/>
  <c r="BI1064" i="1"/>
  <c r="BJ1164" i="1"/>
  <c r="BI1164" i="1"/>
  <c r="BI1178" i="1"/>
  <c r="BJ1178" i="1"/>
  <c r="BI1311" i="1"/>
  <c r="BJ1311" i="1"/>
  <c r="BJ423" i="1"/>
  <c r="BI428" i="1"/>
  <c r="BJ443" i="1"/>
  <c r="BI763" i="1"/>
  <c r="BI777" i="1"/>
  <c r="BI789" i="1"/>
  <c r="BI797" i="1"/>
  <c r="BI839" i="1"/>
  <c r="BI843" i="1"/>
  <c r="BI851" i="1"/>
  <c r="BI865" i="1"/>
  <c r="BI883" i="1"/>
  <c r="BI897" i="1"/>
  <c r="BI935" i="1"/>
  <c r="BI999" i="1"/>
  <c r="BI1013" i="1"/>
  <c r="BI1077" i="1"/>
  <c r="BJ1077" i="1"/>
  <c r="BJ1152" i="1"/>
  <c r="BI1152" i="1"/>
  <c r="BI1352" i="1"/>
  <c r="BJ1352" i="1"/>
  <c r="BJ447" i="1"/>
  <c r="BJ452" i="1"/>
  <c r="BI456" i="1"/>
  <c r="BI781" i="1"/>
  <c r="BI823" i="1"/>
  <c r="BI827" i="1"/>
  <c r="BI847" i="1"/>
  <c r="BI861" i="1"/>
  <c r="BI919" i="1"/>
  <c r="BI941" i="1"/>
  <c r="BI947" i="1"/>
  <c r="BJ983" i="1"/>
  <c r="BI983" i="1"/>
  <c r="BI1019" i="1"/>
  <c r="BJ1025" i="1"/>
  <c r="BI1025" i="1"/>
  <c r="BJ1032" i="1"/>
  <c r="BI1032" i="1"/>
  <c r="BI1088" i="1"/>
  <c r="BJ1120" i="1"/>
  <c r="BI1120" i="1"/>
  <c r="BJ1132" i="1"/>
  <c r="BI1132" i="1"/>
  <c r="BJ1185" i="1"/>
  <c r="BI1185" i="1"/>
  <c r="BI1200" i="1"/>
  <c r="BJ1200" i="1"/>
  <c r="BI1051" i="1"/>
  <c r="BJ1051" i="1"/>
  <c r="BJ1209" i="1"/>
  <c r="BI1209" i="1"/>
  <c r="BI1307" i="1"/>
  <c r="BJ1307" i="1"/>
  <c r="BI1364" i="1"/>
  <c r="BJ1364" i="1"/>
  <c r="BI1396" i="1"/>
  <c r="BJ1396" i="1"/>
  <c r="BJ555" i="1"/>
  <c r="BJ563" i="1"/>
  <c r="BJ571" i="1"/>
  <c r="BJ579" i="1"/>
  <c r="BJ587" i="1"/>
  <c r="BJ595" i="1"/>
  <c r="BJ603" i="1"/>
  <c r="BJ611" i="1"/>
  <c r="BJ619" i="1"/>
  <c r="BJ627" i="1"/>
  <c r="BJ635" i="1"/>
  <c r="BJ643" i="1"/>
  <c r="BJ651" i="1"/>
  <c r="BJ659" i="1"/>
  <c r="BJ667" i="1"/>
  <c r="BI688" i="1"/>
  <c r="BI761" i="1"/>
  <c r="BJ764" i="1"/>
  <c r="BI791" i="1"/>
  <c r="BI795" i="1"/>
  <c r="BI853" i="1"/>
  <c r="BI871" i="1"/>
  <c r="BI885" i="1"/>
  <c r="BI903" i="1"/>
  <c r="BI915" i="1"/>
  <c r="BI937" i="1"/>
  <c r="BJ961" i="1"/>
  <c r="BI961" i="1"/>
  <c r="BI1001" i="1"/>
  <c r="BJ1009" i="1"/>
  <c r="BI1009" i="1"/>
  <c r="BJ1027" i="1"/>
  <c r="BI1027" i="1"/>
  <c r="BJ1096" i="1"/>
  <c r="BI1096" i="1"/>
  <c r="BJ1168" i="1"/>
  <c r="BI1168" i="1"/>
  <c r="BI1287" i="1"/>
  <c r="BJ1287" i="1"/>
  <c r="BI1392" i="1"/>
  <c r="BJ1392" i="1"/>
  <c r="BJ955" i="1"/>
  <c r="BI955" i="1"/>
  <c r="BI1047" i="1"/>
  <c r="BJ1047" i="1"/>
  <c r="BJ1148" i="1"/>
  <c r="BI1148" i="1"/>
  <c r="BJ1195" i="1"/>
  <c r="BI1195" i="1"/>
  <c r="BJ1203" i="1"/>
  <c r="BI1203" i="1"/>
  <c r="BJ548" i="1"/>
  <c r="BI552" i="1"/>
  <c r="BJ556" i="1"/>
  <c r="BI560" i="1"/>
  <c r="BJ564" i="1"/>
  <c r="BI568" i="1"/>
  <c r="BJ572" i="1"/>
  <c r="BI576" i="1"/>
  <c r="BJ580" i="1"/>
  <c r="BI584" i="1"/>
  <c r="BJ588" i="1"/>
  <c r="BI592" i="1"/>
  <c r="BJ596" i="1"/>
  <c r="BI600" i="1"/>
  <c r="BJ604" i="1"/>
  <c r="BI608" i="1"/>
  <c r="BJ612" i="1"/>
  <c r="BI616" i="1"/>
  <c r="BJ620" i="1"/>
  <c r="BI624" i="1"/>
  <c r="BJ628" i="1"/>
  <c r="BI632" i="1"/>
  <c r="BJ636" i="1"/>
  <c r="BI640" i="1"/>
  <c r="BJ644" i="1"/>
  <c r="BI648" i="1"/>
  <c r="BJ652" i="1"/>
  <c r="BI656" i="1"/>
  <c r="BJ660" i="1"/>
  <c r="BI664" i="1"/>
  <c r="BJ668" i="1"/>
  <c r="BJ680" i="1"/>
  <c r="BI825" i="1"/>
  <c r="BI837" i="1"/>
  <c r="BI845" i="1"/>
  <c r="BI863" i="1"/>
  <c r="BI877" i="1"/>
  <c r="BI895" i="1"/>
  <c r="BI933" i="1"/>
  <c r="BI973" i="1"/>
  <c r="BI979" i="1"/>
  <c r="BI997" i="1"/>
  <c r="BJ1003" i="1"/>
  <c r="BI1003" i="1"/>
  <c r="BJ1011" i="1"/>
  <c r="BI1011" i="1"/>
  <c r="BI1058" i="1"/>
  <c r="BJ1074" i="1"/>
  <c r="BI1074" i="1"/>
  <c r="BI1091" i="1"/>
  <c r="BJ1091" i="1"/>
  <c r="BJ1116" i="1"/>
  <c r="BI1116" i="1"/>
  <c r="BJ1136" i="1"/>
  <c r="BI1136" i="1"/>
  <c r="BJ1219" i="1"/>
  <c r="BI1219" i="1"/>
  <c r="BJ1192" i="1"/>
  <c r="BJ1202" i="1"/>
  <c r="BJ1250" i="1"/>
  <c r="BI1255" i="1"/>
  <c r="BJ1259" i="1"/>
  <c r="BJ1286" i="1"/>
  <c r="BJ1306" i="1"/>
  <c r="BJ1310" i="1"/>
  <c r="BI1321" i="1"/>
  <c r="BJ1324" i="1"/>
  <c r="BJ1333" i="1"/>
  <c r="BJ1351" i="1"/>
  <c r="BI1383" i="1"/>
  <c r="BI1399" i="1"/>
  <c r="BI1415" i="1"/>
  <c r="BI1431" i="1"/>
  <c r="BI1447" i="1"/>
  <c r="BI1463" i="1"/>
  <c r="BI1475" i="1"/>
  <c r="BI1479" i="1"/>
  <c r="BI1491" i="1"/>
  <c r="BI1495" i="1"/>
  <c r="BI1510" i="1"/>
  <c r="BJ1519" i="1"/>
  <c r="BJ1533" i="1"/>
  <c r="BJ1545" i="1"/>
  <c r="BJ1577" i="1"/>
  <c r="BJ1609" i="1"/>
  <c r="BJ1641" i="1"/>
  <c r="BJ1665" i="1"/>
  <c r="BJ1721" i="1"/>
  <c r="BI1737" i="1"/>
  <c r="BJ1737" i="1"/>
  <c r="BJ1757" i="1"/>
  <c r="BJ1773" i="1"/>
  <c r="BJ1918" i="1"/>
  <c r="BI1918" i="1"/>
  <c r="BJ1943" i="1"/>
  <c r="BI1943" i="1"/>
  <c r="BJ1949" i="1"/>
  <c r="BI1949" i="1"/>
  <c r="BJ1559" i="1"/>
  <c r="BJ1573" i="1"/>
  <c r="BJ1605" i="1"/>
  <c r="BJ1637" i="1"/>
  <c r="BI1691" i="1"/>
  <c r="BJ1691" i="1"/>
  <c r="BJ1711" i="1"/>
  <c r="BI1717" i="1"/>
  <c r="BJ1717" i="1"/>
  <c r="BJ1727" i="1"/>
  <c r="BJ1747" i="1"/>
  <c r="BI1769" i="1"/>
  <c r="BJ1769" i="1"/>
  <c r="BJ1779" i="1"/>
  <c r="BI1807" i="1"/>
  <c r="BJ1807" i="1"/>
  <c r="BJ1837" i="1"/>
  <c r="BI1837" i="1"/>
  <c r="BI1991" i="1"/>
  <c r="BJ1991" i="1"/>
  <c r="BJ1920" i="1"/>
  <c r="BI1920" i="1"/>
  <c r="BI1038" i="1"/>
  <c r="BI1044" i="1"/>
  <c r="BJ1234" i="1"/>
  <c r="BJ1268" i="1"/>
  <c r="BJ1271" i="1"/>
  <c r="BI1315" i="1"/>
  <c r="BJ1322" i="1"/>
  <c r="BI1331" i="1"/>
  <c r="BJ1334" i="1"/>
  <c r="BJ1338" i="1"/>
  <c r="BJ1341" i="1"/>
  <c r="BJ1345" i="1"/>
  <c r="BJ1372" i="1"/>
  <c r="BJ1376" i="1"/>
  <c r="BJ1380" i="1"/>
  <c r="BJ1404" i="1"/>
  <c r="BJ1408" i="1"/>
  <c r="BJ1412" i="1"/>
  <c r="BJ1420" i="1"/>
  <c r="BJ1424" i="1"/>
  <c r="BJ1428" i="1"/>
  <c r="BJ1436" i="1"/>
  <c r="BJ1440" i="1"/>
  <c r="BJ1444" i="1"/>
  <c r="BJ1452" i="1"/>
  <c r="BJ1456" i="1"/>
  <c r="BJ1460" i="1"/>
  <c r="BJ1468" i="1"/>
  <c r="BJ1472" i="1"/>
  <c r="BJ1476" i="1"/>
  <c r="BJ1484" i="1"/>
  <c r="BJ1488" i="1"/>
  <c r="BJ1492" i="1"/>
  <c r="BJ1500" i="1"/>
  <c r="BI1526" i="1"/>
  <c r="BJ1535" i="1"/>
  <c r="BI1560" i="1"/>
  <c r="BJ1565" i="1"/>
  <c r="BJ1597" i="1"/>
  <c r="BJ1629" i="1"/>
  <c r="BJ1661" i="1"/>
  <c r="BJ1677" i="1"/>
  <c r="BI1723" i="1"/>
  <c r="BJ1723" i="1"/>
  <c r="BJ1743" i="1"/>
  <c r="BI1749" i="1"/>
  <c r="BJ1749" i="1"/>
  <c r="BJ1759" i="1"/>
  <c r="BI1775" i="1"/>
  <c r="BJ1775" i="1"/>
  <c r="BI1781" i="1"/>
  <c r="BJ1781" i="1"/>
  <c r="BI1851" i="1"/>
  <c r="BI1925" i="1"/>
  <c r="BJ1925" i="1"/>
  <c r="BI1703" i="1"/>
  <c r="BJ1703" i="1"/>
  <c r="BI1821" i="1"/>
  <c r="BJ1821" i="1"/>
  <c r="BI1903" i="1"/>
  <c r="BJ1903" i="1"/>
  <c r="BJ1216" i="1"/>
  <c r="BI1673" i="1"/>
  <c r="BJ1673" i="1"/>
  <c r="BI1755" i="1"/>
  <c r="BJ1755" i="1"/>
  <c r="BI1787" i="1"/>
  <c r="BJ1787" i="1"/>
  <c r="BJ1853" i="1"/>
  <c r="BI1853" i="1"/>
  <c r="BJ1867" i="1"/>
  <c r="BI1867" i="1"/>
  <c r="BI1873" i="1"/>
  <c r="BJ1873" i="1"/>
  <c r="BI1140" i="1"/>
  <c r="BI1156" i="1"/>
  <c r="BI1172" i="1"/>
  <c r="BI1177" i="1"/>
  <c r="BJ1212" i="1"/>
  <c r="BI1285" i="1"/>
  <c r="BJ1301" i="1"/>
  <c r="BJ1305" i="1"/>
  <c r="BJ1332" i="1"/>
  <c r="BJ1346" i="1"/>
  <c r="BJ1350" i="1"/>
  <c r="BI1528" i="1"/>
  <c r="BI1558" i="1"/>
  <c r="BJ1585" i="1"/>
  <c r="BJ1617" i="1"/>
  <c r="BJ1649" i="1"/>
  <c r="BJ1689" i="1"/>
  <c r="BI1705" i="1"/>
  <c r="BJ1705" i="1"/>
  <c r="BJ1725" i="1"/>
  <c r="BI1735" i="1"/>
  <c r="BJ1735" i="1"/>
  <c r="BJ1761" i="1"/>
  <c r="BI1799" i="1"/>
  <c r="BJ1799" i="1"/>
  <c r="BI1805" i="1"/>
  <c r="BJ1805" i="1"/>
  <c r="BI1823" i="1"/>
  <c r="BJ1823" i="1"/>
  <c r="BI1841" i="1"/>
  <c r="BJ1841" i="1"/>
  <c r="BI1685" i="1"/>
  <c r="BJ1685" i="1"/>
  <c r="BI1767" i="1"/>
  <c r="BJ1767" i="1"/>
  <c r="BI1789" i="1"/>
  <c r="BJ1789" i="1"/>
  <c r="BJ1855" i="1"/>
  <c r="BI1855" i="1"/>
  <c r="BJ1862" i="1"/>
  <c r="BI1862" i="1"/>
  <c r="BJ1869" i="1"/>
  <c r="BI1869" i="1"/>
  <c r="BJ1892" i="1"/>
  <c r="BI1892" i="1"/>
  <c r="BJ1928" i="1"/>
  <c r="BI1928" i="1"/>
  <c r="BJ1813" i="1"/>
  <c r="BJ1883" i="1"/>
  <c r="BJ1891" i="1"/>
  <c r="BI1900" i="1"/>
  <c r="BJ1919" i="1"/>
  <c r="BJ1939" i="1"/>
  <c r="BI1950" i="1"/>
  <c r="BJ1990" i="1"/>
  <c r="BJ1998" i="1"/>
  <c r="BJ2024" i="1"/>
  <c r="BJ2030" i="1"/>
  <c r="BJ2036" i="1"/>
  <c r="BJ2061" i="1"/>
  <c r="BJ2093" i="1"/>
  <c r="BJ2125" i="1"/>
  <c r="BJ2157" i="1"/>
  <c r="BI2265" i="1"/>
  <c r="BJ2270" i="1"/>
  <c r="BJ2330" i="1"/>
  <c r="BI2338" i="1"/>
  <c r="BI2357" i="1"/>
  <c r="BJ2361" i="1"/>
  <c r="BJ2391" i="1"/>
  <c r="BI2404" i="1"/>
  <c r="BJ2407" i="1"/>
  <c r="BI2411" i="1"/>
  <c r="BJ2465" i="1"/>
  <c r="BI2520" i="1"/>
  <c r="BI2545" i="1"/>
  <c r="BI2583" i="1"/>
  <c r="BJ2014" i="1"/>
  <c r="BJ2069" i="1"/>
  <c r="BJ2101" i="1"/>
  <c r="BJ2133" i="1"/>
  <c r="BJ2165" i="1"/>
  <c r="BI2266" i="1"/>
  <c r="BI2274" i="1"/>
  <c r="BI2298" i="1"/>
  <c r="BJ2302" i="1"/>
  <c r="BI2324" i="1"/>
  <c r="BI2328" i="1"/>
  <c r="BJ2353" i="1"/>
  <c r="BI2362" i="1"/>
  <c r="BI2383" i="1"/>
  <c r="BI2395" i="1"/>
  <c r="BI2405" i="1"/>
  <c r="BI2408" i="1"/>
  <c r="BI2443" i="1"/>
  <c r="BJ2447" i="1"/>
  <c r="BI2517" i="1"/>
  <c r="BI2521" i="1"/>
  <c r="BI2546" i="1"/>
  <c r="BI2584" i="1"/>
  <c r="BI2609" i="1"/>
  <c r="BJ1801" i="1"/>
  <c r="BJ1819" i="1"/>
  <c r="BI1839" i="1"/>
  <c r="BI1897" i="1"/>
  <c r="BI1902" i="1"/>
  <c r="BI1924" i="1"/>
  <c r="BJ1996" i="1"/>
  <c r="BJ2032" i="1"/>
  <c r="BJ2038" i="1"/>
  <c r="BJ2057" i="1"/>
  <c r="BJ2089" i="1"/>
  <c r="BJ2121" i="1"/>
  <c r="BJ2153" i="1"/>
  <c r="BI2184" i="1"/>
  <c r="BI2199" i="1"/>
  <c r="BI2207" i="1"/>
  <c r="BI2215" i="1"/>
  <c r="BI2223" i="1"/>
  <c r="BI2231" i="1"/>
  <c r="BI2239" i="1"/>
  <c r="BI2247" i="1"/>
  <c r="BI2321" i="1"/>
  <c r="BI2332" i="1"/>
  <c r="BJ2349" i="1"/>
  <c r="BJ2401" i="1"/>
  <c r="BI2498" i="1"/>
  <c r="BI2503" i="1"/>
  <c r="BI2513" i="1"/>
  <c r="BI2551" i="1"/>
  <c r="BI2591" i="1"/>
  <c r="BI2623" i="1"/>
  <c r="BJ2039" i="1"/>
  <c r="BJ2065" i="1"/>
  <c r="BJ2097" i="1"/>
  <c r="BJ2129" i="1"/>
  <c r="BJ2161" i="1"/>
  <c r="BI2185" i="1"/>
  <c r="BI2200" i="1"/>
  <c r="BI2208" i="1"/>
  <c r="BI2216" i="1"/>
  <c r="BI2224" i="1"/>
  <c r="BI2232" i="1"/>
  <c r="BI2240" i="1"/>
  <c r="BI2248" i="1"/>
  <c r="BI2256" i="1"/>
  <c r="BI2264" i="1"/>
  <c r="BI2299" i="1"/>
  <c r="BI2329" i="1"/>
  <c r="BI2364" i="1"/>
  <c r="BI2384" i="1"/>
  <c r="BI2423" i="1"/>
  <c r="BJ2449" i="1"/>
  <c r="BJ2463" i="1"/>
  <c r="BI2514" i="1"/>
  <c r="BI2552" i="1"/>
  <c r="BI2577" i="1"/>
  <c r="BI2615" i="1"/>
  <c r="BI2624" i="1"/>
  <c r="BI2633" i="1"/>
  <c r="BI1878" i="1"/>
  <c r="BI1894" i="1"/>
  <c r="BJ1899" i="1"/>
  <c r="BI1908" i="1"/>
  <c r="BI1934" i="1"/>
  <c r="BI1952" i="1"/>
  <c r="BI1957" i="1"/>
  <c r="BI1960" i="1"/>
  <c r="BI1965" i="1"/>
  <c r="BJ1973" i="1"/>
  <c r="BJ1983" i="1"/>
  <c r="BJ1997" i="1"/>
  <c r="BJ2053" i="1"/>
  <c r="BJ2085" i="1"/>
  <c r="BJ2117" i="1"/>
  <c r="BJ2149" i="1"/>
  <c r="BI2273" i="1"/>
  <c r="BJ2286" i="1"/>
  <c r="BI2297" i="1"/>
  <c r="BI2307" i="1"/>
  <c r="BJ2334" i="1"/>
  <c r="BJ2365" i="1"/>
  <c r="BI2394" i="1"/>
  <c r="BJ2415" i="1"/>
  <c r="BI2471" i="1"/>
  <c r="BI2481" i="1"/>
  <c r="BI2515" i="1"/>
  <c r="BI2549" i="1"/>
  <c r="BI2553" i="1"/>
  <c r="BI2578" i="1"/>
  <c r="BI2616" i="1"/>
  <c r="BI2625" i="1"/>
  <c r="BI2639" i="1"/>
  <c r="BJ227" i="1"/>
  <c r="BJ291" i="1"/>
  <c r="BI291" i="1"/>
  <c r="BJ327" i="1"/>
  <c r="BJ332" i="1"/>
  <c r="BI332" i="1"/>
  <c r="BJ408" i="1"/>
  <c r="BI408" i="1"/>
  <c r="BI455" i="1"/>
  <c r="BJ455" i="1"/>
  <c r="BJ259" i="1"/>
  <c r="BI259" i="1"/>
  <c r="BJ275" i="1"/>
  <c r="BI275" i="1"/>
  <c r="BI419" i="1"/>
  <c r="BJ419" i="1"/>
  <c r="BJ436" i="1"/>
  <c r="BI436" i="1"/>
  <c r="BI21" i="1"/>
  <c r="BJ21" i="1" s="1"/>
  <c r="BJ115" i="1"/>
  <c r="BI151" i="1"/>
  <c r="BJ151" i="1" s="1"/>
  <c r="BI165" i="1"/>
  <c r="BJ165" i="1" s="1"/>
  <c r="BI171" i="1"/>
  <c r="BJ171" i="1" s="1"/>
  <c r="BI183" i="1"/>
  <c r="BJ183" i="1" s="1"/>
  <c r="BI199" i="1"/>
  <c r="BJ199" i="1" s="1"/>
  <c r="BI225" i="1"/>
  <c r="BI245" i="1"/>
  <c r="BI267" i="1"/>
  <c r="BJ287" i="1"/>
  <c r="BI324" i="1"/>
  <c r="BJ328" i="1"/>
  <c r="BI337" i="1"/>
  <c r="BJ337" i="1"/>
  <c r="BI351" i="1"/>
  <c r="BJ351" i="1"/>
  <c r="BJ362" i="1"/>
  <c r="BI370" i="1"/>
  <c r="BJ384" i="1"/>
  <c r="BI209" i="1"/>
  <c r="BJ209" i="1" s="1"/>
  <c r="BI219" i="1"/>
  <c r="BI235" i="1"/>
  <c r="BJ352" i="1"/>
  <c r="BI352" i="1"/>
  <c r="BI405" i="1"/>
  <c r="BJ405" i="1"/>
  <c r="BG65" i="1"/>
  <c r="BJ131" i="1"/>
  <c r="BI249" i="1"/>
  <c r="BI293" i="1"/>
  <c r="BJ321" i="1"/>
  <c r="BI359" i="1"/>
  <c r="BJ359" i="1"/>
  <c r="BI381" i="1"/>
  <c r="BJ381" i="1"/>
  <c r="BJ386" i="1"/>
  <c r="BI386" i="1"/>
  <c r="BJ326" i="1"/>
  <c r="BI326" i="1"/>
  <c r="BJ360" i="1"/>
  <c r="BI360" i="1"/>
  <c r="BI367" i="1"/>
  <c r="BJ367" i="1"/>
  <c r="BJ382" i="1"/>
  <c r="BI382" i="1"/>
  <c r="BJ450" i="1"/>
  <c r="BI450" i="1"/>
  <c r="BJ117" i="1"/>
  <c r="BI135" i="1"/>
  <c r="BJ135" i="1" s="1"/>
  <c r="BI141" i="1"/>
  <c r="BJ141" i="1" s="1"/>
  <c r="BI161" i="1"/>
  <c r="BJ161" i="1" s="1"/>
  <c r="BI191" i="1"/>
  <c r="BJ191" i="1" s="1"/>
  <c r="BI207" i="1"/>
  <c r="BJ207" i="1" s="1"/>
  <c r="BI217" i="1"/>
  <c r="BI233" i="1"/>
  <c r="BI243" i="1"/>
  <c r="BI265" i="1"/>
  <c r="BI273" i="1"/>
  <c r="BJ322" i="1"/>
  <c r="BJ353" i="1"/>
  <c r="BI364" i="1"/>
  <c r="BJ368" i="1"/>
  <c r="BI368" i="1"/>
  <c r="BI372" i="1"/>
  <c r="BJ422" i="1"/>
  <c r="BI422" i="1"/>
  <c r="BJ125" i="1"/>
  <c r="BJ307" i="1"/>
  <c r="BI307" i="1"/>
  <c r="BJ315" i="1"/>
  <c r="BI331" i="1"/>
  <c r="BJ331" i="1"/>
  <c r="BJ346" i="1"/>
  <c r="BJ375" i="1"/>
  <c r="BI379" i="1"/>
  <c r="BJ379" i="1"/>
  <c r="BI391" i="1"/>
  <c r="BJ391" i="1"/>
  <c r="BJ395" i="1"/>
  <c r="BI398" i="1"/>
  <c r="BI412" i="1"/>
  <c r="BI426" i="1"/>
  <c r="BJ431" i="1"/>
  <c r="BJ445" i="1"/>
  <c r="BI448" i="1"/>
  <c r="BJ459" i="1"/>
  <c r="BI462" i="1"/>
  <c r="BI488" i="1"/>
  <c r="BI672" i="1"/>
  <c r="BI719" i="1"/>
  <c r="BI737" i="1"/>
  <c r="BI747" i="1"/>
  <c r="BJ750" i="1"/>
  <c r="BI757" i="1"/>
  <c r="BI767" i="1"/>
  <c r="BI771" i="1"/>
  <c r="BI775" i="1"/>
  <c r="BI785" i="1"/>
  <c r="BI801" i="1"/>
  <c r="BI817" i="1"/>
  <c r="BI833" i="1"/>
  <c r="BI911" i="1"/>
  <c r="BI927" i="1"/>
  <c r="BI943" i="1"/>
  <c r="BI959" i="1"/>
  <c r="BI975" i="1"/>
  <c r="BI991" i="1"/>
  <c r="BI1007" i="1"/>
  <c r="BJ1046" i="1"/>
  <c r="BI1046" i="1"/>
  <c r="BI1262" i="1"/>
  <c r="BJ1262" i="1"/>
  <c r="BI1362" i="1"/>
  <c r="BJ1362" i="1"/>
  <c r="BI1418" i="1"/>
  <c r="BJ1418" i="1"/>
  <c r="BI1059" i="1"/>
  <c r="BJ1059" i="1"/>
  <c r="BJ1201" i="1"/>
  <c r="BI1201" i="1"/>
  <c r="BI1290" i="1"/>
  <c r="BJ1290" i="1"/>
  <c r="BJ1313" i="1"/>
  <c r="BI1313" i="1"/>
  <c r="BI1320" i="1"/>
  <c r="BJ1320" i="1"/>
  <c r="BI1406" i="1"/>
  <c r="BJ1406" i="1"/>
  <c r="BI396" i="1"/>
  <c r="BI432" i="1"/>
  <c r="BI446" i="1"/>
  <c r="BI460" i="1"/>
  <c r="BI480" i="1"/>
  <c r="BJ1098" i="1"/>
  <c r="BI1098" i="1"/>
  <c r="BJ1347" i="1"/>
  <c r="BI1347" i="1"/>
  <c r="BJ335" i="1"/>
  <c r="BJ371" i="1"/>
  <c r="BJ407" i="1"/>
  <c r="BJ421" i="1"/>
  <c r="BJ435" i="1"/>
  <c r="BJ477" i="1"/>
  <c r="BJ483" i="1"/>
  <c r="BJ497" i="1"/>
  <c r="BJ505" i="1"/>
  <c r="BJ513" i="1"/>
  <c r="BJ521" i="1"/>
  <c r="BJ529" i="1"/>
  <c r="BJ537" i="1"/>
  <c r="BJ545" i="1"/>
  <c r="BJ553" i="1"/>
  <c r="BJ561" i="1"/>
  <c r="BJ569" i="1"/>
  <c r="BJ577" i="1"/>
  <c r="BJ585" i="1"/>
  <c r="BJ593" i="1"/>
  <c r="BJ601" i="1"/>
  <c r="BJ609" i="1"/>
  <c r="BJ617" i="1"/>
  <c r="BJ625" i="1"/>
  <c r="BJ633" i="1"/>
  <c r="BJ641" i="1"/>
  <c r="BJ649" i="1"/>
  <c r="BJ657" i="1"/>
  <c r="BJ665" i="1"/>
  <c r="BI693" i="1"/>
  <c r="BJ696" i="1"/>
  <c r="BI703" i="1"/>
  <c r="BI717" i="1"/>
  <c r="BI745" i="1"/>
  <c r="BI755" i="1"/>
  <c r="BJ758" i="1"/>
  <c r="BI765" i="1"/>
  <c r="BI783" i="1"/>
  <c r="BI799" i="1"/>
  <c r="BI815" i="1"/>
  <c r="BI831" i="1"/>
  <c r="BI913" i="1"/>
  <c r="BJ1031" i="1"/>
  <c r="BI1031" i="1"/>
  <c r="BI1043" i="1"/>
  <c r="BJ1043" i="1"/>
  <c r="BJ1056" i="1"/>
  <c r="BI1056" i="1"/>
  <c r="BJ1070" i="1"/>
  <c r="BI1070" i="1"/>
  <c r="BI1079" i="1"/>
  <c r="BJ1079" i="1"/>
  <c r="BI1093" i="1"/>
  <c r="BJ1093" i="1"/>
  <c r="BI1208" i="1"/>
  <c r="BJ1208" i="1"/>
  <c r="BI1065" i="1"/>
  <c r="BJ1065" i="1"/>
  <c r="BJ1080" i="1"/>
  <c r="BI1080" i="1"/>
  <c r="BJ1100" i="1"/>
  <c r="BI1100" i="1"/>
  <c r="BJ1275" i="1"/>
  <c r="BI1275" i="1"/>
  <c r="BJ1325" i="1"/>
  <c r="BI1325" i="1"/>
  <c r="BI1330" i="1"/>
  <c r="BJ1330" i="1"/>
  <c r="BJ469" i="1"/>
  <c r="BJ475" i="1"/>
  <c r="BI478" i="1"/>
  <c r="BI484" i="1"/>
  <c r="BI490" i="1"/>
  <c r="BJ495" i="1"/>
  <c r="BI498" i="1"/>
  <c r="BJ503" i="1"/>
  <c r="BI506" i="1"/>
  <c r="BJ511" i="1"/>
  <c r="BI514" i="1"/>
  <c r="BJ519" i="1"/>
  <c r="BI522" i="1"/>
  <c r="BJ527" i="1"/>
  <c r="BI530" i="1"/>
  <c r="BJ535" i="1"/>
  <c r="BI538" i="1"/>
  <c r="BJ543" i="1"/>
  <c r="BI546" i="1"/>
  <c r="BJ551" i="1"/>
  <c r="BI554" i="1"/>
  <c r="BJ559" i="1"/>
  <c r="BI562" i="1"/>
  <c r="BJ567" i="1"/>
  <c r="BI570" i="1"/>
  <c r="BJ575" i="1"/>
  <c r="BI578" i="1"/>
  <c r="BJ583" i="1"/>
  <c r="BI586" i="1"/>
  <c r="BJ591" i="1"/>
  <c r="BI594" i="1"/>
  <c r="BJ599" i="1"/>
  <c r="BI602" i="1"/>
  <c r="BJ607" i="1"/>
  <c r="BI610" i="1"/>
  <c r="BJ615" i="1"/>
  <c r="BI618" i="1"/>
  <c r="BJ623" i="1"/>
  <c r="BI626" i="1"/>
  <c r="BJ631" i="1"/>
  <c r="BI634" i="1"/>
  <c r="BJ639" i="1"/>
  <c r="BI642" i="1"/>
  <c r="BJ647" i="1"/>
  <c r="BI650" i="1"/>
  <c r="BJ655" i="1"/>
  <c r="BI658" i="1"/>
  <c r="BJ663" i="1"/>
  <c r="BI666" i="1"/>
  <c r="BJ671" i="1"/>
  <c r="BI684" i="1"/>
  <c r="BJ690" i="1"/>
  <c r="BI697" i="1"/>
  <c r="BJ710" i="1"/>
  <c r="BI729" i="1"/>
  <c r="BI739" i="1"/>
  <c r="BJ742" i="1"/>
  <c r="BI749" i="1"/>
  <c r="BI759" i="1"/>
  <c r="BI787" i="1"/>
  <c r="BI803" i="1"/>
  <c r="BI819" i="1"/>
  <c r="BI835" i="1"/>
  <c r="BI909" i="1"/>
  <c r="BJ1066" i="1"/>
  <c r="BI1066" i="1"/>
  <c r="BJ1076" i="1"/>
  <c r="BI1076" i="1"/>
  <c r="BJ1090" i="1"/>
  <c r="BI1090" i="1"/>
  <c r="BI1280" i="1"/>
  <c r="BJ1280" i="1"/>
  <c r="BJ1303" i="1"/>
  <c r="BI1303" i="1"/>
  <c r="BJ1062" i="1"/>
  <c r="BI1062" i="1"/>
  <c r="BI1204" i="1"/>
  <c r="BJ1204" i="1"/>
  <c r="BJ1293" i="1"/>
  <c r="BI1293" i="1"/>
  <c r="BI1308" i="1"/>
  <c r="BJ1308" i="1"/>
  <c r="BI1356" i="1"/>
  <c r="BJ1356" i="1"/>
  <c r="BJ1034" i="1"/>
  <c r="BI1034" i="1"/>
  <c r="BI1039" i="1"/>
  <c r="BJ1039" i="1"/>
  <c r="BJ1102" i="1"/>
  <c r="BI1102" i="1"/>
  <c r="BJ1211" i="1"/>
  <c r="BI1211" i="1"/>
  <c r="BJ1335" i="1"/>
  <c r="BI1335" i="1"/>
  <c r="BI1342" i="1"/>
  <c r="BJ1342" i="1"/>
  <c r="BI1543" i="1"/>
  <c r="BJ1543" i="1"/>
  <c r="BI1553" i="1"/>
  <c r="BJ1553" i="1"/>
  <c r="BI1368" i="1"/>
  <c r="BJ1368" i="1"/>
  <c r="BI1422" i="1"/>
  <c r="BJ1422" i="1"/>
  <c r="BI1438" i="1"/>
  <c r="BJ1438" i="1"/>
  <c r="BI1454" i="1"/>
  <c r="BJ1454" i="1"/>
  <c r="BI1470" i="1"/>
  <c r="BJ1470" i="1"/>
  <c r="BI1486" i="1"/>
  <c r="BJ1486" i="1"/>
  <c r="BI1092" i="1"/>
  <c r="BJ1095" i="1"/>
  <c r="BI1106" i="1"/>
  <c r="BI1110" i="1"/>
  <c r="BI1114" i="1"/>
  <c r="BI1118" i="1"/>
  <c r="BI1122" i="1"/>
  <c r="BI1126" i="1"/>
  <c r="BI1130" i="1"/>
  <c r="BI1134" i="1"/>
  <c r="BI1138" i="1"/>
  <c r="BI1142" i="1"/>
  <c r="BI1146" i="1"/>
  <c r="BI1150" i="1"/>
  <c r="BI1154" i="1"/>
  <c r="BI1158" i="1"/>
  <c r="BI1162" i="1"/>
  <c r="BI1166" i="1"/>
  <c r="BI1170" i="1"/>
  <c r="BI1174" i="1"/>
  <c r="BJ1194" i="1"/>
  <c r="BJ1218" i="1"/>
  <c r="BI1225" i="1"/>
  <c r="BJ1228" i="1"/>
  <c r="BJ1232" i="1"/>
  <c r="BI1245" i="1"/>
  <c r="BJ1248" i="1"/>
  <c r="BI1251" i="1"/>
  <c r="BJ1270" i="1"/>
  <c r="BJ1318" i="1"/>
  <c r="BJ1340" i="1"/>
  <c r="BJ1354" i="1"/>
  <c r="BI1359" i="1"/>
  <c r="BJ1365" i="1"/>
  <c r="BI1563" i="1"/>
  <c r="BJ1563" i="1"/>
  <c r="BJ1045" i="1"/>
  <c r="BI1052" i="1"/>
  <c r="BJ1055" i="1"/>
  <c r="BJ1061" i="1"/>
  <c r="BI1068" i="1"/>
  <c r="BI1072" i="1"/>
  <c r="BJ1075" i="1"/>
  <c r="BJ1550" i="1"/>
  <c r="BI1550" i="1"/>
  <c r="BJ1377" i="1"/>
  <c r="BI1377" i="1"/>
  <c r="BI1104" i="1"/>
  <c r="BJ1182" i="1"/>
  <c r="BI1189" i="1"/>
  <c r="BJ1226" i="1"/>
  <c r="BI1233" i="1"/>
  <c r="BJ1236" i="1"/>
  <c r="BJ1240" i="1"/>
  <c r="BI1243" i="1"/>
  <c r="BI1249" i="1"/>
  <c r="BJ1252" i="1"/>
  <c r="BJ1258" i="1"/>
  <c r="BI1289" i="1"/>
  <c r="BJ1294" i="1"/>
  <c r="BJ1314" i="1"/>
  <c r="BJ1326" i="1"/>
  <c r="BI1329" i="1"/>
  <c r="BJ1336" i="1"/>
  <c r="BJ1348" i="1"/>
  <c r="BI1355" i="1"/>
  <c r="BJ1360" i="1"/>
  <c r="BI1370" i="1"/>
  <c r="BJ1370" i="1"/>
  <c r="BI1378" i="1"/>
  <c r="BJ1378" i="1"/>
  <c r="BJ1381" i="1"/>
  <c r="BJ1385" i="1"/>
  <c r="BJ1393" i="1"/>
  <c r="BI1393" i="1"/>
  <c r="BI1374" i="1"/>
  <c r="BJ1374" i="1"/>
  <c r="BI1386" i="1"/>
  <c r="BJ1386" i="1"/>
  <c r="BJ1409" i="1"/>
  <c r="BI1409" i="1"/>
  <c r="BI1094" i="1"/>
  <c r="BJ1097" i="1"/>
  <c r="BI1183" i="1"/>
  <c r="BJ1186" i="1"/>
  <c r="BI1193" i="1"/>
  <c r="BJ1210" i="1"/>
  <c r="BI1217" i="1"/>
  <c r="BJ1220" i="1"/>
  <c r="BJ1224" i="1"/>
  <c r="BI1227" i="1"/>
  <c r="BI1247" i="1"/>
  <c r="BI1253" i="1"/>
  <c r="BJ1256" i="1"/>
  <c r="BJ1264" i="1"/>
  <c r="BJ1274" i="1"/>
  <c r="BJ1344" i="1"/>
  <c r="BI1358" i="1"/>
  <c r="BJ1358" i="1"/>
  <c r="BI1361" i="1"/>
  <c r="BI1367" i="1"/>
  <c r="BI1390" i="1"/>
  <c r="BJ1390" i="1"/>
  <c r="BI1402" i="1"/>
  <c r="BJ1402" i="1"/>
  <c r="BJ1413" i="1"/>
  <c r="BJ1429" i="1"/>
  <c r="BI1429" i="1"/>
  <c r="BJ1445" i="1"/>
  <c r="BI1445" i="1"/>
  <c r="BJ1461" i="1"/>
  <c r="BI1461" i="1"/>
  <c r="BJ1477" i="1"/>
  <c r="BI1477" i="1"/>
  <c r="BJ1493" i="1"/>
  <c r="BI1493" i="1"/>
  <c r="BJ1566" i="1"/>
  <c r="BI1566" i="1"/>
  <c r="BJ1394" i="1"/>
  <c r="BJ1410" i="1"/>
  <c r="BJ1426" i="1"/>
  <c r="BJ1442" i="1"/>
  <c r="BJ1458" i="1"/>
  <c r="BJ1474" i="1"/>
  <c r="BJ1490" i="1"/>
  <c r="BJ1505" i="1"/>
  <c r="BJ1509" i="1"/>
  <c r="BI1512" i="1"/>
  <c r="BJ1835" i="1"/>
  <c r="BJ1843" i="1"/>
  <c r="BI1852" i="1"/>
  <c r="BJ1871" i="1"/>
  <c r="BI1874" i="1"/>
  <c r="BI1890" i="1"/>
  <c r="BJ1913" i="1"/>
  <c r="BI1922" i="1"/>
  <c r="BI1937" i="1"/>
  <c r="BI1953" i="1"/>
  <c r="BJ1964" i="1"/>
  <c r="BI1964" i="1"/>
  <c r="BJ1979" i="1"/>
  <c r="BJ1988" i="1"/>
  <c r="BI2042" i="1"/>
  <c r="BJ2042" i="1"/>
  <c r="BI2068" i="1"/>
  <c r="BJ2068" i="1"/>
  <c r="BJ2202" i="1"/>
  <c r="BI2202" i="1"/>
  <c r="BJ2210" i="1"/>
  <c r="BI2210" i="1"/>
  <c r="BJ2218" i="1"/>
  <c r="BI2218" i="1"/>
  <c r="BJ2226" i="1"/>
  <c r="BI2226" i="1"/>
  <c r="BJ2234" i="1"/>
  <c r="BI2234" i="1"/>
  <c r="BJ2242" i="1"/>
  <c r="BI2242" i="1"/>
  <c r="BJ2250" i="1"/>
  <c r="BI2250" i="1"/>
  <c r="BJ2258" i="1"/>
  <c r="BI2258" i="1"/>
  <c r="BJ1954" i="1"/>
  <c r="BI1954" i="1"/>
  <c r="BI1971" i="1"/>
  <c r="BJ1971" i="1"/>
  <c r="BI1980" i="1"/>
  <c r="BJ1980" i="1"/>
  <c r="BI2019" i="1"/>
  <c r="BJ2019" i="1"/>
  <c r="BI2056" i="1"/>
  <c r="BJ2056" i="1"/>
  <c r="BI2062" i="1"/>
  <c r="BJ2062" i="1"/>
  <c r="BI2453" i="1"/>
  <c r="BJ2453" i="1"/>
  <c r="BJ2473" i="1"/>
  <c r="BI2473" i="1"/>
  <c r="BJ2555" i="1"/>
  <c r="BI2555" i="1"/>
  <c r="BJ2567" i="1"/>
  <c r="BI2567" i="1"/>
  <c r="BJ2627" i="1"/>
  <c r="BI2627" i="1"/>
  <c r="BI1833" i="1"/>
  <c r="BI1836" i="1"/>
  <c r="BI1847" i="1"/>
  <c r="BI1858" i="1"/>
  <c r="BI1861" i="1"/>
  <c r="BI1911" i="1"/>
  <c r="BI1914" i="1"/>
  <c r="BI1917" i="1"/>
  <c r="BJ1932" i="1"/>
  <c r="BI1932" i="1"/>
  <c r="BI1938" i="1"/>
  <c r="BI1944" i="1"/>
  <c r="BJ1948" i="1"/>
  <c r="BI1948" i="1"/>
  <c r="BJ1989" i="1"/>
  <c r="BI2026" i="1"/>
  <c r="BJ2026" i="1"/>
  <c r="BI2044" i="1"/>
  <c r="BJ2044" i="1"/>
  <c r="BI2050" i="1"/>
  <c r="BJ2050" i="1"/>
  <c r="BJ2429" i="1"/>
  <c r="BI2429" i="1"/>
  <c r="BI1961" i="1"/>
  <c r="BI1972" i="1"/>
  <c r="BJ1972" i="1"/>
  <c r="BI1981" i="1"/>
  <c r="BJ1981" i="1"/>
  <c r="BI2006" i="1"/>
  <c r="BJ2006" i="1"/>
  <c r="BI2064" i="1"/>
  <c r="BJ2064" i="1"/>
  <c r="BI2070" i="1"/>
  <c r="BJ2070" i="1"/>
  <c r="BJ2284" i="1"/>
  <c r="BI2284" i="1"/>
  <c r="BI1425" i="1"/>
  <c r="BJ1434" i="1"/>
  <c r="BI1441" i="1"/>
  <c r="BJ1450" i="1"/>
  <c r="BI1457" i="1"/>
  <c r="BJ1466" i="1"/>
  <c r="BI1473" i="1"/>
  <c r="BJ1482" i="1"/>
  <c r="BI1489" i="1"/>
  <c r="BJ1498" i="1"/>
  <c r="BJ1527" i="1"/>
  <c r="BI1534" i="1"/>
  <c r="BJ1537" i="1"/>
  <c r="BJ1541" i="1"/>
  <c r="BI1544" i="1"/>
  <c r="BI1842" i="1"/>
  <c r="BI1906" i="1"/>
  <c r="BI1909" i="1"/>
  <c r="BI1945" i="1"/>
  <c r="BJ1955" i="1"/>
  <c r="BJ1962" i="1"/>
  <c r="BI1962" i="1"/>
  <c r="BI1968" i="1"/>
  <c r="BJ2011" i="1"/>
  <c r="BI2052" i="1"/>
  <c r="BJ2052" i="1"/>
  <c r="BI2058" i="1"/>
  <c r="BJ2058" i="1"/>
  <c r="BI1375" i="1"/>
  <c r="BJ1384" i="1"/>
  <c r="BI1391" i="1"/>
  <c r="BJ1400" i="1"/>
  <c r="BI1407" i="1"/>
  <c r="BJ1416" i="1"/>
  <c r="BI1423" i="1"/>
  <c r="BJ1432" i="1"/>
  <c r="BI1439" i="1"/>
  <c r="BJ1448" i="1"/>
  <c r="BI1455" i="1"/>
  <c r="BJ1464" i="1"/>
  <c r="BI1471" i="1"/>
  <c r="BJ1480" i="1"/>
  <c r="BI1487" i="1"/>
  <c r="BJ1496" i="1"/>
  <c r="BI1504" i="1"/>
  <c r="BJ1551" i="1"/>
  <c r="BJ1567" i="1"/>
  <c r="BJ1571" i="1"/>
  <c r="BJ1575" i="1"/>
  <c r="BJ1579" i="1"/>
  <c r="BJ1583" i="1"/>
  <c r="BJ1587" i="1"/>
  <c r="BJ1591" i="1"/>
  <c r="BJ1595" i="1"/>
  <c r="BJ1599" i="1"/>
  <c r="BJ1603" i="1"/>
  <c r="BJ1607" i="1"/>
  <c r="BJ1611" i="1"/>
  <c r="BJ1615" i="1"/>
  <c r="BJ1619" i="1"/>
  <c r="BJ1623" i="1"/>
  <c r="BJ1627" i="1"/>
  <c r="BJ1631" i="1"/>
  <c r="BJ1635" i="1"/>
  <c r="BJ1639" i="1"/>
  <c r="BJ1643" i="1"/>
  <c r="BJ1647" i="1"/>
  <c r="BJ1651" i="1"/>
  <c r="BJ1655" i="1"/>
  <c r="BJ1659" i="1"/>
  <c r="BJ1663" i="1"/>
  <c r="BJ1667" i="1"/>
  <c r="BJ1671" i="1"/>
  <c r="BJ1675" i="1"/>
  <c r="BJ1679" i="1"/>
  <c r="BJ1882" i="1"/>
  <c r="BI1882" i="1"/>
  <c r="BJ1956" i="1"/>
  <c r="BI1956" i="1"/>
  <c r="BI2003" i="1"/>
  <c r="BJ2003" i="1"/>
  <c r="BI2028" i="1"/>
  <c r="BJ2028" i="1"/>
  <c r="BI2046" i="1"/>
  <c r="BJ2046" i="1"/>
  <c r="BI2072" i="1"/>
  <c r="BJ2072" i="1"/>
  <c r="BJ2397" i="1"/>
  <c r="BI2397" i="1"/>
  <c r="BJ1366" i="1"/>
  <c r="BJ1382" i="1"/>
  <c r="BJ1398" i="1"/>
  <c r="BJ1414" i="1"/>
  <c r="BJ1430" i="1"/>
  <c r="BJ1446" i="1"/>
  <c r="BJ1462" i="1"/>
  <c r="BJ1478" i="1"/>
  <c r="BJ1494" i="1"/>
  <c r="BJ1511" i="1"/>
  <c r="BI1518" i="1"/>
  <c r="BJ1525" i="1"/>
  <c r="BJ1555" i="1"/>
  <c r="BI1827" i="1"/>
  <c r="BI1857" i="1"/>
  <c r="BI1865" i="1"/>
  <c r="BI1868" i="1"/>
  <c r="BI1879" i="1"/>
  <c r="BI1895" i="1"/>
  <c r="BI1898" i="1"/>
  <c r="BI1901" i="1"/>
  <c r="BI1927" i="1"/>
  <c r="BI1930" i="1"/>
  <c r="BI1936" i="1"/>
  <c r="BJ1940" i="1"/>
  <c r="BI1940" i="1"/>
  <c r="BI1969" i="1"/>
  <c r="BI1999" i="1"/>
  <c r="BJ1999" i="1"/>
  <c r="BJ2023" i="1"/>
  <c r="BI2035" i="1"/>
  <c r="BJ2035" i="1"/>
  <c r="BI2060" i="1"/>
  <c r="BJ2060" i="1"/>
  <c r="BI2066" i="1"/>
  <c r="BJ2066" i="1"/>
  <c r="BI2385" i="1"/>
  <c r="BJ2385" i="1"/>
  <c r="BI1846" i="1"/>
  <c r="BI1904" i="1"/>
  <c r="BJ1907" i="1"/>
  <c r="BI1916" i="1"/>
  <c r="BJ1963" i="1"/>
  <c r="BJ1970" i="1"/>
  <c r="BI1970" i="1"/>
  <c r="BI1974" i="1"/>
  <c r="BJ1974" i="1"/>
  <c r="BI2004" i="1"/>
  <c r="BJ2004" i="1"/>
  <c r="BI2013" i="1"/>
  <c r="BJ2013" i="1"/>
  <c r="BI2048" i="1"/>
  <c r="BJ2048" i="1"/>
  <c r="BI2054" i="1"/>
  <c r="BJ2054" i="1"/>
  <c r="BJ2301" i="1"/>
  <c r="BI2301" i="1"/>
  <c r="BJ2022" i="1"/>
  <c r="BJ2031" i="1"/>
  <c r="BJ2040" i="1"/>
  <c r="BJ2180" i="1"/>
  <c r="BI2193" i="1"/>
  <c r="BJ2196" i="1"/>
  <c r="BJ2263" i="1"/>
  <c r="BI2263" i="1"/>
  <c r="BJ2277" i="1"/>
  <c r="BI2277" i="1"/>
  <c r="BI2283" i="1"/>
  <c r="BI2300" i="1"/>
  <c r="BJ2311" i="1"/>
  <c r="BI2311" i="1"/>
  <c r="BJ2325" i="1"/>
  <c r="BI2325" i="1"/>
  <c r="BI2339" i="1"/>
  <c r="BJ2339" i="1"/>
  <c r="BJ2343" i="1"/>
  <c r="BI2343" i="1"/>
  <c r="BJ2378" i="1"/>
  <c r="BI2378" i="1"/>
  <c r="BJ2389" i="1"/>
  <c r="BI2389" i="1"/>
  <c r="BJ2396" i="1"/>
  <c r="BI2396" i="1"/>
  <c r="BJ2417" i="1"/>
  <c r="BI2417" i="1"/>
  <c r="BI2421" i="1"/>
  <c r="BJ2421" i="1"/>
  <c r="BJ2561" i="1"/>
  <c r="BI2561" i="1"/>
  <c r="BJ2271" i="1"/>
  <c r="BI2271" i="1"/>
  <c r="BJ2295" i="1"/>
  <c r="BI2295" i="1"/>
  <c r="BJ2319" i="1"/>
  <c r="BI2319" i="1"/>
  <c r="BJ2467" i="1"/>
  <c r="BI2467" i="1"/>
  <c r="BJ2074" i="1"/>
  <c r="BJ2078" i="1"/>
  <c r="BJ2082" i="1"/>
  <c r="BJ2086" i="1"/>
  <c r="BJ2090" i="1"/>
  <c r="BJ2094" i="1"/>
  <c r="BJ2098" i="1"/>
  <c r="BJ2102" i="1"/>
  <c r="BJ2106" i="1"/>
  <c r="BJ2110" i="1"/>
  <c r="BJ2114" i="1"/>
  <c r="BJ2118" i="1"/>
  <c r="BJ2122" i="1"/>
  <c r="BJ2126" i="1"/>
  <c r="BJ2130" i="1"/>
  <c r="BJ2134" i="1"/>
  <c r="BJ2138" i="1"/>
  <c r="BJ2142" i="1"/>
  <c r="BJ2146" i="1"/>
  <c r="BJ2150" i="1"/>
  <c r="BJ2154" i="1"/>
  <c r="BJ2158" i="1"/>
  <c r="BJ2162" i="1"/>
  <c r="BJ2166" i="1"/>
  <c r="BJ2170" i="1"/>
  <c r="BJ2174" i="1"/>
  <c r="BJ2178" i="1"/>
  <c r="BI2181" i="1"/>
  <c r="BI2188" i="1"/>
  <c r="BJ2194" i="1"/>
  <c r="BI2197" i="1"/>
  <c r="BI2205" i="1"/>
  <c r="BI2213" i="1"/>
  <c r="BI2221" i="1"/>
  <c r="BI2229" i="1"/>
  <c r="BI2237" i="1"/>
  <c r="BI2245" i="1"/>
  <c r="BI2253" i="1"/>
  <c r="BI2261" i="1"/>
  <c r="BI2267" i="1"/>
  <c r="BJ2278" i="1"/>
  <c r="BJ2285" i="1"/>
  <c r="BI2285" i="1"/>
  <c r="BI2291" i="1"/>
  <c r="BI2308" i="1"/>
  <c r="BI2315" i="1"/>
  <c r="BI2375" i="1"/>
  <c r="BI2386" i="1"/>
  <c r="BJ2403" i="1"/>
  <c r="BI2403" i="1"/>
  <c r="BI2435" i="1"/>
  <c r="BJ2489" i="1"/>
  <c r="BI2489" i="1"/>
  <c r="BJ2529" i="1"/>
  <c r="BI2529" i="1"/>
  <c r="BJ2619" i="1"/>
  <c r="BI2619" i="1"/>
  <c r="BJ2279" i="1"/>
  <c r="BI2279" i="1"/>
  <c r="BJ2309" i="1"/>
  <c r="BI2309" i="1"/>
  <c r="BJ2327" i="1"/>
  <c r="BI2327" i="1"/>
  <c r="BJ2367" i="1"/>
  <c r="BI2367" i="1"/>
  <c r="BI2371" i="1"/>
  <c r="BJ2371" i="1"/>
  <c r="BI2399" i="1"/>
  <c r="BJ2399" i="1"/>
  <c r="BJ2410" i="1"/>
  <c r="BI2410" i="1"/>
  <c r="BJ2523" i="1"/>
  <c r="BI2523" i="1"/>
  <c r="BJ2535" i="1"/>
  <c r="BI2535" i="1"/>
  <c r="BJ2012" i="1"/>
  <c r="BJ2020" i="1"/>
  <c r="BJ2034" i="1"/>
  <c r="BJ2043" i="1"/>
  <c r="BJ2047" i="1"/>
  <c r="BJ2051" i="1"/>
  <c r="BJ2055" i="1"/>
  <c r="BJ2059" i="1"/>
  <c r="BJ2063" i="1"/>
  <c r="BJ2067" i="1"/>
  <c r="BJ2071" i="1"/>
  <c r="BJ2075" i="1"/>
  <c r="BJ2079" i="1"/>
  <c r="BJ2083" i="1"/>
  <c r="BJ2087" i="1"/>
  <c r="BJ2091" i="1"/>
  <c r="BJ2095" i="1"/>
  <c r="BJ2099" i="1"/>
  <c r="BJ2103" i="1"/>
  <c r="BJ2107" i="1"/>
  <c r="BJ2111" i="1"/>
  <c r="BJ2115" i="1"/>
  <c r="BJ2119" i="1"/>
  <c r="BJ2123" i="1"/>
  <c r="BJ2127" i="1"/>
  <c r="BJ2131" i="1"/>
  <c r="BJ2135" i="1"/>
  <c r="BJ2139" i="1"/>
  <c r="BJ2143" i="1"/>
  <c r="BJ2147" i="1"/>
  <c r="BJ2151" i="1"/>
  <c r="BJ2155" i="1"/>
  <c r="BJ2159" i="1"/>
  <c r="BJ2163" i="1"/>
  <c r="BJ2167" i="1"/>
  <c r="BJ2171" i="1"/>
  <c r="BJ2175" i="1"/>
  <c r="BI2192" i="1"/>
  <c r="BI2203" i="1"/>
  <c r="BI2211" i="1"/>
  <c r="BI2219" i="1"/>
  <c r="BI2227" i="1"/>
  <c r="BI2235" i="1"/>
  <c r="BI2243" i="1"/>
  <c r="BI2251" i="1"/>
  <c r="BI2259" i="1"/>
  <c r="BI2268" i="1"/>
  <c r="BI2275" i="1"/>
  <c r="BI2292" i="1"/>
  <c r="BJ2303" i="1"/>
  <c r="BI2303" i="1"/>
  <c r="BI2316" i="1"/>
  <c r="BJ2323" i="1"/>
  <c r="BI2323" i="1"/>
  <c r="BI2363" i="1"/>
  <c r="BJ2363" i="1"/>
  <c r="BJ2392" i="1"/>
  <c r="BI2392" i="1"/>
  <c r="BI2437" i="1"/>
  <c r="BJ2437" i="1"/>
  <c r="BJ2505" i="1"/>
  <c r="BI2505" i="1"/>
  <c r="BJ2593" i="1"/>
  <c r="BI2593" i="1"/>
  <c r="BJ2269" i="1"/>
  <c r="BI2269" i="1"/>
  <c r="BJ2293" i="1"/>
  <c r="BI2293" i="1"/>
  <c r="BJ2317" i="1"/>
  <c r="BI2317" i="1"/>
  <c r="BJ2335" i="1"/>
  <c r="BI2335" i="1"/>
  <c r="BJ2351" i="1"/>
  <c r="BI2351" i="1"/>
  <c r="BI2355" i="1"/>
  <c r="BJ2355" i="1"/>
  <c r="BJ2359" i="1"/>
  <c r="BI2359" i="1"/>
  <c r="BJ2587" i="1"/>
  <c r="BI2587" i="1"/>
  <c r="BJ2599" i="1"/>
  <c r="BI2599" i="1"/>
  <c r="BJ2076" i="1"/>
  <c r="BJ2080" i="1"/>
  <c r="BJ2084" i="1"/>
  <c r="BJ2088" i="1"/>
  <c r="BJ2092" i="1"/>
  <c r="BJ2096" i="1"/>
  <c r="BJ2100" i="1"/>
  <c r="BJ2104" i="1"/>
  <c r="BJ2108" i="1"/>
  <c r="BJ2112" i="1"/>
  <c r="BJ2116" i="1"/>
  <c r="BJ2120" i="1"/>
  <c r="BJ2124" i="1"/>
  <c r="BJ2128" i="1"/>
  <c r="BJ2132" i="1"/>
  <c r="BJ2136" i="1"/>
  <c r="BJ2140" i="1"/>
  <c r="BJ2144" i="1"/>
  <c r="BJ2148" i="1"/>
  <c r="BJ2152" i="1"/>
  <c r="BJ2156" i="1"/>
  <c r="BJ2160" i="1"/>
  <c r="BJ2164" i="1"/>
  <c r="BJ2168" i="1"/>
  <c r="BJ2172" i="1"/>
  <c r="BJ2176" i="1"/>
  <c r="BJ2186" i="1"/>
  <c r="BI2189" i="1"/>
  <c r="BI2201" i="1"/>
  <c r="BI2209" i="1"/>
  <c r="BI2217" i="1"/>
  <c r="BI2225" i="1"/>
  <c r="BI2233" i="1"/>
  <c r="BI2241" i="1"/>
  <c r="BI2249" i="1"/>
  <c r="BI2257" i="1"/>
  <c r="BI2276" i="1"/>
  <c r="BJ2287" i="1"/>
  <c r="BI2287" i="1"/>
  <c r="BJ2331" i="1"/>
  <c r="BI2331" i="1"/>
  <c r="BI2347" i="1"/>
  <c r="BJ2347" i="1"/>
  <c r="BJ2451" i="1"/>
  <c r="BI2451" i="1"/>
  <c r="BJ2635" i="1"/>
  <c r="BI2635" i="1"/>
  <c r="BI2342" i="1"/>
  <c r="BI2358" i="1"/>
  <c r="BI2388" i="1"/>
  <c r="BI2402" i="1"/>
  <c r="BI2416" i="1"/>
  <c r="BJ2469" i="1"/>
  <c r="BI2479" i="1"/>
  <c r="BI2495" i="1"/>
  <c r="BI2511" i="1"/>
  <c r="BI2531" i="1"/>
  <c r="BI2537" i="1"/>
  <c r="BI2543" i="1"/>
  <c r="BI2563" i="1"/>
  <c r="BI2569" i="1"/>
  <c r="BI2575" i="1"/>
  <c r="BI2595" i="1"/>
  <c r="BI2601" i="1"/>
  <c r="BI2607" i="1"/>
  <c r="BI2621" i="1"/>
  <c r="BI2629" i="1"/>
  <c r="BI2637" i="1"/>
  <c r="BI2445" i="1"/>
  <c r="BI2461" i="1"/>
  <c r="BI2480" i="1"/>
  <c r="BI2496" i="1"/>
  <c r="BI2512" i="1"/>
  <c r="BI2538" i="1"/>
  <c r="BI2541" i="1"/>
  <c r="BI2544" i="1"/>
  <c r="BI2570" i="1"/>
  <c r="BI2573" i="1"/>
  <c r="BI2576" i="1"/>
  <c r="BI2602" i="1"/>
  <c r="BI2605" i="1"/>
  <c r="BI2608" i="1"/>
  <c r="BI2622" i="1"/>
  <c r="BI2630" i="1"/>
  <c r="BI2638" i="1"/>
  <c r="BI2333" i="1"/>
  <c r="BI2376" i="1"/>
  <c r="BI2412" i="1"/>
  <c r="BI2474" i="1"/>
  <c r="BI2490" i="1"/>
  <c r="BI2506" i="1"/>
  <c r="BI2530" i="1"/>
  <c r="BI2533" i="1"/>
  <c r="BI2536" i="1"/>
  <c r="BI2562" i="1"/>
  <c r="BI2565" i="1"/>
  <c r="BI2568" i="1"/>
  <c r="BI2594" i="1"/>
  <c r="BI2597" i="1"/>
  <c r="BI2600" i="1"/>
  <c r="BI2620" i="1"/>
  <c r="BI2628" i="1"/>
  <c r="BI2636" i="1"/>
  <c r="BI2472" i="1"/>
  <c r="BI2488" i="1"/>
  <c r="BI2504" i="1"/>
  <c r="BI2522" i="1"/>
  <c r="BI2525" i="1"/>
  <c r="BI2528" i="1"/>
  <c r="BI2554" i="1"/>
  <c r="BI2557" i="1"/>
  <c r="BI2560" i="1"/>
  <c r="BI2586" i="1"/>
  <c r="BI2589" i="1"/>
  <c r="BI2592" i="1"/>
  <c r="BI2618" i="1"/>
  <c r="BI2626" i="1"/>
  <c r="BI2634" i="1"/>
  <c r="BK10" i="1"/>
  <c r="BM10" i="1" s="1"/>
  <c r="BK134" i="1"/>
  <c r="BM134" i="1" s="1"/>
  <c r="BK133" i="1"/>
  <c r="BM133" i="1" s="1"/>
  <c r="BK132" i="1"/>
  <c r="BM132" i="1" s="1"/>
  <c r="BK131" i="1"/>
  <c r="BM131" i="1" s="1"/>
  <c r="BK130" i="1"/>
  <c r="BM130" i="1" s="1"/>
  <c r="BK129" i="1"/>
  <c r="BM129" i="1" s="1"/>
  <c r="BK127" i="1"/>
  <c r="BM127" i="1" s="1"/>
  <c r="BK125" i="1"/>
  <c r="BM125" i="1" s="1"/>
  <c r="BK25" i="1"/>
  <c r="BM25" i="1" s="1"/>
  <c r="BK27" i="1"/>
  <c r="BM27" i="1" s="1"/>
  <c r="BK29" i="1"/>
  <c r="BM29" i="1" s="1"/>
  <c r="BK28" i="1"/>
  <c r="BM28" i="1" s="1"/>
  <c r="BK31" i="1"/>
  <c r="BM31" i="1" s="1"/>
  <c r="BK30" i="1"/>
  <c r="BM30" i="1" s="1"/>
  <c r="BK33" i="1"/>
  <c r="BM33" i="1" s="1"/>
  <c r="BK123" i="1"/>
  <c r="BM123" i="1" s="1"/>
  <c r="BK121" i="1"/>
  <c r="BM121" i="1" s="1"/>
  <c r="BK120" i="1"/>
  <c r="BM120" i="1" s="1"/>
  <c r="BK119" i="1"/>
  <c r="BM119" i="1" s="1"/>
  <c r="BK21" i="1"/>
  <c r="BM21" i="1" s="1"/>
  <c r="BK16" i="1"/>
  <c r="BM16" i="1" s="1"/>
  <c r="BK118" i="1"/>
  <c r="BM118" i="1" s="1"/>
  <c r="BK117" i="1"/>
  <c r="BM117" i="1" s="1"/>
  <c r="BK116" i="1"/>
  <c r="BM116" i="1" s="1"/>
  <c r="BK115" i="1"/>
  <c r="BM115" i="1" s="1"/>
  <c r="BK17" i="1"/>
  <c r="BM17" i="1" s="1"/>
  <c r="BK19" i="1"/>
  <c r="BM19" i="1" s="1"/>
  <c r="BK18" i="1"/>
  <c r="BM18" i="1" s="1"/>
  <c r="BK15" i="1"/>
  <c r="BM15" i="1" s="1"/>
  <c r="BK23" i="1"/>
  <c r="BM23" i="1" s="1"/>
  <c r="BK203" i="1"/>
  <c r="BM203" i="1" s="1"/>
  <c r="BK201" i="1"/>
  <c r="BM201" i="1" s="1"/>
  <c r="BK199" i="1"/>
  <c r="BM199" i="1" s="1"/>
  <c r="BK197" i="1"/>
  <c r="BM197" i="1" s="1"/>
  <c r="BK195" i="1"/>
  <c r="BM195" i="1" s="1"/>
  <c r="BK97" i="1"/>
  <c r="BM97" i="1" s="1"/>
  <c r="BK104" i="1"/>
  <c r="BM104" i="1" s="1"/>
  <c r="BK103" i="1"/>
  <c r="BM103" i="1" s="1"/>
  <c r="BK96" i="1"/>
  <c r="BM96" i="1" s="1"/>
  <c r="BK95" i="1"/>
  <c r="BM95" i="1" s="1"/>
  <c r="BK102" i="1"/>
  <c r="BM102" i="1" s="1"/>
  <c r="BK101" i="1"/>
  <c r="BM101" i="1" s="1"/>
  <c r="BK100" i="1"/>
  <c r="BM100" i="1" s="1"/>
  <c r="BK99" i="1"/>
  <c r="BM99" i="1" s="1"/>
  <c r="BK193" i="1"/>
  <c r="BM193" i="1" s="1"/>
  <c r="BK191" i="1"/>
  <c r="BM191" i="1" s="1"/>
  <c r="BK189" i="1"/>
  <c r="BM189" i="1" s="1"/>
  <c r="BK187" i="1"/>
  <c r="BM187" i="1" s="1"/>
  <c r="BK185" i="1"/>
  <c r="BM185" i="1" s="1"/>
  <c r="BK85" i="1"/>
  <c r="BM85" i="1" s="1"/>
  <c r="BK89" i="1"/>
  <c r="BM89" i="1" s="1"/>
  <c r="BK88" i="1"/>
  <c r="BM88" i="1" s="1"/>
  <c r="BK87" i="1"/>
  <c r="BM87" i="1" s="1"/>
  <c r="BK94" i="1"/>
  <c r="BM94" i="1" s="1"/>
  <c r="BK93" i="1"/>
  <c r="BM93" i="1" s="1"/>
  <c r="BK92" i="1"/>
  <c r="BM92" i="1" s="1"/>
  <c r="BK91" i="1"/>
  <c r="BM91" i="1" s="1"/>
  <c r="BK183" i="1"/>
  <c r="BM183" i="1" s="1"/>
  <c r="BK181" i="1"/>
  <c r="BM181" i="1" s="1"/>
  <c r="BK179" i="1"/>
  <c r="BM179" i="1" s="1"/>
  <c r="BK177" i="1"/>
  <c r="BM177" i="1" s="1"/>
  <c r="BK81" i="1"/>
  <c r="BM81" i="1" s="1"/>
  <c r="BK77" i="1"/>
  <c r="BM77" i="1" s="1"/>
  <c r="BK175" i="1"/>
  <c r="BM175" i="1" s="1"/>
  <c r="BK84" i="1"/>
  <c r="BM84" i="1" s="1"/>
  <c r="BK83" i="1"/>
  <c r="BM83" i="1" s="1"/>
  <c r="BK80" i="1"/>
  <c r="BM80" i="1" s="1"/>
  <c r="BK79" i="1"/>
  <c r="BM79" i="1" s="1"/>
  <c r="BK76" i="1"/>
  <c r="BM76" i="1" s="1"/>
  <c r="BK75" i="1"/>
  <c r="BM75" i="1" s="1"/>
  <c r="BK163" i="1"/>
  <c r="BM163" i="1" s="1"/>
  <c r="BK161" i="1"/>
  <c r="BM161" i="1" s="1"/>
  <c r="BK159" i="1"/>
  <c r="BM159" i="1" s="1"/>
  <c r="BK157" i="1"/>
  <c r="BM157" i="1" s="1"/>
  <c r="BK155" i="1"/>
  <c r="BM155" i="1" s="1"/>
  <c r="BK57" i="1"/>
  <c r="BM57" i="1" s="1"/>
  <c r="BK59" i="1"/>
  <c r="BM59" i="1" s="1"/>
  <c r="BK61" i="1"/>
  <c r="BM61" i="1" s="1"/>
  <c r="BK60" i="1"/>
  <c r="BM60" i="1" s="1"/>
  <c r="BK63" i="1"/>
  <c r="BM63" i="1" s="1"/>
  <c r="BK62" i="1"/>
  <c r="BM62" i="1" s="1"/>
  <c r="BK55" i="1"/>
  <c r="BM55" i="1" s="1"/>
  <c r="BK13" i="1"/>
  <c r="BM13" i="1" s="1"/>
  <c r="BK9" i="1"/>
  <c r="BM9" i="1" s="1"/>
  <c r="BK14" i="1"/>
  <c r="BM14" i="1" s="1"/>
  <c r="BK11" i="1"/>
  <c r="BM11" i="1" s="1"/>
  <c r="BL133" i="1"/>
  <c r="BN133" i="1" s="1"/>
  <c r="BL131" i="1"/>
  <c r="BN131" i="1" s="1"/>
  <c r="BL129" i="1"/>
  <c r="BN129" i="1" s="1"/>
  <c r="BL127" i="1"/>
  <c r="BN127" i="1" s="1"/>
  <c r="BL125" i="1"/>
  <c r="BN125" i="1" s="1"/>
  <c r="BL26" i="1"/>
  <c r="BN26" i="1" s="1"/>
  <c r="BL28" i="1"/>
  <c r="BN28" i="1" s="1"/>
  <c r="BL31" i="1"/>
  <c r="BN31" i="1" s="1"/>
  <c r="BL30" i="1"/>
  <c r="BN30" i="1" s="1"/>
  <c r="BL33" i="1"/>
  <c r="BN33" i="1" s="1"/>
  <c r="BL32" i="1"/>
  <c r="BN32" i="1" s="1"/>
  <c r="BL34" i="1"/>
  <c r="BN34" i="1" s="1"/>
  <c r="BL25" i="1"/>
  <c r="BN25" i="1" s="1"/>
  <c r="BL121" i="1"/>
  <c r="BN121" i="1" s="1"/>
  <c r="BL119" i="1"/>
  <c r="BN119" i="1" s="1"/>
  <c r="BL117" i="1"/>
  <c r="BN117" i="1" s="1"/>
  <c r="BL115" i="1"/>
  <c r="BN115" i="1" s="1"/>
  <c r="BL17" i="1"/>
  <c r="BN17" i="1" s="1"/>
  <c r="BL123" i="1"/>
  <c r="BN123" i="1" s="1"/>
  <c r="BL15" i="1"/>
  <c r="BN15" i="1" s="1"/>
  <c r="BL23" i="1"/>
  <c r="BN23" i="1" s="1"/>
  <c r="BL22" i="1"/>
  <c r="BN22" i="1" s="1"/>
  <c r="BL24" i="1"/>
  <c r="BN24" i="1" s="1"/>
  <c r="BL19" i="1"/>
  <c r="BN19" i="1" s="1"/>
  <c r="BL18" i="1"/>
  <c r="BN18" i="1" s="1"/>
  <c r="BL203" i="1"/>
  <c r="BN203" i="1" s="1"/>
  <c r="BL201" i="1"/>
  <c r="BN201" i="1" s="1"/>
  <c r="BL199" i="1"/>
  <c r="BN199" i="1" s="1"/>
  <c r="BL197" i="1"/>
  <c r="BN197" i="1" s="1"/>
  <c r="BL195" i="1"/>
  <c r="BN195" i="1" s="1"/>
  <c r="BL102" i="1"/>
  <c r="BN102" i="1" s="1"/>
  <c r="BL101" i="1"/>
  <c r="BN101" i="1" s="1"/>
  <c r="BL193" i="1"/>
  <c r="BN193" i="1" s="1"/>
  <c r="BL191" i="1"/>
  <c r="BN191" i="1" s="1"/>
  <c r="BL189" i="1"/>
  <c r="BN189" i="1" s="1"/>
  <c r="BL187" i="1"/>
  <c r="BN187" i="1" s="1"/>
  <c r="BL185" i="1"/>
  <c r="BN185" i="1" s="1"/>
  <c r="BL90" i="1"/>
  <c r="BN90" i="1" s="1"/>
  <c r="BL88" i="1"/>
  <c r="BN88" i="1" s="1"/>
  <c r="BL87" i="1"/>
  <c r="BN87" i="1" s="1"/>
  <c r="BL94" i="1"/>
  <c r="BN94" i="1" s="1"/>
  <c r="BL93" i="1"/>
  <c r="BN93" i="1" s="1"/>
  <c r="BL86" i="1"/>
  <c r="BN86" i="1" s="1"/>
  <c r="BL183" i="1"/>
  <c r="BN183" i="1" s="1"/>
  <c r="BL177" i="1"/>
  <c r="BN177" i="1" s="1"/>
  <c r="BL175" i="1"/>
  <c r="BN175" i="1" s="1"/>
  <c r="BL179" i="1"/>
  <c r="BN179" i="1" s="1"/>
  <c r="BL84" i="1"/>
  <c r="BN84" i="1" s="1"/>
  <c r="BL83" i="1"/>
  <c r="BN83" i="1" s="1"/>
  <c r="BL80" i="1"/>
  <c r="BN80" i="1" s="1"/>
  <c r="BL79" i="1"/>
  <c r="BN79" i="1" s="1"/>
  <c r="BL76" i="1"/>
  <c r="BN76" i="1" s="1"/>
  <c r="BL75" i="1"/>
  <c r="BN75" i="1" s="1"/>
  <c r="BL181" i="1"/>
  <c r="BN181" i="1" s="1"/>
  <c r="BL82" i="1"/>
  <c r="BN82" i="1" s="1"/>
  <c r="BL78" i="1"/>
  <c r="BN78" i="1" s="1"/>
  <c r="BL163" i="1"/>
  <c r="BN163" i="1" s="1"/>
  <c r="BL161" i="1"/>
  <c r="BN161" i="1" s="1"/>
  <c r="BL159" i="1"/>
  <c r="BN159" i="1" s="1"/>
  <c r="BL157" i="1"/>
  <c r="BN157" i="1" s="1"/>
  <c r="BL155" i="1"/>
  <c r="BN155" i="1" s="1"/>
  <c r="BL58" i="1"/>
  <c r="BN58" i="1" s="1"/>
  <c r="BL60" i="1"/>
  <c r="BN60" i="1" s="1"/>
  <c r="BL63" i="1"/>
  <c r="BN63" i="1" s="1"/>
  <c r="BL62" i="1"/>
  <c r="BN62" i="1" s="1"/>
  <c r="BL64" i="1"/>
  <c r="BN64" i="1" s="1"/>
  <c r="BL55" i="1"/>
  <c r="BN55" i="1" s="1"/>
  <c r="BL57" i="1"/>
  <c r="BN57" i="1" s="1"/>
  <c r="BL56" i="1"/>
  <c r="BN56" i="1" s="1"/>
  <c r="BL9" i="1"/>
  <c r="BN9" i="1" s="1"/>
  <c r="BL7" i="1"/>
  <c r="BN7" i="1" s="1"/>
  <c r="BL5" i="1"/>
  <c r="BN5" i="1" s="1"/>
  <c r="BL14" i="1"/>
  <c r="BN14" i="1" s="1"/>
  <c r="BL11" i="1"/>
  <c r="BN11" i="1" s="1"/>
  <c r="BL10" i="1"/>
  <c r="BN10" i="1" s="1"/>
  <c r="BK151" i="1"/>
  <c r="BM151" i="1" s="1"/>
  <c r="BK150" i="1"/>
  <c r="BM150" i="1" s="1"/>
  <c r="BK149" i="1"/>
  <c r="BM149" i="1" s="1"/>
  <c r="BK148" i="1"/>
  <c r="BM148" i="1" s="1"/>
  <c r="BK147" i="1"/>
  <c r="BM147" i="1" s="1"/>
  <c r="BK153" i="1"/>
  <c r="BM153" i="1" s="1"/>
  <c r="BK146" i="1"/>
  <c r="BM146" i="1" s="1"/>
  <c r="BK145" i="1"/>
  <c r="BM145" i="1" s="1"/>
  <c r="BK45" i="1"/>
  <c r="BM45" i="1" s="1"/>
  <c r="BK47" i="1"/>
  <c r="BM47" i="1" s="1"/>
  <c r="BK46" i="1"/>
  <c r="BM46" i="1" s="1"/>
  <c r="BK49" i="1"/>
  <c r="BM49" i="1" s="1"/>
  <c r="BK51" i="1"/>
  <c r="BM51" i="1" s="1"/>
  <c r="BK53" i="1"/>
  <c r="BM53" i="1" s="1"/>
  <c r="BK52" i="1"/>
  <c r="BM52" i="1" s="1"/>
  <c r="BK54" i="1"/>
  <c r="BM54" i="1" s="1"/>
  <c r="BK143" i="1"/>
  <c r="BM143" i="1" s="1"/>
  <c r="BK135" i="1"/>
  <c r="BM135" i="1" s="1"/>
  <c r="BK142" i="1"/>
  <c r="BM142" i="1" s="1"/>
  <c r="BK141" i="1"/>
  <c r="BM141" i="1" s="1"/>
  <c r="BK140" i="1"/>
  <c r="BM140" i="1" s="1"/>
  <c r="BK139" i="1"/>
  <c r="BM139" i="1" s="1"/>
  <c r="BK137" i="1"/>
  <c r="BM137" i="1" s="1"/>
  <c r="BK41" i="1"/>
  <c r="BM41" i="1" s="1"/>
  <c r="BK43" i="1"/>
  <c r="BM43" i="1" s="1"/>
  <c r="BK44" i="1"/>
  <c r="BM44" i="1" s="1"/>
  <c r="BK35" i="1"/>
  <c r="BM35" i="1" s="1"/>
  <c r="BK37" i="1"/>
  <c r="BM37" i="1" s="1"/>
  <c r="BK36" i="1"/>
  <c r="BM36" i="1" s="1"/>
  <c r="BK39" i="1"/>
  <c r="BM39" i="1" s="1"/>
  <c r="BK38" i="1"/>
  <c r="BM38" i="1" s="1"/>
  <c r="BK165" i="1"/>
  <c r="BM165" i="1" s="1"/>
  <c r="BK173" i="1"/>
  <c r="BM173" i="1" s="1"/>
  <c r="BK171" i="1"/>
  <c r="BM171" i="1" s="1"/>
  <c r="BK169" i="1"/>
  <c r="BM169" i="1" s="1"/>
  <c r="BK167" i="1"/>
  <c r="BM167" i="1" s="1"/>
  <c r="BK213" i="1"/>
  <c r="BM213" i="1" s="1"/>
  <c r="BK211" i="1"/>
  <c r="BM211" i="1" s="1"/>
  <c r="BK209" i="1"/>
  <c r="BM209" i="1" s="1"/>
  <c r="BK207" i="1"/>
  <c r="BM207" i="1" s="1"/>
  <c r="BK205" i="1"/>
  <c r="BM205" i="1" s="1"/>
  <c r="BK107" i="1"/>
  <c r="BM107" i="1" s="1"/>
  <c r="BK105" i="1"/>
  <c r="BM105" i="1" s="1"/>
  <c r="BK114" i="1"/>
  <c r="BM114" i="1" s="1"/>
  <c r="BK113" i="1"/>
  <c r="BM113" i="1" s="1"/>
  <c r="BK111" i="1"/>
  <c r="BM111" i="1" s="1"/>
  <c r="BK110" i="1"/>
  <c r="BM110" i="1" s="1"/>
  <c r="BK109" i="1"/>
  <c r="BM109" i="1" s="1"/>
  <c r="BL149" i="1"/>
  <c r="BN149" i="1" s="1"/>
  <c r="BL147" i="1"/>
  <c r="BN147" i="1" s="1"/>
  <c r="BL153" i="1"/>
  <c r="BN153" i="1" s="1"/>
  <c r="BL145" i="1"/>
  <c r="BN145" i="1" s="1"/>
  <c r="BL151" i="1"/>
  <c r="BN151" i="1" s="1"/>
  <c r="BL47" i="1"/>
  <c r="BN47" i="1" s="1"/>
  <c r="BL46" i="1"/>
  <c r="BN46" i="1" s="1"/>
  <c r="BL49" i="1"/>
  <c r="BN49" i="1" s="1"/>
  <c r="BL48" i="1"/>
  <c r="BN48" i="1" s="1"/>
  <c r="BL50" i="1"/>
  <c r="BN50" i="1" s="1"/>
  <c r="BL52" i="1"/>
  <c r="BN52" i="1" s="1"/>
  <c r="BL54" i="1"/>
  <c r="BN54" i="1" s="1"/>
  <c r="BL141" i="1"/>
  <c r="BN141" i="1" s="1"/>
  <c r="BL139" i="1"/>
  <c r="BN139" i="1" s="1"/>
  <c r="BL137" i="1"/>
  <c r="BN137" i="1" s="1"/>
  <c r="BL143" i="1"/>
  <c r="BN143" i="1" s="1"/>
  <c r="BL135" i="1"/>
  <c r="BN135" i="1" s="1"/>
  <c r="BL42" i="1"/>
  <c r="BN42" i="1" s="1"/>
  <c r="BL44" i="1"/>
  <c r="BN44" i="1" s="1"/>
  <c r="BL36" i="1"/>
  <c r="BN36" i="1" s="1"/>
  <c r="BL39" i="1"/>
  <c r="BN39" i="1" s="1"/>
  <c r="BL38" i="1"/>
  <c r="BN38" i="1" s="1"/>
  <c r="BL41" i="1"/>
  <c r="BN41" i="1" s="1"/>
  <c r="BL40" i="1"/>
  <c r="BN40" i="1" s="1"/>
  <c r="BL173" i="1"/>
  <c r="BN173" i="1" s="1"/>
  <c r="BL171" i="1"/>
  <c r="BN171" i="1" s="1"/>
  <c r="BL169" i="1"/>
  <c r="BN169" i="1" s="1"/>
  <c r="BL167" i="1"/>
  <c r="BN167" i="1" s="1"/>
  <c r="BL165" i="1"/>
  <c r="BN165" i="1" s="1"/>
  <c r="BL213" i="1"/>
  <c r="BN213" i="1" s="1"/>
  <c r="BL211" i="1"/>
  <c r="BN211" i="1" s="1"/>
  <c r="BL209" i="1"/>
  <c r="BN209" i="1" s="1"/>
  <c r="BL207" i="1"/>
  <c r="BN207" i="1" s="1"/>
  <c r="BL205" i="1"/>
  <c r="BN205" i="1" s="1"/>
  <c r="BL113" i="1"/>
  <c r="BN113" i="1" s="1"/>
  <c r="BL111" i="1"/>
  <c r="BN111" i="1" s="1"/>
  <c r="BL109" i="1"/>
  <c r="BN109" i="1" s="1"/>
  <c r="BL107" i="1"/>
  <c r="BN107" i="1" s="1"/>
  <c r="BK22" i="1"/>
  <c r="BM22" i="1" s="1"/>
  <c r="BI37" i="1"/>
  <c r="BJ37" i="1" s="1"/>
  <c r="BI53" i="1"/>
  <c r="BJ53" i="1" s="1"/>
  <c r="BK73" i="1"/>
  <c r="BM73" i="1" s="1"/>
  <c r="BK69" i="1"/>
  <c r="BM69" i="1" s="1"/>
  <c r="BK66" i="1"/>
  <c r="BM66" i="1" s="1"/>
  <c r="BG66" i="1"/>
  <c r="BK71" i="1"/>
  <c r="BM71" i="1" s="1"/>
  <c r="BK67" i="1"/>
  <c r="BM67" i="1" s="1"/>
  <c r="BI67" i="1"/>
  <c r="BJ67" i="1" s="1"/>
  <c r="BL71" i="1"/>
  <c r="BN71" i="1" s="1"/>
  <c r="BL12" i="1"/>
  <c r="BN12" i="1" s="1"/>
  <c r="BI35" i="1"/>
  <c r="BJ35" i="1" s="1"/>
  <c r="BI51" i="1"/>
  <c r="BJ51" i="1" s="1"/>
  <c r="BK70" i="1"/>
  <c r="BM70" i="1" s="1"/>
  <c r="BK86" i="1"/>
  <c r="BM86" i="1" s="1"/>
  <c r="BK122" i="1"/>
  <c r="BM122" i="1" s="1"/>
  <c r="BK136" i="1"/>
  <c r="BM136" i="1" s="1"/>
  <c r="BG5" i="1"/>
  <c r="BK5" i="1"/>
  <c r="BM5" i="1" s="1"/>
  <c r="BI11" i="1"/>
  <c r="BJ11" i="1" s="1"/>
  <c r="BI12" i="1"/>
  <c r="BJ12" i="1" s="1"/>
  <c r="BL13" i="1"/>
  <c r="BN13" i="1" s="1"/>
  <c r="BI33" i="1"/>
  <c r="BJ33" i="1" s="1"/>
  <c r="BK34" i="1"/>
  <c r="BM34" i="1" s="1"/>
  <c r="BL37" i="1"/>
  <c r="BN37" i="1" s="1"/>
  <c r="BI49" i="1"/>
  <c r="BJ49" i="1" s="1"/>
  <c r="BK50" i="1"/>
  <c r="BM50" i="1" s="1"/>
  <c r="BL53" i="1"/>
  <c r="BN53" i="1" s="1"/>
  <c r="BI65" i="1"/>
  <c r="BJ65" i="1" s="1"/>
  <c r="BL72" i="1"/>
  <c r="BN72" i="1" s="1"/>
  <c r="BL68" i="1"/>
  <c r="BN68" i="1" s="1"/>
  <c r="BL74" i="1"/>
  <c r="BN74" i="1" s="1"/>
  <c r="BL73" i="1"/>
  <c r="BN73" i="1" s="1"/>
  <c r="BL70" i="1"/>
  <c r="BN70" i="1" s="1"/>
  <c r="BL66" i="1"/>
  <c r="BN66" i="1" s="1"/>
  <c r="BK6" i="1"/>
  <c r="BM6" i="1" s="1"/>
  <c r="BG6" i="1"/>
  <c r="BI15" i="1"/>
  <c r="BJ15" i="1" s="1"/>
  <c r="BJ16" i="1"/>
  <c r="BL16" i="1"/>
  <c r="BN16" i="1" s="1"/>
  <c r="BI31" i="1"/>
  <c r="BJ31" i="1" s="1"/>
  <c r="BK32" i="1"/>
  <c r="BM32" i="1" s="1"/>
  <c r="BL35" i="1"/>
  <c r="BN35" i="1" s="1"/>
  <c r="BI47" i="1"/>
  <c r="BJ47" i="1" s="1"/>
  <c r="BK48" i="1"/>
  <c r="BM48" i="1" s="1"/>
  <c r="BL51" i="1"/>
  <c r="BN51" i="1" s="1"/>
  <c r="BI63" i="1"/>
  <c r="BJ63" i="1" s="1"/>
  <c r="BK64" i="1"/>
  <c r="BM64" i="1" s="1"/>
  <c r="BK82" i="1"/>
  <c r="BM82" i="1" s="1"/>
  <c r="BK108" i="1"/>
  <c r="BM108" i="1" s="1"/>
  <c r="BK112" i="1"/>
  <c r="BM112" i="1" s="1"/>
  <c r="BL6" i="1"/>
  <c r="BN6" i="1" s="1"/>
  <c r="BG7" i="1"/>
  <c r="BK7" i="1"/>
  <c r="BM7" i="1" s="1"/>
  <c r="BI29" i="1"/>
  <c r="BJ29" i="1" s="1"/>
  <c r="BI45" i="1"/>
  <c r="BJ45" i="1" s="1"/>
  <c r="BI61" i="1"/>
  <c r="BJ61" i="1" s="1"/>
  <c r="BK72" i="1"/>
  <c r="BM72" i="1" s="1"/>
  <c r="BL92" i="1"/>
  <c r="BN92" i="1" s="1"/>
  <c r="BL100" i="1"/>
  <c r="BN100" i="1" s="1"/>
  <c r="BK8" i="1"/>
  <c r="BM8" i="1" s="1"/>
  <c r="BG8" i="1"/>
  <c r="BL20" i="1"/>
  <c r="BN20" i="1" s="1"/>
  <c r="BI27" i="1"/>
  <c r="BJ27" i="1" s="1"/>
  <c r="BI43" i="1"/>
  <c r="BJ43" i="1" s="1"/>
  <c r="BI59" i="1"/>
  <c r="BJ59" i="1" s="1"/>
  <c r="BK68" i="1"/>
  <c r="BM68" i="1" s="1"/>
  <c r="BG68" i="1"/>
  <c r="BK78" i="1"/>
  <c r="BM78" i="1" s="1"/>
  <c r="BK124" i="1"/>
  <c r="BM124" i="1" s="1"/>
  <c r="BK128" i="1"/>
  <c r="BM128" i="1" s="1"/>
  <c r="BK152" i="1"/>
  <c r="BM152" i="1" s="1"/>
  <c r="BL8" i="1"/>
  <c r="BN8" i="1" s="1"/>
  <c r="BI19" i="1"/>
  <c r="BJ19" i="1" s="1"/>
  <c r="BI20" i="1"/>
  <c r="BJ20" i="1" s="1"/>
  <c r="BL21" i="1"/>
  <c r="BN21" i="1" s="1"/>
  <c r="BI25" i="1"/>
  <c r="BJ25" i="1" s="1"/>
  <c r="BK26" i="1"/>
  <c r="BM26" i="1" s="1"/>
  <c r="BL29" i="1"/>
  <c r="BN29" i="1" s="1"/>
  <c r="BI41" i="1"/>
  <c r="BJ41" i="1" s="1"/>
  <c r="BK42" i="1"/>
  <c r="BM42" i="1" s="1"/>
  <c r="BL45" i="1"/>
  <c r="BN45" i="1" s="1"/>
  <c r="BI57" i="1"/>
  <c r="BJ57" i="1" s="1"/>
  <c r="BK58" i="1"/>
  <c r="BM58" i="1" s="1"/>
  <c r="BL61" i="1"/>
  <c r="BN61" i="1" s="1"/>
  <c r="BK138" i="1"/>
  <c r="BM138" i="1" s="1"/>
  <c r="BI23" i="1"/>
  <c r="BJ23" i="1" s="1"/>
  <c r="BK24" i="1"/>
  <c r="BM24" i="1" s="1"/>
  <c r="BL27" i="1"/>
  <c r="BN27" i="1" s="1"/>
  <c r="BI39" i="1"/>
  <c r="BJ39" i="1" s="1"/>
  <c r="BK40" i="1"/>
  <c r="BM40" i="1" s="1"/>
  <c r="BL43" i="1"/>
  <c r="BN43" i="1" s="1"/>
  <c r="BI55" i="1"/>
  <c r="BJ55" i="1" s="1"/>
  <c r="BK56" i="1"/>
  <c r="BM56" i="1" s="1"/>
  <c r="BL59" i="1"/>
  <c r="BN59" i="1" s="1"/>
  <c r="BK74" i="1"/>
  <c r="BM74" i="1" s="1"/>
  <c r="BK90" i="1"/>
  <c r="BM90" i="1" s="1"/>
  <c r="BK98" i="1"/>
  <c r="BM98" i="1" s="1"/>
  <c r="BK106" i="1"/>
  <c r="BM106" i="1" s="1"/>
  <c r="BK144" i="1"/>
  <c r="BM144" i="1" s="1"/>
  <c r="BL77" i="1"/>
  <c r="BN77" i="1" s="1"/>
  <c r="BL81" i="1"/>
  <c r="BN81" i="1" s="1"/>
  <c r="BL85" i="1"/>
  <c r="BN85" i="1" s="1"/>
  <c r="BL112" i="1"/>
  <c r="BN112" i="1" s="1"/>
  <c r="BI112" i="1"/>
  <c r="BJ112" i="1" s="1"/>
  <c r="BK126" i="1"/>
  <c r="BM126" i="1" s="1"/>
  <c r="BL128" i="1"/>
  <c r="BN128" i="1" s="1"/>
  <c r="BI128" i="1"/>
  <c r="BJ128" i="1" s="1"/>
  <c r="BL138" i="1"/>
  <c r="BN138" i="1" s="1"/>
  <c r="BI138" i="1"/>
  <c r="BJ138" i="1" s="1"/>
  <c r="BL146" i="1"/>
  <c r="BN146" i="1" s="1"/>
  <c r="BI146" i="1"/>
  <c r="BJ146" i="1" s="1"/>
  <c r="BL154" i="1"/>
  <c r="BN154" i="1" s="1"/>
  <c r="BI154" i="1"/>
  <c r="BJ154" i="1" s="1"/>
  <c r="BK158" i="1"/>
  <c r="BM158" i="1" s="1"/>
  <c r="BL170" i="1"/>
  <c r="BN170" i="1" s="1"/>
  <c r="BI170" i="1"/>
  <c r="BJ170" i="1" s="1"/>
  <c r="BK174" i="1"/>
  <c r="BM174" i="1" s="1"/>
  <c r="BG180" i="1"/>
  <c r="BK180" i="1"/>
  <c r="BM180" i="1" s="1"/>
  <c r="BL182" i="1"/>
  <c r="BN182" i="1" s="1"/>
  <c r="BI182" i="1"/>
  <c r="BJ182" i="1" s="1"/>
  <c r="BL188" i="1"/>
  <c r="BN188" i="1" s="1"/>
  <c r="BL204" i="1"/>
  <c r="BN204" i="1" s="1"/>
  <c r="BL214" i="1"/>
  <c r="BN214" i="1" s="1"/>
  <c r="BJ10" i="1"/>
  <c r="BK12" i="1"/>
  <c r="BM12" i="1" s="1"/>
  <c r="BJ18" i="1"/>
  <c r="BK20" i="1"/>
  <c r="BM20" i="1" s="1"/>
  <c r="BI71" i="1"/>
  <c r="BJ71" i="1" s="1"/>
  <c r="BG72" i="1"/>
  <c r="BI75" i="1"/>
  <c r="BJ75" i="1" s="1"/>
  <c r="BI79" i="1"/>
  <c r="BJ79" i="1" s="1"/>
  <c r="BI83" i="1"/>
  <c r="BJ83" i="1" s="1"/>
  <c r="BI87" i="1"/>
  <c r="BJ87" i="1" s="1"/>
  <c r="BL91" i="1"/>
  <c r="BN91" i="1" s="1"/>
  <c r="BJ93" i="1"/>
  <c r="BI94" i="1"/>
  <c r="BJ94" i="1" s="1"/>
  <c r="BL99" i="1"/>
  <c r="BN99" i="1" s="1"/>
  <c r="BJ101" i="1"/>
  <c r="BI102" i="1"/>
  <c r="BJ102" i="1" s="1"/>
  <c r="BL114" i="1"/>
  <c r="BN114" i="1" s="1"/>
  <c r="BI114" i="1"/>
  <c r="BJ114" i="1" s="1"/>
  <c r="BL130" i="1"/>
  <c r="BN130" i="1" s="1"/>
  <c r="BI130" i="1"/>
  <c r="BJ130" i="1" s="1"/>
  <c r="BL156" i="1"/>
  <c r="BN156" i="1" s="1"/>
  <c r="BI156" i="1"/>
  <c r="BJ156" i="1" s="1"/>
  <c r="BG158" i="1"/>
  <c r="BK160" i="1"/>
  <c r="BM160" i="1" s="1"/>
  <c r="BL172" i="1"/>
  <c r="BN172" i="1" s="1"/>
  <c r="BI172" i="1"/>
  <c r="BJ172" i="1" s="1"/>
  <c r="BG174" i="1"/>
  <c r="BK176" i="1"/>
  <c r="BM176" i="1" s="1"/>
  <c r="BG178" i="1"/>
  <c r="BK178" i="1"/>
  <c r="BM178" i="1" s="1"/>
  <c r="BL180" i="1"/>
  <c r="BN180" i="1" s="1"/>
  <c r="BI180" i="1"/>
  <c r="BJ180" i="1" s="1"/>
  <c r="BL198" i="1"/>
  <c r="BN198" i="1" s="1"/>
  <c r="BI24" i="1"/>
  <c r="BJ24" i="1" s="1"/>
  <c r="BI28" i="1"/>
  <c r="BJ28" i="1" s="1"/>
  <c r="BI32" i="1"/>
  <c r="BJ32" i="1" s="1"/>
  <c r="BI36" i="1"/>
  <c r="BJ36" i="1" s="1"/>
  <c r="BI40" i="1"/>
  <c r="BJ40" i="1" s="1"/>
  <c r="BI44" i="1"/>
  <c r="BJ44" i="1" s="1"/>
  <c r="BI48" i="1"/>
  <c r="BJ48" i="1" s="1"/>
  <c r="BI52" i="1"/>
  <c r="BJ52" i="1" s="1"/>
  <c r="BI56" i="1"/>
  <c r="BJ56" i="1" s="1"/>
  <c r="BI60" i="1"/>
  <c r="BJ60" i="1" s="1"/>
  <c r="BI64" i="1"/>
  <c r="BJ64" i="1" s="1"/>
  <c r="BI68" i="1"/>
  <c r="BJ68" i="1" s="1"/>
  <c r="BI72" i="1"/>
  <c r="BJ72" i="1" s="1"/>
  <c r="BI76" i="1"/>
  <c r="BJ76" i="1" s="1"/>
  <c r="BI80" i="1"/>
  <c r="BJ80" i="1" s="1"/>
  <c r="BI84" i="1"/>
  <c r="BJ84" i="1" s="1"/>
  <c r="BI88" i="1"/>
  <c r="BJ88" i="1" s="1"/>
  <c r="BL116" i="1"/>
  <c r="BN116" i="1" s="1"/>
  <c r="BI116" i="1"/>
  <c r="BJ116" i="1" s="1"/>
  <c r="BL132" i="1"/>
  <c r="BN132" i="1" s="1"/>
  <c r="BI132" i="1"/>
  <c r="BJ132" i="1" s="1"/>
  <c r="BL140" i="1"/>
  <c r="BN140" i="1" s="1"/>
  <c r="BI140" i="1"/>
  <c r="BJ140" i="1" s="1"/>
  <c r="BL148" i="1"/>
  <c r="BN148" i="1" s="1"/>
  <c r="BI148" i="1"/>
  <c r="BJ148" i="1" s="1"/>
  <c r="BL158" i="1"/>
  <c r="BN158" i="1" s="1"/>
  <c r="BI158" i="1"/>
  <c r="BJ158" i="1" s="1"/>
  <c r="BK162" i="1"/>
  <c r="BM162" i="1" s="1"/>
  <c r="BL174" i="1"/>
  <c r="BN174" i="1" s="1"/>
  <c r="BI174" i="1"/>
  <c r="BJ174" i="1" s="1"/>
  <c r="BL178" i="1"/>
  <c r="BN178" i="1" s="1"/>
  <c r="BI178" i="1"/>
  <c r="BJ178" i="1" s="1"/>
  <c r="BL192" i="1"/>
  <c r="BN192" i="1" s="1"/>
  <c r="BL208" i="1"/>
  <c r="BN208" i="1" s="1"/>
  <c r="BI96" i="1"/>
  <c r="BJ96" i="1" s="1"/>
  <c r="BI104" i="1"/>
  <c r="BJ104" i="1" s="1"/>
  <c r="BL118" i="1"/>
  <c r="BN118" i="1" s="1"/>
  <c r="BI118" i="1"/>
  <c r="BJ118" i="1" s="1"/>
  <c r="BL160" i="1"/>
  <c r="BN160" i="1" s="1"/>
  <c r="BI160" i="1"/>
  <c r="BJ160" i="1" s="1"/>
  <c r="BK164" i="1"/>
  <c r="BM164" i="1" s="1"/>
  <c r="BL176" i="1"/>
  <c r="BN176" i="1" s="1"/>
  <c r="BI176" i="1"/>
  <c r="BJ176" i="1" s="1"/>
  <c r="BL186" i="1"/>
  <c r="BN186" i="1" s="1"/>
  <c r="BL202" i="1"/>
  <c r="BN202" i="1" s="1"/>
  <c r="BG90" i="1"/>
  <c r="BG98" i="1"/>
  <c r="BL120" i="1"/>
  <c r="BN120" i="1" s="1"/>
  <c r="BI120" i="1"/>
  <c r="BJ120" i="1" s="1"/>
  <c r="BL134" i="1"/>
  <c r="BN134" i="1" s="1"/>
  <c r="BI134" i="1"/>
  <c r="BJ134" i="1" s="1"/>
  <c r="BL142" i="1"/>
  <c r="BN142" i="1" s="1"/>
  <c r="BI142" i="1"/>
  <c r="BJ142" i="1" s="1"/>
  <c r="BL150" i="1"/>
  <c r="BN150" i="1" s="1"/>
  <c r="BI150" i="1"/>
  <c r="BJ150" i="1" s="1"/>
  <c r="BL162" i="1"/>
  <c r="BN162" i="1" s="1"/>
  <c r="BI162" i="1"/>
  <c r="BJ162" i="1" s="1"/>
  <c r="BK166" i="1"/>
  <c r="BM166" i="1" s="1"/>
  <c r="BL196" i="1"/>
  <c r="BN196" i="1" s="1"/>
  <c r="BL212" i="1"/>
  <c r="BN212" i="1" s="1"/>
  <c r="BI69" i="1"/>
  <c r="BJ69" i="1" s="1"/>
  <c r="BG70" i="1"/>
  <c r="BI73" i="1"/>
  <c r="BJ73" i="1" s="1"/>
  <c r="BG74" i="1"/>
  <c r="BI77" i="1"/>
  <c r="BJ77" i="1" s="1"/>
  <c r="BG78" i="1"/>
  <c r="BI81" i="1"/>
  <c r="BJ81" i="1" s="1"/>
  <c r="BG82" i="1"/>
  <c r="BI85" i="1"/>
  <c r="BJ85" i="1" s="1"/>
  <c r="BG86" i="1"/>
  <c r="BJ89" i="1"/>
  <c r="BI90" i="1"/>
  <c r="BJ90" i="1" s="1"/>
  <c r="BL95" i="1"/>
  <c r="BN95" i="1" s="1"/>
  <c r="BL96" i="1"/>
  <c r="BN96" i="1" s="1"/>
  <c r="BJ97" i="1"/>
  <c r="BI98" i="1"/>
  <c r="BJ98" i="1" s="1"/>
  <c r="BL103" i="1"/>
  <c r="BN103" i="1" s="1"/>
  <c r="BL104" i="1"/>
  <c r="BN104" i="1" s="1"/>
  <c r="BJ105" i="1"/>
  <c r="BL106" i="1"/>
  <c r="BN106" i="1" s="1"/>
  <c r="BI106" i="1"/>
  <c r="BJ106" i="1" s="1"/>
  <c r="BG108" i="1"/>
  <c r="BL122" i="1"/>
  <c r="BN122" i="1" s="1"/>
  <c r="BI122" i="1"/>
  <c r="BJ122" i="1" s="1"/>
  <c r="BG124" i="1"/>
  <c r="BG136" i="1"/>
  <c r="BG144" i="1"/>
  <c r="BG152" i="1"/>
  <c r="BL164" i="1"/>
  <c r="BN164" i="1" s="1"/>
  <c r="BI164" i="1"/>
  <c r="BJ164" i="1" s="1"/>
  <c r="BG166" i="1"/>
  <c r="BK168" i="1"/>
  <c r="BM168" i="1" s="1"/>
  <c r="BL190" i="1"/>
  <c r="BN190" i="1" s="1"/>
  <c r="BL206" i="1"/>
  <c r="BN206" i="1" s="1"/>
  <c r="BI14" i="1"/>
  <c r="BJ14" i="1" s="1"/>
  <c r="BI22" i="1"/>
  <c r="BJ22" i="1" s="1"/>
  <c r="BI26" i="1"/>
  <c r="BJ26" i="1" s="1"/>
  <c r="BI30" i="1"/>
  <c r="BJ30" i="1" s="1"/>
  <c r="BI34" i="1"/>
  <c r="BJ34" i="1" s="1"/>
  <c r="BI38" i="1"/>
  <c r="BJ38" i="1" s="1"/>
  <c r="BI42" i="1"/>
  <c r="BJ42" i="1" s="1"/>
  <c r="BI46" i="1"/>
  <c r="BJ46" i="1" s="1"/>
  <c r="BI50" i="1"/>
  <c r="BJ50" i="1" s="1"/>
  <c r="BI54" i="1"/>
  <c r="BJ54" i="1" s="1"/>
  <c r="BI58" i="1"/>
  <c r="BJ58" i="1" s="1"/>
  <c r="BI62" i="1"/>
  <c r="BJ62" i="1" s="1"/>
  <c r="BI66" i="1"/>
  <c r="BJ66" i="1" s="1"/>
  <c r="BI70" i="1"/>
  <c r="BJ70" i="1" s="1"/>
  <c r="BI74" i="1"/>
  <c r="BJ74" i="1" s="1"/>
  <c r="BI78" i="1"/>
  <c r="BJ78" i="1" s="1"/>
  <c r="BI82" i="1"/>
  <c r="BJ82" i="1" s="1"/>
  <c r="BI86" i="1"/>
  <c r="BJ86" i="1" s="1"/>
  <c r="BL108" i="1"/>
  <c r="BN108" i="1" s="1"/>
  <c r="BI108" i="1"/>
  <c r="BJ108" i="1" s="1"/>
  <c r="BL124" i="1"/>
  <c r="BN124" i="1" s="1"/>
  <c r="BI124" i="1"/>
  <c r="BJ124" i="1" s="1"/>
  <c r="BL136" i="1"/>
  <c r="BN136" i="1" s="1"/>
  <c r="BI136" i="1"/>
  <c r="BJ136" i="1" s="1"/>
  <c r="BL144" i="1"/>
  <c r="BN144" i="1" s="1"/>
  <c r="BI144" i="1"/>
  <c r="BJ144" i="1" s="1"/>
  <c r="BL152" i="1"/>
  <c r="BN152" i="1" s="1"/>
  <c r="BI152" i="1"/>
  <c r="BJ152" i="1" s="1"/>
  <c r="BK154" i="1"/>
  <c r="BM154" i="1" s="1"/>
  <c r="BL166" i="1"/>
  <c r="BN166" i="1" s="1"/>
  <c r="BI166" i="1"/>
  <c r="BJ166" i="1" s="1"/>
  <c r="BG168" i="1"/>
  <c r="BK170" i="1"/>
  <c r="BM170" i="1" s="1"/>
  <c r="BL184" i="1"/>
  <c r="BN184" i="1" s="1"/>
  <c r="BL200" i="1"/>
  <c r="BN200" i="1" s="1"/>
  <c r="BL89" i="1"/>
  <c r="BN89" i="1" s="1"/>
  <c r="BI92" i="1"/>
  <c r="BJ92" i="1" s="1"/>
  <c r="BL97" i="1"/>
  <c r="BN97" i="1" s="1"/>
  <c r="BL98" i="1"/>
  <c r="BN98" i="1" s="1"/>
  <c r="BI100" i="1"/>
  <c r="BJ100" i="1" s="1"/>
  <c r="BL105" i="1"/>
  <c r="BN105" i="1" s="1"/>
  <c r="BL110" i="1"/>
  <c r="BN110" i="1" s="1"/>
  <c r="BI110" i="1"/>
  <c r="BJ110" i="1" s="1"/>
  <c r="BL126" i="1"/>
  <c r="BN126" i="1" s="1"/>
  <c r="BI126" i="1"/>
  <c r="BJ126" i="1" s="1"/>
  <c r="BK156" i="1"/>
  <c r="BM156" i="1" s="1"/>
  <c r="BL168" i="1"/>
  <c r="BN168" i="1" s="1"/>
  <c r="BI168" i="1"/>
  <c r="BJ168" i="1" s="1"/>
  <c r="BK172" i="1"/>
  <c r="BM172" i="1" s="1"/>
  <c r="BG182" i="1"/>
  <c r="BK182" i="1"/>
  <c r="BM182" i="1" s="1"/>
  <c r="BL194" i="1"/>
  <c r="BN194" i="1" s="1"/>
  <c r="BL210" i="1"/>
  <c r="BN210" i="1" s="1"/>
  <c r="BI184" i="1"/>
  <c r="BJ184" i="1" s="1"/>
  <c r="BI186" i="1"/>
  <c r="BJ186" i="1" s="1"/>
  <c r="BI188" i="1"/>
  <c r="BJ188" i="1" s="1"/>
  <c r="BI190" i="1"/>
  <c r="BJ190" i="1" s="1"/>
  <c r="BI192" i="1"/>
  <c r="BJ192" i="1" s="1"/>
  <c r="BI194" i="1"/>
  <c r="BJ194" i="1" s="1"/>
  <c r="BI196" i="1"/>
  <c r="BJ196" i="1" s="1"/>
  <c r="BI198" i="1"/>
  <c r="BJ198" i="1" s="1"/>
  <c r="BI200" i="1"/>
  <c r="BJ200" i="1" s="1"/>
  <c r="BI202" i="1"/>
  <c r="BJ202" i="1" s="1"/>
  <c r="BI204" i="1"/>
  <c r="BJ204" i="1" s="1"/>
  <c r="BI206" i="1"/>
  <c r="BJ206" i="1" s="1"/>
  <c r="BI208" i="1"/>
  <c r="BJ208" i="1" s="1"/>
  <c r="BI210" i="1"/>
  <c r="BJ210" i="1" s="1"/>
  <c r="BI212" i="1"/>
  <c r="BJ212" i="1" s="1"/>
  <c r="BI214" i="1"/>
  <c r="BJ214" i="1" s="1"/>
  <c r="BI216" i="1"/>
  <c r="BI218" i="1"/>
  <c r="BI220" i="1"/>
  <c r="BI222" i="1"/>
  <c r="BI224" i="1"/>
  <c r="BI226" i="1"/>
  <c r="BI228" i="1"/>
  <c r="BI230" i="1"/>
  <c r="BI232" i="1"/>
  <c r="BI234" i="1"/>
  <c r="BI236" i="1"/>
  <c r="BI238" i="1"/>
  <c r="BI240" i="1"/>
  <c r="BI242" i="1"/>
  <c r="BI244" i="1"/>
  <c r="BI246" i="1"/>
  <c r="BI248" i="1"/>
  <c r="BI250" i="1"/>
  <c r="BI252" i="1"/>
  <c r="BI254" i="1"/>
  <c r="BI256" i="1"/>
  <c r="BI258" i="1"/>
  <c r="BI260" i="1"/>
  <c r="BI262" i="1"/>
  <c r="BI264" i="1"/>
  <c r="BI266" i="1"/>
  <c r="BI268" i="1"/>
  <c r="BI270" i="1"/>
  <c r="BI272" i="1"/>
  <c r="BI274" i="1"/>
  <c r="BI276" i="1"/>
  <c r="BI278" i="1"/>
  <c r="BI280" i="1"/>
  <c r="BI282" i="1"/>
  <c r="BI284" i="1"/>
  <c r="BI286" i="1"/>
  <c r="BI288" i="1"/>
  <c r="BI290" i="1"/>
  <c r="BI292" i="1"/>
  <c r="BI294" i="1"/>
  <c r="BI296" i="1"/>
  <c r="BI298" i="1"/>
  <c r="BI300" i="1"/>
  <c r="BI302" i="1"/>
  <c r="BI304" i="1"/>
  <c r="BI306" i="1"/>
  <c r="BI308" i="1"/>
  <c r="BI310" i="1"/>
  <c r="BJ471" i="1"/>
  <c r="BJ479" i="1"/>
  <c r="BJ487" i="1"/>
  <c r="BJ317" i="1"/>
  <c r="BJ333" i="1"/>
  <c r="BJ349" i="1"/>
  <c r="BJ365" i="1"/>
  <c r="BK184" i="1"/>
  <c r="BM184" i="1" s="1"/>
  <c r="BK186" i="1"/>
  <c r="BM186" i="1" s="1"/>
  <c r="BK188" i="1"/>
  <c r="BM188" i="1" s="1"/>
  <c r="BK190" i="1"/>
  <c r="BM190" i="1" s="1"/>
  <c r="BK192" i="1"/>
  <c r="BM192" i="1" s="1"/>
  <c r="BK194" i="1"/>
  <c r="BM194" i="1" s="1"/>
  <c r="BK196" i="1"/>
  <c r="BM196" i="1" s="1"/>
  <c r="BK198" i="1"/>
  <c r="BM198" i="1" s="1"/>
  <c r="BK200" i="1"/>
  <c r="BM200" i="1" s="1"/>
  <c r="BK202" i="1"/>
  <c r="BM202" i="1" s="1"/>
  <c r="BK204" i="1"/>
  <c r="BM204" i="1" s="1"/>
  <c r="BK206" i="1"/>
  <c r="BM206" i="1" s="1"/>
  <c r="BK208" i="1"/>
  <c r="BM208" i="1" s="1"/>
  <c r="BK210" i="1"/>
  <c r="BM210" i="1" s="1"/>
  <c r="BK212" i="1"/>
  <c r="BM212" i="1" s="1"/>
  <c r="BK214" i="1"/>
  <c r="BM214" i="1" s="1"/>
  <c r="BJ313" i="1"/>
  <c r="BJ329" i="1"/>
  <c r="BJ345" i="1"/>
  <c r="BJ361" i="1"/>
  <c r="BJ325" i="1"/>
  <c r="BJ341" i="1"/>
  <c r="BJ357" i="1"/>
  <c r="BJ323" i="1"/>
  <c r="BJ339" i="1"/>
  <c r="BJ355" i="1"/>
  <c r="BJ369" i="1"/>
  <c r="BJ377" i="1"/>
  <c r="BJ385" i="1"/>
  <c r="BJ393" i="1"/>
  <c r="BJ401" i="1"/>
  <c r="BJ409" i="1"/>
  <c r="BJ417" i="1"/>
  <c r="BJ425" i="1"/>
  <c r="BJ433" i="1"/>
  <c r="BJ441" i="1"/>
  <c r="BJ449" i="1"/>
  <c r="BJ457" i="1"/>
  <c r="BJ465" i="1"/>
  <c r="BJ473" i="1"/>
  <c r="BJ481" i="1"/>
  <c r="BJ489" i="1"/>
  <c r="BI676" i="1"/>
  <c r="BI685" i="1"/>
  <c r="BI692" i="1"/>
  <c r="BI701" i="1"/>
  <c r="BI708" i="1"/>
  <c r="BI713" i="1"/>
  <c r="BI721" i="1"/>
  <c r="BJ774" i="1"/>
  <c r="BJ784" i="1"/>
  <c r="BI784" i="1"/>
  <c r="BJ800" i="1"/>
  <c r="BI800" i="1"/>
  <c r="BJ816" i="1"/>
  <c r="BI816" i="1"/>
  <c r="BJ832" i="1"/>
  <c r="BI832" i="1"/>
  <c r="BI683" i="1"/>
  <c r="BI699" i="1"/>
  <c r="BJ716" i="1"/>
  <c r="BJ724" i="1"/>
  <c r="BJ732" i="1"/>
  <c r="BJ740" i="1"/>
  <c r="BJ748" i="1"/>
  <c r="BJ756" i="1"/>
  <c r="BJ768" i="1"/>
  <c r="BJ778" i="1"/>
  <c r="BI778" i="1"/>
  <c r="BJ794" i="1"/>
  <c r="BI794" i="1"/>
  <c r="BJ810" i="1"/>
  <c r="BI810" i="1"/>
  <c r="BJ826" i="1"/>
  <c r="BI826" i="1"/>
  <c r="BJ842" i="1"/>
  <c r="BI842" i="1"/>
  <c r="BJ788" i="1"/>
  <c r="BI788" i="1"/>
  <c r="BJ804" i="1"/>
  <c r="BI804" i="1"/>
  <c r="BJ820" i="1"/>
  <c r="BI820" i="1"/>
  <c r="BJ836" i="1"/>
  <c r="BI836" i="1"/>
  <c r="BI679" i="1"/>
  <c r="BI695" i="1"/>
  <c r="BJ714" i="1"/>
  <c r="BJ722" i="1"/>
  <c r="BJ730" i="1"/>
  <c r="BJ738" i="1"/>
  <c r="BJ746" i="1"/>
  <c r="BJ754" i="1"/>
  <c r="BJ772" i="1"/>
  <c r="BJ782" i="1"/>
  <c r="BI782" i="1"/>
  <c r="BJ798" i="1"/>
  <c r="BI798" i="1"/>
  <c r="BJ814" i="1"/>
  <c r="BI814" i="1"/>
  <c r="BJ830" i="1"/>
  <c r="BI830" i="1"/>
  <c r="BJ846" i="1"/>
  <c r="BI846" i="1"/>
  <c r="BJ850" i="1"/>
  <c r="BI850" i="1"/>
  <c r="BJ854" i="1"/>
  <c r="BI854" i="1"/>
  <c r="BJ858" i="1"/>
  <c r="BI858" i="1"/>
  <c r="BJ862" i="1"/>
  <c r="BI862" i="1"/>
  <c r="BJ792" i="1"/>
  <c r="BI792" i="1"/>
  <c r="BJ808" i="1"/>
  <c r="BI808" i="1"/>
  <c r="BJ824" i="1"/>
  <c r="BI824" i="1"/>
  <c r="BJ840" i="1"/>
  <c r="BI840" i="1"/>
  <c r="BI675" i="1"/>
  <c r="BI682" i="1"/>
  <c r="BI691" i="1"/>
  <c r="BI698" i="1"/>
  <c r="BI707" i="1"/>
  <c r="BJ712" i="1"/>
  <c r="BJ720" i="1"/>
  <c r="BJ728" i="1"/>
  <c r="BJ736" i="1"/>
  <c r="BJ744" i="1"/>
  <c r="BJ752" i="1"/>
  <c r="BJ760" i="1"/>
  <c r="BJ776" i="1"/>
  <c r="BJ786" i="1"/>
  <c r="BI786" i="1"/>
  <c r="BJ802" i="1"/>
  <c r="BI802" i="1"/>
  <c r="BJ818" i="1"/>
  <c r="BI818" i="1"/>
  <c r="BJ834" i="1"/>
  <c r="BI834" i="1"/>
  <c r="BI673" i="1"/>
  <c r="BI689" i="1"/>
  <c r="BI705" i="1"/>
  <c r="BI715" i="1"/>
  <c r="BI723" i="1"/>
  <c r="BJ770" i="1"/>
  <c r="BJ780" i="1"/>
  <c r="BI780" i="1"/>
  <c r="BJ796" i="1"/>
  <c r="BI796" i="1"/>
  <c r="BJ812" i="1"/>
  <c r="BI812" i="1"/>
  <c r="BJ828" i="1"/>
  <c r="BI828" i="1"/>
  <c r="BJ844" i="1"/>
  <c r="BI844" i="1"/>
  <c r="BJ790" i="1"/>
  <c r="BI790" i="1"/>
  <c r="BJ806" i="1"/>
  <c r="BI806" i="1"/>
  <c r="BJ822" i="1"/>
  <c r="BI822" i="1"/>
  <c r="BJ838" i="1"/>
  <c r="BI838" i="1"/>
  <c r="BJ848" i="1"/>
  <c r="BI848" i="1"/>
  <c r="BJ852" i="1"/>
  <c r="BI852" i="1"/>
  <c r="BJ856" i="1"/>
  <c r="BI856" i="1"/>
  <c r="BJ860" i="1"/>
  <c r="BI860" i="1"/>
  <c r="BI1033" i="1"/>
  <c r="BI1040" i="1"/>
  <c r="BI1048" i="1"/>
  <c r="BJ1071" i="1"/>
  <c r="BJ1087" i="1"/>
  <c r="BJ1103" i="1"/>
  <c r="BJ1107" i="1"/>
  <c r="BI1107" i="1"/>
  <c r="BJ1111" i="1"/>
  <c r="BI1111" i="1"/>
  <c r="BJ1115" i="1"/>
  <c r="BI1115" i="1"/>
  <c r="BJ1119" i="1"/>
  <c r="BI1119" i="1"/>
  <c r="BJ1123" i="1"/>
  <c r="BI1123" i="1"/>
  <c r="BJ1127" i="1"/>
  <c r="BI1127" i="1"/>
  <c r="BJ1131" i="1"/>
  <c r="BI1131" i="1"/>
  <c r="BJ1135" i="1"/>
  <c r="BI1135" i="1"/>
  <c r="BJ1139" i="1"/>
  <c r="BI1139" i="1"/>
  <c r="BJ1143" i="1"/>
  <c r="BI1143" i="1"/>
  <c r="BJ1147" i="1"/>
  <c r="BI1147" i="1"/>
  <c r="BI1036" i="1"/>
  <c r="BJ1041" i="1"/>
  <c r="BJ1049" i="1"/>
  <c r="BJ1057" i="1"/>
  <c r="BJ1069" i="1"/>
  <c r="BJ1085" i="1"/>
  <c r="BJ1101" i="1"/>
  <c r="BJ1109" i="1"/>
  <c r="BI1109" i="1"/>
  <c r="BJ1113" i="1"/>
  <c r="BI1113" i="1"/>
  <c r="BJ1117" i="1"/>
  <c r="BI1117" i="1"/>
  <c r="BJ1121" i="1"/>
  <c r="BI1121" i="1"/>
  <c r="BJ1125" i="1"/>
  <c r="BI1125" i="1"/>
  <c r="BJ1129" i="1"/>
  <c r="BI1129" i="1"/>
  <c r="BJ1133" i="1"/>
  <c r="BI1133" i="1"/>
  <c r="BJ1137" i="1"/>
  <c r="BI1137" i="1"/>
  <c r="BJ1141" i="1"/>
  <c r="BI1141" i="1"/>
  <c r="BJ1145" i="1"/>
  <c r="BI1145" i="1"/>
  <c r="BI864" i="1"/>
  <c r="BI866" i="1"/>
  <c r="BI868" i="1"/>
  <c r="BI870" i="1"/>
  <c r="BI872" i="1"/>
  <c r="BI874" i="1"/>
  <c r="BI876" i="1"/>
  <c r="BI878" i="1"/>
  <c r="BI880" i="1"/>
  <c r="BI882" i="1"/>
  <c r="BI884" i="1"/>
  <c r="BI886" i="1"/>
  <c r="BI888" i="1"/>
  <c r="BI890" i="1"/>
  <c r="BI892" i="1"/>
  <c r="BI894" i="1"/>
  <c r="BI896" i="1"/>
  <c r="BI898" i="1"/>
  <c r="BI900" i="1"/>
  <c r="BI902" i="1"/>
  <c r="BI904" i="1"/>
  <c r="BI906" i="1"/>
  <c r="BI908" i="1"/>
  <c r="BI910" i="1"/>
  <c r="BI912" i="1"/>
  <c r="BI914" i="1"/>
  <c r="BI916" i="1"/>
  <c r="BI918" i="1"/>
  <c r="BI920" i="1"/>
  <c r="BI922" i="1"/>
  <c r="BI924" i="1"/>
  <c r="BI926" i="1"/>
  <c r="BI928" i="1"/>
  <c r="BI930" i="1"/>
  <c r="BI932" i="1"/>
  <c r="BI934" i="1"/>
  <c r="BI936" i="1"/>
  <c r="BI938" i="1"/>
  <c r="BI940" i="1"/>
  <c r="BI942" i="1"/>
  <c r="BI944" i="1"/>
  <c r="BI946" i="1"/>
  <c r="BI948" i="1"/>
  <c r="BI950" i="1"/>
  <c r="BI952" i="1"/>
  <c r="BI954" i="1"/>
  <c r="BI956" i="1"/>
  <c r="BI958" i="1"/>
  <c r="BI960" i="1"/>
  <c r="BI962" i="1"/>
  <c r="BI964" i="1"/>
  <c r="BI966" i="1"/>
  <c r="BI968" i="1"/>
  <c r="BI970" i="1"/>
  <c r="BI972" i="1"/>
  <c r="BI974" i="1"/>
  <c r="BI976" i="1"/>
  <c r="BI978" i="1"/>
  <c r="BI980" i="1"/>
  <c r="BI982" i="1"/>
  <c r="BI984" i="1"/>
  <c r="BI986" i="1"/>
  <c r="BI988" i="1"/>
  <c r="BI990" i="1"/>
  <c r="BI992" i="1"/>
  <c r="BI994" i="1"/>
  <c r="BI996" i="1"/>
  <c r="BI998" i="1"/>
  <c r="BI1000" i="1"/>
  <c r="BI1002" i="1"/>
  <c r="BI1004" i="1"/>
  <c r="BI1006" i="1"/>
  <c r="BI1008" i="1"/>
  <c r="BI1010" i="1"/>
  <c r="BI1012" i="1"/>
  <c r="BI1014" i="1"/>
  <c r="BI1016" i="1"/>
  <c r="BI1018" i="1"/>
  <c r="BI1020" i="1"/>
  <c r="BI1022" i="1"/>
  <c r="BI1024" i="1"/>
  <c r="BI1026" i="1"/>
  <c r="BI1028" i="1"/>
  <c r="BI1030" i="1"/>
  <c r="BI1037" i="1"/>
  <c r="BI1042" i="1"/>
  <c r="BI1050" i="1"/>
  <c r="BJ1067" i="1"/>
  <c r="BJ1083" i="1"/>
  <c r="BJ1099" i="1"/>
  <c r="BJ1180" i="1"/>
  <c r="BI1187" i="1"/>
  <c r="BI1197" i="1"/>
  <c r="BI1205" i="1"/>
  <c r="BI1213" i="1"/>
  <c r="BI1221" i="1"/>
  <c r="BI1229" i="1"/>
  <c r="BI1237" i="1"/>
  <c r="BJ1272" i="1"/>
  <c r="BJ1288" i="1"/>
  <c r="BJ1304" i="1"/>
  <c r="BJ1190" i="1"/>
  <c r="BJ1198" i="1"/>
  <c r="BJ1206" i="1"/>
  <c r="BJ1214" i="1"/>
  <c r="BJ1222" i="1"/>
  <c r="BJ1230" i="1"/>
  <c r="BJ1238" i="1"/>
  <c r="BJ1246" i="1"/>
  <c r="BJ1254" i="1"/>
  <c r="BJ1266" i="1"/>
  <c r="BJ1282" i="1"/>
  <c r="BJ1298" i="1"/>
  <c r="BJ1196" i="1"/>
  <c r="BI1149" i="1"/>
  <c r="BI1151" i="1"/>
  <c r="BI1153" i="1"/>
  <c r="BI1155" i="1"/>
  <c r="BI1157" i="1"/>
  <c r="BI1159" i="1"/>
  <c r="BI1161" i="1"/>
  <c r="BI1163" i="1"/>
  <c r="BI1165" i="1"/>
  <c r="BI1167" i="1"/>
  <c r="BI1169" i="1"/>
  <c r="BI1171" i="1"/>
  <c r="BI1173" i="1"/>
  <c r="BI1175" i="1"/>
  <c r="BJ1184" i="1"/>
  <c r="BI1191" i="1"/>
  <c r="BI1199" i="1"/>
  <c r="BI1207" i="1"/>
  <c r="BI1215" i="1"/>
  <c r="BI1223" i="1"/>
  <c r="BI1231" i="1"/>
  <c r="BI1239" i="1"/>
  <c r="BJ1260" i="1"/>
  <c r="BJ1276" i="1"/>
  <c r="BJ1292" i="1"/>
  <c r="BI1506" i="1"/>
  <c r="BI1514" i="1"/>
  <c r="BI1522" i="1"/>
  <c r="BI1530" i="1"/>
  <c r="BI1538" i="1"/>
  <c r="BI1546" i="1"/>
  <c r="BI1554" i="1"/>
  <c r="BI1562" i="1"/>
  <c r="BJ1568" i="1"/>
  <c r="BI1568" i="1"/>
  <c r="BJ1572" i="1"/>
  <c r="BI1572" i="1"/>
  <c r="BJ1576" i="1"/>
  <c r="BI1576" i="1"/>
  <c r="BJ1580" i="1"/>
  <c r="BI1580" i="1"/>
  <c r="BJ1584" i="1"/>
  <c r="BI1584" i="1"/>
  <c r="BJ1588" i="1"/>
  <c r="BI1588" i="1"/>
  <c r="BJ1592" i="1"/>
  <c r="BI1592" i="1"/>
  <c r="BJ1596" i="1"/>
  <c r="BI1596" i="1"/>
  <c r="BJ1600" i="1"/>
  <c r="BI1600" i="1"/>
  <c r="BJ1604" i="1"/>
  <c r="BI1604" i="1"/>
  <c r="BJ1608" i="1"/>
  <c r="BI1608" i="1"/>
  <c r="BJ1612" i="1"/>
  <c r="BI1612" i="1"/>
  <c r="BJ1616" i="1"/>
  <c r="BI1616" i="1"/>
  <c r="BJ1620" i="1"/>
  <c r="BI1620" i="1"/>
  <c r="BJ1624" i="1"/>
  <c r="BI1624" i="1"/>
  <c r="BJ1628" i="1"/>
  <c r="BI1628" i="1"/>
  <c r="BJ1632" i="1"/>
  <c r="BI1632" i="1"/>
  <c r="BJ1636" i="1"/>
  <c r="BI1636" i="1"/>
  <c r="BJ1640" i="1"/>
  <c r="BI1640" i="1"/>
  <c r="BI1502" i="1"/>
  <c r="BJ1507" i="1"/>
  <c r="BJ1515" i="1"/>
  <c r="BJ1523" i="1"/>
  <c r="BJ1531" i="1"/>
  <c r="BJ1539" i="1"/>
  <c r="BJ1547" i="1"/>
  <c r="BJ1570" i="1"/>
  <c r="BI1570" i="1"/>
  <c r="BJ1574" i="1"/>
  <c r="BI1574" i="1"/>
  <c r="BJ1578" i="1"/>
  <c r="BI1578" i="1"/>
  <c r="BJ1582" i="1"/>
  <c r="BI1582" i="1"/>
  <c r="BJ1586" i="1"/>
  <c r="BI1586" i="1"/>
  <c r="BJ1590" i="1"/>
  <c r="BI1590" i="1"/>
  <c r="BJ1594" i="1"/>
  <c r="BI1594" i="1"/>
  <c r="BJ1598" i="1"/>
  <c r="BI1598" i="1"/>
  <c r="BJ1602" i="1"/>
  <c r="BI1602" i="1"/>
  <c r="BJ1606" i="1"/>
  <c r="BI1606" i="1"/>
  <c r="BJ1610" i="1"/>
  <c r="BI1610" i="1"/>
  <c r="BJ1614" i="1"/>
  <c r="BI1614" i="1"/>
  <c r="BJ1618" i="1"/>
  <c r="BI1618" i="1"/>
  <c r="BJ1622" i="1"/>
  <c r="BI1622" i="1"/>
  <c r="BJ1626" i="1"/>
  <c r="BI1626" i="1"/>
  <c r="BJ1630" i="1"/>
  <c r="BI1630" i="1"/>
  <c r="BJ1634" i="1"/>
  <c r="BI1634" i="1"/>
  <c r="BJ1638" i="1"/>
  <c r="BI1638" i="1"/>
  <c r="BJ1642" i="1"/>
  <c r="BI1642" i="1"/>
  <c r="BI1503" i="1"/>
  <c r="BI1508" i="1"/>
  <c r="BI1516" i="1"/>
  <c r="BI1524" i="1"/>
  <c r="BI1532" i="1"/>
  <c r="BI1540" i="1"/>
  <c r="BI1548" i="1"/>
  <c r="BI1556" i="1"/>
  <c r="BI1564" i="1"/>
  <c r="BI1825" i="1"/>
  <c r="BI1834" i="1"/>
  <c r="BI1850" i="1"/>
  <c r="BI1866" i="1"/>
  <c r="BI1832" i="1"/>
  <c r="BI1848" i="1"/>
  <c r="BI1864" i="1"/>
  <c r="BI1880" i="1"/>
  <c r="BI1888" i="1"/>
  <c r="BI1828" i="1"/>
  <c r="BI1844" i="1"/>
  <c r="BI1860" i="1"/>
  <c r="BI1876" i="1"/>
  <c r="BI1886" i="1"/>
  <c r="BI1644" i="1"/>
  <c r="BI1646" i="1"/>
  <c r="BI1648" i="1"/>
  <c r="BI1650" i="1"/>
  <c r="BI1652" i="1"/>
  <c r="BI1654" i="1"/>
  <c r="BI1656" i="1"/>
  <c r="BI1658" i="1"/>
  <c r="BI1660" i="1"/>
  <c r="BI1662" i="1"/>
  <c r="BI1664" i="1"/>
  <c r="BI1666" i="1"/>
  <c r="BI1668" i="1"/>
  <c r="BI1670" i="1"/>
  <c r="BI1672" i="1"/>
  <c r="BI1674" i="1"/>
  <c r="BI1676" i="1"/>
  <c r="BI1678" i="1"/>
  <c r="BI1680" i="1"/>
  <c r="BI1682" i="1"/>
  <c r="BI1684" i="1"/>
  <c r="BI1686" i="1"/>
  <c r="BI1688" i="1"/>
  <c r="BI1690" i="1"/>
  <c r="BI1692" i="1"/>
  <c r="BI1694" i="1"/>
  <c r="BI1696" i="1"/>
  <c r="BI1698" i="1"/>
  <c r="BI1700" i="1"/>
  <c r="BI1702" i="1"/>
  <c r="BI1704" i="1"/>
  <c r="BI1706" i="1"/>
  <c r="BI1708" i="1"/>
  <c r="BI1710" i="1"/>
  <c r="BI1712" i="1"/>
  <c r="BI1714" i="1"/>
  <c r="BI1716" i="1"/>
  <c r="BI1718" i="1"/>
  <c r="BI1720" i="1"/>
  <c r="BI1722" i="1"/>
  <c r="BI1724" i="1"/>
  <c r="BI1726" i="1"/>
  <c r="BI1728" i="1"/>
  <c r="BI1730" i="1"/>
  <c r="BI1732" i="1"/>
  <c r="BI1734" i="1"/>
  <c r="BI1736" i="1"/>
  <c r="BI1738" i="1"/>
  <c r="BI1740" i="1"/>
  <c r="BI1742" i="1"/>
  <c r="BI1744" i="1"/>
  <c r="BI1746" i="1"/>
  <c r="BI1748" i="1"/>
  <c r="BI1750" i="1"/>
  <c r="BI1752" i="1"/>
  <c r="BI1754" i="1"/>
  <c r="BI1756" i="1"/>
  <c r="BI1758" i="1"/>
  <c r="BI1760" i="1"/>
  <c r="BI1762" i="1"/>
  <c r="BI1764" i="1"/>
  <c r="BI1766" i="1"/>
  <c r="BI1768" i="1"/>
  <c r="BI1770" i="1"/>
  <c r="BI1772" i="1"/>
  <c r="BI1774" i="1"/>
  <c r="BI1776" i="1"/>
  <c r="BI1778" i="1"/>
  <c r="BI1780" i="1"/>
  <c r="BI1782" i="1"/>
  <c r="BI1784" i="1"/>
  <c r="BI1786" i="1"/>
  <c r="BI1788" i="1"/>
  <c r="BI1790" i="1"/>
  <c r="BI1792" i="1"/>
  <c r="BI1794" i="1"/>
  <c r="BI1796" i="1"/>
  <c r="BI1798" i="1"/>
  <c r="BI1800" i="1"/>
  <c r="BI1802" i="1"/>
  <c r="BI1804" i="1"/>
  <c r="BI1806" i="1"/>
  <c r="BI1808" i="1"/>
  <c r="BI1810" i="1"/>
  <c r="BI1812" i="1"/>
  <c r="BI1814" i="1"/>
  <c r="BI1816" i="1"/>
  <c r="BI1818" i="1"/>
  <c r="BI1820" i="1"/>
  <c r="BI1822" i="1"/>
  <c r="BI1824" i="1"/>
  <c r="BI1831" i="1"/>
  <c r="BI1840" i="1"/>
  <c r="BI1856" i="1"/>
  <c r="BI1872" i="1"/>
  <c r="BI1884" i="1"/>
  <c r="BI1829" i="1"/>
  <c r="BI1838" i="1"/>
  <c r="BI1854" i="1"/>
  <c r="BI1870" i="1"/>
  <c r="BJ1976" i="1"/>
  <c r="BJ1984" i="1"/>
  <c r="BJ1992" i="1"/>
  <c r="BJ2000" i="1"/>
  <c r="BJ2008" i="1"/>
  <c r="BJ2016" i="1"/>
  <c r="BJ1977" i="1"/>
  <c r="BJ1985" i="1"/>
  <c r="BJ1993" i="1"/>
  <c r="BJ2001" i="1"/>
  <c r="BJ2009" i="1"/>
  <c r="BJ2017" i="1"/>
  <c r="BJ2021" i="1"/>
  <c r="BJ2025" i="1"/>
  <c r="BJ2029" i="1"/>
  <c r="BJ2033" i="1"/>
  <c r="BJ2037" i="1"/>
  <c r="BJ2041" i="1"/>
  <c r="BJ1978" i="1"/>
  <c r="BJ1986" i="1"/>
  <c r="BJ1994" i="1"/>
  <c r="BJ2002" i="1"/>
  <c r="BJ2010" i="1"/>
  <c r="BJ2182" i="1"/>
  <c r="BJ2428" i="1"/>
  <c r="BI2428" i="1"/>
  <c r="BJ2444" i="1"/>
  <c r="BI2444" i="1"/>
  <c r="BJ2460" i="1"/>
  <c r="BI2460" i="1"/>
  <c r="BI2187" i="1"/>
  <c r="BI2183" i="1"/>
  <c r="BI2190" i="1"/>
  <c r="BI2179" i="1"/>
  <c r="BI2195" i="1"/>
  <c r="BJ2352" i="1"/>
  <c r="BI2352" i="1"/>
  <c r="BI2191" i="1"/>
  <c r="BJ2422" i="1"/>
  <c r="BI2422" i="1"/>
  <c r="BJ2438" i="1"/>
  <c r="BI2438" i="1"/>
  <c r="BJ2454" i="1"/>
  <c r="BI2454" i="1"/>
  <c r="BJ2470" i="1"/>
  <c r="BI2470" i="1"/>
  <c r="BI2350" i="1"/>
  <c r="BI2366" i="1"/>
  <c r="BI2374" i="1"/>
  <c r="BI2382" i="1"/>
  <c r="BI2390" i="1"/>
  <c r="BI2398" i="1"/>
  <c r="BI2406" i="1"/>
  <c r="BI2414" i="1"/>
  <c r="BJ2432" i="1"/>
  <c r="BI2432" i="1"/>
  <c r="BJ2448" i="1"/>
  <c r="BI2448" i="1"/>
  <c r="BJ2464" i="1"/>
  <c r="BI2464" i="1"/>
  <c r="BJ2426" i="1"/>
  <c r="BI2426" i="1"/>
  <c r="BJ2442" i="1"/>
  <c r="BI2442" i="1"/>
  <c r="BJ2458" i="1"/>
  <c r="BI2458" i="1"/>
  <c r="BJ2483" i="1"/>
  <c r="BI2483" i="1"/>
  <c r="BJ2499" i="1"/>
  <c r="BI2499" i="1"/>
  <c r="BJ2436" i="1"/>
  <c r="BI2436" i="1"/>
  <c r="BJ2452" i="1"/>
  <c r="BI2452" i="1"/>
  <c r="BJ2468" i="1"/>
  <c r="BI2468" i="1"/>
  <c r="BI2344" i="1"/>
  <c r="BI2360" i="1"/>
  <c r="BJ2430" i="1"/>
  <c r="BI2430" i="1"/>
  <c r="BJ2446" i="1"/>
  <c r="BI2446" i="1"/>
  <c r="BJ2462" i="1"/>
  <c r="BI2462" i="1"/>
  <c r="BJ2424" i="1"/>
  <c r="BI2424" i="1"/>
  <c r="BJ2440" i="1"/>
  <c r="BI2440" i="1"/>
  <c r="BJ2456" i="1"/>
  <c r="BI2456" i="1"/>
  <c r="BI2340" i="1"/>
  <c r="BI2356" i="1"/>
  <c r="BJ2434" i="1"/>
  <c r="BI2434" i="1"/>
  <c r="BJ2450" i="1"/>
  <c r="BI2450" i="1"/>
  <c r="BJ2466" i="1"/>
  <c r="BI2466" i="1"/>
  <c r="BJ2475" i="1"/>
  <c r="BI2475" i="1"/>
  <c r="BJ2491" i="1"/>
  <c r="BI2491" i="1"/>
  <c r="BJ2507" i="1"/>
  <c r="BI2507" i="1"/>
  <c r="BI2477" i="1"/>
  <c r="BI2485" i="1"/>
  <c r="BI2493" i="1"/>
  <c r="BI2501" i="1"/>
  <c r="BI2509" i="1"/>
  <c r="BI2478" i="1"/>
  <c r="BI2486" i="1"/>
  <c r="BI2494" i="1"/>
  <c r="BI2502" i="1"/>
  <c r="BI2510" i="1"/>
  <c r="BI2518" i="1"/>
  <c r="BI2526" i="1"/>
  <c r="BI2534" i="1"/>
  <c r="BI2542" i="1"/>
  <c r="BI2550" i="1"/>
  <c r="BI2558" i="1"/>
  <c r="BI2566" i="1"/>
  <c r="BI2574" i="1"/>
  <c r="BI2582" i="1"/>
  <c r="BI2590" i="1"/>
  <c r="BI2598" i="1"/>
  <c r="BI2606" i="1"/>
  <c r="BI2614" i="1"/>
  <c r="BI2476" i="1"/>
  <c r="BI2484" i="1"/>
  <c r="BI2492" i="1"/>
  <c r="BI2500" i="1"/>
  <c r="BI2508" i="1"/>
  <c r="BI2516" i="1"/>
  <c r="BI2524" i="1"/>
  <c r="BI2532" i="1"/>
  <c r="BI2540" i="1"/>
  <c r="BI2548" i="1"/>
  <c r="BI2556" i="1"/>
  <c r="BI2564" i="1"/>
  <c r="BI2572" i="1"/>
  <c r="BI2580" i="1"/>
  <c r="BI2588" i="1"/>
  <c r="BI2596" i="1"/>
  <c r="BI2604" i="1"/>
  <c r="BI2612" i="1"/>
</calcChain>
</file>

<file path=xl/sharedStrings.xml><?xml version="1.0" encoding="utf-8"?>
<sst xmlns="http://schemas.openxmlformats.org/spreadsheetml/2006/main" count="1331" uniqueCount="790">
  <si>
    <t>Raw Data</t>
  </si>
  <si>
    <t>Paste or add new reviewed cases below row 4. Layout supports 6 main score topics, followed by old 1.1-5.3 detail columns. Helper columns are formula-driven.</t>
  </si>
  <si>
    <t>Audit Date</t>
  </si>
  <si>
    <t>Agent Name</t>
  </si>
  <si>
    <t>Case Date</t>
  </si>
  <si>
    <t>Waiting Time</t>
  </si>
  <si>
    <t>Service Time</t>
  </si>
  <si>
    <t>Case ID</t>
  </si>
  <si>
    <t>Case URL</t>
  </si>
  <si>
    <t>1 Score</t>
  </si>
  <si>
    <t>1 Comment</t>
  </si>
  <si>
    <t>2 Score</t>
  </si>
  <si>
    <t>2 Comment</t>
  </si>
  <si>
    <t>3 Score</t>
  </si>
  <si>
    <t>3 Comment</t>
  </si>
  <si>
    <t>4 Score</t>
  </si>
  <si>
    <t>4 Comment</t>
  </si>
  <si>
    <t>5 Score</t>
  </si>
  <si>
    <t>5 Comment</t>
  </si>
  <si>
    <t>6 Score</t>
  </si>
  <si>
    <t>6 Comment</t>
  </si>
  <si>
    <t>1.1 Score</t>
  </si>
  <si>
    <t>1.1 Comment</t>
  </si>
  <si>
    <t>1.2 Score</t>
  </si>
  <si>
    <t>1.2 Comment</t>
  </si>
  <si>
    <t>1.3 Score</t>
  </si>
  <si>
    <t>1.3 Comment</t>
  </si>
  <si>
    <t>2.1 Score</t>
  </si>
  <si>
    <t>2.1 Comment</t>
  </si>
  <si>
    <t>2.2 Score</t>
  </si>
  <si>
    <t>2.2 Comment</t>
  </si>
  <si>
    <t>2.3 Score</t>
  </si>
  <si>
    <t>2.3 Comment</t>
  </si>
  <si>
    <t>2.4 Score</t>
  </si>
  <si>
    <t>2.4 Comment</t>
  </si>
  <si>
    <t>3.1 Score</t>
  </si>
  <si>
    <t>3.1 Comment</t>
  </si>
  <si>
    <t>3.2 Score</t>
  </si>
  <si>
    <t>3.2 Comment</t>
  </si>
  <si>
    <t>3.3 Score</t>
  </si>
  <si>
    <t>3.3 Comment</t>
  </si>
  <si>
    <t>4.1 Score</t>
  </si>
  <si>
    <t>4.1 Comment</t>
  </si>
  <si>
    <t>4.2 Score</t>
  </si>
  <si>
    <t>4.2 Comment</t>
  </si>
  <si>
    <t>4.3 Score</t>
  </si>
  <si>
    <t>4.3 Comment</t>
  </si>
  <si>
    <t>4.4 Score</t>
  </si>
  <si>
    <t>4.4 Comment</t>
  </si>
  <si>
    <t>5.1 Score</t>
  </si>
  <si>
    <t>5.1 Comment</t>
  </si>
  <si>
    <t>5.2 Score</t>
  </si>
  <si>
    <t>5.2 Comment</t>
  </si>
  <si>
    <t>5.3 Score</t>
  </si>
  <si>
    <t>5.3 Comment</t>
  </si>
  <si>
    <t>Critical Error</t>
  </si>
  <si>
    <t>Customer Inquiry</t>
  </si>
  <si>
    <t>Final Score</t>
  </si>
  <si>
    <t>Month Start</t>
  </si>
  <si>
    <t>Month Label</t>
  </si>
  <si>
    <t>Week Start</t>
  </si>
  <si>
    <t>Week End</t>
  </si>
  <si>
    <t>Week Label</t>
  </si>
  <si>
    <t>Agent Month Seq</t>
  </si>
  <si>
    <t>Agent Week Seq</t>
  </si>
  <si>
    <t>Month Key</t>
  </si>
  <si>
    <t>Week Key</t>
  </si>
  <si>
    <t>Critical Flag</t>
  </si>
  <si>
    <t>Case Description / รายละเอียดเคส คำอธิบายเคส</t>
  </si>
  <si>
    <t>Case Image URL / ภาพประกอบเคส</t>
  </si>
  <si>
    <t>QA Scheme</t>
  </si>
  <si>
    <t>Chatkonnaphat Bhusomya</t>
  </si>
  <si>
    <t>NO</t>
  </si>
  <si>
    <t>Jureeporn Piddum</t>
  </si>
  <si>
    <t>Arisa Aiemrit</t>
  </si>
  <si>
    <t>Jariyawadee Taboodda</t>
  </si>
  <si>
    <t>Suphitcha Keawliam</t>
  </si>
  <si>
    <t>Natcha Chai-in</t>
  </si>
  <si>
    <t>Sunijtra Siritip</t>
  </si>
  <si>
    <t>Wassana Phothong</t>
  </si>
  <si>
    <t>https://app.oho.chat/business/6805c0f16232119d2a1204b5/smartchat?room=682eaa14f8c1c3e61db8603f</t>
  </si>
  <si>
    <t>Krivut Vongkampan</t>
  </si>
  <si>
    <t>Anucha Makundin</t>
  </si>
  <si>
    <t>https://app.oho.chat/business/6805c0f16232119d2a1204b5/smartchat?room=682eb62382468e946a4964aa</t>
  </si>
  <si>
    <t>AA182792</t>
  </si>
  <si>
    <t>https://app.oho.chat/business/6805c0f16232119d2a1204b5/smartchat?case=6975efb3f6a74a8ceb721f3c</t>
  </si>
  <si>
    <t>ติดตามเงิน/ระยะเวลาคืนเงิน - With in SLA</t>
  </si>
  <si>
    <t>1. ไม่กล่าวเปิดการสนทนาตามมาตรฐาน "สวัสดีค่ะ แอดมิน XXX ยินดีให้บริการค่ะ"
2. ไม่กล่าวปิดการสนทนาตามมาตรฐาน "ขอบคุณที่ใช้บริการโรบินฮู้ด แอดมิน XXX ยินดีให้บริการค่ะ"
3. ลูกค้าแจ้งเลขออเดอร์มาแล้ว ควรเอาเลขออเดอร์ไปตรวจสอบและแจ้งระยะเวลาปรับปรุงเงินคืนเฉพาะช่องทางที่ลูกค้าชำระเท่าน้ัน ไม่ควรส่งหว่านทุกช่องทางแบบนี้</t>
  </si>
  <si>
    <t>AA182786</t>
  </si>
  <si>
    <t>https://app.oho.chat/business/6805c0f16232119d2a1204b5/smartchat?case=6975ee899edc24911bea9fb1</t>
  </si>
  <si>
    <t>ปัญหาก่อนจัดส่ง-ร้านปิด</t>
  </si>
  <si>
    <t>1. ไม่กล่าวเปิดการสนทนาตามมาตรฐาน "สวัสดีค่ะ แอดมิน XXX ยินดีให้บริการค่ะ"
2. ไม่กล่าวปิดการสนทนาตามมาตรฐาน "ขอบคุณที่ใช้บริการโรบินฮู้ด แอดมิน XXX ยินดีให้บริการค่ะ"
3. ควรแจ้งระยะเวลาที่ปรับปรุงเงินคืนสำหรับช่องทางที่ลูกค้าชำระเท่าน้ัน
4. ไม่แท็กเคสว่าลูกค้าติดต่อเรื่องอะไรหลังจบแชท ที่ถูกต้องคือควรแท็กเคสหัวข้อ "ปัญหาก่อนจัดส่ง-ร้านปิด"</t>
  </si>
  <si>
    <t>AA182780</t>
  </si>
  <si>
    <t>https://app.oho.chat/business/6805c0f16232119d2a1204b5/smartchat?case=6975eda898bfa1c5ab7f1002</t>
  </si>
  <si>
    <t>ปัญหาก่อนจัดส่ง-ลูกค้าปักหมุดผิด</t>
  </si>
  <si>
    <t>1. ไม่กล่าวเปิดการสนทนาตามมาตรฐาน "สวัสดีค่ะ แอดมิน XXX ยินดีให้บริการค่ะ"
2. ไม่กล่าวปิดการสนทนาตามมาตรฐาน "ขอบคุณที่ใช้บริการโรบินฮู้ด แอดมิน XXX ยินดีให้บริการค่ะ"
3. ควรปรับปรุงเรื่องภาษาที่ใช้ในการตอบแชท เนื่องจากภาษาที่ใช้ห้วนเกินไป
4. ควรแจ้งระยะเวลาปรับปรุงเงินคืนสำหรับช่องทางที่ลูกค้าชำระให้ทราบด้วย</t>
  </si>
  <si>
    <t>AA182769</t>
  </si>
  <si>
    <t>https://app.oho.chat/business/6805c0f16232119d2a1204b5/smartchat?case=6975e75a9a623fb6512bb86e</t>
  </si>
  <si>
    <t>1. ไม่กล่าวเปิดการสนทนาตามมาตรฐาน "สวัสดีค่ะ แอดมิน XXX ยินดีให้บริการค่ะ"
2. ไม่กล่าวปิดการสนทนาตามมาตรฐาน "ขอบคุณที่ใช้บริการโรบินฮู้ด แอดมิน XXX ยินดีให้บริการค่ะ"
3. กรณีแจ้งระยะเวลาปรับปรุงเงินคืน ควรแจ้งว่าหากไม่ได้รับเงินคืนให้ติดต่อกลับมาเพื่อให้แอดมินติดตามเงินคืนให้อีกครั้ง</t>
  </si>
  <si>
    <t>AA182752</t>
  </si>
  <si>
    <t>https://app.oho.chat/business/6805c0f16232119d2a1204b5/smartchat?case=6975e17825475123fecf4205</t>
  </si>
  <si>
    <t>สอบถามข้อมูลเกี่ยวกับออเดอร์</t>
  </si>
  <si>
    <t>1. ไม่กล่าวเปิดการสนทนาตามมาตรฐาน "สวัสดีค่ะ แอดมิน XXX ยินดีให้บริการค่ะ"
2. ไม่กล่าวปิดการสนทนาตามมาตรฐาน "ขอบคุณที่ใช้บริการโรบินฮู้ด แอดมิน XXX ยินดีให้บริการค่ะ"
3. ควรปรับปรุงเรื่องภาษาที่ใช้ในการตอบแชท เนื่องจากภาษาที่ใช้ห้วนเกินไป
4. ควร Pro active สอบถามลูกค้าเพิ่มเติมว่าได้รับอาหารเรียบร้อยดีหรือไม่</t>
  </si>
  <si>
    <t>AA182748</t>
  </si>
  <si>
    <t>https://app.oho.chat/business/6805c0f16232119d2a1204b5/smartchat?case=6975e02b09bff555769dca69</t>
  </si>
  <si>
    <t>ปัญหาก่อนจัดส่ง-วัตถุดิบหมด/ไม่ครบ</t>
  </si>
  <si>
    <t>1. ไม่กล่าวเปิดการสนทนาตามมาตรฐาน "สวัสดีค่ะ แอดมิน XXX ยินดีให้บริการค่ะ"
2. ไม่กล่าวปิดการสนทนาตามมาตรฐาน "ขอบคุณที่ใช้บริการโรบินฮู้ด แอดมิน XXX ยินดีให้บริการค่ะ"
3.ควรปรับปรุงเรื่องภาษาที่ใช้ในการตอบแชท เนื่องจากภาษาที่ใช้ห้วนเกินไป
4. ควรสอบถามร้านค้าว่าติดต่อแจ้งให้ลูกค้าทราบแล้วหรือยัง</t>
  </si>
  <si>
    <t>AA182740</t>
  </si>
  <si>
    <t>https://app.oho.chat/business/6805c0f16232119d2a1204b5/case/68526479efe85ef4b938ec74?case=6975dd4a98bfa1c5ab799582</t>
  </si>
  <si>
    <t>กดจบงานไม่ได้</t>
  </si>
  <si>
    <t>1. ไม่กล่าวเปิดการสนทนาตามมาตรฐาน "สวัสดีค่ะ แอดมิน XXX ยินดีให้บริการค่ะ"
2. ไม่กล่าวปิดการสนทนาตามมาตรฐาน "ขอบคุณที่ใช้บริการโรบินฮู้ด แอดมิน XXX ยินดีให้บริการค่ะ"
3. ควรปรับปรุงเรื่องภาษาที่ใช้ในการตอบแชท เนื่องจากภาษาที่ใช้ห้วนเกินไป
4. ควรมี Take onwership มากกว่านี้ เนื่องจากเราสามารถช่วยเหลือไรเดอร์ได้ เช่น โทรหาลูกค้าเพื่อยืนยันการจัดส่งอาหาร (รูปที่ไรเดอร์ถ่ายมาไม่เห็นอาหาร) 
5. ควรย้ำให้ไรเดอร์อย่าลืมกดถึงร้านค้าตามกระบวนการทำงานทุกครั้ง ในการสนทนาอธิบายน้อยมาก</t>
  </si>
  <si>
    <t>AA182723</t>
  </si>
  <si>
    <t>https://app.oho.chat/business/6805c0f16232119d2a1204b5/case/68526479efe85ef4b938ec74?case=6975d72f0a6d366a26d72d8b</t>
  </si>
  <si>
    <t>สอบถามรอบโอนเงิน</t>
  </si>
  <si>
    <t>1. ไม่กล่าวเปิดการสนทนาตามมาตรฐาน "สวัสดีค่ะ แอดมิน XXX ยินดีให้บริการค่ะ"
2. ไม่กล่าวปิดการสนทนาตามมาตรฐาน "ขอบคุณที่ใช้บริการโรบินฮู้ด แอดมิน XXX ยินดีให้บริการค่ะ"
3. ควรปรับปรุงเรื่องภาษาที่ใช้ในการตอบแชท เนื่องจากภาษาที่ใช้ห้วนเกินไป
4. เวลารอรับบริการไม่ควรเกิน 5 นาที
5. ไม่ควรส่งภาพอย่างเดียว จะต้องมีคำอธิบายเพื่อให้การบริการดูเหมือนไม่เป็น Robot</t>
  </si>
  <si>
    <t>AA182706</t>
  </si>
  <si>
    <t>https://app.oho.chat/business/6805c0f16232119d2a1204b5/smartchat?case=6975d332e991d3cc95a8c562</t>
  </si>
  <si>
    <t>1. ไม่กล่าวเปิดการสนทนาตามมาตรฐาน "สวัสดีค่ะ แอดมิน XXX ยินดีให้บริการค่ะ"
2. ไม่กล่าวปิดการสนทนาตามมาตรฐาน "ขอบคุณที่ใช้บริการโรบินฮู้ด แอดมิน XXX ยินดีให้บริการค่ะ"
3. ควรปรับปรุงเรื่องภาษาที่ใช้ในการตอบแชท เนื่องจากภาษาที่ใช้ห้วนเกินไป
4. ควรทำการประสานงานร้านค้าและปิดร้านค้าในระบบ Admin panel แต่ในเคสไม่มีการแจ้งหรือบันทึกภายใน เพื่อให้คนที่ทำงานต่อจากเราทำงานง่ายขึ้น
5. เวลารอรับบริการ 06:48 นาทีไม่ควรให้เกิน 5 นาที</t>
  </si>
  <si>
    <t>AA182710</t>
  </si>
  <si>
    <t>https://app.oho.chat/business/6805c0f16232119d2a1204b5/case/68526479efe85ef4b938ec74?case=6975d3cce622ba8909d964fc</t>
  </si>
  <si>
    <t>1. ไม่กล่าวเปิดการสนทนาตามมาตรฐาน "สวัสดีค่ะ แอดมิน XXX ยินดีให้บริการค่ะ"
2. ไม่กล่าวปิดการสนทนาตามมาตรฐาน "ขอบคุณที่ใช้บริการโรบินฮู้ด แอดมิน XXX ยินดีให้บริการค่ะ"
3. ควรปรับปรุงเรื่องภาษาที่ใช้ในการตอบแชท เนื่องจากภาษาที่ใช้ห้วนเกินไป
4. กรณีไรเดอร์แจ้งว่าร้านค้าปิด ควรติดต่อร้านค้าเพื่อยืนยันว่าไม่ขายกับโรบินฮู้ดแล้ว และทำการปิดร้านค้าในระบบ Admin panel จากนั้นควรทำการบันทึกภายในไว้ว่าทำอะไรไว้บ้าง เพื่อให้คนที่ทำงานต่อสามารถทำงานได้ง่ายขึ้น</t>
  </si>
  <si>
    <t>AA172274</t>
  </si>
  <si>
    <t>https://app.oho.chat/business/6805c0f16232119d2a1204b5/smartchat?case=695e2029559723c1330b9bb6</t>
  </si>
  <si>
    <t>ปัญหาก่อนจัดส่ง-ลูกค้าไม่รอ</t>
  </si>
  <si>
    <t>Good job วิเคราะห์เคสดีและทำการกระบวนการถูกต้อง แต่ควรปรับปรุงเรื่องการใช้ภาษานิดหน่อยและระยะเวลานานพอสมควร</t>
  </si>
  <si>
    <t>AA184774</t>
  </si>
  <si>
    <t>https://app.oho.chat/business/6805c0f16232119d2a1204b5/smartchat?room=684044e48969a61b471462eb</t>
  </si>
  <si>
    <t>สอบถามการใช้แอปพลิเคชั่น</t>
  </si>
  <si>
    <t>1. ควรปรับปรุงเรื่องภาษาที่ใช้ในการตอบแชท เนื่องจากไม่ควรมีข้อความ "แอดมินขอแจ้งให้ทราบนะคะ" ข้างหน้าประโยค ทำให้มีความรู้สึกเหมือนรำคาญอย่างเห็นได้ชัด
2. ข้อความกล่าวเปิดสนทนาและข้อความตอบไรเดอร์ควรเป็นคนละข้อความกันค่ะ</t>
  </si>
  <si>
    <t>AA184734</t>
  </si>
  <si>
    <t>https://app.oho.chat/business/6805c0f16232119d2a1204b5/smartchat?room=697b34b91aad03db83f903da</t>
  </si>
  <si>
    <t>1. ข้อความกล่าวเปิดการสนทนาและข้อความที่แจ้งผลดำเนินการควรเป็นคนละข้อความ
2. ควรปรับปรุงเรื่องภาษาที่ใช้ในการตอบแชท</t>
  </si>
  <si>
    <t>AA184756</t>
  </si>
  <si>
    <t>https://app.oho.chat/business/6805c0f16232119d2a1204b5/smartchat?room=688db3bfafe320efeb8336a5</t>
  </si>
  <si>
    <t>ติดตามเงินประกัน 400 บาท</t>
  </si>
  <si>
    <t>1. ข้อความกล่าวเปิดสนทนาและการตอบข้อความที่ไรเดอร์สอบถามควรเป็นคนละข้อความค่ะ
2. ควรปรับปรุงเรื่องภาษาที่ใช้ในการตอบแชท</t>
  </si>
  <si>
    <t>AA184574</t>
  </si>
  <si>
    <t>https://app.oho.chat/business/6805c0f16232119d2a1204b5/smartchat?room=697ae264d71623c89a542cc4</t>
  </si>
  <si>
    <t>เปลี่ยนแปลงข้อมูล-เลขที่บัญชี</t>
  </si>
  <si>
    <t>1. ควรตรวจสอบเอกสารที่ลูกค้าส่งมาให้ว่ามีลายเซ็นต์และชัดเชนก่อนรับปากว่าจะเปลี่ยนแปลงข้อมูลให้ร้านค้า ซึ่งการขอเอกสารภายหลังดูไม่มืออาชีพ
2. ไม่กล่าวปิดการสนทนาตามมาตรฐาน "ขอบคุณที่ใช้บริการโรบินฮู้ด แอดมิน XXX ยินดีให้บริการค่ะ"</t>
  </si>
  <si>
    <t>AA184556</t>
  </si>
  <si>
    <t>https://app.oho.chat/business/6805c0f16232119d2a1204b5/smartchat?room=696ce06326a4f10c4c4c6ffa</t>
  </si>
  <si>
    <t>ปัญหาหลังจัดส่ง-อาหารไม่ครบ</t>
  </si>
  <si>
    <t>ควรแจ้งลูกค้าเพิ่มว่า "หากไม่ได้รับการติดต่อกรุณาแจ้งแอดมิน เพื่อประสานงานร้านค้าให้อีกครั้งค่ะ"</t>
  </si>
  <si>
    <t>AA185205</t>
  </si>
  <si>
    <t>https://app.oho.chat/business/6805c0f16232119d2a1204b5/smartchat?case=697c6b06167b1a515b57cd54</t>
  </si>
  <si>
    <t>1. ลูกค้าปักหมุดผิด หลังจากที่ประสานงานลูกค้าแล้วควรกลับมาแจ้งไรเดอร์ว่าระยะทางไกลหรือใกล้กว่าเดิม หากระยะทางไกลกว่าเดิมควรแจ้งชดเชยระยะทางให้ไรเดอร์ด้วย หากประสานงานลูกค้าไม่มีค่าใช้จ่ายเพิ่มควรใส่ในโน้ตให้ละเอียดด้วยว่าไม่ต้องชดเชยค่าระยะทางส่วนต่างให้กับไรเดอร์
2. ใช้ระยะเวลากับเคสนี้ค่อยข้างนาน</t>
  </si>
  <si>
    <t>AA172082</t>
  </si>
  <si>
    <t>https://app.oho.chat/business/6805c0f16232119d2a1204b5/smartchat?case=695dddc19cc663db59a5f950</t>
  </si>
  <si>
    <t>ปัญหาก่อนจัดส่ง - ได้รับงานเกิน 8 กม.</t>
  </si>
  <si>
    <t>1. ไรเดอร์แจ้งว่าที่ขอปฏิเสธ เนื่องจากรับงานไกล 7 กม. แต่น้องส่ง Template กรณีรถเสียไปให้ไรเดอร์
2. ควรปรับปรุงเรื่องภาษาที่ใช้ในการตอบแชท เช่น 21 พฤษภาคม 2568 18:19 ปฏิเสธงาน/ปฏิเสธการแก้ไขงาน อยู่ๆ ก็พิมพ์ข้อความแบบนี้ขึ้นมา ควรแจ้งว่าจากประวัติระงับบัญชีของพี่ไรเดอร์ เคยมีประวัติกระทำความผิดมาก่อน
3. ควรทบทวนหมายเลขออเดอร์ทุกครั้ง เพื่อให้ทราบว่าเราโฟกัสออเดอร์นี้อยู่
4. ไม่แท็กเคสว่าลูกค้าติดต่อเรื่องอะไรหลังจบแชท ที่ถูกต้องคือควรแท็กเคสหัวข้อ "ปัญหาก่อนจัดส่ง - ได้รับงานเกิน 8 กม."</t>
  </si>
  <si>
    <t>AA178287</t>
  </si>
  <si>
    <t>https://app.oho.chat/business/6805c0f16232119d2a1204b5/smartchat?case=6968c236eb45d9c719f5c3f7</t>
  </si>
  <si>
    <t>ร้านค้าลืมรหัสผ่าน/User</t>
  </si>
  <si>
    <t>1. ร้านค้าแจ้งว่าใส่เบอร์โทรศัพท์แล้วเข้าระบบไม่ได้ ทำการ Verify ตัวมาแล้ว ควรตรวจสอบเบื้องต้นว่าผูกเบอร์สำเร็จแล้วหรือไม่ /เบอร์โทรศัพท์ที่ลงทะเบียนถูกต้องหรือไม่
2. หลังจากที่ร้านค้าให้ข้อมูลมาแล้ว น้องแจ้งอีเมลที่ร้านค้าลงทะเบียนค่ะ ซึ่งควรแจ้งว่า "รบกวนทางร้านค้าเข้าสู่ระบบด้วยอีเมล์ที่ลงทะเบียน xxxxx"</t>
  </si>
  <si>
    <t>AA179216</t>
  </si>
  <si>
    <t>https://app.oho.chat/business/6805c0f16232119d2a1204b5/smartchat?case=696b541b6eb1efe8a1142e74</t>
  </si>
  <si>
    <t>1. ไม่ควรแจ้งให้ลูกค้าชำระค่าใช้จ่ายเพิ่มเติมตามระยะทางจริง (7 บาท/กม.) ให้กับไรเดอร์โดยตรง
2. เราควรโทรหาลูกค้าหากไม่ได้รับการตอบกลับ เนื่องจากการปักหมุดผิดเป็นเคสที่ควรได้รับการซัพพอร์ตจากเราอย่างเร่งด่วน
3. ไม่ควรแจ้ง "หากต้องการเช็กระยะทางระหว่างหมุดเดิมและหมุดที่ต้องการ แอดมินสามารถช่วยตรวจสอบให้ได้ค่ะ" เป็นการผลักลูกค้าให้ช่วยเหลือตัวเอง(ถ้าเป็นแบบนี้อีกหน่อยก็คงไม่ต้องมีแอดมินก็ได้ ถูกมั้ย)</t>
  </si>
  <si>
    <t>AA176236</t>
  </si>
  <si>
    <t>https://app.oho.chat/business/6805c0f16232119d2a1204b5/smartchat?case=6964cac1f2961c27f6d77ab5</t>
  </si>
  <si>
    <t>ยกเลิกออเดอร์</t>
  </si>
  <si>
    <t>1. ควรแก้ไขข้อความ "แอดมินจึงไม่สามารถดำเนินการยกเลิกออเดอร์ได้ค่ะ"  ไม่ต้องไปบอกลูกค้าว่า  เรายกเลิกไม่ได้   ให้แจ้งไปเลยว่าร้านไม่รับออเดอร์  ระบบจะยกเลิกอัตโนมัติฯกี่โมง  ไม่เช่นนั้นจะเกิดคำถามในใจลูกค้าว่า ทำไมเป็นแอดมินจึงยกเลิกไม่ได้  ถึงมันจะจริงก็เถอะ
2. แท็กเคสหลังจบแชทไม่ถูกต้อง กล่าวคือแท็กเคสหัวข้อ "สอบถามข้อมูลเกี่ยวกับออเดอร์" ที่ถูกต้องคือควรแท็กเคสหัวข้อ "ติดตามสถานะคำสั่งซื้อ"</t>
  </si>
  <si>
    <t>AA176163</t>
  </si>
  <si>
    <t>https://app.oho.chat/business/6805c0f16232119d2a1204b5/smartchat?case=6964b75a2cc105e6e05ce4d3</t>
  </si>
  <si>
    <t>ร้านค้าลืมรหัส</t>
  </si>
  <si>
    <t>Good job</t>
  </si>
  <si>
    <t>AA176069</t>
  </si>
  <si>
    <t>https://app.oho.chat/business/6805c0f16232119d2a1204b5/smartchat?case=69649c962cc105e6e04e1136</t>
  </si>
  <si>
    <t>ติดตามเงิน</t>
  </si>
  <si>
    <t>- ควรพิมพ์เลขออเดอร์ในเคสด้วย
- ไม่กล่าวปิดการสนทนาตามมาตรฐาน "ขอบคุณที่ใช้บริการโรบินฮู้ด แอดมิน XXX ยินดีให้บริการค่ะ"</t>
  </si>
  <si>
    <t>AA179797</t>
  </si>
  <si>
    <t>https://app.oho.chat/business/6805c0f16232119d2a1204b5/smartchat?case=696cc73786b52ae4fdd754c4</t>
  </si>
  <si>
    <t>ดำเนินการถูกต้องตามขั้นตอน  แต่การแจ้งข้อมูลการยกเลิกข้อมูล ควรใส่เลขออเดอร์ไปด้วยเพื่อยืนยันความถูกต้อง เช่น "จากการตรวจสอบออเดอร์ 260118-OS-1481 ไรเดอร์ยังไม่ได้เดินทางไปรับอาหารเนื่องจากประสบอุบัติเหต....."    เนื่องจากเมื่อต้องการค้นหาข้อมูลประวัติการสนทนาย้อนหลังเกี่ยวกับออเดอร์เลขที่นี้  จะไม่สามารถค้นหาได้เลย  รวมถึงการแก้ไขชื่อลูกค้าใน Oho ควรแก้เป็นเบอร์โทรศัพท์  โดยเฉพาะเคสสำคัญที่มีการเปิดเคส</t>
  </si>
  <si>
    <t>AA180040</t>
  </si>
  <si>
    <t>https://app.oho.chat/business/6805c0f16232119d2a1204b5/smartchat?room=6965eed4d7371248f44da296</t>
  </si>
  <si>
    <t>ร้านค้าเข้าระบบไม่ได้</t>
  </si>
  <si>
    <t>ตรวจสอบได้ดี แก้ปัญหาถูกต้อง แต่ควรแจ้งให้ร้านค้าทราบด้วยว่า  ที่เครื่อง POS ของร้านที่เข้าสู่ระบบอยู่ในขณะนั้น เป็นของสาขาใดกันแน่  เพราะออเดอร์ไปเข้าอีกสาขานึง  ร้านจึงมองไม่เห็นออเดอร์ และใช้ระยะเวลากับเคสนี้นานพอสมควร</t>
  </si>
  <si>
    <t>AA175726</t>
  </si>
  <si>
    <t>https://app.oho.chat/business/6805c0f16232119d2a1204b5/smartchat?case=696451bcc9275add554a92f6</t>
  </si>
  <si>
    <t>เพิ่มบัตรเครดิตไม่ได้</t>
  </si>
  <si>
    <t>เมื่อบันทึก incident log แล้ว ควรเอาเลขบรรทัดใน log มาบันทึกไว้ที่เคสด้วย  เมื่อลูกค้าทักมาอีก แล้วคนอื่นได้เคสต่อ จะได้ตรวจสอบได้เร็ว  และควรเปลี่ยนชื่อใน Oho เป็นเบอร์ลูกค้า โดยเฉพาะกรณีที่ต้องการการติดตามผล หรือต้องมีการเปิดเคส   จะทำให้การค้นหาแชทลูกค้าง่ายขึ้น /ใช้ระยะเวลารอคอยนานมากกว่า 5 นาที</t>
  </si>
  <si>
    <t>AA181140</t>
  </si>
  <si>
    <t>https://app.oho.chat/business/6805c0f16232119d2a1204b5/smartchat?case=6970e0ff58a2228419b40074</t>
  </si>
  <si>
    <t>ติดต่อลูกค้าไม่ได้</t>
  </si>
  <si>
    <t>1. ไม่กล่าวปิดการสนทนาตามมาตรฐาน "ขอบคุณที่ใช้บริการโรบินฮู้ด แอดมิน XXX ยินดีให้บริการค่ะ"
2. ควรทบทวนเลขออเดอร์ในการสนทนาทุกเคส เพื่อให้ทราบว่าเรากำลังโฟกัสเคสนี้อยู่
3. ไม่ควรแนะนำให้ไรเดอร์ลองติดต่อลูกค้าอีกครั้งได้มั้ย เราควรแนะให้ไรเดอร์หาจุดฝากอาหารเลย มันดูเหมือนให้ไรเดอร์พึ่งพาตัวเอง</t>
  </si>
  <si>
    <t>AA181118</t>
  </si>
  <si>
    <t>https://app.oho.chat/business/6805c0f16232119d2a1204b5/smartchat?case=6970c819c1c6605a45d03136</t>
  </si>
  <si>
    <t>ติดต่อร้านค้าไม่ได้</t>
  </si>
  <si>
    <t>AA182997</t>
  </si>
  <si>
    <t>https://app.oho.chat/business/6805c0f16232119d2a1204b5/smartchat?case=6976e0355a282baef6b68ab8</t>
  </si>
  <si>
    <t>ไรเดอร์แจ้งร้านเข้าระบบไม่ได้</t>
  </si>
  <si>
    <t>ควรแจ้งไรเดอร์เพิ่มเติม ให้ร้านแอดไลน์เข้ามา  หรือหากเคสไม่เยอะมาก ควรโทรหาร้านค้าเพื่ออธิบายให้ร้านเข้าใจด้วยตนเอง  (ถ้าโทรหาร้านแล้ว  ยื่นอุทธรณ์เข้ามานะ)</t>
  </si>
  <si>
    <t>AA183682</t>
  </si>
  <si>
    <t>https://app.oho.chat/business/6805c0f16232119d2a1204b5/smartchat?case=697856d7806d74779fba0ab6</t>
  </si>
  <si>
    <t>ร้านปิด</t>
  </si>
  <si>
    <t>1. ไม่ได้เข้าไปปิดร้านใน admin panel
2. ควรปรับปรุงเรื่องภาษาในการตอบแชท เช่น หากร้านค้ามีการปิด ระบบจะดำเนินการยกเลิกออเดอร์โดยอัตโนมัติภายในเวลาประมาณ 13:44 น.  
3.ควรแจ้งระยะเวลาคืนเงินตามช่องทางที่ชำระให้ลูกค้าทราบด้วย</t>
  </si>
  <si>
    <t>AA180168</t>
  </si>
  <si>
    <t>https://app.oho.chat/business/6805c0f16232119d2a1204b5/case/696ef8d4cea5e6bb74db0c93?case=696dfa30e643897cbc831ff5</t>
  </si>
  <si>
    <t>ปัญหาหลังจัดส่ง-ไม่ได้รับอาหาร (สถานะ complete)</t>
  </si>
  <si>
    <t>1. ควรปรับปรุงภาษาที่ใช้เช่น ลูกค้าได้รับอาหารกับทางไรเดอร์หรือไม่คะ ควรปรับเป็น ลูกค้าได้รับอาหารแล้วหรือไม่คะ
2. ควรทบทวนเลขออเดอร์ในระหว่างการสนทนา
3. ไม่ควรสอบถามว่าลูกค้าสะดวกรับอาหารมั้ยหลายครั้ง
4. ใช้เวลาในการจัดการเคสนานเกินไป</t>
  </si>
  <si>
    <t>AA179997</t>
  </si>
  <si>
    <t>https://app.oho.chat/business/6805c0f16232119d2a1204b5/case/696ef8d4cea5e6bb74db0c93?case=696dbb376beb64d0f0e51a44</t>
  </si>
  <si>
    <t>การสนทนาโดยภาพรวมถือว่าตอบตามข้อมูลที่ลูกค้าต้องการได้ครบ แต่ในเคสไม่ได้ใส่แท๊กด้านข้าง</t>
  </si>
  <si>
    <t>AA180061</t>
  </si>
  <si>
    <t>https://app.oho.chat/business/6805c0f16232119d2a1204b5/case/696ef8d4cea5e6bb74db0c93?case=696dd3e0aadbbe5460f715dd</t>
  </si>
  <si>
    <t>ไรเดอร์จัดส่งอาหารผิด</t>
  </si>
  <si>
    <t>1. กล่าวเปิดการสนทนาซ้ำ 2 ครั้ง
2. เคสนี้ควรแจ้งกับทางลูกค้ากลับให้ปักหมุดให้ถูกต้อง เนื่องจากลูกค้าแจ้งเองว่าปักหมุดไม่ถูกต้องในเคส
3. หลังจากยกเลิกออเดอร์แล้วควรแจ้งช่องทางและระยะเวลาที่จะได้รับเงินคืนไม่ควรรอให้ลูกค้าถาม 
4. ลูกค้าแจ้งว่าชำระผ่าน Card x ควรแจ้งช่องทางการชำระเงินของลูกค้าว่าชำระผ่าน SCB Easy แต่แจ้งแค่คืนผ่านบัญชี 
5. ควรปรับปรุงเรื่องภาษาที่ใช้ในการตอบแชท เนื่องจากภาษาที่ใช้ห้วนเกินไป</t>
  </si>
  <si>
    <t>AA180538</t>
  </si>
  <si>
    <t>https://app.oho.chat/business/6805c0f16232119d2a1204b5/case/696ef8d4cea5e6bb74db0c93?case=696f33d6bcaaa56fb82a6b53</t>
  </si>
  <si>
    <t>ปัญหาก่อนจัดส่ง-ร้านค้าปักหมุดผิด</t>
  </si>
  <si>
    <t>1. ไม่ควรแจ้งไรเดอร์ว่า"พี่ไรเดอร์อยุ่บริเวณที่ร้านปักหมุดผิดนะคะ เพราะร้านอยู่ในตึก วัน แบงค็อกค่ะ" เนื่องจากไรเดอร์ไม่ได้ไปผิดเส้นทาง ทำให้ไรเดอร์รู้สึกว่าเรากล่าวหาว่าเขาทำผิด
2. ควรปรับปรุงเรื่องภาษาที่ใช้ในการตอบแชท เนื่องจากข้อความที่พิมพ์ผ่านแล้วงง ควรอ่านให้ดีก่อนการตอบแชท และควรสรุปสั้นๆหรือให้ Chat CPT เรียบเรียงจะดีกว่า เช่น พี่ไรเดอร์สามารถกดสถานะ “ถึงร้าน” ที่หมุดเดิมได้ และเดินทางไปรับอาหารที่สถานที่ใหม่คือ ตึกวัน แบงค็อก โดยทางร้านค้ายินยอมชดเชยค่าเดินทางเพิ่มเติมจำนวน 49 บาทค่ะ หากพี่ไรเดอร์ไม่สามารถกดจบงานได้ สามารถติดต่อเข้ามาเพื่อให้แอดมินช่วยดำเนินการกดจบงานให้ได้ค่ะ
3. ไม่กล่าวปิดการสนทนาตามมาตรฐาน "ขอบคุณที่ใช้บริการโรบินฮู้ด แอดมิน XXX ยินดีให้บริการค่ะ"
4. ใช้ระยะเวลาในการจัดการนานเกินไป</t>
  </si>
  <si>
    <t>AA180502</t>
  </si>
  <si>
    <t>https://app.oho.chat/business/6805c0f16232119d2a1204b5/case/696ef8d4cea5e6bb74db0c93?case=696f1f9c0c6b5c5051033c42</t>
  </si>
  <si>
    <t>1. ควรประสานงานให้ลูกค้ากับไรเดอร์ว่าจะดำเนินการอย่างไรเพื่อให้เคสนี้เสร็จสิ้นอย่างสมบูรณ์ ไม่ควรละเลยลูกค้าแบบนี้ ควรคิดว่าเคสที่ตัวเองดูแลรับผิดชอบก็ควรรับผิดชอบให้ถึงที่สุด (ควรมี Take onwership)
2. ควรปรับปรุงเรื่องภาษาที่ใช้ในการตอบแชท เนื่องจากภาษาที่ใช้ห้วนเกินไป
3. ไม่กล่าวปิดการสนทนาตามมาตรฐาน "ขอบคุณที่ใช้บริการโรบินฮู้ด แอดมิน XXX ยินดีให้บริการค่ะ"</t>
  </si>
  <si>
    <t>AA180406</t>
  </si>
  <si>
    <t>https://app.oho.chat/business/6805c0f16232119d2a1204b5/case/696ef8d4cea5e6bb74db0c93?case=696ef4360e83537973c978f4</t>
  </si>
  <si>
    <t>เปลี่ยนแปลงข้อมูล-อีเมล์</t>
  </si>
  <si>
    <t>ควรปรับปรุงเรื่องภาษาที่ใช้ในการตอบแชทและควรใช้สคริปต์ "ขออนุญาตสอบถามข้อมูลอีเมลของร้านค้าที่ต้องการเปลี่ยนแปลง โดยมีรายละเอียดดังนี้
อีเมลที่ลงทะเบียน:
อีเมลที่ต้องการเปลี่ยนเป็น:  "</t>
  </si>
  <si>
    <t>AA180357</t>
  </si>
  <si>
    <t>https://app.oho.chat/business/6805c0f16232119d2a1204b5/case/696ef8d4cea5e6bb74db0c93?case=696edee20c6b5c5051e7afa1</t>
  </si>
  <si>
    <t>ขอรับเงินชดเชย ระยะทางผิด ร้านค้า &gt; ลูกค้า</t>
  </si>
  <si>
    <t>Good job แต่ใช้ระยะเวลากับเคสนี้นานเกินไป ควรปิดเคสก่อนแล้วค่อยบันทึกเคสในระบบ SF นะคะ</t>
  </si>
  <si>
    <t>AA184063</t>
  </si>
  <si>
    <t>https://app.oho.chat/business/6805c0f16232119d2a1204b5/case/696ef8d4cea5e6bb74db0c93?case=69798ed270c3286b918b1b4e</t>
  </si>
  <si>
    <t>ปัญหาก่อนการจัดส่ง - ร้านค้าไม่กดรับออเดอร์</t>
  </si>
  <si>
    <t>1. ควรแจ้งชื่อสาขาและอีเมล์ลงทะเบียนของสาขาที่ลูกค้าสั่ง แทนจะแจ้งแค่รหัสสาขา เนื่องจากสาขาจำไม่ได้หรอกว่ารหัสสาขาคืออะไร
2. ควรโทรแจ้งรายละเอียดร้านค้า เนื่องจากรายละเอียดค่อนข้างเยอะ 
3. หลังจากให้บริการแล้วควรแจ้งให้ร้านค้าติดต่อช่องทางที่ถูกต้อง เนื่องกจากร้านค้าติดต่อ Line OA Robinhood Delivery</t>
  </si>
  <si>
    <t>AA172810</t>
  </si>
  <si>
    <t>https://app.oho.chat/business/6805c0f16232119d2a1204b5/smartchat?room=695f5a049a3552ecf1e3990e</t>
  </si>
  <si>
    <t>1. ควรปรับปรุงเรื่องภาษาที่ใช้ในการตอบแชท เนื่องจากภาษาที่ใช้ห้วนเกินไป
2. ควรประสานงานร้านค้าเพื่อให้แน่ใจว่าร้านค้าปิดจริง แต่จากการสนทนาแจ้งแต่ระยะเวลาที่ระบบจะยกเลิกอัตโนมัติ
3. หากร้านค้าปิดจริงควรแจ้งลูกค้าด้วยว่าเราจะทำการปิดร้านค้าไว้ และจากการตรวจสอบไม่พบประวัติการปิดร้านค้า
4.ใช้ระยะเวลาในการจัดการเคสค่อนข้างนาน</t>
  </si>
  <si>
    <t>AA172606</t>
  </si>
  <si>
    <t>https://app.oho.chat/business/6805c0f16232119d2a1204b5/case/696ef8d4cea5e6bb74db0c93?case=695f1ab941f86ba55b4ae506</t>
  </si>
  <si>
    <t>1. กรณีสถานะออเดอร์เป็น  PAYMENT - TIMEOUT และลูกค้าถูกตัดเงิน ให้ทำการขอสลิปที่ถูกตัดเงินและบันทึกเคสติดตามเงินคืนให้ระบบ SF เนื่องจากสถานะPAYMENT - TIMEOUT หมายถึงไม่ชำระเงินภายใน 15 นาที  ซึ่งลูกค้าไม่ควรถูกตัดเงิน
2. ตรวจสอบไม่พบเคสติดตามเงินคืนในระบบ SF ของวันที่ 8/01 ทำให้ลูกค้าต้องติดตามเงินคืนมาอีกครั้ง</t>
  </si>
  <si>
    <t>AA172465</t>
  </si>
  <si>
    <t>https://app.oho.chat/business/6805c0f16232119d2a1204b5/smartchat?room=68cb5a1a1c4d75b05fe5d02c</t>
  </si>
  <si>
    <t>1. ลูกค้าแจ้งว่าหน้าแอปไม่เปลี่ยนสถานะ ถ้าเราตรวจสอบพบว่าไรเดอร์กำลังเดินทางไปร้าน ควรแนะนำให้ลูกค้าปัดแอปแล้วเข้าใหม่ ไม่ควรยกเลิกให้ลูกค้าง่ายเกินไป
2. แท็กเคสหลังจบแชทไม่ถูกต้อง กล่าวคือแท็กเคสหัวข้อ "ติดตามสถานะคำสั่งซื้อ" ที่ถูกต้องคือควรแท็กเคสหัวข้อ "ปัญหาก่อนจัดส่ง-ลูกค้าไม่รอ"
3. ใช้เวลากับเคสในการรับเคสมากกว่า 5 นาที และใช้เวลากับเคสนี้ค่อนข้างนาน</t>
  </si>
  <si>
    <t>AA169432</t>
  </si>
  <si>
    <t>https://app.oho.chat/business/6805c0f16232119d2a1204b5/smartchat?room=684812afe751ae5e2375fce4</t>
  </si>
  <si>
    <t>1. กรณีที่ไรเดอร์แจ้งว่าร้านค้าปิดจะต้องโทรหาร้านค้าทุกครั้ง เพื่อยืนยันว่าร้านปิดจริง ไม่เชื่อไรเดอร์นะคะ และหากติดต่อร้านค้าควรระบุบันทึกภายในว่าติดต่อร้านค้าแล้ว ร้านปิดจริง
2. ควรปรับปรุงเรื่องภาษาที่ใช้ในการตอบแชท เนื่องจากมีบางคำพิมพ์ผิด "แอมิน"
3. ไม่ทบทวนเลขออเดอร์ในเคส</t>
  </si>
  <si>
    <t>AA174347</t>
  </si>
  <si>
    <t>https://app.oho.chat/business/6805c0f16232119d2a1204b5/smartchat?case=69620fda20e6f0eaa1873aa4</t>
  </si>
  <si>
    <t>1. ลูกค้าติดตามเงินคืนโดยชำระเงินผ่าน Kbank ข้อความก่อนหน้านี้ลูกค้าแจ้งเบอร์โทรมาแล้วควรเลื่อนไปดูข้อความก่อนหน้านี้ด้วย 
2.ควรมี Take ownership การแสดงความเป็นเจ้าของเคสให้มากกว่านี้
3. ไม่มี Service mild คือมีจิดใจให้บริการมากกว่านี้
4. เวลารอรับบริการ 16:41 นาที นานเกินไป</t>
  </si>
  <si>
    <t>AA173004</t>
  </si>
  <si>
    <t>https://app.oho.chat/business/6805c0f16232119d2a1204b5/smartchat?room=695f8d84379fd86c5d176e16</t>
  </si>
  <si>
    <t>1. ไม่กล่าวเปิดการสนทนาตามมาตรฐาน "สวัสดีค่ะ แอดมิน XXX ยินดีให้บริการค่ะ"
2. ไม่ทำการยืนยันตัวตนร้านค้าก่อนทำการรีเซ็ตรหัสผ่าน
3. ใช้เวลากับเคสนี้นานเกินไป</t>
  </si>
  <si>
    <t>AA185332</t>
  </si>
  <si>
    <t>https://app.oho.chat/business/6805c0f16232119d2a1204b5/smartchat?room=697ca1f6e62e2e7e8a8dfd0f</t>
  </si>
  <si>
    <t>ปัญหาก่อนจัดส่ง-ไรเดอร์ไม่รับงาน</t>
  </si>
  <si>
    <t>1. กรณีลูกค้าแจ้งยกเลิกออเดอร์ ควรแจ้งระยะเวลาปรับปรุงเงินคืนให้ลูกค้าด้วยไม่ต้องให้ลูกค้าถาม
2. ก่อนการยกเลิกออเดอร์ควรโทรสอบถามกับร้านค้าว่าทำอาหารหรือยัง หลังจากนั้นค่อยแจ้งลูกค้าหากร้านค้ายังไม่ทำอาหาร จึงค่อยรับปากจะยกเลิกออเดอร์ให้ลูกค้า แต่ในบทสนทนาไม่มีแจ้งว่าร้านค้ายังไม่ได้ทำอาหาร
3. หลังจากรเียกไรเดอร์ทดแทนแล้วควรกลับมาแจ้งลูกค้าว่าได้ไรเดอร์คนใหม่หรือไม่ 
4. ไม่กล่าวปิดการสนทนาตามมาตรฐาน "ขอบคุณที่ใช้บริการโรบินฮู้ด แอดมิน XXX ยินดีให้บริการค่ะ"
5. ใช้เวลากับเคสนี้นานเกินไป</t>
  </si>
  <si>
    <t>AA174046</t>
  </si>
  <si>
    <t>https://app.oho.chat/business/6805c0f16232119d2a1204b5/case/6852655b940f4732f24b5111?case=6975adec46cdf8a640e3255e</t>
  </si>
  <si>
    <t>1. ไม่กล่าวเปิดการสนทนาตามมาตรฐาน "สวัสดีค่ะ แอดมิน XXX ยินดีให้บริการค่ะ"
2. ไม่สอบถามเมนูที่ลูกค้าสั่งและเมนูได้รับผิด 
3. ไม่ทบทวนเลขออเดอร์ในระหว่างการสนทนา
4. ระยะรอรับแชทเวลานานไปลุกค้าควรรอไม่เกิน 5 นาที เคสยกเลิกออเดอร์ต้องดำเนินการไวกว่านี้</t>
  </si>
  <si>
    <t>AA182771</t>
  </si>
  <si>
    <t>https://app.oho.chat/business/6805c0f16232119d2a1204b5/smartchat?room=6975e802d30439612ba9abfc</t>
  </si>
  <si>
    <t>ปัญหาหลังจัดส่ง-อาหารไม่ถูกต้อง</t>
  </si>
  <si>
    <t>1. กรณีร้านค้าทำอาหารไม่ถูกต้อง ควรขอรูปอาหารที่ลูกค้าได้รับทุกครั้ง
2. ควรทบทวนหมยเลขออเดอร์ในระหว่างการสนทนาทุกครั้ง
3. ใช้ระยะเวลาในการจัดการเคสค่อนข้างนาน</t>
  </si>
  <si>
    <t>AA175294</t>
  </si>
  <si>
    <t>https://app.oho.chat/business/6805c0f16232119d2a1204b5/smartchat?case=696373ff20e6f0eaa1d4d158</t>
  </si>
  <si>
    <t>1. ไม่กล่าวเปิดการสนทนาตามมาตรฐาน "สวัสดีค่ะ แอดมิน XXX ยินดีให้บริการค่ะ"
2. ไม่ทบทวนเลขออเดอร์ในระหว่างการสนทนา
3. ควรปรับปรุงเรื่องภาษาที่ใช้ในการตอบแชท เนื่องจากภาษาที่ใช้ห้วนเกินไป
4. ใช้เวลาการจัดการเคสนานเกินไป</t>
  </si>
  <si>
    <t>AA179030</t>
  </si>
  <si>
    <t>https://app.oho.chat/business/6805c0f16232119d2a1204b5/case/6852655b940f4732f24b5111?case=696b11ce0bf0906d0b058c06</t>
  </si>
  <si>
    <t>1. ไม่กล่าวเปิดการสนทนาตามมาตรฐาน "สวัสดีค่ะ แอดมิน XXX ยินดีให้บริการค่ะ"
2. ควรปรับปรุงเรื่องภาษาที่ใช้ในการตอบแชท
3. ใช้ระยะเวลาการจัดการเคสนานเกินไป</t>
  </si>
  <si>
    <t>AA176253</t>
  </si>
  <si>
    <t>https://app.oho.chat/business/6805c0f16232119d2a1204b5/smartchat?case=6964cd95f2961c27f6d95b18</t>
  </si>
  <si>
    <t>1. ลูกค้าชำระผ่านช่องทางบัตรเครดิต แต่ทำไมแจ้งว่าลูกค้าชำระผ่านช่องทาง SCB  ลูกค้าให้หมายเลขออเดอร์มาแล้วทำไมไม่ตรวจสอบให้รอบคอบก่อน ทำให้ลูกค้าไม่ค่อยพอใจในการให้บริการ
2. ควรปรับปรุงเรื่องภาษาที่ใช้ในการตอบแชท เนื่องจากภาษาที่ใช้ห้วนเกินไป
3. ไม่แท็กเคสว่าลูกค้าติดต่อเรื่องอะไรหลังจบแชท ที่ถูกต้องคือควรแท็กเคสหัวข้อ "ติดตามเงิน/ระยะเวลาคืนเงิน - With in SLA"</t>
  </si>
  <si>
    <t>AA168235</t>
  </si>
  <si>
    <t>https://app.oho.chat/business/6805c0f16232119d2a1204b5/smartchat?case=69579675d49faab296ef1c6c</t>
  </si>
  <si>
    <t>เปลี่ยนแปลงข้อมูล-ชื่อเจ้าของร้าน</t>
  </si>
  <si>
    <t>1. ไม่กล่าวเปิด-ปิดการสนทนาตามมาตรฐานที่กำหนด ถึงแม้ว่าจะเป็นเคสต่อเนื่อง แต่ข้ามวันแล้วควรจะกล่าวเปิดการสนทนาด้วย
2. ก่อนการเปลี่ยนแปลงข้อมูล กรณีที่ทำการ Verify  ตัวตนแล้ว ควรใส่บันทึกภายในไว้ด้วยว่า "Verify ตัวตนผ่าน เมื่อวันที่ xx เวลา xx.xx น. "
3. เคส AA169133 ไม่แท็กเคสว่าลูกค้าติดต่อเรื่องอะไรหลังจบแชท ที่ถูกต้องคือควรแท็กเคสหัวข้อ "เปลี่ยนแปลงข้อมูล-เบอร์โทร,เปลี่ยนแปลงข้อมูล-อีเมล์"
4. ควรปรับปรุงเรื่องภาษาที่ใช้ในการตอบแชท เนื่องจากใช้ภาษาห้วนเกินไป</t>
  </si>
  <si>
    <t>AA171889</t>
  </si>
  <si>
    <t>https://app.oho.chat/business/6805c0f16232119d2a1204b5/smartchat?case=695cfe2f1339b224abd0836a</t>
  </si>
  <si>
    <t>1.  ควรแจ้งระยะเวลาคืนเงินเฉพาะช่องทางที่ลูกค้าชำระ ไม่ต้องแจ้งช่องทางอื่นๆ
2. หลังแจ้งระยะเวลาคืนเงินแล้ว ควรแจ้งด้วยว่า หากไม่ได้รับเงินคืนให้ติดต่อกลับเพื่อให้ตรวจสอบรายละเอียดเพิ่มเติม
3. เวลารอรับบริการ 15 นาที ควรรับแชทให้เร็วกว่านี้นิดนึง</t>
  </si>
  <si>
    <t>AA173103</t>
  </si>
  <si>
    <t>https://app.oho.chat/business/6805c0f16232119d2a1204b5/smartchat?case=695fbdadc0c3bff6ec3ecfaa</t>
  </si>
  <si>
    <t>ติดตามสถานะคำสั่งซื้อ</t>
  </si>
  <si>
    <t>1. ไม่แท็กเคสว่าลูกค้าติดต่อเรื่องอะไรหลังจบแชท ที่ถูกต้องคือควรแท็กเคสหัวข้อ " ติดตามสถานะคำสั่งซื้อ"
3. ยังต้องปรับปรุงเรื่องภาษาอีกนิดนึงและเวลารอรับบริการไม่ควรเกิน 5 นาที</t>
  </si>
  <si>
    <t>AA176313</t>
  </si>
  <si>
    <t>https://app.oho.chat/business/6805c0f16232119d2a1204b5/smartchat?case=6964d952f2961c27f6e0d289</t>
  </si>
  <si>
    <t>1. ไม่แท็กเคสว่าลูกค้าติดต่อเรื่องอะไรหลังจบแชท ที่ถูกต้องคือควรแท็กเคสหัวข้อ "ปัญหาก่อนจัดส่ง-ลูกค้าไม่รอ"
2. ควรแจ้งระยะเวลาการปรับปรุงเงินคืนให้กับลูกค้าตามช่องทางที่ลูกค้าชำระด้วย</t>
  </si>
  <si>
    <t>AA177510</t>
  </si>
  <si>
    <t>https://app.oho.chat/business/6805c0f16232119d2a1204b5/smartchat?case=6967487f6ce40f05c7b0e7fc</t>
  </si>
  <si>
    <t>Good job วิเคราะห์เคสดีและทำการกระบวนการถูกต้อง แต่ควรปรับปรุงเรื่องภาษาที่ใช้ เนื่องจากเป็นภาษาพูดในบางข้อความ</t>
  </si>
  <si>
    <t>AA177095</t>
  </si>
  <si>
    <t>https://app.oho.chat/business/6805c0f16232119d2a1204b5/smartchat?case=696640d866a06ccfce1c5697</t>
  </si>
  <si>
    <t>ปัญหาก่อนจัดส่ง - ติดต่อลูกค้าไม่ได้</t>
  </si>
  <si>
    <t>1. กรณีไรเดอร์ติดต่อลูกค้าไม่ได้ ควรช่วยโทรหาลูกค้าเป็นอันดับแรก ในแชทไม่เห็นข้อความประสานงานลูกค้าเลย แต่สิ่งที่พยายามช่วยไรเดอร์เป็นสิ่งที่ดีเลยค่ะ
2. ควรปรับปรุงเรื่องภาษาที่ใช้ในการตอบแชท เนื่องจากภาษาพูดมากเกินไป</t>
  </si>
  <si>
    <t>AA177017</t>
  </si>
  <si>
    <t>https://app.oho.chat/business/6805c0f16232119d2a1204b5/smartchat?case=69662c93f2961c27f6310149</t>
  </si>
  <si>
    <t>1. ไม่แท็กเคสว่าลูกค้าติดต่อเรื่องอะไรหลังจบแชท ที่ถูกต้องคือควรแท็กเคสหัวข้อ "ปัญหาก่อนจัดส่ง-ลูกค้าไม่รอ"
2. ควรขอข้อมูลหมายเลขโทรศัพท์และเลขที่ออเดอร์ ในการสนทนาขอแค่เลขที่ออเดอร์เท่าน้ัน</t>
  </si>
  <si>
    <t>AA179256</t>
  </si>
  <si>
    <t>https://app.oho.chat/business/6805c0f16232119d2a1204b5/smartchat?case=696b65608e7a6becb5d8507c</t>
  </si>
  <si>
    <t>1. กรณีไรเดอร์กดจบงานไม่ได้ ควรขอรูปภาพจบงานหรือโทรหาลูกค้าก่อนเพื่อให้มั่นใจว่าลูกค้าได้รับอาหารจริง ในบทสนทนาไม่เห็นความการขอรูปภาพจัดส่งงาน
2. ภาษาที่ใช้ในการตอบแชทเป็นภาษาพูดเกินไป
3. ไม่แท็กเคสว่าลูกค้าติดต่อเรื่องอะไรหลังจบแชท ที่ถูกต้องคือควรแท็กเคสหัวข้อ "กดจบงานไม่ได้"</t>
  </si>
  <si>
    <t>AA179064</t>
  </si>
  <si>
    <t>https://app.oho.chat/business/6805c0f16232119d2a1204b5/smartchat?case=696b1c028733d1985d943cdd</t>
  </si>
  <si>
    <t>1. กรณีที่ติดต่อร้านค้าเพื่อยืนยันที่อยู่ ช่วยใส่ไว้ในบันทึกภายในไว้หน่อยจะได้ทราบว่าเรา Action อะไรบ้าง
2. ภาษาที่ใช้ในการตอบแชท เป็นภาษาพูดมากเกินไป</t>
  </si>
  <si>
    <t>AA180690</t>
  </si>
  <si>
    <t>https://app.oho.chat/business/6805c0f16232119d2a1204b5/smartchat?case=696f6f08bcaaa56fb8642359</t>
  </si>
  <si>
    <t>1. ไม่แท็กเคสว่าลูกค้าติดต่อเรื่องอะไรหลังจบแชท ที่ถูกต้องคือควรแท็กเคสหัวข้อ "ปัญหาก่อนจัดส่ง-ลูกค้าไม่รอ"
2. ภาษาที่ใช้ในการตอบแชท เป็นภาษาพูดเกินไป</t>
  </si>
  <si>
    <t>Ramida Singthong</t>
  </si>
  <si>
    <t>AA180049</t>
  </si>
  <si>
    <t>https://app.oho.chat/business/6805c0f16232119d2a1204b5/case/696ef8c0f5d1e7c6471c1fd3?case=696dd16cc0528d94e6100df3</t>
  </si>
  <si>
    <t>-ควรปรับปรุงการตอบจาก การให้เข้าอีเมล์ควรเป็นเข้าสู่ระบบ
-อีเมล์พิมพ์แบบนี้ไม่ใช่ อีเมลล์</t>
  </si>
  <si>
    <t>AA179870</t>
  </si>
  <si>
    <t>https://app.oho.chat/business/6805c0f16232119d2a1204b5/case/696ef8c0f5d1e7c6471c1fd3?case=696d8a8ac0528d94e6e0d5ca</t>
  </si>
  <si>
    <t>-Good Job</t>
  </si>
  <si>
    <t>AA178817</t>
  </si>
  <si>
    <t>https://app.oho.chat/business/6805c0f16232119d2a1204b5/case/696ef8c0f5d1e7c6471c1fd3?case=696a0c41ce17971b0d9da0a3</t>
  </si>
  <si>
    <t>ขอเปลี่ยนข้อมูลร้านค้า</t>
  </si>
  <si>
    <t>-ร้านค้าแจ้งขอเปลี่ยนข้อมูลร้านค้ามาแต่ไป แจ้งให้อีเมลเข้าสู่ระบบร้านค้า
-</t>
  </si>
  <si>
    <t>AA178812</t>
  </si>
  <si>
    <t>https://app.oho.chat/business/6805c0f16232119d2a1204b5/case/696ef8c0f5d1e7c6471c1fd3?case=696a08ba16a5b075ddddb300</t>
  </si>
  <si>
    <t>-ควรแก้ภาษาที่ใช่ในการแจ้งลูกค้าซึ่งอาจจะทำให้ลูกค้าเข้าใจผิดได้</t>
  </si>
  <si>
    <t>AA178741</t>
  </si>
  <si>
    <t>https://app.oho.chat/business/6805c0f16232119d2a1204b5/case/696ef8c0f5d1e7c6471c1fd3?case=6969eb6b560b24f9bdad67d2</t>
  </si>
  <si>
    <t>ขอเปิดระบบกรณีถูกระงับ (ยื่นอุทธรณ์)</t>
  </si>
  <si>
    <t>Good Job</t>
  </si>
  <si>
    <t>ไม่แท๊กเคสข้างแชท ควรแท๊กทุกครั้งเมื่อจบเคส</t>
  </si>
  <si>
    <t>AA180595</t>
  </si>
  <si>
    <t>https://app.oho.chat/business/6805c0f16232119d2a1204b5/case/696ef8c0f5d1e7c6471c1fd3?case=696f50cb178794d0416c860d</t>
  </si>
  <si>
    <t>ขอรายงานการขาย/ใบกำกับภาษี​</t>
  </si>
  <si>
    <t>-เคสนี่ไม่ปิดการแชท
-โดยปกติประวัติการขายจะสามารถดูได้ 60 วัน</t>
  </si>
  <si>
    <t>AA180507</t>
  </si>
  <si>
    <t>https://app.oho.chat/business/6805c0f16232119d2a1204b5/case/696ef8c0f5d1e7c6471c1fd3?case=696f22d20e83537973ecd3db</t>
  </si>
  <si>
    <t>AA180429</t>
  </si>
  <si>
    <t>https://app.oho.chat/business/6805c0f16232119d2a1204b5/case/696ef8c0f5d1e7c6471c1fd3?case=696efec14399ae3924a0e1eb</t>
  </si>
  <si>
    <t>ภาษาที่ใช่ไม่ถูกต้อง</t>
  </si>
  <si>
    <t>AA180372</t>
  </si>
  <si>
    <t>https://app.oho.chat/business/6805c0f16232119d2a1204b5/case/696ef8c0f5d1e7c6471c1fd3?case=696ee5a4b79f19387f9fdd69</t>
  </si>
  <si>
    <t>-การใช่ภาษาผิด อีเมล ไม่ใช่ อีเมลล์
-ไม่ปิดการสนทนาในแชท</t>
  </si>
  <si>
    <t>AA176815</t>
  </si>
  <si>
    <t>https://app.oho.chat/business/6805c0f16232119d2a1204b5/smartchat?room=6965f3521ab7025f63f63913</t>
  </si>
  <si>
    <t>เปลี่ยนเบอร์ไรเดอร์</t>
  </si>
  <si>
    <t>1.ควรสอบถามไรเดอร์ก่อนว่า เบอร์โทรศัพท์เก่าใช้งานได้หรือไม่ เพราะไรเดอร์บางคนไม่รู้ว่าสามารถเปลี่ยนเบอร์ด้วยตนเองในแอปฯได้   ถ้าเบอร์เก่าใช้ได้ ให้ไรเดอร์เปลี่ยนเองได้เลย    แต่ถ้าเบอร์เก่าใช้ไม่ได้ เราจึงจะขอยืนยันตนและเปลี่ยนให้
2.ไม่กล่าวปิดการสนทนาตามมาตรฐาน "ขอบคุณที่ใช้บริการโรบินฮู้ด แอดมิน XXX ยินดีให้บริการค่ะ"
3. ควรปรับปรุงเรื่องภาษา "เรียนแจ้งพี่ไรเดอร์  และ อย่างไรแล้วแอดมิน ...." ดูเป็นบอทมากกว่าคน</t>
  </si>
  <si>
    <t>AA176949</t>
  </si>
  <si>
    <t>ติดต่อร้านไม่ได้</t>
  </si>
  <si>
    <t>1. แท็กเคสหลังจบแชทไม่ถูกต้อง กล่าวคือแท็กเคสหัวข้อ "สอบถามข้อมูลเกี่ยวกับออเดอร์" ที่ถูกต้องคือควรแท็กเคสหัวข้อ "ปัญหาก่อนจัดส่ง - ติดต่อร้านค้าไม่ได้"
2. ไม่กล่าวปิดการสนทนาตามมาตรฐาน "ขอบคุณที่ใช้บริการโรบินฮู้ด แอดมิน XXX ยินดีให้บริการค่ะ"</t>
  </si>
  <si>
    <t>AA179737</t>
  </si>
  <si>
    <t>https://app.oho.chat/business/6805c0f16232119d2a1204b5/smartchat?room=682e9deb60fca40c4372fd87</t>
  </si>
  <si>
    <t>1. ไม่แน่ใจว่า ได้โทรหาร้านค้าด้วยตนเองด้วยหรือไม่  ในระบบมีเบอร์ 2 เบอร์   ถ้าโทรแล้ว แอดมินก็ติดต่อไม่ได้เช่นกัน     ก็ยื่นอุทธรณ์เข้ามานะ 
2. หากมีการโทรหาร้านค้าควรใส่รายละเอียดในบันทึกภายในไว้ด้วย เพื่อให้เพื่อนที่ทำงานต่อได้ง่ายขึ้น
3. ประโยค  อย่างไรแล้วแอดมิน ขอให้พี่ไรเดอร์ขับขี่ปลอดภัย ได้ออเดอร์เยอะ ๆ นะคะ  ไม่ต้องมีคำว่า "อย่างไรแล้ว" น่าจะทำให้การตอบแชทเป็นมนุษย์มากขึ้น
4. ระยะเวลาให้บริการ 05:53 นาที ซึ่งไม่ควรให้เกิน 5 นาที</t>
  </si>
  <si>
    <t>AA179835</t>
  </si>
  <si>
    <t>https://app.oho.chat/business/6805c0f16232119d2a1204b5/smartchat?case=696cd77e26a4f10c4c45b981</t>
  </si>
  <si>
    <t>1. ก่อนแจ้งให้ไรเดอร์บอกลูกค้า ได้ติดต่อร้านค้าด้วยตนเองหรือไม่   หากไม่ได้ติดต่อ ควรติดต่อร้านค้าด้วยตนเองทุกครั้ง  เนื่องจากมีเหตการณ์ที่ไรเดอร์ติดต่อไม่ได้  แต่แอดมินมีเบอร์อื่นๆติดต่อได้จนร้านสามารถรับออเดอร์ได้และออเดอร์สำเร็จ    ถ้าติดต่อร้านค้าด้วยตัวเอง ให้ยื่นอุทธรณ์เข้ามานะ
2. แท็กเคสหลังจบแชทไม่ถูกต้อง กล่าวคือแท็กเคสหัวข้อ "ปัญหาก่อนจัดส่ง - ติดต่อร้านค้าไม่ได้" ที่ถูกต้องคือควรแท็กเคสหัวข้อ "ปัญหาก่อนจัดส่ง-ร้านปิด"
3. เช่นนั้นสามารถกด "ฉันติดต่อร้านค้าแล้ว" ไม่ต้องมี เช่นนั้นหน้าประโยคเพราะทำให้ดูเหมือนหุ่นยนต์มากกว่ามนุษย์
4. ไม่ควรผลักให้ไรเดอร์ติดต่อเอง เราควรมี Take ownership หรือการแสดงความเป็นเจ้าของเคสให้มากกว่านี้และควรมีใจที่พร้อมให้บริการแบบนี้
5. เวลาให้บริการ 08:06 นาที ไม่ควรเกิน 5 นาที</t>
  </si>
  <si>
    <t>AA180289</t>
  </si>
  <si>
    <t>https://app.oho.chat/business/6805c0f16232119d2a1204b5/smartchat?case=696e1ecbcea5e6bb748ead36</t>
  </si>
  <si>
    <t>ปักหมุดผิด</t>
  </si>
  <si>
    <t>1. ควรแจ้งลูกค้าว่าประสานงานไรเดอร์ให้จัดส่งที่อยู่ใหม่เรียบร้อยแล้ว เพื่อให้ลูกค้าเกิดความมั่นใจว่าเราประสานงานได้ทันเวลา 
2. ใช้เวลาให้บริการ 16:30 นาที ไม่ต้องรอจนไรเดอร์ไปส่งสำเร็จก็ได้ ปักหมุดไว้ follow up ต่อไป ไม่งั้นระยะเวลาตอนพี่ไปพรีเซ็นมันจะเกินความเป็นจริง กระทบกับ Performance  ของทีม</t>
  </si>
  <si>
    <t>AA180557</t>
  </si>
  <si>
    <t>https://app.oho.chat/business/6805c0f16232119d2a1204b5/smartchat?case=696f3c5bdceab16bd619fc09</t>
  </si>
  <si>
    <t>เราควรแสดงความช่วยเหลือโดยทำการยกเลิกออเดอร์ให้ลูกค้าก่อน  จากนั้นประสานงานร้านค้า หากพบว่าร้านค้าปิดก็ควรปิดร้านในระบบ Admin panel และยกเลิกงานให้ไรเดอร์ในระบบ OPS portal ในลำดับถัดไป</t>
  </si>
  <si>
    <t>AA180562</t>
  </si>
  <si>
    <t>https://app.oho.chat/business/6805c0f16232119d2a1204b5/smartchat?case=696f3f25178794d04161c866</t>
  </si>
  <si>
    <t>Good job. ควรทบทวนเลขออเดอร์ในเคสทุกครั้งนะคะ</t>
  </si>
  <si>
    <t>AA180297</t>
  </si>
  <si>
    <t>https://app.oho.chat/business/6805c0f16232119d2a1204b5/smartchat?case=696e21f5076511bdb16725a4</t>
  </si>
  <si>
    <t>1. ประโยคอ่านแล้วแปลกๆ "จากการตรวจสอบพบว่าออเดอร์ 260119-OT-0109 ระยะเวลาค่อนข้างใกล้ที่ระบบจะยกเลิก"
2. ควรโทรหาร้านค้าเพื่อแก้ไขปัญหากรณีที่เข้าระบบไม่ได้ และแนะนำขั้นตอนการเข้าระบบด้วย ไม่ควรปล่อยให้ออเดอร์ยกเลิกแบบนี้</t>
  </si>
  <si>
    <t>AA183023</t>
  </si>
  <si>
    <t>https://app.oho.chat/business/6805c0f16232119d2a1204b5/smartchat?case=6976e816d66cae107e2f6bc5</t>
  </si>
  <si>
    <t>ตรวจสอบเงินคืน</t>
  </si>
  <si>
    <t>สรุปแล้วจบเคสได้ดีแล้วนะ  แต่ครั้งแรกทำไมถึงแจ้งลูกค้าว่าตรวจสอบไม่พบข้อมูล    แต่ตรวจสอบทีหลังแล้วถึงพบข้อมูล      ถ้าไม่แน่ใจ หรือยังไม่ได้ข้อสรุปที่ชัดเจน  อย่าเพิ่งไปแจ้งลูกค้าว่า ไม่พบข้อมูล ให้แจ้งขอข้อมูลเพิ่มเติมมาตรวจสอบอีกครั้งจะดีกว่า/ใช้เวลากับเคสนี้นานเกินไป</t>
  </si>
  <si>
    <t>AA183740</t>
  </si>
  <si>
    <t>https://app.oho.chat/business/6805c0f16232119d2a1204b5/smartchat?case=69786fb319092e3ca7c89676</t>
  </si>
  <si>
    <t>ร้านค้าไม่เห็นเมนูอาหาร</t>
  </si>
  <si>
    <t>แคปหน้าจอระบบให้ไรเดอร์  เตือนหลายครั้งแล้วนะ</t>
  </si>
  <si>
    <t>AA175846</t>
  </si>
  <si>
    <t>https://app.oho.chat/business/6805c0f16232119d2a1204b5/case/685265d0940f4732f24b869b?case=696469c4c9275add555d2612</t>
  </si>
  <si>
    <t>1. ไรเดอร์รอรับบริการนานมาก  นานจนออเดอร์ยกเลิกไปเองแล้ว
2. ไม่กล่าวปิดการสนทนาตามมาตรฐาน "ขอบคุณที่ใช้บริการโรบินฮู้ด แอดมิน XXX ยินดีให้บริการค่ะ"</t>
  </si>
  <si>
    <t>AA175809</t>
  </si>
  <si>
    <t>https://app.oho.chat/business/6805c0f16232119d2a1204b5/smartchat?room=69645b07787ebb0ab66bcd70</t>
  </si>
  <si>
    <t>สอบถามยอดร้านค้า</t>
  </si>
  <si>
    <t>1. ลูกค้ารอรับบริการนานมาก  ซึ่งช่วงเวลาที่ติดต่อเป็นช่วงเวลาปกติ  ที่มีปริมาณออเดอร์ไม่มา
2. ไม่มีการตรวจสอบเลขออเดอร์ หรือแจ้งข้อมูลกลับเลย ทั้งๆที่ลูกค้าแจ้งปัญหาเข้ามาแล้ว</t>
  </si>
  <si>
    <t>AA174279</t>
  </si>
  <si>
    <t>ขอชดเชยระยะทางและลูกค้าปักหมุดผิด กดจบงานไม่ได้</t>
  </si>
  <si>
    <t>1. ไรเดอร์แจ้งมาว่าระยะทางวิ่งจริง 7.1 กม. เขาเก็บลูกค้ามา 10 บาท ถูกต้องหรือไม่ ควรย้อนไปอ่านข้อความที่ไรเดอร์แจ้งมาให้ดีก่อนตอบและเช็คระยะทางส่วนต่างให้ไรเดอร์ทราบด้วย
2. แท็กเคสหลังจบแชทไม่ถูกต้อง กล่าวคือแท็กเคสหัวข้อ "กดจบงานไม่ได้" ที่ถูกต้องคือควรแท็กเคสหัวข้อ "กดจบงานไม่ได้, ขอชดเชยระยะทาง" เนื่องจากไรเดอร์สอบถามทั้งหมด 2 เรื่อง</t>
  </si>
  <si>
    <t>AA175753</t>
  </si>
  <si>
    <t>https://app.oho.chat/business/6805c0f16232119d2a1204b5/smartchat?room=6963bd401f0156319da2f173</t>
  </si>
  <si>
    <t>ไม่ได้รับรายได้บางส่วน</t>
  </si>
  <si>
    <t>1. ร้านแจ้งปัญหาออเดอร์ 260111-OM-0267 ยอดไม่เข้าร้าน แต่บอกร้านค้าว่าออเดอร์สำเร็จแล้ว ควรอ่านข้อความข้างบนให้ละเอียดมากกว่านี้
2. ควรปรับปรุงเรื่องภาษาที่ใช้ในการตอบแชท เช่น สถานะออเดอร์เสร็จสิ้นเรียบร้อยค่ะ ควรเปลี่ยนเป็น "จากการตรวจสอบออเดอร์ 260111-OM-0267 พบว่าสถานะจัดส่งสำเร็จเรียบร้อยแล้วค่ะ"
3. ใช้ระยะเวลารอรับบริการ 1:29:02 นาที และ เวลาให้บริการ 0:28:47 นาที นานมากควรปรับปรุงเรื่องนี้อย่างเร่งด่วน
4.ไม่กล่าวปิดการสนทนาตามมาตรฐาน "ขอบคุณที่ใช้บริการโรบินฮู้ด แอดมิน XXX ยินดีให้บริการค่ะ"</t>
  </si>
  <si>
    <t>AA176573</t>
  </si>
  <si>
    <t>https://app.oho.chat/business/6805c0f16232119d2a1204b5/smartchat?case=6965b66d6fa9d15bdb683705</t>
  </si>
  <si>
    <t>ขอเอกสารทวิ 50/ใบรับรองเงินเดือน/ประวัติการทำงาน</t>
  </si>
  <si>
    <t>1. ควรปรับปรุงเรื่องภาษาที่ใช้ในการตอบ เช่น "จัดเตรียมและยื่นเอกสาร ใบทวิ" ควรแจ้งว่า "ขณะนี้อยู่ระหว่างการจัดเตรียมข้อมูล ทางโรบินฮู้ดจะแจ้งให้พี่ไรเดอร์ดาวน์โหลดเอกสารผ่านแอปพลิเคชันอีกครั้งเมื่อพร้อมแล้ว  ขอความกรุณาพี่ไรเดอร์ติดตามข่าวสารผ่านทาง Facebook Robinhood Rider Official เพื่อไม่ให้พลาดข้อมูลและประกาศสำคัญนะคะ"
2. เวลารอรับบริการ 0:27:48 ใช้เวลานานเกินไป ควรปรับปรุงเรื่องนี้อย่างเร่งด่วน</t>
  </si>
  <si>
    <t>AA177953</t>
  </si>
  <si>
    <t>https://app.oho.chat/business/6805c0f16232119d2a1204b5/smartchat?case=69687d211f9920a018980855</t>
  </si>
  <si>
    <t>ติดตามเงินคืน</t>
  </si>
  <si>
    <t>ออเดอร์ Merchant timeout แต่แจ้งลูกค้าว่ายกเลิกเพราะไม่พบคนขับ  จนลูกค้าสับสนไม่พอใจเนื่องจากหน้าจอลูกค้าแสดงผลว่าพบคนขับแล้ว  ควรตรวจสอบสถานะออเดอร์และตอบให้ถูกต้อง</t>
  </si>
  <si>
    <t>AA177317</t>
  </si>
  <si>
    <t>https://app.oho.chat/business/6805c0f16232119d2a1204b5/smartchat?case=69671cec66a06ccfce59adb4</t>
  </si>
  <si>
    <t>ชดเชยระยะทาง</t>
  </si>
  <si>
    <t>1. วันที่ 14 ไม่เปิดเคสตั้งแต่วันที่รับเคสชดเชยระยะทาง จนไรเดอร์มาตามวันที่ 17 ถึงเปิดเคส  *** ควรเปิดเคสในวันที่รับเคส ถึงจะไม่ได้เปิดทันที แต่ต้องเปิดภายในวันเท่านั้น
2. ควรเป็นระยะกิโลให้เป็นตัวเลขกลมๆ เช่น 4.x ควรเปลี่ยนเป็น 4 นาที</t>
  </si>
  <si>
    <t>AA178831</t>
  </si>
  <si>
    <t>https://app.oho.chat/business/6805c0f16232119d2a1204b5/smartchat?case=696a11447db7c0cecca57669</t>
  </si>
  <si>
    <t>1. ก่อนที่จะแจ้ง "แอดมินยกเลิกออเดอร์ให้ซักครู่ค่ะ" ตรวจแจ้งว่า"ขอตรวจสอบข้อมูลออเดอร์ XX  กรุณารอสักครู่"
2. ก่อนรับปากจะยกเลิกออเดอร์ควรโทรหาร้านค้าก่อน (ตรวจสอบจากประวัติการโทรช่วงเวลา 17.00-18.00 น. ไม่พบการโทรออกหาร้านค้า)
3. 260116-OQ-1036 Total Amount (Baht) 415.00 บาท ค่าอาหาร 350 บาท แต่ทำ Refund ค่าอาหาร 350 บาท และค่าส่ง 6 บาท รวม 356 บาท ลูกค้าใช้โค้ดส่วนลดตามแคมเปญบริจาค(ไม่ได้รับส่วนลด) ระยะทางจากร้านค้าไปบ้านลูกค้า 12 กม. ค่าส่งไม่มีทางเป็น 6 บาทแน่นอน
4. แท็กเคสหลังจบแชทไม่ถูกต้อง กล่าวคือแท็กเคสหัวข้อ "ยกเลิกออเดอร์" ที่ถูกต้องคือควรแท็กเคสหัวข้อ "ปัญหาก่อนจัดส่ง-วัตถุดิบหมด/ไม่ครบ" หรือแท็กทั้ง 2 หัวข้อ</t>
  </si>
  <si>
    <t>AA177747</t>
  </si>
  <si>
    <t>https://app.oho.chat/business/6805c0f16232119d2a1204b5/smartchat?case=69678df79cf0c5753e9833f1</t>
  </si>
  <si>
    <t>ยอดเงินค้างกระเป๋า</t>
  </si>
  <si>
    <t>1.ไม่กล่าวปิดการสนทนาตามมาตรฐาน "ขอบคุณที่ใช้บริการโรบินฮู้ด แอดมิน XXX ยินดีให้บริการค่ะ"
2.ไรเดอร์แจ้งเข้ามาเมื่อวันที่ 14/1/2026  ไม่มีการตอบกลับ เพียงบันทึกไว้ว่า "เช็คตัง"  จนวันที่ 18 ไรเดอร์ติดตามซ้ำมาอีกครั้ง  **** ถ้าตรวจสอบไม่ได้  ให้รีบแจ้งพี่ พี่จะได้ให้ตั๊มหรือพี่วุฒิ ช่วยตรวจสอบ  อย่ารับปากแล้วปล่อยไว้นานขนาดนี้ จนไรเดอร์ต้องมาตาม</t>
  </si>
  <si>
    <t>AA185017</t>
  </si>
  <si>
    <t>https://app.oho.chat/business/6805c0f16232119d2a1204b5/smartchat?case=697c2ad5e36d7c2dd6e2ffd8</t>
  </si>
  <si>
    <t>1. หลังจากแจ้งออเดอร์ยกเลิก ควรแจ้งระยะเวลาปรับปรุงเงินคืนตามช่องทางที่ลูกค้าชำระด้วย
2. ควรปรับปรุงเรื่องภาษาที่ใช้ในการตอบแชท เนื่องจากภาษาที่ใช้ห้วนเกินไป
3. ระยะเวลาในการให้บริการไม่ควรเกิน 5 นาที</t>
  </si>
  <si>
    <t>Wachiraporn Chailittichai</t>
  </si>
  <si>
    <t>AA184739</t>
  </si>
  <si>
    <t>https://app.oho.chat/business/6805c0f16232119d2a1204b5/smartchat?room=697b37eaf41a237c272cca4b</t>
  </si>
  <si>
    <t>ร้านค้าขอเพิ่มสาขา/ผู้จัดการสาขา</t>
  </si>
  <si>
    <t>1. ควรปรับปรุงเรื่องภาษาที่ใช้ในการตอบแชท เนื่องจากภาษาที่ใช้ห้วนเกินไป
2. ไม่กล่าวปิดการสนทนาตามมาตรฐาน "ขอบคุณที่ใช้บริการโรบินฮู้ด แอดมิน XXX ยินดีให้บริการค่ะ"</t>
  </si>
  <si>
    <t>AA184588</t>
  </si>
  <si>
    <t>1. ควรนำหมายเลขเคสที่บันทึกในระบบ SF มาใส่ไว้ใน "บันทึกภายใน" หน่อยนะ เพื่อนจะได้หาเคสง่ายขึ้น
2. ไม่กล่าวเปิดการสนทนาตามมาตรฐาน "สวัสดีค่ะ แอดมิน XXX ยินดีให้บริการค่ะ"
3. ควรปรับปรุงเรื่องภาษาที่ใช้ในการตอบแชท เนื่องจากภาษาที่ใช้ห้วนเกินไป
4. ใช้ระยะเวลาจัดการเคสนานเกินไป</t>
  </si>
  <si>
    <t>AA183374</t>
  </si>
  <si>
    <t>https://app.oho.chat/business/6805c0f16232119d2a1204b5/smartchat?room=6977479f4c281d7ff3488069</t>
  </si>
  <si>
    <t>1. ควรปรับปรุงเรื่องภาษาที่ใช้ในการตอบแชท เนื่องจากภาษาที่ใช้ห้วนเกินไป
2. ไม่กล่าวปิดการสนทนาตามมาตรฐาน "ขอบคุณที่ใช้บริการโรบินฮู้ด แอดมิน XXX ยินดีให้บริการค่ะ"
3. ใช้ระยะเวลาในการจัดการเคสนานเกินไป</t>
  </si>
  <si>
    <t>AA183427</t>
  </si>
  <si>
    <t>https://app.oho.chat/business/6805c0f16232119d2a1204b5/smartchat?room=6959072e491789d7c2a1408a</t>
  </si>
  <si>
    <t>1. ไม่กล่าวเปิดการสนทนาตามมาตรฐาน "สวัสดีค่ะ แอดมิน XXX ยินดีให้บริการค่ะ"
2. ควรทบทวนเลขที่ออเดอร์ในการสนทนาทุกครั้ง เพื่่อทราบว่าเราโฟกัสเคสของลูกค้าคนนี้อยู่
3. ควรปรับปรุงเรื่องภาษาที่ใช้ในการตอบแชท เนื่องจากภาษาที่ใช้ห้วนเกินไป
4. ระยะเวลารอให้บริการนานเกิน 5 นาที</t>
  </si>
  <si>
    <t>AA185113</t>
  </si>
  <si>
    <t>https://app.oho.chat/business/6805c0f16232119d2a1204b5/smartchat?room=686f3549365a71569e35aac6</t>
  </si>
  <si>
    <t>1. ควรทบทวนหมายเลขออเดอร์ในการสนทนาทุกครั้ง เพื่อให้ทราบว่าโฟกัสเคสนี้อยู่
2. ควรปรับปรุงเรื่องภาษาที่ใช้ในการตอบแชท เนื่องจากภาษาที่ใช้ห้วนเกินไป
3. ไม่กล่าวเปิดการสนทนาตามมาตรฐาน "สวัสดีค่ะ แอดมิน XXX ยินดีให้บริการค่ะ"</t>
  </si>
  <si>
    <t>AA184658</t>
  </si>
  <si>
    <t>https://app.oho.chat/business/6805c0f16232119d2a1204b5/smartchat?room=69772268d66cae107e54a8aa</t>
  </si>
  <si>
    <t>1. ไม่กล่าวเปิดการสนทนาตามมาตรฐาน "สวัสดีค่ะ แอดมิน XXX ยินดีให้บริการค่ะ"
2. ไม่กล่าวปิดการสนทนาตามมาตรฐาน "ขอบคุณที่ใช้บริการโรบินฮู้ด แอดมิน XXX ยินดีให้บริการค่ะ"
3. กรณีรีเซ็ตรหัสผ่านให้ร้านค้าควรจะทำการ Verify เพื่อยืนยันตัวตนก่อน</t>
  </si>
  <si>
    <t>AA184585</t>
  </si>
  <si>
    <t>https://app.oho.chat/business/6805c0f16232119d2a1204b5/smartchat?room=68393f9403372bbfd7111271</t>
  </si>
  <si>
    <t>สอบถามข้อมูลส่วนตัวไรเดอร์</t>
  </si>
  <si>
    <t>1. ไม่กล่าวเปิดการสนทนาตามมาตรฐาน "สวัสดีค่ะ แอดมิน XXX ยินดีให้บริการค่ะ"
2.ควรปรับปรุงเรื่องภาษาที่ใช้ในการตอบแชท เนื่องจากภาษาที่ใช้ห้วนเกินไป
3. ระยะเวลารอให้บริการเกิน 5 นาที</t>
  </si>
  <si>
    <t>AA178336</t>
  </si>
  <si>
    <t>https://app.oho.chat/business/6805c0f16232119d2a1204b5/smartchat?case=6968d30b0470fd8dce16a3c9</t>
  </si>
  <si>
    <t>ปัญหาก่อนจัดส่ง-ร้านเข้าแอปไม่ได้</t>
  </si>
  <si>
    <t>1. กรณีที่ไรเดอร์แจ้งว่าร้านค้าเข้าแอปไม่ได้ หลังจากที่แนะนำขั้นตอนการทำงานให้ไรเดอร์แล้ว ควรโทรประสานงานร้านค้าเพื่อให้ร้านมั่นใจว่าถ้าทำอาหารให้ไรเดอร์ไปแล้วจะได้รับเงินค่าอาหารด้วย 
2. ไม่แสดงความเป็นเจ้าของเคส(Take ownership) ทำให้การให้บริการแค่ผ่านๆ ปล่อยเคสจบๆไป
3. ควรปรับปรุงเรื่องภาษาที่ใช้ในการตอบแชท เนื่องจากภาษาที่ใช้ห้วนเกินไป
4. ใช้ระยะเวลาจัดการเคสค่อนข้างนาน
5. ไม่แท็กเคสว่าลูกค้าติดต่อเรื่องอะไรหลังจบแชท ที่ถูกต้องคือควรแท็กเคสหัวข้อ "ปัญหาก่อนจัดส่ง-ร้านเข้าแอปไม่ได้"</t>
  </si>
  <si>
    <t>AA180012</t>
  </si>
  <si>
    <t>https://app.oho.chat/business/6805c0f16232119d2a1204b5/smartchat?case=696dc1c77bff2bfa616b5158</t>
  </si>
  <si>
    <t>1. ไม่ควรใช้คำว่า "เรียนแจ้งคุณลูกค้า " เนื่องจากดูเหมือนเป็น Robot มากกว่าคน
2. ไม่ควรส่ง SLA การคืนเงินในทุกช่องทางให้ลูกค้าทราบ แค่แจ้งว่าเป็นไปตามเงื่อนไขของธนาคารปลายทางเท่านั้นก็เพียงพอค่ะ
3. ใช้ระยะเวลาในการจัดการเคสค่อนข้างนาน</t>
  </si>
  <si>
    <t>AA173508</t>
  </si>
  <si>
    <t>https://app.oho.chat/business/6805c0f16232119d2a1204b5/smartchat?case=6960c6ea7bb8218b434c5dd7</t>
  </si>
  <si>
    <t>1. ไม่กล่าวเปิดการสนทนาตามมาตรฐาน "สวัสดีค่ะ แอดมิน XXX ยินดีให้บริการค่ะ"
2. ควรปรับปรุงเรื่องภาษาที่ใช้ในการตอบแชท เนื่องจากภาษาที่ใช้ห้วนเกินไป
3. ระยะเวลาค่อนข้างนาน</t>
  </si>
  <si>
    <t>AA169803</t>
  </si>
  <si>
    <t>https://app.oho.chat/business/6805c0f16232119d2a1204b5/smartchat?room=6959f357069db251c1785ea1</t>
  </si>
  <si>
    <t>ยกเลิกคำสั่งซื้อ</t>
  </si>
  <si>
    <t>1. หลังจากแจ้งออเดอร์ถุกยกเลิกแล้ว ควรแจ้งระยะเวลาคืนเงินให้ลูกค้าทราบทุกครั้ง
2. ไม่แท็กเคสว่าลูกค้าติดต่อเรื่องอะไรหลังจบแชท ที่ถูกต้องคือควรแท็กเคสหัวข้อ "ติดตามเงิน/ระยะเวลาคืนเงิน - With in SLA"
3. ระยะเวลารอรับบริการ 2:01:58 เรื่องขอยกเลิกออเดอร์ต้องเลือกเคสขึ้นมาก่อน</t>
  </si>
  <si>
    <t>AA170841</t>
  </si>
  <si>
    <t>https://app.oho.chat/business/6805c0f16232119d2a1204b5/smartchat?case=695b4823170c04f3cadf4169</t>
  </si>
  <si>
    <t>1. ไม่แท็กเคสว่าลูกค้าติดต่อเรื่องอะไรหลังจบแชท ที่ถูกต้องคือควรแท็กเคสหัวข้อ "ตปัญหาก่อนจัดส่ง-ร้านปิด"
2. เวลารอรับบริการ  28 นาที ถือว่านานเกินไป
3. ลูกค้าแจ้งหมายเลขออเดอร์มาแล้ว ทำไม่ย้อนขึ้นไปอ่านข้อความข้างบน
4. ควรปรับปรุงเรื่องภาษาที่ใช้ในการตอบแชท เนื่องจากภาษาที่ใช้ห้วนเกินไป</t>
  </si>
  <si>
    <t>AA170941</t>
  </si>
  <si>
    <t>https://app.oho.chat/business/6805c0f16232119d2a1204b5/smartchat?case=695b624eeb0b7639ca730ea7</t>
  </si>
  <si>
    <t>สอบถามใบเสร็จจากร้านค้า</t>
  </si>
  <si>
    <t>1. ไม่แท็กเคสว่าลูกค้าติดต่อเรื่องอะไรหลังจบแชท ที่ถูกต้องคือควรแท็กเคสหัวข้อ "สอบถามการชำระเงิน"
2. ควรปรับปรุงเรื่องภาษาที่ใช้ในการตอบแชท 
3. ควรอธิบายให้ชัดกว่านี้ เรื่องการชำระเงินของลูกค้าและใบเสร็จที่ได้รับยอดไม่ตรงกัน
4. ไม่กล่าวปิดการสนทนาตามมาตรฐาน "ขอบคุณที่ใช้บริการโรบินฮู้ด แอดมิน XXX ยินดีให้บริการค่ะ"
5. เวลาให้บริการนานเกินไป</t>
  </si>
  <si>
    <t>AA170828</t>
  </si>
  <si>
    <t>https://app.oho.chat/business/6805c0f16232119d2a1204b5/smartchat?room=695b4720ece7004d459c67fb</t>
  </si>
  <si>
    <t>1. ลูกค้าแจ้งเลขที่ออเดอร์มาให้แล้วตั้งแต่แรก ทำไมไม่เลื่อนขึ้นไปอ่านข้อความด้านบน
2. ไม่แท็กเคสว่าลูกค้าติดต่อเรื่องอะไรหลังจบแชท ที่ถูกต้องคือควรแท็กเคสหัวข้อ "ปัญหาก่อนจัดส่ง-ลูกค้าไม่รอ"
3. ควรปรับปรุงเรื่องภาษาที่ใช้ในการตอบแชท เนื่องจากภาษาที่ใช้ห้วนเกินไป</t>
  </si>
  <si>
    <t>AA175529</t>
  </si>
  <si>
    <t>https://app.oho.chat/business/6805c0f16232119d2a1204b5/smartchat?room=69638ffc5045fe5bbb6972da</t>
  </si>
  <si>
    <t>1. ควรปรับปรุงเรื่องภาษาที่ใช้ในการตอบแชท เนื่องจากมีบางคำพิมพ์ผิด ควรระมัดระวังให้มากกว่านี้
2. ควรขอโทษลูกค้าและอธิบายลูกค้าให้มากกว่านี้ ดำเนินการตามprocessแต่ไม่ค่อยอธิบายอะไรกับลูกค้าเลย
3. สามารถให้ร้านค้านำอาหารไปส่งลูกค้า และตัดเงินไรเดอร์คืนใหร้านค้า เพื่อแก้ไขปัญหาเฉพาะหน้าก็ได้นะคะ 
4. ใช้ระยะเวลาในการจัดการเคสนานพอสมควร</t>
  </si>
  <si>
    <t>AA174883</t>
  </si>
  <si>
    <t>https://app.oho.chat/business/6805c0f16232119d2a1204b5/smartchat?room=696328251f0156319d471fe4</t>
  </si>
  <si>
    <t>1. ควรปรับปรุงเรื่องภาษาที่ใช้ในการตอบแชท เนื่องจากมีบางคำพิมพ์ผิด ควรระมัดระวังให้มากกว่านี้
2. ลูกค้าติดตามสถานะคำสั่งซื้อ เราควรโทรติดตามอาหารกับไรเดอร์ ในเคสไม่ได้ระบุว่าประสานงานไรเดอร์และหากติดต่อไรเดอร์เพื่อติดตามอาหารให้ลูกค้าควรใส่ในบันทึกภายในไว้ด้วย
3. เวลารอรับบริการ 19:40 นาทีนานมาก ควรให้ความสำคัญกับเคสนี้มากกว่านี้
ไม่ได้กล่าวปิดเคส / ไม่ได้แท็กเคส / ตามไรเดอร์เรื่องจัดส่งล่าช้าต่อหรือเปล่า</t>
  </si>
  <si>
    <t>AA177503</t>
  </si>
  <si>
    <t>https://app.oho.chat/business/6805c0f16232119d2a1204b5/smartchat?room=6963737a0dc00b98a9d8c628</t>
  </si>
  <si>
    <t>1. ไม่กล่าวเปิดการสนทนาตามมาตรฐาน "สวัสดีค่ะ แอดมิน XXX ยินดีให้บริการค่ะ"
2. ไม่กล่าวปิดการสนทนาตามมาตรฐาน "ขอบคุณที่ใช้บริการโรบินฮู้ด แอดมิน XXX ยินดีให้บริการค่ะ"
3.  ควรปรับปรุงเรื่องภาษาที่ใช้ในการตอบแชท เนื่องจากมีบางคำพิมพ์ผิด ควรระมัดระวังให้มากกว่านี้
4.  แจ้งระยะเวลาปรับปรุงเงินคืนให้ลูกค้าไม่ถูกต้อง ควรแจ้งภายใน 2 วันทำการ แต่น้องแจ้ง 1-3</t>
  </si>
  <si>
    <t>AA175517</t>
  </si>
  <si>
    <t>https://app.oho.chat/business/6805c0f16232119d2a1204b5/smartchat?case=69638ee0797fb748f85da209</t>
  </si>
  <si>
    <t>1. ควรปรับปรุงเรื่องภาษาที่ใช้ในการตอบแชท เนื่องจากมีบางคำพิมพ์ผิด ควรระมัดระวังให้มากกว่านี้
2. ควร Pro active โดยการสอบถามร้านค้าว่าจำรหัสผ่านเดิมได้หรือไม่ เราจะได้รีเซ็ตรหัสผ่านให้ร้านค้าเลย 
3. เวลารอรับบริการ 46 นาทีถือว่านานมากเลย</t>
  </si>
  <si>
    <t>AA183707</t>
  </si>
  <si>
    <t>https://app.oho.chat/business/6805c0f16232119d2a1204b5/smartchat?room=697861bafe66478d3df1c837</t>
  </si>
  <si>
    <t>1. ควรปรับปรุงเรื่องภาษาที่ใช้ในการตอบแชท เนื่องจากมีบางคำพิมพ์ผิด ควรระมัดระวังให้มากกว่านี้
2. กรณีที่ทำการยกเลิกออเดอร์เรียบร้อยแล้ว ควรแจ้งลูกค้าให้ชัดเจน ว่า แอดมินดำเนินการยกเลิกออเดอร์ 260127-OZ-4630  เรียบร้อยแล้ว 
3. ไม่ควรแจ้ง แอดมินดำเนินการยกเลิกออเดอร์260127-OZ-4630 ให้นะคะลูกค้า ซ้ำ 2  ครั้ง ทำให้ลูกค้ารู้เหมือนพนักงานรำคาญ
4. กรณีสอบถามเลขที่บัญชีมี Template อยู่นะ ควรใช้ Template จะทำให้รูปแบบการตอบดูสุภาพและสละสลวยยิ่งขึ้น
5. เวลาให้บริการ 22 นาที นานมากเลยค่ะ</t>
  </si>
  <si>
    <t>AA181184</t>
  </si>
  <si>
    <t>https://app.oho.chat/business/6805c0f16232119d2a1204b5/smartchat?room=6952e9bb27f416ca7162b62d</t>
  </si>
  <si>
    <t>ติดตามการสมัครไรเดอร์</t>
  </si>
  <si>
    <t>1. ไม่กล่าวปิดการสนทนาตามมาตรฐาน "ขอบคุณที่ใช้บริการโรบินฮู้ด แอดมิน XXX ยินดีให้บริการค่ะ"
2. ไรเดอร์ส่งเอกสารมาแล้ว ไม่ควรถามสามารถสอบถามข้อมูลหรือพบปัญหาการใช้งาน แจ้งแอดมินได้เลยนะคะ
3. เวลารอรับบริการ 20 นาที เวลาให้บริการ 11 นาที นานมากๆๆๆ ควรปรับปรุงเรื่องระยะเวลาการให้บริการค่ะ
4. ควรปรับปรุงเรื่องภาษาที่ใช้ในการตอบแชท เนื่องจากภาษาที่ใช้ห้วนเกินไป</t>
  </si>
  <si>
    <t>AA195559</t>
  </si>
  <si>
    <t>https://app.oho.chat/business/6805c0f16232119d2a1204b5/smartchat?case=6996b2ddf5c147b044602034</t>
  </si>
  <si>
    <t>สอบถามโปรโมชั่น/โค้ดส่วนลด</t>
  </si>
  <si>
    <t>1. เปิด-ปิดการสนทนา (10 คะแนน) *   หัก 1 คะแนน เพราะเปิดบทสนทนาไม่ได้เรียกชื่อลูกค้า/ยังเป็น template ค่อนข้างทั่วไป
2. ภาษา (20 คะแนน) * หักเล็กน้อยเพราะข้อความค่อนข้างยาว สามารถกระชับกว่านี้ได้
3. แท็กเคสหลังจบแชทไม่ถูกต้อง กล่าวคือแท็กเคสหัวข้อ "ผูกบัตรเครดิต/เดบิตไม่ได้" ที่ถูกต้องคือควรแท็กเคสหัวข้อ "สอบถามโปรโมชั่น/โค้ดส่วนลด"</t>
  </si>
  <si>
    <t>AA193173</t>
  </si>
  <si>
    <t>https://app.oho.chat/business/6805c0f16232119d2a1204b5/case/685264f32cf96558ef51596e?case=69906c78ee1601e3a13d3607</t>
  </si>
  <si>
    <t>ปัญหาก่อนจัดส่ง - ติดต่อร้านค้าไม่ได้</t>
  </si>
  <si>
    <t>1.  เปิด–ปิดการสนทนา (9/10) มีทักทายตอนต้น และมีการแจ้งผลดำเนินการให้ลูกค้าทราบ ถือว่าทำได้ดี ขาดแค่ประโยคปิดแบบสมบูรณ์ เช่น เสนอช่วยเหลือต่อ
2. วิเคราะห์/แก้ไข (27/30) ขอ Order ID ถูกต้อง ตรวจสอบให้ และแจ้งผลชัดเจนว่า “ยกเลิกออเดอร์ให้แล้ว” พร้อมอธิบายสถานะการคืนเงิน ทำได้ตรงจุด ที่หัก 3 คะแนน เพราะยังขาดบางอย่าง เช่น ยังไม่มีการอธิบายสาเหตุว่าทำไมถึงยกเลิกไม่ได้ก่อนหน้า
3. ระยะเวลาการให้บริการไม่ควรเกิน 5 นาที เพราะเคสนี้ตรวจสอบรู้ว่าเป็นการชำระเงินผ่านช่องทาง SCB สามารถแจ้งผลได้เลย</t>
  </si>
  <si>
    <t>AA193176</t>
  </si>
  <si>
    <t>https://app.oho.chat/business/6805c0f16232119d2a1204b5/case/685264f32cf96558ef51596e?case=69906d868b5d1e32c673c798</t>
  </si>
  <si>
    <t>1. ไม่กล่าวเปิดการสนทนาตามมาตรฐาน "สวัสดีค่ะ แอดมิน XXX ยินดีให้บริการค่ะ"
2. ควรแจ้งให้ไรเดอร์ทำการกดถึงร้านค้าตามขั้นตอนในแอป เพื่อเป็นการเน้นย้ำไรเดอร์ให้ตะหนักถึงการทำงานตามจั้นตอนอย่างจริงจัง</t>
  </si>
  <si>
    <t>AA193145</t>
  </si>
  <si>
    <t>https://app.oho.chat/business/6805c0f16232119d2a1204b5/case/685264f32cf96558ef51596e?case=69905fb89d8cce3c5226cdd4</t>
  </si>
  <si>
    <t>ขอเปิดร้านค้าอีกครั้ง (Re-Activate)</t>
  </si>
  <si>
    <t>1. ไม่กล่าวปิดการสนทนาตามมาตรฐาน "ขอบคุณที่ใช้บริการโรบินฮู้ด แอดมิน XXX ยินดีให้บริการค่ะ"
2. ควรปรับปรุงเรื่องภาษาที่ใช้ในการตอบแชท เนื่องจากภาษาที่ใช้ห้วนเกินไป ทำให้บางประโยคดูเหมือนยอกย้อนเช่น  ตามที่แอดมินได้แจ้งรายละเอียดไว้ก่อนหน้านี้  และไม่ต้อง ขอขอบพระคุณเป็นอย่างสูงค่ะ นะคะ เนื่องจากดูเป็น Robot มากเกินไป</t>
  </si>
  <si>
    <t>AA193082</t>
  </si>
  <si>
    <t>แท็กเคสหลังจบแชทไม่ถูกต้อง กล่าวคือแท็กเคสหัวข้อ "สอบถาม</t>
  </si>
  <si>
    <t>1.  หมายเลขออเดอร์ 260214-PO-9001 ลูกค้าสอบถามว่าร้านทำไม่รับออเดอร์สักที /หรือระบบรวน น้องตอบว่าระยะเวลาในการคืนเงินจะเป็นไปตามเงื่อนไขของธนาคารปลายทาง ซึ่งตอบไม่ตรงคำถามเลย หากตอบข้อความก่อนหน้านี้ควร Reply ข้อความเพื่อให้ทราบว่าตอบกลับข้อความใด เพื่อไม่ให้เกิดความสับสน
2. ข้อมูลเกี่ยวกับออเดอร์" ที่ถูกต้องคือควรแท็กเคสหัวข้อ "ติดตามสถานะคำสั่งซื้อ"</t>
  </si>
  <si>
    <t>AA196615</t>
  </si>
  <si>
    <t>https://app.oho.chat/business/6805c0f16232119d2a1204b5/smartchat?case=69997478e0bf3c6359473a60</t>
  </si>
  <si>
    <t>สอบถามส่วนลดดีดีพลัส</t>
  </si>
  <si>
    <t>1. ควรปรับปรุงเรื่องภาษาที่ใช้ในการตอบแชท เนื่องจากข้อความไม่กระชับ ทำให้ไม่อยากอ่าน
2. เราควรง้อร้านค้าให้มากกว่านี้ เนื่องจากปัจจุบันร้านค้าในระบบน้อย 
3. ไม่กล่าวปิดการสนทนาตามมาตรฐาน "ขอบคุณที่ใช้บริการโรบินฮู้ด แอดมิน XXX ยินดีให้บริการค่ะ"</t>
  </si>
  <si>
    <t>AA196492</t>
  </si>
  <si>
    <t>https://app.oho.chat/business/6805c0f16232119d2a1204b5/case/685264f32cf96558ef51596e?case=6999435f6b10ecedcefbe029</t>
  </si>
  <si>
    <t>1. ควรสอบถามหมายเลขออเดอร์ หรือ เบอร์โทรศัพท์จากลูกค้าเพื่อทำการตรวจสอบสถานะการคืนเงิน ไม่ควรตอบแค่ระยะเวลาการคืนเงินของบัตรเครดิตแบบนี้
2.ควรปรับปรุงเรื่องภาษาที่ใช้ในการตอบแชท เนื่องจากข้อความควรกระชับให้มากกว่านี้</t>
  </si>
  <si>
    <t>AA190743</t>
  </si>
  <si>
    <t>https://app.oho.chat/business/6805c0f16232119d2a1204b5/smartchat?case=6989d553ae6490823c54d1fb</t>
  </si>
  <si>
    <t>ไรเดอร์ทดแทน</t>
  </si>
  <si>
    <t>1.ไม่ได้กล่าวเปิดสนทนา 
2.ควรแยกข้อความตอบไรเดอร์เงื่อนไขระเบียบการปฏิเสธงานและรถเสียออกจากกัน เพื่อแสดงความชัดเจนให้ไรเดอร์ เพราะไรเดอร์แจ้งสาเหตุที่ไม่เข้ารับอาหารมาแล้ว</t>
  </si>
  <si>
    <t>AA191671</t>
  </si>
  <si>
    <t>https://app.oho.chat/business/6805c0f16232119d2a1204b5/smartchat?case=698c640165eb47c499cc67c6</t>
  </si>
  <si>
    <t>1.ไม่กล่าวเปิดสนทนา / 2. ภาษาที่เรียบเรียงจากแชทGPTมาดีแล้วแต่อยากให้ใส่ใจเรื่องการเว้นวรรคของข้อความให้มีความสมูทมากกว่านี้อีกนิดนึง</t>
  </si>
  <si>
    <t>AA196361</t>
  </si>
  <si>
    <t>https://app.oho.chat/business/6805c0f16232119d2a1204b5/case/685264f32cf96558ef51596e?case=69991d062017b75b756ff755</t>
  </si>
  <si>
    <t>1.ร้านค้าแจ้งว่ามีลูกค้าสั่งอาหาร แต่ร้านค้าไม่เห็นออเดอร์ น้องสอบถามเลขที่ออเดอร์และข้อมูลร้านค้า ในเมื่อร้านค้าแจ้งอยู่ว่าออเดอร์ไม่ควรควรสอบถามแค่หมายเลขร้านค้า หรือรู้จักกับลูกค้าก็ควรขอเบอร์โทรลูกค้าเพื่อตรวจสอบออเดอร์ให้แน่ชัด
2. ระยะเวลาที่รอให้บริการ 1:19:12 นาที ซึ่งนานเกินไป ควรเปิดรับแชทภายใน 5 นาทีนะคะ</t>
  </si>
  <si>
    <t>AA198249</t>
  </si>
  <si>
    <t>https://app.oho.chat/business/6805c0f16232119d2a1204b5/smartchat?case=699e52bf9f575c2b6bc36185</t>
  </si>
  <si>
    <t>สอบถามการสมัครไรเดอร์ใหม่</t>
  </si>
  <si>
    <t>1. ระยะเวลารอรับเคส 0:18:13 น. นานเกินไป  ซึ่งไม่ควรเกิน 5 นาที
2. ไม่เปลี่ยน RR ที่ชื่อในระบบ Oho chat 
3. ไม่กล่าวเปิด-ปิดการสนทนาตามมาตรฐาน
4. ไรเดอร์ถามรอบอบรมว่ามีวันไหนบ้าง เราควรแจ้งไรเดอร์ว่าปัจจุบันเรามีให้อบรมออนไลน์เพิ่มเติมด้วย และในเคสไม่มีการส่งลิ้งค์อบรมให้ไรเดอร์ค่ะ</t>
  </si>
  <si>
    <t>AA198512</t>
  </si>
  <si>
    <t>https://app.oho.chat/business/6805c0f16232119d2a1204b5/smartchat?room=682e986082468e946a3acf0d</t>
  </si>
  <si>
    <t>1. ควรนำเลขออเดอร์ไปตรวจสอบสถานะออเดอร์ก่อนแจ้งให้ไรเดอร์บอกลูกค้าให้ยกเลิกออเดอร์ เนื่องจากกรณีนี้ลูกค้ายกเลิกออเดอร์ ทำให้ไรเดอร์หงุดหงิดและเกิดอารมฉุนเฉียวได้ค่ะ
2. ใช้ระยะเวลาจัดการเคสนี้ค่อนข้างนาน ไม่ควรเกิน 5 นาทีค่ะ</t>
  </si>
  <si>
    <t>AA198980</t>
  </si>
  <si>
    <t>https://app.oho.chat/business/6805c0f16232119d2a1204b5/smartchat?room=699fc4a04d5baf57d62eacfe</t>
  </si>
  <si>
    <t>1. ควรแจ้งระยะเวลาปรับปรุงเงินคืนให้ลูกค้าทราบด้วย (pro active) เพื่อป้องกันไม่ให้ลูกค้าสอบถามหรือติดตามการคืนเงินกลับมาภายหลัง
2. ข้อความยาวเกินไป ทำให้ดูไม่น่าอ่าน ควรแยกเป็น 2 ข้อความค่ะ</t>
  </si>
  <si>
    <t>AA197039</t>
  </si>
  <si>
    <t>https://app.oho.chat/business/6805c0f16232119d2a1204b5/smartchat?case=699ab90217f1a735d49a623f</t>
  </si>
  <si>
    <t>1. ควรทบทวนเลขออเดอร์ในเคสทุกครั้ง เพื่อให้ทราบว่าเราโฟกัสได้อย่างถูกต้อง
2. ข้อความแจ้งผลดำเนินการหลังจากที่ประสานงานร้านค้าควรแยกเป็น 2 ข้อความ คือ แจ้งผลที่ประสานงาน และ ข้อความที่ 2 ควรสอบถามเลขที่บัญชีและชื่อบัญชีเพื่อการคืนเงิน
3. ใช้เวลาในการจัดการเคสนี้่ค่อนข้างนาน แต่เข้าใจได้ว่ารอประสานงานร้านค้า หากรอนานควรปิดเคสและปักหมุดไว้ก่อน หลังจากติดต่อร้านค้าแล้วค่อยมาแจ้งผลดำเนินการน่าจะดีกว่า</t>
  </si>
  <si>
    <t>AA196943</t>
  </si>
  <si>
    <t>https://app.oho.chat/business/6805c0f16232119d2a1204b5/smartchat?case=699a97dd0b1626d7d86855dd</t>
  </si>
  <si>
    <t>รับงานไกลเกิน 8 กม.</t>
  </si>
  <si>
    <t>1.ไม่ควรส่งข้อความเดิมซ้ำ 2 ครั้ง ในขณะที่ไรเดอร์เร่งให้ยกเลิกงานควรแจ้งว่า อยู่ระหว่างค้นหาไรเดอร์รับงานแทนค่ะ 
2. ไม่แท็กเคสว่าลูกค้าติดต่อเรื่องอะไรหลังจบแชท ที่ถูกต้องคือควรแท็กเคสหัวข้อ "ปัญหาก่อนจัดส่ง - ได้รับงานเกิน 8 กม."
3. ระยะเวลาจัดการเคสนานเกินไป หลังจากเรียกไรเดอร์ทดแทนควรปิดเคสเพื่อเรียกไรเดอร์ทดแทนไว้ก่อน หลังจากหาไรเดอร์ได้แล้ว จึงทำการยกเลิกงานและแจ้งให้ไรเดอร์ทราบจะทำให้ระยะเวลาเคสสั้นลง</t>
  </si>
  <si>
    <t>AA198045</t>
  </si>
  <si>
    <t>https://app.oho.chat/business/6805c0f16232119d2a1204b5/smartchat?room=699d6b2c81ac1fb134159778</t>
  </si>
  <si>
    <t>Good lob วิเคราะห์เคสได้ดี แต่ควรแจ้งระยะเวลาดำเนินการให้ชัดเจน เช่น ภายใน 1 วันทำการ หากทราบผลพิจารณาจะแจ้งให้ทราบทันที</t>
  </si>
  <si>
    <t>AA197188</t>
  </si>
  <si>
    <t>https://app.oho.chat/business/6805c0f16232119d2a1204b5/smartchat?room=683fb3238969a61b47c77e83</t>
  </si>
  <si>
    <t>ปิดระบบ - เกิดอุบัติเหตุ/รถเสีย(ไม่พร้อมใช้งาน)</t>
  </si>
  <si>
    <t>1.ข้อความที่ส่งแจ้งไรเดอร์ ควรขอหลักฐานเป็นรูปภาพหรือคลิปก่อนเป็นอันดับแรก หากไม่สะดวกส่งหลักฐานค่อยแจ้งเงื่อนไขการระงับ 7 วัน
2. ข้อความที่แจ้งผลดำเนินการยาวเกินไป ควรแยกเป็น 2 ข้อความคือ ข้อความแรกขอรูปหลักฐานว่ารถเสีย และเงื่อนไขระงับ 1 วัน  ข้อความ 2 กรณีที่ไม่ส่งหลักฐาน แจ้งเงื่อนไขระงับ 7 วัน</t>
  </si>
  <si>
    <t>AA194533</t>
  </si>
  <si>
    <t>https://app.oho.chat/business/6805c0f16232119d2a1204b5/smartchat?case=69940c37177218e2d597e420</t>
  </si>
  <si>
    <t>ปัญหาหลังจัดส่ง-พบสิ่งแปลกปลอมในอาหาร</t>
  </si>
  <si>
    <t>1. ควรใช้เทมเพลตข้อความกรณีอาหารเสียหาย/สิ่งแปลกปลอม ซึ่งจะขอรูปภาพอาหารที่มีสิ่งแปลกปลอมในอาหารด้วย
2. ข้อความแจ้งผลดำเนินการยาวเกินไป ควรแบ่งเป็น 2 ข้อความ เนื่องจากข้อความยาว จนดูไม่อยากอ่าน
3. ควรทบทวนหมายเลขออเดอร์ทุกครั้ง เพื่อให้ทราบว่าเราโฟกัสไม่ผิดออเดอร์</t>
  </si>
  <si>
    <t>AA196670</t>
  </si>
  <si>
    <t>https://app.oho.chat/business/6805c0f16232119d2a1204b5/smartchat?case=69998f800b1626d7d809bab4</t>
  </si>
  <si>
    <t>1. ก่อนยกเลิกออเดอร์ได้ทำการประสานงานร้านค้าเพื่อยืนยันที่อยู่ใหม่แล้วหรือไม่ (ไม่ได้บันทึกภายในไว้ว่าทำอะไรไปแล้วบ้าง )
2.แก้ไขที่อยู่ใหม่ให้กับร้านค้าแล้วหรือยังคะ
3. ใช้ระยะเวลาจัดการเคสนี้นานเกินไป ไม่ควรเกิน 5 นาที</t>
  </si>
  <si>
    <t>AA194123</t>
  </si>
  <si>
    <t>https://app.oho.chat/business/6805c0f16232119d2a1204b5/smartchat?case=6992d7bcb98e361099819444</t>
  </si>
  <si>
    <t>1. ไม่กล่าวเปิด-ปิดการสนทนาตามมาตรฐานที่กำหนด
2.ควรย้อนขึ้นไปดูข้อความข้างบนว่าเพื่อนแจ้งอะไรไปแล้วบ้าง และไม่ควรส่งข้อความซ้ำกัน
3. ภาษาีที่ใช้ดีแล้ว แต่บางข้อความห้วนเกินไป เช่น ต้องระบุข้อความแสดงความประสงค์ขอเปลี่ยนแปลงหมายเลขบัญชีรับเงิน (ควรใช้  รบกวนระบุข้อึวามแสดงความประสงค์ขอเปลีย่นแปลงหมายเลขบัญชี)</t>
  </si>
  <si>
    <t>AA193699</t>
  </si>
  <si>
    <t>https://app.oho.chat/business/6805c0f16232119d2a1204b5/case/696ef8d4cea5e6bb74db0c93?case=6991b4552b3299c93254cfa3</t>
  </si>
  <si>
    <t>1. ควรแนะนำให้ทางร้านค้ากดลืมรหัสผ่าน หลังจากที่รีเซ็ตรหัสผ่าน ในกรณีที่ร้านค้าไม่สามารถเข้ารหัสที่รีเซ็ตให้ได้
2. เพื่อความเข้าใจที่ชัดเจน หากมีเนื้อหามากกว่า 1 เรื่อง กรุณาแยกส่งเป็น 2 ข้อความ เนื่องจากข้อความยาวอาจทำให้อ่านยาก
3.ควรปรับปรุงเรื่องภาษาที่ใช้ในการตอบแชท เนื่องจากภาษาที่ใช้ห้วนเกินไป
4. เวลาให้บริการ 0:15:10 นาที ควรกระชับให้มากกว่านี้ เนื่องจากมาตรฐานที่กำหนดไว้ไม่เกิน 5 นาที</t>
  </si>
  <si>
    <t>AA193642</t>
  </si>
  <si>
    <t>https://app.oho.chat/business/6805c0f16232119d2a1204b5/case/696ef8d4cea5e6bb74db0c93?case=6991a37ae5dd5df7b0edaa66</t>
  </si>
  <si>
    <t>1. ควรปรับปรุงเรื่องภาษาที่ใช้ในการตอบแชท เนื่องจากภาษาที่ใช้ห้วนเกินไป 
2. ควรแจ้งผลการประสานงานให้ไรเดอร์ทราบด้วย ไม่ใช่แจ้งแค่ว่าประสานงานเจ้าหน้าที่ที่เกี่ยวข้องเท่าน้ัน
3. เวลาให้บริการ 0:07:41 นาที ไม่ควรเกิน 5 นาทีค่ะ</t>
  </si>
  <si>
    <t>AA193627</t>
  </si>
  <si>
    <t>https://app.oho.chat/business/6805c0f16232119d2a1204b5/case/696ef8d4cea5e6bb74db0c93?case=69919e99619384d77e1c0b55</t>
  </si>
  <si>
    <t>-มีการสอบถามร้านค้าหรือไม่ว่าร้านค้าเปิดขายปกติหรือติดปัญหาใดหรือไม่ เพื่อจะได้มีการแก้ไขปัญหาให้ร้านค้าต่อไป</t>
  </si>
  <si>
    <t>AA193523</t>
  </si>
  <si>
    <t>https://app.oho.chat/business/6805c0f16232119d2a1204b5/case/696ef8d4cea5e6bb74db0c93?case=69917c7b2d2bb05df34f548c</t>
  </si>
  <si>
    <t>1. ก่อนการยกเลิกออเดอร์ทำการประสานงานร้านค้าเพื่อยืนยันหรือไม่ เนื่องจากไม่มีการบันทึกภายในว่าดำเนินการอะไรบ้าง (ควรบันทึกทุกครั้ง)
2. ควรแจ้งระยะเวลาที่ลูกค้าจะได้รับเงินคืนการระบบ 
3. เวลาให้บริการ 0:19:24 นาที เกินกว่ามาตรฐานที่กำหนด (ไม่เกิน 5 นาที)</t>
  </si>
  <si>
    <t>AA193399</t>
  </si>
  <si>
    <t>https://app.oho.chat/business/6805c0f16232119d2a1204b5/case/696ef8d4cea5e6bb74db0c93?case=699153153622f379d29cb67a</t>
  </si>
  <si>
    <t>1. เพื่อความเข้าใจที่ชัดเจน หากมีเนื้อหามากกว่า 1 เรื่อง กรุณาแยกส่งเป็น 2 ข้อความ เนื่องจากข้อความยาวอาจทำให้อ่านยาก
2.ควรปรับปรุงเรื่องภาษาที่ใช้ในการตอบแชท เนื่องจากข้อความสามารถกระชับได้มากกว่านี้
3. ลูกค้าแจ้งปัญหาว่าได้รับเงินไม่ครบ 1 ยอด เวลาที่ลูกค้าติดต่อมาคือเที่ยงกว่า ควรรับเรื่องตรวจสอบและรอให้ระบบปรับปรุงเงินคืนอัตโนมัติในช่วง 12.00 - 13.00 น. หลังจากนั้นตรวจสอบในระบบ 2C2P เพื่อให้แน่ใจว่าระบบไม่ปรับปรุงเงินคืนแล้วค่อยส่งเรื่องให้ Oper ตรวจสอบต่อ</t>
  </si>
  <si>
    <t>AA194800</t>
  </si>
  <si>
    <t>https://app.oho.chat/business/6805c0f16232119d2a1204b5/case/685265fc312e926c4392c2aa?case=699517c793f2ef97cb947fba</t>
  </si>
  <si>
    <t>1. ควรยืนยันราคาก่อนแจ้งยกเลิกออเดอร์ และควรแจ้งร้านค้ากรณีที่มีรายการที่ไม่มีรายการขายให้ปิดในระบบด้วย
2. ควรอธิบายร้านค้าให้ชัดเจนว่าการยกเลิกคืนเงินบางรายการนั้นจะยังคงปรากฎอยู่บนระบบอยู่จะไม่หายไป
3. เวลารอรับบริการ 0:19:03 นาที และ เวลาให้บริการ 0:08:04 นาที ซึ่งไม่ควรเกิน 5 นาที</t>
  </si>
  <si>
    <t>AA197103</t>
  </si>
  <si>
    <t>https://app.oho.chat/business/6805c0f16232119d2a1204b5/smartchat?case=699ad0a54142827a536639b8</t>
  </si>
  <si>
    <t>1. ไม่จำเป็นต้องขอเลขที่บัตรประชาชนครบ 13 ตัว เนื่องจากตามหลักการยืนยันตัวตนใช่เพียงแค่ 5 ตัว เท่านั้น
2. ควรปรับปรุงเรื่องภาษา เช่น "ทางร้านค้าต้องการเปลี่ยนแปลงข้อมูลร้านค้าไม่ทราบเปลี่ยนแปลงข้อมูลดใดคะ" ควรใช้คำว่า "แอดมินขอทราบรายละเอียดข้อมูลที่ต้องการเปลี่ยนแปลงด้วยค่ะ"
3. เวลารอรับบริการ 0:07:39 นาที  เวลาให้บริการ 0:11:44 นาที ซึ่งไม่ควรเกิน 5 นาทีทั้ง 2 เรื่องค่ะ</t>
  </si>
  <si>
    <t>AA197638</t>
  </si>
  <si>
    <t>https://app.oho.chat/business/6805c0f16232119d2a1204b5/case/696ef8d4cea5e6bb74db0c93?case=699c27b1a8546d92749b62f0</t>
  </si>
  <si>
    <t>1. ควรปักหมุดไว้เคสไว้ และติดตามกับลูกค้าว่าได้รับการติดต่อจากร้านค้าหรือไม่
2. เพื่อความเข้าใจที่ชัดเจน หากมีเนื้อหามากกว่า 1 เรื่อง กรุณาแยกส่งเป็น 2 ข้อความ เนื่องจากข้อความยาวอาจทำให้อ่านยาก
3. ระยะเวลาจัดการเคสไม่ควรเกิน 5 นาที</t>
  </si>
  <si>
    <t>AA197566</t>
  </si>
  <si>
    <t>https://app.oho.chat/business/6805c0f16232119d2a1204b5/case/696ef8d4cea5e6bb74db0c93?case=699c0d91d924353a4c705b3e</t>
  </si>
  <si>
    <t>เปลี่ยนแปลงข้อมูล-เบอร์โทร</t>
  </si>
  <si>
    <t>1. เพื่อความเข้าใจที่ชัดเจน หากมีเนื้อหามากกว่า 1 เรื่อง กรุณาแยกส่งเป็น 2 ข้อความ เนื่องจากข้อความยาวอาจทำให้อ่านยาก
2. ควรปรับปรุงเรื่องภาษาที่ใช้ในการตอบแชท เนื่องจากอ่านแล้วงงว่าตรวจสอบรึยัง  เช่น แอดมินได้ดำเนินการตรวจสอบและทำการเปลี่ยนแปลงข้อมูลให้กับพี่ไรเดอร์นะคะ   แต่วรรคถัดมาแจ้งว่า "หากดำเนินการเรียบร้อย แอดมินจะแจ้งให้ทราบอีกครั้งค่ะ" อ่านแล้วงง
3. ระยะเวลาจัดการเคสไม่ควรเกิน 5 นาที</t>
  </si>
  <si>
    <t>AA197946</t>
  </si>
  <si>
    <t>https://app.oho.chat/business/6805c0f16232119d2a1204b5/case/696ef8d4cea5e6bb74db0c93?case=699d379bc4166c7b57480be1</t>
  </si>
  <si>
    <t>วิเคราะห์และจัดการปัญหาดีเลย แต่ก่อนการยกเลิกออเดอร์ให้ลูกค้า ได้ประสานงานร้านค้าเพื่อยืนยันว่าทำอาหารแล้วหรือไม่ เนื่องจากในบันทึกพี่ไม่เห็นว่ามีการระบุรายละเอียด</t>
  </si>
  <si>
    <t>AA190782</t>
  </si>
  <si>
    <t>https://app.oho.chat/business/6805c0f16232119d2a1204b5/smartchat?room=689563c69976faffe6ae8b7f</t>
  </si>
  <si>
    <t>ขอใบรายสรุปยอดการขาย</t>
  </si>
  <si>
    <t>1. ไม่กล่าวเปิดการสนทนาตามมาตรฐาน "สวัสดีค่ะ แอดมิน XXX ยินดีให้บริการค่ะ"
2. ควรปรับปรุงการใช้ภาษาในการตอบแชท เนื่องจากถ้อยคำที่ใช้เป็นภาษาพูดมากเกินไป
3. อีเมล์ที่ระบบจะส่งให้ได้ ต้องเป็นอีเมล์ในระบบร้านค้าเท่านั้น  ไม่ต้องขอใหม่  ให้แจ้งไปเลยว่า ระบบจะส่งให้ที่อีเมล์ไหน
4. ควรแจ้งระยะเวลาดำเนินการให้ร้านค้าทราบทุกครั้ง ไม่ควรให้ลูกค้าสอบถามด้วยด้วยเอง</t>
  </si>
  <si>
    <t>AA190839</t>
  </si>
  <si>
    <t>https://app.oho.chat/business/6805c0f16232119d2a1204b5/smartchat?room=684c01c65710cbc1fb63055e</t>
  </si>
  <si>
    <t>ไรเดอร์ไม่ไปรับอาหาร</t>
  </si>
  <si>
    <t>1. ไม่กล่าวเปิดการสนทนาตามมาตรฐาน "สวัสดีค่ะ แอดมิน XXX ยินดีให้บริการค่ะ"
2. ควรปรับปรุงการใช้ภาษาในการตอบแชท เนื่องจากถ้อยคำที่ใช้ค่อนข้างห้วนเกินไป
3. แท็กเคสหลังจบแชทไม่ถูกต้อง กล่าวคือแท็กเคสหัวข้อ "ยกเลิกออเดอร์์" ที่ถูกต้องคือควรแท็กเคสหัวข้อ "ปัญหาก่อนจัดส่ง-ร้านปิด"
4.เวลาให้บริการ 0:13:27  ระยะเวลาให้บริการเกินกว่ามาตรฐานที่กำหนด ควรปรับให้กระชับมากขึ้น โดยไม่เกิน 5 นาที
5. ก่อนยกเลิกออเดอร์ ควรติดต่อประสานงานกับร้านค้าก่อนทุกครั้ง และบันทึกรายละเอียดการดำเนินการไว้ภายในทุกครั้งเช่นกัน</t>
  </si>
  <si>
    <t>AA192583</t>
  </si>
  <si>
    <t>https://app.oho.chat/business/6805c0f16232119d2a1204b5/smartchat?case=698f07cf46111d2169aba9db</t>
  </si>
  <si>
    <t>สอบถามข้อมูลร้านค้า</t>
  </si>
  <si>
    <t>1. ร้านค้าถามว่า ทำไมรหัสในอีเมล์ไม่ตรงกับหน้าแอปฯ  ทำไมต้องขอข้อมูลร้านค้าเพิ่ม ในเมื่อวันเดียวกันร้านเพิ่งทักเข้ามา  และเราสามารถหาข้อมูลแจ้งร้านค้าได้เลย  พอร้านค้าเห็นว่าเราขอข้อมูลใหม่  ร้านก็ไม่ตอบเราแล้ว
2. ไม่กล่าวเปิดการสนทนาตามมาตรฐาน "สวัสดีค่ะ แอดมิน XXX ยินดีให้บริการค่ะ"
3. ไม่กล่าวปิดการสนทนาตามมาตรฐาน "ขอบคุณที่ใช้บริการโรบินฮู้ด แอดมิน XXX ยินดีให้บริการค่ะ"
4.ไม่แท็กเคสว่าลูกค้าติดต่อเรื่องอะไรหลังจบแชท ที่ถูกต้องคือควรแท็กเคสหัวข้อ "ปัญหาการใช้แอปพลิเคขั่น"</t>
  </si>
  <si>
    <t>AA194563</t>
  </si>
  <si>
    <t>https://app.oho.chat/business/6805c0f16232119d2a1204b5/smartchat?case=69941a8a177218e2d59eef0f</t>
  </si>
  <si>
    <t>1. เมื่อลูกค้าแจ้งว่าปักหมุดผิด ต้องขอเลขที่ออเดอร์มาตรวจสอบก่อน และแก้ปัญหาให้ลูกค้า ไม่ใช่แจ้งให้ลูกค้าไปชำระเงินเพิ่มให้ไรเดอร์เลยทั้งๆที่ยังไม่ได้ตรวจ ซึ่งเป็นการผลักภาระให้ลูกค้าและไม่มีความเป็น Ownership 
2. ควรปรับปรุงการใช้ภาษาในการตอบแชท เนื่องจากถ้อยคำที่ใช้ค่อนข้างห้วนเกินไป
3. ควรแจ้งให้ลูกค้าทราบด้วยว่าประสานงานร้านค้าแล้วเป็นอย่างไร
4. เวลาให้บริการ 0:11:55 นาที ซึ่งเกินมาตรฐานที่กำหนดควรกระชับให้มากกว่านี้ (ไม่เกิน 5 นาที)</t>
  </si>
  <si>
    <t>AA194534</t>
  </si>
  <si>
    <t>https://app.oho.chat/business/6805c0f16232119d2a1204b5/case/6852655b940f4732f24b5111?case=69940d5e372c10b0d8621a21</t>
  </si>
  <si>
    <t>เปลี่ยนบัญชีรับเงินนิติฯ</t>
  </si>
  <si>
    <t>1.เมื่อร้านค้าแจ้งว่าต้องการเปลี่ยนบัญชี ควรสอบถามข้อมูลร้านค้าก่อนเพื่อตรวจสอบ  ไม่ใช่ส่งสคริปเอกสารเปลี่ยนบัญชีเลย   พอถามทีหลังปรากฏว่าร้านเป็นนิติฯ ก็ต้องแจ้งเอกสารใหม่   ถ้าเราขอข้อมูลมาตรวจตั้งแต่แรก เราจะตอบได้ชัดเจนและรวดเร็วกว่านี้
2. เวลาให้บริการ 0:31:24 นาที ควรกระชับการให้บริการมากวก่านี้
3. ควรปรับปรุงการใช้ภาษาในการตอบแชท เนื่องจากถ้อยคำที่ใช้ค่อนข้างห้วนเกินไป</t>
  </si>
  <si>
    <t>AA194298</t>
  </si>
  <si>
    <t>https://app.oho.chat/business/6805c0f16232119d2a1204b5/smartchat?case=69931e141b2f0fe771b3575b</t>
  </si>
  <si>
    <t>1. แก้ไขปัญหาได้ค่อนข้างดี แต่ควรทบทวนเลขออเดอร์ทุกครั้ง เพื่อให้สามารถโฟกัสออเดอร์ได้อย่างถูกต้อง
2. ควรปรับปรุงการใช้ภาษาในการตอบแชท เนื่องจากถ้อยคำที่ใช้ค่อนข้างห้วนเกินไป
3. เพื่อความเข้าใจที่ชัดเจน หากมีเนื้อหามากกว่า 1 เรื่อง กรุณาแยกส่งเป็น 2 ข้อความ เนื่องจากข้อความยาวอาจทำให้อ่านยาก เช่น ข้อความเปิดสนทนาควรกระชับให้มากกว่านี้
4. เวลาให้บริการ 0:06:13 นาที ไม่ควรเกิน 5 นาทีค่ะ</t>
  </si>
  <si>
    <t>AA197596</t>
  </si>
  <si>
    <t>https://app.oho.chat/business/6805c0f16232119d2a1204b5/smartchat?case=699c18f31a5870e5da41cdca</t>
  </si>
  <si>
    <t>รีเซ็ตรหัส</t>
  </si>
  <si>
    <t>1. ปรับข้อความ "ระหว่างที่แอดมินดำเนินการรบกวนร้านค้าหยุดดำเนินการใดๆในแอปค่ะ"  ให้อ่านแล้วดูเบากว่านี้ หรือไม่ใช่ประโยคคำสั่งแบบนี้ เช่น "ระหว่างที่แอดมินดำเนินการรีเซ็ตรหัสผ่าน รบกวนร้านค้าออกจากแอปฯสักครู่  เมื่อดำเนินการแล้วแอดมินจะแจ้งให้ทราบอีกครั้ง"
2. หลังจากรีเซ็ตรหัสผ่านแล้ว หากไม่มีการตอบรับควรโทรติดตามว่าร้านค้าเข้าระบบได้แล้วหรือไม่ เนื่องจากปัจจุบันร้านค้าในระบบน้อย ตามนโยบายบริษัทเราต้องการให้ร้านค้าเข้าระบบและปิดขายกับเราเยอะๆ
3. เวลาให้บริการ 0:08:50 นาที เกินว่ามาตรฐานที่กำหนด ควรรกระชับให้มากกว่านี้</t>
  </si>
  <si>
    <t>AA197511</t>
  </si>
  <si>
    <t>https://app.oho.chat/business/6805c0f16232119d2a1204b5/smartchat?case=699bf6f4009b2b2c0bb9fd9b</t>
  </si>
  <si>
    <t>ได้อาหารไม่ครบ</t>
  </si>
  <si>
    <t>1. ควรทบทวนเลขออเดอร์ทุกครั้ง เพื่อให้สามารถโฟกัสออเดอร์ได้อย่างถูกต้อง
2. เวลาให้บริการ 0:12:26 นาที ควรกระชับการให้บริการมากกว่านี้ ซึ่งตามมาตรฐานไม่ควรเกิน 5 นาที
3. ควรปรับปรุงการใช้ภาษาในการตอบแชท เนื่องจากถ้อยคำที่ใช้ค่อนข้างห้วนเกินไป</t>
  </si>
  <si>
    <t>AA199487</t>
  </si>
  <si>
    <t>https://app.oho.chat/business/6805c0f16232119d2a1204b5/smartchat?case=69a126ab61eb03021c40b085</t>
  </si>
  <si>
    <t>1. ไม่กล่าวปิดการสนทนาตามมาตรฐาน "ขอบคุณที่ใช้บริการโรบินฮู้ด แอดมิน XXX ยินดีให้บริการค่ะ"
2.ควรทบทวนเลขออเดอร์ทุกครั้ง เพื่อให้สามารถโฟกัสออเดอร์ได้อย่างถูกต้อง
3. เวลาให้บริการ 0:08:51 นาที ไม่ควรเกิน 5 นาที</t>
  </si>
  <si>
    <t>AA199390</t>
  </si>
  <si>
    <t>https://app.oho.chat/business/6805c0f16232119d2a1204b5/smartchat?case=69a0ffee96dff8ef62c977e0</t>
  </si>
  <si>
    <t>1. ควรถามปัญหาจากร้านค้าก่อนว่า  ติดปัญหาที่ขั้นตอนใด  ไม่ใช่ส่งวิธีการเข้าสู่ระบบให้เขาเลย และตรวจสอบคำผิดก่อนส่งดีๆนะ
2. เวลารอรับบริการ 0:06:38 นาที เวลาให้บริการ 0:15:58 นาที ซึ่งตามมาตรฐานไม่เกิน 5 นาที
3. ควรปรับปรุงเรื่องภาษาที่ใช้ในการตอบแชท เนื่องจากภาษาที่ใช้ห้วนเกินไป</t>
  </si>
  <si>
    <t>AA188838</t>
  </si>
  <si>
    <t>https://app.oho.chat/business/6805c0f16232119d2a1204b5/smartchat?case=6985b31baab5f6d49e8001e3</t>
  </si>
  <si>
    <t>1. ควรย้ำไรเดอร์ให้กดถึงร้านค้าตามกระบวนการทำงานเสมอ
2. ควรปรับปรุงเรื่องภาษาที่ใช้ในการตอบแชท เนื่องจากภาษาที่ใช้ห้วนเกินไป
3. ไม่ควรใช้เวลาเกิน 5 นาทีค่ะ</t>
  </si>
  <si>
    <t>AA189281</t>
  </si>
  <si>
    <t>https://app.oho.chat/business/6805c0f16232119d2a1204b5/case/6852648cefe85ef4b938f2aa?case=6986fbeccb96cdea123d3cf8</t>
  </si>
  <si>
    <t>1. วิเคราะห์เคสและแก้ไปขปัญหาได้ดี แต่กล่าวเปิด-ปิดการสนทนาเป็นไปตามมาตรฐานที่กำหนด
2. ควรปรับปรุงเรื่องภาษาที่ใช้ในการตอบแชท และควรระบุหมายเลขออเดอร์ในเคสเพื่อให้ทราบว่าเราโฟกัสถูกเคส
3. ควรกำหนดระยะเวลาให้อยู่ภายใน 3-5 นาที</t>
  </si>
  <si>
    <t>AA189045</t>
  </si>
  <si>
    <t>https://app.oho.chat/business/6805c0f16232119d2a1204b5/case/6852648cefe85ef4b938f2aa?case=6986a490f287d790cdf24038</t>
  </si>
  <si>
    <t>1. ไม่กล่าวเปิด-ปิดการสนทนาตามมาตรฐานที่กำหนด
2. ควรทบทวนเลขออเดอร์ระหว่างการสนทนาทุกครั้ง เพื่อให้ทราบว่าเราโฟกัสออเดอร์ที่แจ้งมาได้อย่างถูกต้อง
3. ควรปรับปรุงเรื่องภาษาที่ใช้ในการตอบแชท เนื่องจากภาษาที่ใช้ห้วนเกินไป
4. สามารถกระชับให้ระยะเวลาที่ใช้ให้น้อยลงกว่านี้อีกนิดนึงค่ะ</t>
  </si>
  <si>
    <t>AA194896</t>
  </si>
  <si>
    <t>https://app.oho.chat/business/6805c0f16232119d2a1204b5/case/6852648cefe85ef4b938f2aa?case=6995327921ea7dd946188f3d</t>
  </si>
  <si>
    <t>1. วิเคราะห์เคสได้ดี แต่ควรปรับปรุงเรื่องภาษาที่ใช้ในการตอบ
2. ระยะเวลารอรับบริการ และเวลาให้บริการมากกว่า 5 นาที</t>
  </si>
  <si>
    <t>AA194769</t>
  </si>
  <si>
    <t>https://app.oho.chat/business/6805c0f16232119d2a1204b5/smartchat?case=69950e8593f2ef97cb8cb735</t>
  </si>
  <si>
    <t>Good job ควรแจ้งลูกค้าด้วยว่า หากตรวจสอบไม่พบยอดเงินคืน ติดต่อกลับมาเพื่อให้แอดมินตรวจสอบอีกครั้ง</t>
  </si>
  <si>
    <t>AA194326</t>
  </si>
  <si>
    <t>https://app.oho.chat/business/6805c0f16232119d2a1204b5/smartchat?case=6993c5031973d3812db713a6</t>
  </si>
  <si>
    <t>1. ไม่กล่าวเปิดการสนทนาตามมาตรฐาน "สวัสดีค่ะ แอดมิน XXX ยินดีให้บริการค่ะ"
2.ควรปรับปรุงเรื่องภาษาที่ใช้ในการตอบแชท เนื่องจากภาษาที่ใช้ห้วนเกินไป
3. โทรหาร้านค้าเพื่อยืนยันร้านปิดแล้วใช่หรือไม่</t>
  </si>
  <si>
    <t>AA198169</t>
  </si>
  <si>
    <t>https://app.oho.chat/business/6805c0f16232119d2a1204b5/smartchat?case=699d970af6f5b89dd88cf511</t>
  </si>
  <si>
    <t>1.ควรแจ้งขั้นตอนการเข้าสู่ระบบด้วยเบอร์โทรศัพท์ให้ครบถ้วน คือหลังจากใส่เบอร์แล้วระบบจะส่ง SMS OTP จากนั้นนำเลข 6 หลักเป็นรหัสผ่านชั่วคราว
2.  ควรปรับปรุงการใช้ภาษาในการตอบแชท เนื่องจากเป็นภาษาพูดมากเกินไป
3. เวลาให้บริการ 0:13:32 นาที เวลาเกินกว่ามาตรฐานที่กำหนด ควรปรับให้กระชับมากขึ้น โดยไม่เกิน 5 นาที</t>
  </si>
  <si>
    <t>AA197918</t>
  </si>
  <si>
    <t>https://app.oho.chat/business/6805c0f16232119d2a1204b5/smartchat?case=699d2ceecaadd9dc30fcaf86</t>
  </si>
  <si>
    <t>1. กล่าวเปิดการสนทนาไม่ตรงตามมาตรฐาน "สวัสดีค่ะ แอดมิน XXX ยินดีให้บริการค่ะ"
2. ก่อนการยกเลิกออเดอร์ได้มีการประสานงานร้านค้าแล้วหรือไม่ ตรวจสอบไม่พบข้อมูลบันทึกภายใน ซึ่งควรทำการบันทึกไว้ทุกครั้ง
3. ควรปรับปรุงการใช้ภาษาในการตอบแชท เนื่องจากเป็นภาษาพูดมากเกินไป</t>
  </si>
  <si>
    <t>AA194787</t>
  </si>
  <si>
    <t>https://app.oho.chat/business/6805c0f16232119d2a1204b5/smartchat?case=6995176b21ea7dd946fd1f20</t>
  </si>
  <si>
    <t>1. กล่าวเปิดการสนทนาตามมาตรฐาน "สวัสดีค่ะ แอดมิน XXX ยินดีให้บริการค่ะ"
2. ก่อนปิดการสนทนา ควรจะทำการทบทวนกับลูกค้าว่าสามารถดึงรายงานการขายได้หรือไม่
3. ควรปรับปรุงการใช้ภาษาในการตอบแชท เนื่องจากเป็นภาษาพูดมากเกินไป
4. เวลาให้บริการ 0:05:14 นาที เวลาเกินกว่ามาตรฐานที่กำหนด โดยไม่เกิน 5 นาที</t>
  </si>
  <si>
    <t>AA190832</t>
  </si>
  <si>
    <t>https://app.oho.chat/business/6805c0f16232119d2a1204b5/smartchat?case=698a90f29db8dcc3e97753c8</t>
  </si>
  <si>
    <t>1. ควรทบทวนเลขออเดอร์ทุกครั้ง เพื่อให้สามารถโฟกัสออเดอร์ได้อย่างถูกต้อง
2. ควรปรับปรุงการใช้ภาษาในการตอบแชท เนื่องจากเป็นภาษาพูดมากเกินไป และควรระมัดระวังเรื่องคำผิด
3. เวลาให้บริการ 0:13:48 ระยะเวลาเกินกว่ามาตรฐานที่กำหนด ควรปรับให้กระชับมากขึ้น โดยไม่เกิน 5 นาที</t>
  </si>
  <si>
    <t>AA194458</t>
  </si>
  <si>
    <t>https://app.oho.chat/business/6805c0f16232119d2a1204b5/smartchat?case=6993f1656521d4582dde64e6</t>
  </si>
  <si>
    <t>1. เมื่อได้รับแจ้งว่าร้านเข้าแอปฯไม่ได้ ให้ถามเลขออเดอร์ ตรวจสอบสถานะก่อนที่จะส่งข้อความให้ไรเดอร์ถ่ายรูปรับอาหาร     รับเคสแล้วต้องติดต่อร้าน หรือยืนยันกับไรเดอร์ให้ชัดเจนว่าอยู่ที่ร้านหรือไม่ สะดวกไปร้านหรือไม่  เมื่อข้อมูลชัดเจนแล้ว ร้านพร้อมทำอาหารจริง เราจึงส่งข้อความนั้นได้
2. ควรทบทวนเลขออเดอร์ทุกครั้ง เพื่อให้สามารถโฟกัสออเดอร์ได้อย่างถูกต้อง
3. เวลาให้บริการ 0:08:11 นาที ระยะเวลาเกินกว่ามาตรฐานที่กำหนด ควรปรับให้กระชับมากขึ้น โดยไม่เกิน 5 นาที
4. ควรปรับปรุงการใช้ภาษาในการตอบแชท เนื่องจากเป็นภาษาพูดมากเกินไป</t>
  </si>
  <si>
    <t>AA194436</t>
  </si>
  <si>
    <t>https://app.oho.chat/business/6805c0f16232119d2a1204b5/smartchat?case=6993eaa66521d4582dd7da36</t>
  </si>
  <si>
    <t>1. Good job เปิดเคสถูกต้อง ยกเลิกออเดอร์ถูกต้องทั้งฝั่ง admin panel และฝั่ง portal 
2. ก่อนยกเลิกออเดอร์ ควรติดต่อประสานงานกับร้านค้าก่อนทุกครั้ง และบันทึกรายละเอียดการดำเนินการไว้ภายในทุกครั้งเช่นกัน
3. เพื่อความเข้าใจที่ชัดเจน หากมีเนื้อหามากกว่า 1 เรื่อง กรุณาแยกส่งเป็น 2 ข้อความ เนื่องจากข้อความยาวอาจทำให้อ่านยาก  เช่น ข้อความแจ้งผลดำเนินการและข้อความกล่าวปิดการสนทนาไม่ควรอยู่ในข้อความเดียวกัน</t>
  </si>
  <si>
    <t>AA194147</t>
  </si>
  <si>
    <t>https://app.oho.chat/business/6805c0f16232119d2a1204b5/smartchat?case=6992e1e02a795f685d337dda</t>
  </si>
  <si>
    <t>1. ก่อนยกเลิกออเดอร์ ควรติดต่อประสานงานกับร้านค้าก่อนทุกครั้ง และบันทึกรายละเอียดการดำเนินการไว้ภายในทุกครั้งเช่นกัน
2. หลังจากยกเลิกออเดอร์แล้ว ควรแจ้งระยะเวลาคืนเงินให้ลูกค้าทราบทันที ไม่ต้องรอให้ลูกค้าตามแล้วค่อยแจ้งระยะเวลานะ
3.เวลาให้บริการ 0:09:23 นาที ระยะเวลาเกินกว่ามาตรฐานที่กำหนด ควรปรับให้กระชับมากขึ้น โดยไม่เกิน 5 นาที</t>
  </si>
  <si>
    <t>AA193892</t>
  </si>
  <si>
    <t>https://app.oho.chat/business/6805c0f16232119d2a1204b5/smartchat?case=69928888d2a8d3e1377318d8</t>
  </si>
  <si>
    <t>1. ดำเนินการตามกระบวนการถูกต้อง แต่เพื่อความเข้าใจที่ชัดเจน หากมีเนื้อหามากกว่า 1 เรื่อง กรุณาแยกส่งเป็น 2 ข้อความ เนื่องจากข้อความยาวอาจทำให้อ่านยาก
2. เวลาให้บริการ 0:08:06 นาที ระยะเวลาเกินกว่ามาตรฐานที่กำหนด ควรปรับให้กระชับมากขึ้น โดยไม่เกิน 5 นาที</t>
  </si>
  <si>
    <t>AA197629</t>
  </si>
  <si>
    <t>https://app.oho.chat/business/6805c0f16232119d2a1204b5/smartchat?case=699c24cffc63a4c1fe6391b1</t>
  </si>
  <si>
    <t>1. เพื่อความเข้าใจที่ชัดเจน หากมีเนื้อหามากกว่า 1 เรื่อง กรุณาแยกส่งเป็น 2 ข้อความ เนื่องจากข้อความยาวอาจทำให้อ่านยาก
2. เวลาให้บริการ 0:07:43 ระยะเวลาให้บริการเกินกว่ามาตรฐานที่กำหนด ควรปรับให้กระชับมากขึ้น โดยไม่เกิน 5 นาที</t>
  </si>
  <si>
    <t>AA197601</t>
  </si>
  <si>
    <t>https://app.oho.chat/business/6805c0f16232119d2a1204b5/smartchat?case=699c1adad5b956c1d6ed9e77</t>
  </si>
  <si>
    <t>1. ไม่กล่าวเปิดการสนทนาตามมาตรฐาน "สวัสดีค่ะ แอดมิน XXX ยินดีให้บริการค่ะ"
2. ลูกค้ายกเลิกไม่ได้ เพราะไม่ได้กดไปที่หน้า "ดูคำสั่งซื้อ"  สามารถแนะนำให้ลูกค้ากดเข้าไปยกเลิกข้างในได้เลย  แต่ถ้าเข้าไปแล้วยกเลิกไม่ได้ ก็แจ้งไปว่าระบบจะยกเลิกให้อัตโนมัติในอีกสักครู่  โดยไม่จำเป็นต้องบอกว่า  จะส่งเรื่องให้ทีมที่เกี่ยวข้อง
3. ควรปรับปรุงการใช้ภาษาในการตอบแชท เนื่องจากเป็นภาษาพูดมากเกินไป</t>
  </si>
  <si>
    <t>AA197356</t>
  </si>
  <si>
    <t>https://app.oho.chat/business/6805c0f16232119d2a1204b5/smartchat?case=699bbf1e13b80a5b967b3e99</t>
  </si>
  <si>
    <t>สมัครร้านค้า</t>
  </si>
  <si>
    <t>1. ร้านค้าแจ้งว่าใส่ข้อมูลผิด ควรถามตั้งแต่แรกว่าข้อมูลที่กรอกผิดคืออะไร 
2. ควรปรับปรุงการใช้ภาษาในการตอบแชท เนื่องจากเป็นภาษาพูดมากเกินไปและควรกระชับคำให้มากกว่านี้
3. เวลาให้บริการ 0:18:56 นาที ระยะเวลาให้บริการเกินกว่ามาตรฐานที่กำหนด ควรปรับให้กระชับมากขึ้น โดยไม่เกิน 5 นาที</t>
  </si>
  <si>
    <t>AA199438</t>
  </si>
  <si>
    <t>https://app.oho.chat/business/6805c0f16232119d2a1204b5/smartchat?case=69a1126c96dff8ef62d67818</t>
  </si>
  <si>
    <t>1. กระชับข้อความให้สั้นกว่านี้ ในประโยคเดียวกัน ไม่ต้องใช้ "ครับ " "นะครับ" เยอะขนาดนี้ "แอดมินดำเนินการตรวจสอบและแจ้งทีมที่เกี่ยวข้องให้ดำเนินการเรียบร้อยแล้วครับ ขออนุญาตแจ้งทางร้านค้า รบกวนปิดแอปพลิเคชันและเข้าใช้งานใหม่อีกครั้งนะครับ จากนั้นสามารถเปิดร้านค้าในแอปเพื่อเริ่มใช้งานได้ตามปกติเลยครับ"   กระชับข้อความให้สุภาพ และสั้น อ่านเข้าใจง่ายและเร็วกว่านี้
2. เพื่อความเข้าใจที่ชัดเจน หากมีเนื้อหามากกว่า 1 เรื่อง กรุณาแยกส่งเป็น 2 ข้อความ เนื่องจากข้อความยาวอาจทำให้อ่านยาก
3. ควรแจ้งระยะเวลาดำเนินการทุกครั้ง</t>
  </si>
  <si>
    <t>AA199381</t>
  </si>
  <si>
    <t>https://app.oho.chat/business/6805c0f16232119d2a1204b5/case/6994321cdc32c1a4ba70f8fb?case=69a0fbafffde6cf12bfe167b</t>
  </si>
  <si>
    <t>1. ไม่กล่าวเปิดการสนทนาตามมาตรฐาน "สวัสดีค่ะ แอดมิน XXX ยินดีให้บริการค่ะ" ไม่ต้องมี "ครับพี่ไรเดอร์"
2. ควรปรับปรุงการใช้ภาษาในการตอบแชท เนื่องจากใช้คำมากเกินไป  ปรับข้อความการใช้คำให้กระชับ และอ่านเข้าใจง่ายกว่านี้ เช่น ตรวจสอบข้อมูลแอดมินติดต่อร้านค้าเรียบร้อย ควรใช้คำว่า "จากการประสานงานร้านค้า"
3. หลังจากยกเลิกออเดอร์เรียบร้อยแล้ว ควรกลับมาแจ้งไรเดอร์ให้ทราบด้วย
3.</t>
  </si>
  <si>
    <t>AA190691</t>
  </si>
  <si>
    <t>https://app.oho.chat/business/6805c0f16232119d2a1204b5/smartchat?room=6989c32d7c9ca62450ba9da3</t>
  </si>
  <si>
    <t>ปัญหาแอปพลิเคชั่น</t>
  </si>
  <si>
    <t>1. ทำไมไม่ขอให้ลูกค้าอัดวีดีโอมาให้ดูก่อนเราจะได้แนะนำเขาได้ถูกจะได้แนะนำวิธีการสั่งนู้นนี่ แค่เขาบอกว่าต้องใส่ OTP เมื่อชำระผ่านวอเล็ทก็น่าจะต้องรู้แล้วนะว่ามันไม่ถูกขั้นตอนเพราะเราไม่จำเป็นต้องใส่ OTP แย่ยังไงก็ยังเหมือนเดิมไม่เคยปรับปรุงมั่วไปหมดพัฒนาบ้างที่เคยสอนไปอะไม่พัฒนาเลย
2. เวลารอรับบริการ 0:06:38 นาที ระยะเวลาเกินกว่ามาตรฐานที่กำหนด ควรปรับให้กระชับมากขึ้น โดยไม่เกิน 5 นาที</t>
  </si>
  <si>
    <t>AA186424</t>
  </si>
  <si>
    <t>https://app.oho.chat/business/6805c0f16232119d2a1204b5/smartchat?case=697f389f24dd9d68d79f111e</t>
  </si>
  <si>
    <t>1. เวลารอรับบริการ 0:34:18 นาที ระยะเวลาเกินกว่ามาตรฐานที่กำหนด ควรปรับให้กระชับมากขึ้น โดยไม่เกิน 5 นาที  (รับเคสช้ามาก)
2.แท็กเคสหลังจบแชทไม่ถูกต้อง กล่าวคือแท็กเคสหัวข้อ "สอบถามข้อมูลเกี่ยวกับออเดอร์" ที่ถูกต้องคือควรแท็กเคสหัวข้อ "ปัญหาก่อนจัดส่ง-ลูกค้าปักหมุดผิด"
3. ไรเดอร์ต้องการปิดงานแก้ไขช้าจนไรเดอร์ขับรถไปจบงานเอง</t>
  </si>
  <si>
    <t>AA186508</t>
  </si>
  <si>
    <t>https://app.oho.chat/business/6805c0f16232119d2a1204b5/case/685265ad940f4732f24b763f?case=697f44a3ba3da0beaafcc092</t>
  </si>
  <si>
    <t>สอบถามข้อมูลเกี่ยวกับออเดอร์ / ไรเดอร์ติดตามค่ารอบ</t>
  </si>
  <si>
    <t>1. ลืมเปิดเคสตรวจสอบยอดเงินที่หายไป 20 บาท จนกรทั่งไรเดอร์มาตามใหม่เอง จึงได้มีการเปิดเคสตรวจสอบในวันถัดไป 
2. ควรแจ้งระยะเวลาดำเนินการให้ไรเดอร์ทราบ ทุกครั้งหลังจากรับเรื่อง
3. ชดเชยระยะทางควรตรวจเส้นทางที่ไรเดอร์วิ่งจริงทันที ไรเดอร์ขอชดเชยมามันเป็นทางตรง สะพานข้ามถนนปกติแค่เป็นเส้นเดียวจุดกิโลเมตรที่0ของมอเตอร์เวย์ แมพแค่แนะนำแต่ระยะทางวิ่งจริงมันวิ่งได้โดยที่ไม่ต้องชดเชย ทำไมไม่รอดูตอนไรเดอร์วิ่ง เคสนี้ไม่ควรให้ชดเชยด้วยซ้ำโดนโกงระยะทางแล้ว
4. เวลารอรับบริการ 0:33:28 นาที ระยะเวลาเกินกว่ามาตรฐานที่กำหนด ควรปรับให้กระชับมากขึ้น โดยไม่เกิน 5 นาที</t>
  </si>
  <si>
    <t>AA187143</t>
  </si>
  <si>
    <t>https://app.oho.chat/business/6805c0f16232119d2a1204b5/smartchat?room=697f8356d64098da854a1d2f</t>
  </si>
  <si>
    <t>1. ไม่กล่าวเปิดการสนทนาตามมาตรฐาน "สวัสดีค่ะ แอดมิน XXX ยินดีให้บริการค่ะ"
2. ร้านค้ายังเข้าสู่ระบบไม่ได้เลย แนะนำไปแก้ไขข้อมูลร้านค้าเดิมคืออะไร?  ควรแก้ไขสิ่งที่อยู่ตรงหน้าก่อน
3. ควรปรับปรุงการใช้ภาษาในการตอบแชท เนื่องจากเป็นภาษาพูดมากเกินไป
4. เวลารอรับบริการ 0:06:11 นาที เวลาให้บริการ 0:15:11 นาที ระยะเวลาเกินกว่ามาตรฐานที่กำหนด ควรปรับให้กระชับมากขึ้น โดยไม่เกิน 5 นาที</t>
  </si>
  <si>
    <t>AA187226</t>
  </si>
  <si>
    <t>https://app.oho.chat/business/6805c0f16232119d2a1204b5/smartchat?case=69816eaada20e7dbf99871fa</t>
  </si>
  <si>
    <t>1. ควรโทรประสานงานลูกค้าให้ชำระเงินส่วนต่าง 14 บาท ไม่ใครแจ้งให้ไรเดอร์เช่นนี้ เบื้องต้นในเคสไม่ได้ระบุว่าติดต่อลูกค้าแล้วหรือไม่และไม่ได้บันทึกภายในไว้ด้วย
2.ควรปรับปรุงการใช้ภาษาในการตอบแชท เนื่องจากใช้คำฟุ่มเฟีอยเยอะเกินไป "อย่างไรแล้ว เช่นนั้น" บ่อยเกิน เรียบเรียงคำให้สมูทกับประโยคกว่านี้หน่อย ดูบอทดูก้อปวางมากตอบไรเดอร์ในประโยคซ้ำเดิมๆในแชทเดียวกัน
3. เวลาให้บริการ 0:13:33 ระยะเวลาเกินกว่ามาตรฐานที่กำหนด ควรปรับให้กระชับมากขึ้น โดยไม่เกิน 5 นาที</t>
  </si>
  <si>
    <t>AA191206</t>
  </si>
  <si>
    <t>https://app.oho.chat/business/6805c0f16232119d2a1204b5/case/685265ad940f4732f24b763f?case=698b1a632704a9c7017a467a</t>
  </si>
  <si>
    <t>1. ไรเดอร์ถามเรื่องระยะทางไปส่งลูกค้าไม่ได้แจ้งเรื่องระยะไปร้านค้าเลย ชดเชยทำไม30บาท?
2. Map ที่ส่งให้ไรเดอร์ขีดเส้นให้ดูไปเอาแมพมาจากไหน คนละพื้นที่กับงานของไรเดอร์เลย ลาดพร้าวกับมีนบุรีคนละเรื่องเลย เส้นทางที่ไรเดอร์ขอชดเชยระยะทางมาได้เฝ้าออเดอร์รึป่าวว่าไรเดอร์ใช้ทางลัดริมคลองไปหรือไม่ แจ้งชดเชยให้ไรเดอร์ไปเลยโดยที่ไม่รู้ว่าตรวจสอบเส้นทางที่วิ่งจริงหรือไม่ ควรให้ไรเดอร์วิ่งไปก่อนถ้าใช่เส้น 10 โลค่อยแจ้งชดเชยตอนไรเดอร์ถึงบ้านลูกค้าหรือมั่นใจว่าใช้เส้นทางนั้นจริงก็ทัน
3. เวลาให้บริการ 0:23:03 นาที ระยะเวลาเกินกว่ามาตรฐานที่กำหนด ควรปรับให้กระชับมากขึ้น โดยไม่เกิน 5 นาที
4. ควรปรับปรุงการใช้ภาษาในการตอบแชท เนื่องจากเป็นภาษาพูดมากเกินไป เช่น ขีดในแผนที่ของแอดมินค่ะ, เช่นนั้นไม่เป็นไรค่ะ ไม่ต้องมีคำว่าเช่นนั้น</t>
  </si>
  <si>
    <t>AA190690</t>
  </si>
  <si>
    <t>https://app.oho.chat/business/6805c0f16232119d2a1204b5/smartchat?case=6989c3177c9ca62450ba979f</t>
  </si>
  <si>
    <t>1. ลูกค้าส่งที่อยู่ให้แล้ว ไม่ควรตอบลูกค้าทำไมว่า"ให้ส่งเพิ่มเติมให้แอดมินทางแชทได้เลย จะประสานงานแจ้งไรเดอร์ให้ได้" แค่เอาชื่อคอนโด หาในกูเกิ้ล โทรหาไรเดอร์คอนเฟิร์มอีกครั้งเรื่องที่จัดส่งกันความผิดพลาดได้เลย ไม่ต้องย้อนขอข้อมูล แต่ควรตอบกลับว่า "ขอบคุณสำหรับข้อมูลนะคะ แอดมินจะทำการประสานงานไรเดอร์เพื่อจัดส่งตามที่อยู่ที่แจ้งมาค่ะ"
2. ควรทบทวนเลขออเดอร์ทุกครั้ง เพื่อให้สามารถโฟกัสออเดอร์ได้อย่างถูกต้อง
3. ควรปรับปรุงการใช้ภาษาในการตอบแชท เนื่องจากเป็นภาษาพูดมากเกินไป
4. เวลารอรับบริการ 0:09:08 นาที เวลาให้บริการ 0:05:24 นาที ระยะเวลาเกินกว่ามาตรฐานที่กำหนด ควรปรับให้กระชับมากขึ้น โดยไม่เกิน 5 นาที</t>
  </si>
  <si>
    <t>AA198250</t>
  </si>
  <si>
    <t>https://app.oho.chat/business/6805c0f16232119d2a1204b5/smartchat?case=699e53268418f30e73930823</t>
  </si>
  <si>
    <t>1. ระยะเวลารอรับเคสนาน 26 นาที ถ้าประสานงานไม่ทันไรเดอร์ไปถึงหมุดเก่าแล้ว
2. ควรปรับปรุงการใช้ภาษาในการตอบแชท เนื่องจากเป็นภาษาพูดมากเกินไป และควรระมัดระวังเรื่องคำผิด เช่น  แอดมินเรียกเก็บค่าจัดส่งเพิ่มเติมให้ 35.- นะคะ  ควรแก้ไขจำนวนเงิน 35 บาท 
3. ควรทบทวนเลขออเดอร์ทุกครั้ง เพื่อให้สามารถโฟกัสออเดอร์ได้อย่างถูกต้อง
4. เวลารอรับบริการ 0:26:57 นาที เวลาให้บริการ 0:14:14 นาที ระยะเวลาเกินกว่ามาตรฐานที่กำหนด ควรปรับให้กระชับมากขึ้น โดยไม่เกิน 5 นาที</t>
  </si>
  <si>
    <t>AA200123</t>
  </si>
  <si>
    <t>https://app.oho.chat/business/6805c0f16232119d2a1204b5/smartchat?room=682c5c663e945bcf738e19be</t>
  </si>
  <si>
    <t>Good job แต่ควรปรับปรุงการใช้ภาษาในการตอบแชท เนื่องจากเป็นภาษาพูดมากเกินไป</t>
  </si>
  <si>
    <t>AA200008</t>
  </si>
  <si>
    <t>https://app.oho.chat/business/6805c0f16232119d2a1204b5/smartchat?case=69a2891cab235a95272e4f75</t>
  </si>
  <si>
    <t>1. ไม่กล่าวเปิดการสนทนาตามมาตรฐาน "สวัสดีค่ะ แอดมิน XXX ยินดีให้บริการค่ะ"
2. ข้อความข้างบนไรเดอร์สอบถามเรื่องรอบอบรม แต่ไม่กล่าวการอบรมไรเดอร์ใหม่เลย รบกวนใส่ใจข้อมความที่แจ้งมาด้านบนด้วย
3. เวลารอรับบริการ 0:05:42 นาที เวลาให้บริการ 0:07:19 นาที ระยะเวลาเกินกว่ามาตรฐานที่กำหนด ควรปรับให้กระชับมากขึ้น โดยไม่เกิน 5 นาที</t>
  </si>
  <si>
    <t>AA190395</t>
  </si>
  <si>
    <t>https://app.oho.chat/business/6805c0f16232119d2a1204b5/smartchat?case=69895e545849796b3d472ff2</t>
  </si>
  <si>
    <t>1. ควรแจ้งไรเดอร์ว่าหากปรับเป็นระยะทางของมอเตอร์ไซค์แล้วระยะทางยังไม่ถูกต้อง รบกวนพี่ไรเดอร์แคปภาพระยะทางและส่งมาอีกครั้ง
2. ควรปรับปรุงเรื่องภาษาที่ใช้ในการตอบแชท 
3. ใช้ระยะเวลานานเกินไป ไม่ควรเกิน 5 นาที</t>
  </si>
  <si>
    <t>AA195292</t>
  </si>
  <si>
    <t>https://app.oho.chat/business/6805c0f16232119d2a1204b5/smartchat?case=6995b52057a4d941e8a9b45c</t>
  </si>
  <si>
    <t>1. ควรปรับปรุงการใช้ภาษาในการตอบแชท เนื่องจากเป็นภาษาพูดมากเกินไป
2. ควรแจ้งลูกค้าว่าหากไม่ได้รับการติดต่อจากร้านค้า สามารถแจ้งแอดมินเพื่อติดตามร้านค้า
3. ขอให้เพิ่มความเป็นเจ้าของเคสและมีใจบริการที่อยากช่วยเหลือลูกค้าเพิ่มขึ้น
4. ควรทบทวนเมนูส้มตำ 1 รายการที่ลูกค้าไม่ได้รับด้วย เพื่อให้มั่นใจว่าไม่ผิดเมนู</t>
  </si>
  <si>
    <t>AA200006</t>
  </si>
  <si>
    <t>https://app.oho.chat/business/6805c0f16232119d2a1204b5/smartchat?case=69a28856782a999afdfb3ab0</t>
  </si>
  <si>
    <t>1. ควรปรับปรุงการใช้ภาษาในการตอบแชท สามารถปรับข้อความให้กระชับได้มากกว่านี้ 
2. เวลาให้บริการ 0:08:11 นาที เวลาเกินกว่ามาตรฐานที่กำหนด ควรปรับให้กระชับมากขึ้น โดยไม่เกิน 5 นาที</t>
  </si>
  <si>
    <t>AA199958</t>
  </si>
  <si>
    <t>https://app.oho.chat/business/6805c0f16232119d2a1204b5/case/685265d0940f4732f24b869b?case=69a277d590a58e314ed340ff</t>
  </si>
  <si>
    <t>1. วิเคราะห์เคสได้ดี แต่ควรปรับปรุงการใช้ภาษาในการตอบแชทและระมัดระวังเรื่องคำผิด เช่น ซักครู่นะคะ ควรเปลี่ยนเป็นกรุณารอสักครู่นะคะ 
2.เวลาให้บริการ 0:12:03 นาที เวลาเกินกว่ามาตรฐานที่กำหนด ควรปรับให้กระชับมากขึ้น โดยไม่เกิน 5 นาที</t>
  </si>
  <si>
    <t>AA198021</t>
  </si>
  <si>
    <t>https://app.oho.chat/business/6805c0f16232119d2a1204b5/smartchat?case=699d5c6646f5a9d77569db8d</t>
  </si>
  <si>
    <t>สอบถามการเปลี่ยนข้อมูลร้านค้า</t>
  </si>
  <si>
    <t>1. แท็กเคสหลังจบแชทไม่ถูกต้อง แท็กเคสหัวข้อ "ขอเปลี่ยนข้อมูลร้านค้า" ที่ถูกต้องคือหัวข้อ "สอบถามการเปลี่ยนข้อมูลร้านค้า" 
2. เวลาให้บริการ 0:08:03 นาที เวลาเกินกว่ามาตรฐานที่กำหนด ควรปรับให้กระชับมากขึ้น โดยไม่เกิน 5 นาที</t>
  </si>
  <si>
    <t>AA191069</t>
  </si>
  <si>
    <t>https://app.oho.chat/business/6805c0f16232119d2a1204b5/smartchat?case=698ae81149012fe11a567e1c</t>
  </si>
  <si>
    <t>1. ควรแนะนำขั้นตอนการรีเซ็ตรหัสผ่านด้วยตัวเองให้ร้านค้าทราบด้วย
2. ไม่ควรชี้นำให้ร้านค้าแจ้งอีเมล์
3. เวลาให้บริการ 0:08:31 นาที เวลาเกินกว่ามาตรฐานที่กำหนด ควรปรับให้กระชับมากขึ้น โดยไม่เกิน 5 นาที
4. ควรปรับปรุงการใช้ภาษาในการตอบแชท เนื่องจากเป็นภาษาพูดมากเกินไป</t>
  </si>
  <si>
    <t>AA190253</t>
  </si>
  <si>
    <t>https://app.oho.chat/business/6805c0f16232119d2a1204b5/smartchat?case=69893b6c7fdc57ccf0292bf7</t>
  </si>
  <si>
    <t>1. ร้านค้าสอบถามว่าเปลี่ยนหมุดแล้วทำไมต้องเปลี่ยนที่อยู่ ควรแจ้งว่าที่ต้องเปลี่ยนเพราะไรเดอร์จะเห็นที่อยู่เก่า ซึ่งที่อยู่ไม่ตรง ไรเดอร์จะหาไม่เจอ
2. กรณีที่ร้านค้าแก้ไขไม่ได้ เราสามารถสอบถามที่อยู่และแก้ไขในระบบ Admin panel ให้ลูกค้าได้ เพื่อแสดงความเป็น Ownership ให้มากกว่านี้
3. หลังจากแชทไปถามแล้วร้านค้าไม่ตอบ ให้โทรไปสอบถามและแนะนำ เนื่องจากสถานการณ์ตอนนี้เราต้องการให้ร้านเปิดขายกับเราเยอะๆ จึงไม่ควรปล่อยไว้กลางทางแบบนี้
4. ไม่แท็กเคสว่าลูกค้าติดต่อเรื่องอะไรหลังจบแชท ที่ถูกต้องคือควรแท็กเคสหัวข้อ "สอบถามการเปลี่ยนข้อมูลร้านค้า"
5. เวลารอรับบริการ 0:12:46 นาที เวลาให้บริการ 0:13:20 นาที เวลาเกินกว่ามาตรฐานที่กำหนด ควรปรับให้กระชับมากขึ้น โดยไม่เกิน 5 นาที</t>
  </si>
  <si>
    <t>AA188799</t>
  </si>
  <si>
    <t>https://app.oho.chat/business/6805c0f16232119d2a1204b5/smartchat?case=6985a2076e4cf703c2772bf4</t>
  </si>
  <si>
    <t>สอบถามการสมัครร้านค้าใหม่</t>
  </si>
  <si>
    <t>1. ควรปรับปรุงการใช้ภาษาในการตอบแชท เนื่องจากเป็นภาษาพูดมากเกินไป ตัวอย่าง "แอดมินตรวจสอบข้อมูลให้ซักครู่ค่ะ" ควรเปลี่ยนเป็น  "แอดมินขออนุญาตตรวจสอบข้อมูลให้สักครู่นะคะ หรือ แอดมินขออนุญาตตรวจสอบข้อมูล กรุณารอสักครู่ค่ะ"
2. หากมีเนื้อหามากกว่า 1 เรื่อง ควรแยกส่งเป็น 2 ข้อความ เนื่องจากข้อความยาวอาจทำให้อ่านยาก
3. เวลาให้บริการ 0:27:10 นาที เวลาเกินกว่ามาตรฐานที่กำหนด ควรปรับให้กระชับมากขึ้น โดยไม่เกิน 5 นาที</t>
  </si>
  <si>
    <t>AA191916</t>
  </si>
  <si>
    <t>https://app.oho.chat/business/6805c0f16232119d2a1204b5/case/685265d0940f4732f24b869b?case=698d5cbe266a0b5c14d676fd</t>
  </si>
  <si>
    <t>1. ควรปรับปรุงการใช้ภาษาในการตอบแชท เนื่องจากเป็นภาษาพูดมากเกินไป ตัวอย่าง "แอดมินตรวจสอบข้อมูลให้ซักครู่ค่ะ" ควรเปลี่ยนเป็น "แอดมินขออนุญาตตรวจสอบข้อมูลให้สักครู่นะคะ หรือ แอดมินขออนุญาตตรวจสอบข้อมูล กรุณารอสักครู่ค่ะ" 
2. หลังจากการรีเซ็ตรหัสผ่านแล้วควร Follow up ว่าร้านค้าเข้าระบบได้มั้ย เนื่องจากเราต้องการให้ร้านค้าเปิดขายกับเราเยอะๆ
2. เวลารอรับบริการ 0:05:14 นาที เวลาให้บริการ 0:11:21 นาที เวลาเกินกว่ามาตรฐานที่กำหนด ควรปรับให้กระชับมากขึ้น โดยไม่เกิน 5 นาที</t>
  </si>
  <si>
    <t>AA197573</t>
  </si>
  <si>
    <t>https://app.oho.chat/business/6805c0f16232119d2a1204b5/smartchat?case=699c0fc4a8546d9274936f8e</t>
  </si>
  <si>
    <t>1. ควรทำการรีเซ็ตรหัสผ่านให้ลูกค้าก่อน แล้วค่อยส่งขั้นตอนการรีเซ็ตรหัสผ่านด้วยตัวเองผ่านแอป เพื่อให้มั่นใจว่าร้านค้าจะเข้าระบบได้อย่างรวดเร็ว
2. ควรปรับปรุงการใช้ภาษาในการตอบแชท เนื่องจากเป็นภาษาพูดมากเกินไป
3. เวลาให้บริการ 0:10:56 นาที เวลาเกินกว่ามาตรฐานที่กำหนด ควรปรับให้กระชับมากขึ้น โดยไม่เกิน 5 นาที</t>
  </si>
  <si>
    <t>AA191993</t>
  </si>
  <si>
    <t>https://app.oho.chat/business/6805c0f16232119d2a1204b5/smartchat?room=6900ae1d4d45ad2ebdaeeb7e</t>
  </si>
  <si>
    <t>ลูกค้าปักหมุดผิด</t>
  </si>
  <si>
    <t>1. ลูกค้าแจ้งปักหมุดผิด  ควรถามสถานที่จัดส่งและประสานงานแทนไรเดอร์พร้อมแจ้งค่าใช้จ่ายส่วนต่างกับลูกค้าได้เลย  ไม่ใช่ให้ลูกค้าไปแจ้งไรเดอร์เองแบบนี้  แล้วไรเดอร์ก็กดจบงานที่หมุดผิดก่อนแล้วไปส่งซึ่งมีความเสี่ยง และตรวจสอบย้อนหลังไม่ได้   ในแชทพอลูกค้าถามซ้ำมาว่าต้องทำยังไงจ่ายเงินยังไง  แอดมินถึงจะมาตรวจสอบให้ทีหลัง  ซึ่งมันต้องตรวจให้ตั้งแต่รับแชทแล้ว
2. ไม่มีความใส่ใจเคสเลย ตอบเหมือนผลักให้ลูกค้าไปทำเองทุกอย่าง เกิดอะไรขึ้นกับแตงกวานะ? 
3. เวลาให้บริการ 0:19:17 นาที ระยะเวลาเกินกว่ามาตรฐานที่กำหนด ควรปรับให้กระชับมากขึ้น โดยไม่เกิน 5 นาที</t>
  </si>
  <si>
    <t>AA187128</t>
  </si>
  <si>
    <t>https://app.oho.chat/business/6805c0f16232119d2a1204b5/smartchat?case=69814d9426c42a6bb7f91d46</t>
  </si>
  <si>
    <t>1.ควรแนะนำการขอรายงานการขายผ่าน merchant portal ก่อนเป็นอันดับแรก
2.ควรแจ้งระยะเวลาดำเนินการให้ทราบทุกครั้งว่าใช้เวลานานแค่ไหน 
3.ไม่จำเป็นต้องสอบถามอีเมลที่ต้องการให้จัดส่งรายงานการขาย เนื่องจากเราจะส่งไปยังอีเมล์ที่ระบุไว้ในระบบเท่านั้น
4. เวลาให้บริการ 0:57:14 นาที ระยะเวลาเกินกว่ามาตรฐานที่กำหนด ควรปรับให้กระชับมากขึ้น โดยไม่เกิน 5 นาที</t>
  </si>
  <si>
    <t>AA188371</t>
  </si>
  <si>
    <t>https://app.oho.chat/business/6805c0f16232119d2a1204b5/smartchat?case=69844bb8cc7b13db9e51f34f</t>
  </si>
  <si>
    <t>ติดตามเงิน/ระยะเวลาคืนเงิน - Over SLA</t>
  </si>
  <si>
    <t>1. ควรปรับปรุงการใช้ภาษาในการตอบแชท เนื่องจากเป็นภาษาพูดมากเกินไปและใช้ภาษาสื่อสารกับลูกค้าให้เข้าใจกว่านี้ "รบกวนขอหมายเลขพร้อมเพย์หรือหมายเลขบัญชีธนาคาร SCB / KBANK เพื่อดำเนินการติดตามเงินและปรับปรุงยอดเงินคืนให้ลูกค้าค่ะ" และ ใช้คำว่า "นะคะ"เยอะจนเหมือนไม่สุภาพกับลูกค้าเท่าไหร่
2. ควรทบทวนเลขออเดอร์ทุกครั้ง เพื่อให้สามารถโฟกัสออเดอร์ได้อย่างถูกต้อง
3. เวลารอรับบริการ 0:05:58 นาที เวลาให้บริการ 0:12:35 นาที  ระยะเวลาเกินกว่ามาตรฐานที่กำหนด ควรปรับให้กระชับมากขึ้น โดยไม่เกิน 5 นาที</t>
  </si>
  <si>
    <t>AA185942</t>
  </si>
  <si>
    <t>https://app.oho.chat/business/6805c0f16232119d2a1204b5/smartchat?case=697eb2e5eb5dece153490440</t>
  </si>
  <si>
    <t>ปัญหาก่อนจัดส่ง - ร้านปิด</t>
  </si>
  <si>
    <t>1.ก่อนยกเลิกออเดอร์ ควรติดต่อประสานงานกับร้านค้าก่อนทุกครั้ง และบันทึกรายละเอียดการดำเนินการไว้ภายในทุกครั้งเช่นกัน
2. เวลารอรับบริการ0:08:03 นาที ระยะเวลาเกินกว่ามาตรฐานที่กำหนด ควรปรับให้กระชับมากขึ้น โดยไม่เกิน 5 นาที
3.แท็กเคสหลังจบแชทไม่ถูกต้อง กล่าวคือแท็กเคสหัวข้อ "Acknowledge - ข้อความตอบกลับ" ที่ถูกต้องคือควรแท็กเคสหัวข้อ "ปัญหาก่อนจัดส่ง-ร้านปิด"
4. ไม่กล่าวเปิดการสนทนาตามมาตรฐาน "สวัสดีค่ะ แอดมิน XXX ยินดีให้บริการค่ะ"
5. ควรทบทวนเลขออเดอร์ทุกครั้ง เพื่อให้สามารถโฟกัสออเดอร์ได้อย่างถูกต้อง</t>
  </si>
  <si>
    <t>AA187133</t>
  </si>
  <si>
    <t>https://app.oho.chat/business/6805c0f16232119d2a1204b5/smartchat?case=69814f50fa3afe33a7dcb5d6</t>
  </si>
  <si>
    <t>ปัญหาก่อนจัดส่ง-ไรเดอร์รถเสีย/อุบัติเหตุ</t>
  </si>
  <si>
    <t>1. ไม่กล่าวเปิดการสนทนาตามมาตรฐาน "สวัสดีค่ะ แอดมิน XXX ยินดีให้บริการค่ะ"
2. ควรทบทวนเลขออเดอร์ทุกครั้ง เพื่อให้สามารถโฟกัสออเดอร์ได้อย่างถูกต้อง
3. เพื่อความเข้าใจที่ชัดเจน หากมีเนื้อหามากกว่า 1 เรื่อง กรุณาแยกส่งเป็น 2 ข้อความ เนื่องจากข้อความยาวอาจทำให้อ่านยาก
4. เวลาให้บริการ 0:11:39 นาที ระยะเวลาเกินกว่ามาตรฐานที่กำหนด ควรปรับให้กระชับมากขึ้น โดยไม่เกิน 5 นาที</t>
  </si>
  <si>
    <t>AA189554</t>
  </si>
  <si>
    <t>https://app.oho.chat/business/6805c0f16232119d2a1204b5/smartchat?room=69880384eb0411cdaefa6c67</t>
  </si>
  <si>
    <t>1. ไม่กล่าวเปิด-ปิดการสนทนาตามมาตรฐาน
2.ลูกค้าให้หมายเลขออเดอร์มาแล้วถามซ้ำทำไม ควรย้อนดูรูปภาพที่ลูกค้าแจ้งด้านบนด้วยนะ
3. ไม่ควรแจ้งเงื่อนไขการจ่ายเงินชดเชยให้ลูกค้า โดยที่ไม่ได้ประสานงานไรเดอร์ ไม่มีความเป็น Ownership ในเคสเลย
4. เวลาให้บริการ 0:06:52 นาที ระยะเวลาเกินกว่ามาตรฐานที่กำหนด ควรปรับให้กระชับมากขึ้น โดยไม่เกิน 5 นาที</t>
  </si>
  <si>
    <t>AA193354</t>
  </si>
  <si>
    <t>https://app.oho.chat/business/6805c0f16232119d2a1204b5/smartchat?case=699149fa53879b9e652fd428</t>
  </si>
  <si>
    <t>1. ถ้าร้านค้ากดลืมรหัสผ่านไม่ได้ผลก็ควรเปิดเคส รีเซ็ตรหัสผ่านไปเลย ไม่ทิ้งไว้กลางทางแบบนี้
2. ปิดเคสก่อน 3 นาทีจากประโยคสุดท้าย และเคสยังไม่เสร็จไม่ควรปิดเคส  
3. ควรปรับปรุงการใช้ภาษาในการตอบแชท เนื่องจากเป็นภาษาพูดมากเกินไป
4. เวลาให้บริการ 0:14:09 นาที ระยะเวลาเกินกว่ามาตรฐานที่กำหนด ควรปรับให้กระชับมากขึ้น โดยไม่เกิน 5 นาที</t>
  </si>
  <si>
    <t>AA193572</t>
  </si>
  <si>
    <t>https://app.oho.chat/business/6805c0f16232119d2a1204b5/smartchat?case=69918d1fa8520bd4b3e7e525</t>
  </si>
  <si>
    <t>1. เวลาให้บริการ 0:11:32 นาที ระยะเวลาเกินกว่ามาตรฐานที่กำหนด ควรปรับให้กระชับมากขึ้น โดยไม่เกิน 5 นาที
2. ร้านค้ายังสอบถามอยู่ในแชททำไมปิดเคสทิ้ง? เป็นการเสียมารยาทมากๆเลย
3. ควรปรับปรุงการใช้ภาษาในการตอบแชท เนื่องจากเป็นภาษาพูดมากเกินไป</t>
  </si>
  <si>
    <t>AA188902</t>
  </si>
  <si>
    <t>https://app.oho.chat/business/6805c0f16232119d2a1204b5/smartchat?room=6985c8956304134404e81320</t>
  </si>
  <si>
    <t>1. ควรปรับปรุงการใช้ภาษาในการตอบแชท เนื่องจากเป็นภาษาพูดมากเกินไป
2. ควรทบทวนเลขออเดอร์ทุกครั้ง เพื่อให้สามารถโฟกัสออเดอร์ได้อย่างถูกต้อง
3. เวลาให้บริการ 0:30:26 นาที ระยะเวลาเกินกว่ามาตรฐานที่กำหนด ควรปรับให้กระชับมากขึ้น โดยไม่เกิน 5 นาที</t>
  </si>
  <si>
    <t>AA199638</t>
  </si>
  <si>
    <t>https://app.oho.chat/business/6805c0f16232119d2a1204b5/smartchat?room=68f488498dd59be4cdd58d32</t>
  </si>
  <si>
    <t>1. ควรทบทวนเลขออเดอร์ทุกครั้ง เพื่อให้สามารถโฟกัสออเดอร์ได้อย่างถูกต้อง
2. แจ้งลูกค้าว่าจะทำการประสานงานร้านค้า ผลการติดต่อเป็นอย่างไร ไม่ได้กลับมาแจ้งให้ลูกค้าทราบเลย
3. ปักไว้น่าจะยังไม่ได้ทำต่อ ไม่สรุปผลกับลูกค้า ไม่ได้เปิดเคส ทิ้งเคสไว้กลางทาง
4. ควรปรับปรุงการใช้ภาษาในการตอบแชท เนื่องจากเป็นภาษาพูดมากเกินไป
5. เวลาให้บริการ 0:17:38 นาที ระยะเวลาเกินกว่ามาตรฐานที่กำหนด ควรปรับให้กระชับมากขึ้น โดยไม่เกิน 5 นาที</t>
  </si>
  <si>
    <t>AA190523</t>
  </si>
  <si>
    <t>https://app.oho.chat/business/6805c0f16232119d2a1204b5/case/685265fc312e926c4392c2aa?case=69897991cd000b31ce0d7bd5</t>
  </si>
  <si>
    <t>1. ลูกค้าแจ้งข้อมูลมาแล้วว่าได้รับอาหารไม่ถูกต้อง ไม่ควรสอบถามว่าพบปัญหาการใช้งาน แจ้งแอดมินได้ 
2. ควรแจ้งลูกค้าก่อนปิดการสนทนา หากไม่ได้รับการติดต่อกลับจากร้านค้า สามารถติดต่อกลับเพื่อให้แอดมินช่วยประสานงาน
3. เวลาให้บริการ 0:05:04 นาที ระยะเวลาเกินกว่ามาตรฐานที่กำหนด ควรปรับให้กระชับมากขึ้น โดยไม่เกิน 5 นาที
4. การแจ้งผลดำเนินการและข้อความกล่าวปิดการสนทนาไม่ควรอยู่ในข้อความเดียวกัน</t>
  </si>
  <si>
    <t>AA190551</t>
  </si>
  <si>
    <t>https://app.oho.chat/business/6805c0f16232119d2a1204b5/case/685265fc312e926c4392c2aa?case=69898a8792b0823a192b20d8</t>
  </si>
  <si>
    <t>ควรถามรายละเอียดข้อมูลออเดอร์ทุกครั้ง เพื่อไปตรวจสอบสถานะออเดอร์ เคสนี้ไม่เห็นว่ามีการสอบถามและแจ้งผลดำเนินการ ทราบได้อย่างไรว่าลูกค้าชำระผ่านช่องทางบัตรเครดิต? (รอยืนอุทธรณ์นะคะ)</t>
  </si>
  <si>
    <t>AA190128</t>
  </si>
  <si>
    <t>https://app.oho.chat/business/6805c0f16232119d2a1204b5/case/685265fc312e926c4392c2aa?case=6988874692b0823a19cd3780</t>
  </si>
  <si>
    <t>1. หากมีเนื้อหามากกว่า 1 เรื่อง กรุณาแยกส่งเป็น 2 ข้อความ เนื่องจากข้อความยาวอาจทำให้อ่านยาก เช่น การแจ้งผลดำเนินการและข้อความกล่าวปิดการสนทนาไม่ควรอยู่ในข้อความเดียวกัน 2. ควรแจ้งว่าในกรณีที่ครบกำหนดแล้วยังไม่ได้รับเงินคืน สามารถติดต่อกลับมาเพื่อติดตามสถานะได้อีกครั้งค่ะ</t>
  </si>
  <si>
    <t>AA189945</t>
  </si>
  <si>
    <t>https://app.oho.chat/business/6805c0f16232119d2a1204b5/case/685265fc312e926c4392c2aa?case=698864372b0aa02735dbbc1b</t>
  </si>
  <si>
    <t>1. เวลาให้บริการ 0:05:31 นาที  ระยะเวลาเกินกว่ามาตรฐานที่กำหนด ควรปรับให้กระชับมากขึ้น โดยไม่เกิน 5 นาที
2. ควรสอบถามข้อมูลหมายเลขออเดอร์เป็นอันดับแรก และรีบประสานงานลูกค้าทันที</t>
  </si>
  <si>
    <t>AA189768</t>
  </si>
  <si>
    <t>https://app.oho.chat/business/6805c0f16232119d2a1204b5/case/685265fc312e926c4392c2aa?case=69883d480ab0f187e4a1cd5d</t>
  </si>
  <si>
    <t>1. ไม่กล่าวเปิดการสนทนาตามมาตรฐาน "สวัสดีค่ะ แอดมิน XXX ยินดีให้บริการค่ะ"
2. ควรปรับปรุงการใช้ภาษาในการตอบแชท ให้มีความกระชับมากกว่านี้
3. ควรแจ้งช่องทางการชำระและระยะเวลาการคืนเงินให้ลูกค้าทราบ เพื่อป้องกันการติดตามเงินคืนภายหลัง
4. เวลารอรับบริการ 0:15:52 นาที เกินกว่ามาตรฐานที่กำหนด ควรปรับให้กระชับมากขึ้น โดยไม่เกิน 5 นาที</t>
  </si>
  <si>
    <t>AA194862</t>
  </si>
  <si>
    <t>https://app.oho.chat/business/6805c0f16232119d2a1204b5/case/685265fc312e926c4392c2aa?case=69952c21d7e24f0d8303b881</t>
  </si>
  <si>
    <t>1. เวลารอรับบริการ 0:05:07 นาที เวลาให้บริการ 0:10:14 นาที ระยะเวลาเกินกว่ามาตรฐานที่กำหนด ควรปรับให้กระชับมากขึ้น โดยไม่เกิน 5 นาที
2. ระบุหมายเลขออเดอร์ผิด ควรตรวจสอบก่อนการส่งข้อความเพื่อป้องกันไม่ให้ผิดพลาดเช่นนี้อีก
3. ถึงจะโทรหาร้านค้าแล้ว ควรแจ้งในแชทด้วยว่าประสานงานร้านค้าว่าอย่างไร ตัวอย่างเช่น ตามที่สนทนาทางโทรศัพท์ แอดมินขออนุญาตทบวนข้อมูล............ เพื่อให้เพื่อนที่มาอ่านเข้าใจว่าคุยกับกันไว้</t>
  </si>
  <si>
    <t>AA190748</t>
  </si>
  <si>
    <t>https://app.oho.chat/business/6805c0f16232119d2a1204b5/smartchat?case=6989d702daec143cf47de615</t>
  </si>
  <si>
    <t>ยกเลิกร้านค้าถาวร (SF)</t>
  </si>
  <si>
    <t>1. ร้านค้าแจ้งสาเหตุในการยกเลิกและแจ้งข้อมูลทั้งหมดมาก่อนหน้านี้ว่าขอยกเลิกร้านค้า ไม่ควรถามซ้ำ ควรจะเลื่อนขึ้นไปอ่านข้อความข้างบนให้ละเอียด
2. เวลารอรับบริการ 0:06:01 นาที เวลาให้บริการ 0:08:30 นาที ระยะเวลาเกินกว่ามาตรฐานที่กำหนด ควรปรับให้กระชับมากขึ้น โดยไม่เกิน 5 นาที
3. ควรแจ้งระยะเวลาดำเนินการทุกครั้ง เพื่อป้องการไม่ให้ติดตาม 
4. หากมีการถามข้อมูลแต่ร้านค้ายังไม่ตอบ ควรแจ้งว่า "หากยังไม่มีการตอบกลับ แอดมินขออนุญาตจบการสนทนาชั่วคราว โดยลูกค้าสามารถตอบกลับได้ทุกเมื่อค่ะ"</t>
  </si>
  <si>
    <t>AA196645</t>
  </si>
  <si>
    <t>https://app.oho.chat/business/6805c0f16232119d2a1204b5/case/685265fc312e926c4392c2aa?case=6999825357735bd0f7f5ff86</t>
  </si>
  <si>
    <t>1. ควรปรับปรุงการใช้ภาษาในการตอบแชท เนื่องจากควรตรวจสอบว่าร้านรับเงินเข้าบัญชีธนาคารอะไร และแจ้งวันที่ที่ได้รับเงินให้ชัดเจนเลย เช่น ร้านค้าจะได้รับยอดเงินโอนเข้าบัญชีวันที่ 21/02/2569 ประมาณ 2 ทุ่ม ผ่านบัญชีธนาคารไทยพาณิย์ค่ะ
2. อีเมล์เข้าสู่ระบบ pat.kanruethai@gmail.com สามารถใช้ประโยคให้สุภาพมากกว่านี้ได้ เช่น "ขออนุญาตแจ้งอีเมลที่ใช้เข้าสู่ระบบคือ pat.kanruethai@gmail.com ไม่ทราบว่าปัจจุบันยังใช้อีเมลดังกล่าวอยู่หรือไม่คะ"
3. ควรทำการ Follow up ว่าร้านค้าเข้าระบบได้แล้วหรือไม่ เนื่องจากนโยบายบริษัทต้องการเพิ่มร้านค้าในระบบค่ะ
4. เวลารอรับบริการ 0:07:47 นาที เวลาให้บริการ 0:10:17 นาที ระยะเวลาเกินกว่ามาตรฐานที่กำหนด ควรปรับให้กระชับมากขึ้น โดยไม่เกิน 5 นาที</t>
  </si>
  <si>
    <t>AA196473</t>
  </si>
  <si>
    <t>https://app.oho.chat/business/6805c0f16232119d2a1204b5/smartchat?case=69993e24c3ba1cd997040b81</t>
  </si>
  <si>
    <t>1. เพื่อความเข้าใจที่ชัดเจน หากมีเนื้อหามากกว่า 1 เรื่อง กรุณาแยกส่งเป็น 2 ข้อความ เนื่องจากข้อความยาวอาจทำให้อ่านยาก เช่น การแจ้งผลดำเนินการและข้อความกล่าวปิดการสนทนาไม่ควรอยู่ในข้อความเดียวกัน
2. ควรปรับปรุงการใช้ภาษาในการตอบแชท เนื่องจากสามารถกระชับข้อความให้มากกว่านี้
3. ไม่เปลี่ยนชื่อใน Oho chat ให้เป็นเบอร์โทรศัพท์</t>
  </si>
  <si>
    <t>AA196363</t>
  </si>
  <si>
    <t>https://app.oho.chat/business/6805c0f16232119d2a1204b5/case/685265fc312e926c4392c2aa?case=69991dcedc9e11ac66fbc4d7</t>
  </si>
  <si>
    <t>1. ไม่กล่าวปิดการสนทนาตามมาตรฐาน "ขอบคุณที่ใช้บริการโรบินฮู้ด แอดมิน XXX ยินดีให้บริการค่ะ"
2. ควร Follow up กับร้านค้าอีกครั้งว่าเพิ่มสาขาสำเร็จหรือไม่
3. เวลารอรับบริการ 0:28:52 นาที  เวลาให้บริการ 0:06:40 นาที ระยะเวลาเกินกว่ามาตรฐานที่กำหนด ควรปรับให้กระชับมากขึ้น โดยไม่เกิน 5 นาที</t>
  </si>
  <si>
    <t>AA196998</t>
  </si>
  <si>
    <t>https://app.oho.chat/business/6805c0f16232119d2a1204b5/smartchat?case=699aad281d322518405a7422</t>
  </si>
  <si>
    <t>1. หลังจากรีเซ็ตรหัสผ่านเรียบร้อยแล้ว ควรติดตามผลว่าลูกค้าเข้าระบบได้แล้วหรือยัง เพราะเราต้องการให้ร้านค้าเปิดขายให้เร็วที่สุด
2. ควรปรับปรุงการใช้ภาษาในการตอบแชท เนื่องจากเป็นภาษาพูดมากเกินไป
3. เวลาให้บริการ 0:14:33 นาที เวลาเกินกว่ามาตรฐานที่กำหนด ควรปรับให้กระชับมากขึ้น โดยไม่เกิน 5 นาที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</si>
</sst>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hh:mm"/>
    <numFmt numFmtId="166" formatCode="0.0"/>
    <numFmt numFmtId="167" formatCode="dd/mm/yyyy\ hh:mm"/>
  </numFmts>
  <fonts count="8">
    <font>
      <sz val="11"/>
      <color theme="1"/>
      <name val="Calibri"/>
      <family val="2"/>
      <charset val="1"/>
    </font>
    <font>
      <b/>
      <sz val="18"/>
      <color theme="1"/>
      <name val="Cambria"/>
      <family val="1"/>
      <charset val="1"/>
    </font>
    <font>
      <i/>
      <sz val="11"/>
      <color theme="1"/>
      <name val="Cambria"/>
      <family val="1"/>
      <charset val="1"/>
    </font>
    <font>
      <b/>
      <sz val="11"/>
      <color theme="1"/>
      <name val="Cambria"/>
      <family val="1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Lohit Devanaga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73F5F"/>
        <bgColor rgb="FF1F4E78"/>
      </patternFill>
    </fill>
    <fill>
      <patternFill patternType="solid">
        <fgColor rgb="FFFFF4CF"/>
        <bgColor rgb="FFFFF2CC"/>
      </patternFill>
    </fill>
    <fill>
      <patternFill patternType="solid">
        <fgColor rgb="FFDDF5F5"/>
        <bgColor rgb="FFD9EEF2"/>
      </patternFill>
    </fill>
    <fill>
      <patternFill patternType="solid">
        <fgColor rgb="FFEEE7FF"/>
        <bgColor rgb="FFEDE9FE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1"/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indent="1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left" wrapText="1" inden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indent="1"/>
    </xf>
    <xf numFmtId="166" fontId="5" fillId="0" borderId="1" xfId="0" applyNumberFormat="1" applyFont="1" applyBorder="1" applyAlignment="1">
      <alignment horizontal="center"/>
    </xf>
    <xf numFmtId="17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0" fontId="5" fillId="0" borderId="0" xfId="0" applyFont="1"/>
    <xf numFmtId="164" fontId="0" fillId="0" borderId="0" xfId="0" applyNumberFormat="1"/>
    <xf numFmtId="165" fontId="0" fillId="0" borderId="0" xfId="0" applyNumberFormat="1"/>
    <xf numFmtId="167" fontId="6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3" borderId="0" xfId="0" applyFont="1" applyFill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ongpon\Downloads\QA_Score_Dashboard_byDao_V11_merged_JanFeb_AA_agent_names_fixed.xlsx" TargetMode="External"/><Relationship Id="rId1" Type="http://schemas.openxmlformats.org/officeDocument/2006/relationships/externalLinkPath" Target="file:///C:\Users\Songpon\Downloads\QA_Score_Dashboard_byDao_V11_merged_JanFeb_AA_agent_names_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s"/>
      <sheetName val="Agent_Master"/>
      <sheetName val="Grade_Guide"/>
      <sheetName val="Raw_Data"/>
      <sheetName val="Effective_Data"/>
      <sheetName val="Appeal_Data"/>
      <sheetName val="Control_Panel"/>
      <sheetName val="Case_Detail"/>
      <sheetName val="Case_Detail_Appeal"/>
      <sheetName val="Weekly_Dashboard"/>
      <sheetName val="Weekly_QA_by_Agent"/>
      <sheetName val="Monthly_Dashboard"/>
      <sheetName val="Monthly_Team_Summary"/>
      <sheetName val="Yearly_Team_Summary"/>
      <sheetName val="Yearly_By_Agent"/>
      <sheetName val="Ref_Score &amp; Incentive"/>
      <sheetName val="QA_Rubric_2026_06"/>
      <sheetName val="QA_Rubric_Focus"/>
      <sheetName val="QA_Rubric_Deduction"/>
    </sheetNames>
    <sheetDataSet>
      <sheetData sheetId="0">
        <row r="1">
          <cell r="D1" t="str">
            <v>Month Start</v>
          </cell>
          <cell r="G1" t="str">
            <v>Week Start</v>
          </cell>
        </row>
        <row r="2">
          <cell r="A2" t="str">
            <v>Anucha Makundin</v>
          </cell>
          <cell r="D2">
            <v>46023</v>
          </cell>
          <cell r="G2">
            <v>46020</v>
          </cell>
          <cell r="L2" t="str">
            <v>REV1</v>
          </cell>
          <cell r="M2" t="str">
            <v>Pending Appeal</v>
          </cell>
          <cell r="N2" t="str">
            <v>Original</v>
          </cell>
          <cell r="O2" t="str">
            <v>AA205349</v>
          </cell>
        </row>
        <row r="3">
          <cell r="A3" t="str">
            <v>Arisa Aiemrit</v>
          </cell>
          <cell r="D3">
            <v>46054</v>
          </cell>
          <cell r="G3">
            <v>46048</v>
          </cell>
          <cell r="L3" t="str">
            <v>REV2</v>
          </cell>
          <cell r="M3" t="str">
            <v>Under Review</v>
          </cell>
          <cell r="N3" t="str">
            <v>Pending Appeal</v>
          </cell>
          <cell r="O3" t="str">
            <v>AA205342</v>
          </cell>
        </row>
        <row r="4">
          <cell r="A4" t="str">
            <v>Chatkonnaphat Bhusomya</v>
          </cell>
          <cell r="D4">
            <v>46082</v>
          </cell>
          <cell r="G4">
            <v>46090</v>
          </cell>
          <cell r="L4" t="str">
            <v>REV3</v>
          </cell>
          <cell r="M4" t="str">
            <v>Approved</v>
          </cell>
          <cell r="N4" t="str">
            <v>Under Review</v>
          </cell>
          <cell r="O4" t="str">
            <v>AA205631</v>
          </cell>
        </row>
        <row r="5">
          <cell r="A5" t="str">
            <v>Jariyawadee Taboodda</v>
          </cell>
          <cell r="D5">
            <v>46113</v>
          </cell>
          <cell r="G5">
            <v>46097</v>
          </cell>
          <cell r="L5" t="str">
            <v>REV4</v>
          </cell>
          <cell r="M5" t="str">
            <v>Rejected</v>
          </cell>
          <cell r="N5" t="str">
            <v>Revised</v>
          </cell>
          <cell r="O5" t="str">
            <v>AA205172</v>
          </cell>
        </row>
        <row r="6">
          <cell r="A6" t="str">
            <v>Jureeporn Piddum</v>
          </cell>
          <cell r="D6">
            <v>46143</v>
          </cell>
          <cell r="G6">
            <v>46104</v>
          </cell>
          <cell r="L6" t="str">
            <v>REV5</v>
          </cell>
          <cell r="M6" t="str">
            <v>Revised</v>
          </cell>
          <cell r="N6" t="str">
            <v>No Change</v>
          </cell>
          <cell r="O6" t="str">
            <v>AA205259</v>
          </cell>
        </row>
        <row r="7">
          <cell r="A7" t="str">
            <v>Krivut Vongkampan</v>
          </cell>
          <cell r="G7">
            <v>46111</v>
          </cell>
          <cell r="L7" t="str">
            <v>REV6</v>
          </cell>
          <cell r="M7" t="str">
            <v>No Change</v>
          </cell>
          <cell r="N7" t="str">
            <v>Approved</v>
          </cell>
          <cell r="O7" t="str">
            <v>AA205513</v>
          </cell>
        </row>
        <row r="8">
          <cell r="A8" t="str">
            <v>Natcha Chai-in</v>
          </cell>
          <cell r="G8">
            <v>46118</v>
          </cell>
          <cell r="L8" t="str">
            <v>REV7</v>
          </cell>
          <cell r="N8" t="str">
            <v>Rejected</v>
          </cell>
          <cell r="O8" t="str">
            <v>AA205784</v>
          </cell>
        </row>
        <row r="9">
          <cell r="A9" t="str">
            <v>Nattapol Suprom</v>
          </cell>
          <cell r="G9">
            <v>46125</v>
          </cell>
          <cell r="L9" t="str">
            <v>REV8</v>
          </cell>
          <cell r="O9" t="str">
            <v>AA205725</v>
          </cell>
        </row>
        <row r="10">
          <cell r="A10" t="str">
            <v>Sunijtra Siritip</v>
          </cell>
          <cell r="G10">
            <v>46132</v>
          </cell>
          <cell r="L10" t="str">
            <v>REV9</v>
          </cell>
          <cell r="O10" t="str">
            <v>AA205600</v>
          </cell>
        </row>
        <row r="11">
          <cell r="A11" t="str">
            <v>Supakrit Promkhamnoi</v>
          </cell>
          <cell r="G11">
            <v>46139</v>
          </cell>
          <cell r="L11" t="str">
            <v>REV10</v>
          </cell>
          <cell r="O11" t="str">
            <v>AA205545</v>
          </cell>
        </row>
        <row r="12">
          <cell r="A12" t="str">
            <v>Suphitcha Keawliam</v>
          </cell>
          <cell r="G12">
            <v>46146</v>
          </cell>
          <cell r="O12" t="str">
            <v>AA205654</v>
          </cell>
        </row>
        <row r="13">
          <cell r="A13" t="str">
            <v>Wachiraporn Chailittichai</v>
          </cell>
          <cell r="G13">
            <v>46153</v>
          </cell>
          <cell r="O13" t="str">
            <v>AA205590</v>
          </cell>
        </row>
        <row r="14">
          <cell r="A14" t="str">
            <v>Wassana Phothong</v>
          </cell>
          <cell r="G14">
            <v>46160</v>
          </cell>
          <cell r="O14" t="str">
            <v>AA205937</v>
          </cell>
        </row>
        <row r="15">
          <cell r="A15" t="str">
            <v>Nithikorn wongsuntorn</v>
          </cell>
          <cell r="G15">
            <v>46167</v>
          </cell>
          <cell r="O15" t="str">
            <v>AA205939</v>
          </cell>
        </row>
        <row r="16">
          <cell r="A16" t="str">
            <v>Sarika Leksung</v>
          </cell>
          <cell r="O16" t="str">
            <v>AA205914</v>
          </cell>
        </row>
        <row r="17">
          <cell r="A17" t="str">
            <v>Warrathanun Rinjumrus</v>
          </cell>
          <cell r="O17" t="str">
            <v>AA205991</v>
          </cell>
        </row>
        <row r="18">
          <cell r="A18" t="str">
            <v>Phrommarin Thaithorn</v>
          </cell>
          <cell r="O18" t="str">
            <v>AA205983</v>
          </cell>
        </row>
        <row r="19">
          <cell r="A19" t="str">
            <v>Songpon Phothong</v>
          </cell>
          <cell r="O19" t="str">
            <v>AA205899</v>
          </cell>
        </row>
        <row r="20">
          <cell r="A20" t="str">
            <v>Jirapong Wongwangnoi</v>
          </cell>
          <cell r="O20" t="str">
            <v>AA205947</v>
          </cell>
        </row>
        <row r="21">
          <cell r="A21" t="str">
            <v>Sirintra Poomikong</v>
          </cell>
          <cell r="O21" t="str">
            <v>AA206542</v>
          </cell>
        </row>
        <row r="22">
          <cell r="A22" t="str">
            <v>Sompartana Narkpan</v>
          </cell>
          <cell r="O22" t="str">
            <v>AA206570</v>
          </cell>
        </row>
        <row r="23">
          <cell r="A23" t="str">
            <v>Suwadee Dechpong</v>
          </cell>
          <cell r="O23" t="str">
            <v>AA206425</v>
          </cell>
        </row>
        <row r="24">
          <cell r="A24" t="str">
            <v>Test</v>
          </cell>
          <cell r="O24" t="str">
            <v>AA206312</v>
          </cell>
        </row>
        <row r="25">
          <cell r="A25" t="str">
            <v>Ramida Singthong</v>
          </cell>
          <cell r="O25" t="str">
            <v>AA206357</v>
          </cell>
        </row>
        <row r="26">
          <cell r="A26" t="str">
            <v>Wachiraporn chailittichai</v>
          </cell>
          <cell r="O26" t="str">
            <v>AA206422</v>
          </cell>
        </row>
        <row r="27">
          <cell r="O27" t="str">
            <v>AA207015</v>
          </cell>
        </row>
        <row r="28">
          <cell r="O28" t="str">
            <v>AA207029</v>
          </cell>
        </row>
        <row r="29">
          <cell r="O29" t="str">
            <v>AA206927</v>
          </cell>
        </row>
        <row r="30">
          <cell r="O30" t="str">
            <v>AA206886</v>
          </cell>
        </row>
        <row r="31">
          <cell r="O31" t="str">
            <v>AA206994</v>
          </cell>
        </row>
        <row r="32">
          <cell r="O32" t="str">
            <v>AA206880</v>
          </cell>
        </row>
        <row r="33">
          <cell r="O33" t="str">
            <v>AA206869</v>
          </cell>
        </row>
        <row r="34">
          <cell r="O34" t="str">
            <v>AA206949</v>
          </cell>
        </row>
        <row r="35">
          <cell r="O35" t="str">
            <v>AA207069</v>
          </cell>
        </row>
        <row r="36">
          <cell r="O36" t="str">
            <v>AA207538</v>
          </cell>
        </row>
        <row r="37">
          <cell r="O37" t="str">
            <v>AA207547</v>
          </cell>
        </row>
        <row r="38">
          <cell r="O38" t="str">
            <v>AA207869</v>
          </cell>
        </row>
        <row r="39">
          <cell r="O39" t="str">
            <v>AA207375</v>
          </cell>
        </row>
        <row r="40">
          <cell r="O40" t="str">
            <v>AA207533</v>
          </cell>
        </row>
        <row r="41">
          <cell r="O41" t="str">
            <v>AA207358</v>
          </cell>
        </row>
        <row r="42">
          <cell r="O42" t="str">
            <v>AA207397</v>
          </cell>
        </row>
        <row r="43">
          <cell r="O43" t="str">
            <v>AA207750</v>
          </cell>
        </row>
        <row r="44">
          <cell r="O44" t="str">
            <v>AA207954</v>
          </cell>
        </row>
        <row r="45">
          <cell r="O45" t="str">
            <v>AA208025</v>
          </cell>
        </row>
        <row r="46">
          <cell r="O46" t="str">
            <v>AA208091</v>
          </cell>
        </row>
        <row r="47">
          <cell r="O47" t="str">
            <v>AA207896</v>
          </cell>
        </row>
        <row r="48">
          <cell r="O48" t="str">
            <v>AA207925</v>
          </cell>
        </row>
        <row r="49">
          <cell r="O49" t="str">
            <v>AA207998</v>
          </cell>
        </row>
        <row r="50">
          <cell r="O50" t="str">
            <v>AA208454</v>
          </cell>
        </row>
        <row r="51">
          <cell r="O51" t="str">
            <v>AA208550</v>
          </cell>
        </row>
        <row r="52">
          <cell r="O52" t="str">
            <v>AA208405</v>
          </cell>
        </row>
        <row r="53">
          <cell r="O53" t="str">
            <v>AA208553</v>
          </cell>
        </row>
        <row r="54">
          <cell r="O54" t="str">
            <v>AA208444</v>
          </cell>
        </row>
        <row r="55">
          <cell r="O55" t="str">
            <v>AA208479</v>
          </cell>
        </row>
        <row r="56">
          <cell r="O56" t="str">
            <v>AA208623</v>
          </cell>
        </row>
        <row r="57">
          <cell r="O57" t="str">
            <v>AA208955</v>
          </cell>
        </row>
        <row r="58">
          <cell r="O58" t="str">
            <v>AA209064</v>
          </cell>
        </row>
        <row r="59">
          <cell r="O59" t="str">
            <v>AA209002</v>
          </cell>
        </row>
        <row r="60">
          <cell r="O60" t="str">
            <v>AA209967</v>
          </cell>
        </row>
        <row r="61">
          <cell r="O61" t="str">
            <v>AA208746</v>
          </cell>
        </row>
        <row r="62">
          <cell r="O62" t="str">
            <v>AA208896</v>
          </cell>
        </row>
        <row r="63">
          <cell r="O63" t="str">
            <v>AA209311</v>
          </cell>
        </row>
        <row r="64">
          <cell r="O64" t="str">
            <v>AA209426</v>
          </cell>
        </row>
        <row r="65">
          <cell r="O65" t="str">
            <v>AA209736</v>
          </cell>
        </row>
        <row r="66">
          <cell r="O66" t="str">
            <v>AA209772</v>
          </cell>
        </row>
        <row r="67">
          <cell r="O67" t="str">
            <v>AA209704</v>
          </cell>
        </row>
        <row r="68">
          <cell r="O68" t="str">
            <v>AA209621</v>
          </cell>
        </row>
        <row r="69">
          <cell r="O69" t="str">
            <v>AA210175</v>
          </cell>
        </row>
        <row r="70">
          <cell r="O70" t="str">
            <v>AA210433</v>
          </cell>
        </row>
        <row r="71">
          <cell r="O71" t="str">
            <v>AA210324</v>
          </cell>
        </row>
        <row r="72">
          <cell r="O72" t="str">
            <v>AA210311</v>
          </cell>
        </row>
        <row r="73">
          <cell r="O73" t="str">
            <v>AA210650</v>
          </cell>
        </row>
        <row r="74">
          <cell r="O74" t="str">
            <v>AA210298</v>
          </cell>
        </row>
        <row r="75">
          <cell r="O75" t="str">
            <v>AA210506</v>
          </cell>
        </row>
        <row r="76">
          <cell r="O76" t="str">
            <v>AA210811</v>
          </cell>
        </row>
        <row r="77">
          <cell r="O77" t="str">
            <v>AA211128</v>
          </cell>
        </row>
        <row r="78">
          <cell r="O78" t="str">
            <v>AA210992</v>
          </cell>
        </row>
        <row r="79">
          <cell r="O79" t="str">
            <v>AA210908</v>
          </cell>
        </row>
        <row r="80">
          <cell r="O80" t="str">
            <v>AA210900</v>
          </cell>
        </row>
        <row r="81">
          <cell r="O81" t="str">
            <v>AA210916</v>
          </cell>
        </row>
        <row r="82">
          <cell r="O82" t="str">
            <v>AA211260</v>
          </cell>
        </row>
        <row r="83">
          <cell r="O83" t="str">
            <v>AA211638</v>
          </cell>
        </row>
        <row r="84">
          <cell r="O84" t="str">
            <v>AA211670</v>
          </cell>
        </row>
        <row r="85">
          <cell r="O85" t="str">
            <v>AA211420</v>
          </cell>
        </row>
        <row r="86">
          <cell r="O86" t="str">
            <v>AA211428</v>
          </cell>
        </row>
        <row r="87">
          <cell r="O87" t="str">
            <v>AA211544</v>
          </cell>
        </row>
        <row r="88">
          <cell r="O88" t="str">
            <v>AA211713</v>
          </cell>
        </row>
        <row r="89">
          <cell r="O89" t="str">
            <v>AA211790</v>
          </cell>
        </row>
        <row r="90">
          <cell r="O90" t="str">
            <v>AA211939</v>
          </cell>
        </row>
        <row r="91">
          <cell r="O91" t="str">
            <v>AA211895</v>
          </cell>
        </row>
        <row r="92">
          <cell r="O92" t="str">
            <v>AA211893</v>
          </cell>
        </row>
        <row r="93">
          <cell r="O93" t="str">
            <v>AA212661</v>
          </cell>
        </row>
        <row r="94">
          <cell r="O94" t="str">
            <v>AA212391</v>
          </cell>
        </row>
        <row r="95">
          <cell r="O95" t="str">
            <v>AA212433</v>
          </cell>
        </row>
        <row r="96">
          <cell r="O96" t="str">
            <v>AA213048</v>
          </cell>
        </row>
        <row r="97">
          <cell r="O97" t="str">
            <v>AA212790</v>
          </cell>
        </row>
        <row r="98">
          <cell r="O98" t="str">
            <v>AA213070</v>
          </cell>
        </row>
        <row r="99">
          <cell r="O99" t="str">
            <v>AA212916</v>
          </cell>
        </row>
        <row r="100">
          <cell r="O100" t="str">
            <v>AA213039</v>
          </cell>
        </row>
        <row r="101">
          <cell r="O101" t="str">
            <v>AA212994</v>
          </cell>
        </row>
        <row r="102">
          <cell r="O102" t="str">
            <v>AA213678</v>
          </cell>
        </row>
        <row r="103">
          <cell r="O103" t="str">
            <v>AA213715</v>
          </cell>
        </row>
        <row r="104">
          <cell r="O104" t="str">
            <v>AA213713</v>
          </cell>
        </row>
        <row r="105">
          <cell r="O105" t="str">
            <v>AA213464</v>
          </cell>
        </row>
        <row r="106">
          <cell r="O106" t="str">
            <v>AA214126</v>
          </cell>
        </row>
        <row r="107">
          <cell r="O107" t="str">
            <v>AA214079</v>
          </cell>
        </row>
        <row r="108">
          <cell r="O108" t="str">
            <v>AA214261</v>
          </cell>
        </row>
        <row r="109">
          <cell r="O109" t="str">
            <v>AA213903</v>
          </cell>
        </row>
        <row r="110">
          <cell r="O110" t="str">
            <v>AA214439</v>
          </cell>
        </row>
        <row r="111">
          <cell r="O111" t="str">
            <v>AA214553</v>
          </cell>
        </row>
        <row r="112">
          <cell r="O112" t="str">
            <v>AA214511</v>
          </cell>
        </row>
        <row r="113">
          <cell r="O113" t="str">
            <v>AA214471</v>
          </cell>
        </row>
        <row r="114">
          <cell r="O114" t="str">
            <v>AA214579</v>
          </cell>
        </row>
        <row r="115">
          <cell r="O115" t="str">
            <v>AA214402</v>
          </cell>
        </row>
        <row r="116">
          <cell r="O116" t="str">
            <v>AA214707</v>
          </cell>
        </row>
        <row r="117">
          <cell r="O117" t="str">
            <v>AA214595</v>
          </cell>
        </row>
        <row r="118">
          <cell r="O118" t="str">
            <v>AA214526</v>
          </cell>
        </row>
        <row r="119">
          <cell r="O119" t="str">
            <v>AA214592</v>
          </cell>
        </row>
        <row r="120">
          <cell r="O120" t="str">
            <v>AA215763</v>
          </cell>
        </row>
        <row r="121">
          <cell r="O121" t="str">
            <v>AA216147</v>
          </cell>
        </row>
        <row r="122">
          <cell r="O122" t="str">
            <v>AA216358</v>
          </cell>
        </row>
        <row r="123">
          <cell r="O123" t="str">
            <v>AA216186</v>
          </cell>
        </row>
        <row r="124">
          <cell r="O124" t="str">
            <v>AA216034</v>
          </cell>
        </row>
        <row r="125">
          <cell r="O125" t="str">
            <v>AA216040</v>
          </cell>
        </row>
        <row r="126">
          <cell r="O126" t="str">
            <v>AA216333</v>
          </cell>
        </row>
        <row r="127">
          <cell r="O127" t="str">
            <v>AA216873</v>
          </cell>
        </row>
        <row r="128">
          <cell r="O128" t="str">
            <v>AA216861</v>
          </cell>
        </row>
        <row r="129">
          <cell r="O129" t="str">
            <v>AA216748</v>
          </cell>
        </row>
        <row r="130">
          <cell r="O130" t="str">
            <v>AA216825</v>
          </cell>
        </row>
        <row r="131">
          <cell r="O131" t="str">
            <v>AA217134</v>
          </cell>
        </row>
        <row r="132">
          <cell r="O132" t="str">
            <v>AA217255</v>
          </cell>
        </row>
        <row r="133">
          <cell r="O133" t="str">
            <v>AA217198</v>
          </cell>
        </row>
        <row r="134">
          <cell r="O134" t="str">
            <v>AA217356</v>
          </cell>
        </row>
        <row r="135">
          <cell r="O135" t="str">
            <v>AA217343</v>
          </cell>
        </row>
        <row r="136">
          <cell r="O136" t="str">
            <v>AA217212</v>
          </cell>
        </row>
        <row r="137">
          <cell r="O137" t="str">
            <v>AA217056</v>
          </cell>
        </row>
        <row r="138">
          <cell r="O138" t="str">
            <v>AA217295</v>
          </cell>
        </row>
        <row r="139">
          <cell r="O139" t="str">
            <v>AA217279</v>
          </cell>
        </row>
        <row r="140">
          <cell r="O140" t="str">
            <v>AA217246</v>
          </cell>
        </row>
        <row r="141">
          <cell r="O141" t="str">
            <v>AA217691</v>
          </cell>
        </row>
        <row r="142">
          <cell r="O142" t="str">
            <v>AA217958</v>
          </cell>
        </row>
        <row r="143">
          <cell r="O143" t="str">
            <v>AA217913</v>
          </cell>
        </row>
        <row r="144">
          <cell r="O144" t="str">
            <v>AA217763</v>
          </cell>
        </row>
        <row r="145">
          <cell r="O145" t="str">
            <v>AA217847</v>
          </cell>
        </row>
        <row r="146">
          <cell r="O146" t="str">
            <v>AA217764</v>
          </cell>
        </row>
        <row r="147">
          <cell r="O147" t="str">
            <v>AA217612</v>
          </cell>
        </row>
        <row r="148">
          <cell r="O148" t="str">
            <v>AA218425</v>
          </cell>
        </row>
        <row r="149">
          <cell r="O149" t="str">
            <v>AA218241</v>
          </cell>
        </row>
        <row r="150">
          <cell r="O150" t="str">
            <v>AA218220</v>
          </cell>
        </row>
        <row r="151">
          <cell r="O151" t="str">
            <v>AA218323</v>
          </cell>
        </row>
        <row r="152">
          <cell r="O152" t="str">
            <v>AA218256</v>
          </cell>
        </row>
        <row r="153">
          <cell r="O153" t="str">
            <v>AA218150</v>
          </cell>
        </row>
        <row r="154">
          <cell r="O154" t="str">
            <v>AA218313</v>
          </cell>
        </row>
        <row r="155">
          <cell r="O155" t="str">
            <v>AA218394</v>
          </cell>
        </row>
        <row r="156">
          <cell r="O156" t="str">
            <v>AA218646</v>
          </cell>
        </row>
        <row r="157">
          <cell r="O157" t="str">
            <v>AA218800</v>
          </cell>
        </row>
        <row r="158">
          <cell r="O158" t="str">
            <v>AA218661</v>
          </cell>
        </row>
        <row r="159">
          <cell r="O159" t="str">
            <v>AA218608</v>
          </cell>
        </row>
        <row r="160">
          <cell r="O160" t="str">
            <v>AA218621</v>
          </cell>
        </row>
        <row r="161">
          <cell r="O161" t="str">
            <v>AA219041</v>
          </cell>
        </row>
        <row r="162">
          <cell r="O162" t="str">
            <v>AA219610</v>
          </cell>
        </row>
        <row r="163">
          <cell r="O163" t="str">
            <v>AA219189</v>
          </cell>
        </row>
        <row r="164">
          <cell r="O164" t="str">
            <v>AA219280</v>
          </cell>
        </row>
        <row r="165">
          <cell r="O165" t="str">
            <v>AA219402</v>
          </cell>
        </row>
        <row r="166">
          <cell r="O166" t="str">
            <v>AA219531</v>
          </cell>
        </row>
        <row r="167">
          <cell r="O167" t="str">
            <v>AA219307</v>
          </cell>
        </row>
        <row r="168">
          <cell r="O168" t="str">
            <v>AA219305</v>
          </cell>
        </row>
        <row r="169">
          <cell r="O169" t="str">
            <v>AA219860</v>
          </cell>
        </row>
        <row r="170">
          <cell r="O170" t="str">
            <v>AA219940</v>
          </cell>
        </row>
        <row r="171">
          <cell r="O171" t="str">
            <v>AA220205</v>
          </cell>
        </row>
        <row r="172">
          <cell r="O172" t="str">
            <v>AA220167</v>
          </cell>
        </row>
        <row r="173">
          <cell r="O173" t="str">
            <v>AA219798</v>
          </cell>
        </row>
        <row r="174">
          <cell r="O174" t="str">
            <v>AA220518</v>
          </cell>
        </row>
        <row r="175">
          <cell r="O175" t="str">
            <v>AA220413</v>
          </cell>
        </row>
        <row r="176">
          <cell r="O176" t="str">
            <v>AA220463</v>
          </cell>
        </row>
        <row r="177">
          <cell r="O177" t="str">
            <v>AA220272</v>
          </cell>
        </row>
        <row r="178">
          <cell r="O178" t="str">
            <v>AA220614</v>
          </cell>
        </row>
        <row r="179">
          <cell r="O179" t="str">
            <v>AA220874</v>
          </cell>
        </row>
        <row r="180">
          <cell r="O180" t="str">
            <v>AA221030</v>
          </cell>
        </row>
        <row r="181">
          <cell r="O181" t="str">
            <v>AA220806</v>
          </cell>
        </row>
        <row r="182">
          <cell r="O182" t="str">
            <v>AA220848</v>
          </cell>
        </row>
        <row r="183">
          <cell r="O183" t="str">
            <v>AA220808</v>
          </cell>
        </row>
        <row r="184">
          <cell r="O184" t="str">
            <v>AA221461</v>
          </cell>
        </row>
        <row r="185">
          <cell r="O185" t="str">
            <v>AA221588</v>
          </cell>
        </row>
        <row r="186">
          <cell r="O186" t="str">
            <v>AA222073</v>
          </cell>
        </row>
        <row r="187">
          <cell r="O187" t="str">
            <v>AA221917</v>
          </cell>
        </row>
        <row r="188">
          <cell r="O188" t="str">
            <v>AA222059</v>
          </cell>
        </row>
        <row r="189">
          <cell r="O189" t="str">
            <v>AA223033</v>
          </cell>
        </row>
        <row r="190">
          <cell r="O190" t="str">
            <v>AA222554</v>
          </cell>
        </row>
        <row r="191">
          <cell r="O191" t="str">
            <v>AA222737</v>
          </cell>
        </row>
        <row r="192">
          <cell r="O192" t="str">
            <v>AA223034</v>
          </cell>
        </row>
        <row r="193">
          <cell r="O193" t="str">
            <v>AA223037</v>
          </cell>
        </row>
        <row r="194">
          <cell r="O194" t="str">
            <v>AA222656</v>
          </cell>
        </row>
        <row r="195">
          <cell r="O195" t="str">
            <v>AA222725</v>
          </cell>
        </row>
        <row r="196">
          <cell r="O196" t="str">
            <v>AA221976</v>
          </cell>
        </row>
        <row r="197">
          <cell r="O197" t="str">
            <v>AA223149</v>
          </cell>
        </row>
        <row r="198">
          <cell r="O198" t="str">
            <v>AA223388</v>
          </cell>
        </row>
        <row r="199">
          <cell r="O199" t="str">
            <v>AA223366</v>
          </cell>
        </row>
        <row r="200">
          <cell r="O200" t="str">
            <v>AA224298</v>
          </cell>
        </row>
        <row r="201">
          <cell r="O201" t="str">
            <v>AA224136</v>
          </cell>
        </row>
        <row r="202">
          <cell r="O202" t="str">
            <v>AA224072</v>
          </cell>
        </row>
        <row r="203">
          <cell r="O203" t="str">
            <v>AA224200</v>
          </cell>
        </row>
        <row r="204">
          <cell r="O204" t="str">
            <v>AA224363</v>
          </cell>
        </row>
        <row r="205">
          <cell r="O205" t="str">
            <v>AA224372</v>
          </cell>
        </row>
        <row r="206">
          <cell r="O206" t="str">
            <v>AA224404</v>
          </cell>
        </row>
        <row r="207">
          <cell r="O207" t="str">
            <v>AA224076</v>
          </cell>
        </row>
        <row r="208">
          <cell r="O208" t="str">
            <v>AA224923</v>
          </cell>
        </row>
        <row r="209">
          <cell r="O209" t="str">
            <v>AA224839</v>
          </cell>
        </row>
        <row r="210">
          <cell r="O210" t="str">
            <v>AA224791</v>
          </cell>
        </row>
        <row r="211">
          <cell r="O211" t="str">
            <v>AA224842</v>
          </cell>
        </row>
        <row r="212">
          <cell r="O212" t="str">
            <v>AA224937</v>
          </cell>
        </row>
        <row r="213">
          <cell r="O213" t="str">
            <v>AA225029</v>
          </cell>
        </row>
        <row r="214">
          <cell r="O214" t="str">
            <v>AA225386</v>
          </cell>
        </row>
        <row r="215">
          <cell r="O215" t="str">
            <v>AA225313</v>
          </cell>
        </row>
        <row r="216">
          <cell r="O216" t="str">
            <v>AA225260</v>
          </cell>
        </row>
        <row r="217">
          <cell r="O217" t="str">
            <v>AA225484</v>
          </cell>
        </row>
        <row r="218">
          <cell r="O218" t="str">
            <v>AA225864</v>
          </cell>
        </row>
        <row r="219">
          <cell r="O219" t="str">
            <v>AA225962</v>
          </cell>
        </row>
        <row r="220">
          <cell r="O220" t="str">
            <v>AA225775</v>
          </cell>
        </row>
        <row r="221">
          <cell r="O221" t="str">
            <v>AA225824</v>
          </cell>
        </row>
        <row r="222">
          <cell r="O222" t="str">
            <v>AA225670</v>
          </cell>
        </row>
        <row r="223">
          <cell r="O223" t="str">
            <v>AA225602</v>
          </cell>
        </row>
        <row r="224">
          <cell r="O224" t="str">
            <v>AA225828</v>
          </cell>
        </row>
        <row r="225">
          <cell r="O225" t="str">
            <v>AA226028</v>
          </cell>
        </row>
        <row r="226">
          <cell r="O226" t="str">
            <v>AA226071</v>
          </cell>
        </row>
        <row r="227">
          <cell r="O227" t="str">
            <v>AA226282</v>
          </cell>
        </row>
        <row r="228">
          <cell r="O228" t="str">
            <v>AA226185</v>
          </cell>
        </row>
        <row r="229">
          <cell r="O229" t="str">
            <v>AA226296</v>
          </cell>
        </row>
        <row r="230">
          <cell r="O230" t="str">
            <v>AA226417</v>
          </cell>
        </row>
        <row r="231">
          <cell r="O231" t="str">
            <v>AA226402</v>
          </cell>
        </row>
        <row r="232">
          <cell r="O232" t="str">
            <v>AA226129</v>
          </cell>
        </row>
        <row r="233">
          <cell r="O233" t="str">
            <v>AA226556</v>
          </cell>
        </row>
        <row r="234">
          <cell r="O234" t="str">
            <v>AA227181</v>
          </cell>
        </row>
        <row r="235">
          <cell r="O235" t="str">
            <v>AA227200</v>
          </cell>
        </row>
        <row r="236">
          <cell r="O236" t="str">
            <v>AA227107</v>
          </cell>
        </row>
        <row r="237">
          <cell r="O237" t="str">
            <v>AA227193</v>
          </cell>
        </row>
        <row r="238">
          <cell r="O238" t="str">
            <v>AA227674</v>
          </cell>
        </row>
        <row r="239">
          <cell r="O239" t="str">
            <v>AA227583</v>
          </cell>
        </row>
        <row r="240">
          <cell r="O240" t="str">
            <v>AA231019</v>
          </cell>
        </row>
        <row r="241">
          <cell r="O241" t="str">
            <v>AA231500</v>
          </cell>
        </row>
        <row r="242">
          <cell r="O242" t="str">
            <v>AA231226</v>
          </cell>
        </row>
        <row r="243">
          <cell r="O243" t="str">
            <v>AA231167</v>
          </cell>
        </row>
        <row r="244">
          <cell r="O244" t="str">
            <v>AA231615</v>
          </cell>
        </row>
        <row r="245">
          <cell r="O245" t="str">
            <v>AA231556</v>
          </cell>
        </row>
        <row r="246">
          <cell r="O246" t="str">
            <v>AA232530</v>
          </cell>
        </row>
        <row r="247">
          <cell r="O247" t="str">
            <v>AA232695</v>
          </cell>
        </row>
        <row r="248">
          <cell r="O248" t="str">
            <v>AA232269</v>
          </cell>
        </row>
        <row r="249">
          <cell r="O249" t="str">
            <v>AA232994</v>
          </cell>
        </row>
        <row r="250">
          <cell r="O250" t="str">
            <v>AA233242</v>
          </cell>
        </row>
        <row r="251">
          <cell r="O251" t="str">
            <v>AA233532</v>
          </cell>
        </row>
        <row r="252">
          <cell r="O252" t="str">
            <v>AA233771</v>
          </cell>
        </row>
        <row r="253">
          <cell r="O253" t="str">
            <v>AA233733</v>
          </cell>
        </row>
        <row r="254">
          <cell r="O254" t="str">
            <v>AA233390</v>
          </cell>
        </row>
        <row r="255">
          <cell r="O255" t="str">
            <v>AA234034</v>
          </cell>
        </row>
        <row r="256">
          <cell r="O256" t="str">
            <v>AA234505</v>
          </cell>
        </row>
        <row r="257">
          <cell r="O257" t="str">
            <v>AA234591</v>
          </cell>
        </row>
        <row r="258">
          <cell r="O258" t="str">
            <v>AA235249</v>
          </cell>
        </row>
        <row r="259">
          <cell r="O259" t="str">
            <v>AA235439</v>
          </cell>
        </row>
        <row r="260">
          <cell r="O260" t="str">
            <v>AA235476</v>
          </cell>
        </row>
        <row r="261">
          <cell r="O261" t="str">
            <v>AA235682</v>
          </cell>
        </row>
        <row r="262">
          <cell r="O262" t="str">
            <v>AA235710</v>
          </cell>
        </row>
        <row r="263">
          <cell r="O263" t="str">
            <v>AA235327</v>
          </cell>
        </row>
        <row r="264">
          <cell r="O264" t="str">
            <v>AA235940</v>
          </cell>
        </row>
        <row r="265">
          <cell r="O265" t="str">
            <v>AA235974</v>
          </cell>
        </row>
        <row r="266">
          <cell r="O266" t="str">
            <v>AA236144</v>
          </cell>
        </row>
        <row r="267">
          <cell r="O267" t="str">
            <v>AA235922</v>
          </cell>
        </row>
        <row r="268">
          <cell r="O268" t="str">
            <v>AA236070</v>
          </cell>
        </row>
        <row r="269">
          <cell r="O269" t="str">
            <v>AA237160</v>
          </cell>
        </row>
        <row r="270">
          <cell r="O270" t="str">
            <v>AA237389</v>
          </cell>
        </row>
        <row r="271">
          <cell r="O271" t="str">
            <v>AA237005</v>
          </cell>
        </row>
        <row r="272">
          <cell r="O272" t="str">
            <v>AA236969</v>
          </cell>
        </row>
        <row r="273">
          <cell r="O273" t="str">
            <v>AA237641</v>
          </cell>
        </row>
        <row r="274">
          <cell r="O274" t="str">
            <v>AA237624</v>
          </cell>
        </row>
        <row r="275">
          <cell r="O275" t="str">
            <v>AA237813</v>
          </cell>
        </row>
        <row r="276">
          <cell r="O276" t="str">
            <v>AA237635</v>
          </cell>
        </row>
        <row r="277">
          <cell r="O277" t="str">
            <v>AA237661</v>
          </cell>
        </row>
        <row r="278">
          <cell r="O278" t="str">
            <v>AA238074</v>
          </cell>
        </row>
        <row r="279">
          <cell r="O279" t="str">
            <v>AA238226</v>
          </cell>
        </row>
        <row r="280">
          <cell r="O280" t="str">
            <v>AA238191</v>
          </cell>
        </row>
        <row r="281">
          <cell r="O281" t="str">
            <v>AA237985</v>
          </cell>
        </row>
        <row r="282">
          <cell r="O282" t="str">
            <v>AA238046</v>
          </cell>
        </row>
        <row r="283">
          <cell r="O283" t="str">
            <v>AA238152</v>
          </cell>
        </row>
        <row r="284">
          <cell r="O284" t="str">
            <v>AA237954</v>
          </cell>
        </row>
        <row r="285">
          <cell r="O285" t="str">
            <v>AA238173</v>
          </cell>
        </row>
        <row r="286">
          <cell r="O286" t="str">
            <v>AA238473</v>
          </cell>
        </row>
        <row r="287">
          <cell r="O287" t="str">
            <v>AA238598</v>
          </cell>
        </row>
        <row r="288">
          <cell r="O288" t="str">
            <v>AA238575</v>
          </cell>
        </row>
        <row r="289">
          <cell r="O289" t="str">
            <v>AA238715</v>
          </cell>
        </row>
        <row r="290">
          <cell r="O290" t="str">
            <v>AA238450</v>
          </cell>
        </row>
        <row r="291">
          <cell r="O291" t="str">
            <v>AA238320</v>
          </cell>
        </row>
        <row r="292">
          <cell r="O292" t="str">
            <v>AA238593</v>
          </cell>
        </row>
        <row r="293">
          <cell r="O293" t="str">
            <v>AA238940</v>
          </cell>
        </row>
        <row r="294">
          <cell r="O294" t="str">
            <v>AA238867</v>
          </cell>
        </row>
        <row r="295">
          <cell r="O295" t="str">
            <v>AA239145</v>
          </cell>
        </row>
        <row r="296">
          <cell r="O296" t="str">
            <v>AA239142</v>
          </cell>
        </row>
        <row r="297">
          <cell r="O297" t="str">
            <v>AA239124</v>
          </cell>
        </row>
        <row r="298">
          <cell r="O298" t="str">
            <v>AA239033</v>
          </cell>
        </row>
        <row r="299">
          <cell r="O299" t="str">
            <v>AA238759</v>
          </cell>
        </row>
        <row r="300">
          <cell r="O300" t="str">
            <v>AA239484</v>
          </cell>
        </row>
        <row r="301">
          <cell r="O301" t="str">
            <v>AA239321</v>
          </cell>
        </row>
        <row r="302">
          <cell r="O302" t="str">
            <v>AA239800</v>
          </cell>
        </row>
        <row r="303">
          <cell r="O303" t="str">
            <v>AA240062</v>
          </cell>
        </row>
        <row r="304">
          <cell r="O304" t="str">
            <v>AA240889</v>
          </cell>
        </row>
        <row r="305">
          <cell r="O305" t="str">
            <v>AA240562</v>
          </cell>
        </row>
        <row r="306">
          <cell r="O306" t="str">
            <v>AA240550</v>
          </cell>
        </row>
        <row r="307">
          <cell r="O307" t="str">
            <v>AA240614</v>
          </cell>
        </row>
        <row r="308">
          <cell r="O308" t="str">
            <v>AA241033</v>
          </cell>
        </row>
        <row r="309">
          <cell r="O309" t="str">
            <v>AA240888</v>
          </cell>
        </row>
        <row r="310">
          <cell r="O310" t="str">
            <v>AA241423</v>
          </cell>
        </row>
        <row r="311">
          <cell r="O311" t="str">
            <v>AA241513</v>
          </cell>
        </row>
        <row r="312">
          <cell r="O312" t="str">
            <v>AA241773</v>
          </cell>
        </row>
        <row r="313">
          <cell r="O313" t="str">
            <v>AA242255</v>
          </cell>
        </row>
        <row r="314">
          <cell r="O314" t="str">
            <v>AA242271</v>
          </cell>
        </row>
        <row r="315">
          <cell r="O315" t="str">
            <v>AA242402</v>
          </cell>
        </row>
        <row r="316">
          <cell r="O316" t="str">
            <v>AA242410</v>
          </cell>
        </row>
        <row r="317">
          <cell r="O317" t="str">
            <v>AA246297</v>
          </cell>
        </row>
        <row r="318">
          <cell r="O318" t="str">
            <v>AA244341</v>
          </cell>
        </row>
        <row r="319">
          <cell r="O319" t="str">
            <v>AA242450</v>
          </cell>
        </row>
        <row r="320">
          <cell r="O320" t="str">
            <v>AA242176</v>
          </cell>
        </row>
        <row r="321">
          <cell r="O321" t="str">
            <v>AA241995</v>
          </cell>
        </row>
        <row r="322">
          <cell r="O322" t="str">
            <v>AA241850</v>
          </cell>
        </row>
        <row r="323">
          <cell r="O323" t="str">
            <v>AA241614</v>
          </cell>
        </row>
        <row r="324">
          <cell r="O324" t="str">
            <v>AA241568</v>
          </cell>
        </row>
        <row r="325">
          <cell r="O325" t="str">
            <v>AA242311</v>
          </cell>
        </row>
        <row r="326">
          <cell r="O326" t="str">
            <v>AA240217</v>
          </cell>
        </row>
        <row r="327">
          <cell r="O327" t="str">
            <v>AA240075</v>
          </cell>
        </row>
        <row r="328">
          <cell r="O328" t="str">
            <v>AA242415</v>
          </cell>
        </row>
        <row r="329">
          <cell r="O329" t="str">
            <v>AA242359</v>
          </cell>
        </row>
        <row r="330">
          <cell r="O330" t="str">
            <v>AA242305</v>
          </cell>
        </row>
        <row r="331">
          <cell r="O331" t="str">
            <v>AA240449</v>
          </cell>
        </row>
        <row r="332">
          <cell r="O332" t="str">
            <v>AA240148</v>
          </cell>
        </row>
        <row r="333">
          <cell r="O333" t="str">
            <v>AA239548</v>
          </cell>
        </row>
        <row r="334">
          <cell r="O334" t="str">
            <v>AA239552</v>
          </cell>
        </row>
        <row r="335">
          <cell r="O335" t="str">
            <v>AA242265</v>
          </cell>
        </row>
        <row r="336">
          <cell r="O336" t="str">
            <v>AA242052</v>
          </cell>
        </row>
        <row r="337">
          <cell r="O337" t="str">
            <v>AA241762</v>
          </cell>
        </row>
        <row r="338">
          <cell r="O338" t="str">
            <v>AA242380</v>
          </cell>
        </row>
        <row r="339">
          <cell r="O339" t="str">
            <v>AA242156</v>
          </cell>
        </row>
        <row r="340">
          <cell r="O340" t="str">
            <v>AA245292</v>
          </cell>
        </row>
        <row r="341">
          <cell r="O341" t="str">
            <v>AA245599</v>
          </cell>
        </row>
        <row r="342">
          <cell r="O342" t="str">
            <v>AA246513</v>
          </cell>
        </row>
        <row r="343">
          <cell r="O343" t="str">
            <v>AA246781</v>
          </cell>
        </row>
        <row r="344">
          <cell r="O344" t="str">
            <v>AA247169</v>
          </cell>
        </row>
        <row r="345">
          <cell r="O345" t="str">
            <v>AA246176</v>
          </cell>
        </row>
        <row r="346">
          <cell r="O346" t="str">
            <v>AA247196</v>
          </cell>
        </row>
        <row r="347">
          <cell r="O347" t="str">
            <v>AA244037</v>
          </cell>
        </row>
        <row r="348">
          <cell r="O348" t="str">
            <v>AA244794</v>
          </cell>
        </row>
        <row r="349">
          <cell r="O349" t="str">
            <v>AA244683</v>
          </cell>
        </row>
        <row r="350">
          <cell r="O350" t="str">
            <v>AA242500</v>
          </cell>
        </row>
        <row r="351">
          <cell r="O351" t="str">
            <v>AA242605</v>
          </cell>
        </row>
        <row r="352">
          <cell r="O352" t="str">
            <v>AA242679</v>
          </cell>
        </row>
        <row r="353">
          <cell r="O353" t="str">
            <v>AA242873</v>
          </cell>
        </row>
        <row r="354">
          <cell r="O354" t="str">
            <v>AA242862</v>
          </cell>
        </row>
        <row r="355">
          <cell r="O355" t="str">
            <v>AA243475</v>
          </cell>
        </row>
        <row r="356">
          <cell r="O356" t="str">
            <v>AA243546</v>
          </cell>
        </row>
        <row r="357">
          <cell r="O357" t="str">
            <v>AA242653</v>
          </cell>
        </row>
        <row r="358">
          <cell r="O358" t="str">
            <v>AA242834</v>
          </cell>
        </row>
        <row r="359">
          <cell r="O359" t="str">
            <v>AA243183</v>
          </cell>
        </row>
        <row r="360">
          <cell r="O360" t="str">
            <v>AA182792</v>
          </cell>
        </row>
        <row r="361">
          <cell r="O361" t="str">
            <v>AA182786</v>
          </cell>
        </row>
        <row r="362">
          <cell r="O362" t="str">
            <v>AA182780</v>
          </cell>
        </row>
        <row r="363">
          <cell r="O363" t="str">
            <v>AA182769</v>
          </cell>
        </row>
        <row r="364">
          <cell r="O364" t="str">
            <v>AA182752</v>
          </cell>
        </row>
        <row r="365">
          <cell r="O365" t="str">
            <v>AA182748</v>
          </cell>
        </row>
        <row r="366">
          <cell r="O366" t="str">
            <v>AA182740</v>
          </cell>
        </row>
        <row r="367">
          <cell r="O367" t="str">
            <v>AA182723</v>
          </cell>
        </row>
        <row r="368">
          <cell r="O368" t="str">
            <v>AA182706</v>
          </cell>
        </row>
        <row r="369">
          <cell r="O369" t="str">
            <v>AA182710</v>
          </cell>
        </row>
        <row r="370">
          <cell r="O370" t="str">
            <v>AA172274</v>
          </cell>
        </row>
        <row r="371">
          <cell r="O371" t="str">
            <v>AA184774</v>
          </cell>
        </row>
        <row r="372">
          <cell r="O372" t="str">
            <v>AA184734</v>
          </cell>
        </row>
        <row r="373">
          <cell r="O373" t="str">
            <v>AA184756</v>
          </cell>
        </row>
        <row r="374">
          <cell r="O374" t="str">
            <v>AA184574</v>
          </cell>
        </row>
        <row r="375">
          <cell r="O375" t="str">
            <v>AA184556</v>
          </cell>
        </row>
        <row r="376">
          <cell r="O376" t="str">
            <v>AA185205</v>
          </cell>
        </row>
        <row r="377">
          <cell r="O377" t="str">
            <v>AA172082</v>
          </cell>
        </row>
        <row r="378">
          <cell r="O378" t="str">
            <v>AA178287</v>
          </cell>
        </row>
        <row r="379">
          <cell r="O379" t="str">
            <v>AA179216</v>
          </cell>
        </row>
        <row r="380">
          <cell r="O380" t="str">
            <v>AA176236</v>
          </cell>
        </row>
        <row r="381">
          <cell r="O381" t="str">
            <v>AA176163</v>
          </cell>
        </row>
        <row r="382">
          <cell r="O382" t="str">
            <v>AA176069</v>
          </cell>
        </row>
        <row r="383">
          <cell r="O383" t="str">
            <v>AA179797</v>
          </cell>
        </row>
        <row r="384">
          <cell r="O384" t="str">
            <v>AA180040</v>
          </cell>
        </row>
        <row r="385">
          <cell r="O385" t="str">
            <v>AA175726</v>
          </cell>
        </row>
        <row r="386">
          <cell r="O386" t="str">
            <v>AA181140</v>
          </cell>
        </row>
        <row r="387">
          <cell r="O387" t="str">
            <v>AA181118</v>
          </cell>
        </row>
        <row r="388">
          <cell r="O388" t="str">
            <v>AA182997</v>
          </cell>
        </row>
        <row r="389">
          <cell r="O389" t="str">
            <v>AA183682</v>
          </cell>
        </row>
        <row r="390">
          <cell r="O390" t="str">
            <v>AA180168</v>
          </cell>
        </row>
        <row r="391">
          <cell r="O391" t="str">
            <v>AA179997</v>
          </cell>
        </row>
        <row r="392">
          <cell r="O392" t="str">
            <v>AA180061</v>
          </cell>
        </row>
        <row r="393">
          <cell r="O393" t="str">
            <v>AA180538</v>
          </cell>
        </row>
        <row r="394">
          <cell r="O394" t="str">
            <v>AA180502</v>
          </cell>
        </row>
        <row r="395">
          <cell r="O395" t="str">
            <v>AA180406</v>
          </cell>
        </row>
        <row r="396">
          <cell r="O396" t="str">
            <v>AA180357</v>
          </cell>
        </row>
        <row r="397">
          <cell r="O397" t="str">
            <v>AA184063</v>
          </cell>
        </row>
        <row r="398">
          <cell r="O398" t="str">
            <v>AA172810</v>
          </cell>
        </row>
        <row r="399">
          <cell r="O399" t="str">
            <v>AA172606</v>
          </cell>
        </row>
        <row r="400">
          <cell r="O400" t="str">
            <v>AA172465</v>
          </cell>
        </row>
        <row r="401">
          <cell r="O401" t="str">
            <v>AA169432</v>
          </cell>
        </row>
        <row r="402">
          <cell r="O402" t="str">
            <v>AA174347</v>
          </cell>
        </row>
        <row r="403">
          <cell r="O403" t="str">
            <v>AA173004</v>
          </cell>
        </row>
        <row r="404">
          <cell r="O404" t="str">
            <v>AA185332</v>
          </cell>
        </row>
        <row r="405">
          <cell r="O405" t="str">
            <v>AA174046</v>
          </cell>
        </row>
        <row r="406">
          <cell r="O406" t="str">
            <v>AA182771</v>
          </cell>
        </row>
        <row r="407">
          <cell r="O407" t="str">
            <v>AA175294</v>
          </cell>
        </row>
        <row r="408">
          <cell r="O408" t="str">
            <v>AA179030</v>
          </cell>
        </row>
        <row r="409">
          <cell r="O409" t="str">
            <v>AA176253</v>
          </cell>
        </row>
        <row r="410">
          <cell r="O410" t="str">
            <v>AA168235</v>
          </cell>
        </row>
        <row r="411">
          <cell r="O411" t="str">
            <v>AA171889</v>
          </cell>
        </row>
        <row r="412">
          <cell r="O412" t="str">
            <v>AA173103</v>
          </cell>
        </row>
        <row r="413">
          <cell r="O413" t="str">
            <v>AA176313</v>
          </cell>
        </row>
        <row r="414">
          <cell r="O414" t="str">
            <v>AA177510</v>
          </cell>
        </row>
        <row r="415">
          <cell r="O415" t="str">
            <v>AA177095</v>
          </cell>
        </row>
        <row r="416">
          <cell r="O416" t="str">
            <v>AA177017</v>
          </cell>
        </row>
        <row r="417">
          <cell r="O417" t="str">
            <v>AA179256</v>
          </cell>
        </row>
        <row r="418">
          <cell r="O418" t="str">
            <v>AA179064</v>
          </cell>
        </row>
        <row r="419">
          <cell r="O419" t="str">
            <v>AA180690</v>
          </cell>
        </row>
        <row r="420">
          <cell r="O420" t="str">
            <v>AA180049</v>
          </cell>
        </row>
        <row r="421">
          <cell r="O421" t="str">
            <v>AA179870</v>
          </cell>
        </row>
        <row r="422">
          <cell r="O422" t="str">
            <v>AA178817</v>
          </cell>
        </row>
        <row r="423">
          <cell r="O423" t="str">
            <v>AA178812</v>
          </cell>
        </row>
        <row r="424">
          <cell r="O424" t="str">
            <v>AA178741</v>
          </cell>
        </row>
        <row r="425">
          <cell r="O425" t="str">
            <v>AA179870</v>
          </cell>
        </row>
        <row r="426">
          <cell r="O426" t="str">
            <v>AA180595</v>
          </cell>
        </row>
        <row r="427">
          <cell r="O427" t="str">
            <v>AA180507</v>
          </cell>
        </row>
        <row r="428">
          <cell r="O428" t="str">
            <v>AA180429</v>
          </cell>
        </row>
        <row r="429">
          <cell r="O429" t="str">
            <v>AA180372</v>
          </cell>
        </row>
        <row r="430">
          <cell r="O430" t="str">
            <v>AA176815</v>
          </cell>
        </row>
        <row r="431">
          <cell r="O431" t="str">
            <v>AA176949</v>
          </cell>
        </row>
        <row r="432">
          <cell r="O432" t="str">
            <v>AA179737</v>
          </cell>
        </row>
        <row r="433">
          <cell r="O433" t="str">
            <v>AA179835</v>
          </cell>
        </row>
        <row r="434">
          <cell r="O434" t="str">
            <v>AA180289</v>
          </cell>
        </row>
        <row r="435">
          <cell r="O435" t="str">
            <v>AA180557</v>
          </cell>
        </row>
        <row r="436">
          <cell r="O436" t="str">
            <v>AA180562</v>
          </cell>
        </row>
        <row r="437">
          <cell r="O437" t="str">
            <v>AA180297</v>
          </cell>
        </row>
        <row r="438">
          <cell r="O438" t="str">
            <v>AA183023</v>
          </cell>
        </row>
        <row r="439">
          <cell r="O439" t="str">
            <v>AA183740</v>
          </cell>
        </row>
        <row r="440">
          <cell r="O440" t="str">
            <v>AA175846</v>
          </cell>
        </row>
        <row r="441">
          <cell r="O441" t="str">
            <v>AA175809</v>
          </cell>
        </row>
        <row r="442">
          <cell r="O442" t="str">
            <v>AA174279</v>
          </cell>
        </row>
        <row r="443">
          <cell r="O443" t="str">
            <v>AA175753</v>
          </cell>
        </row>
        <row r="444">
          <cell r="O444" t="str">
            <v>AA176573</v>
          </cell>
        </row>
        <row r="445">
          <cell r="O445" t="str">
            <v>AA177953</v>
          </cell>
        </row>
        <row r="446">
          <cell r="O446" t="str">
            <v>AA177317</v>
          </cell>
        </row>
        <row r="447">
          <cell r="O447" t="str">
            <v>AA178831</v>
          </cell>
        </row>
        <row r="448">
          <cell r="O448" t="str">
            <v>AA177747</v>
          </cell>
        </row>
        <row r="449">
          <cell r="O449" t="str">
            <v>AA185017</v>
          </cell>
        </row>
        <row r="450">
          <cell r="O450" t="str">
            <v>AA184739</v>
          </cell>
        </row>
        <row r="451">
          <cell r="O451" t="str">
            <v>AA184588</v>
          </cell>
        </row>
        <row r="452">
          <cell r="O452" t="str">
            <v>AA183374</v>
          </cell>
        </row>
        <row r="453">
          <cell r="O453" t="str">
            <v>AA183427</v>
          </cell>
        </row>
        <row r="454">
          <cell r="O454" t="str">
            <v>AA185113</v>
          </cell>
        </row>
        <row r="455">
          <cell r="O455" t="str">
            <v>AA184658</v>
          </cell>
        </row>
        <row r="456">
          <cell r="O456" t="str">
            <v>AA184585</v>
          </cell>
        </row>
        <row r="457">
          <cell r="O457" t="str">
            <v>AA178336</v>
          </cell>
        </row>
        <row r="458">
          <cell r="O458" t="str">
            <v>AA180012</v>
          </cell>
        </row>
        <row r="459">
          <cell r="O459" t="str">
            <v>AA173508</v>
          </cell>
        </row>
        <row r="460">
          <cell r="O460" t="str">
            <v>AA169803</v>
          </cell>
        </row>
        <row r="461">
          <cell r="O461" t="str">
            <v>AA170841</v>
          </cell>
        </row>
        <row r="462">
          <cell r="O462" t="str">
            <v>AA170941</v>
          </cell>
        </row>
        <row r="463">
          <cell r="O463" t="str">
            <v>AA170828</v>
          </cell>
        </row>
        <row r="464">
          <cell r="O464" t="str">
            <v>AA175529</v>
          </cell>
        </row>
        <row r="465">
          <cell r="O465" t="str">
            <v>AA174883</v>
          </cell>
        </row>
        <row r="466">
          <cell r="O466" t="str">
            <v>AA177503</v>
          </cell>
        </row>
        <row r="467">
          <cell r="O467" t="str">
            <v>AA175517</v>
          </cell>
        </row>
        <row r="468">
          <cell r="O468" t="str">
            <v>AA183707</v>
          </cell>
        </row>
        <row r="469">
          <cell r="O469" t="str">
            <v>AA181184</v>
          </cell>
        </row>
        <row r="470">
          <cell r="O470" t="str">
            <v>AA195559</v>
          </cell>
        </row>
        <row r="471">
          <cell r="O471" t="str">
            <v>AA193173</v>
          </cell>
        </row>
        <row r="472">
          <cell r="O472" t="str">
            <v>AA193176</v>
          </cell>
        </row>
        <row r="473">
          <cell r="O473" t="str">
            <v>AA193145</v>
          </cell>
        </row>
        <row r="474">
          <cell r="O474" t="str">
            <v>AA193082</v>
          </cell>
        </row>
        <row r="475">
          <cell r="O475" t="str">
            <v>AA196615</v>
          </cell>
        </row>
        <row r="476">
          <cell r="O476" t="str">
            <v>AA196492</v>
          </cell>
        </row>
        <row r="477">
          <cell r="O477" t="str">
            <v>AA190743</v>
          </cell>
        </row>
        <row r="478">
          <cell r="O478" t="str">
            <v>AA191671</v>
          </cell>
        </row>
        <row r="479">
          <cell r="O479" t="str">
            <v>AA196361</v>
          </cell>
        </row>
        <row r="480">
          <cell r="O480" t="str">
            <v>AA198249</v>
          </cell>
        </row>
        <row r="481">
          <cell r="O481" t="str">
            <v>AA198512</v>
          </cell>
        </row>
        <row r="482">
          <cell r="O482" t="str">
            <v>AA198980</v>
          </cell>
        </row>
        <row r="483">
          <cell r="O483" t="str">
            <v>AA197039</v>
          </cell>
        </row>
        <row r="484">
          <cell r="O484" t="str">
            <v>AA196943</v>
          </cell>
        </row>
        <row r="485">
          <cell r="O485" t="str">
            <v>AA198045</v>
          </cell>
        </row>
        <row r="486">
          <cell r="O486" t="str">
            <v>AA197188</v>
          </cell>
        </row>
        <row r="487">
          <cell r="O487" t="str">
            <v>AA194533</v>
          </cell>
        </row>
        <row r="488">
          <cell r="O488" t="str">
            <v>AA196670</v>
          </cell>
        </row>
        <row r="489">
          <cell r="O489" t="str">
            <v>AA194123</v>
          </cell>
        </row>
        <row r="490">
          <cell r="O490" t="str">
            <v>AA193699</v>
          </cell>
        </row>
        <row r="491">
          <cell r="O491" t="str">
            <v>AA193642</v>
          </cell>
        </row>
        <row r="492">
          <cell r="O492" t="str">
            <v>AA193627</v>
          </cell>
        </row>
        <row r="493">
          <cell r="O493" t="str">
            <v>AA193523</v>
          </cell>
        </row>
        <row r="494">
          <cell r="O494" t="str">
            <v>AA193399</v>
          </cell>
        </row>
        <row r="495">
          <cell r="O495" t="str">
            <v>AA194800</v>
          </cell>
        </row>
        <row r="496">
          <cell r="O496" t="str">
            <v>AA197103</v>
          </cell>
        </row>
        <row r="497">
          <cell r="O497" t="str">
            <v>AA197638</v>
          </cell>
        </row>
        <row r="498">
          <cell r="O498" t="str">
            <v>AA197566</v>
          </cell>
        </row>
        <row r="499">
          <cell r="O499" t="str">
            <v>AA197946</v>
          </cell>
        </row>
        <row r="500">
          <cell r="O500" t="str">
            <v>AA190782</v>
          </cell>
        </row>
        <row r="501">
          <cell r="O501" t="str">
            <v>AA190839</v>
          </cell>
        </row>
        <row r="502">
          <cell r="O502" t="str">
            <v>AA192583</v>
          </cell>
        </row>
        <row r="503">
          <cell r="O503" t="str">
            <v>AA194563</v>
          </cell>
        </row>
        <row r="504">
          <cell r="O504" t="str">
            <v>AA194534</v>
          </cell>
        </row>
        <row r="505">
          <cell r="O505" t="str">
            <v>AA194298</v>
          </cell>
        </row>
        <row r="506">
          <cell r="O506" t="str">
            <v>AA197596</v>
          </cell>
        </row>
        <row r="507">
          <cell r="O507" t="str">
            <v>AA197511</v>
          </cell>
        </row>
        <row r="508">
          <cell r="O508" t="str">
            <v>AA199487</v>
          </cell>
        </row>
        <row r="509">
          <cell r="O509" t="str">
            <v>AA199390</v>
          </cell>
        </row>
        <row r="510">
          <cell r="O510" t="str">
            <v>AA188838</v>
          </cell>
        </row>
        <row r="511">
          <cell r="O511" t="str">
            <v>AA189281</v>
          </cell>
        </row>
        <row r="512">
          <cell r="O512" t="str">
            <v>AA189045</v>
          </cell>
        </row>
        <row r="513">
          <cell r="O513" t="str">
            <v>AA194896</v>
          </cell>
        </row>
        <row r="514">
          <cell r="O514" t="str">
            <v>AA194769</v>
          </cell>
        </row>
        <row r="515">
          <cell r="O515" t="str">
            <v>AA194326</v>
          </cell>
        </row>
        <row r="516">
          <cell r="O516" t="str">
            <v>AA198169</v>
          </cell>
        </row>
        <row r="517">
          <cell r="O517" t="str">
            <v>AA197918</v>
          </cell>
        </row>
        <row r="518">
          <cell r="O518" t="str">
            <v>AA194787</v>
          </cell>
        </row>
        <row r="519">
          <cell r="O519" t="str">
            <v>AA190832</v>
          </cell>
        </row>
        <row r="520">
          <cell r="O520" t="str">
            <v>AA194458</v>
          </cell>
        </row>
        <row r="521">
          <cell r="O521" t="str">
            <v>AA194436</v>
          </cell>
        </row>
        <row r="522">
          <cell r="O522" t="str">
            <v>AA194147</v>
          </cell>
        </row>
        <row r="523">
          <cell r="O523" t="str">
            <v>AA193892</v>
          </cell>
        </row>
        <row r="524">
          <cell r="O524" t="str">
            <v>AA197629</v>
          </cell>
        </row>
        <row r="525">
          <cell r="O525" t="str">
            <v>AA197601</v>
          </cell>
        </row>
        <row r="526">
          <cell r="O526" t="str">
            <v>AA197356</v>
          </cell>
        </row>
        <row r="527">
          <cell r="O527" t="str">
            <v>AA199438</v>
          </cell>
        </row>
        <row r="528">
          <cell r="O528" t="str">
            <v>AA199381</v>
          </cell>
        </row>
        <row r="529">
          <cell r="O529" t="str">
            <v>AA190691</v>
          </cell>
        </row>
        <row r="530">
          <cell r="O530" t="str">
            <v>AA186424</v>
          </cell>
        </row>
        <row r="531">
          <cell r="O531" t="str">
            <v>AA186508</v>
          </cell>
        </row>
        <row r="532">
          <cell r="O532" t="str">
            <v>AA187143</v>
          </cell>
        </row>
        <row r="533">
          <cell r="O533" t="str">
            <v>AA187226</v>
          </cell>
        </row>
        <row r="534">
          <cell r="O534" t="str">
            <v>AA191206</v>
          </cell>
        </row>
        <row r="535">
          <cell r="O535" t="str">
            <v>AA190690</v>
          </cell>
        </row>
        <row r="536">
          <cell r="O536" t="str">
            <v>AA198250</v>
          </cell>
        </row>
        <row r="537">
          <cell r="O537" t="str">
            <v>AA200123</v>
          </cell>
        </row>
        <row r="538">
          <cell r="O538" t="str">
            <v>AA200008</v>
          </cell>
        </row>
        <row r="539">
          <cell r="O539" t="str">
            <v>AA190395</v>
          </cell>
        </row>
        <row r="540">
          <cell r="O540" t="str">
            <v>AA195292</v>
          </cell>
        </row>
        <row r="541">
          <cell r="O541" t="str">
            <v>AA200006</v>
          </cell>
        </row>
        <row r="542">
          <cell r="O542" t="str">
            <v>AA199958</v>
          </cell>
        </row>
        <row r="543">
          <cell r="O543" t="str">
            <v>AA198021</v>
          </cell>
        </row>
        <row r="544">
          <cell r="O544" t="str">
            <v>AA191069</v>
          </cell>
        </row>
        <row r="545">
          <cell r="O545" t="str">
            <v>AA190253</v>
          </cell>
        </row>
        <row r="546">
          <cell r="O546" t="str">
            <v>AA188799</v>
          </cell>
        </row>
        <row r="547">
          <cell r="O547" t="str">
            <v>AA191916</v>
          </cell>
        </row>
        <row r="548">
          <cell r="O548" t="str">
            <v>AA197573</v>
          </cell>
        </row>
        <row r="549">
          <cell r="O549" t="str">
            <v>AA191993</v>
          </cell>
        </row>
        <row r="550">
          <cell r="O550" t="str">
            <v>AA187128</v>
          </cell>
        </row>
        <row r="551">
          <cell r="O551" t="str">
            <v>AA188371</v>
          </cell>
        </row>
        <row r="552">
          <cell r="O552" t="str">
            <v>AA185942</v>
          </cell>
        </row>
        <row r="553">
          <cell r="O553" t="str">
            <v>AA187133</v>
          </cell>
        </row>
        <row r="554">
          <cell r="O554" t="str">
            <v>AA189554</v>
          </cell>
        </row>
        <row r="555">
          <cell r="O555" t="str">
            <v>AA193354</v>
          </cell>
        </row>
        <row r="556">
          <cell r="O556" t="str">
            <v>AA193572</v>
          </cell>
        </row>
        <row r="557">
          <cell r="O557" t="str">
            <v>AA188902</v>
          </cell>
        </row>
        <row r="558">
          <cell r="O558" t="str">
            <v>AA199638</v>
          </cell>
        </row>
        <row r="559">
          <cell r="O559" t="str">
            <v>AA190523</v>
          </cell>
        </row>
        <row r="560">
          <cell r="O560" t="str">
            <v>AA190551</v>
          </cell>
        </row>
        <row r="561">
          <cell r="O561" t="str">
            <v>AA190128</v>
          </cell>
        </row>
        <row r="562">
          <cell r="O562" t="str">
            <v>AA189945</v>
          </cell>
        </row>
        <row r="563">
          <cell r="O563" t="str">
            <v>AA189768</v>
          </cell>
        </row>
        <row r="564">
          <cell r="O564" t="str">
            <v>AA194862</v>
          </cell>
        </row>
        <row r="565">
          <cell r="O565" t="str">
            <v>AA190748</v>
          </cell>
        </row>
        <row r="566">
          <cell r="O566" t="str">
            <v>AA196645</v>
          </cell>
        </row>
        <row r="567">
          <cell r="O567" t="str">
            <v>AA196473</v>
          </cell>
        </row>
        <row r="568">
          <cell r="O568" t="str">
            <v>AA196363</v>
          </cell>
        </row>
        <row r="569">
          <cell r="O569" t="str">
            <v>AA196998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FF1B-0EC4-403B-9884-D1E4A2DB9074}">
  <sheetPr>
    <pageSetUpPr fitToPage="1"/>
  </sheetPr>
  <dimension ref="A1:BR2641"/>
  <sheetViews>
    <sheetView tabSelected="1" topLeftCell="BA4" zoomScaleNormal="100" workbookViewId="0">
      <selection activeCell="BC5" sqref="BC5:BC214"/>
    </sheetView>
  </sheetViews>
  <sheetFormatPr defaultColWidth="8.6328125" defaultRowHeight="15" customHeight="1"/>
  <cols>
    <col min="1" max="1" width="22" customWidth="1"/>
    <col min="2" max="2" width="28" customWidth="1"/>
    <col min="3" max="3" width="12" customWidth="1"/>
    <col min="4" max="4" width="11" customWidth="1"/>
    <col min="5" max="6" width="13" customWidth="1"/>
    <col min="7" max="7" width="8.6328125" customWidth="1"/>
    <col min="8" max="8" width="10" customWidth="1"/>
    <col min="9" max="9" width="28" customWidth="1"/>
    <col min="10" max="10" width="10" customWidth="1"/>
    <col min="11" max="11" width="28" customWidth="1"/>
    <col min="12" max="12" width="10" customWidth="1"/>
    <col min="13" max="13" width="28" customWidth="1"/>
    <col min="14" max="14" width="10" customWidth="1"/>
    <col min="15" max="15" width="28" customWidth="1"/>
    <col min="16" max="16" width="10" customWidth="1"/>
    <col min="17" max="17" width="28" customWidth="1"/>
    <col min="18" max="18" width="10" customWidth="1"/>
    <col min="19" max="19" width="28" customWidth="1"/>
    <col min="20" max="20" width="10" customWidth="1"/>
    <col min="21" max="21" width="28" customWidth="1"/>
    <col min="22" max="22" width="10" customWidth="1"/>
    <col min="23" max="23" width="28" customWidth="1"/>
    <col min="24" max="24" width="10" customWidth="1"/>
    <col min="25" max="25" width="28" customWidth="1"/>
    <col min="26" max="26" width="10" customWidth="1"/>
    <col min="27" max="27" width="28" customWidth="1"/>
    <col min="28" max="28" width="10" customWidth="1"/>
    <col min="29" max="29" width="28" customWidth="1"/>
    <col min="30" max="30" width="10" customWidth="1"/>
    <col min="31" max="31" width="28" customWidth="1"/>
    <col min="32" max="32" width="10" customWidth="1"/>
    <col min="33" max="33" width="28" customWidth="1"/>
    <col min="34" max="34" width="10" customWidth="1"/>
    <col min="35" max="35" width="28" customWidth="1"/>
    <col min="36" max="36" width="10" customWidth="1"/>
    <col min="37" max="37" width="28" customWidth="1"/>
    <col min="38" max="38" width="10" customWidth="1"/>
    <col min="39" max="39" width="28" customWidth="1"/>
    <col min="40" max="40" width="10" customWidth="1"/>
    <col min="41" max="41" width="28" customWidth="1"/>
    <col min="42" max="42" width="12" customWidth="1"/>
    <col min="43" max="43" width="118.08984375" customWidth="1"/>
    <col min="44" max="44" width="21.36328125" customWidth="1"/>
    <col min="45" max="46" width="12" customWidth="1"/>
    <col min="47" max="47" width="18" customWidth="1"/>
    <col min="48" max="49" width="12" customWidth="1"/>
    <col min="50" max="50" width="24" customWidth="1"/>
    <col min="51" max="52" width="14" customWidth="1"/>
    <col min="53" max="53" width="24" customWidth="1"/>
    <col min="54" max="54" width="25.453125" customWidth="1"/>
    <col min="55" max="55" width="52.1796875" bestFit="1" customWidth="1"/>
    <col min="56" max="56" width="11.26953125" bestFit="1" customWidth="1"/>
    <col min="57" max="57" width="13" customWidth="1"/>
    <col min="60" max="60" width="13" customWidth="1"/>
    <col min="61" max="61" width="11.26953125" bestFit="1" customWidth="1"/>
    <col min="62" max="67" width="13" customWidth="1"/>
    <col min="69" max="70" width="13" customWidth="1"/>
  </cols>
  <sheetData>
    <row r="1" spans="1:70" ht="25.5" hidden="1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</row>
    <row r="2" spans="1:70" ht="15" hidden="1" customHeight="1">
      <c r="A2" s="31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spans="1:70" ht="15" hidden="1" customHeight="1">
      <c r="Q3" s="1"/>
      <c r="S3" s="1"/>
      <c r="U3" s="1"/>
      <c r="W3" s="1"/>
      <c r="Y3" s="1"/>
      <c r="AA3" s="1"/>
      <c r="AC3" s="2"/>
      <c r="AE3" s="2"/>
      <c r="AG3" s="1"/>
      <c r="AI3" s="1"/>
      <c r="AK3" s="1"/>
      <c r="AM3" s="1"/>
      <c r="AO3" s="1"/>
      <c r="AQ3" s="1"/>
      <c r="AS3" s="1"/>
      <c r="AU3" s="1"/>
      <c r="AW3" s="1"/>
      <c r="AY3" s="1"/>
      <c r="BA3" s="1"/>
      <c r="BC3" s="1"/>
    </row>
    <row r="4" spans="1:70" s="7" customFormat="1" ht="28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4" t="s">
        <v>30</v>
      </c>
      <c r="AD4" s="3" t="s">
        <v>31</v>
      </c>
      <c r="AE4" s="4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5" t="s">
        <v>57</v>
      </c>
      <c r="BF4" s="5" t="s">
        <v>58</v>
      </c>
      <c r="BG4" s="5" t="s">
        <v>59</v>
      </c>
      <c r="BH4" s="5" t="s">
        <v>60</v>
      </c>
      <c r="BI4" s="5" t="s">
        <v>61</v>
      </c>
      <c r="BJ4" s="5" t="s">
        <v>62</v>
      </c>
      <c r="BK4" s="5" t="s">
        <v>63</v>
      </c>
      <c r="BL4" s="5" t="s">
        <v>64</v>
      </c>
      <c r="BM4" s="5" t="s">
        <v>65</v>
      </c>
      <c r="BN4" s="5" t="s">
        <v>66</v>
      </c>
      <c r="BO4" s="6" t="s">
        <v>67</v>
      </c>
      <c r="BP4" s="3" t="s">
        <v>68</v>
      </c>
      <c r="BQ4" s="3" t="s">
        <v>69</v>
      </c>
      <c r="BR4" s="3" t="s">
        <v>70</v>
      </c>
    </row>
    <row r="5" spans="1:70" s="18" customFormat="1" ht="15" customHeight="1">
      <c r="A5" s="14">
        <v>46053.525932025463</v>
      </c>
      <c r="B5" s="15" t="s">
        <v>82</v>
      </c>
      <c r="C5" s="14">
        <v>46023</v>
      </c>
      <c r="D5" s="16"/>
      <c r="E5" s="16"/>
      <c r="F5" s="17" t="s">
        <v>84</v>
      </c>
      <c r="G5" s="13" t="s">
        <v>85</v>
      </c>
      <c r="H5" s="18">
        <v>5</v>
      </c>
      <c r="J5" s="18">
        <v>15</v>
      </c>
      <c r="L5" s="18">
        <v>10</v>
      </c>
      <c r="N5" s="18">
        <v>10</v>
      </c>
      <c r="P5" s="18">
        <v>17</v>
      </c>
      <c r="R5" s="18">
        <v>10</v>
      </c>
      <c r="T5" s="17"/>
      <c r="U5" s="19"/>
      <c r="V5" s="17"/>
      <c r="W5" s="19"/>
      <c r="X5" s="17"/>
      <c r="Y5" s="19"/>
      <c r="Z5" s="17"/>
      <c r="AA5" s="19"/>
      <c r="AB5" s="17"/>
      <c r="AC5" s="20"/>
      <c r="AD5" s="17"/>
      <c r="AE5" s="20"/>
      <c r="AF5" s="17"/>
      <c r="AG5" s="21"/>
      <c r="AH5" s="17"/>
      <c r="AI5" s="19"/>
      <c r="AJ5" s="17"/>
      <c r="AK5" s="19"/>
      <c r="AL5" s="17"/>
      <c r="AM5" s="21"/>
      <c r="AN5" s="17"/>
      <c r="AO5" s="19"/>
      <c r="AP5" s="17"/>
      <c r="AQ5" s="19"/>
      <c r="AR5" s="17"/>
      <c r="AS5" s="19"/>
      <c r="AT5" s="17"/>
      <c r="AU5" s="21"/>
      <c r="AV5" s="17"/>
      <c r="AW5" s="21"/>
      <c r="AX5" s="17"/>
      <c r="AY5" s="21"/>
      <c r="AZ5" s="17"/>
      <c r="BA5" s="21"/>
      <c r="BB5" s="17" t="s">
        <v>72</v>
      </c>
      <c r="BC5" s="21" t="s">
        <v>86</v>
      </c>
      <c r="BD5" s="17"/>
      <c r="BE5" s="22">
        <f t="shared" ref="BE5:BE28" si="0">IF($B5="","",IF(COUNT($H5,$J5,$L5,$N5,$P5,$R5)&gt;0,SUM($H5,$J5,$L5,$N5,$P5,$R5),SUM($T5,$V5,$X5,$Z5,$AB5,$AD5,$AF5,$AH5,$AJ5,$AL5,$AN5,$AP5,$AR5,$AT5,$AV5,$AX5,$AZ5)))</f>
        <v>67</v>
      </c>
      <c r="BF5" s="14">
        <f t="shared" ref="BF5:BF28" si="1">IF($C5="","",DATE(YEAR($C5),MONTH($C5),1))</f>
        <v>46023</v>
      </c>
      <c r="BG5" s="23" t="str">
        <f t="shared" ref="BG5:BG28" si="2">IF($BF5="","",TEXT($BF5,"mmmm yyyy"))</f>
        <v>January 2026</v>
      </c>
      <c r="BH5" s="14">
        <f t="shared" ref="BH5:BH28" si="3">IF($C5="","",$C5-WEEKDAY($C5,2)+1)</f>
        <v>46020</v>
      </c>
      <c r="BI5" s="14">
        <f t="shared" ref="BI5:BI28" si="4">IF($BH5="","",$BH5+6)</f>
        <v>46026</v>
      </c>
      <c r="BJ5" s="17" t="str">
        <f t="shared" ref="BJ5:BJ28" si="5">IF($BH5="","",TEXT($BH5,"dd/mm/yyyy")&amp;" - "&amp;TEXT($BI5,"dd/mm/yyyy"))</f>
        <v>29/12/2025 - 04/01/2026</v>
      </c>
      <c r="BK5" s="17">
        <f>IF($B5="","",COUNTIFS($B$5:$B5,$B5,$BF$5:$BF5,$BF5))</f>
        <v>1</v>
      </c>
      <c r="BL5" s="17">
        <f>IF($B5="","",COUNTIFS($B$5:$B5,$B5,$BH$5:$BH5,$BH5))</f>
        <v>1</v>
      </c>
      <c r="BM5" s="17" t="str">
        <f t="shared" ref="BM5:BM28" si="6">IF($B5="","",TEXT($BK5,"00")&amp;"|"&amp;$B5&amp;"|"&amp;TEXT($BF5,"yyyymmdd"))</f>
        <v>01|Anucha Makundin|20260101</v>
      </c>
      <c r="BN5" s="17" t="str">
        <f t="shared" ref="BN5:BN28" si="7">IF($B5="","",TEXT($BL5,"00")&amp;"|"&amp;$B5&amp;"|"&amp;TEXT($BH5,"yyyymmdd"))</f>
        <v>01|Anucha Makundin|20251229</v>
      </c>
      <c r="BO5" s="17">
        <f t="shared" ref="BO5:BO28" si="8">IF(OR($BB5="YES",$BB5="Yes",$BB5="Y",$BB5=1),1,0)</f>
        <v>0</v>
      </c>
      <c r="BP5" s="24" t="s">
        <v>87</v>
      </c>
      <c r="BQ5" s="13"/>
      <c r="BR5" s="25" t="str">
        <f t="shared" ref="BR5:BR28" si="9">IF($C5="","",IF($C5&gt;=DATE(2026,6,1),"QA-2026-06",IF($C5&gt;=DATE(2026,5,1),"May 2026+",IF($C5&gt;=DATE(2026,4,1),"April 2026",IF($C5&gt;=DATE(2026,3,1),"March 2026","Jan-Feb 2026")))))</f>
        <v>Jan-Feb 2026</v>
      </c>
    </row>
    <row r="6" spans="1:70" s="18" customFormat="1" ht="15" customHeight="1">
      <c r="A6" s="14">
        <v>46053.528495555547</v>
      </c>
      <c r="B6" s="15" t="s">
        <v>82</v>
      </c>
      <c r="C6" s="14">
        <v>46023</v>
      </c>
      <c r="D6" s="16"/>
      <c r="E6" s="16"/>
      <c r="F6" s="17" t="s">
        <v>88</v>
      </c>
      <c r="G6" s="13" t="s">
        <v>89</v>
      </c>
      <c r="H6" s="18">
        <v>5</v>
      </c>
      <c r="J6" s="18">
        <v>15</v>
      </c>
      <c r="L6" s="18">
        <v>10</v>
      </c>
      <c r="N6" s="18">
        <v>10</v>
      </c>
      <c r="P6" s="18">
        <v>15</v>
      </c>
      <c r="R6" s="18">
        <v>10</v>
      </c>
      <c r="T6" s="17"/>
      <c r="U6" s="19"/>
      <c r="V6" s="17"/>
      <c r="W6" s="19"/>
      <c r="X6" s="17"/>
      <c r="Y6" s="19"/>
      <c r="Z6" s="17"/>
      <c r="AA6" s="19"/>
      <c r="AB6" s="17"/>
      <c r="AC6" s="20"/>
      <c r="AD6" s="17"/>
      <c r="AE6" s="20"/>
      <c r="AF6" s="17"/>
      <c r="AG6" s="21"/>
      <c r="AH6" s="17"/>
      <c r="AI6" s="19"/>
      <c r="AJ6" s="17"/>
      <c r="AK6" s="19"/>
      <c r="AL6" s="17"/>
      <c r="AM6" s="21"/>
      <c r="AN6" s="17"/>
      <c r="AO6" s="19"/>
      <c r="AP6" s="17"/>
      <c r="AQ6" s="19"/>
      <c r="AR6" s="17"/>
      <c r="AS6" s="19"/>
      <c r="AT6" s="17"/>
      <c r="AU6" s="21"/>
      <c r="AV6" s="17"/>
      <c r="AW6" s="21"/>
      <c r="AX6" s="17"/>
      <c r="AY6" s="21"/>
      <c r="AZ6" s="17"/>
      <c r="BA6" s="21"/>
      <c r="BB6" s="17" t="s">
        <v>72</v>
      </c>
      <c r="BC6" s="21" t="s">
        <v>90</v>
      </c>
      <c r="BD6" s="17"/>
      <c r="BE6" s="22">
        <f t="shared" si="0"/>
        <v>65</v>
      </c>
      <c r="BF6" s="14">
        <f t="shared" si="1"/>
        <v>46023</v>
      </c>
      <c r="BG6" s="23" t="str">
        <f t="shared" si="2"/>
        <v>January 2026</v>
      </c>
      <c r="BH6" s="14">
        <f t="shared" si="3"/>
        <v>46020</v>
      </c>
      <c r="BI6" s="14">
        <f t="shared" si="4"/>
        <v>46026</v>
      </c>
      <c r="BJ6" s="17" t="str">
        <f t="shared" si="5"/>
        <v>29/12/2025 - 04/01/2026</v>
      </c>
      <c r="BK6" s="17">
        <f>IF($B6="","",COUNTIFS($B$5:$B6,$B6,$BF$5:$BF6,$BF6))</f>
        <v>2</v>
      </c>
      <c r="BL6" s="17">
        <f>IF($B6="","",COUNTIFS($B$5:$B6,$B6,$BH$5:$BH6,$BH6))</f>
        <v>2</v>
      </c>
      <c r="BM6" s="17" t="str">
        <f t="shared" si="6"/>
        <v>02|Anucha Makundin|20260101</v>
      </c>
      <c r="BN6" s="17" t="str">
        <f t="shared" si="7"/>
        <v>02|Anucha Makundin|20251229</v>
      </c>
      <c r="BO6" s="17">
        <f t="shared" si="8"/>
        <v>0</v>
      </c>
      <c r="BP6" s="24" t="s">
        <v>91</v>
      </c>
      <c r="BQ6" s="13"/>
      <c r="BR6" s="25" t="str">
        <f t="shared" si="9"/>
        <v>Jan-Feb 2026</v>
      </c>
    </row>
    <row r="7" spans="1:70" s="18" customFormat="1" ht="15" customHeight="1">
      <c r="A7" s="14">
        <v>46053.531569803243</v>
      </c>
      <c r="B7" s="15" t="s">
        <v>82</v>
      </c>
      <c r="C7" s="14">
        <v>46023</v>
      </c>
      <c r="D7" s="16"/>
      <c r="E7" s="16"/>
      <c r="F7" s="17" t="s">
        <v>92</v>
      </c>
      <c r="G7" s="13" t="s">
        <v>93</v>
      </c>
      <c r="H7" s="18">
        <v>5</v>
      </c>
      <c r="J7" s="18">
        <v>20</v>
      </c>
      <c r="L7" s="18">
        <v>15</v>
      </c>
      <c r="N7" s="18">
        <v>8</v>
      </c>
      <c r="P7" s="18">
        <v>17</v>
      </c>
      <c r="R7" s="18">
        <v>10</v>
      </c>
      <c r="T7" s="17"/>
      <c r="U7" s="19"/>
      <c r="V7" s="17"/>
      <c r="W7" s="19"/>
      <c r="X7" s="17"/>
      <c r="Y7" s="19"/>
      <c r="Z7" s="17"/>
      <c r="AA7" s="19"/>
      <c r="AB7" s="17"/>
      <c r="AC7" s="20"/>
      <c r="AD7" s="17"/>
      <c r="AE7" s="20"/>
      <c r="AF7" s="17"/>
      <c r="AG7" s="21"/>
      <c r="AH7" s="17"/>
      <c r="AI7" s="19"/>
      <c r="AJ7" s="17"/>
      <c r="AK7" s="19"/>
      <c r="AL7" s="17"/>
      <c r="AM7" s="21"/>
      <c r="AN7" s="17"/>
      <c r="AO7" s="19"/>
      <c r="AP7" s="17"/>
      <c r="AQ7" s="19"/>
      <c r="AR7" s="17"/>
      <c r="AS7" s="19"/>
      <c r="AT7" s="17"/>
      <c r="AU7" s="21"/>
      <c r="AV7" s="17"/>
      <c r="AW7" s="21"/>
      <c r="AX7" s="17"/>
      <c r="AY7" s="21"/>
      <c r="AZ7" s="17"/>
      <c r="BA7" s="21"/>
      <c r="BB7" s="17" t="s">
        <v>72</v>
      </c>
      <c r="BC7" s="21" t="s">
        <v>94</v>
      </c>
      <c r="BD7" s="17"/>
      <c r="BE7" s="22">
        <f t="shared" si="0"/>
        <v>75</v>
      </c>
      <c r="BF7" s="14">
        <f t="shared" si="1"/>
        <v>46023</v>
      </c>
      <c r="BG7" s="23" t="str">
        <f t="shared" si="2"/>
        <v>January 2026</v>
      </c>
      <c r="BH7" s="14">
        <f t="shared" si="3"/>
        <v>46020</v>
      </c>
      <c r="BI7" s="14">
        <f t="shared" si="4"/>
        <v>46026</v>
      </c>
      <c r="BJ7" s="17" t="str">
        <f t="shared" si="5"/>
        <v>29/12/2025 - 04/01/2026</v>
      </c>
      <c r="BK7" s="17">
        <f>IF($B7="","",COUNTIFS($B$5:$B7,$B7,$BF$5:$BF7,$BF7))</f>
        <v>3</v>
      </c>
      <c r="BL7" s="17">
        <f>IF($B7="","",COUNTIFS($B$5:$B7,$B7,$BH$5:$BH7,$BH7))</f>
        <v>3</v>
      </c>
      <c r="BM7" s="17" t="str">
        <f t="shared" si="6"/>
        <v>03|Anucha Makundin|20260101</v>
      </c>
      <c r="BN7" s="17" t="str">
        <f t="shared" si="7"/>
        <v>03|Anucha Makundin|20251229</v>
      </c>
      <c r="BO7" s="17">
        <f t="shared" si="8"/>
        <v>0</v>
      </c>
      <c r="BP7" s="24" t="s">
        <v>95</v>
      </c>
      <c r="BQ7" s="13"/>
      <c r="BR7" s="25" t="str">
        <f t="shared" si="9"/>
        <v>Jan-Feb 2026</v>
      </c>
    </row>
    <row r="8" spans="1:70" s="18" customFormat="1" ht="15" customHeight="1">
      <c r="A8" s="14">
        <v>46053.535155300917</v>
      </c>
      <c r="B8" s="15" t="s">
        <v>82</v>
      </c>
      <c r="C8" s="14">
        <v>46023</v>
      </c>
      <c r="D8" s="16"/>
      <c r="E8" s="16"/>
      <c r="F8" s="17" t="s">
        <v>96</v>
      </c>
      <c r="G8" s="13" t="s">
        <v>97</v>
      </c>
      <c r="H8" s="18">
        <v>5</v>
      </c>
      <c r="J8" s="18">
        <v>26</v>
      </c>
      <c r="L8" s="18">
        <v>17</v>
      </c>
      <c r="N8" s="18">
        <v>10</v>
      </c>
      <c r="P8" s="18">
        <v>18</v>
      </c>
      <c r="R8" s="18">
        <v>10</v>
      </c>
      <c r="T8" s="17"/>
      <c r="U8" s="19"/>
      <c r="V8" s="17"/>
      <c r="W8" s="19"/>
      <c r="X8" s="17"/>
      <c r="Y8" s="19"/>
      <c r="Z8" s="17"/>
      <c r="AA8" s="19"/>
      <c r="AB8" s="17"/>
      <c r="AC8" s="20"/>
      <c r="AD8" s="17"/>
      <c r="AE8" s="20"/>
      <c r="AF8" s="17"/>
      <c r="AG8" s="21"/>
      <c r="AH8" s="17"/>
      <c r="AI8" s="19"/>
      <c r="AJ8" s="17"/>
      <c r="AK8" s="19"/>
      <c r="AL8" s="17"/>
      <c r="AM8" s="21"/>
      <c r="AN8" s="17"/>
      <c r="AO8" s="19"/>
      <c r="AP8" s="17"/>
      <c r="AQ8" s="19"/>
      <c r="AR8" s="17"/>
      <c r="AS8" s="19"/>
      <c r="AT8" s="17"/>
      <c r="AU8" s="21"/>
      <c r="AV8" s="17"/>
      <c r="AW8" s="21"/>
      <c r="AX8" s="17"/>
      <c r="AY8" s="21"/>
      <c r="AZ8" s="17"/>
      <c r="BA8" s="21"/>
      <c r="BB8" s="17" t="s">
        <v>72</v>
      </c>
      <c r="BC8" s="21" t="s">
        <v>86</v>
      </c>
      <c r="BD8" s="17"/>
      <c r="BE8" s="22">
        <f t="shared" si="0"/>
        <v>86</v>
      </c>
      <c r="BF8" s="14">
        <f t="shared" si="1"/>
        <v>46023</v>
      </c>
      <c r="BG8" s="23" t="str">
        <f t="shared" si="2"/>
        <v>January 2026</v>
      </c>
      <c r="BH8" s="14">
        <f t="shared" si="3"/>
        <v>46020</v>
      </c>
      <c r="BI8" s="14">
        <f t="shared" si="4"/>
        <v>46026</v>
      </c>
      <c r="BJ8" s="17" t="str">
        <f t="shared" si="5"/>
        <v>29/12/2025 - 04/01/2026</v>
      </c>
      <c r="BK8" s="17">
        <f>IF($B8="","",COUNTIFS($B$5:$B8,$B8,$BF$5:$BF8,$BF8))</f>
        <v>4</v>
      </c>
      <c r="BL8" s="17">
        <f>IF($B8="","",COUNTIFS($B$5:$B8,$B8,$BH$5:$BH8,$BH8))</f>
        <v>4</v>
      </c>
      <c r="BM8" s="17" t="str">
        <f t="shared" si="6"/>
        <v>04|Anucha Makundin|20260101</v>
      </c>
      <c r="BN8" s="17" t="str">
        <f t="shared" si="7"/>
        <v>04|Anucha Makundin|20251229</v>
      </c>
      <c r="BO8" s="17">
        <f t="shared" si="8"/>
        <v>0</v>
      </c>
      <c r="BP8" s="24" t="s">
        <v>98</v>
      </c>
      <c r="BQ8" s="13"/>
      <c r="BR8" s="25" t="str">
        <f t="shared" si="9"/>
        <v>Jan-Feb 2026</v>
      </c>
    </row>
    <row r="9" spans="1:70" s="18" customFormat="1" ht="15" customHeight="1">
      <c r="A9" s="14">
        <v>46053.538817893517</v>
      </c>
      <c r="B9" s="15" t="s">
        <v>82</v>
      </c>
      <c r="C9" s="14">
        <v>46023</v>
      </c>
      <c r="D9" s="16"/>
      <c r="E9" s="16"/>
      <c r="F9" s="17" t="s">
        <v>99</v>
      </c>
      <c r="G9" s="13" t="s">
        <v>100</v>
      </c>
      <c r="H9" s="18">
        <v>5</v>
      </c>
      <c r="J9" s="18">
        <v>22</v>
      </c>
      <c r="L9" s="18">
        <v>15</v>
      </c>
      <c r="N9" s="18">
        <v>9</v>
      </c>
      <c r="P9" s="18">
        <v>15</v>
      </c>
      <c r="R9" s="18">
        <v>10</v>
      </c>
      <c r="T9" s="17"/>
      <c r="U9" s="19"/>
      <c r="V9" s="17"/>
      <c r="W9" s="19"/>
      <c r="X9" s="17"/>
      <c r="Y9" s="19"/>
      <c r="Z9" s="17"/>
      <c r="AA9" s="19"/>
      <c r="AB9" s="17"/>
      <c r="AC9" s="20"/>
      <c r="AD9" s="17"/>
      <c r="AE9" s="20"/>
      <c r="AF9" s="17"/>
      <c r="AG9" s="21"/>
      <c r="AH9" s="17"/>
      <c r="AI9" s="19"/>
      <c r="AJ9" s="17"/>
      <c r="AK9" s="19"/>
      <c r="AL9" s="17"/>
      <c r="AM9" s="21"/>
      <c r="AN9" s="17"/>
      <c r="AO9" s="19"/>
      <c r="AP9" s="17"/>
      <c r="AQ9" s="19"/>
      <c r="AR9" s="17"/>
      <c r="AS9" s="19"/>
      <c r="AT9" s="17"/>
      <c r="AU9" s="21"/>
      <c r="AV9" s="17"/>
      <c r="AW9" s="21"/>
      <c r="AX9" s="17"/>
      <c r="AY9" s="21"/>
      <c r="AZ9" s="17"/>
      <c r="BA9" s="21"/>
      <c r="BB9" s="17" t="s">
        <v>72</v>
      </c>
      <c r="BC9" s="21" t="s">
        <v>101</v>
      </c>
      <c r="BD9" s="17"/>
      <c r="BE9" s="22">
        <f t="shared" si="0"/>
        <v>76</v>
      </c>
      <c r="BF9" s="14">
        <f t="shared" si="1"/>
        <v>46023</v>
      </c>
      <c r="BG9" s="23" t="str">
        <f t="shared" si="2"/>
        <v>January 2026</v>
      </c>
      <c r="BH9" s="14">
        <f t="shared" si="3"/>
        <v>46020</v>
      </c>
      <c r="BI9" s="14">
        <f t="shared" si="4"/>
        <v>46026</v>
      </c>
      <c r="BJ9" s="17" t="str">
        <f t="shared" si="5"/>
        <v>29/12/2025 - 04/01/2026</v>
      </c>
      <c r="BK9" s="17">
        <f>IF($B9="","",COUNTIFS($B$5:$B9,$B9,$BF$5:$BF9,$BF9))</f>
        <v>5</v>
      </c>
      <c r="BL9" s="17">
        <f>IF($B9="","",COUNTIFS($B$5:$B9,$B9,$BH$5:$BH9,$BH9))</f>
        <v>5</v>
      </c>
      <c r="BM9" s="17" t="str">
        <f t="shared" si="6"/>
        <v>05|Anucha Makundin|20260101</v>
      </c>
      <c r="BN9" s="17" t="str">
        <f t="shared" si="7"/>
        <v>05|Anucha Makundin|20251229</v>
      </c>
      <c r="BO9" s="17">
        <f t="shared" si="8"/>
        <v>0</v>
      </c>
      <c r="BP9" s="24" t="s">
        <v>102</v>
      </c>
      <c r="BQ9" s="13"/>
      <c r="BR9" s="25" t="str">
        <f t="shared" si="9"/>
        <v>Jan-Feb 2026</v>
      </c>
    </row>
    <row r="10" spans="1:70" s="18" customFormat="1" ht="15" customHeight="1">
      <c r="A10" s="14">
        <v>46053.543599004632</v>
      </c>
      <c r="B10" s="15" t="s">
        <v>82</v>
      </c>
      <c r="C10" s="14">
        <v>46023</v>
      </c>
      <c r="D10" s="16"/>
      <c r="E10" s="16"/>
      <c r="F10" s="17" t="s">
        <v>103</v>
      </c>
      <c r="G10" s="13" t="s">
        <v>104</v>
      </c>
      <c r="H10" s="18">
        <v>5</v>
      </c>
      <c r="J10" s="18">
        <v>27</v>
      </c>
      <c r="L10" s="18">
        <v>18</v>
      </c>
      <c r="N10" s="18">
        <v>10</v>
      </c>
      <c r="P10" s="18">
        <v>15</v>
      </c>
      <c r="R10" s="18">
        <v>10</v>
      </c>
      <c r="T10" s="17"/>
      <c r="U10" s="19"/>
      <c r="V10" s="17"/>
      <c r="W10" s="19"/>
      <c r="X10" s="17"/>
      <c r="Y10" s="19"/>
      <c r="Z10" s="17"/>
      <c r="AA10" s="19"/>
      <c r="AB10" s="17"/>
      <c r="AC10" s="20"/>
      <c r="AD10" s="17"/>
      <c r="AE10" s="20"/>
      <c r="AF10" s="17"/>
      <c r="AG10" s="21"/>
      <c r="AH10" s="17"/>
      <c r="AI10" s="19"/>
      <c r="AJ10" s="17"/>
      <c r="AK10" s="19"/>
      <c r="AL10" s="17"/>
      <c r="AM10" s="21"/>
      <c r="AN10" s="17"/>
      <c r="AO10" s="19"/>
      <c r="AP10" s="17"/>
      <c r="AQ10" s="19"/>
      <c r="AR10" s="17"/>
      <c r="AS10" s="19"/>
      <c r="AT10" s="17"/>
      <c r="AU10" s="21"/>
      <c r="AV10" s="17"/>
      <c r="AW10" s="21"/>
      <c r="AX10" s="17"/>
      <c r="AY10" s="21"/>
      <c r="AZ10" s="17"/>
      <c r="BA10" s="21"/>
      <c r="BB10" s="17" t="s">
        <v>72</v>
      </c>
      <c r="BC10" s="21" t="s">
        <v>105</v>
      </c>
      <c r="BD10" s="17"/>
      <c r="BE10" s="22">
        <f t="shared" si="0"/>
        <v>85</v>
      </c>
      <c r="BF10" s="14">
        <f t="shared" si="1"/>
        <v>46023</v>
      </c>
      <c r="BG10" s="23" t="str">
        <f t="shared" si="2"/>
        <v>January 2026</v>
      </c>
      <c r="BH10" s="14">
        <f t="shared" si="3"/>
        <v>46020</v>
      </c>
      <c r="BI10" s="14">
        <f t="shared" si="4"/>
        <v>46026</v>
      </c>
      <c r="BJ10" s="17" t="str">
        <f t="shared" si="5"/>
        <v>29/12/2025 - 04/01/2026</v>
      </c>
      <c r="BK10" s="17">
        <f>IF($B10="","",COUNTIFS($B$5:$B10,$B10,$BF$5:$BF10,$BF10))</f>
        <v>6</v>
      </c>
      <c r="BL10" s="17">
        <f>IF($B10="","",COUNTIFS($B$5:$B10,$B10,$BH$5:$BH10,$BH10))</f>
        <v>6</v>
      </c>
      <c r="BM10" s="17" t="str">
        <f t="shared" si="6"/>
        <v>06|Anucha Makundin|20260101</v>
      </c>
      <c r="BN10" s="17" t="str">
        <f t="shared" si="7"/>
        <v>06|Anucha Makundin|20251229</v>
      </c>
      <c r="BO10" s="17">
        <f t="shared" si="8"/>
        <v>0</v>
      </c>
      <c r="BP10" s="24" t="s">
        <v>106</v>
      </c>
      <c r="BQ10" s="13"/>
      <c r="BR10" s="25" t="str">
        <f t="shared" si="9"/>
        <v>Jan-Feb 2026</v>
      </c>
    </row>
    <row r="11" spans="1:70" s="18" customFormat="1" ht="15" customHeight="1">
      <c r="A11" s="14">
        <v>46053.550517916658</v>
      </c>
      <c r="B11" s="15" t="s">
        <v>82</v>
      </c>
      <c r="C11" s="14">
        <v>46023</v>
      </c>
      <c r="D11" s="16"/>
      <c r="E11" s="16"/>
      <c r="F11" s="17" t="s">
        <v>107</v>
      </c>
      <c r="G11" s="13" t="s">
        <v>108</v>
      </c>
      <c r="H11" s="18">
        <v>5</v>
      </c>
      <c r="J11" s="18">
        <v>20</v>
      </c>
      <c r="L11" s="18">
        <v>18</v>
      </c>
      <c r="N11" s="18">
        <v>9</v>
      </c>
      <c r="P11" s="18">
        <v>15</v>
      </c>
      <c r="R11" s="18">
        <v>10</v>
      </c>
      <c r="T11" s="17"/>
      <c r="U11" s="19"/>
      <c r="V11" s="17"/>
      <c r="W11" s="19"/>
      <c r="X11" s="17"/>
      <c r="Y11" s="19"/>
      <c r="Z11" s="17"/>
      <c r="AA11" s="19"/>
      <c r="AB11" s="17"/>
      <c r="AC11" s="20"/>
      <c r="AD11" s="17"/>
      <c r="AE11" s="20"/>
      <c r="AF11" s="17"/>
      <c r="AG11" s="21"/>
      <c r="AH11" s="17"/>
      <c r="AI11" s="19"/>
      <c r="AJ11" s="17"/>
      <c r="AK11" s="19"/>
      <c r="AL11" s="17"/>
      <c r="AM11" s="21"/>
      <c r="AN11" s="17"/>
      <c r="AO11" s="19"/>
      <c r="AP11" s="17"/>
      <c r="AQ11" s="19"/>
      <c r="AR11" s="17"/>
      <c r="AS11" s="19"/>
      <c r="AT11" s="17"/>
      <c r="AU11" s="21"/>
      <c r="AV11" s="17"/>
      <c r="AW11" s="21"/>
      <c r="AX11" s="17"/>
      <c r="AY11" s="21"/>
      <c r="AZ11" s="17"/>
      <c r="BA11" s="21"/>
      <c r="BB11" s="17" t="s">
        <v>72</v>
      </c>
      <c r="BC11" s="21" t="s">
        <v>109</v>
      </c>
      <c r="BD11" s="17"/>
      <c r="BE11" s="22">
        <f t="shared" si="0"/>
        <v>77</v>
      </c>
      <c r="BF11" s="14">
        <f t="shared" si="1"/>
        <v>46023</v>
      </c>
      <c r="BG11" s="23" t="str">
        <f t="shared" si="2"/>
        <v>January 2026</v>
      </c>
      <c r="BH11" s="14">
        <f t="shared" si="3"/>
        <v>46020</v>
      </c>
      <c r="BI11" s="14">
        <f t="shared" si="4"/>
        <v>46026</v>
      </c>
      <c r="BJ11" s="17" t="str">
        <f t="shared" si="5"/>
        <v>29/12/2025 - 04/01/2026</v>
      </c>
      <c r="BK11" s="17">
        <f>IF($B11="","",COUNTIFS($B$5:$B11,$B11,$BF$5:$BF11,$BF11))</f>
        <v>7</v>
      </c>
      <c r="BL11" s="17">
        <f>IF($B11="","",COUNTIFS($B$5:$B11,$B11,$BH$5:$BH11,$BH11))</f>
        <v>7</v>
      </c>
      <c r="BM11" s="17" t="str">
        <f t="shared" si="6"/>
        <v>07|Anucha Makundin|20260101</v>
      </c>
      <c r="BN11" s="17" t="str">
        <f t="shared" si="7"/>
        <v>07|Anucha Makundin|20251229</v>
      </c>
      <c r="BO11" s="17">
        <f t="shared" si="8"/>
        <v>0</v>
      </c>
      <c r="BP11" s="24" t="s">
        <v>110</v>
      </c>
      <c r="BQ11" s="13"/>
      <c r="BR11" s="25" t="str">
        <f t="shared" si="9"/>
        <v>Jan-Feb 2026</v>
      </c>
    </row>
    <row r="12" spans="1:70" s="18" customFormat="1" ht="15" customHeight="1">
      <c r="A12" s="14">
        <v>46053.553375937503</v>
      </c>
      <c r="B12" s="15" t="s">
        <v>82</v>
      </c>
      <c r="C12" s="14">
        <v>46023</v>
      </c>
      <c r="D12" s="16"/>
      <c r="E12" s="16"/>
      <c r="F12" s="17" t="s">
        <v>111</v>
      </c>
      <c r="G12" s="13" t="s">
        <v>112</v>
      </c>
      <c r="H12" s="18">
        <v>5</v>
      </c>
      <c r="J12" s="18">
        <v>15</v>
      </c>
      <c r="L12" s="18">
        <v>10</v>
      </c>
      <c r="N12" s="18">
        <v>10</v>
      </c>
      <c r="P12" s="18">
        <v>17</v>
      </c>
      <c r="R12" s="18">
        <v>10</v>
      </c>
      <c r="T12" s="17"/>
      <c r="U12" s="19"/>
      <c r="V12" s="17"/>
      <c r="W12" s="19"/>
      <c r="X12" s="17"/>
      <c r="Y12" s="19"/>
      <c r="Z12" s="17"/>
      <c r="AA12" s="19"/>
      <c r="AB12" s="17"/>
      <c r="AC12" s="20"/>
      <c r="AD12" s="17"/>
      <c r="AE12" s="20"/>
      <c r="AF12" s="17"/>
      <c r="AG12" s="21"/>
      <c r="AH12" s="17"/>
      <c r="AI12" s="19"/>
      <c r="AJ12" s="17"/>
      <c r="AK12" s="19"/>
      <c r="AL12" s="17"/>
      <c r="AM12" s="21"/>
      <c r="AN12" s="17"/>
      <c r="AO12" s="19"/>
      <c r="AP12" s="17"/>
      <c r="AQ12" s="19"/>
      <c r="AR12" s="17"/>
      <c r="AS12" s="19"/>
      <c r="AT12" s="17"/>
      <c r="AU12" s="21"/>
      <c r="AV12" s="17"/>
      <c r="AW12" s="21"/>
      <c r="AX12" s="17"/>
      <c r="AY12" s="21"/>
      <c r="AZ12" s="17"/>
      <c r="BA12" s="21"/>
      <c r="BB12" s="17" t="s">
        <v>72</v>
      </c>
      <c r="BC12" s="21" t="s">
        <v>113</v>
      </c>
      <c r="BD12" s="17"/>
      <c r="BE12" s="22">
        <f t="shared" si="0"/>
        <v>67</v>
      </c>
      <c r="BF12" s="14">
        <f t="shared" si="1"/>
        <v>46023</v>
      </c>
      <c r="BG12" s="23" t="str">
        <f t="shared" si="2"/>
        <v>January 2026</v>
      </c>
      <c r="BH12" s="14">
        <f t="shared" si="3"/>
        <v>46020</v>
      </c>
      <c r="BI12" s="14">
        <f t="shared" si="4"/>
        <v>46026</v>
      </c>
      <c r="BJ12" s="17" t="str">
        <f t="shared" si="5"/>
        <v>29/12/2025 - 04/01/2026</v>
      </c>
      <c r="BK12" s="17">
        <f>IF($B12="","",COUNTIFS($B$5:$B12,$B12,$BF$5:$BF12,$BF12))</f>
        <v>8</v>
      </c>
      <c r="BL12" s="17">
        <f>IF($B12="","",COUNTIFS($B$5:$B12,$B12,$BH$5:$BH12,$BH12))</f>
        <v>8</v>
      </c>
      <c r="BM12" s="17" t="str">
        <f t="shared" si="6"/>
        <v>08|Anucha Makundin|20260101</v>
      </c>
      <c r="BN12" s="17" t="str">
        <f t="shared" si="7"/>
        <v>08|Anucha Makundin|20251229</v>
      </c>
      <c r="BO12" s="17">
        <f t="shared" si="8"/>
        <v>0</v>
      </c>
      <c r="BP12" s="24" t="s">
        <v>114</v>
      </c>
      <c r="BQ12" s="13"/>
      <c r="BR12" s="25" t="str">
        <f t="shared" si="9"/>
        <v>Jan-Feb 2026</v>
      </c>
    </row>
    <row r="13" spans="1:70" s="18" customFormat="1" ht="15" customHeight="1">
      <c r="A13" s="14">
        <v>46053.55766716435</v>
      </c>
      <c r="B13" s="15" t="s">
        <v>82</v>
      </c>
      <c r="C13" s="14">
        <v>46023</v>
      </c>
      <c r="D13" s="16"/>
      <c r="E13" s="16"/>
      <c r="F13" s="17" t="s">
        <v>115</v>
      </c>
      <c r="G13" s="13" t="s">
        <v>116</v>
      </c>
      <c r="H13" s="18">
        <v>5</v>
      </c>
      <c r="J13" s="18">
        <v>18</v>
      </c>
      <c r="L13" s="18">
        <v>14</v>
      </c>
      <c r="N13" s="18">
        <v>7</v>
      </c>
      <c r="P13" s="18">
        <v>15</v>
      </c>
      <c r="R13" s="18">
        <v>9</v>
      </c>
      <c r="T13" s="17"/>
      <c r="U13" s="19"/>
      <c r="V13" s="17"/>
      <c r="W13" s="19"/>
      <c r="X13" s="17"/>
      <c r="Y13" s="19"/>
      <c r="Z13" s="17"/>
      <c r="AA13" s="19"/>
      <c r="AB13" s="17"/>
      <c r="AC13" s="20"/>
      <c r="AD13" s="17"/>
      <c r="AE13" s="20"/>
      <c r="AF13" s="17"/>
      <c r="AG13" s="21"/>
      <c r="AH13" s="17"/>
      <c r="AI13" s="19"/>
      <c r="AJ13" s="17"/>
      <c r="AK13" s="19"/>
      <c r="AL13" s="17"/>
      <c r="AM13" s="21"/>
      <c r="AN13" s="17"/>
      <c r="AO13" s="19"/>
      <c r="AP13" s="17"/>
      <c r="AQ13" s="19"/>
      <c r="AR13" s="17"/>
      <c r="AS13" s="19"/>
      <c r="AT13" s="17"/>
      <c r="AU13" s="21"/>
      <c r="AV13" s="17"/>
      <c r="AW13" s="21"/>
      <c r="AX13" s="17"/>
      <c r="AY13" s="21"/>
      <c r="AZ13" s="17"/>
      <c r="BA13" s="21"/>
      <c r="BB13" s="17" t="s">
        <v>72</v>
      </c>
      <c r="BC13" s="21" t="s">
        <v>90</v>
      </c>
      <c r="BD13" s="17"/>
      <c r="BE13" s="22">
        <f t="shared" si="0"/>
        <v>68</v>
      </c>
      <c r="BF13" s="14">
        <f t="shared" si="1"/>
        <v>46023</v>
      </c>
      <c r="BG13" s="23" t="str">
        <f t="shared" si="2"/>
        <v>January 2026</v>
      </c>
      <c r="BH13" s="14">
        <f t="shared" si="3"/>
        <v>46020</v>
      </c>
      <c r="BI13" s="14">
        <f t="shared" si="4"/>
        <v>46026</v>
      </c>
      <c r="BJ13" s="17" t="str">
        <f t="shared" si="5"/>
        <v>29/12/2025 - 04/01/2026</v>
      </c>
      <c r="BK13" s="17">
        <f>IF($B13="","",COUNTIFS($B$5:$B13,$B13,$BF$5:$BF13,$BF13))</f>
        <v>9</v>
      </c>
      <c r="BL13" s="17">
        <f>IF($B13="","",COUNTIFS($B$5:$B13,$B13,$BH$5:$BH13,$BH13))</f>
        <v>9</v>
      </c>
      <c r="BM13" s="17" t="str">
        <f t="shared" si="6"/>
        <v>09|Anucha Makundin|20260101</v>
      </c>
      <c r="BN13" s="17" t="str">
        <f t="shared" si="7"/>
        <v>09|Anucha Makundin|20251229</v>
      </c>
      <c r="BO13" s="17">
        <f t="shared" si="8"/>
        <v>0</v>
      </c>
      <c r="BP13" s="24" t="s">
        <v>117</v>
      </c>
      <c r="BQ13" s="13"/>
      <c r="BR13" s="25" t="str">
        <f t="shared" si="9"/>
        <v>Jan-Feb 2026</v>
      </c>
    </row>
    <row r="14" spans="1:70" s="18" customFormat="1" ht="15" customHeight="1">
      <c r="A14" s="14">
        <v>46053.560588692133</v>
      </c>
      <c r="B14" s="15" t="s">
        <v>82</v>
      </c>
      <c r="C14" s="14">
        <v>46023</v>
      </c>
      <c r="D14" s="16"/>
      <c r="E14" s="16"/>
      <c r="F14" s="17" t="s">
        <v>118</v>
      </c>
      <c r="G14" s="13" t="s">
        <v>119</v>
      </c>
      <c r="H14" s="18">
        <v>5</v>
      </c>
      <c r="J14" s="18">
        <v>20</v>
      </c>
      <c r="L14" s="18">
        <v>10</v>
      </c>
      <c r="N14" s="18">
        <v>9</v>
      </c>
      <c r="P14" s="18">
        <v>15</v>
      </c>
      <c r="R14" s="18">
        <v>9</v>
      </c>
      <c r="T14" s="17"/>
      <c r="U14" s="19"/>
      <c r="V14" s="17"/>
      <c r="W14" s="19"/>
      <c r="X14" s="17"/>
      <c r="Y14" s="19"/>
      <c r="Z14" s="17"/>
      <c r="AA14" s="19"/>
      <c r="AB14" s="17"/>
      <c r="AC14" s="20"/>
      <c r="AD14" s="17"/>
      <c r="AE14" s="20"/>
      <c r="AF14" s="17"/>
      <c r="AG14" s="21"/>
      <c r="AH14" s="17"/>
      <c r="AI14" s="19"/>
      <c r="AJ14" s="17"/>
      <c r="AK14" s="19"/>
      <c r="AL14" s="17"/>
      <c r="AM14" s="21"/>
      <c r="AN14" s="17"/>
      <c r="AO14" s="19"/>
      <c r="AP14" s="17"/>
      <c r="AQ14" s="19"/>
      <c r="AR14" s="17"/>
      <c r="AS14" s="19"/>
      <c r="AT14" s="17"/>
      <c r="AU14" s="21"/>
      <c r="AV14" s="17"/>
      <c r="AW14" s="21"/>
      <c r="AX14" s="17"/>
      <c r="AY14" s="21"/>
      <c r="AZ14" s="17"/>
      <c r="BA14" s="21"/>
      <c r="BB14" s="17" t="s">
        <v>72</v>
      </c>
      <c r="BC14" s="21" t="s">
        <v>90</v>
      </c>
      <c r="BD14" s="17"/>
      <c r="BE14" s="22">
        <f t="shared" si="0"/>
        <v>68</v>
      </c>
      <c r="BF14" s="14">
        <f t="shared" si="1"/>
        <v>46023</v>
      </c>
      <c r="BG14" s="23" t="str">
        <f t="shared" si="2"/>
        <v>January 2026</v>
      </c>
      <c r="BH14" s="14">
        <f t="shared" si="3"/>
        <v>46020</v>
      </c>
      <c r="BI14" s="14">
        <f t="shared" si="4"/>
        <v>46026</v>
      </c>
      <c r="BJ14" s="17" t="str">
        <f t="shared" si="5"/>
        <v>29/12/2025 - 04/01/2026</v>
      </c>
      <c r="BK14" s="17">
        <f>IF($B14="","",COUNTIFS($B$5:$B14,$B14,$BF$5:$BF14,$BF14))</f>
        <v>10</v>
      </c>
      <c r="BL14" s="17">
        <f>IF($B14="","",COUNTIFS($B$5:$B14,$B14,$BH$5:$BH14,$BH14))</f>
        <v>10</v>
      </c>
      <c r="BM14" s="17" t="str">
        <f t="shared" si="6"/>
        <v>10|Anucha Makundin|20260101</v>
      </c>
      <c r="BN14" s="17" t="str">
        <f t="shared" si="7"/>
        <v>10|Anucha Makundin|20251229</v>
      </c>
      <c r="BO14" s="17">
        <f t="shared" si="8"/>
        <v>0</v>
      </c>
      <c r="BP14" s="24" t="s">
        <v>120</v>
      </c>
      <c r="BQ14" s="13"/>
      <c r="BR14" s="25" t="str">
        <f t="shared" si="9"/>
        <v>Jan-Feb 2026</v>
      </c>
    </row>
    <row r="15" spans="1:70" s="18" customFormat="1" ht="15" customHeight="1">
      <c r="A15" s="14">
        <v>46040.17906736111</v>
      </c>
      <c r="B15" s="15" t="s">
        <v>74</v>
      </c>
      <c r="C15" s="14">
        <v>46023</v>
      </c>
      <c r="D15" s="16"/>
      <c r="E15" s="16"/>
      <c r="F15" s="17" t="s">
        <v>121</v>
      </c>
      <c r="G15" s="13" t="s">
        <v>122</v>
      </c>
      <c r="H15" s="18">
        <v>10</v>
      </c>
      <c r="J15" s="18">
        <v>30</v>
      </c>
      <c r="L15" s="18">
        <v>20</v>
      </c>
      <c r="N15" s="18">
        <v>10</v>
      </c>
      <c r="P15" s="18">
        <v>17</v>
      </c>
      <c r="R15" s="18">
        <v>5</v>
      </c>
      <c r="T15" s="17"/>
      <c r="U15" s="19"/>
      <c r="V15" s="17"/>
      <c r="W15" s="19"/>
      <c r="X15" s="17"/>
      <c r="Y15" s="19"/>
      <c r="Z15" s="17"/>
      <c r="AA15" s="19"/>
      <c r="AB15" s="17"/>
      <c r="AC15" s="20"/>
      <c r="AD15" s="17"/>
      <c r="AE15" s="20"/>
      <c r="AF15" s="17"/>
      <c r="AG15" s="21"/>
      <c r="AH15" s="17"/>
      <c r="AI15" s="19"/>
      <c r="AJ15" s="17"/>
      <c r="AK15" s="19"/>
      <c r="AL15" s="17"/>
      <c r="AM15" s="21"/>
      <c r="AN15" s="17"/>
      <c r="AO15" s="19"/>
      <c r="AP15" s="17"/>
      <c r="AQ15" s="19"/>
      <c r="AR15" s="17"/>
      <c r="AS15" s="19"/>
      <c r="AT15" s="17"/>
      <c r="AU15" s="21"/>
      <c r="AV15" s="17"/>
      <c r="AW15" s="21"/>
      <c r="AX15" s="17"/>
      <c r="AY15" s="21"/>
      <c r="AZ15" s="17"/>
      <c r="BA15" s="21"/>
      <c r="BB15" s="17" t="s">
        <v>72</v>
      </c>
      <c r="BC15" s="21" t="s">
        <v>123</v>
      </c>
      <c r="BD15" s="17"/>
      <c r="BE15" s="22">
        <f t="shared" si="0"/>
        <v>92</v>
      </c>
      <c r="BF15" s="14">
        <f t="shared" si="1"/>
        <v>46023</v>
      </c>
      <c r="BG15" s="23" t="str">
        <f t="shared" si="2"/>
        <v>January 2026</v>
      </c>
      <c r="BH15" s="14">
        <f t="shared" si="3"/>
        <v>46020</v>
      </c>
      <c r="BI15" s="14">
        <f t="shared" si="4"/>
        <v>46026</v>
      </c>
      <c r="BJ15" s="17" t="str">
        <f t="shared" si="5"/>
        <v>29/12/2025 - 04/01/2026</v>
      </c>
      <c r="BK15" s="17">
        <f>IF($B15="","",COUNTIFS($B$5:$B15,$B15,$BF$5:$BF15,$BF15))</f>
        <v>1</v>
      </c>
      <c r="BL15" s="17">
        <f>IF($B15="","",COUNTIFS($B$5:$B15,$B15,$BH$5:$BH15,$BH15))</f>
        <v>1</v>
      </c>
      <c r="BM15" s="17" t="str">
        <f t="shared" si="6"/>
        <v>01|Arisa Aiemrit|20260101</v>
      </c>
      <c r="BN15" s="17" t="str">
        <f t="shared" si="7"/>
        <v>01|Arisa Aiemrit|20251229</v>
      </c>
      <c r="BO15" s="17">
        <f t="shared" si="8"/>
        <v>0</v>
      </c>
      <c r="BP15" s="24" t="s">
        <v>124</v>
      </c>
      <c r="BQ15" s="13"/>
      <c r="BR15" s="25" t="str">
        <f t="shared" si="9"/>
        <v>Jan-Feb 2026</v>
      </c>
    </row>
    <row r="16" spans="1:70" s="18" customFormat="1" ht="15" customHeight="1">
      <c r="A16" s="14">
        <v>46052.446842627323</v>
      </c>
      <c r="B16" s="15" t="s">
        <v>74</v>
      </c>
      <c r="C16" s="14">
        <v>46023</v>
      </c>
      <c r="D16" s="16"/>
      <c r="E16" s="16"/>
      <c r="F16" s="17" t="s">
        <v>125</v>
      </c>
      <c r="G16" s="13" t="s">
        <v>126</v>
      </c>
      <c r="H16" s="18">
        <v>10</v>
      </c>
      <c r="J16" s="18">
        <v>27</v>
      </c>
      <c r="L16" s="18">
        <v>18</v>
      </c>
      <c r="N16" s="18">
        <v>10</v>
      </c>
      <c r="P16" s="18">
        <v>12</v>
      </c>
      <c r="R16" s="18">
        <v>10</v>
      </c>
      <c r="T16" s="17"/>
      <c r="U16" s="19"/>
      <c r="V16" s="17"/>
      <c r="W16" s="19"/>
      <c r="X16" s="17"/>
      <c r="Y16" s="19"/>
      <c r="Z16" s="17"/>
      <c r="AA16" s="19"/>
      <c r="AB16" s="17"/>
      <c r="AC16" s="20"/>
      <c r="AD16" s="17"/>
      <c r="AE16" s="20"/>
      <c r="AF16" s="17"/>
      <c r="AG16" s="21"/>
      <c r="AH16" s="17"/>
      <c r="AI16" s="19"/>
      <c r="AJ16" s="17"/>
      <c r="AK16" s="19"/>
      <c r="AL16" s="17"/>
      <c r="AM16" s="21"/>
      <c r="AN16" s="17"/>
      <c r="AO16" s="19"/>
      <c r="AP16" s="17"/>
      <c r="AQ16" s="19"/>
      <c r="AR16" s="17"/>
      <c r="AS16" s="19"/>
      <c r="AT16" s="17"/>
      <c r="AU16" s="21"/>
      <c r="AV16" s="17"/>
      <c r="AW16" s="21"/>
      <c r="AX16" s="17"/>
      <c r="AY16" s="21"/>
      <c r="AZ16" s="17"/>
      <c r="BA16" s="21"/>
      <c r="BB16" s="17" t="s">
        <v>72</v>
      </c>
      <c r="BC16" s="21" t="s">
        <v>127</v>
      </c>
      <c r="BD16" s="17"/>
      <c r="BE16" s="22">
        <f t="shared" si="0"/>
        <v>87</v>
      </c>
      <c r="BF16" s="14">
        <f t="shared" si="1"/>
        <v>46023</v>
      </c>
      <c r="BG16" s="23" t="str">
        <f t="shared" si="2"/>
        <v>January 2026</v>
      </c>
      <c r="BH16" s="14">
        <f t="shared" si="3"/>
        <v>46020</v>
      </c>
      <c r="BI16" s="14">
        <f t="shared" si="4"/>
        <v>46026</v>
      </c>
      <c r="BJ16" s="17" t="str">
        <f t="shared" si="5"/>
        <v>29/12/2025 - 04/01/2026</v>
      </c>
      <c r="BK16" s="17">
        <f>IF($B16="","",COUNTIFS($B$5:$B16,$B16,$BF$5:$BF16,$BF16))</f>
        <v>2</v>
      </c>
      <c r="BL16" s="17">
        <f>IF($B16="","",COUNTIFS($B$5:$B16,$B16,$BH$5:$BH16,$BH16))</f>
        <v>2</v>
      </c>
      <c r="BM16" s="17" t="str">
        <f t="shared" si="6"/>
        <v>02|Arisa Aiemrit|20260101</v>
      </c>
      <c r="BN16" s="17" t="str">
        <f t="shared" si="7"/>
        <v>02|Arisa Aiemrit|20251229</v>
      </c>
      <c r="BO16" s="17">
        <f t="shared" si="8"/>
        <v>0</v>
      </c>
      <c r="BP16" s="24" t="s">
        <v>128</v>
      </c>
      <c r="BQ16" s="13"/>
      <c r="BR16" s="25" t="str">
        <f t="shared" si="9"/>
        <v>Jan-Feb 2026</v>
      </c>
    </row>
    <row r="17" spans="1:70" s="18" customFormat="1" ht="15" customHeight="1">
      <c r="A17" s="14">
        <v>46052.447593750003</v>
      </c>
      <c r="B17" s="15" t="s">
        <v>74</v>
      </c>
      <c r="C17" s="14">
        <v>46023</v>
      </c>
      <c r="D17" s="16"/>
      <c r="E17" s="16"/>
      <c r="F17" s="17" t="s">
        <v>129</v>
      </c>
      <c r="G17" s="13" t="s">
        <v>130</v>
      </c>
      <c r="H17" s="18">
        <v>10</v>
      </c>
      <c r="J17" s="18">
        <v>28</v>
      </c>
      <c r="L17" s="18">
        <v>20</v>
      </c>
      <c r="N17" s="18">
        <v>10</v>
      </c>
      <c r="P17" s="18">
        <v>17</v>
      </c>
      <c r="R17" s="18">
        <v>10</v>
      </c>
      <c r="T17" s="17"/>
      <c r="U17" s="19"/>
      <c r="V17" s="17"/>
      <c r="W17" s="19"/>
      <c r="X17" s="17"/>
      <c r="Y17" s="19"/>
      <c r="Z17" s="17"/>
      <c r="AA17" s="19"/>
      <c r="AB17" s="17"/>
      <c r="AC17" s="20"/>
      <c r="AD17" s="17"/>
      <c r="AE17" s="20"/>
      <c r="AF17" s="17"/>
      <c r="AG17" s="21"/>
      <c r="AH17" s="17"/>
      <c r="AI17" s="19"/>
      <c r="AJ17" s="17"/>
      <c r="AK17" s="19"/>
      <c r="AL17" s="17"/>
      <c r="AM17" s="21"/>
      <c r="AN17" s="17"/>
      <c r="AO17" s="19"/>
      <c r="AP17" s="17"/>
      <c r="AQ17" s="19"/>
      <c r="AR17" s="17"/>
      <c r="AS17" s="19"/>
      <c r="AT17" s="17"/>
      <c r="AU17" s="21"/>
      <c r="AV17" s="17"/>
      <c r="AW17" s="21"/>
      <c r="AX17" s="17"/>
      <c r="AY17" s="21"/>
      <c r="AZ17" s="17"/>
      <c r="BA17" s="21"/>
      <c r="BB17" s="17" t="s">
        <v>72</v>
      </c>
      <c r="BC17" s="21" t="s">
        <v>86</v>
      </c>
      <c r="BD17" s="17"/>
      <c r="BE17" s="22">
        <f t="shared" si="0"/>
        <v>95</v>
      </c>
      <c r="BF17" s="14">
        <f t="shared" si="1"/>
        <v>46023</v>
      </c>
      <c r="BG17" s="23" t="str">
        <f t="shared" si="2"/>
        <v>January 2026</v>
      </c>
      <c r="BH17" s="14">
        <f t="shared" si="3"/>
        <v>46020</v>
      </c>
      <c r="BI17" s="14">
        <f t="shared" si="4"/>
        <v>46026</v>
      </c>
      <c r="BJ17" s="17" t="str">
        <f t="shared" si="5"/>
        <v>29/12/2025 - 04/01/2026</v>
      </c>
      <c r="BK17" s="17">
        <f>IF($B17="","",COUNTIFS($B$5:$B17,$B17,$BF$5:$BF17,$BF17))</f>
        <v>3</v>
      </c>
      <c r="BL17" s="17">
        <f>IF($B17="","",COUNTIFS($B$5:$B17,$B17,$BH$5:$BH17,$BH17))</f>
        <v>3</v>
      </c>
      <c r="BM17" s="17" t="str">
        <f t="shared" si="6"/>
        <v>03|Arisa Aiemrit|20260101</v>
      </c>
      <c r="BN17" s="17" t="str">
        <f t="shared" si="7"/>
        <v>03|Arisa Aiemrit|20251229</v>
      </c>
      <c r="BO17" s="17">
        <f t="shared" si="8"/>
        <v>0</v>
      </c>
      <c r="BP17" s="24" t="s">
        <v>131</v>
      </c>
      <c r="BQ17" s="13"/>
      <c r="BR17" s="25" t="str">
        <f t="shared" si="9"/>
        <v>Jan-Feb 2026</v>
      </c>
    </row>
    <row r="18" spans="1:70" s="18" customFormat="1" ht="15" customHeight="1">
      <c r="A18" s="14">
        <v>46052.449990636567</v>
      </c>
      <c r="B18" s="15" t="s">
        <v>74</v>
      </c>
      <c r="C18" s="14">
        <v>46023</v>
      </c>
      <c r="D18" s="16"/>
      <c r="E18" s="16"/>
      <c r="F18" s="17" t="s">
        <v>132</v>
      </c>
      <c r="G18" s="13" t="s">
        <v>133</v>
      </c>
      <c r="H18" s="18">
        <v>9</v>
      </c>
      <c r="J18" s="18">
        <v>27</v>
      </c>
      <c r="L18" s="18">
        <v>19</v>
      </c>
      <c r="N18" s="18">
        <v>10</v>
      </c>
      <c r="P18" s="18">
        <v>17</v>
      </c>
      <c r="R18" s="18">
        <v>10</v>
      </c>
      <c r="T18" s="17"/>
      <c r="U18" s="19"/>
      <c r="V18" s="17"/>
      <c r="W18" s="19"/>
      <c r="X18" s="17"/>
      <c r="Y18" s="19"/>
      <c r="Z18" s="17"/>
      <c r="AA18" s="19"/>
      <c r="AB18" s="17"/>
      <c r="AC18" s="20"/>
      <c r="AD18" s="17"/>
      <c r="AE18" s="20"/>
      <c r="AF18" s="17"/>
      <c r="AG18" s="21"/>
      <c r="AH18" s="17"/>
      <c r="AI18" s="19"/>
      <c r="AJ18" s="17"/>
      <c r="AK18" s="19"/>
      <c r="AL18" s="17"/>
      <c r="AM18" s="21"/>
      <c r="AN18" s="17"/>
      <c r="AO18" s="19"/>
      <c r="AP18" s="17"/>
      <c r="AQ18" s="19"/>
      <c r="AR18" s="17"/>
      <c r="AS18" s="19"/>
      <c r="AT18" s="17"/>
      <c r="AU18" s="21"/>
      <c r="AV18" s="17"/>
      <c r="AW18" s="21"/>
      <c r="AX18" s="17"/>
      <c r="AY18" s="21"/>
      <c r="AZ18" s="17"/>
      <c r="BA18" s="21"/>
      <c r="BB18" s="17" t="s">
        <v>72</v>
      </c>
      <c r="BC18" s="21" t="s">
        <v>134</v>
      </c>
      <c r="BD18" s="17"/>
      <c r="BE18" s="22">
        <f t="shared" si="0"/>
        <v>92</v>
      </c>
      <c r="BF18" s="14">
        <f t="shared" si="1"/>
        <v>46023</v>
      </c>
      <c r="BG18" s="23" t="str">
        <f t="shared" si="2"/>
        <v>January 2026</v>
      </c>
      <c r="BH18" s="14">
        <f t="shared" si="3"/>
        <v>46020</v>
      </c>
      <c r="BI18" s="14">
        <f t="shared" si="4"/>
        <v>46026</v>
      </c>
      <c r="BJ18" s="17" t="str">
        <f t="shared" si="5"/>
        <v>29/12/2025 - 04/01/2026</v>
      </c>
      <c r="BK18" s="17">
        <f>IF($B18="","",COUNTIFS($B$5:$B18,$B18,$BF$5:$BF18,$BF18))</f>
        <v>4</v>
      </c>
      <c r="BL18" s="17">
        <f>IF($B18="","",COUNTIFS($B$5:$B18,$B18,$BH$5:$BH18,$BH18))</f>
        <v>4</v>
      </c>
      <c r="BM18" s="17" t="str">
        <f t="shared" si="6"/>
        <v>04|Arisa Aiemrit|20260101</v>
      </c>
      <c r="BN18" s="17" t="str">
        <f t="shared" si="7"/>
        <v>04|Arisa Aiemrit|20251229</v>
      </c>
      <c r="BO18" s="17">
        <f t="shared" si="8"/>
        <v>0</v>
      </c>
      <c r="BP18" s="24" t="s">
        <v>135</v>
      </c>
      <c r="BQ18" s="13"/>
      <c r="BR18" s="25" t="str">
        <f t="shared" si="9"/>
        <v>Jan-Feb 2026</v>
      </c>
    </row>
    <row r="19" spans="1:70" s="18" customFormat="1" ht="15" customHeight="1">
      <c r="A19" s="14">
        <v>46052.451006435193</v>
      </c>
      <c r="B19" s="15" t="s">
        <v>74</v>
      </c>
      <c r="C19" s="14">
        <v>46023</v>
      </c>
      <c r="D19" s="16"/>
      <c r="E19" s="16"/>
      <c r="F19" s="17" t="s">
        <v>136</v>
      </c>
      <c r="G19" s="13" t="s">
        <v>137</v>
      </c>
      <c r="H19" s="18">
        <v>5</v>
      </c>
      <c r="J19" s="18">
        <v>15</v>
      </c>
      <c r="L19" s="18">
        <v>10</v>
      </c>
      <c r="N19" s="18">
        <v>10</v>
      </c>
      <c r="P19" s="18">
        <v>18</v>
      </c>
      <c r="R19" s="18">
        <v>10</v>
      </c>
      <c r="T19" s="17"/>
      <c r="U19" s="19"/>
      <c r="V19" s="17"/>
      <c r="W19" s="19"/>
      <c r="X19" s="17"/>
      <c r="Y19" s="19"/>
      <c r="Z19" s="17"/>
      <c r="AA19" s="19"/>
      <c r="AB19" s="17"/>
      <c r="AC19" s="20"/>
      <c r="AD19" s="17"/>
      <c r="AE19" s="20"/>
      <c r="AF19" s="17"/>
      <c r="AG19" s="21"/>
      <c r="AH19" s="17"/>
      <c r="AI19" s="19"/>
      <c r="AJ19" s="17"/>
      <c r="AK19" s="19"/>
      <c r="AL19" s="17"/>
      <c r="AM19" s="21"/>
      <c r="AN19" s="17"/>
      <c r="AO19" s="19"/>
      <c r="AP19" s="17"/>
      <c r="AQ19" s="19"/>
      <c r="AR19" s="17"/>
      <c r="AS19" s="19"/>
      <c r="AT19" s="17"/>
      <c r="AU19" s="21"/>
      <c r="AV19" s="17"/>
      <c r="AW19" s="21"/>
      <c r="AX19" s="17"/>
      <c r="AY19" s="21"/>
      <c r="AZ19" s="17"/>
      <c r="BA19" s="21"/>
      <c r="BB19" s="17" t="s">
        <v>72</v>
      </c>
      <c r="BC19" s="21" t="s">
        <v>138</v>
      </c>
      <c r="BD19" s="17"/>
      <c r="BE19" s="22">
        <f t="shared" si="0"/>
        <v>68</v>
      </c>
      <c r="BF19" s="14">
        <f t="shared" si="1"/>
        <v>46023</v>
      </c>
      <c r="BG19" s="23" t="str">
        <f t="shared" si="2"/>
        <v>January 2026</v>
      </c>
      <c r="BH19" s="14">
        <f t="shared" si="3"/>
        <v>46020</v>
      </c>
      <c r="BI19" s="14">
        <f t="shared" si="4"/>
        <v>46026</v>
      </c>
      <c r="BJ19" s="17" t="str">
        <f t="shared" si="5"/>
        <v>29/12/2025 - 04/01/2026</v>
      </c>
      <c r="BK19" s="17">
        <f>IF($B19="","",COUNTIFS($B$5:$B19,$B19,$BF$5:$BF19,$BF19))</f>
        <v>5</v>
      </c>
      <c r="BL19" s="17">
        <f>IF($B19="","",COUNTIFS($B$5:$B19,$B19,$BH$5:$BH19,$BH19))</f>
        <v>5</v>
      </c>
      <c r="BM19" s="17" t="str">
        <f t="shared" si="6"/>
        <v>05|Arisa Aiemrit|20260101</v>
      </c>
      <c r="BN19" s="17" t="str">
        <f t="shared" si="7"/>
        <v>05|Arisa Aiemrit|20251229</v>
      </c>
      <c r="BO19" s="17">
        <f t="shared" si="8"/>
        <v>0</v>
      </c>
      <c r="BP19" s="24" t="s">
        <v>139</v>
      </c>
      <c r="BQ19" s="13"/>
      <c r="BR19" s="25" t="str">
        <f t="shared" si="9"/>
        <v>Jan-Feb 2026</v>
      </c>
    </row>
    <row r="20" spans="1:70" s="18" customFormat="1" ht="15" customHeight="1">
      <c r="A20" s="14">
        <v>46052.455852025458</v>
      </c>
      <c r="B20" s="15" t="s">
        <v>74</v>
      </c>
      <c r="C20" s="14">
        <v>46023</v>
      </c>
      <c r="D20" s="16"/>
      <c r="E20" s="16"/>
      <c r="F20" s="17" t="s">
        <v>140</v>
      </c>
      <c r="G20" s="13" t="s">
        <v>141</v>
      </c>
      <c r="H20" s="18">
        <v>10</v>
      </c>
      <c r="J20" s="18">
        <v>24</v>
      </c>
      <c r="L20" s="18">
        <v>16</v>
      </c>
      <c r="N20" s="18">
        <v>10</v>
      </c>
      <c r="P20" s="18">
        <v>10</v>
      </c>
      <c r="R20" s="18">
        <v>10</v>
      </c>
      <c r="T20" s="17"/>
      <c r="U20" s="19"/>
      <c r="V20" s="17"/>
      <c r="W20" s="19"/>
      <c r="X20" s="17"/>
      <c r="Y20" s="19"/>
      <c r="Z20" s="17"/>
      <c r="AA20" s="19"/>
      <c r="AB20" s="17"/>
      <c r="AC20" s="20"/>
      <c r="AD20" s="17"/>
      <c r="AE20" s="20"/>
      <c r="AF20" s="17"/>
      <c r="AG20" s="21"/>
      <c r="AH20" s="17"/>
      <c r="AI20" s="19"/>
      <c r="AJ20" s="17"/>
      <c r="AK20" s="19"/>
      <c r="AL20" s="17"/>
      <c r="AM20" s="21"/>
      <c r="AN20" s="17"/>
      <c r="AO20" s="19"/>
      <c r="AP20" s="17"/>
      <c r="AQ20" s="19"/>
      <c r="AR20" s="17"/>
      <c r="AS20" s="19"/>
      <c r="AT20" s="17"/>
      <c r="AU20" s="21"/>
      <c r="AV20" s="17"/>
      <c r="AW20" s="21"/>
      <c r="AX20" s="17"/>
      <c r="AY20" s="21"/>
      <c r="AZ20" s="17"/>
      <c r="BA20" s="21"/>
      <c r="BB20" s="17" t="s">
        <v>72</v>
      </c>
      <c r="BC20" s="21" t="s">
        <v>142</v>
      </c>
      <c r="BD20" s="17"/>
      <c r="BE20" s="22">
        <f t="shared" si="0"/>
        <v>80</v>
      </c>
      <c r="BF20" s="14">
        <f t="shared" si="1"/>
        <v>46023</v>
      </c>
      <c r="BG20" s="23" t="str">
        <f t="shared" si="2"/>
        <v>January 2026</v>
      </c>
      <c r="BH20" s="14">
        <f t="shared" si="3"/>
        <v>46020</v>
      </c>
      <c r="BI20" s="14">
        <f t="shared" si="4"/>
        <v>46026</v>
      </c>
      <c r="BJ20" s="17" t="str">
        <f t="shared" si="5"/>
        <v>29/12/2025 - 04/01/2026</v>
      </c>
      <c r="BK20" s="17">
        <f>IF($B20="","",COUNTIFS($B$5:$B20,$B20,$BF$5:$BF20,$BF20))</f>
        <v>6</v>
      </c>
      <c r="BL20" s="17">
        <f>IF($B20="","",COUNTIFS($B$5:$B20,$B20,$BH$5:$BH20,$BH20))</f>
        <v>6</v>
      </c>
      <c r="BM20" s="17" t="str">
        <f t="shared" si="6"/>
        <v>06|Arisa Aiemrit|20260101</v>
      </c>
      <c r="BN20" s="17" t="str">
        <f t="shared" si="7"/>
        <v>06|Arisa Aiemrit|20251229</v>
      </c>
      <c r="BO20" s="17">
        <f t="shared" si="8"/>
        <v>0</v>
      </c>
      <c r="BP20" s="24" t="s">
        <v>143</v>
      </c>
      <c r="BQ20" s="13"/>
      <c r="BR20" s="25" t="str">
        <f t="shared" si="9"/>
        <v>Jan-Feb 2026</v>
      </c>
    </row>
    <row r="21" spans="1:70" s="18" customFormat="1" ht="15" customHeight="1">
      <c r="A21" s="14">
        <v>46052.62258609954</v>
      </c>
      <c r="B21" s="15" t="s">
        <v>74</v>
      </c>
      <c r="C21" s="14">
        <v>46023</v>
      </c>
      <c r="D21" s="16"/>
      <c r="E21" s="16"/>
      <c r="F21" s="17" t="s">
        <v>144</v>
      </c>
      <c r="G21" s="13" t="s">
        <v>145</v>
      </c>
      <c r="H21" s="18">
        <v>10</v>
      </c>
      <c r="J21" s="18">
        <v>22</v>
      </c>
      <c r="L21" s="18">
        <v>14</v>
      </c>
      <c r="N21" s="18">
        <v>10</v>
      </c>
      <c r="P21" s="18">
        <v>18</v>
      </c>
      <c r="R21" s="18">
        <v>8</v>
      </c>
      <c r="T21" s="17"/>
      <c r="U21" s="19"/>
      <c r="V21" s="17"/>
      <c r="W21" s="19"/>
      <c r="X21" s="17"/>
      <c r="Y21" s="19"/>
      <c r="Z21" s="17"/>
      <c r="AA21" s="19"/>
      <c r="AB21" s="17"/>
      <c r="AC21" s="20"/>
      <c r="AD21" s="17"/>
      <c r="AE21" s="20"/>
      <c r="AF21" s="17"/>
      <c r="AG21" s="21"/>
      <c r="AH21" s="17"/>
      <c r="AI21" s="19"/>
      <c r="AJ21" s="17"/>
      <c r="AK21" s="19"/>
      <c r="AL21" s="17"/>
      <c r="AM21" s="21"/>
      <c r="AN21" s="17"/>
      <c r="AO21" s="19"/>
      <c r="AP21" s="17"/>
      <c r="AQ21" s="19"/>
      <c r="AR21" s="17"/>
      <c r="AS21" s="19"/>
      <c r="AT21" s="17"/>
      <c r="AU21" s="21"/>
      <c r="AV21" s="17"/>
      <c r="AW21" s="21"/>
      <c r="AX21" s="17"/>
      <c r="AY21" s="21"/>
      <c r="AZ21" s="17"/>
      <c r="BA21" s="21"/>
      <c r="BB21" s="17" t="s">
        <v>72</v>
      </c>
      <c r="BC21" s="21" t="s">
        <v>94</v>
      </c>
      <c r="BD21" s="17"/>
      <c r="BE21" s="22">
        <f t="shared" si="0"/>
        <v>82</v>
      </c>
      <c r="BF21" s="14">
        <f t="shared" si="1"/>
        <v>46023</v>
      </c>
      <c r="BG21" s="23" t="str">
        <f t="shared" si="2"/>
        <v>January 2026</v>
      </c>
      <c r="BH21" s="14">
        <f t="shared" si="3"/>
        <v>46020</v>
      </c>
      <c r="BI21" s="14">
        <f t="shared" si="4"/>
        <v>46026</v>
      </c>
      <c r="BJ21" s="17" t="str">
        <f t="shared" si="5"/>
        <v>29/12/2025 - 04/01/2026</v>
      </c>
      <c r="BK21" s="17">
        <f>IF($B21="","",COUNTIFS($B$5:$B21,$B21,$BF$5:$BF21,$BF21))</f>
        <v>7</v>
      </c>
      <c r="BL21" s="17">
        <f>IF($B21="","",COUNTIFS($B$5:$B21,$B21,$BH$5:$BH21,$BH21))</f>
        <v>7</v>
      </c>
      <c r="BM21" s="17" t="str">
        <f t="shared" si="6"/>
        <v>07|Arisa Aiemrit|20260101</v>
      </c>
      <c r="BN21" s="17" t="str">
        <f t="shared" si="7"/>
        <v>07|Arisa Aiemrit|20251229</v>
      </c>
      <c r="BO21" s="17">
        <f t="shared" si="8"/>
        <v>0</v>
      </c>
      <c r="BP21" s="24" t="s">
        <v>146</v>
      </c>
      <c r="BQ21" s="13"/>
      <c r="BR21" s="25" t="str">
        <f t="shared" si="9"/>
        <v>Jan-Feb 2026</v>
      </c>
    </row>
    <row r="22" spans="1:70" s="18" customFormat="1" ht="15" customHeight="1">
      <c r="A22" s="14">
        <v>46052.690206886567</v>
      </c>
      <c r="B22" s="15" t="s">
        <v>74</v>
      </c>
      <c r="C22" s="14">
        <v>46023</v>
      </c>
      <c r="D22" s="16"/>
      <c r="E22" s="16"/>
      <c r="F22" s="17" t="s">
        <v>147</v>
      </c>
      <c r="G22" s="13" t="s">
        <v>148</v>
      </c>
      <c r="H22" s="18">
        <v>10</v>
      </c>
      <c r="J22" s="18">
        <v>15</v>
      </c>
      <c r="L22" s="18">
        <v>10</v>
      </c>
      <c r="N22" s="18">
        <v>10</v>
      </c>
      <c r="P22" s="18">
        <v>16</v>
      </c>
      <c r="R22" s="18">
        <v>8</v>
      </c>
      <c r="T22" s="17"/>
      <c r="U22" s="19"/>
      <c r="V22" s="17"/>
      <c r="W22" s="19"/>
      <c r="X22" s="17"/>
      <c r="Y22" s="19"/>
      <c r="Z22" s="17"/>
      <c r="AA22" s="19"/>
      <c r="AB22" s="17"/>
      <c r="AC22" s="20"/>
      <c r="AD22" s="17"/>
      <c r="AE22" s="20"/>
      <c r="AF22" s="17"/>
      <c r="AG22" s="21"/>
      <c r="AH22" s="17"/>
      <c r="AI22" s="19"/>
      <c r="AJ22" s="17"/>
      <c r="AK22" s="19"/>
      <c r="AL22" s="17"/>
      <c r="AM22" s="21"/>
      <c r="AN22" s="17"/>
      <c r="AO22" s="19"/>
      <c r="AP22" s="17"/>
      <c r="AQ22" s="19"/>
      <c r="AR22" s="17"/>
      <c r="AS22" s="19"/>
      <c r="AT22" s="17"/>
      <c r="AU22" s="21"/>
      <c r="AV22" s="17"/>
      <c r="AW22" s="21"/>
      <c r="AX22" s="17"/>
      <c r="AY22" s="21"/>
      <c r="AZ22" s="17"/>
      <c r="BA22" s="21"/>
      <c r="BB22" s="17" t="s">
        <v>72</v>
      </c>
      <c r="BC22" s="21" t="s">
        <v>149</v>
      </c>
      <c r="BD22" s="17"/>
      <c r="BE22" s="22">
        <f t="shared" si="0"/>
        <v>69</v>
      </c>
      <c r="BF22" s="14">
        <f t="shared" si="1"/>
        <v>46023</v>
      </c>
      <c r="BG22" s="23" t="str">
        <f t="shared" si="2"/>
        <v>January 2026</v>
      </c>
      <c r="BH22" s="14">
        <f t="shared" si="3"/>
        <v>46020</v>
      </c>
      <c r="BI22" s="14">
        <f t="shared" si="4"/>
        <v>46026</v>
      </c>
      <c r="BJ22" s="17" t="str">
        <f t="shared" si="5"/>
        <v>29/12/2025 - 04/01/2026</v>
      </c>
      <c r="BK22" s="17">
        <f>IF($B22="","",COUNTIFS($B$5:$B22,$B22,$BF$5:$BF22,$BF22))</f>
        <v>8</v>
      </c>
      <c r="BL22" s="17">
        <f>IF($B22="","",COUNTIFS($B$5:$B22,$B22,$BH$5:$BH22,$BH22))</f>
        <v>8</v>
      </c>
      <c r="BM22" s="17" t="str">
        <f t="shared" si="6"/>
        <v>08|Arisa Aiemrit|20260101</v>
      </c>
      <c r="BN22" s="17" t="str">
        <f t="shared" si="7"/>
        <v>08|Arisa Aiemrit|20251229</v>
      </c>
      <c r="BO22" s="17">
        <f t="shared" si="8"/>
        <v>0</v>
      </c>
      <c r="BP22" s="24" t="s">
        <v>150</v>
      </c>
      <c r="BQ22" s="13"/>
      <c r="BR22" s="25" t="str">
        <f t="shared" si="9"/>
        <v>Jan-Feb 2026</v>
      </c>
    </row>
    <row r="23" spans="1:70" s="18" customFormat="1" ht="15" customHeight="1">
      <c r="A23" s="14">
        <v>46052.720949675917</v>
      </c>
      <c r="B23" s="15" t="s">
        <v>74</v>
      </c>
      <c r="C23" s="14">
        <v>46023</v>
      </c>
      <c r="D23" s="16"/>
      <c r="E23" s="16"/>
      <c r="F23" s="17" t="s">
        <v>151</v>
      </c>
      <c r="G23" s="13" t="s">
        <v>152</v>
      </c>
      <c r="H23" s="18">
        <v>10</v>
      </c>
      <c r="J23" s="18">
        <v>18</v>
      </c>
      <c r="L23" s="18">
        <v>12</v>
      </c>
      <c r="N23" s="18">
        <v>10</v>
      </c>
      <c r="P23" s="18">
        <v>16</v>
      </c>
      <c r="R23" s="18">
        <v>7</v>
      </c>
      <c r="T23" s="17"/>
      <c r="U23" s="19"/>
      <c r="V23" s="17"/>
      <c r="W23" s="19"/>
      <c r="X23" s="17"/>
      <c r="Y23" s="19"/>
      <c r="Z23" s="17"/>
      <c r="AA23" s="19"/>
      <c r="AB23" s="17"/>
      <c r="AC23" s="20"/>
      <c r="AD23" s="17"/>
      <c r="AE23" s="20"/>
      <c r="AF23" s="17"/>
      <c r="AG23" s="21"/>
      <c r="AH23" s="17"/>
      <c r="AI23" s="19"/>
      <c r="AJ23" s="17"/>
      <c r="AK23" s="19"/>
      <c r="AL23" s="17"/>
      <c r="AM23" s="21"/>
      <c r="AN23" s="17"/>
      <c r="AO23" s="19"/>
      <c r="AP23" s="17"/>
      <c r="AQ23" s="19"/>
      <c r="AR23" s="17"/>
      <c r="AS23" s="19"/>
      <c r="AT23" s="17"/>
      <c r="AU23" s="21"/>
      <c r="AV23" s="17"/>
      <c r="AW23" s="21"/>
      <c r="AX23" s="17"/>
      <c r="AY23" s="21"/>
      <c r="AZ23" s="17"/>
      <c r="BA23" s="21"/>
      <c r="BB23" s="17" t="s">
        <v>72</v>
      </c>
      <c r="BC23" s="21" t="s">
        <v>153</v>
      </c>
      <c r="BD23" s="17"/>
      <c r="BE23" s="22">
        <f t="shared" si="0"/>
        <v>73</v>
      </c>
      <c r="BF23" s="14">
        <f t="shared" si="1"/>
        <v>46023</v>
      </c>
      <c r="BG23" s="23" t="str">
        <f t="shared" si="2"/>
        <v>January 2026</v>
      </c>
      <c r="BH23" s="14">
        <f t="shared" si="3"/>
        <v>46020</v>
      </c>
      <c r="BI23" s="14">
        <f t="shared" si="4"/>
        <v>46026</v>
      </c>
      <c r="BJ23" s="17" t="str">
        <f t="shared" si="5"/>
        <v>29/12/2025 - 04/01/2026</v>
      </c>
      <c r="BK23" s="17">
        <f>IF($B23="","",COUNTIFS($B$5:$B23,$B23,$BF$5:$BF23,$BF23))</f>
        <v>9</v>
      </c>
      <c r="BL23" s="17">
        <f>IF($B23="","",COUNTIFS($B$5:$B23,$B23,$BH$5:$BH23,$BH23))</f>
        <v>9</v>
      </c>
      <c r="BM23" s="17" t="str">
        <f t="shared" si="6"/>
        <v>09|Arisa Aiemrit|20260101</v>
      </c>
      <c r="BN23" s="17" t="str">
        <f t="shared" si="7"/>
        <v>09|Arisa Aiemrit|20251229</v>
      </c>
      <c r="BO23" s="17">
        <f t="shared" si="8"/>
        <v>0</v>
      </c>
      <c r="BP23" s="24" t="s">
        <v>154</v>
      </c>
      <c r="BQ23" s="13"/>
      <c r="BR23" s="25" t="str">
        <f t="shared" si="9"/>
        <v>Jan-Feb 2026</v>
      </c>
    </row>
    <row r="24" spans="1:70" s="18" customFormat="1" ht="15" customHeight="1">
      <c r="A24" s="14">
        <v>46052.733354050928</v>
      </c>
      <c r="B24" s="15" t="s">
        <v>74</v>
      </c>
      <c r="C24" s="14">
        <v>46023</v>
      </c>
      <c r="D24" s="16"/>
      <c r="E24" s="16"/>
      <c r="F24" s="17" t="s">
        <v>155</v>
      </c>
      <c r="G24" s="13" t="s">
        <v>156</v>
      </c>
      <c r="H24" s="18">
        <v>10</v>
      </c>
      <c r="J24" s="18">
        <v>0</v>
      </c>
      <c r="L24" s="18">
        <v>10</v>
      </c>
      <c r="N24" s="18">
        <v>10</v>
      </c>
      <c r="P24" s="18">
        <v>18</v>
      </c>
      <c r="R24" s="18">
        <v>8</v>
      </c>
      <c r="T24" s="17"/>
      <c r="U24" s="19"/>
      <c r="V24" s="17"/>
      <c r="W24" s="19"/>
      <c r="X24" s="17"/>
      <c r="Y24" s="19"/>
      <c r="Z24" s="17"/>
      <c r="AA24" s="19"/>
      <c r="AB24" s="17"/>
      <c r="AC24" s="20"/>
      <c r="AD24" s="17"/>
      <c r="AE24" s="20"/>
      <c r="AF24" s="17"/>
      <c r="AG24" s="21"/>
      <c r="AH24" s="17"/>
      <c r="AI24" s="19"/>
      <c r="AJ24" s="17"/>
      <c r="AK24" s="19"/>
      <c r="AL24" s="17"/>
      <c r="AM24" s="21"/>
      <c r="AN24" s="17"/>
      <c r="AO24" s="19"/>
      <c r="AP24" s="17"/>
      <c r="AQ24" s="19"/>
      <c r="AR24" s="17"/>
      <c r="AS24" s="19"/>
      <c r="AT24" s="17"/>
      <c r="AU24" s="21"/>
      <c r="AV24" s="17"/>
      <c r="AW24" s="21"/>
      <c r="AX24" s="17"/>
      <c r="AY24" s="21"/>
      <c r="AZ24" s="17"/>
      <c r="BA24" s="21"/>
      <c r="BB24" s="17" t="s">
        <v>72</v>
      </c>
      <c r="BC24" s="21" t="s">
        <v>94</v>
      </c>
      <c r="BD24" s="17"/>
      <c r="BE24" s="22">
        <f t="shared" si="0"/>
        <v>56</v>
      </c>
      <c r="BF24" s="14">
        <f t="shared" si="1"/>
        <v>46023</v>
      </c>
      <c r="BG24" s="23" t="str">
        <f t="shared" si="2"/>
        <v>January 2026</v>
      </c>
      <c r="BH24" s="14">
        <f t="shared" si="3"/>
        <v>46020</v>
      </c>
      <c r="BI24" s="14">
        <f t="shared" si="4"/>
        <v>46026</v>
      </c>
      <c r="BJ24" s="17" t="str">
        <f t="shared" si="5"/>
        <v>29/12/2025 - 04/01/2026</v>
      </c>
      <c r="BK24" s="17">
        <f>IF($B24="","",COUNTIFS($B$5:$B24,$B24,$BF$5:$BF24,$BF24))</f>
        <v>10</v>
      </c>
      <c r="BL24" s="17">
        <f>IF($B24="","",COUNTIFS($B$5:$B24,$B24,$BH$5:$BH24,$BH24))</f>
        <v>10</v>
      </c>
      <c r="BM24" s="17" t="str">
        <f t="shared" si="6"/>
        <v>10|Arisa Aiemrit|20260101</v>
      </c>
      <c r="BN24" s="17" t="str">
        <f t="shared" si="7"/>
        <v>10|Arisa Aiemrit|20251229</v>
      </c>
      <c r="BO24" s="17">
        <f t="shared" si="8"/>
        <v>0</v>
      </c>
      <c r="BP24" s="24" t="s">
        <v>157</v>
      </c>
      <c r="BQ24" s="13"/>
      <c r="BR24" s="25" t="str">
        <f t="shared" si="9"/>
        <v>Jan-Feb 2026</v>
      </c>
    </row>
    <row r="25" spans="1:70" s="18" customFormat="1" ht="15" customHeight="1">
      <c r="A25" s="14">
        <v>46036.106905949076</v>
      </c>
      <c r="B25" s="15" t="s">
        <v>71</v>
      </c>
      <c r="C25" s="14">
        <v>46023</v>
      </c>
      <c r="D25" s="16"/>
      <c r="E25" s="16"/>
      <c r="F25" s="17" t="s">
        <v>158</v>
      </c>
      <c r="G25" s="13" t="s">
        <v>159</v>
      </c>
      <c r="H25" s="18">
        <v>10</v>
      </c>
      <c r="J25" s="18">
        <v>25</v>
      </c>
      <c r="L25" s="18">
        <v>14</v>
      </c>
      <c r="N25" s="18">
        <v>10</v>
      </c>
      <c r="P25" s="18">
        <v>15</v>
      </c>
      <c r="R25" s="18">
        <v>10</v>
      </c>
      <c r="T25" s="17"/>
      <c r="U25" s="19"/>
      <c r="V25" s="17"/>
      <c r="W25" s="19"/>
      <c r="X25" s="17"/>
      <c r="Y25" s="19"/>
      <c r="Z25" s="17"/>
      <c r="AA25" s="19"/>
      <c r="AB25" s="17"/>
      <c r="AC25" s="20"/>
      <c r="AD25" s="17"/>
      <c r="AE25" s="20"/>
      <c r="AF25" s="17"/>
      <c r="AG25" s="21"/>
      <c r="AH25" s="17"/>
      <c r="AI25" s="19"/>
      <c r="AJ25" s="17"/>
      <c r="AK25" s="19"/>
      <c r="AL25" s="17"/>
      <c r="AM25" s="21"/>
      <c r="AN25" s="17"/>
      <c r="AO25" s="19"/>
      <c r="AP25" s="17"/>
      <c r="AQ25" s="19"/>
      <c r="AR25" s="17"/>
      <c r="AS25" s="19"/>
      <c r="AT25" s="17"/>
      <c r="AU25" s="21"/>
      <c r="AV25" s="17"/>
      <c r="AW25" s="21"/>
      <c r="AX25" s="17"/>
      <c r="AY25" s="21"/>
      <c r="AZ25" s="17"/>
      <c r="BA25" s="21"/>
      <c r="BB25" s="17" t="s">
        <v>72</v>
      </c>
      <c r="BC25" s="21" t="s">
        <v>160</v>
      </c>
      <c r="BD25" s="17"/>
      <c r="BE25" s="22">
        <f t="shared" si="0"/>
        <v>84</v>
      </c>
      <c r="BF25" s="14">
        <f t="shared" si="1"/>
        <v>46023</v>
      </c>
      <c r="BG25" s="23" t="str">
        <f t="shared" si="2"/>
        <v>January 2026</v>
      </c>
      <c r="BH25" s="14">
        <f t="shared" si="3"/>
        <v>46020</v>
      </c>
      <c r="BI25" s="14">
        <f t="shared" si="4"/>
        <v>46026</v>
      </c>
      <c r="BJ25" s="17" t="str">
        <f t="shared" si="5"/>
        <v>29/12/2025 - 04/01/2026</v>
      </c>
      <c r="BK25" s="17">
        <f>IF($B25="","",COUNTIFS($B$5:$B25,$B25,$BF$5:$BF25,$BF25))</f>
        <v>1</v>
      </c>
      <c r="BL25" s="17">
        <f>IF($B25="","",COUNTIFS($B$5:$B25,$B25,$BH$5:$BH25,$BH25))</f>
        <v>1</v>
      </c>
      <c r="BM25" s="17" t="str">
        <f t="shared" si="6"/>
        <v>01|Chatkonnaphat Bhusomya|20260101</v>
      </c>
      <c r="BN25" s="17" t="str">
        <f t="shared" si="7"/>
        <v>01|Chatkonnaphat Bhusomya|20251229</v>
      </c>
      <c r="BO25" s="17">
        <f t="shared" si="8"/>
        <v>0</v>
      </c>
      <c r="BP25" s="24" t="s">
        <v>161</v>
      </c>
      <c r="BQ25" s="13"/>
      <c r="BR25" s="25" t="str">
        <f t="shared" si="9"/>
        <v>Jan-Feb 2026</v>
      </c>
    </row>
    <row r="26" spans="1:70" s="18" customFormat="1" ht="15" customHeight="1">
      <c r="A26" s="14">
        <v>46036.108918472222</v>
      </c>
      <c r="B26" s="15" t="s">
        <v>71</v>
      </c>
      <c r="C26" s="14">
        <v>46023</v>
      </c>
      <c r="D26" s="16"/>
      <c r="E26" s="16"/>
      <c r="F26" s="17" t="s">
        <v>162</v>
      </c>
      <c r="G26" s="13" t="s">
        <v>163</v>
      </c>
      <c r="H26" s="18">
        <v>10</v>
      </c>
      <c r="J26" s="18">
        <v>30</v>
      </c>
      <c r="L26" s="18">
        <v>20</v>
      </c>
      <c r="N26" s="18">
        <v>10</v>
      </c>
      <c r="P26" s="18">
        <v>17</v>
      </c>
      <c r="R26" s="18">
        <v>10</v>
      </c>
      <c r="T26" s="17"/>
      <c r="U26" s="19"/>
      <c r="V26" s="17"/>
      <c r="W26" s="19"/>
      <c r="X26" s="17"/>
      <c r="Y26" s="19"/>
      <c r="Z26" s="17"/>
      <c r="AA26" s="19"/>
      <c r="AB26" s="17"/>
      <c r="AC26" s="20"/>
      <c r="AD26" s="17"/>
      <c r="AE26" s="20"/>
      <c r="AF26" s="17"/>
      <c r="AG26" s="21"/>
      <c r="AH26" s="17"/>
      <c r="AI26" s="19"/>
      <c r="AJ26" s="17"/>
      <c r="AK26" s="19"/>
      <c r="AL26" s="17"/>
      <c r="AM26" s="21"/>
      <c r="AN26" s="17"/>
      <c r="AO26" s="19"/>
      <c r="AP26" s="17"/>
      <c r="AQ26" s="19"/>
      <c r="AR26" s="17"/>
      <c r="AS26" s="19"/>
      <c r="AT26" s="17"/>
      <c r="AU26" s="21"/>
      <c r="AV26" s="17"/>
      <c r="AW26" s="21"/>
      <c r="AX26" s="17"/>
      <c r="AY26" s="21"/>
      <c r="AZ26" s="17"/>
      <c r="BA26" s="21"/>
      <c r="BB26" s="17" t="s">
        <v>72</v>
      </c>
      <c r="BC26" s="21" t="s">
        <v>164</v>
      </c>
      <c r="BD26" s="17"/>
      <c r="BE26" s="22">
        <f t="shared" si="0"/>
        <v>97</v>
      </c>
      <c r="BF26" s="14">
        <f t="shared" si="1"/>
        <v>46023</v>
      </c>
      <c r="BG26" s="23" t="str">
        <f t="shared" si="2"/>
        <v>January 2026</v>
      </c>
      <c r="BH26" s="14">
        <f t="shared" si="3"/>
        <v>46020</v>
      </c>
      <c r="BI26" s="14">
        <f t="shared" si="4"/>
        <v>46026</v>
      </c>
      <c r="BJ26" s="17" t="str">
        <f t="shared" si="5"/>
        <v>29/12/2025 - 04/01/2026</v>
      </c>
      <c r="BK26" s="17">
        <f>IF($B26="","",COUNTIFS($B$5:$B26,$B26,$BF$5:$BF26,$BF26))</f>
        <v>2</v>
      </c>
      <c r="BL26" s="17">
        <f>IF($B26="","",COUNTIFS($B$5:$B26,$B26,$BH$5:$BH26,$BH26))</f>
        <v>2</v>
      </c>
      <c r="BM26" s="17" t="str">
        <f t="shared" si="6"/>
        <v>02|Chatkonnaphat Bhusomya|20260101</v>
      </c>
      <c r="BN26" s="17" t="str">
        <f t="shared" si="7"/>
        <v>02|Chatkonnaphat Bhusomya|20251229</v>
      </c>
      <c r="BO26" s="17">
        <f t="shared" si="8"/>
        <v>0</v>
      </c>
      <c r="BP26" s="24" t="s">
        <v>165</v>
      </c>
      <c r="BQ26" s="13"/>
      <c r="BR26" s="25" t="str">
        <f t="shared" si="9"/>
        <v>Jan-Feb 2026</v>
      </c>
    </row>
    <row r="27" spans="1:70" s="18" customFormat="1" ht="15" customHeight="1">
      <c r="A27" s="14">
        <v>46036.113417175933</v>
      </c>
      <c r="B27" s="15" t="s">
        <v>71</v>
      </c>
      <c r="C27" s="14">
        <v>46023</v>
      </c>
      <c r="D27" s="16"/>
      <c r="E27" s="16"/>
      <c r="F27" s="17" t="s">
        <v>166</v>
      </c>
      <c r="G27" s="13" t="s">
        <v>167</v>
      </c>
      <c r="H27" s="18">
        <v>5</v>
      </c>
      <c r="J27" s="18">
        <v>30</v>
      </c>
      <c r="L27" s="18">
        <v>18</v>
      </c>
      <c r="N27" s="18">
        <v>10</v>
      </c>
      <c r="P27" s="18">
        <v>17</v>
      </c>
      <c r="R27" s="18">
        <v>10</v>
      </c>
      <c r="T27" s="17"/>
      <c r="U27" s="19"/>
      <c r="V27" s="17"/>
      <c r="W27" s="19"/>
      <c r="X27" s="17"/>
      <c r="Y27" s="19"/>
      <c r="Z27" s="17"/>
      <c r="AA27" s="19"/>
      <c r="AB27" s="17"/>
      <c r="AC27" s="20"/>
      <c r="AD27" s="17"/>
      <c r="AE27" s="20"/>
      <c r="AF27" s="17"/>
      <c r="AG27" s="21"/>
      <c r="AH27" s="17"/>
      <c r="AI27" s="19"/>
      <c r="AJ27" s="17"/>
      <c r="AK27" s="19"/>
      <c r="AL27" s="17"/>
      <c r="AM27" s="21"/>
      <c r="AN27" s="17"/>
      <c r="AO27" s="19"/>
      <c r="AP27" s="17"/>
      <c r="AQ27" s="19"/>
      <c r="AR27" s="17"/>
      <c r="AS27" s="19"/>
      <c r="AT27" s="17"/>
      <c r="AU27" s="21"/>
      <c r="AV27" s="17"/>
      <c r="AW27" s="21"/>
      <c r="AX27" s="17"/>
      <c r="AY27" s="21"/>
      <c r="AZ27" s="17"/>
      <c r="BA27" s="21"/>
      <c r="BB27" s="17" t="s">
        <v>72</v>
      </c>
      <c r="BC27" s="21" t="s">
        <v>168</v>
      </c>
      <c r="BD27" s="17"/>
      <c r="BE27" s="22">
        <f t="shared" si="0"/>
        <v>90</v>
      </c>
      <c r="BF27" s="14">
        <f t="shared" si="1"/>
        <v>46023</v>
      </c>
      <c r="BG27" s="23" t="str">
        <f t="shared" si="2"/>
        <v>January 2026</v>
      </c>
      <c r="BH27" s="14">
        <f t="shared" si="3"/>
        <v>46020</v>
      </c>
      <c r="BI27" s="14">
        <f t="shared" si="4"/>
        <v>46026</v>
      </c>
      <c r="BJ27" s="17" t="str">
        <f t="shared" si="5"/>
        <v>29/12/2025 - 04/01/2026</v>
      </c>
      <c r="BK27" s="17">
        <f>IF($B27="","",COUNTIFS($B$5:$B27,$B27,$BF$5:$BF27,$BF27))</f>
        <v>3</v>
      </c>
      <c r="BL27" s="17">
        <f>IF($B27="","",COUNTIFS($B$5:$B27,$B27,$BH$5:$BH27,$BH27))</f>
        <v>3</v>
      </c>
      <c r="BM27" s="17" t="str">
        <f t="shared" si="6"/>
        <v>03|Chatkonnaphat Bhusomya|20260101</v>
      </c>
      <c r="BN27" s="17" t="str">
        <f t="shared" si="7"/>
        <v>03|Chatkonnaphat Bhusomya|20251229</v>
      </c>
      <c r="BO27" s="17">
        <f t="shared" si="8"/>
        <v>0</v>
      </c>
      <c r="BP27" s="24" t="s">
        <v>169</v>
      </c>
      <c r="BQ27" s="13"/>
      <c r="BR27" s="25" t="str">
        <f t="shared" si="9"/>
        <v>Jan-Feb 2026</v>
      </c>
    </row>
    <row r="28" spans="1:70" s="18" customFormat="1" ht="15" customHeight="1">
      <c r="A28" s="14">
        <v>46040.61673746528</v>
      </c>
      <c r="B28" s="15" t="s">
        <v>71</v>
      </c>
      <c r="C28" s="14">
        <v>46023</v>
      </c>
      <c r="D28" s="16"/>
      <c r="E28" s="16"/>
      <c r="F28" s="17" t="s">
        <v>170</v>
      </c>
      <c r="G28" s="13" t="s">
        <v>171</v>
      </c>
      <c r="H28" s="18">
        <v>10</v>
      </c>
      <c r="J28" s="18">
        <v>20</v>
      </c>
      <c r="L28" s="18">
        <v>16</v>
      </c>
      <c r="N28" s="18">
        <v>10</v>
      </c>
      <c r="P28" s="18">
        <v>17</v>
      </c>
      <c r="R28" s="18">
        <v>8</v>
      </c>
      <c r="T28" s="17"/>
      <c r="U28" s="19"/>
      <c r="V28" s="17"/>
      <c r="W28" s="19"/>
      <c r="X28" s="17"/>
      <c r="Y28" s="19"/>
      <c r="Z28" s="17"/>
      <c r="AA28" s="19"/>
      <c r="AB28" s="17"/>
      <c r="AC28" s="20"/>
      <c r="AD28" s="17"/>
      <c r="AE28" s="20"/>
      <c r="AF28" s="17"/>
      <c r="AG28" s="21"/>
      <c r="AH28" s="17"/>
      <c r="AI28" s="19"/>
      <c r="AJ28" s="17"/>
      <c r="AK28" s="19"/>
      <c r="AL28" s="17"/>
      <c r="AM28" s="21"/>
      <c r="AN28" s="17"/>
      <c r="AO28" s="19"/>
      <c r="AP28" s="17"/>
      <c r="AQ28" s="19"/>
      <c r="AR28" s="17"/>
      <c r="AS28" s="19"/>
      <c r="AT28" s="17"/>
      <c r="AU28" s="21"/>
      <c r="AV28" s="17"/>
      <c r="AW28" s="21"/>
      <c r="AX28" s="17"/>
      <c r="AY28" s="21"/>
      <c r="AZ28" s="17"/>
      <c r="BA28" s="21"/>
      <c r="BB28" s="17" t="s">
        <v>72</v>
      </c>
      <c r="BC28" s="21" t="s">
        <v>160</v>
      </c>
      <c r="BD28" s="17"/>
      <c r="BE28" s="22">
        <f t="shared" si="0"/>
        <v>81</v>
      </c>
      <c r="BF28" s="14">
        <f t="shared" si="1"/>
        <v>46023</v>
      </c>
      <c r="BG28" s="23" t="str">
        <f t="shared" si="2"/>
        <v>January 2026</v>
      </c>
      <c r="BH28" s="14">
        <f t="shared" si="3"/>
        <v>46020</v>
      </c>
      <c r="BI28" s="14">
        <f t="shared" si="4"/>
        <v>46026</v>
      </c>
      <c r="BJ28" s="17" t="str">
        <f t="shared" si="5"/>
        <v>29/12/2025 - 04/01/2026</v>
      </c>
      <c r="BK28" s="17">
        <f>IF($B28="","",COUNTIFS($B$5:$B28,$B28,$BF$5:$BF28,$BF28))</f>
        <v>4</v>
      </c>
      <c r="BL28" s="17">
        <f>IF($B28="","",COUNTIFS($B$5:$B28,$B28,$BH$5:$BH28,$BH28))</f>
        <v>4</v>
      </c>
      <c r="BM28" s="17" t="str">
        <f t="shared" si="6"/>
        <v>04|Chatkonnaphat Bhusomya|20260101</v>
      </c>
      <c r="BN28" s="17" t="str">
        <f t="shared" si="7"/>
        <v>04|Chatkonnaphat Bhusomya|20251229</v>
      </c>
      <c r="BO28" s="17">
        <f t="shared" si="8"/>
        <v>0</v>
      </c>
      <c r="BP28" s="24" t="s">
        <v>172</v>
      </c>
      <c r="BQ28" s="13"/>
      <c r="BR28" s="25" t="str">
        <f t="shared" si="9"/>
        <v>Jan-Feb 2026</v>
      </c>
    </row>
    <row r="29" spans="1:70" s="18" customFormat="1" ht="15" customHeight="1">
      <c r="A29" s="14">
        <v>46041.295615497693</v>
      </c>
      <c r="B29" s="15" t="s">
        <v>71</v>
      </c>
      <c r="C29" s="14">
        <v>46023</v>
      </c>
      <c r="D29" s="16"/>
      <c r="E29" s="16"/>
      <c r="F29" s="17" t="s">
        <v>173</v>
      </c>
      <c r="G29" s="13" t="s">
        <v>174</v>
      </c>
      <c r="H29" s="18">
        <v>10</v>
      </c>
      <c r="J29" s="18">
        <v>25</v>
      </c>
      <c r="L29" s="18">
        <v>15</v>
      </c>
      <c r="N29" s="18">
        <v>10</v>
      </c>
      <c r="P29" s="18">
        <v>17</v>
      </c>
      <c r="R29" s="18">
        <v>7</v>
      </c>
      <c r="T29" s="17"/>
      <c r="U29" s="19"/>
      <c r="V29" s="17"/>
      <c r="W29" s="19"/>
      <c r="X29" s="17"/>
      <c r="Y29" s="19"/>
      <c r="Z29" s="17"/>
      <c r="AA29" s="19"/>
      <c r="AB29" s="17"/>
      <c r="AC29" s="20"/>
      <c r="AD29" s="17"/>
      <c r="AE29" s="20"/>
      <c r="AF29" s="17"/>
      <c r="AG29" s="21"/>
      <c r="AH29" s="17"/>
      <c r="AI29" s="19"/>
      <c r="AJ29" s="17"/>
      <c r="AK29" s="19"/>
      <c r="AL29" s="17"/>
      <c r="AM29" s="21"/>
      <c r="AN29" s="17"/>
      <c r="AO29" s="19"/>
      <c r="AP29" s="17"/>
      <c r="AQ29" s="19"/>
      <c r="AR29" s="17"/>
      <c r="AS29" s="19"/>
      <c r="AT29" s="17"/>
      <c r="AU29" s="21"/>
      <c r="AV29" s="17"/>
      <c r="AW29" s="21"/>
      <c r="AX29" s="17"/>
      <c r="AY29" s="21"/>
      <c r="AZ29" s="17"/>
      <c r="BA29" s="21"/>
      <c r="BB29" s="17" t="s">
        <v>72</v>
      </c>
      <c r="BC29" s="21" t="s">
        <v>175</v>
      </c>
      <c r="BD29" s="17"/>
      <c r="BE29" s="22">
        <f t="shared" ref="BE29:BE92" si="10">IF($B29="","",IF(COUNT($H29,$J29,$L29,$N29,$P29,$R29)&gt;0,SUM($H29,$J29,$L29,$N29,$P29,$R29),SUM($T29,$V29,$X29,$Z29,$AB29,$AD29,$AF29,$AH29,$AJ29,$AL29,$AN29,$AP29,$AR29,$AT29,$AV29,$AX29,$AZ29)))</f>
        <v>84</v>
      </c>
      <c r="BF29" s="14">
        <f t="shared" ref="BF29:BF92" si="11">IF($C29="","",DATE(YEAR($C29),MONTH($C29),1))</f>
        <v>46023</v>
      </c>
      <c r="BG29" s="23" t="str">
        <f t="shared" ref="BG29:BG92" si="12">IF($BF29="","",TEXT($BF29,"mmmm yyyy"))</f>
        <v>January 2026</v>
      </c>
      <c r="BH29" s="14">
        <f t="shared" ref="BH29:BH92" si="13">IF($C29="","",$C29-WEEKDAY($C29,2)+1)</f>
        <v>46020</v>
      </c>
      <c r="BI29" s="14">
        <f t="shared" ref="BI29:BI92" si="14">IF($BH29="","",$BH29+6)</f>
        <v>46026</v>
      </c>
      <c r="BJ29" s="17" t="str">
        <f t="shared" ref="BJ29:BJ92" si="15">IF($BH29="","",TEXT($BH29,"dd/mm/yyyy")&amp;" - "&amp;TEXT($BI29,"dd/mm/yyyy"))</f>
        <v>29/12/2025 - 04/01/2026</v>
      </c>
      <c r="BK29" s="17">
        <f>IF($B29="","",COUNTIFS($B$5:$B29,$B29,$BF$5:$BF29,$BF29))</f>
        <v>5</v>
      </c>
      <c r="BL29" s="17">
        <f>IF($B29="","",COUNTIFS($B$5:$B29,$B29,$BH$5:$BH29,$BH29))</f>
        <v>5</v>
      </c>
      <c r="BM29" s="17" t="str">
        <f t="shared" ref="BM29:BM92" si="16">IF($B29="","",TEXT($BK29,"00")&amp;"|"&amp;$B29&amp;"|"&amp;TEXT($BF29,"yyyymmdd"))</f>
        <v>05|Chatkonnaphat Bhusomya|20260101</v>
      </c>
      <c r="BN29" s="17" t="str">
        <f t="shared" ref="BN29:BN92" si="17">IF($B29="","",TEXT($BL29,"00")&amp;"|"&amp;$B29&amp;"|"&amp;TEXT($BH29,"yyyymmdd"))</f>
        <v>05|Chatkonnaphat Bhusomya|20251229</v>
      </c>
      <c r="BO29" s="17">
        <f t="shared" ref="BO29:BO92" si="18">IF(OR($BB29="YES",$BB29="Yes",$BB29="Y",$BB29=1),1,0)</f>
        <v>0</v>
      </c>
      <c r="BP29" s="24" t="s">
        <v>176</v>
      </c>
      <c r="BQ29" s="13"/>
      <c r="BR29" s="25" t="str">
        <f t="shared" ref="BR29:BR92" si="19">IF($C29="","",IF($C29&gt;=DATE(2026,6,1),"QA-2026-06",IF($C29&gt;=DATE(2026,5,1),"May 2026+",IF($C29&gt;=DATE(2026,4,1),"April 2026",IF($C29&gt;=DATE(2026,3,1),"March 2026","Jan-Feb 2026")))))</f>
        <v>Jan-Feb 2026</v>
      </c>
    </row>
    <row r="30" spans="1:70" s="18" customFormat="1" ht="15" customHeight="1">
      <c r="A30" s="14">
        <v>46041.349849004633</v>
      </c>
      <c r="B30" s="15" t="s">
        <v>71</v>
      </c>
      <c r="C30" s="14">
        <v>46023</v>
      </c>
      <c r="D30" s="16"/>
      <c r="E30" s="16"/>
      <c r="F30" s="17" t="s">
        <v>177</v>
      </c>
      <c r="G30" s="13" t="s">
        <v>178</v>
      </c>
      <c r="H30" s="18">
        <v>5</v>
      </c>
      <c r="J30" s="18">
        <v>22</v>
      </c>
      <c r="L30" s="18">
        <v>14</v>
      </c>
      <c r="N30" s="18">
        <v>10</v>
      </c>
      <c r="P30" s="18">
        <v>18</v>
      </c>
      <c r="R30" s="18">
        <v>8</v>
      </c>
      <c r="T30" s="17"/>
      <c r="U30" s="19"/>
      <c r="V30" s="17"/>
      <c r="W30" s="19"/>
      <c r="X30" s="17"/>
      <c r="Y30" s="19"/>
      <c r="Z30" s="17"/>
      <c r="AA30" s="19"/>
      <c r="AB30" s="17"/>
      <c r="AC30" s="20"/>
      <c r="AD30" s="17"/>
      <c r="AE30" s="20"/>
      <c r="AF30" s="17"/>
      <c r="AG30" s="21"/>
      <c r="AH30" s="17"/>
      <c r="AI30" s="19"/>
      <c r="AJ30" s="17"/>
      <c r="AK30" s="19"/>
      <c r="AL30" s="17"/>
      <c r="AM30" s="21"/>
      <c r="AN30" s="17"/>
      <c r="AO30" s="19"/>
      <c r="AP30" s="17"/>
      <c r="AQ30" s="19"/>
      <c r="AR30" s="17"/>
      <c r="AS30" s="19"/>
      <c r="AT30" s="17"/>
      <c r="AU30" s="21"/>
      <c r="AV30" s="17"/>
      <c r="AW30" s="21"/>
      <c r="AX30" s="17"/>
      <c r="AY30" s="21"/>
      <c r="AZ30" s="17"/>
      <c r="BA30" s="21"/>
      <c r="BB30" s="17" t="s">
        <v>72</v>
      </c>
      <c r="BC30" s="21" t="s">
        <v>179</v>
      </c>
      <c r="BD30" s="17"/>
      <c r="BE30" s="22">
        <f t="shared" si="10"/>
        <v>77</v>
      </c>
      <c r="BF30" s="14">
        <f t="shared" si="11"/>
        <v>46023</v>
      </c>
      <c r="BG30" s="23" t="str">
        <f t="shared" si="12"/>
        <v>January 2026</v>
      </c>
      <c r="BH30" s="14">
        <f t="shared" si="13"/>
        <v>46020</v>
      </c>
      <c r="BI30" s="14">
        <f t="shared" si="14"/>
        <v>46026</v>
      </c>
      <c r="BJ30" s="17" t="str">
        <f t="shared" si="15"/>
        <v>29/12/2025 - 04/01/2026</v>
      </c>
      <c r="BK30" s="17">
        <f>IF($B30="","",COUNTIFS($B$5:$B30,$B30,$BF$5:$BF30,$BF30))</f>
        <v>6</v>
      </c>
      <c r="BL30" s="17">
        <f>IF($B30="","",COUNTIFS($B$5:$B30,$B30,$BH$5:$BH30,$BH30))</f>
        <v>6</v>
      </c>
      <c r="BM30" s="17" t="str">
        <f t="shared" si="16"/>
        <v>06|Chatkonnaphat Bhusomya|20260101</v>
      </c>
      <c r="BN30" s="17" t="str">
        <f t="shared" si="17"/>
        <v>06|Chatkonnaphat Bhusomya|20251229</v>
      </c>
      <c r="BO30" s="17">
        <f t="shared" si="18"/>
        <v>0</v>
      </c>
      <c r="BP30" s="24" t="s">
        <v>180</v>
      </c>
      <c r="BQ30" s="13"/>
      <c r="BR30" s="25" t="str">
        <f t="shared" si="19"/>
        <v>Jan-Feb 2026</v>
      </c>
    </row>
    <row r="31" spans="1:70" s="18" customFormat="1" ht="15" customHeight="1">
      <c r="A31" s="14">
        <v>46045.468062731481</v>
      </c>
      <c r="B31" s="15" t="s">
        <v>71</v>
      </c>
      <c r="C31" s="14">
        <v>46023</v>
      </c>
      <c r="D31" s="16"/>
      <c r="E31" s="16"/>
      <c r="F31" s="17" t="s">
        <v>181</v>
      </c>
      <c r="G31" s="13" t="s">
        <v>182</v>
      </c>
      <c r="H31" s="18">
        <v>8</v>
      </c>
      <c r="J31" s="18">
        <v>27</v>
      </c>
      <c r="L31" s="18">
        <v>16</v>
      </c>
      <c r="N31" s="18">
        <v>10</v>
      </c>
      <c r="P31" s="18">
        <v>15</v>
      </c>
      <c r="R31" s="18">
        <v>8</v>
      </c>
      <c r="T31" s="17"/>
      <c r="U31" s="19"/>
      <c r="V31" s="17"/>
      <c r="W31" s="19"/>
      <c r="X31" s="17"/>
      <c r="Y31" s="19"/>
      <c r="Z31" s="17"/>
      <c r="AA31" s="19"/>
      <c r="AB31" s="17"/>
      <c r="AC31" s="20"/>
      <c r="AD31" s="17"/>
      <c r="AE31" s="20"/>
      <c r="AF31" s="17"/>
      <c r="AG31" s="21"/>
      <c r="AH31" s="17"/>
      <c r="AI31" s="19"/>
      <c r="AJ31" s="17"/>
      <c r="AK31" s="19"/>
      <c r="AL31" s="17"/>
      <c r="AM31" s="21"/>
      <c r="AN31" s="17"/>
      <c r="AO31" s="19"/>
      <c r="AP31" s="17"/>
      <c r="AQ31" s="19"/>
      <c r="AR31" s="17"/>
      <c r="AS31" s="19"/>
      <c r="AT31" s="17"/>
      <c r="AU31" s="21"/>
      <c r="AV31" s="17"/>
      <c r="AW31" s="21"/>
      <c r="AX31" s="17"/>
      <c r="AY31" s="21"/>
      <c r="AZ31" s="17"/>
      <c r="BA31" s="21"/>
      <c r="BB31" s="17" t="s">
        <v>72</v>
      </c>
      <c r="BC31" s="21" t="s">
        <v>183</v>
      </c>
      <c r="BD31" s="17"/>
      <c r="BE31" s="22">
        <f t="shared" si="10"/>
        <v>84</v>
      </c>
      <c r="BF31" s="14">
        <f t="shared" si="11"/>
        <v>46023</v>
      </c>
      <c r="BG31" s="23" t="str">
        <f t="shared" si="12"/>
        <v>January 2026</v>
      </c>
      <c r="BH31" s="14">
        <f t="shared" si="13"/>
        <v>46020</v>
      </c>
      <c r="BI31" s="14">
        <f t="shared" si="14"/>
        <v>46026</v>
      </c>
      <c r="BJ31" s="17" t="str">
        <f t="shared" si="15"/>
        <v>29/12/2025 - 04/01/2026</v>
      </c>
      <c r="BK31" s="17">
        <f>IF($B31="","",COUNTIFS($B$5:$B31,$B31,$BF$5:$BF31,$BF31))</f>
        <v>7</v>
      </c>
      <c r="BL31" s="17">
        <f>IF($B31="","",COUNTIFS($B$5:$B31,$B31,$BH$5:$BH31,$BH31))</f>
        <v>7</v>
      </c>
      <c r="BM31" s="17" t="str">
        <f t="shared" si="16"/>
        <v>07|Chatkonnaphat Bhusomya|20260101</v>
      </c>
      <c r="BN31" s="17" t="str">
        <f t="shared" si="17"/>
        <v>07|Chatkonnaphat Bhusomya|20251229</v>
      </c>
      <c r="BO31" s="17">
        <f t="shared" si="18"/>
        <v>0</v>
      </c>
      <c r="BP31" s="24" t="s">
        <v>184</v>
      </c>
      <c r="BQ31" s="13"/>
      <c r="BR31" s="25" t="str">
        <f t="shared" si="19"/>
        <v>Jan-Feb 2026</v>
      </c>
    </row>
    <row r="32" spans="1:70" s="18" customFormat="1" ht="15" customHeight="1">
      <c r="A32" s="14">
        <v>46045.477180648151</v>
      </c>
      <c r="B32" s="15" t="s">
        <v>71</v>
      </c>
      <c r="C32" s="14">
        <v>46023</v>
      </c>
      <c r="D32" s="16"/>
      <c r="E32" s="16"/>
      <c r="F32" s="17" t="s">
        <v>185</v>
      </c>
      <c r="G32" s="13" t="s">
        <v>186</v>
      </c>
      <c r="H32" s="18">
        <v>10</v>
      </c>
      <c r="J32" s="18">
        <v>30</v>
      </c>
      <c r="L32" s="18">
        <v>20</v>
      </c>
      <c r="N32" s="18">
        <v>10</v>
      </c>
      <c r="P32" s="18">
        <v>18</v>
      </c>
      <c r="R32" s="18">
        <v>9</v>
      </c>
      <c r="T32" s="17"/>
      <c r="U32" s="19"/>
      <c r="V32" s="17"/>
      <c r="W32" s="19"/>
      <c r="X32" s="17"/>
      <c r="Y32" s="19"/>
      <c r="Z32" s="17"/>
      <c r="AA32" s="19"/>
      <c r="AB32" s="17"/>
      <c r="AC32" s="20"/>
      <c r="AD32" s="17"/>
      <c r="AE32" s="20"/>
      <c r="AF32" s="17"/>
      <c r="AG32" s="21"/>
      <c r="AH32" s="17"/>
      <c r="AI32" s="19"/>
      <c r="AJ32" s="17"/>
      <c r="AK32" s="19"/>
      <c r="AL32" s="17"/>
      <c r="AM32" s="21"/>
      <c r="AN32" s="17"/>
      <c r="AO32" s="19"/>
      <c r="AP32" s="17"/>
      <c r="AQ32" s="19"/>
      <c r="AR32" s="17"/>
      <c r="AS32" s="19"/>
      <c r="AT32" s="17"/>
      <c r="AU32" s="21"/>
      <c r="AV32" s="17"/>
      <c r="AW32" s="21"/>
      <c r="AX32" s="17"/>
      <c r="AY32" s="21"/>
      <c r="AZ32" s="17"/>
      <c r="BA32" s="21"/>
      <c r="BB32" s="17" t="s">
        <v>72</v>
      </c>
      <c r="BC32" s="21" t="s">
        <v>187</v>
      </c>
      <c r="BD32" s="17"/>
      <c r="BE32" s="22">
        <f t="shared" si="10"/>
        <v>97</v>
      </c>
      <c r="BF32" s="14">
        <f t="shared" si="11"/>
        <v>46023</v>
      </c>
      <c r="BG32" s="23" t="str">
        <f t="shared" si="12"/>
        <v>January 2026</v>
      </c>
      <c r="BH32" s="14">
        <f t="shared" si="13"/>
        <v>46020</v>
      </c>
      <c r="BI32" s="14">
        <f t="shared" si="14"/>
        <v>46026</v>
      </c>
      <c r="BJ32" s="17" t="str">
        <f t="shared" si="15"/>
        <v>29/12/2025 - 04/01/2026</v>
      </c>
      <c r="BK32" s="17">
        <f>IF($B32="","",COUNTIFS($B$5:$B32,$B32,$BF$5:$BF32,$BF32))</f>
        <v>8</v>
      </c>
      <c r="BL32" s="17">
        <f>IF($B32="","",COUNTIFS($B$5:$B32,$B32,$BH$5:$BH32,$BH32))</f>
        <v>8</v>
      </c>
      <c r="BM32" s="17" t="str">
        <f t="shared" si="16"/>
        <v>08|Chatkonnaphat Bhusomya|20260101</v>
      </c>
      <c r="BN32" s="17" t="str">
        <f t="shared" si="17"/>
        <v>08|Chatkonnaphat Bhusomya|20251229</v>
      </c>
      <c r="BO32" s="17">
        <f t="shared" si="18"/>
        <v>0</v>
      </c>
      <c r="BP32" s="24" t="s">
        <v>165</v>
      </c>
      <c r="BQ32" s="13"/>
      <c r="BR32" s="25" t="str">
        <f t="shared" si="19"/>
        <v>Jan-Feb 2026</v>
      </c>
    </row>
    <row r="33" spans="1:70" s="18" customFormat="1" ht="15" customHeight="1">
      <c r="A33" s="14">
        <v>46048.346093020831</v>
      </c>
      <c r="B33" s="15" t="s">
        <v>71</v>
      </c>
      <c r="C33" s="14">
        <v>46023</v>
      </c>
      <c r="D33" s="16"/>
      <c r="E33" s="16"/>
      <c r="F33" s="17" t="s">
        <v>188</v>
      </c>
      <c r="G33" s="13" t="s">
        <v>189</v>
      </c>
      <c r="H33" s="18">
        <v>5</v>
      </c>
      <c r="J33" s="18">
        <v>15</v>
      </c>
      <c r="L33" s="18">
        <v>10</v>
      </c>
      <c r="N33" s="18">
        <v>10</v>
      </c>
      <c r="P33" s="18">
        <v>20</v>
      </c>
      <c r="R33" s="18">
        <v>8</v>
      </c>
      <c r="T33" s="17"/>
      <c r="U33" s="19"/>
      <c r="V33" s="17"/>
      <c r="W33" s="19"/>
      <c r="X33" s="17"/>
      <c r="Y33" s="19"/>
      <c r="Z33" s="17"/>
      <c r="AA33" s="19"/>
      <c r="AB33" s="17"/>
      <c r="AC33" s="20"/>
      <c r="AD33" s="17"/>
      <c r="AE33" s="20"/>
      <c r="AF33" s="17"/>
      <c r="AG33" s="21"/>
      <c r="AH33" s="17"/>
      <c r="AI33" s="19"/>
      <c r="AJ33" s="17"/>
      <c r="AK33" s="19"/>
      <c r="AL33" s="17"/>
      <c r="AM33" s="21"/>
      <c r="AN33" s="17"/>
      <c r="AO33" s="19"/>
      <c r="AP33" s="17"/>
      <c r="AQ33" s="19"/>
      <c r="AR33" s="17"/>
      <c r="AS33" s="19"/>
      <c r="AT33" s="17"/>
      <c r="AU33" s="21"/>
      <c r="AV33" s="17"/>
      <c r="AW33" s="21"/>
      <c r="AX33" s="17"/>
      <c r="AY33" s="21"/>
      <c r="AZ33" s="17"/>
      <c r="BA33" s="21"/>
      <c r="BB33" s="17" t="s">
        <v>72</v>
      </c>
      <c r="BC33" s="21" t="s">
        <v>190</v>
      </c>
      <c r="BD33" s="17"/>
      <c r="BE33" s="22">
        <f t="shared" si="10"/>
        <v>68</v>
      </c>
      <c r="BF33" s="14">
        <f t="shared" si="11"/>
        <v>46023</v>
      </c>
      <c r="BG33" s="23" t="str">
        <f t="shared" si="12"/>
        <v>January 2026</v>
      </c>
      <c r="BH33" s="14">
        <f t="shared" si="13"/>
        <v>46020</v>
      </c>
      <c r="BI33" s="14">
        <f t="shared" si="14"/>
        <v>46026</v>
      </c>
      <c r="BJ33" s="17" t="str">
        <f t="shared" si="15"/>
        <v>29/12/2025 - 04/01/2026</v>
      </c>
      <c r="BK33" s="17">
        <f>IF($B33="","",COUNTIFS($B$5:$B33,$B33,$BF$5:$BF33,$BF33))</f>
        <v>9</v>
      </c>
      <c r="BL33" s="17">
        <f>IF($B33="","",COUNTIFS($B$5:$B33,$B33,$BH$5:$BH33,$BH33))</f>
        <v>9</v>
      </c>
      <c r="BM33" s="17" t="str">
        <f t="shared" si="16"/>
        <v>09|Chatkonnaphat Bhusomya|20260101</v>
      </c>
      <c r="BN33" s="17" t="str">
        <f t="shared" si="17"/>
        <v>09|Chatkonnaphat Bhusomya|20251229</v>
      </c>
      <c r="BO33" s="17">
        <f t="shared" si="18"/>
        <v>0</v>
      </c>
      <c r="BP33" s="24" t="s">
        <v>191</v>
      </c>
      <c r="BQ33" s="13"/>
      <c r="BR33" s="25" t="str">
        <f t="shared" si="19"/>
        <v>Jan-Feb 2026</v>
      </c>
    </row>
    <row r="34" spans="1:70" s="18" customFormat="1" ht="15" customHeight="1">
      <c r="A34" s="14">
        <v>46049.31594359954</v>
      </c>
      <c r="B34" s="15" t="s">
        <v>71</v>
      </c>
      <c r="C34" s="14">
        <v>46023</v>
      </c>
      <c r="D34" s="16"/>
      <c r="E34" s="16"/>
      <c r="F34" s="17" t="s">
        <v>192</v>
      </c>
      <c r="G34" s="13" t="s">
        <v>193</v>
      </c>
      <c r="H34" s="18">
        <v>10</v>
      </c>
      <c r="J34" s="18">
        <v>15</v>
      </c>
      <c r="L34" s="18">
        <v>10</v>
      </c>
      <c r="N34" s="18">
        <v>10</v>
      </c>
      <c r="P34" s="18">
        <v>17</v>
      </c>
      <c r="R34" s="18">
        <v>7</v>
      </c>
      <c r="T34" s="17"/>
      <c r="U34" s="19"/>
      <c r="V34" s="17"/>
      <c r="W34" s="19"/>
      <c r="X34" s="17"/>
      <c r="Y34" s="19"/>
      <c r="Z34" s="17"/>
      <c r="AA34" s="19"/>
      <c r="AB34" s="17"/>
      <c r="AC34" s="20"/>
      <c r="AD34" s="17"/>
      <c r="AE34" s="20"/>
      <c r="AF34" s="17"/>
      <c r="AG34" s="21"/>
      <c r="AH34" s="17"/>
      <c r="AI34" s="19"/>
      <c r="AJ34" s="17"/>
      <c r="AK34" s="19"/>
      <c r="AL34" s="17"/>
      <c r="AM34" s="21"/>
      <c r="AN34" s="17"/>
      <c r="AO34" s="19"/>
      <c r="AP34" s="17"/>
      <c r="AQ34" s="19"/>
      <c r="AR34" s="17"/>
      <c r="AS34" s="19"/>
      <c r="AT34" s="17"/>
      <c r="AU34" s="21"/>
      <c r="AV34" s="17"/>
      <c r="AW34" s="21"/>
      <c r="AX34" s="17"/>
      <c r="AY34" s="21"/>
      <c r="AZ34" s="17"/>
      <c r="BA34" s="21"/>
      <c r="BB34" s="17" t="s">
        <v>72</v>
      </c>
      <c r="BC34" s="21" t="s">
        <v>194</v>
      </c>
      <c r="BD34" s="17"/>
      <c r="BE34" s="22">
        <f t="shared" si="10"/>
        <v>69</v>
      </c>
      <c r="BF34" s="14">
        <f t="shared" si="11"/>
        <v>46023</v>
      </c>
      <c r="BG34" s="23" t="str">
        <f t="shared" si="12"/>
        <v>January 2026</v>
      </c>
      <c r="BH34" s="14">
        <f t="shared" si="13"/>
        <v>46020</v>
      </c>
      <c r="BI34" s="14">
        <f t="shared" si="14"/>
        <v>46026</v>
      </c>
      <c r="BJ34" s="17" t="str">
        <f t="shared" si="15"/>
        <v>29/12/2025 - 04/01/2026</v>
      </c>
      <c r="BK34" s="17">
        <f>IF($B34="","",COUNTIFS($B$5:$B34,$B34,$BF$5:$BF34,$BF34))</f>
        <v>10</v>
      </c>
      <c r="BL34" s="17">
        <f>IF($B34="","",COUNTIFS($B$5:$B34,$B34,$BH$5:$BH34,$BH34))</f>
        <v>10</v>
      </c>
      <c r="BM34" s="17" t="str">
        <f t="shared" si="16"/>
        <v>10|Chatkonnaphat Bhusomya|20260101</v>
      </c>
      <c r="BN34" s="17" t="str">
        <f t="shared" si="17"/>
        <v>10|Chatkonnaphat Bhusomya|20251229</v>
      </c>
      <c r="BO34" s="17">
        <f t="shared" si="18"/>
        <v>0</v>
      </c>
      <c r="BP34" s="24" t="s">
        <v>195</v>
      </c>
      <c r="BQ34" s="13"/>
      <c r="BR34" s="25" t="str">
        <f t="shared" si="19"/>
        <v>Jan-Feb 2026</v>
      </c>
    </row>
    <row r="35" spans="1:70" s="18" customFormat="1" ht="15" customHeight="1">
      <c r="A35" s="14">
        <v>46042.197506979173</v>
      </c>
      <c r="B35" s="15" t="s">
        <v>75</v>
      </c>
      <c r="C35" s="14">
        <v>46023</v>
      </c>
      <c r="D35" s="16"/>
      <c r="E35" s="16"/>
      <c r="F35" s="17" t="s">
        <v>196</v>
      </c>
      <c r="G35" s="13" t="s">
        <v>197</v>
      </c>
      <c r="H35" s="18">
        <v>10</v>
      </c>
      <c r="J35" s="18">
        <v>26</v>
      </c>
      <c r="L35" s="18">
        <v>15</v>
      </c>
      <c r="N35" s="18">
        <v>10</v>
      </c>
      <c r="P35" s="18">
        <v>16</v>
      </c>
      <c r="R35" s="18">
        <v>5</v>
      </c>
      <c r="T35" s="17"/>
      <c r="U35" s="19"/>
      <c r="V35" s="17"/>
      <c r="W35" s="19"/>
      <c r="X35" s="17"/>
      <c r="Y35" s="19"/>
      <c r="Z35" s="17"/>
      <c r="AA35" s="19"/>
      <c r="AB35" s="17"/>
      <c r="AC35" s="20"/>
      <c r="AD35" s="17"/>
      <c r="AE35" s="20"/>
      <c r="AF35" s="17"/>
      <c r="AG35" s="21"/>
      <c r="AH35" s="17"/>
      <c r="AI35" s="19"/>
      <c r="AJ35" s="17"/>
      <c r="AK35" s="19"/>
      <c r="AL35" s="17"/>
      <c r="AM35" s="21"/>
      <c r="AN35" s="17"/>
      <c r="AO35" s="19"/>
      <c r="AP35" s="17"/>
      <c r="AQ35" s="19"/>
      <c r="AR35" s="17"/>
      <c r="AS35" s="19"/>
      <c r="AT35" s="17"/>
      <c r="AU35" s="21"/>
      <c r="AV35" s="17"/>
      <c r="AW35" s="21"/>
      <c r="AX35" s="17"/>
      <c r="AY35" s="21"/>
      <c r="AZ35" s="17"/>
      <c r="BA35" s="21"/>
      <c r="BB35" s="17" t="s">
        <v>72</v>
      </c>
      <c r="BC35" s="21" t="s">
        <v>198</v>
      </c>
      <c r="BD35" s="17"/>
      <c r="BE35" s="22">
        <f t="shared" si="10"/>
        <v>82</v>
      </c>
      <c r="BF35" s="14">
        <f t="shared" si="11"/>
        <v>46023</v>
      </c>
      <c r="BG35" s="23" t="str">
        <f t="shared" si="12"/>
        <v>January 2026</v>
      </c>
      <c r="BH35" s="14">
        <f t="shared" si="13"/>
        <v>46020</v>
      </c>
      <c r="BI35" s="14">
        <f t="shared" si="14"/>
        <v>46026</v>
      </c>
      <c r="BJ35" s="17" t="str">
        <f t="shared" si="15"/>
        <v>29/12/2025 - 04/01/2026</v>
      </c>
      <c r="BK35" s="17">
        <f>IF($B35="","",COUNTIFS($B$5:$B35,$B35,$BF$5:$BF35,$BF35))</f>
        <v>1</v>
      </c>
      <c r="BL35" s="17">
        <f>IF($B35="","",COUNTIFS($B$5:$B35,$B35,$BH$5:$BH35,$BH35))</f>
        <v>1</v>
      </c>
      <c r="BM35" s="17" t="str">
        <f t="shared" si="16"/>
        <v>01|Jariyawadee Taboodda|20260101</v>
      </c>
      <c r="BN35" s="17" t="str">
        <f t="shared" si="17"/>
        <v>01|Jariyawadee Taboodda|20251229</v>
      </c>
      <c r="BO35" s="17">
        <f t="shared" si="18"/>
        <v>0</v>
      </c>
      <c r="BP35" s="24" t="s">
        <v>199</v>
      </c>
      <c r="BQ35" s="13"/>
      <c r="BR35" s="25" t="str">
        <f t="shared" si="19"/>
        <v>Jan-Feb 2026</v>
      </c>
    </row>
    <row r="36" spans="1:70" s="18" customFormat="1" ht="15" customHeight="1">
      <c r="A36" s="14">
        <v>46042.21556527778</v>
      </c>
      <c r="B36" s="15" t="s">
        <v>75</v>
      </c>
      <c r="C36" s="14">
        <v>46023</v>
      </c>
      <c r="D36" s="16"/>
      <c r="E36" s="16"/>
      <c r="F36" s="17" t="s">
        <v>200</v>
      </c>
      <c r="G36" s="13" t="s">
        <v>201</v>
      </c>
      <c r="H36" s="18">
        <v>10</v>
      </c>
      <c r="J36" s="18">
        <v>28</v>
      </c>
      <c r="L36" s="18">
        <v>15</v>
      </c>
      <c r="N36" s="18">
        <v>10</v>
      </c>
      <c r="P36" s="18">
        <v>18</v>
      </c>
      <c r="R36" s="18">
        <v>10</v>
      </c>
      <c r="T36" s="17"/>
      <c r="U36" s="19"/>
      <c r="V36" s="17"/>
      <c r="W36" s="19"/>
      <c r="X36" s="17"/>
      <c r="Y36" s="19"/>
      <c r="Z36" s="17"/>
      <c r="AA36" s="19"/>
      <c r="AB36" s="17"/>
      <c r="AC36" s="20"/>
      <c r="AD36" s="17"/>
      <c r="AE36" s="20"/>
      <c r="AF36" s="17"/>
      <c r="AG36" s="21"/>
      <c r="AH36" s="17"/>
      <c r="AI36" s="19"/>
      <c r="AJ36" s="17"/>
      <c r="AK36" s="19"/>
      <c r="AL36" s="17"/>
      <c r="AM36" s="21"/>
      <c r="AN36" s="17"/>
      <c r="AO36" s="19"/>
      <c r="AP36" s="17"/>
      <c r="AQ36" s="19"/>
      <c r="AR36" s="17"/>
      <c r="AS36" s="19"/>
      <c r="AT36" s="17"/>
      <c r="AU36" s="21"/>
      <c r="AV36" s="17"/>
      <c r="AW36" s="21"/>
      <c r="AX36" s="17"/>
      <c r="AY36" s="21"/>
      <c r="AZ36" s="17"/>
      <c r="BA36" s="21"/>
      <c r="BB36" s="17" t="s">
        <v>72</v>
      </c>
      <c r="BC36" s="21" t="s">
        <v>86</v>
      </c>
      <c r="BD36" s="17"/>
      <c r="BE36" s="22">
        <f t="shared" si="10"/>
        <v>91</v>
      </c>
      <c r="BF36" s="14">
        <f t="shared" si="11"/>
        <v>46023</v>
      </c>
      <c r="BG36" s="23" t="str">
        <f t="shared" si="12"/>
        <v>January 2026</v>
      </c>
      <c r="BH36" s="14">
        <f t="shared" si="13"/>
        <v>46020</v>
      </c>
      <c r="BI36" s="14">
        <f t="shared" si="14"/>
        <v>46026</v>
      </c>
      <c r="BJ36" s="17" t="str">
        <f t="shared" si="15"/>
        <v>29/12/2025 - 04/01/2026</v>
      </c>
      <c r="BK36" s="17">
        <f>IF($B36="","",COUNTIFS($B$5:$B36,$B36,$BF$5:$BF36,$BF36))</f>
        <v>2</v>
      </c>
      <c r="BL36" s="17">
        <f>IF($B36="","",COUNTIFS($B$5:$B36,$B36,$BH$5:$BH36,$BH36))</f>
        <v>2</v>
      </c>
      <c r="BM36" s="17" t="str">
        <f t="shared" si="16"/>
        <v>02|Jariyawadee Taboodda|20260101</v>
      </c>
      <c r="BN36" s="17" t="str">
        <f t="shared" si="17"/>
        <v>02|Jariyawadee Taboodda|20251229</v>
      </c>
      <c r="BO36" s="17">
        <f t="shared" si="18"/>
        <v>0</v>
      </c>
      <c r="BP36" s="24" t="s">
        <v>202</v>
      </c>
      <c r="BQ36" s="13"/>
      <c r="BR36" s="25" t="str">
        <f t="shared" si="19"/>
        <v>Jan-Feb 2026</v>
      </c>
    </row>
    <row r="37" spans="1:70" s="18" customFormat="1" ht="15" customHeight="1">
      <c r="A37" s="14">
        <v>46042.220231087973</v>
      </c>
      <c r="B37" s="15" t="s">
        <v>75</v>
      </c>
      <c r="C37" s="14">
        <v>46023</v>
      </c>
      <c r="D37" s="16"/>
      <c r="E37" s="16"/>
      <c r="F37" s="17" t="s">
        <v>203</v>
      </c>
      <c r="G37" s="13" t="s">
        <v>204</v>
      </c>
      <c r="H37" s="18">
        <v>8</v>
      </c>
      <c r="J37" s="18">
        <v>20</v>
      </c>
      <c r="L37" s="18">
        <v>10</v>
      </c>
      <c r="N37" s="18">
        <v>10</v>
      </c>
      <c r="P37" s="18">
        <v>15</v>
      </c>
      <c r="R37" s="18">
        <v>9</v>
      </c>
      <c r="T37" s="17"/>
      <c r="U37" s="19"/>
      <c r="V37" s="17"/>
      <c r="W37" s="19"/>
      <c r="X37" s="17"/>
      <c r="Y37" s="19"/>
      <c r="Z37" s="17"/>
      <c r="AA37" s="19"/>
      <c r="AB37" s="17"/>
      <c r="AC37" s="20"/>
      <c r="AD37" s="17"/>
      <c r="AE37" s="20"/>
      <c r="AF37" s="17"/>
      <c r="AG37" s="21"/>
      <c r="AH37" s="17"/>
      <c r="AI37" s="19"/>
      <c r="AJ37" s="17"/>
      <c r="AK37" s="19"/>
      <c r="AL37" s="17"/>
      <c r="AM37" s="21"/>
      <c r="AN37" s="17"/>
      <c r="AO37" s="19"/>
      <c r="AP37" s="17"/>
      <c r="AQ37" s="19"/>
      <c r="AR37" s="17"/>
      <c r="AS37" s="19"/>
      <c r="AT37" s="17"/>
      <c r="AU37" s="21"/>
      <c r="AV37" s="17"/>
      <c r="AW37" s="21"/>
      <c r="AX37" s="17"/>
      <c r="AY37" s="21"/>
      <c r="AZ37" s="17"/>
      <c r="BA37" s="21"/>
      <c r="BB37" s="17" t="s">
        <v>72</v>
      </c>
      <c r="BC37" s="21" t="s">
        <v>205</v>
      </c>
      <c r="BD37" s="17"/>
      <c r="BE37" s="22">
        <f t="shared" si="10"/>
        <v>72</v>
      </c>
      <c r="BF37" s="14">
        <f t="shared" si="11"/>
        <v>46023</v>
      </c>
      <c r="BG37" s="23" t="str">
        <f t="shared" si="12"/>
        <v>January 2026</v>
      </c>
      <c r="BH37" s="14">
        <f t="shared" si="13"/>
        <v>46020</v>
      </c>
      <c r="BI37" s="14">
        <f t="shared" si="14"/>
        <v>46026</v>
      </c>
      <c r="BJ37" s="17" t="str">
        <f t="shared" si="15"/>
        <v>29/12/2025 - 04/01/2026</v>
      </c>
      <c r="BK37" s="17">
        <f>IF($B37="","",COUNTIFS($B$5:$B37,$B37,$BF$5:$BF37,$BF37))</f>
        <v>3</v>
      </c>
      <c r="BL37" s="17">
        <f>IF($B37="","",COUNTIFS($B$5:$B37,$B37,$BH$5:$BH37,$BH37))</f>
        <v>3</v>
      </c>
      <c r="BM37" s="17" t="str">
        <f t="shared" si="16"/>
        <v>03|Jariyawadee Taboodda|20260101</v>
      </c>
      <c r="BN37" s="17" t="str">
        <f t="shared" si="17"/>
        <v>03|Jariyawadee Taboodda|20251229</v>
      </c>
      <c r="BO37" s="17">
        <f t="shared" si="18"/>
        <v>0</v>
      </c>
      <c r="BP37" s="24" t="s">
        <v>206</v>
      </c>
      <c r="BQ37" s="13"/>
      <c r="BR37" s="25" t="str">
        <f t="shared" si="19"/>
        <v>Jan-Feb 2026</v>
      </c>
    </row>
    <row r="38" spans="1:70" s="18" customFormat="1" ht="15" customHeight="1">
      <c r="A38" s="14">
        <v>46050.407382800928</v>
      </c>
      <c r="B38" s="15" t="s">
        <v>75</v>
      </c>
      <c r="C38" s="14">
        <v>46023</v>
      </c>
      <c r="D38" s="16"/>
      <c r="E38" s="16"/>
      <c r="F38" s="17" t="s">
        <v>207</v>
      </c>
      <c r="G38" s="13" t="s">
        <v>208</v>
      </c>
      <c r="H38" s="18">
        <v>5</v>
      </c>
      <c r="J38" s="18">
        <v>20</v>
      </c>
      <c r="L38" s="18">
        <v>15</v>
      </c>
      <c r="N38" s="18">
        <v>10</v>
      </c>
      <c r="P38" s="18">
        <v>10</v>
      </c>
      <c r="R38" s="18">
        <v>6</v>
      </c>
      <c r="T38" s="17"/>
      <c r="U38" s="19"/>
      <c r="V38" s="17"/>
      <c r="W38" s="19"/>
      <c r="X38" s="17"/>
      <c r="Y38" s="19"/>
      <c r="Z38" s="17"/>
      <c r="AA38" s="19"/>
      <c r="AB38" s="17"/>
      <c r="AC38" s="20"/>
      <c r="AD38" s="17"/>
      <c r="AE38" s="20"/>
      <c r="AF38" s="17"/>
      <c r="AG38" s="21"/>
      <c r="AH38" s="17"/>
      <c r="AI38" s="19"/>
      <c r="AJ38" s="17"/>
      <c r="AK38" s="19"/>
      <c r="AL38" s="17"/>
      <c r="AM38" s="21"/>
      <c r="AN38" s="17"/>
      <c r="AO38" s="19"/>
      <c r="AP38" s="17"/>
      <c r="AQ38" s="19"/>
      <c r="AR38" s="17"/>
      <c r="AS38" s="19"/>
      <c r="AT38" s="17"/>
      <c r="AU38" s="21"/>
      <c r="AV38" s="17"/>
      <c r="AW38" s="21"/>
      <c r="AX38" s="17"/>
      <c r="AY38" s="21"/>
      <c r="AZ38" s="17"/>
      <c r="BA38" s="21"/>
      <c r="BB38" s="17" t="s">
        <v>72</v>
      </c>
      <c r="BC38" s="21" t="s">
        <v>209</v>
      </c>
      <c r="BD38" s="17"/>
      <c r="BE38" s="22">
        <f t="shared" si="10"/>
        <v>66</v>
      </c>
      <c r="BF38" s="14">
        <f t="shared" si="11"/>
        <v>46023</v>
      </c>
      <c r="BG38" s="23" t="str">
        <f t="shared" si="12"/>
        <v>January 2026</v>
      </c>
      <c r="BH38" s="14">
        <f t="shared" si="13"/>
        <v>46020</v>
      </c>
      <c r="BI38" s="14">
        <f t="shared" si="14"/>
        <v>46026</v>
      </c>
      <c r="BJ38" s="17" t="str">
        <f t="shared" si="15"/>
        <v>29/12/2025 - 04/01/2026</v>
      </c>
      <c r="BK38" s="17">
        <f>IF($B38="","",COUNTIFS($B$5:$B38,$B38,$BF$5:$BF38,$BF38))</f>
        <v>4</v>
      </c>
      <c r="BL38" s="17">
        <f>IF($B38="","",COUNTIFS($B$5:$B38,$B38,$BH$5:$BH38,$BH38))</f>
        <v>4</v>
      </c>
      <c r="BM38" s="17" t="str">
        <f t="shared" si="16"/>
        <v>04|Jariyawadee Taboodda|20260101</v>
      </c>
      <c r="BN38" s="17" t="str">
        <f t="shared" si="17"/>
        <v>04|Jariyawadee Taboodda|20251229</v>
      </c>
      <c r="BO38" s="17">
        <f t="shared" si="18"/>
        <v>0</v>
      </c>
      <c r="BP38" s="24" t="s">
        <v>210</v>
      </c>
      <c r="BQ38" s="13"/>
      <c r="BR38" s="25" t="str">
        <f t="shared" si="19"/>
        <v>Jan-Feb 2026</v>
      </c>
    </row>
    <row r="39" spans="1:70" s="18" customFormat="1" ht="15" customHeight="1">
      <c r="A39" s="14">
        <v>46050.422747268523</v>
      </c>
      <c r="B39" s="15" t="s">
        <v>75</v>
      </c>
      <c r="C39" s="14">
        <v>46023</v>
      </c>
      <c r="D39" s="16"/>
      <c r="E39" s="16"/>
      <c r="F39" s="17" t="s">
        <v>211</v>
      </c>
      <c r="G39" s="13" t="s">
        <v>212</v>
      </c>
      <c r="H39" s="18">
        <v>6</v>
      </c>
      <c r="J39" s="18">
        <v>20</v>
      </c>
      <c r="L39" s="18">
        <v>15</v>
      </c>
      <c r="N39" s="18">
        <v>10</v>
      </c>
      <c r="P39" s="18">
        <v>16</v>
      </c>
      <c r="R39" s="18">
        <v>10</v>
      </c>
      <c r="T39" s="17"/>
      <c r="U39" s="19"/>
      <c r="V39" s="17"/>
      <c r="W39" s="19"/>
      <c r="X39" s="17"/>
      <c r="Y39" s="19"/>
      <c r="Z39" s="17"/>
      <c r="AA39" s="19"/>
      <c r="AB39" s="17"/>
      <c r="AC39" s="20"/>
      <c r="AD39" s="17"/>
      <c r="AE39" s="20"/>
      <c r="AF39" s="17"/>
      <c r="AG39" s="21"/>
      <c r="AH39" s="17"/>
      <c r="AI39" s="19"/>
      <c r="AJ39" s="17"/>
      <c r="AK39" s="19"/>
      <c r="AL39" s="17"/>
      <c r="AM39" s="21"/>
      <c r="AN39" s="17"/>
      <c r="AO39" s="19"/>
      <c r="AP39" s="17"/>
      <c r="AQ39" s="19"/>
      <c r="AR39" s="17"/>
      <c r="AS39" s="19"/>
      <c r="AT39" s="17"/>
      <c r="AU39" s="21"/>
      <c r="AV39" s="17"/>
      <c r="AW39" s="21"/>
      <c r="AX39" s="17"/>
      <c r="AY39" s="21"/>
      <c r="AZ39" s="17"/>
      <c r="BA39" s="21"/>
      <c r="BB39" s="17" t="s">
        <v>72</v>
      </c>
      <c r="BC39" s="21" t="s">
        <v>94</v>
      </c>
      <c r="BD39" s="17"/>
      <c r="BE39" s="22">
        <f t="shared" si="10"/>
        <v>77</v>
      </c>
      <c r="BF39" s="14">
        <f t="shared" si="11"/>
        <v>46023</v>
      </c>
      <c r="BG39" s="23" t="str">
        <f t="shared" si="12"/>
        <v>January 2026</v>
      </c>
      <c r="BH39" s="14">
        <f t="shared" si="13"/>
        <v>46020</v>
      </c>
      <c r="BI39" s="14">
        <f t="shared" si="14"/>
        <v>46026</v>
      </c>
      <c r="BJ39" s="17" t="str">
        <f t="shared" si="15"/>
        <v>29/12/2025 - 04/01/2026</v>
      </c>
      <c r="BK39" s="17">
        <f>IF($B39="","",COUNTIFS($B$5:$B39,$B39,$BF$5:$BF39,$BF39))</f>
        <v>5</v>
      </c>
      <c r="BL39" s="17">
        <f>IF($B39="","",COUNTIFS($B$5:$B39,$B39,$BH$5:$BH39,$BH39))</f>
        <v>5</v>
      </c>
      <c r="BM39" s="17" t="str">
        <f t="shared" si="16"/>
        <v>05|Jariyawadee Taboodda|20260101</v>
      </c>
      <c r="BN39" s="17" t="str">
        <f t="shared" si="17"/>
        <v>05|Jariyawadee Taboodda|20251229</v>
      </c>
      <c r="BO39" s="17">
        <f t="shared" si="18"/>
        <v>0</v>
      </c>
      <c r="BP39" s="24" t="s">
        <v>213</v>
      </c>
      <c r="BQ39" s="13"/>
      <c r="BR39" s="25" t="str">
        <f t="shared" si="19"/>
        <v>Jan-Feb 2026</v>
      </c>
    </row>
    <row r="40" spans="1:70" s="18" customFormat="1" ht="15" customHeight="1">
      <c r="A40" s="14">
        <v>46050.431448611111</v>
      </c>
      <c r="B40" s="15" t="s">
        <v>75</v>
      </c>
      <c r="C40" s="14">
        <v>46023</v>
      </c>
      <c r="D40" s="16"/>
      <c r="E40" s="16"/>
      <c r="F40" s="17" t="s">
        <v>214</v>
      </c>
      <c r="G40" s="13" t="s">
        <v>215</v>
      </c>
      <c r="H40" s="18">
        <v>8</v>
      </c>
      <c r="J40" s="18">
        <v>26</v>
      </c>
      <c r="L40" s="18">
        <v>16</v>
      </c>
      <c r="N40" s="18">
        <v>10</v>
      </c>
      <c r="P40" s="18">
        <v>16</v>
      </c>
      <c r="R40" s="18">
        <v>8</v>
      </c>
      <c r="T40" s="17"/>
      <c r="U40" s="19"/>
      <c r="V40" s="17"/>
      <c r="W40" s="19"/>
      <c r="X40" s="17"/>
      <c r="Y40" s="19"/>
      <c r="Z40" s="17"/>
      <c r="AA40" s="19"/>
      <c r="AB40" s="17"/>
      <c r="AC40" s="20"/>
      <c r="AD40" s="17"/>
      <c r="AE40" s="20"/>
      <c r="AF40" s="17"/>
      <c r="AG40" s="21"/>
      <c r="AH40" s="17"/>
      <c r="AI40" s="19"/>
      <c r="AJ40" s="17"/>
      <c r="AK40" s="19"/>
      <c r="AL40" s="17"/>
      <c r="AM40" s="21"/>
      <c r="AN40" s="17"/>
      <c r="AO40" s="19"/>
      <c r="AP40" s="17"/>
      <c r="AQ40" s="19"/>
      <c r="AR40" s="17"/>
      <c r="AS40" s="19"/>
      <c r="AT40" s="17"/>
      <c r="AU40" s="21"/>
      <c r="AV40" s="17"/>
      <c r="AW40" s="21"/>
      <c r="AX40" s="17"/>
      <c r="AY40" s="21"/>
      <c r="AZ40" s="17"/>
      <c r="BA40" s="21"/>
      <c r="BB40" s="17" t="s">
        <v>72</v>
      </c>
      <c r="BC40" s="21" t="s">
        <v>216</v>
      </c>
      <c r="BD40" s="17"/>
      <c r="BE40" s="22">
        <f t="shared" si="10"/>
        <v>84</v>
      </c>
      <c r="BF40" s="14">
        <f t="shared" si="11"/>
        <v>46023</v>
      </c>
      <c r="BG40" s="23" t="str">
        <f t="shared" si="12"/>
        <v>January 2026</v>
      </c>
      <c r="BH40" s="14">
        <f t="shared" si="13"/>
        <v>46020</v>
      </c>
      <c r="BI40" s="14">
        <f t="shared" si="14"/>
        <v>46026</v>
      </c>
      <c r="BJ40" s="17" t="str">
        <f t="shared" si="15"/>
        <v>29/12/2025 - 04/01/2026</v>
      </c>
      <c r="BK40" s="17">
        <f>IF($B40="","",COUNTIFS($B$5:$B40,$B40,$BF$5:$BF40,$BF40))</f>
        <v>6</v>
      </c>
      <c r="BL40" s="17">
        <f>IF($B40="","",COUNTIFS($B$5:$B40,$B40,$BH$5:$BH40,$BH40))</f>
        <v>6</v>
      </c>
      <c r="BM40" s="17" t="str">
        <f t="shared" si="16"/>
        <v>06|Jariyawadee Taboodda|20260101</v>
      </c>
      <c r="BN40" s="17" t="str">
        <f t="shared" si="17"/>
        <v>06|Jariyawadee Taboodda|20251229</v>
      </c>
      <c r="BO40" s="17">
        <f t="shared" si="18"/>
        <v>0</v>
      </c>
      <c r="BP40" s="24" t="s">
        <v>217</v>
      </c>
      <c r="BQ40" s="13"/>
      <c r="BR40" s="25" t="str">
        <f t="shared" si="19"/>
        <v>Jan-Feb 2026</v>
      </c>
    </row>
    <row r="41" spans="1:70" s="18" customFormat="1" ht="15" customHeight="1">
      <c r="A41" s="14">
        <v>46050.438513553243</v>
      </c>
      <c r="B41" s="15" t="s">
        <v>75</v>
      </c>
      <c r="C41" s="14">
        <v>46023</v>
      </c>
      <c r="D41" s="16"/>
      <c r="E41" s="16"/>
      <c r="F41" s="17" t="s">
        <v>218</v>
      </c>
      <c r="G41" s="13" t="s">
        <v>219</v>
      </c>
      <c r="H41" s="18">
        <v>10</v>
      </c>
      <c r="J41" s="18">
        <v>28</v>
      </c>
      <c r="L41" s="18">
        <v>20</v>
      </c>
      <c r="N41" s="18">
        <v>10</v>
      </c>
      <c r="P41" s="18">
        <v>17</v>
      </c>
      <c r="R41" s="18">
        <v>5</v>
      </c>
      <c r="T41" s="17"/>
      <c r="U41" s="19"/>
      <c r="V41" s="17"/>
      <c r="W41" s="19"/>
      <c r="X41" s="17"/>
      <c r="Y41" s="19"/>
      <c r="Z41" s="17"/>
      <c r="AA41" s="19"/>
      <c r="AB41" s="17"/>
      <c r="AC41" s="20"/>
      <c r="AD41" s="17"/>
      <c r="AE41" s="20"/>
      <c r="AF41" s="17"/>
      <c r="AG41" s="21"/>
      <c r="AH41" s="17"/>
      <c r="AI41" s="19"/>
      <c r="AJ41" s="17"/>
      <c r="AK41" s="19"/>
      <c r="AL41" s="17"/>
      <c r="AM41" s="21"/>
      <c r="AN41" s="17"/>
      <c r="AO41" s="19"/>
      <c r="AP41" s="17"/>
      <c r="AQ41" s="19"/>
      <c r="AR41" s="17"/>
      <c r="AS41" s="19"/>
      <c r="AT41" s="17"/>
      <c r="AU41" s="21"/>
      <c r="AV41" s="17"/>
      <c r="AW41" s="21"/>
      <c r="AX41" s="17"/>
      <c r="AY41" s="21"/>
      <c r="AZ41" s="17"/>
      <c r="BA41" s="21"/>
      <c r="BB41" s="17" t="s">
        <v>72</v>
      </c>
      <c r="BC41" s="21" t="s">
        <v>220</v>
      </c>
      <c r="BD41" s="17"/>
      <c r="BE41" s="22">
        <f t="shared" si="10"/>
        <v>90</v>
      </c>
      <c r="BF41" s="14">
        <f t="shared" si="11"/>
        <v>46023</v>
      </c>
      <c r="BG41" s="23" t="str">
        <f t="shared" si="12"/>
        <v>January 2026</v>
      </c>
      <c r="BH41" s="14">
        <f t="shared" si="13"/>
        <v>46020</v>
      </c>
      <c r="BI41" s="14">
        <f t="shared" si="14"/>
        <v>46026</v>
      </c>
      <c r="BJ41" s="17" t="str">
        <f t="shared" si="15"/>
        <v>29/12/2025 - 04/01/2026</v>
      </c>
      <c r="BK41" s="17">
        <f>IF($B41="","",COUNTIFS($B$5:$B41,$B41,$BF$5:$BF41,$BF41))</f>
        <v>7</v>
      </c>
      <c r="BL41" s="17">
        <f>IF($B41="","",COUNTIFS($B$5:$B41,$B41,$BH$5:$BH41,$BH41))</f>
        <v>7</v>
      </c>
      <c r="BM41" s="17" t="str">
        <f t="shared" si="16"/>
        <v>07|Jariyawadee Taboodda|20260101</v>
      </c>
      <c r="BN41" s="17" t="str">
        <f t="shared" si="17"/>
        <v>07|Jariyawadee Taboodda|20251229</v>
      </c>
      <c r="BO41" s="17">
        <f t="shared" si="18"/>
        <v>0</v>
      </c>
      <c r="BP41" s="24" t="s">
        <v>221</v>
      </c>
      <c r="BQ41" s="13"/>
      <c r="BR41" s="25" t="str">
        <f t="shared" si="19"/>
        <v>Jan-Feb 2026</v>
      </c>
    </row>
    <row r="42" spans="1:70" s="18" customFormat="1" ht="15" customHeight="1">
      <c r="A42" s="14">
        <v>46050.442602430558</v>
      </c>
      <c r="B42" s="15" t="s">
        <v>75</v>
      </c>
      <c r="C42" s="14">
        <v>46023</v>
      </c>
      <c r="D42" s="16"/>
      <c r="E42" s="16"/>
      <c r="F42" s="17" t="s">
        <v>222</v>
      </c>
      <c r="G42" s="13" t="s">
        <v>223</v>
      </c>
      <c r="H42" s="18">
        <v>10</v>
      </c>
      <c r="J42" s="18">
        <v>20</v>
      </c>
      <c r="L42" s="18">
        <v>12</v>
      </c>
      <c r="N42" s="18">
        <v>10</v>
      </c>
      <c r="P42" s="18">
        <v>17</v>
      </c>
      <c r="R42" s="18">
        <v>8</v>
      </c>
      <c r="T42" s="17"/>
      <c r="U42" s="19"/>
      <c r="V42" s="17"/>
      <c r="W42" s="19"/>
      <c r="X42" s="17"/>
      <c r="Y42" s="19"/>
      <c r="Z42" s="17"/>
      <c r="AA42" s="19"/>
      <c r="AB42" s="17"/>
      <c r="AC42" s="20"/>
      <c r="AD42" s="17"/>
      <c r="AE42" s="20"/>
      <c r="AF42" s="17"/>
      <c r="AG42" s="21"/>
      <c r="AH42" s="17"/>
      <c r="AI42" s="19"/>
      <c r="AJ42" s="17"/>
      <c r="AK42" s="19"/>
      <c r="AL42" s="17"/>
      <c r="AM42" s="21"/>
      <c r="AN42" s="17"/>
      <c r="AO42" s="19"/>
      <c r="AP42" s="17"/>
      <c r="AQ42" s="19"/>
      <c r="AR42" s="17"/>
      <c r="AS42" s="19"/>
      <c r="AT42" s="17"/>
      <c r="AU42" s="21"/>
      <c r="AV42" s="17"/>
      <c r="AW42" s="21"/>
      <c r="AX42" s="17"/>
      <c r="AY42" s="21"/>
      <c r="AZ42" s="17"/>
      <c r="BA42" s="21"/>
      <c r="BB42" s="17" t="s">
        <v>72</v>
      </c>
      <c r="BC42" s="21" t="s">
        <v>224</v>
      </c>
      <c r="BD42" s="17"/>
      <c r="BE42" s="22">
        <f t="shared" si="10"/>
        <v>77</v>
      </c>
      <c r="BF42" s="14">
        <f t="shared" si="11"/>
        <v>46023</v>
      </c>
      <c r="BG42" s="23" t="str">
        <f t="shared" si="12"/>
        <v>January 2026</v>
      </c>
      <c r="BH42" s="14">
        <f t="shared" si="13"/>
        <v>46020</v>
      </c>
      <c r="BI42" s="14">
        <f t="shared" si="14"/>
        <v>46026</v>
      </c>
      <c r="BJ42" s="17" t="str">
        <f t="shared" si="15"/>
        <v>29/12/2025 - 04/01/2026</v>
      </c>
      <c r="BK42" s="17">
        <f>IF($B42="","",COUNTIFS($B$5:$B42,$B42,$BF$5:$BF42,$BF42))</f>
        <v>8</v>
      </c>
      <c r="BL42" s="17">
        <f>IF($B42="","",COUNTIFS($B$5:$B42,$B42,$BH$5:$BH42,$BH42))</f>
        <v>8</v>
      </c>
      <c r="BM42" s="17" t="str">
        <f t="shared" si="16"/>
        <v>08|Jariyawadee Taboodda|20260101</v>
      </c>
      <c r="BN42" s="17" t="str">
        <f t="shared" si="17"/>
        <v>08|Jariyawadee Taboodda|20251229</v>
      </c>
      <c r="BO42" s="17">
        <f t="shared" si="18"/>
        <v>0</v>
      </c>
      <c r="BP42" s="24" t="s">
        <v>225</v>
      </c>
      <c r="BQ42" s="13"/>
      <c r="BR42" s="25" t="str">
        <f t="shared" si="19"/>
        <v>Jan-Feb 2026</v>
      </c>
    </row>
    <row r="43" spans="1:70" s="18" customFormat="1" ht="15" customHeight="1">
      <c r="A43" s="14">
        <v>46053.22935011574</v>
      </c>
      <c r="B43" s="15" t="s">
        <v>75</v>
      </c>
      <c r="C43" s="14">
        <v>46023</v>
      </c>
      <c r="D43" s="16"/>
      <c r="E43" s="16"/>
      <c r="F43" s="17" t="s">
        <v>226</v>
      </c>
      <c r="G43" s="13" t="s">
        <v>227</v>
      </c>
      <c r="H43" s="18">
        <v>10</v>
      </c>
      <c r="J43" s="18">
        <v>15</v>
      </c>
      <c r="L43" s="18">
        <v>15</v>
      </c>
      <c r="N43" s="18">
        <v>10</v>
      </c>
      <c r="P43" s="18">
        <v>13</v>
      </c>
      <c r="R43" s="18">
        <v>7</v>
      </c>
      <c r="T43" s="17"/>
      <c r="U43" s="19"/>
      <c r="V43" s="17"/>
      <c r="W43" s="19"/>
      <c r="X43" s="17"/>
      <c r="Y43" s="19"/>
      <c r="Z43" s="17"/>
      <c r="AA43" s="19"/>
      <c r="AB43" s="17"/>
      <c r="AC43" s="20"/>
      <c r="AD43" s="17"/>
      <c r="AE43" s="20"/>
      <c r="AF43" s="17"/>
      <c r="AG43" s="21"/>
      <c r="AH43" s="17"/>
      <c r="AI43" s="19"/>
      <c r="AJ43" s="17"/>
      <c r="AK43" s="19"/>
      <c r="AL43" s="17"/>
      <c r="AM43" s="21"/>
      <c r="AN43" s="17"/>
      <c r="AO43" s="19"/>
      <c r="AP43" s="17"/>
      <c r="AQ43" s="19"/>
      <c r="AR43" s="17"/>
      <c r="AS43" s="19"/>
      <c r="AT43" s="17"/>
      <c r="AU43" s="21"/>
      <c r="AV43" s="17"/>
      <c r="AW43" s="21"/>
      <c r="AX43" s="17"/>
      <c r="AY43" s="21"/>
      <c r="AZ43" s="17"/>
      <c r="BA43" s="21"/>
      <c r="BB43" s="17" t="s">
        <v>72</v>
      </c>
      <c r="BC43" s="21" t="s">
        <v>90</v>
      </c>
      <c r="BD43" s="17"/>
      <c r="BE43" s="22">
        <f t="shared" si="10"/>
        <v>70</v>
      </c>
      <c r="BF43" s="14">
        <f t="shared" si="11"/>
        <v>46023</v>
      </c>
      <c r="BG43" s="23" t="str">
        <f t="shared" si="12"/>
        <v>January 2026</v>
      </c>
      <c r="BH43" s="14">
        <f t="shared" si="13"/>
        <v>46020</v>
      </c>
      <c r="BI43" s="14">
        <f t="shared" si="14"/>
        <v>46026</v>
      </c>
      <c r="BJ43" s="17" t="str">
        <f t="shared" si="15"/>
        <v>29/12/2025 - 04/01/2026</v>
      </c>
      <c r="BK43" s="17">
        <f>IF($B43="","",COUNTIFS($B$5:$B43,$B43,$BF$5:$BF43,$BF43))</f>
        <v>9</v>
      </c>
      <c r="BL43" s="17">
        <f>IF($B43="","",COUNTIFS($B$5:$B43,$B43,$BH$5:$BH43,$BH43))</f>
        <v>9</v>
      </c>
      <c r="BM43" s="17" t="str">
        <f t="shared" si="16"/>
        <v>09|Jariyawadee Taboodda|20260101</v>
      </c>
      <c r="BN43" s="17" t="str">
        <f t="shared" si="17"/>
        <v>09|Jariyawadee Taboodda|20251229</v>
      </c>
      <c r="BO43" s="17">
        <f t="shared" si="18"/>
        <v>0</v>
      </c>
      <c r="BP43" s="24" t="s">
        <v>228</v>
      </c>
      <c r="BQ43" s="13"/>
      <c r="BR43" s="25" t="str">
        <f t="shared" si="19"/>
        <v>Jan-Feb 2026</v>
      </c>
    </row>
    <row r="44" spans="1:70" s="18" customFormat="1" ht="15" customHeight="1">
      <c r="A44" s="14">
        <v>46053.238994583327</v>
      </c>
      <c r="B44" s="15" t="s">
        <v>75</v>
      </c>
      <c r="C44" s="14">
        <v>46023</v>
      </c>
      <c r="D44" s="16"/>
      <c r="E44" s="16"/>
      <c r="F44" s="17" t="s">
        <v>229</v>
      </c>
      <c r="G44" s="13" t="s">
        <v>230</v>
      </c>
      <c r="H44" s="18">
        <v>10</v>
      </c>
      <c r="J44" s="18">
        <v>15</v>
      </c>
      <c r="L44" s="18">
        <v>10</v>
      </c>
      <c r="N44" s="18">
        <v>10</v>
      </c>
      <c r="P44" s="18">
        <v>18</v>
      </c>
      <c r="R44" s="18">
        <v>5</v>
      </c>
      <c r="T44" s="17"/>
      <c r="U44" s="19"/>
      <c r="V44" s="17"/>
      <c r="W44" s="19"/>
      <c r="X44" s="17"/>
      <c r="Y44" s="19"/>
      <c r="Z44" s="17"/>
      <c r="AA44" s="19"/>
      <c r="AB44" s="17"/>
      <c r="AC44" s="20"/>
      <c r="AD44" s="17"/>
      <c r="AE44" s="20"/>
      <c r="AF44" s="17"/>
      <c r="AG44" s="21"/>
      <c r="AH44" s="17"/>
      <c r="AI44" s="19"/>
      <c r="AJ44" s="17"/>
      <c r="AK44" s="19"/>
      <c r="AL44" s="17"/>
      <c r="AM44" s="21"/>
      <c r="AN44" s="17"/>
      <c r="AO44" s="19"/>
      <c r="AP44" s="17"/>
      <c r="AQ44" s="19"/>
      <c r="AR44" s="17"/>
      <c r="AS44" s="19"/>
      <c r="AT44" s="17"/>
      <c r="AU44" s="21"/>
      <c r="AV44" s="17"/>
      <c r="AW44" s="21"/>
      <c r="AX44" s="17"/>
      <c r="AY44" s="21"/>
      <c r="AZ44" s="17"/>
      <c r="BA44" s="21"/>
      <c r="BB44" s="17" t="s">
        <v>72</v>
      </c>
      <c r="BC44" s="21" t="s">
        <v>86</v>
      </c>
      <c r="BD44" s="17"/>
      <c r="BE44" s="22">
        <f t="shared" si="10"/>
        <v>68</v>
      </c>
      <c r="BF44" s="14">
        <f t="shared" si="11"/>
        <v>46023</v>
      </c>
      <c r="BG44" s="23" t="str">
        <f t="shared" si="12"/>
        <v>January 2026</v>
      </c>
      <c r="BH44" s="14">
        <f t="shared" si="13"/>
        <v>46020</v>
      </c>
      <c r="BI44" s="14">
        <f t="shared" si="14"/>
        <v>46026</v>
      </c>
      <c r="BJ44" s="17" t="str">
        <f t="shared" si="15"/>
        <v>29/12/2025 - 04/01/2026</v>
      </c>
      <c r="BK44" s="17">
        <f>IF($B44="","",COUNTIFS($B$5:$B44,$B44,$BF$5:$BF44,$BF44))</f>
        <v>10</v>
      </c>
      <c r="BL44" s="17">
        <f>IF($B44="","",COUNTIFS($B$5:$B44,$B44,$BH$5:$BH44,$BH44))</f>
        <v>10</v>
      </c>
      <c r="BM44" s="17" t="str">
        <f t="shared" si="16"/>
        <v>10|Jariyawadee Taboodda|20260101</v>
      </c>
      <c r="BN44" s="17" t="str">
        <f t="shared" si="17"/>
        <v>10|Jariyawadee Taboodda|20251229</v>
      </c>
      <c r="BO44" s="17">
        <f t="shared" si="18"/>
        <v>0</v>
      </c>
      <c r="BP44" s="24" t="s">
        <v>231</v>
      </c>
      <c r="BQ44" s="13"/>
      <c r="BR44" s="25" t="str">
        <f t="shared" si="19"/>
        <v>Jan-Feb 2026</v>
      </c>
    </row>
    <row r="45" spans="1:70" s="18" customFormat="1" ht="15" customHeight="1">
      <c r="A45" s="14">
        <v>46039.694969722223</v>
      </c>
      <c r="B45" s="15" t="s">
        <v>73</v>
      </c>
      <c r="C45" s="14">
        <v>46023</v>
      </c>
      <c r="D45" s="16"/>
      <c r="E45" s="16"/>
      <c r="F45" s="17" t="s">
        <v>232</v>
      </c>
      <c r="G45" s="13" t="s">
        <v>233</v>
      </c>
      <c r="H45" s="18">
        <v>7</v>
      </c>
      <c r="J45" s="18">
        <v>22</v>
      </c>
      <c r="L45" s="18">
        <v>14</v>
      </c>
      <c r="N45" s="18">
        <v>10</v>
      </c>
      <c r="P45" s="18">
        <v>16</v>
      </c>
      <c r="R45" s="18">
        <v>7</v>
      </c>
      <c r="T45" s="17"/>
      <c r="U45" s="19"/>
      <c r="V45" s="17"/>
      <c r="W45" s="19"/>
      <c r="X45" s="17"/>
      <c r="Y45" s="19"/>
      <c r="Z45" s="17"/>
      <c r="AA45" s="19"/>
      <c r="AB45" s="17"/>
      <c r="AC45" s="20"/>
      <c r="AD45" s="17"/>
      <c r="AE45" s="20"/>
      <c r="AF45" s="17"/>
      <c r="AG45" s="21"/>
      <c r="AH45" s="17"/>
      <c r="AI45" s="19"/>
      <c r="AJ45" s="17"/>
      <c r="AK45" s="19"/>
      <c r="AL45" s="17"/>
      <c r="AM45" s="21"/>
      <c r="AN45" s="17"/>
      <c r="AO45" s="19"/>
      <c r="AP45" s="17"/>
      <c r="AQ45" s="19"/>
      <c r="AR45" s="17"/>
      <c r="AS45" s="19"/>
      <c r="AT45" s="17"/>
      <c r="AU45" s="21"/>
      <c r="AV45" s="17"/>
      <c r="AW45" s="21"/>
      <c r="AX45" s="17"/>
      <c r="AY45" s="21"/>
      <c r="AZ45" s="17"/>
      <c r="BA45" s="21"/>
      <c r="BB45" s="17" t="s">
        <v>72</v>
      </c>
      <c r="BC45" s="21" t="s">
        <v>123</v>
      </c>
      <c r="BD45" s="17"/>
      <c r="BE45" s="22">
        <f t="shared" si="10"/>
        <v>76</v>
      </c>
      <c r="BF45" s="14">
        <f t="shared" si="11"/>
        <v>46023</v>
      </c>
      <c r="BG45" s="23" t="str">
        <f t="shared" si="12"/>
        <v>January 2026</v>
      </c>
      <c r="BH45" s="14">
        <f t="shared" si="13"/>
        <v>46020</v>
      </c>
      <c r="BI45" s="14">
        <f t="shared" si="14"/>
        <v>46026</v>
      </c>
      <c r="BJ45" s="17" t="str">
        <f t="shared" si="15"/>
        <v>29/12/2025 - 04/01/2026</v>
      </c>
      <c r="BK45" s="17">
        <f>IF($B45="","",COUNTIFS($B$5:$B45,$B45,$BF$5:$BF45,$BF45))</f>
        <v>1</v>
      </c>
      <c r="BL45" s="17">
        <f>IF($B45="","",COUNTIFS($B$5:$B45,$B45,$BH$5:$BH45,$BH45))</f>
        <v>1</v>
      </c>
      <c r="BM45" s="17" t="str">
        <f t="shared" si="16"/>
        <v>01|Jureeporn Piddum|20260101</v>
      </c>
      <c r="BN45" s="17" t="str">
        <f t="shared" si="17"/>
        <v>01|Jureeporn Piddum|20251229</v>
      </c>
      <c r="BO45" s="17">
        <f t="shared" si="18"/>
        <v>0</v>
      </c>
      <c r="BP45" s="24" t="s">
        <v>234</v>
      </c>
      <c r="BQ45" s="13"/>
      <c r="BR45" s="25" t="str">
        <f t="shared" si="19"/>
        <v>Jan-Feb 2026</v>
      </c>
    </row>
    <row r="46" spans="1:70" s="18" customFormat="1" ht="15" customHeight="1">
      <c r="A46" s="14">
        <v>46039.701571712962</v>
      </c>
      <c r="B46" s="15" t="s">
        <v>73</v>
      </c>
      <c r="C46" s="14">
        <v>46023</v>
      </c>
      <c r="D46" s="16"/>
      <c r="E46" s="16"/>
      <c r="F46" s="17" t="s">
        <v>235</v>
      </c>
      <c r="G46" s="13" t="s">
        <v>236</v>
      </c>
      <c r="H46" s="18">
        <v>10</v>
      </c>
      <c r="J46" s="18">
        <v>20</v>
      </c>
      <c r="L46" s="18">
        <v>14</v>
      </c>
      <c r="N46" s="18">
        <v>10</v>
      </c>
      <c r="P46" s="18">
        <v>16</v>
      </c>
      <c r="R46" s="18">
        <v>10</v>
      </c>
      <c r="T46" s="17"/>
      <c r="U46" s="19"/>
      <c r="V46" s="17"/>
      <c r="W46" s="19"/>
      <c r="X46" s="17"/>
      <c r="Y46" s="19"/>
      <c r="Z46" s="17"/>
      <c r="AA46" s="19"/>
      <c r="AB46" s="17"/>
      <c r="AC46" s="20"/>
      <c r="AD46" s="17"/>
      <c r="AE46" s="20"/>
      <c r="AF46" s="17"/>
      <c r="AG46" s="21"/>
      <c r="AH46" s="17"/>
      <c r="AI46" s="19"/>
      <c r="AJ46" s="17"/>
      <c r="AK46" s="19"/>
      <c r="AL46" s="17"/>
      <c r="AM46" s="21"/>
      <c r="AN46" s="17"/>
      <c r="AO46" s="19"/>
      <c r="AP46" s="17"/>
      <c r="AQ46" s="19"/>
      <c r="AR46" s="17"/>
      <c r="AS46" s="19"/>
      <c r="AT46" s="17"/>
      <c r="AU46" s="21"/>
      <c r="AV46" s="17"/>
      <c r="AW46" s="21"/>
      <c r="AX46" s="17"/>
      <c r="AY46" s="21"/>
      <c r="AZ46" s="17"/>
      <c r="BA46" s="21"/>
      <c r="BB46" s="17" t="s">
        <v>72</v>
      </c>
      <c r="BC46" s="21" t="s">
        <v>90</v>
      </c>
      <c r="BD46" s="17"/>
      <c r="BE46" s="22">
        <f t="shared" si="10"/>
        <v>80</v>
      </c>
      <c r="BF46" s="14">
        <f t="shared" si="11"/>
        <v>46023</v>
      </c>
      <c r="BG46" s="23" t="str">
        <f t="shared" si="12"/>
        <v>January 2026</v>
      </c>
      <c r="BH46" s="14">
        <f t="shared" si="13"/>
        <v>46020</v>
      </c>
      <c r="BI46" s="14">
        <f t="shared" si="14"/>
        <v>46026</v>
      </c>
      <c r="BJ46" s="17" t="str">
        <f t="shared" si="15"/>
        <v>29/12/2025 - 04/01/2026</v>
      </c>
      <c r="BK46" s="17">
        <f>IF($B46="","",COUNTIFS($B$5:$B46,$B46,$BF$5:$BF46,$BF46))</f>
        <v>2</v>
      </c>
      <c r="BL46" s="17">
        <f>IF($B46="","",COUNTIFS($B$5:$B46,$B46,$BH$5:$BH46,$BH46))</f>
        <v>2</v>
      </c>
      <c r="BM46" s="17" t="str">
        <f t="shared" si="16"/>
        <v>02|Jureeporn Piddum|20260101</v>
      </c>
      <c r="BN46" s="17" t="str">
        <f t="shared" si="17"/>
        <v>02|Jureeporn Piddum|20251229</v>
      </c>
      <c r="BO46" s="17">
        <f t="shared" si="18"/>
        <v>0</v>
      </c>
      <c r="BP46" s="24" t="s">
        <v>237</v>
      </c>
      <c r="BQ46" s="13"/>
      <c r="BR46" s="25" t="str">
        <f t="shared" si="19"/>
        <v>Jan-Feb 2026</v>
      </c>
    </row>
    <row r="47" spans="1:70" s="18" customFormat="1" ht="15" customHeight="1">
      <c r="A47" s="14">
        <v>46039.711440740743</v>
      </c>
      <c r="B47" s="15" t="s">
        <v>73</v>
      </c>
      <c r="C47" s="14">
        <v>46023</v>
      </c>
      <c r="D47" s="16"/>
      <c r="E47" s="16"/>
      <c r="F47" s="17" t="s">
        <v>238</v>
      </c>
      <c r="G47" s="13" t="s">
        <v>239</v>
      </c>
      <c r="H47" s="18">
        <v>7</v>
      </c>
      <c r="J47" s="18">
        <v>20</v>
      </c>
      <c r="L47" s="18">
        <v>15</v>
      </c>
      <c r="N47" s="18">
        <v>10</v>
      </c>
      <c r="P47" s="18">
        <v>18</v>
      </c>
      <c r="R47" s="18">
        <v>7</v>
      </c>
      <c r="T47" s="17"/>
      <c r="U47" s="19"/>
      <c r="V47" s="17"/>
      <c r="W47" s="19"/>
      <c r="X47" s="17"/>
      <c r="Y47" s="19"/>
      <c r="Z47" s="17"/>
      <c r="AA47" s="19"/>
      <c r="AB47" s="17"/>
      <c r="AC47" s="20"/>
      <c r="AD47" s="17"/>
      <c r="AE47" s="20"/>
      <c r="AF47" s="17"/>
      <c r="AG47" s="21"/>
      <c r="AH47" s="17"/>
      <c r="AI47" s="19"/>
      <c r="AJ47" s="17"/>
      <c r="AK47" s="19"/>
      <c r="AL47" s="17"/>
      <c r="AM47" s="21"/>
      <c r="AN47" s="17"/>
      <c r="AO47" s="19"/>
      <c r="AP47" s="17"/>
      <c r="AQ47" s="19"/>
      <c r="AR47" s="17"/>
      <c r="AS47" s="19"/>
      <c r="AT47" s="17"/>
      <c r="AU47" s="21"/>
      <c r="AV47" s="17"/>
      <c r="AW47" s="21"/>
      <c r="AX47" s="17"/>
      <c r="AY47" s="21"/>
      <c r="AZ47" s="17"/>
      <c r="BA47" s="21"/>
      <c r="BB47" s="17" t="s">
        <v>72</v>
      </c>
      <c r="BC47" s="21" t="s">
        <v>86</v>
      </c>
      <c r="BD47" s="17"/>
      <c r="BE47" s="22">
        <f t="shared" si="10"/>
        <v>77</v>
      </c>
      <c r="BF47" s="14">
        <f t="shared" si="11"/>
        <v>46023</v>
      </c>
      <c r="BG47" s="23" t="str">
        <f t="shared" si="12"/>
        <v>January 2026</v>
      </c>
      <c r="BH47" s="14">
        <f t="shared" si="13"/>
        <v>46020</v>
      </c>
      <c r="BI47" s="14">
        <f t="shared" si="14"/>
        <v>46026</v>
      </c>
      <c r="BJ47" s="17" t="str">
        <f t="shared" si="15"/>
        <v>29/12/2025 - 04/01/2026</v>
      </c>
      <c r="BK47" s="17">
        <f>IF($B47="","",COUNTIFS($B$5:$B47,$B47,$BF$5:$BF47,$BF47))</f>
        <v>3</v>
      </c>
      <c r="BL47" s="17">
        <f>IF($B47="","",COUNTIFS($B$5:$B47,$B47,$BH$5:$BH47,$BH47))</f>
        <v>3</v>
      </c>
      <c r="BM47" s="17" t="str">
        <f t="shared" si="16"/>
        <v>03|Jureeporn Piddum|20260101</v>
      </c>
      <c r="BN47" s="17" t="str">
        <f t="shared" si="17"/>
        <v>03|Jureeporn Piddum|20251229</v>
      </c>
      <c r="BO47" s="17">
        <f t="shared" si="18"/>
        <v>0</v>
      </c>
      <c r="BP47" s="24" t="s">
        <v>240</v>
      </c>
      <c r="BQ47" s="13"/>
      <c r="BR47" s="25" t="str">
        <f t="shared" si="19"/>
        <v>Jan-Feb 2026</v>
      </c>
    </row>
    <row r="48" spans="1:70" s="18" customFormat="1" ht="15" customHeight="1">
      <c r="A48" s="14">
        <v>46050.134588541667</v>
      </c>
      <c r="B48" s="15" t="s">
        <v>73</v>
      </c>
      <c r="C48" s="14">
        <v>46023</v>
      </c>
      <c r="D48" s="16"/>
      <c r="E48" s="16"/>
      <c r="F48" s="17" t="s">
        <v>241</v>
      </c>
      <c r="G48" s="13" t="s">
        <v>242</v>
      </c>
      <c r="H48" s="18">
        <v>10</v>
      </c>
      <c r="J48" s="18">
        <v>0</v>
      </c>
      <c r="L48" s="18">
        <v>0</v>
      </c>
      <c r="N48" s="18">
        <v>10</v>
      </c>
      <c r="P48" s="18">
        <v>17</v>
      </c>
      <c r="R48" s="18">
        <v>6</v>
      </c>
      <c r="T48" s="17"/>
      <c r="U48" s="19"/>
      <c r="V48" s="17"/>
      <c r="W48" s="19"/>
      <c r="X48" s="17"/>
      <c r="Y48" s="19"/>
      <c r="Z48" s="17"/>
      <c r="AA48" s="19"/>
      <c r="AB48" s="17"/>
      <c r="AC48" s="20"/>
      <c r="AD48" s="17"/>
      <c r="AE48" s="20"/>
      <c r="AF48" s="17"/>
      <c r="AG48" s="21"/>
      <c r="AH48" s="17"/>
      <c r="AI48" s="19"/>
      <c r="AJ48" s="17"/>
      <c r="AK48" s="19"/>
      <c r="AL48" s="17"/>
      <c r="AM48" s="21"/>
      <c r="AN48" s="17"/>
      <c r="AO48" s="19"/>
      <c r="AP48" s="17"/>
      <c r="AQ48" s="19"/>
      <c r="AR48" s="17"/>
      <c r="AS48" s="19"/>
      <c r="AT48" s="17"/>
      <c r="AU48" s="21"/>
      <c r="AV48" s="17"/>
      <c r="AW48" s="21"/>
      <c r="AX48" s="17"/>
      <c r="AY48" s="21"/>
      <c r="AZ48" s="17"/>
      <c r="BA48" s="21"/>
      <c r="BB48" s="17" t="s">
        <v>72</v>
      </c>
      <c r="BC48" s="21" t="s">
        <v>175</v>
      </c>
      <c r="BD48" s="17"/>
      <c r="BE48" s="22">
        <f t="shared" si="10"/>
        <v>43</v>
      </c>
      <c r="BF48" s="14">
        <f t="shared" si="11"/>
        <v>46023</v>
      </c>
      <c r="BG48" s="23" t="str">
        <f t="shared" si="12"/>
        <v>January 2026</v>
      </c>
      <c r="BH48" s="14">
        <f t="shared" si="13"/>
        <v>46020</v>
      </c>
      <c r="BI48" s="14">
        <f t="shared" si="14"/>
        <v>46026</v>
      </c>
      <c r="BJ48" s="17" t="str">
        <f t="shared" si="15"/>
        <v>29/12/2025 - 04/01/2026</v>
      </c>
      <c r="BK48" s="17">
        <f>IF($B48="","",COUNTIFS($B$5:$B48,$B48,$BF$5:$BF48,$BF48))</f>
        <v>4</v>
      </c>
      <c r="BL48" s="17">
        <f>IF($B48="","",COUNTIFS($B$5:$B48,$B48,$BH$5:$BH48,$BH48))</f>
        <v>4</v>
      </c>
      <c r="BM48" s="17" t="str">
        <f t="shared" si="16"/>
        <v>04|Jureeporn Piddum|20260101</v>
      </c>
      <c r="BN48" s="17" t="str">
        <f t="shared" si="17"/>
        <v>04|Jureeporn Piddum|20251229</v>
      </c>
      <c r="BO48" s="17">
        <f t="shared" si="18"/>
        <v>0</v>
      </c>
      <c r="BP48" s="24" t="s">
        <v>243</v>
      </c>
      <c r="BQ48" s="13"/>
      <c r="BR48" s="25" t="str">
        <f t="shared" si="19"/>
        <v>Jan-Feb 2026</v>
      </c>
    </row>
    <row r="49" spans="1:70" s="18" customFormat="1" ht="15" customHeight="1">
      <c r="A49" s="14">
        <v>46053.101061898153</v>
      </c>
      <c r="B49" s="15" t="s">
        <v>73</v>
      </c>
      <c r="C49" s="14">
        <v>46023</v>
      </c>
      <c r="D49" s="16"/>
      <c r="E49" s="16"/>
      <c r="F49" s="17" t="s">
        <v>244</v>
      </c>
      <c r="G49" s="13" t="s">
        <v>245</v>
      </c>
      <c r="H49" s="18">
        <v>7</v>
      </c>
      <c r="J49" s="18">
        <v>15</v>
      </c>
      <c r="L49" s="18">
        <v>10</v>
      </c>
      <c r="N49" s="18">
        <v>10</v>
      </c>
      <c r="P49" s="18">
        <v>17</v>
      </c>
      <c r="R49" s="18">
        <v>5</v>
      </c>
      <c r="T49" s="17"/>
      <c r="U49" s="19"/>
      <c r="V49" s="17"/>
      <c r="W49" s="19"/>
      <c r="X49" s="17"/>
      <c r="Y49" s="19"/>
      <c r="Z49" s="17"/>
      <c r="AA49" s="19"/>
      <c r="AB49" s="17"/>
      <c r="AC49" s="20"/>
      <c r="AD49" s="17"/>
      <c r="AE49" s="20"/>
      <c r="AF49" s="17"/>
      <c r="AG49" s="21"/>
      <c r="AH49" s="17"/>
      <c r="AI49" s="19"/>
      <c r="AJ49" s="17"/>
      <c r="AK49" s="19"/>
      <c r="AL49" s="17"/>
      <c r="AM49" s="21"/>
      <c r="AN49" s="17"/>
      <c r="AO49" s="19"/>
      <c r="AP49" s="17"/>
      <c r="AQ49" s="19"/>
      <c r="AR49" s="17"/>
      <c r="AS49" s="19"/>
      <c r="AT49" s="17"/>
      <c r="AU49" s="21"/>
      <c r="AV49" s="17"/>
      <c r="AW49" s="21"/>
      <c r="AX49" s="17"/>
      <c r="AY49" s="21"/>
      <c r="AZ49" s="17"/>
      <c r="BA49" s="21"/>
      <c r="BB49" s="17" t="s">
        <v>72</v>
      </c>
      <c r="BC49" s="21" t="s">
        <v>246</v>
      </c>
      <c r="BD49" s="17"/>
      <c r="BE49" s="22">
        <f t="shared" si="10"/>
        <v>64</v>
      </c>
      <c r="BF49" s="14">
        <f t="shared" si="11"/>
        <v>46023</v>
      </c>
      <c r="BG49" s="23" t="str">
        <f t="shared" si="12"/>
        <v>January 2026</v>
      </c>
      <c r="BH49" s="14">
        <f t="shared" si="13"/>
        <v>46020</v>
      </c>
      <c r="BI49" s="14">
        <f t="shared" si="14"/>
        <v>46026</v>
      </c>
      <c r="BJ49" s="17" t="str">
        <f t="shared" si="15"/>
        <v>29/12/2025 - 04/01/2026</v>
      </c>
      <c r="BK49" s="17">
        <f>IF($B49="","",COUNTIFS($B$5:$B49,$B49,$BF$5:$BF49,$BF49))</f>
        <v>5</v>
      </c>
      <c r="BL49" s="17">
        <f>IF($B49="","",COUNTIFS($B$5:$B49,$B49,$BH$5:$BH49,$BH49))</f>
        <v>5</v>
      </c>
      <c r="BM49" s="17" t="str">
        <f t="shared" si="16"/>
        <v>05|Jureeporn Piddum|20260101</v>
      </c>
      <c r="BN49" s="17" t="str">
        <f t="shared" si="17"/>
        <v>05|Jureeporn Piddum|20251229</v>
      </c>
      <c r="BO49" s="17">
        <f t="shared" si="18"/>
        <v>0</v>
      </c>
      <c r="BP49" s="24" t="s">
        <v>247</v>
      </c>
      <c r="BQ49" s="13"/>
      <c r="BR49" s="25" t="str">
        <f t="shared" si="19"/>
        <v>Jan-Feb 2026</v>
      </c>
    </row>
    <row r="50" spans="1:70" s="18" customFormat="1" ht="15" customHeight="1">
      <c r="A50" s="14">
        <v>46053.111998842593</v>
      </c>
      <c r="B50" s="15" t="s">
        <v>73</v>
      </c>
      <c r="C50" s="14">
        <v>46023</v>
      </c>
      <c r="D50" s="16"/>
      <c r="E50" s="16"/>
      <c r="F50" s="17" t="s">
        <v>248</v>
      </c>
      <c r="G50" s="13" t="s">
        <v>249</v>
      </c>
      <c r="H50" s="18">
        <v>10</v>
      </c>
      <c r="J50" s="18">
        <v>20</v>
      </c>
      <c r="L50" s="18">
        <v>10</v>
      </c>
      <c r="N50" s="18">
        <v>10</v>
      </c>
      <c r="P50" s="18">
        <v>17</v>
      </c>
      <c r="R50" s="18">
        <v>6</v>
      </c>
      <c r="T50" s="17"/>
      <c r="U50" s="19"/>
      <c r="V50" s="17"/>
      <c r="W50" s="19"/>
      <c r="X50" s="17"/>
      <c r="Y50" s="19"/>
      <c r="Z50" s="17"/>
      <c r="AA50" s="19"/>
      <c r="AB50" s="17"/>
      <c r="AC50" s="20"/>
      <c r="AD50" s="17"/>
      <c r="AE50" s="20"/>
      <c r="AF50" s="17"/>
      <c r="AG50" s="21"/>
      <c r="AH50" s="17"/>
      <c r="AI50" s="19"/>
      <c r="AJ50" s="17"/>
      <c r="AK50" s="19"/>
      <c r="AL50" s="17"/>
      <c r="AM50" s="21"/>
      <c r="AN50" s="17"/>
      <c r="AO50" s="19"/>
      <c r="AP50" s="17"/>
      <c r="AQ50" s="19"/>
      <c r="AR50" s="17"/>
      <c r="AS50" s="19"/>
      <c r="AT50" s="17"/>
      <c r="AU50" s="21"/>
      <c r="AV50" s="17"/>
      <c r="AW50" s="21"/>
      <c r="AX50" s="17"/>
      <c r="AY50" s="21"/>
      <c r="AZ50" s="17"/>
      <c r="BA50" s="21"/>
      <c r="BB50" s="17" t="s">
        <v>72</v>
      </c>
      <c r="BC50" s="21" t="s">
        <v>90</v>
      </c>
      <c r="BD50" s="17"/>
      <c r="BE50" s="22">
        <f t="shared" si="10"/>
        <v>73</v>
      </c>
      <c r="BF50" s="14">
        <f t="shared" si="11"/>
        <v>46023</v>
      </c>
      <c r="BG50" s="23" t="str">
        <f t="shared" si="12"/>
        <v>January 2026</v>
      </c>
      <c r="BH50" s="14">
        <f t="shared" si="13"/>
        <v>46020</v>
      </c>
      <c r="BI50" s="14">
        <f t="shared" si="14"/>
        <v>46026</v>
      </c>
      <c r="BJ50" s="17" t="str">
        <f t="shared" si="15"/>
        <v>29/12/2025 - 04/01/2026</v>
      </c>
      <c r="BK50" s="17">
        <f>IF($B50="","",COUNTIFS($B$5:$B50,$B50,$BF$5:$BF50,$BF50))</f>
        <v>6</v>
      </c>
      <c r="BL50" s="17">
        <f>IF($B50="","",COUNTIFS($B$5:$B50,$B50,$BH$5:$BH50,$BH50))</f>
        <v>6</v>
      </c>
      <c r="BM50" s="17" t="str">
        <f t="shared" si="16"/>
        <v>06|Jureeporn Piddum|20260101</v>
      </c>
      <c r="BN50" s="17" t="str">
        <f t="shared" si="17"/>
        <v>06|Jureeporn Piddum|20251229</v>
      </c>
      <c r="BO50" s="17">
        <f t="shared" si="18"/>
        <v>0</v>
      </c>
      <c r="BP50" s="24" t="s">
        <v>250</v>
      </c>
      <c r="BQ50" s="13"/>
      <c r="BR50" s="25" t="str">
        <f t="shared" si="19"/>
        <v>Jan-Feb 2026</v>
      </c>
    </row>
    <row r="51" spans="1:70" s="18" customFormat="1" ht="15" customHeight="1">
      <c r="A51" s="14">
        <v>46053.121805451388</v>
      </c>
      <c r="B51" s="15" t="s">
        <v>73</v>
      </c>
      <c r="C51" s="14">
        <v>46023</v>
      </c>
      <c r="D51" s="16"/>
      <c r="E51" s="16"/>
      <c r="F51" s="17" t="s">
        <v>251</v>
      </c>
      <c r="G51" s="13" t="s">
        <v>252</v>
      </c>
      <c r="H51" s="18">
        <v>10</v>
      </c>
      <c r="J51" s="18">
        <v>20</v>
      </c>
      <c r="L51" s="18">
        <v>10</v>
      </c>
      <c r="N51" s="18">
        <v>10</v>
      </c>
      <c r="P51" s="18">
        <v>18</v>
      </c>
      <c r="R51" s="18">
        <v>8</v>
      </c>
      <c r="T51" s="17"/>
      <c r="U51" s="19"/>
      <c r="V51" s="17"/>
      <c r="W51" s="19"/>
      <c r="X51" s="17"/>
      <c r="Y51" s="19"/>
      <c r="Z51" s="17"/>
      <c r="AA51" s="19"/>
      <c r="AB51" s="17"/>
      <c r="AC51" s="20"/>
      <c r="AD51" s="17"/>
      <c r="AE51" s="20"/>
      <c r="AF51" s="17"/>
      <c r="AG51" s="21"/>
      <c r="AH51" s="17"/>
      <c r="AI51" s="19"/>
      <c r="AJ51" s="17"/>
      <c r="AK51" s="19"/>
      <c r="AL51" s="17"/>
      <c r="AM51" s="21"/>
      <c r="AN51" s="17"/>
      <c r="AO51" s="19"/>
      <c r="AP51" s="17"/>
      <c r="AQ51" s="19"/>
      <c r="AR51" s="17"/>
      <c r="AS51" s="19"/>
      <c r="AT51" s="17"/>
      <c r="AU51" s="21"/>
      <c r="AV51" s="17"/>
      <c r="AW51" s="21"/>
      <c r="AX51" s="17"/>
      <c r="AY51" s="21"/>
      <c r="AZ51" s="17"/>
      <c r="BA51" s="21"/>
      <c r="BB51" s="17" t="s">
        <v>72</v>
      </c>
      <c r="BC51" s="21" t="s">
        <v>253</v>
      </c>
      <c r="BD51" s="17"/>
      <c r="BE51" s="22">
        <f t="shared" si="10"/>
        <v>76</v>
      </c>
      <c r="BF51" s="14">
        <f t="shared" si="11"/>
        <v>46023</v>
      </c>
      <c r="BG51" s="23" t="str">
        <f t="shared" si="12"/>
        <v>January 2026</v>
      </c>
      <c r="BH51" s="14">
        <f t="shared" si="13"/>
        <v>46020</v>
      </c>
      <c r="BI51" s="14">
        <f t="shared" si="14"/>
        <v>46026</v>
      </c>
      <c r="BJ51" s="17" t="str">
        <f t="shared" si="15"/>
        <v>29/12/2025 - 04/01/2026</v>
      </c>
      <c r="BK51" s="17">
        <f>IF($B51="","",COUNTIFS($B$5:$B51,$B51,$BF$5:$BF51,$BF51))</f>
        <v>7</v>
      </c>
      <c r="BL51" s="17">
        <f>IF($B51="","",COUNTIFS($B$5:$B51,$B51,$BH$5:$BH51,$BH51))</f>
        <v>7</v>
      </c>
      <c r="BM51" s="17" t="str">
        <f t="shared" si="16"/>
        <v>07|Jureeporn Piddum|20260101</v>
      </c>
      <c r="BN51" s="17" t="str">
        <f t="shared" si="17"/>
        <v>07|Jureeporn Piddum|20251229</v>
      </c>
      <c r="BO51" s="17">
        <f t="shared" si="18"/>
        <v>0</v>
      </c>
      <c r="BP51" s="24" t="s">
        <v>254</v>
      </c>
      <c r="BQ51" s="13"/>
      <c r="BR51" s="25" t="str">
        <f t="shared" si="19"/>
        <v>Jan-Feb 2026</v>
      </c>
    </row>
    <row r="52" spans="1:70" s="18" customFormat="1" ht="15" customHeight="1">
      <c r="A52" s="14">
        <v>46053.128593865738</v>
      </c>
      <c r="B52" s="15" t="s">
        <v>73</v>
      </c>
      <c r="C52" s="14">
        <v>46023</v>
      </c>
      <c r="D52" s="16"/>
      <c r="E52" s="16"/>
      <c r="F52" s="17" t="s">
        <v>255</v>
      </c>
      <c r="G52" s="13" t="s">
        <v>256</v>
      </c>
      <c r="H52" s="18">
        <v>6</v>
      </c>
      <c r="J52" s="18">
        <v>25</v>
      </c>
      <c r="L52" s="18">
        <v>16</v>
      </c>
      <c r="N52" s="18">
        <v>10</v>
      </c>
      <c r="P52" s="18">
        <v>16</v>
      </c>
      <c r="R52" s="18">
        <v>7</v>
      </c>
      <c r="T52" s="17"/>
      <c r="U52" s="19"/>
      <c r="V52" s="17"/>
      <c r="W52" s="19"/>
      <c r="X52" s="17"/>
      <c r="Y52" s="19"/>
      <c r="Z52" s="17"/>
      <c r="AA52" s="19"/>
      <c r="AB52" s="17"/>
      <c r="AC52" s="20"/>
      <c r="AD52" s="17"/>
      <c r="AE52" s="20"/>
      <c r="AF52" s="17"/>
      <c r="AG52" s="21"/>
      <c r="AH52" s="17"/>
      <c r="AI52" s="19"/>
      <c r="AJ52" s="17"/>
      <c r="AK52" s="19"/>
      <c r="AL52" s="17"/>
      <c r="AM52" s="21"/>
      <c r="AN52" s="17"/>
      <c r="AO52" s="19"/>
      <c r="AP52" s="17"/>
      <c r="AQ52" s="19"/>
      <c r="AR52" s="17"/>
      <c r="AS52" s="19"/>
      <c r="AT52" s="17"/>
      <c r="AU52" s="21"/>
      <c r="AV52" s="17"/>
      <c r="AW52" s="21"/>
      <c r="AX52" s="17"/>
      <c r="AY52" s="21"/>
      <c r="AZ52" s="17"/>
      <c r="BA52" s="21"/>
      <c r="BB52" s="17" t="s">
        <v>72</v>
      </c>
      <c r="BC52" s="21" t="s">
        <v>205</v>
      </c>
      <c r="BD52" s="17"/>
      <c r="BE52" s="22">
        <f t="shared" si="10"/>
        <v>80</v>
      </c>
      <c r="BF52" s="14">
        <f t="shared" si="11"/>
        <v>46023</v>
      </c>
      <c r="BG52" s="23" t="str">
        <f t="shared" si="12"/>
        <v>January 2026</v>
      </c>
      <c r="BH52" s="14">
        <f t="shared" si="13"/>
        <v>46020</v>
      </c>
      <c r="BI52" s="14">
        <f t="shared" si="14"/>
        <v>46026</v>
      </c>
      <c r="BJ52" s="17" t="str">
        <f t="shared" si="15"/>
        <v>29/12/2025 - 04/01/2026</v>
      </c>
      <c r="BK52" s="17">
        <f>IF($B52="","",COUNTIFS($B$5:$B52,$B52,$BF$5:$BF52,$BF52))</f>
        <v>8</v>
      </c>
      <c r="BL52" s="17">
        <f>IF($B52="","",COUNTIFS($B$5:$B52,$B52,$BH$5:$BH52,$BH52))</f>
        <v>8</v>
      </c>
      <c r="BM52" s="17" t="str">
        <f t="shared" si="16"/>
        <v>08|Jureeporn Piddum|20260101</v>
      </c>
      <c r="BN52" s="17" t="str">
        <f t="shared" si="17"/>
        <v>08|Jureeporn Piddum|20251229</v>
      </c>
      <c r="BO52" s="17">
        <f t="shared" si="18"/>
        <v>0</v>
      </c>
      <c r="BP52" s="24" t="s">
        <v>257</v>
      </c>
      <c r="BQ52" s="13"/>
      <c r="BR52" s="25" t="str">
        <f t="shared" si="19"/>
        <v>Jan-Feb 2026</v>
      </c>
    </row>
    <row r="53" spans="1:70" s="18" customFormat="1" ht="15" customHeight="1">
      <c r="A53" s="14">
        <v>46053.142302743057</v>
      </c>
      <c r="B53" s="15" t="s">
        <v>73</v>
      </c>
      <c r="C53" s="14">
        <v>46023</v>
      </c>
      <c r="D53" s="16"/>
      <c r="E53" s="16"/>
      <c r="F53" s="17" t="s">
        <v>258</v>
      </c>
      <c r="G53" s="13" t="s">
        <v>259</v>
      </c>
      <c r="H53" s="18">
        <v>7</v>
      </c>
      <c r="J53" s="18">
        <v>30</v>
      </c>
      <c r="L53" s="18">
        <v>20</v>
      </c>
      <c r="N53" s="18">
        <v>10</v>
      </c>
      <c r="P53" s="18">
        <v>16</v>
      </c>
      <c r="R53" s="18">
        <v>5</v>
      </c>
      <c r="T53" s="17"/>
      <c r="U53" s="19"/>
      <c r="V53" s="17"/>
      <c r="W53" s="19"/>
      <c r="X53" s="17"/>
      <c r="Y53" s="19"/>
      <c r="Z53" s="17"/>
      <c r="AA53" s="19"/>
      <c r="AB53" s="17"/>
      <c r="AC53" s="20"/>
      <c r="AD53" s="17"/>
      <c r="AE53" s="20"/>
      <c r="AF53" s="17"/>
      <c r="AG53" s="21"/>
      <c r="AH53" s="17"/>
      <c r="AI53" s="19"/>
      <c r="AJ53" s="17"/>
      <c r="AK53" s="19"/>
      <c r="AL53" s="17"/>
      <c r="AM53" s="21"/>
      <c r="AN53" s="17"/>
      <c r="AO53" s="19"/>
      <c r="AP53" s="17"/>
      <c r="AQ53" s="19"/>
      <c r="AR53" s="17"/>
      <c r="AS53" s="19"/>
      <c r="AT53" s="17"/>
      <c r="AU53" s="21"/>
      <c r="AV53" s="17"/>
      <c r="AW53" s="21"/>
      <c r="AX53" s="17"/>
      <c r="AY53" s="21"/>
      <c r="AZ53" s="17"/>
      <c r="BA53" s="21"/>
      <c r="BB53" s="17" t="s">
        <v>72</v>
      </c>
      <c r="BC53" s="21" t="s">
        <v>142</v>
      </c>
      <c r="BD53" s="17"/>
      <c r="BE53" s="22">
        <f t="shared" si="10"/>
        <v>88</v>
      </c>
      <c r="BF53" s="14">
        <f t="shared" si="11"/>
        <v>46023</v>
      </c>
      <c r="BG53" s="23" t="str">
        <f t="shared" si="12"/>
        <v>January 2026</v>
      </c>
      <c r="BH53" s="14">
        <f t="shared" si="13"/>
        <v>46020</v>
      </c>
      <c r="BI53" s="14">
        <f t="shared" si="14"/>
        <v>46026</v>
      </c>
      <c r="BJ53" s="17" t="str">
        <f t="shared" si="15"/>
        <v>29/12/2025 - 04/01/2026</v>
      </c>
      <c r="BK53" s="17">
        <f>IF($B53="","",COUNTIFS($B$5:$B53,$B53,$BF$5:$BF53,$BF53))</f>
        <v>9</v>
      </c>
      <c r="BL53" s="17">
        <f>IF($B53="","",COUNTIFS($B$5:$B53,$B53,$BH$5:$BH53,$BH53))</f>
        <v>9</v>
      </c>
      <c r="BM53" s="17" t="str">
        <f t="shared" si="16"/>
        <v>09|Jureeporn Piddum|20260101</v>
      </c>
      <c r="BN53" s="17" t="str">
        <f t="shared" si="17"/>
        <v>09|Jureeporn Piddum|20251229</v>
      </c>
      <c r="BO53" s="17">
        <f t="shared" si="18"/>
        <v>0</v>
      </c>
      <c r="BP53" s="24" t="s">
        <v>260</v>
      </c>
      <c r="BQ53" s="13"/>
      <c r="BR53" s="25" t="str">
        <f t="shared" si="19"/>
        <v>Jan-Feb 2026</v>
      </c>
    </row>
    <row r="54" spans="1:70" s="18" customFormat="1" ht="15" customHeight="1">
      <c r="A54" s="14">
        <v>46053.308040138887</v>
      </c>
      <c r="B54" s="15" t="s">
        <v>73</v>
      </c>
      <c r="C54" s="14">
        <v>46023</v>
      </c>
      <c r="D54" s="16"/>
      <c r="E54" s="16"/>
      <c r="F54" s="17" t="s">
        <v>261</v>
      </c>
      <c r="G54" s="13" t="s">
        <v>262</v>
      </c>
      <c r="H54" s="18">
        <v>10</v>
      </c>
      <c r="J54" s="18">
        <v>15</v>
      </c>
      <c r="L54" s="18">
        <v>10</v>
      </c>
      <c r="N54" s="18">
        <v>10</v>
      </c>
      <c r="P54" s="18">
        <v>10</v>
      </c>
      <c r="R54" s="18">
        <v>10</v>
      </c>
      <c r="T54" s="17"/>
      <c r="U54" s="19"/>
      <c r="V54" s="17"/>
      <c r="W54" s="19"/>
      <c r="X54" s="17"/>
      <c r="Y54" s="19"/>
      <c r="Z54" s="17"/>
      <c r="AA54" s="19"/>
      <c r="AB54" s="17"/>
      <c r="AC54" s="20"/>
      <c r="AD54" s="17"/>
      <c r="AE54" s="20"/>
      <c r="AF54" s="17"/>
      <c r="AG54" s="21"/>
      <c r="AH54" s="17"/>
      <c r="AI54" s="19"/>
      <c r="AJ54" s="17"/>
      <c r="AK54" s="19"/>
      <c r="AL54" s="17"/>
      <c r="AM54" s="21"/>
      <c r="AN54" s="17"/>
      <c r="AO54" s="19"/>
      <c r="AP54" s="17"/>
      <c r="AQ54" s="19"/>
      <c r="AR54" s="17"/>
      <c r="AS54" s="19"/>
      <c r="AT54" s="17"/>
      <c r="AU54" s="21"/>
      <c r="AV54" s="17"/>
      <c r="AW54" s="21"/>
      <c r="AX54" s="17"/>
      <c r="AY54" s="21"/>
      <c r="AZ54" s="17"/>
      <c r="BA54" s="21"/>
      <c r="BB54" s="17" t="s">
        <v>72</v>
      </c>
      <c r="BC54" s="21" t="s">
        <v>86</v>
      </c>
      <c r="BD54" s="17"/>
      <c r="BE54" s="22">
        <f t="shared" si="10"/>
        <v>65</v>
      </c>
      <c r="BF54" s="14">
        <f t="shared" si="11"/>
        <v>46023</v>
      </c>
      <c r="BG54" s="23" t="str">
        <f t="shared" si="12"/>
        <v>January 2026</v>
      </c>
      <c r="BH54" s="14">
        <f t="shared" si="13"/>
        <v>46020</v>
      </c>
      <c r="BI54" s="14">
        <f t="shared" si="14"/>
        <v>46026</v>
      </c>
      <c r="BJ54" s="17" t="str">
        <f t="shared" si="15"/>
        <v>29/12/2025 - 04/01/2026</v>
      </c>
      <c r="BK54" s="17">
        <f>IF($B54="","",COUNTIFS($B$5:$B54,$B54,$BF$5:$BF54,$BF54))</f>
        <v>10</v>
      </c>
      <c r="BL54" s="17">
        <f>IF($B54="","",COUNTIFS($B$5:$B54,$B54,$BH$5:$BH54,$BH54))</f>
        <v>10</v>
      </c>
      <c r="BM54" s="17" t="str">
        <f t="shared" si="16"/>
        <v>10|Jureeporn Piddum|20260101</v>
      </c>
      <c r="BN54" s="17" t="str">
        <f t="shared" si="17"/>
        <v>10|Jureeporn Piddum|20251229</v>
      </c>
      <c r="BO54" s="17">
        <f t="shared" si="18"/>
        <v>0</v>
      </c>
      <c r="BP54" s="24" t="s">
        <v>263</v>
      </c>
      <c r="BQ54" s="13"/>
      <c r="BR54" s="25" t="str">
        <f t="shared" si="19"/>
        <v>Jan-Feb 2026</v>
      </c>
    </row>
    <row r="55" spans="1:70" s="18" customFormat="1" ht="15" customHeight="1">
      <c r="A55" s="14">
        <v>46036.614095543977</v>
      </c>
      <c r="B55" s="15" t="s">
        <v>81</v>
      </c>
      <c r="C55" s="14">
        <v>46023</v>
      </c>
      <c r="D55" s="16"/>
      <c r="E55" s="16"/>
      <c r="F55" s="17" t="s">
        <v>264</v>
      </c>
      <c r="G55" s="13" t="s">
        <v>265</v>
      </c>
      <c r="H55" s="18">
        <v>4</v>
      </c>
      <c r="J55" s="18">
        <v>28</v>
      </c>
      <c r="L55" s="18">
        <v>16</v>
      </c>
      <c r="N55" s="18">
        <v>10</v>
      </c>
      <c r="P55" s="18">
        <v>16</v>
      </c>
      <c r="R55" s="18">
        <v>10</v>
      </c>
      <c r="T55" s="17"/>
      <c r="U55" s="19"/>
      <c r="V55" s="17"/>
      <c r="W55" s="19"/>
      <c r="X55" s="17"/>
      <c r="Y55" s="19"/>
      <c r="Z55" s="17"/>
      <c r="AA55" s="19"/>
      <c r="AB55" s="17"/>
      <c r="AC55" s="20"/>
      <c r="AD55" s="17"/>
      <c r="AE55" s="20"/>
      <c r="AF55" s="17"/>
      <c r="AG55" s="21"/>
      <c r="AH55" s="17"/>
      <c r="AI55" s="19"/>
      <c r="AJ55" s="17"/>
      <c r="AK55" s="19"/>
      <c r="AL55" s="17"/>
      <c r="AM55" s="21"/>
      <c r="AN55" s="17"/>
      <c r="AO55" s="19"/>
      <c r="AP55" s="17"/>
      <c r="AQ55" s="19"/>
      <c r="AR55" s="17"/>
      <c r="AS55" s="19"/>
      <c r="AT55" s="17"/>
      <c r="AU55" s="21"/>
      <c r="AV55" s="17"/>
      <c r="AW55" s="21"/>
      <c r="AX55" s="17"/>
      <c r="AY55" s="21"/>
      <c r="AZ55" s="17"/>
      <c r="BA55" s="21"/>
      <c r="BB55" s="17" t="s">
        <v>72</v>
      </c>
      <c r="BC55" s="21" t="s">
        <v>266</v>
      </c>
      <c r="BD55" s="17"/>
      <c r="BE55" s="22">
        <f t="shared" si="10"/>
        <v>84</v>
      </c>
      <c r="BF55" s="14">
        <f t="shared" si="11"/>
        <v>46023</v>
      </c>
      <c r="BG55" s="23" t="str">
        <f t="shared" si="12"/>
        <v>January 2026</v>
      </c>
      <c r="BH55" s="14">
        <f t="shared" si="13"/>
        <v>46020</v>
      </c>
      <c r="BI55" s="14">
        <f t="shared" si="14"/>
        <v>46026</v>
      </c>
      <c r="BJ55" s="17" t="str">
        <f t="shared" si="15"/>
        <v>29/12/2025 - 04/01/2026</v>
      </c>
      <c r="BK55" s="17">
        <f>IF($B55="","",COUNTIFS($B$5:$B55,$B55,$BF$5:$BF55,$BF55))</f>
        <v>1</v>
      </c>
      <c r="BL55" s="17">
        <f>IF($B55="","",COUNTIFS($B$5:$B55,$B55,$BH$5:$BH55,$BH55))</f>
        <v>1</v>
      </c>
      <c r="BM55" s="17" t="str">
        <f t="shared" si="16"/>
        <v>01|Krivut Vongkampan|20260101</v>
      </c>
      <c r="BN55" s="17" t="str">
        <f t="shared" si="17"/>
        <v>01|Krivut Vongkampan|20251229</v>
      </c>
      <c r="BO55" s="17">
        <f t="shared" si="18"/>
        <v>0</v>
      </c>
      <c r="BP55" s="24" t="s">
        <v>267</v>
      </c>
      <c r="BQ55" s="13"/>
      <c r="BR55" s="25" t="str">
        <f t="shared" si="19"/>
        <v>Jan-Feb 2026</v>
      </c>
    </row>
    <row r="56" spans="1:70" s="18" customFormat="1" ht="15" customHeight="1">
      <c r="A56" s="14">
        <v>46053.457465347223</v>
      </c>
      <c r="B56" s="15" t="s">
        <v>81</v>
      </c>
      <c r="C56" s="14">
        <v>46023</v>
      </c>
      <c r="D56" s="16"/>
      <c r="E56" s="16"/>
      <c r="F56" s="17" t="s">
        <v>268</v>
      </c>
      <c r="G56" s="13" t="s">
        <v>269</v>
      </c>
      <c r="H56" s="18">
        <v>9</v>
      </c>
      <c r="J56" s="18">
        <v>24</v>
      </c>
      <c r="L56" s="18">
        <v>15</v>
      </c>
      <c r="N56" s="18">
        <v>10</v>
      </c>
      <c r="P56" s="18">
        <v>19</v>
      </c>
      <c r="R56" s="18">
        <v>7</v>
      </c>
      <c r="T56" s="17"/>
      <c r="U56" s="19"/>
      <c r="V56" s="17"/>
      <c r="W56" s="19"/>
      <c r="X56" s="17"/>
      <c r="Y56" s="19"/>
      <c r="Z56" s="17"/>
      <c r="AA56" s="19"/>
      <c r="AB56" s="17"/>
      <c r="AC56" s="20"/>
      <c r="AD56" s="17"/>
      <c r="AE56" s="20"/>
      <c r="AF56" s="17"/>
      <c r="AG56" s="21"/>
      <c r="AH56" s="17"/>
      <c r="AI56" s="19"/>
      <c r="AJ56" s="17"/>
      <c r="AK56" s="19"/>
      <c r="AL56" s="17"/>
      <c r="AM56" s="21"/>
      <c r="AN56" s="17"/>
      <c r="AO56" s="19"/>
      <c r="AP56" s="17"/>
      <c r="AQ56" s="19"/>
      <c r="AR56" s="17"/>
      <c r="AS56" s="19"/>
      <c r="AT56" s="17"/>
      <c r="AU56" s="21"/>
      <c r="AV56" s="17"/>
      <c r="AW56" s="21"/>
      <c r="AX56" s="17"/>
      <c r="AY56" s="21"/>
      <c r="AZ56" s="17"/>
      <c r="BA56" s="21"/>
      <c r="BB56" s="17" t="s">
        <v>72</v>
      </c>
      <c r="BC56" s="21" t="s">
        <v>86</v>
      </c>
      <c r="BD56" s="17"/>
      <c r="BE56" s="22">
        <f t="shared" si="10"/>
        <v>84</v>
      </c>
      <c r="BF56" s="14">
        <f t="shared" si="11"/>
        <v>46023</v>
      </c>
      <c r="BG56" s="23" t="str">
        <f t="shared" si="12"/>
        <v>January 2026</v>
      </c>
      <c r="BH56" s="14">
        <f t="shared" si="13"/>
        <v>46020</v>
      </c>
      <c r="BI56" s="14">
        <f t="shared" si="14"/>
        <v>46026</v>
      </c>
      <c r="BJ56" s="17" t="str">
        <f t="shared" si="15"/>
        <v>29/12/2025 - 04/01/2026</v>
      </c>
      <c r="BK56" s="17">
        <f>IF($B56="","",COUNTIFS($B$5:$B56,$B56,$BF$5:$BF56,$BF56))</f>
        <v>2</v>
      </c>
      <c r="BL56" s="17">
        <f>IF($B56="","",COUNTIFS($B$5:$B56,$B56,$BH$5:$BH56,$BH56))</f>
        <v>2</v>
      </c>
      <c r="BM56" s="17" t="str">
        <f t="shared" si="16"/>
        <v>02|Krivut Vongkampan|20260101</v>
      </c>
      <c r="BN56" s="17" t="str">
        <f t="shared" si="17"/>
        <v>02|Krivut Vongkampan|20251229</v>
      </c>
      <c r="BO56" s="17">
        <f t="shared" si="18"/>
        <v>0</v>
      </c>
      <c r="BP56" s="24" t="s">
        <v>270</v>
      </c>
      <c r="BQ56" s="13"/>
      <c r="BR56" s="25" t="str">
        <f t="shared" si="19"/>
        <v>Jan-Feb 2026</v>
      </c>
    </row>
    <row r="57" spans="1:70" s="18" customFormat="1" ht="15" customHeight="1">
      <c r="A57" s="14">
        <v>46053.471792013886</v>
      </c>
      <c r="B57" s="15" t="s">
        <v>81</v>
      </c>
      <c r="C57" s="14">
        <v>46023</v>
      </c>
      <c r="D57" s="16"/>
      <c r="E57" s="16"/>
      <c r="F57" s="17" t="s">
        <v>271</v>
      </c>
      <c r="G57" s="13" t="s">
        <v>272</v>
      </c>
      <c r="H57" s="18">
        <v>10</v>
      </c>
      <c r="J57" s="18">
        <v>27</v>
      </c>
      <c r="L57" s="18">
        <v>17</v>
      </c>
      <c r="N57" s="18">
        <v>10</v>
      </c>
      <c r="P57" s="18">
        <v>17</v>
      </c>
      <c r="R57" s="18">
        <v>8</v>
      </c>
      <c r="T57" s="17"/>
      <c r="U57" s="19"/>
      <c r="V57" s="17"/>
      <c r="W57" s="19"/>
      <c r="X57" s="17"/>
      <c r="Y57" s="19"/>
      <c r="Z57" s="17"/>
      <c r="AA57" s="19"/>
      <c r="AB57" s="17"/>
      <c r="AC57" s="20"/>
      <c r="AD57" s="17"/>
      <c r="AE57" s="20"/>
      <c r="AF57" s="17"/>
      <c r="AG57" s="21"/>
      <c r="AH57" s="17"/>
      <c r="AI57" s="19"/>
      <c r="AJ57" s="17"/>
      <c r="AK57" s="19"/>
      <c r="AL57" s="17"/>
      <c r="AM57" s="21"/>
      <c r="AN57" s="17"/>
      <c r="AO57" s="19"/>
      <c r="AP57" s="17"/>
      <c r="AQ57" s="19"/>
      <c r="AR57" s="17"/>
      <c r="AS57" s="19"/>
      <c r="AT57" s="17"/>
      <c r="AU57" s="21"/>
      <c r="AV57" s="17"/>
      <c r="AW57" s="21"/>
      <c r="AX57" s="17"/>
      <c r="AY57" s="21"/>
      <c r="AZ57" s="17"/>
      <c r="BA57" s="21"/>
      <c r="BB57" s="17" t="s">
        <v>72</v>
      </c>
      <c r="BC57" s="21" t="s">
        <v>273</v>
      </c>
      <c r="BD57" s="17"/>
      <c r="BE57" s="22">
        <f t="shared" si="10"/>
        <v>89</v>
      </c>
      <c r="BF57" s="14">
        <f t="shared" si="11"/>
        <v>46023</v>
      </c>
      <c r="BG57" s="23" t="str">
        <f t="shared" si="12"/>
        <v>January 2026</v>
      </c>
      <c r="BH57" s="14">
        <f t="shared" si="13"/>
        <v>46020</v>
      </c>
      <c r="BI57" s="14">
        <f t="shared" si="14"/>
        <v>46026</v>
      </c>
      <c r="BJ57" s="17" t="str">
        <f t="shared" si="15"/>
        <v>29/12/2025 - 04/01/2026</v>
      </c>
      <c r="BK57" s="17">
        <f>IF($B57="","",COUNTIFS($B$5:$B57,$B57,$BF$5:$BF57,$BF57))</f>
        <v>3</v>
      </c>
      <c r="BL57" s="17">
        <f>IF($B57="","",COUNTIFS($B$5:$B57,$B57,$BH$5:$BH57,$BH57))</f>
        <v>3</v>
      </c>
      <c r="BM57" s="17" t="str">
        <f t="shared" si="16"/>
        <v>03|Krivut Vongkampan|20260101</v>
      </c>
      <c r="BN57" s="17" t="str">
        <f t="shared" si="17"/>
        <v>03|Krivut Vongkampan|20251229</v>
      </c>
      <c r="BO57" s="17">
        <f t="shared" si="18"/>
        <v>0</v>
      </c>
      <c r="BP57" s="24" t="s">
        <v>274</v>
      </c>
      <c r="BQ57" s="13"/>
      <c r="BR57" s="25" t="str">
        <f t="shared" si="19"/>
        <v>Jan-Feb 2026</v>
      </c>
    </row>
    <row r="58" spans="1:70" s="18" customFormat="1" ht="15" customHeight="1">
      <c r="A58" s="14">
        <v>46053.479926203698</v>
      </c>
      <c r="B58" s="15" t="s">
        <v>81</v>
      </c>
      <c r="C58" s="14">
        <v>46023</v>
      </c>
      <c r="D58" s="16"/>
      <c r="E58" s="16"/>
      <c r="F58" s="17" t="s">
        <v>275</v>
      </c>
      <c r="G58" s="13" t="s">
        <v>276</v>
      </c>
      <c r="H58" s="18">
        <v>10</v>
      </c>
      <c r="J58" s="18">
        <v>24</v>
      </c>
      <c r="L58" s="18">
        <v>16</v>
      </c>
      <c r="N58" s="18">
        <v>10</v>
      </c>
      <c r="P58" s="18">
        <v>20</v>
      </c>
      <c r="R58" s="18">
        <v>10</v>
      </c>
      <c r="T58" s="17"/>
      <c r="U58" s="19"/>
      <c r="V58" s="17"/>
      <c r="W58" s="19"/>
      <c r="X58" s="17"/>
      <c r="Y58" s="19"/>
      <c r="Z58" s="17"/>
      <c r="AA58" s="19"/>
      <c r="AB58" s="17"/>
      <c r="AC58" s="20"/>
      <c r="AD58" s="17"/>
      <c r="AE58" s="20"/>
      <c r="AF58" s="17"/>
      <c r="AG58" s="21"/>
      <c r="AH58" s="17"/>
      <c r="AI58" s="19"/>
      <c r="AJ58" s="17"/>
      <c r="AK58" s="19"/>
      <c r="AL58" s="17"/>
      <c r="AM58" s="21"/>
      <c r="AN58" s="17"/>
      <c r="AO58" s="19"/>
      <c r="AP58" s="17"/>
      <c r="AQ58" s="19"/>
      <c r="AR58" s="17"/>
      <c r="AS58" s="19"/>
      <c r="AT58" s="17"/>
      <c r="AU58" s="21"/>
      <c r="AV58" s="17"/>
      <c r="AW58" s="21"/>
      <c r="AX58" s="17"/>
      <c r="AY58" s="21"/>
      <c r="AZ58" s="17"/>
      <c r="BA58" s="21"/>
      <c r="BB58" s="17" t="s">
        <v>72</v>
      </c>
      <c r="BC58" s="21" t="s">
        <v>123</v>
      </c>
      <c r="BD58" s="17"/>
      <c r="BE58" s="22">
        <f t="shared" si="10"/>
        <v>90</v>
      </c>
      <c r="BF58" s="14">
        <f t="shared" si="11"/>
        <v>46023</v>
      </c>
      <c r="BG58" s="23" t="str">
        <f t="shared" si="12"/>
        <v>January 2026</v>
      </c>
      <c r="BH58" s="14">
        <f t="shared" si="13"/>
        <v>46020</v>
      </c>
      <c r="BI58" s="14">
        <f t="shared" si="14"/>
        <v>46026</v>
      </c>
      <c r="BJ58" s="17" t="str">
        <f t="shared" si="15"/>
        <v>29/12/2025 - 04/01/2026</v>
      </c>
      <c r="BK58" s="17">
        <f>IF($B58="","",COUNTIFS($B$5:$B58,$B58,$BF$5:$BF58,$BF58))</f>
        <v>4</v>
      </c>
      <c r="BL58" s="17">
        <f>IF($B58="","",COUNTIFS($B$5:$B58,$B58,$BH$5:$BH58,$BH58))</f>
        <v>4</v>
      </c>
      <c r="BM58" s="17" t="str">
        <f t="shared" si="16"/>
        <v>04|Krivut Vongkampan|20260101</v>
      </c>
      <c r="BN58" s="17" t="str">
        <f t="shared" si="17"/>
        <v>04|Krivut Vongkampan|20251229</v>
      </c>
      <c r="BO58" s="17">
        <f t="shared" si="18"/>
        <v>0</v>
      </c>
      <c r="BP58" s="24" t="s">
        <v>277</v>
      </c>
      <c r="BQ58" s="13"/>
      <c r="BR58" s="25" t="str">
        <f t="shared" si="19"/>
        <v>Jan-Feb 2026</v>
      </c>
    </row>
    <row r="59" spans="1:70" s="18" customFormat="1" ht="15" customHeight="1">
      <c r="A59" s="14">
        <v>46053.48436292824</v>
      </c>
      <c r="B59" s="15" t="s">
        <v>81</v>
      </c>
      <c r="C59" s="14">
        <v>46023</v>
      </c>
      <c r="D59" s="16"/>
      <c r="E59" s="16"/>
      <c r="F59" s="17" t="s">
        <v>278</v>
      </c>
      <c r="G59" s="13" t="s">
        <v>279</v>
      </c>
      <c r="H59" s="18">
        <v>8</v>
      </c>
      <c r="J59" s="18">
        <v>30</v>
      </c>
      <c r="L59" s="18">
        <v>20</v>
      </c>
      <c r="N59" s="18">
        <v>10</v>
      </c>
      <c r="P59" s="18">
        <v>16</v>
      </c>
      <c r="R59" s="18">
        <v>10</v>
      </c>
      <c r="T59" s="17"/>
      <c r="U59" s="19"/>
      <c r="V59" s="17"/>
      <c r="W59" s="19"/>
      <c r="X59" s="17"/>
      <c r="Y59" s="19"/>
      <c r="Z59" s="17"/>
      <c r="AA59" s="19"/>
      <c r="AB59" s="17"/>
      <c r="AC59" s="20"/>
      <c r="AD59" s="17"/>
      <c r="AE59" s="20"/>
      <c r="AF59" s="17"/>
      <c r="AG59" s="21"/>
      <c r="AH59" s="17"/>
      <c r="AI59" s="19"/>
      <c r="AJ59" s="17"/>
      <c r="AK59" s="19"/>
      <c r="AL59" s="17"/>
      <c r="AM59" s="21"/>
      <c r="AN59" s="17"/>
      <c r="AO59" s="19"/>
      <c r="AP59" s="17"/>
      <c r="AQ59" s="19"/>
      <c r="AR59" s="17"/>
      <c r="AS59" s="19"/>
      <c r="AT59" s="17"/>
      <c r="AU59" s="21"/>
      <c r="AV59" s="17"/>
      <c r="AW59" s="21"/>
      <c r="AX59" s="17"/>
      <c r="AY59" s="21"/>
      <c r="AZ59" s="17"/>
      <c r="BA59" s="21"/>
      <c r="BB59" s="17" t="s">
        <v>72</v>
      </c>
      <c r="BC59" s="21" t="s">
        <v>86</v>
      </c>
      <c r="BD59" s="17"/>
      <c r="BE59" s="22">
        <f t="shared" si="10"/>
        <v>94</v>
      </c>
      <c r="BF59" s="14">
        <f t="shared" si="11"/>
        <v>46023</v>
      </c>
      <c r="BG59" s="23" t="str">
        <f t="shared" si="12"/>
        <v>January 2026</v>
      </c>
      <c r="BH59" s="14">
        <f t="shared" si="13"/>
        <v>46020</v>
      </c>
      <c r="BI59" s="14">
        <f t="shared" si="14"/>
        <v>46026</v>
      </c>
      <c r="BJ59" s="17" t="str">
        <f t="shared" si="15"/>
        <v>29/12/2025 - 04/01/2026</v>
      </c>
      <c r="BK59" s="17">
        <f>IF($B59="","",COUNTIFS($B$5:$B59,$B59,$BF$5:$BF59,$BF59))</f>
        <v>5</v>
      </c>
      <c r="BL59" s="17">
        <f>IF($B59="","",COUNTIFS($B$5:$B59,$B59,$BH$5:$BH59,$BH59))</f>
        <v>5</v>
      </c>
      <c r="BM59" s="17" t="str">
        <f t="shared" si="16"/>
        <v>05|Krivut Vongkampan|20260101</v>
      </c>
      <c r="BN59" s="17" t="str">
        <f t="shared" si="17"/>
        <v>05|Krivut Vongkampan|20251229</v>
      </c>
      <c r="BO59" s="17">
        <f t="shared" si="18"/>
        <v>0</v>
      </c>
      <c r="BP59" s="24" t="s">
        <v>280</v>
      </c>
      <c r="BQ59" s="13"/>
      <c r="BR59" s="25" t="str">
        <f t="shared" si="19"/>
        <v>Jan-Feb 2026</v>
      </c>
    </row>
    <row r="60" spans="1:70" s="18" customFormat="1" ht="15" customHeight="1">
      <c r="A60" s="14">
        <v>46053.500150312502</v>
      </c>
      <c r="B60" s="15" t="s">
        <v>81</v>
      </c>
      <c r="C60" s="14">
        <v>46023</v>
      </c>
      <c r="D60" s="16"/>
      <c r="E60" s="16"/>
      <c r="F60" s="17" t="s">
        <v>281</v>
      </c>
      <c r="G60" s="13" t="s">
        <v>282</v>
      </c>
      <c r="H60" s="18">
        <v>8</v>
      </c>
      <c r="J60" s="18">
        <v>25</v>
      </c>
      <c r="L60" s="18">
        <v>17</v>
      </c>
      <c r="N60" s="18">
        <v>10</v>
      </c>
      <c r="P60" s="18">
        <v>18</v>
      </c>
      <c r="R60" s="18">
        <v>10</v>
      </c>
      <c r="T60" s="17"/>
      <c r="U60" s="19"/>
      <c r="V60" s="17"/>
      <c r="W60" s="19"/>
      <c r="X60" s="17"/>
      <c r="Y60" s="19"/>
      <c r="Z60" s="17"/>
      <c r="AA60" s="19"/>
      <c r="AB60" s="17"/>
      <c r="AC60" s="20"/>
      <c r="AD60" s="17"/>
      <c r="AE60" s="20"/>
      <c r="AF60" s="17"/>
      <c r="AG60" s="21"/>
      <c r="AH60" s="17"/>
      <c r="AI60" s="19"/>
      <c r="AJ60" s="17"/>
      <c r="AK60" s="19"/>
      <c r="AL60" s="17"/>
      <c r="AM60" s="21"/>
      <c r="AN60" s="17"/>
      <c r="AO60" s="19"/>
      <c r="AP60" s="17"/>
      <c r="AQ60" s="19"/>
      <c r="AR60" s="17"/>
      <c r="AS60" s="19"/>
      <c r="AT60" s="17"/>
      <c r="AU60" s="21"/>
      <c r="AV60" s="17"/>
      <c r="AW60" s="21"/>
      <c r="AX60" s="17"/>
      <c r="AY60" s="21"/>
      <c r="AZ60" s="17"/>
      <c r="BA60" s="21"/>
      <c r="BB60" s="17" t="s">
        <v>72</v>
      </c>
      <c r="BC60" s="21" t="s">
        <v>283</v>
      </c>
      <c r="BD60" s="17"/>
      <c r="BE60" s="22">
        <f t="shared" si="10"/>
        <v>88</v>
      </c>
      <c r="BF60" s="14">
        <f t="shared" si="11"/>
        <v>46023</v>
      </c>
      <c r="BG60" s="23" t="str">
        <f t="shared" si="12"/>
        <v>January 2026</v>
      </c>
      <c r="BH60" s="14">
        <f t="shared" si="13"/>
        <v>46020</v>
      </c>
      <c r="BI60" s="14">
        <f t="shared" si="14"/>
        <v>46026</v>
      </c>
      <c r="BJ60" s="17" t="str">
        <f t="shared" si="15"/>
        <v>29/12/2025 - 04/01/2026</v>
      </c>
      <c r="BK60" s="17">
        <f>IF($B60="","",COUNTIFS($B$5:$B60,$B60,$BF$5:$BF60,$BF60))</f>
        <v>6</v>
      </c>
      <c r="BL60" s="17">
        <f>IF($B60="","",COUNTIFS($B$5:$B60,$B60,$BH$5:$BH60,$BH60))</f>
        <v>6</v>
      </c>
      <c r="BM60" s="17" t="str">
        <f t="shared" si="16"/>
        <v>06|Krivut Vongkampan|20260101</v>
      </c>
      <c r="BN60" s="17" t="str">
        <f t="shared" si="17"/>
        <v>06|Krivut Vongkampan|20251229</v>
      </c>
      <c r="BO60" s="17">
        <f t="shared" si="18"/>
        <v>0</v>
      </c>
      <c r="BP60" s="24" t="s">
        <v>284</v>
      </c>
      <c r="BQ60" s="13"/>
      <c r="BR60" s="25" t="str">
        <f t="shared" si="19"/>
        <v>Jan-Feb 2026</v>
      </c>
    </row>
    <row r="61" spans="1:70" s="18" customFormat="1" ht="15" customHeight="1">
      <c r="A61" s="14">
        <v>46053.50404709491</v>
      </c>
      <c r="B61" s="15" t="s">
        <v>81</v>
      </c>
      <c r="C61" s="14">
        <v>46023</v>
      </c>
      <c r="D61" s="16"/>
      <c r="E61" s="16"/>
      <c r="F61" s="17" t="s">
        <v>285</v>
      </c>
      <c r="G61" s="13" t="s">
        <v>286</v>
      </c>
      <c r="H61" s="18">
        <v>10</v>
      </c>
      <c r="J61" s="18">
        <v>25</v>
      </c>
      <c r="L61" s="18">
        <v>17</v>
      </c>
      <c r="N61" s="18">
        <v>10</v>
      </c>
      <c r="P61" s="18">
        <v>20</v>
      </c>
      <c r="R61" s="18">
        <v>10</v>
      </c>
      <c r="T61" s="17"/>
      <c r="U61" s="19"/>
      <c r="V61" s="17"/>
      <c r="W61" s="19"/>
      <c r="X61" s="17"/>
      <c r="Y61" s="19"/>
      <c r="Z61" s="17"/>
      <c r="AA61" s="19"/>
      <c r="AB61" s="17"/>
      <c r="AC61" s="20"/>
      <c r="AD61" s="17"/>
      <c r="AE61" s="20"/>
      <c r="AF61" s="17"/>
      <c r="AG61" s="21"/>
      <c r="AH61" s="17"/>
      <c r="AI61" s="19"/>
      <c r="AJ61" s="17"/>
      <c r="AK61" s="19"/>
      <c r="AL61" s="17"/>
      <c r="AM61" s="21"/>
      <c r="AN61" s="17"/>
      <c r="AO61" s="19"/>
      <c r="AP61" s="17"/>
      <c r="AQ61" s="19"/>
      <c r="AR61" s="17"/>
      <c r="AS61" s="19"/>
      <c r="AT61" s="17"/>
      <c r="AU61" s="21"/>
      <c r="AV61" s="17"/>
      <c r="AW61" s="21"/>
      <c r="AX61" s="17"/>
      <c r="AY61" s="21"/>
      <c r="AZ61" s="17"/>
      <c r="BA61" s="21"/>
      <c r="BB61" s="17" t="s">
        <v>72</v>
      </c>
      <c r="BC61" s="21" t="s">
        <v>123</v>
      </c>
      <c r="BD61" s="17"/>
      <c r="BE61" s="22">
        <f t="shared" si="10"/>
        <v>92</v>
      </c>
      <c r="BF61" s="14">
        <f t="shared" si="11"/>
        <v>46023</v>
      </c>
      <c r="BG61" s="23" t="str">
        <f t="shared" si="12"/>
        <v>January 2026</v>
      </c>
      <c r="BH61" s="14">
        <f t="shared" si="13"/>
        <v>46020</v>
      </c>
      <c r="BI61" s="14">
        <f t="shared" si="14"/>
        <v>46026</v>
      </c>
      <c r="BJ61" s="17" t="str">
        <f t="shared" si="15"/>
        <v>29/12/2025 - 04/01/2026</v>
      </c>
      <c r="BK61" s="17">
        <f>IF($B61="","",COUNTIFS($B$5:$B61,$B61,$BF$5:$BF61,$BF61))</f>
        <v>7</v>
      </c>
      <c r="BL61" s="17">
        <f>IF($B61="","",COUNTIFS($B$5:$B61,$B61,$BH$5:$BH61,$BH61))</f>
        <v>7</v>
      </c>
      <c r="BM61" s="17" t="str">
        <f t="shared" si="16"/>
        <v>07|Krivut Vongkampan|20260101</v>
      </c>
      <c r="BN61" s="17" t="str">
        <f t="shared" si="17"/>
        <v>07|Krivut Vongkampan|20251229</v>
      </c>
      <c r="BO61" s="17">
        <f t="shared" si="18"/>
        <v>0</v>
      </c>
      <c r="BP61" s="24" t="s">
        <v>287</v>
      </c>
      <c r="BQ61" s="13"/>
      <c r="BR61" s="25" t="str">
        <f t="shared" si="19"/>
        <v>Jan-Feb 2026</v>
      </c>
    </row>
    <row r="62" spans="1:70" s="18" customFormat="1" ht="15" customHeight="1">
      <c r="A62" s="14">
        <v>46053.507620439806</v>
      </c>
      <c r="B62" s="15" t="s">
        <v>81</v>
      </c>
      <c r="C62" s="14">
        <v>46023</v>
      </c>
      <c r="D62" s="16"/>
      <c r="E62" s="16"/>
      <c r="F62" s="17" t="s">
        <v>288</v>
      </c>
      <c r="G62" s="13" t="s">
        <v>289</v>
      </c>
      <c r="H62" s="18">
        <v>9</v>
      </c>
      <c r="J62" s="18">
        <v>22</v>
      </c>
      <c r="L62" s="18">
        <v>14</v>
      </c>
      <c r="N62" s="18">
        <v>10</v>
      </c>
      <c r="P62" s="18">
        <v>18</v>
      </c>
      <c r="R62" s="18">
        <v>10</v>
      </c>
      <c r="T62" s="17"/>
      <c r="U62" s="19"/>
      <c r="V62" s="17"/>
      <c r="W62" s="19"/>
      <c r="X62" s="17"/>
      <c r="Y62" s="19"/>
      <c r="Z62" s="17"/>
      <c r="AA62" s="19"/>
      <c r="AB62" s="17"/>
      <c r="AC62" s="20"/>
      <c r="AD62" s="17"/>
      <c r="AE62" s="20"/>
      <c r="AF62" s="17"/>
      <c r="AG62" s="21"/>
      <c r="AH62" s="17"/>
      <c r="AI62" s="19"/>
      <c r="AJ62" s="17"/>
      <c r="AK62" s="19"/>
      <c r="AL62" s="17"/>
      <c r="AM62" s="21"/>
      <c r="AN62" s="17"/>
      <c r="AO62" s="19"/>
      <c r="AP62" s="17"/>
      <c r="AQ62" s="19"/>
      <c r="AR62" s="17"/>
      <c r="AS62" s="19"/>
      <c r="AT62" s="17"/>
      <c r="AU62" s="21"/>
      <c r="AV62" s="17"/>
      <c r="AW62" s="21"/>
      <c r="AX62" s="17"/>
      <c r="AY62" s="21"/>
      <c r="AZ62" s="17"/>
      <c r="BA62" s="21"/>
      <c r="BB62" s="17" t="s">
        <v>72</v>
      </c>
      <c r="BC62" s="21" t="s">
        <v>109</v>
      </c>
      <c r="BD62" s="17"/>
      <c r="BE62" s="22">
        <f t="shared" si="10"/>
        <v>83</v>
      </c>
      <c r="BF62" s="14">
        <f t="shared" si="11"/>
        <v>46023</v>
      </c>
      <c r="BG62" s="23" t="str">
        <f t="shared" si="12"/>
        <v>January 2026</v>
      </c>
      <c r="BH62" s="14">
        <f t="shared" si="13"/>
        <v>46020</v>
      </c>
      <c r="BI62" s="14">
        <f t="shared" si="14"/>
        <v>46026</v>
      </c>
      <c r="BJ62" s="17" t="str">
        <f t="shared" si="15"/>
        <v>29/12/2025 - 04/01/2026</v>
      </c>
      <c r="BK62" s="17">
        <f>IF($B62="","",COUNTIFS($B$5:$B62,$B62,$BF$5:$BF62,$BF62))</f>
        <v>8</v>
      </c>
      <c r="BL62" s="17">
        <f>IF($B62="","",COUNTIFS($B$5:$B62,$B62,$BH$5:$BH62,$BH62))</f>
        <v>8</v>
      </c>
      <c r="BM62" s="17" t="str">
        <f t="shared" si="16"/>
        <v>08|Krivut Vongkampan|20260101</v>
      </c>
      <c r="BN62" s="17" t="str">
        <f t="shared" si="17"/>
        <v>08|Krivut Vongkampan|20251229</v>
      </c>
      <c r="BO62" s="17">
        <f t="shared" si="18"/>
        <v>0</v>
      </c>
      <c r="BP62" s="24" t="s">
        <v>290</v>
      </c>
      <c r="BQ62" s="13"/>
      <c r="BR62" s="25" t="str">
        <f t="shared" si="19"/>
        <v>Jan-Feb 2026</v>
      </c>
    </row>
    <row r="63" spans="1:70" s="18" customFormat="1" ht="15" customHeight="1">
      <c r="A63" s="14">
        <v>46053.513988136583</v>
      </c>
      <c r="B63" s="15" t="s">
        <v>81</v>
      </c>
      <c r="C63" s="14">
        <v>46023</v>
      </c>
      <c r="D63" s="16"/>
      <c r="E63" s="16"/>
      <c r="F63" s="17" t="s">
        <v>291</v>
      </c>
      <c r="G63" s="13" t="s">
        <v>292</v>
      </c>
      <c r="H63" s="18">
        <v>8</v>
      </c>
      <c r="J63" s="18">
        <v>27</v>
      </c>
      <c r="L63" s="18">
        <v>18</v>
      </c>
      <c r="N63" s="18">
        <v>10</v>
      </c>
      <c r="P63" s="18">
        <v>16</v>
      </c>
      <c r="R63" s="18">
        <v>10</v>
      </c>
      <c r="T63" s="17"/>
      <c r="U63" s="19"/>
      <c r="V63" s="17"/>
      <c r="W63" s="19"/>
      <c r="X63" s="17"/>
      <c r="Y63" s="19"/>
      <c r="Z63" s="17"/>
      <c r="AA63" s="19"/>
      <c r="AB63" s="17"/>
      <c r="AC63" s="20"/>
      <c r="AD63" s="17"/>
      <c r="AE63" s="20"/>
      <c r="AF63" s="17"/>
      <c r="AG63" s="21"/>
      <c r="AH63" s="17"/>
      <c r="AI63" s="19"/>
      <c r="AJ63" s="17"/>
      <c r="AK63" s="19"/>
      <c r="AL63" s="17"/>
      <c r="AM63" s="21"/>
      <c r="AN63" s="17"/>
      <c r="AO63" s="19"/>
      <c r="AP63" s="17"/>
      <c r="AQ63" s="19"/>
      <c r="AR63" s="17"/>
      <c r="AS63" s="19"/>
      <c r="AT63" s="17"/>
      <c r="AU63" s="21"/>
      <c r="AV63" s="17"/>
      <c r="AW63" s="21"/>
      <c r="AX63" s="17"/>
      <c r="AY63" s="21"/>
      <c r="AZ63" s="17"/>
      <c r="BA63" s="21"/>
      <c r="BB63" s="17" t="s">
        <v>72</v>
      </c>
      <c r="BC63" s="21" t="s">
        <v>209</v>
      </c>
      <c r="BD63" s="17"/>
      <c r="BE63" s="22">
        <f t="shared" si="10"/>
        <v>89</v>
      </c>
      <c r="BF63" s="14">
        <f t="shared" si="11"/>
        <v>46023</v>
      </c>
      <c r="BG63" s="23" t="str">
        <f t="shared" si="12"/>
        <v>January 2026</v>
      </c>
      <c r="BH63" s="14">
        <f t="shared" si="13"/>
        <v>46020</v>
      </c>
      <c r="BI63" s="14">
        <f t="shared" si="14"/>
        <v>46026</v>
      </c>
      <c r="BJ63" s="17" t="str">
        <f t="shared" si="15"/>
        <v>29/12/2025 - 04/01/2026</v>
      </c>
      <c r="BK63" s="17">
        <f>IF($B63="","",COUNTIFS($B$5:$B63,$B63,$BF$5:$BF63,$BF63))</f>
        <v>9</v>
      </c>
      <c r="BL63" s="17">
        <f>IF($B63="","",COUNTIFS($B$5:$B63,$B63,$BH$5:$BH63,$BH63))</f>
        <v>9</v>
      </c>
      <c r="BM63" s="17" t="str">
        <f t="shared" si="16"/>
        <v>09|Krivut Vongkampan|20260101</v>
      </c>
      <c r="BN63" s="17" t="str">
        <f t="shared" si="17"/>
        <v>09|Krivut Vongkampan|20251229</v>
      </c>
      <c r="BO63" s="17">
        <f t="shared" si="18"/>
        <v>0</v>
      </c>
      <c r="BP63" s="24" t="s">
        <v>293</v>
      </c>
      <c r="BQ63" s="13"/>
      <c r="BR63" s="25" t="str">
        <f t="shared" si="19"/>
        <v>Jan-Feb 2026</v>
      </c>
    </row>
    <row r="64" spans="1:70" s="18" customFormat="1" ht="15" customHeight="1">
      <c r="A64" s="14">
        <v>46053.519659293983</v>
      </c>
      <c r="B64" s="15" t="s">
        <v>81</v>
      </c>
      <c r="C64" s="14">
        <v>46023</v>
      </c>
      <c r="D64" s="16"/>
      <c r="E64" s="16"/>
      <c r="F64" s="17" t="s">
        <v>294</v>
      </c>
      <c r="G64" s="13" t="s">
        <v>295</v>
      </c>
      <c r="H64" s="18">
        <v>9</v>
      </c>
      <c r="J64" s="18">
        <v>26</v>
      </c>
      <c r="L64" s="18">
        <v>18</v>
      </c>
      <c r="N64" s="18">
        <v>10</v>
      </c>
      <c r="P64" s="18">
        <v>17</v>
      </c>
      <c r="R64" s="18">
        <v>10</v>
      </c>
      <c r="T64" s="17"/>
      <c r="U64" s="19"/>
      <c r="V64" s="17"/>
      <c r="W64" s="19"/>
      <c r="X64" s="17"/>
      <c r="Y64" s="19"/>
      <c r="Z64" s="17"/>
      <c r="AA64" s="19"/>
      <c r="AB64" s="17"/>
      <c r="AC64" s="20"/>
      <c r="AD64" s="17"/>
      <c r="AE64" s="20"/>
      <c r="AF64" s="17"/>
      <c r="AG64" s="21"/>
      <c r="AH64" s="17"/>
      <c r="AI64" s="19"/>
      <c r="AJ64" s="17"/>
      <c r="AK64" s="19"/>
      <c r="AL64" s="17"/>
      <c r="AM64" s="21"/>
      <c r="AN64" s="17"/>
      <c r="AO64" s="19"/>
      <c r="AP64" s="17"/>
      <c r="AQ64" s="19"/>
      <c r="AR64" s="17"/>
      <c r="AS64" s="19"/>
      <c r="AT64" s="17"/>
      <c r="AU64" s="21"/>
      <c r="AV64" s="17"/>
      <c r="AW64" s="21"/>
      <c r="AX64" s="17"/>
      <c r="AY64" s="21"/>
      <c r="AZ64" s="17"/>
      <c r="BA64" s="21"/>
      <c r="BB64" s="17" t="s">
        <v>72</v>
      </c>
      <c r="BC64" s="21" t="s">
        <v>123</v>
      </c>
      <c r="BD64" s="17"/>
      <c r="BE64" s="22">
        <f t="shared" si="10"/>
        <v>90</v>
      </c>
      <c r="BF64" s="14">
        <f t="shared" si="11"/>
        <v>46023</v>
      </c>
      <c r="BG64" s="23" t="str">
        <f t="shared" si="12"/>
        <v>January 2026</v>
      </c>
      <c r="BH64" s="14">
        <f t="shared" si="13"/>
        <v>46020</v>
      </c>
      <c r="BI64" s="14">
        <f t="shared" si="14"/>
        <v>46026</v>
      </c>
      <c r="BJ64" s="17" t="str">
        <f t="shared" si="15"/>
        <v>29/12/2025 - 04/01/2026</v>
      </c>
      <c r="BK64" s="17">
        <f>IF($B64="","",COUNTIFS($B$5:$B64,$B64,$BF$5:$BF64,$BF64))</f>
        <v>10</v>
      </c>
      <c r="BL64" s="17">
        <f>IF($B64="","",COUNTIFS($B$5:$B64,$B64,$BH$5:$BH64,$BH64))</f>
        <v>10</v>
      </c>
      <c r="BM64" s="17" t="str">
        <f t="shared" si="16"/>
        <v>10|Krivut Vongkampan|20260101</v>
      </c>
      <c r="BN64" s="17" t="str">
        <f t="shared" si="17"/>
        <v>10|Krivut Vongkampan|20251229</v>
      </c>
      <c r="BO64" s="17">
        <f t="shared" si="18"/>
        <v>0</v>
      </c>
      <c r="BP64" s="24" t="s">
        <v>296</v>
      </c>
      <c r="BQ64" s="13"/>
      <c r="BR64" s="25" t="str">
        <f t="shared" si="19"/>
        <v>Jan-Feb 2026</v>
      </c>
    </row>
    <row r="65" spans="1:70" s="18" customFormat="1" ht="15" customHeight="1">
      <c r="A65" s="14">
        <v>46042.327453182872</v>
      </c>
      <c r="B65" s="15" t="s">
        <v>297</v>
      </c>
      <c r="C65" s="14">
        <v>46023</v>
      </c>
      <c r="D65" s="16"/>
      <c r="E65" s="16"/>
      <c r="F65" s="17" t="s">
        <v>298</v>
      </c>
      <c r="G65" s="13" t="s">
        <v>299</v>
      </c>
      <c r="H65" s="18">
        <v>10</v>
      </c>
      <c r="J65" s="18">
        <v>25</v>
      </c>
      <c r="L65" s="18">
        <v>15</v>
      </c>
      <c r="N65" s="18">
        <v>10</v>
      </c>
      <c r="P65" s="18">
        <v>15</v>
      </c>
      <c r="R65" s="18">
        <v>10</v>
      </c>
      <c r="T65" s="17"/>
      <c r="U65" s="19"/>
      <c r="V65" s="17"/>
      <c r="W65" s="19"/>
      <c r="X65" s="17"/>
      <c r="Y65" s="19"/>
      <c r="Z65" s="17"/>
      <c r="AA65" s="19"/>
      <c r="AB65" s="17"/>
      <c r="AC65" s="20"/>
      <c r="AD65" s="17"/>
      <c r="AE65" s="20"/>
      <c r="AF65" s="17"/>
      <c r="AG65" s="21"/>
      <c r="AH65" s="17"/>
      <c r="AI65" s="19"/>
      <c r="AJ65" s="17"/>
      <c r="AK65" s="19"/>
      <c r="AL65" s="17"/>
      <c r="AM65" s="21"/>
      <c r="AN65" s="17"/>
      <c r="AO65" s="19"/>
      <c r="AP65" s="17"/>
      <c r="AQ65" s="19"/>
      <c r="AR65" s="17"/>
      <c r="AS65" s="19"/>
      <c r="AT65" s="17"/>
      <c r="AU65" s="21"/>
      <c r="AV65" s="17"/>
      <c r="AW65" s="21"/>
      <c r="AX65" s="17"/>
      <c r="AY65" s="21"/>
      <c r="AZ65" s="17"/>
      <c r="BA65" s="21"/>
      <c r="BB65" s="17" t="s">
        <v>72</v>
      </c>
      <c r="BC65" s="21" t="s">
        <v>153</v>
      </c>
      <c r="BD65" s="17"/>
      <c r="BE65" s="22">
        <f t="shared" si="10"/>
        <v>85</v>
      </c>
      <c r="BF65" s="14">
        <f t="shared" si="11"/>
        <v>46023</v>
      </c>
      <c r="BG65" s="23" t="str">
        <f t="shared" si="12"/>
        <v>January 2026</v>
      </c>
      <c r="BH65" s="14">
        <f t="shared" si="13"/>
        <v>46020</v>
      </c>
      <c r="BI65" s="14">
        <f t="shared" si="14"/>
        <v>46026</v>
      </c>
      <c r="BJ65" s="17" t="str">
        <f t="shared" si="15"/>
        <v>29/12/2025 - 04/01/2026</v>
      </c>
      <c r="BK65" s="17">
        <f>IF($B65="","",COUNTIFS($B$5:$B65,$B65,$BF$5:$BF65,$BF65))</f>
        <v>1</v>
      </c>
      <c r="BL65" s="17">
        <f>IF($B65="","",COUNTIFS($B$5:$B65,$B65,$BH$5:$BH65,$BH65))</f>
        <v>1</v>
      </c>
      <c r="BM65" s="17" t="str">
        <f t="shared" si="16"/>
        <v>01|Ramida Singthong|20260101</v>
      </c>
      <c r="BN65" s="17" t="str">
        <f t="shared" si="17"/>
        <v>01|Ramida Singthong|20251229</v>
      </c>
      <c r="BO65" s="17">
        <f t="shared" si="18"/>
        <v>0</v>
      </c>
      <c r="BP65" s="24" t="s">
        <v>300</v>
      </c>
      <c r="BQ65" s="13"/>
      <c r="BR65" s="25" t="str">
        <f t="shared" si="19"/>
        <v>Jan-Feb 2026</v>
      </c>
    </row>
    <row r="66" spans="1:70" s="18" customFormat="1" ht="15" customHeight="1">
      <c r="A66" s="14">
        <v>46042.350365532409</v>
      </c>
      <c r="B66" s="15" t="s">
        <v>297</v>
      </c>
      <c r="C66" s="14">
        <v>46023</v>
      </c>
      <c r="D66" s="16"/>
      <c r="E66" s="16"/>
      <c r="F66" s="17" t="s">
        <v>301</v>
      </c>
      <c r="G66" s="13" t="s">
        <v>302</v>
      </c>
      <c r="H66" s="18">
        <v>10</v>
      </c>
      <c r="J66" s="18">
        <v>28</v>
      </c>
      <c r="L66" s="18">
        <v>18</v>
      </c>
      <c r="N66" s="18">
        <v>10</v>
      </c>
      <c r="P66" s="18">
        <v>18</v>
      </c>
      <c r="R66" s="18">
        <v>10</v>
      </c>
      <c r="T66" s="17"/>
      <c r="U66" s="19"/>
      <c r="V66" s="17"/>
      <c r="W66" s="19"/>
      <c r="X66" s="17"/>
      <c r="Y66" s="19"/>
      <c r="Z66" s="17"/>
      <c r="AA66" s="19"/>
      <c r="AB66" s="17"/>
      <c r="AC66" s="20"/>
      <c r="AD66" s="17"/>
      <c r="AE66" s="20"/>
      <c r="AF66" s="17"/>
      <c r="AG66" s="21"/>
      <c r="AH66" s="17"/>
      <c r="AI66" s="19"/>
      <c r="AJ66" s="17"/>
      <c r="AK66" s="19"/>
      <c r="AL66" s="17"/>
      <c r="AM66" s="21"/>
      <c r="AN66" s="17"/>
      <c r="AO66" s="19"/>
      <c r="AP66" s="17"/>
      <c r="AQ66" s="19"/>
      <c r="AR66" s="17"/>
      <c r="AS66" s="19"/>
      <c r="AT66" s="17"/>
      <c r="AU66" s="21"/>
      <c r="AV66" s="17"/>
      <c r="AW66" s="21"/>
      <c r="AX66" s="17"/>
      <c r="AY66" s="21"/>
      <c r="AZ66" s="17"/>
      <c r="BA66" s="21"/>
      <c r="BB66" s="17" t="s">
        <v>72</v>
      </c>
      <c r="BC66" s="21" t="s">
        <v>142</v>
      </c>
      <c r="BD66" s="17"/>
      <c r="BE66" s="22">
        <f t="shared" si="10"/>
        <v>94</v>
      </c>
      <c r="BF66" s="14">
        <f t="shared" si="11"/>
        <v>46023</v>
      </c>
      <c r="BG66" s="23" t="str">
        <f t="shared" si="12"/>
        <v>January 2026</v>
      </c>
      <c r="BH66" s="14">
        <f t="shared" si="13"/>
        <v>46020</v>
      </c>
      <c r="BI66" s="14">
        <f t="shared" si="14"/>
        <v>46026</v>
      </c>
      <c r="BJ66" s="17" t="str">
        <f t="shared" si="15"/>
        <v>29/12/2025 - 04/01/2026</v>
      </c>
      <c r="BK66" s="17">
        <f>IF($B66="","",COUNTIFS($B$5:$B66,$B66,$BF$5:$BF66,$BF66))</f>
        <v>2</v>
      </c>
      <c r="BL66" s="17">
        <f>IF($B66="","",COUNTIFS($B$5:$B66,$B66,$BH$5:$BH66,$BH66))</f>
        <v>2</v>
      </c>
      <c r="BM66" s="17" t="str">
        <f t="shared" si="16"/>
        <v>02|Ramida Singthong|20260101</v>
      </c>
      <c r="BN66" s="17" t="str">
        <f t="shared" si="17"/>
        <v>02|Ramida Singthong|20251229</v>
      </c>
      <c r="BO66" s="17">
        <f t="shared" si="18"/>
        <v>0</v>
      </c>
      <c r="BP66" s="24" t="s">
        <v>303</v>
      </c>
      <c r="BQ66" s="13"/>
      <c r="BR66" s="25" t="str">
        <f t="shared" si="19"/>
        <v>Jan-Feb 2026</v>
      </c>
    </row>
    <row r="67" spans="1:70" s="18" customFormat="1" ht="15" customHeight="1">
      <c r="A67" s="14">
        <v>46042.363408761572</v>
      </c>
      <c r="B67" s="15" t="s">
        <v>297</v>
      </c>
      <c r="C67" s="14">
        <v>46023</v>
      </c>
      <c r="D67" s="16"/>
      <c r="E67" s="16"/>
      <c r="F67" s="17" t="s">
        <v>304</v>
      </c>
      <c r="G67" s="13" t="s">
        <v>305</v>
      </c>
      <c r="H67" s="18">
        <v>10</v>
      </c>
      <c r="J67" s="18">
        <v>20</v>
      </c>
      <c r="L67" s="18">
        <v>15</v>
      </c>
      <c r="N67" s="18">
        <v>10</v>
      </c>
      <c r="P67" s="18">
        <v>18</v>
      </c>
      <c r="R67" s="18">
        <v>10</v>
      </c>
      <c r="T67" s="17"/>
      <c r="U67" s="19"/>
      <c r="V67" s="17"/>
      <c r="W67" s="19"/>
      <c r="X67" s="17"/>
      <c r="Y67" s="19"/>
      <c r="Z67" s="17"/>
      <c r="AA67" s="19"/>
      <c r="AB67" s="17"/>
      <c r="AC67" s="20"/>
      <c r="AD67" s="17"/>
      <c r="AE67" s="20"/>
      <c r="AF67" s="17"/>
      <c r="AG67" s="21"/>
      <c r="AH67" s="17"/>
      <c r="AI67" s="19"/>
      <c r="AJ67" s="17"/>
      <c r="AK67" s="19"/>
      <c r="AL67" s="17"/>
      <c r="AM67" s="21"/>
      <c r="AN67" s="17"/>
      <c r="AO67" s="19"/>
      <c r="AP67" s="17"/>
      <c r="AQ67" s="19"/>
      <c r="AR67" s="17"/>
      <c r="AS67" s="19"/>
      <c r="AT67" s="17"/>
      <c r="AU67" s="21"/>
      <c r="AV67" s="17"/>
      <c r="AW67" s="21"/>
      <c r="AX67" s="17"/>
      <c r="AY67" s="21"/>
      <c r="AZ67" s="17"/>
      <c r="BA67" s="21"/>
      <c r="BB67" s="17" t="s">
        <v>72</v>
      </c>
      <c r="BC67" s="21" t="s">
        <v>306</v>
      </c>
      <c r="BD67" s="17"/>
      <c r="BE67" s="22">
        <f t="shared" si="10"/>
        <v>83</v>
      </c>
      <c r="BF67" s="14">
        <f t="shared" si="11"/>
        <v>46023</v>
      </c>
      <c r="BG67" s="23" t="str">
        <f t="shared" si="12"/>
        <v>January 2026</v>
      </c>
      <c r="BH67" s="14">
        <f t="shared" si="13"/>
        <v>46020</v>
      </c>
      <c r="BI67" s="14">
        <f t="shared" si="14"/>
        <v>46026</v>
      </c>
      <c r="BJ67" s="17" t="str">
        <f t="shared" si="15"/>
        <v>29/12/2025 - 04/01/2026</v>
      </c>
      <c r="BK67" s="17">
        <f>IF($B67="","",COUNTIFS($B$5:$B67,$B67,$BF$5:$BF67,$BF67))</f>
        <v>3</v>
      </c>
      <c r="BL67" s="17">
        <f>IF($B67="","",COUNTIFS($B$5:$B67,$B67,$BH$5:$BH67,$BH67))</f>
        <v>3</v>
      </c>
      <c r="BM67" s="17" t="str">
        <f t="shared" si="16"/>
        <v>03|Ramida Singthong|20260101</v>
      </c>
      <c r="BN67" s="17" t="str">
        <f t="shared" si="17"/>
        <v>03|Ramida Singthong|20251229</v>
      </c>
      <c r="BO67" s="17">
        <f t="shared" si="18"/>
        <v>0</v>
      </c>
      <c r="BP67" s="24" t="s">
        <v>307</v>
      </c>
      <c r="BQ67" s="13"/>
      <c r="BR67" s="25" t="str">
        <f t="shared" si="19"/>
        <v>Jan-Feb 2026</v>
      </c>
    </row>
    <row r="68" spans="1:70" s="18" customFormat="1" ht="15" customHeight="1">
      <c r="A68" s="14">
        <v>46042.387142476851</v>
      </c>
      <c r="B68" s="15" t="s">
        <v>297</v>
      </c>
      <c r="C68" s="14">
        <v>46023</v>
      </c>
      <c r="D68" s="16"/>
      <c r="E68" s="16"/>
      <c r="F68" s="17" t="s">
        <v>308</v>
      </c>
      <c r="G68" s="13" t="s">
        <v>309</v>
      </c>
      <c r="H68" s="18">
        <v>10</v>
      </c>
      <c r="J68" s="18">
        <v>25</v>
      </c>
      <c r="L68" s="18">
        <v>18</v>
      </c>
      <c r="N68" s="18">
        <v>10</v>
      </c>
      <c r="P68" s="18">
        <v>13</v>
      </c>
      <c r="R68" s="18">
        <v>10</v>
      </c>
      <c r="T68" s="17"/>
      <c r="U68" s="19"/>
      <c r="V68" s="17"/>
      <c r="W68" s="19"/>
      <c r="X68" s="17"/>
      <c r="Y68" s="19"/>
      <c r="Z68" s="17"/>
      <c r="AA68" s="19"/>
      <c r="AB68" s="17"/>
      <c r="AC68" s="20"/>
      <c r="AD68" s="17"/>
      <c r="AE68" s="20"/>
      <c r="AF68" s="17"/>
      <c r="AG68" s="21"/>
      <c r="AH68" s="17"/>
      <c r="AI68" s="19"/>
      <c r="AJ68" s="17"/>
      <c r="AK68" s="19"/>
      <c r="AL68" s="17"/>
      <c r="AM68" s="21"/>
      <c r="AN68" s="17"/>
      <c r="AO68" s="19"/>
      <c r="AP68" s="17"/>
      <c r="AQ68" s="19"/>
      <c r="AR68" s="17"/>
      <c r="AS68" s="19"/>
      <c r="AT68" s="17"/>
      <c r="AU68" s="21"/>
      <c r="AV68" s="17"/>
      <c r="AW68" s="21"/>
      <c r="AX68" s="17"/>
      <c r="AY68" s="21"/>
      <c r="AZ68" s="17"/>
      <c r="BA68" s="21"/>
      <c r="BB68" s="17" t="s">
        <v>72</v>
      </c>
      <c r="BC68" s="21" t="s">
        <v>86</v>
      </c>
      <c r="BD68" s="17"/>
      <c r="BE68" s="22">
        <f t="shared" si="10"/>
        <v>86</v>
      </c>
      <c r="BF68" s="14">
        <f t="shared" si="11"/>
        <v>46023</v>
      </c>
      <c r="BG68" s="23" t="str">
        <f t="shared" si="12"/>
        <v>January 2026</v>
      </c>
      <c r="BH68" s="14">
        <f t="shared" si="13"/>
        <v>46020</v>
      </c>
      <c r="BI68" s="14">
        <f t="shared" si="14"/>
        <v>46026</v>
      </c>
      <c r="BJ68" s="17" t="str">
        <f t="shared" si="15"/>
        <v>29/12/2025 - 04/01/2026</v>
      </c>
      <c r="BK68" s="17">
        <f>IF($B68="","",COUNTIFS($B$5:$B68,$B68,$BF$5:$BF68,$BF68))</f>
        <v>4</v>
      </c>
      <c r="BL68" s="17">
        <f>IF($B68="","",COUNTIFS($B$5:$B68,$B68,$BH$5:$BH68,$BH68))</f>
        <v>4</v>
      </c>
      <c r="BM68" s="17" t="str">
        <f t="shared" si="16"/>
        <v>04|Ramida Singthong|20260101</v>
      </c>
      <c r="BN68" s="17" t="str">
        <f t="shared" si="17"/>
        <v>04|Ramida Singthong|20251229</v>
      </c>
      <c r="BO68" s="17">
        <f t="shared" si="18"/>
        <v>0</v>
      </c>
      <c r="BP68" s="24" t="s">
        <v>310</v>
      </c>
      <c r="BQ68" s="13"/>
      <c r="BR68" s="25" t="str">
        <f t="shared" si="19"/>
        <v>Jan-Feb 2026</v>
      </c>
    </row>
    <row r="69" spans="1:70" s="18" customFormat="1" ht="15" customHeight="1">
      <c r="A69" s="14">
        <v>46042.460011064817</v>
      </c>
      <c r="B69" s="15" t="s">
        <v>297</v>
      </c>
      <c r="C69" s="14">
        <v>46023</v>
      </c>
      <c r="D69" s="16"/>
      <c r="E69" s="16"/>
      <c r="F69" s="17" t="s">
        <v>311</v>
      </c>
      <c r="G69" s="13" t="s">
        <v>312</v>
      </c>
      <c r="H69" s="18">
        <v>10</v>
      </c>
      <c r="J69" s="18">
        <v>28</v>
      </c>
      <c r="L69" s="18">
        <v>18</v>
      </c>
      <c r="N69" s="18">
        <v>10</v>
      </c>
      <c r="P69" s="18">
        <v>20</v>
      </c>
      <c r="R69" s="18">
        <v>10</v>
      </c>
      <c r="T69" s="17"/>
      <c r="U69" s="19"/>
      <c r="V69" s="17"/>
      <c r="W69" s="19"/>
      <c r="X69" s="17"/>
      <c r="Y69" s="19"/>
      <c r="Z69" s="17"/>
      <c r="AA69" s="19"/>
      <c r="AB69" s="17"/>
      <c r="AC69" s="20"/>
      <c r="AD69" s="17"/>
      <c r="AE69" s="20"/>
      <c r="AF69" s="17"/>
      <c r="AG69" s="21"/>
      <c r="AH69" s="17"/>
      <c r="AI69" s="19"/>
      <c r="AJ69" s="17"/>
      <c r="AK69" s="19"/>
      <c r="AL69" s="17"/>
      <c r="AM69" s="21"/>
      <c r="AN69" s="17"/>
      <c r="AO69" s="19"/>
      <c r="AP69" s="17"/>
      <c r="AQ69" s="19"/>
      <c r="AR69" s="17"/>
      <c r="AS69" s="19"/>
      <c r="AT69" s="17"/>
      <c r="AU69" s="21"/>
      <c r="AV69" s="17"/>
      <c r="AW69" s="21"/>
      <c r="AX69" s="17"/>
      <c r="AY69" s="21"/>
      <c r="AZ69" s="17"/>
      <c r="BA69" s="21"/>
      <c r="BB69" s="17" t="s">
        <v>72</v>
      </c>
      <c r="BC69" s="21" t="s">
        <v>313</v>
      </c>
      <c r="BD69" s="17"/>
      <c r="BE69" s="22">
        <f t="shared" si="10"/>
        <v>96</v>
      </c>
      <c r="BF69" s="14">
        <f t="shared" si="11"/>
        <v>46023</v>
      </c>
      <c r="BG69" s="23" t="str">
        <f t="shared" si="12"/>
        <v>January 2026</v>
      </c>
      <c r="BH69" s="14">
        <f t="shared" si="13"/>
        <v>46020</v>
      </c>
      <c r="BI69" s="14">
        <f t="shared" si="14"/>
        <v>46026</v>
      </c>
      <c r="BJ69" s="17" t="str">
        <f t="shared" si="15"/>
        <v>29/12/2025 - 04/01/2026</v>
      </c>
      <c r="BK69" s="17">
        <f>IF($B69="","",COUNTIFS($B$5:$B69,$B69,$BF$5:$BF69,$BF69))</f>
        <v>5</v>
      </c>
      <c r="BL69" s="17">
        <f>IF($B69="","",COUNTIFS($B$5:$B69,$B69,$BH$5:$BH69,$BH69))</f>
        <v>5</v>
      </c>
      <c r="BM69" s="17" t="str">
        <f t="shared" si="16"/>
        <v>05|Ramida Singthong|20260101</v>
      </c>
      <c r="BN69" s="17" t="str">
        <f t="shared" si="17"/>
        <v>05|Ramida Singthong|20251229</v>
      </c>
      <c r="BO69" s="17">
        <f t="shared" si="18"/>
        <v>0</v>
      </c>
      <c r="BP69" s="24" t="s">
        <v>314</v>
      </c>
      <c r="BQ69" s="13"/>
      <c r="BR69" s="25" t="str">
        <f t="shared" si="19"/>
        <v>Jan-Feb 2026</v>
      </c>
    </row>
    <row r="70" spans="1:70" s="18" customFormat="1" ht="15" customHeight="1">
      <c r="A70" s="14">
        <v>46050.380357476854</v>
      </c>
      <c r="B70" s="15" t="s">
        <v>297</v>
      </c>
      <c r="C70" s="14">
        <v>46023</v>
      </c>
      <c r="D70" s="16"/>
      <c r="E70" s="16"/>
      <c r="F70" s="17" t="s">
        <v>301</v>
      </c>
      <c r="G70" s="13" t="s">
        <v>302</v>
      </c>
      <c r="H70" s="18">
        <v>10</v>
      </c>
      <c r="J70" s="18">
        <v>26</v>
      </c>
      <c r="L70" s="18">
        <v>18</v>
      </c>
      <c r="N70" s="18">
        <v>10</v>
      </c>
      <c r="P70" s="18">
        <v>20</v>
      </c>
      <c r="R70" s="18">
        <v>10</v>
      </c>
      <c r="T70" s="17"/>
      <c r="U70" s="19"/>
      <c r="V70" s="17"/>
      <c r="W70" s="19"/>
      <c r="X70" s="17"/>
      <c r="Y70" s="19"/>
      <c r="Z70" s="17"/>
      <c r="AA70" s="19"/>
      <c r="AB70" s="17"/>
      <c r="AC70" s="20"/>
      <c r="AD70" s="17"/>
      <c r="AE70" s="20"/>
      <c r="AF70" s="17"/>
      <c r="AG70" s="21"/>
      <c r="AH70" s="17"/>
      <c r="AI70" s="19"/>
      <c r="AJ70" s="17"/>
      <c r="AK70" s="19"/>
      <c r="AL70" s="17"/>
      <c r="AM70" s="21"/>
      <c r="AN70" s="17"/>
      <c r="AO70" s="19"/>
      <c r="AP70" s="17"/>
      <c r="AQ70" s="19"/>
      <c r="AR70" s="17"/>
      <c r="AS70" s="19"/>
      <c r="AT70" s="17"/>
      <c r="AU70" s="21"/>
      <c r="AV70" s="17"/>
      <c r="AW70" s="21"/>
      <c r="AX70" s="17"/>
      <c r="AY70" s="21"/>
      <c r="AZ70" s="17"/>
      <c r="BA70" s="21"/>
      <c r="BB70" s="17" t="s">
        <v>72</v>
      </c>
      <c r="BC70" s="21" t="s">
        <v>142</v>
      </c>
      <c r="BD70" s="17"/>
      <c r="BE70" s="22">
        <f t="shared" si="10"/>
        <v>94</v>
      </c>
      <c r="BF70" s="14">
        <f t="shared" si="11"/>
        <v>46023</v>
      </c>
      <c r="BG70" s="23" t="str">
        <f t="shared" si="12"/>
        <v>January 2026</v>
      </c>
      <c r="BH70" s="14">
        <f t="shared" si="13"/>
        <v>46020</v>
      </c>
      <c r="BI70" s="14">
        <f t="shared" si="14"/>
        <v>46026</v>
      </c>
      <c r="BJ70" s="17" t="str">
        <f t="shared" si="15"/>
        <v>29/12/2025 - 04/01/2026</v>
      </c>
      <c r="BK70" s="17">
        <f>IF($B70="","",COUNTIFS($B$5:$B70,$B70,$BF$5:$BF70,$BF70))</f>
        <v>6</v>
      </c>
      <c r="BL70" s="17">
        <f>IF($B70="","",COUNTIFS($B$5:$B70,$B70,$BH$5:$BH70,$BH70))</f>
        <v>6</v>
      </c>
      <c r="BM70" s="17" t="str">
        <f t="shared" si="16"/>
        <v>06|Ramida Singthong|20260101</v>
      </c>
      <c r="BN70" s="17" t="str">
        <f t="shared" si="17"/>
        <v>06|Ramida Singthong|20251229</v>
      </c>
      <c r="BO70" s="17">
        <f t="shared" si="18"/>
        <v>0</v>
      </c>
      <c r="BP70" s="24" t="s">
        <v>315</v>
      </c>
      <c r="BQ70" s="13"/>
      <c r="BR70" s="25" t="str">
        <f t="shared" si="19"/>
        <v>Jan-Feb 2026</v>
      </c>
    </row>
    <row r="71" spans="1:70" s="18" customFormat="1" ht="15" customHeight="1">
      <c r="A71" s="14">
        <v>46050.38491291667</v>
      </c>
      <c r="B71" s="15" t="s">
        <v>297</v>
      </c>
      <c r="C71" s="14">
        <v>46023</v>
      </c>
      <c r="D71" s="16"/>
      <c r="E71" s="16"/>
      <c r="F71" s="17" t="s">
        <v>316</v>
      </c>
      <c r="G71" s="13" t="s">
        <v>317</v>
      </c>
      <c r="H71" s="18">
        <v>7</v>
      </c>
      <c r="J71" s="18">
        <v>22</v>
      </c>
      <c r="L71" s="18">
        <v>14</v>
      </c>
      <c r="N71" s="18">
        <v>10</v>
      </c>
      <c r="P71" s="18">
        <v>20</v>
      </c>
      <c r="R71" s="18">
        <v>10</v>
      </c>
      <c r="T71" s="17"/>
      <c r="U71" s="19"/>
      <c r="V71" s="17"/>
      <c r="W71" s="19"/>
      <c r="X71" s="17"/>
      <c r="Y71" s="19"/>
      <c r="Z71" s="17"/>
      <c r="AA71" s="19"/>
      <c r="AB71" s="17"/>
      <c r="AC71" s="20"/>
      <c r="AD71" s="17"/>
      <c r="AE71" s="20"/>
      <c r="AF71" s="17"/>
      <c r="AG71" s="21"/>
      <c r="AH71" s="17"/>
      <c r="AI71" s="19"/>
      <c r="AJ71" s="17"/>
      <c r="AK71" s="19"/>
      <c r="AL71" s="17"/>
      <c r="AM71" s="21"/>
      <c r="AN71" s="17"/>
      <c r="AO71" s="19"/>
      <c r="AP71" s="17"/>
      <c r="AQ71" s="19"/>
      <c r="AR71" s="17"/>
      <c r="AS71" s="19"/>
      <c r="AT71" s="17"/>
      <c r="AU71" s="21"/>
      <c r="AV71" s="17"/>
      <c r="AW71" s="21"/>
      <c r="AX71" s="17"/>
      <c r="AY71" s="21"/>
      <c r="AZ71" s="17"/>
      <c r="BA71" s="21"/>
      <c r="BB71" s="17" t="s">
        <v>72</v>
      </c>
      <c r="BC71" s="21" t="s">
        <v>318</v>
      </c>
      <c r="BD71" s="17"/>
      <c r="BE71" s="22">
        <f t="shared" si="10"/>
        <v>83</v>
      </c>
      <c r="BF71" s="14">
        <f t="shared" si="11"/>
        <v>46023</v>
      </c>
      <c r="BG71" s="23" t="str">
        <f t="shared" si="12"/>
        <v>January 2026</v>
      </c>
      <c r="BH71" s="14">
        <f t="shared" si="13"/>
        <v>46020</v>
      </c>
      <c r="BI71" s="14">
        <f t="shared" si="14"/>
        <v>46026</v>
      </c>
      <c r="BJ71" s="17" t="str">
        <f t="shared" si="15"/>
        <v>29/12/2025 - 04/01/2026</v>
      </c>
      <c r="BK71" s="17">
        <f>IF($B71="","",COUNTIFS($B$5:$B71,$B71,$BF$5:$BF71,$BF71))</f>
        <v>7</v>
      </c>
      <c r="BL71" s="17">
        <f>IF($B71="","",COUNTIFS($B$5:$B71,$B71,$BH$5:$BH71,$BH71))</f>
        <v>7</v>
      </c>
      <c r="BM71" s="17" t="str">
        <f t="shared" si="16"/>
        <v>07|Ramida Singthong|20260101</v>
      </c>
      <c r="BN71" s="17" t="str">
        <f t="shared" si="17"/>
        <v>07|Ramida Singthong|20251229</v>
      </c>
      <c r="BO71" s="17">
        <f t="shared" si="18"/>
        <v>0</v>
      </c>
      <c r="BP71" s="24" t="s">
        <v>319</v>
      </c>
      <c r="BQ71" s="13"/>
      <c r="BR71" s="25" t="str">
        <f t="shared" si="19"/>
        <v>Jan-Feb 2026</v>
      </c>
    </row>
    <row r="72" spans="1:70" s="18" customFormat="1" ht="15" customHeight="1">
      <c r="A72" s="14">
        <v>46050.387324097217</v>
      </c>
      <c r="B72" s="15" t="s">
        <v>297</v>
      </c>
      <c r="C72" s="14">
        <v>46023</v>
      </c>
      <c r="D72" s="16"/>
      <c r="E72" s="16"/>
      <c r="F72" s="17" t="s">
        <v>320</v>
      </c>
      <c r="G72" s="13" t="s">
        <v>321</v>
      </c>
      <c r="H72" s="18">
        <v>10</v>
      </c>
      <c r="J72" s="18">
        <v>28</v>
      </c>
      <c r="L72" s="18">
        <v>20</v>
      </c>
      <c r="N72" s="18">
        <v>10</v>
      </c>
      <c r="P72" s="18">
        <v>20</v>
      </c>
      <c r="R72" s="18">
        <v>10</v>
      </c>
      <c r="T72" s="17"/>
      <c r="U72" s="19"/>
      <c r="V72" s="17"/>
      <c r="W72" s="19"/>
      <c r="X72" s="17"/>
      <c r="Y72" s="19"/>
      <c r="Z72" s="17"/>
      <c r="AA72" s="19"/>
      <c r="AB72" s="17"/>
      <c r="AC72" s="20"/>
      <c r="AD72" s="17"/>
      <c r="AE72" s="20"/>
      <c r="AF72" s="17"/>
      <c r="AG72" s="21"/>
      <c r="AH72" s="17"/>
      <c r="AI72" s="19"/>
      <c r="AJ72" s="17"/>
      <c r="AK72" s="19"/>
      <c r="AL72" s="17"/>
      <c r="AM72" s="21"/>
      <c r="AN72" s="17"/>
      <c r="AO72" s="19"/>
      <c r="AP72" s="17"/>
      <c r="AQ72" s="19"/>
      <c r="AR72" s="17"/>
      <c r="AS72" s="19"/>
      <c r="AT72" s="17"/>
      <c r="AU72" s="21"/>
      <c r="AV72" s="17"/>
      <c r="AW72" s="21"/>
      <c r="AX72" s="17"/>
      <c r="AY72" s="21"/>
      <c r="AZ72" s="17"/>
      <c r="BA72" s="21"/>
      <c r="BB72" s="17" t="s">
        <v>72</v>
      </c>
      <c r="BC72" s="21" t="s">
        <v>86</v>
      </c>
      <c r="BD72" s="17"/>
      <c r="BE72" s="22">
        <f t="shared" si="10"/>
        <v>98</v>
      </c>
      <c r="BF72" s="14">
        <f t="shared" si="11"/>
        <v>46023</v>
      </c>
      <c r="BG72" s="23" t="str">
        <f t="shared" si="12"/>
        <v>January 2026</v>
      </c>
      <c r="BH72" s="14">
        <f t="shared" si="13"/>
        <v>46020</v>
      </c>
      <c r="BI72" s="14">
        <f t="shared" si="14"/>
        <v>46026</v>
      </c>
      <c r="BJ72" s="17" t="str">
        <f t="shared" si="15"/>
        <v>29/12/2025 - 04/01/2026</v>
      </c>
      <c r="BK72" s="17">
        <f>IF($B72="","",COUNTIFS($B$5:$B72,$B72,$BF$5:$BF72,$BF72))</f>
        <v>8</v>
      </c>
      <c r="BL72" s="17">
        <f>IF($B72="","",COUNTIFS($B$5:$B72,$B72,$BH$5:$BH72,$BH72))</f>
        <v>8</v>
      </c>
      <c r="BM72" s="17" t="str">
        <f t="shared" si="16"/>
        <v>08|Ramida Singthong|20260101</v>
      </c>
      <c r="BN72" s="17" t="str">
        <f t="shared" si="17"/>
        <v>08|Ramida Singthong|20251229</v>
      </c>
      <c r="BO72" s="17">
        <f t="shared" si="18"/>
        <v>0</v>
      </c>
      <c r="BP72" s="24" t="s">
        <v>165</v>
      </c>
      <c r="BQ72" s="13"/>
      <c r="BR72" s="25" t="str">
        <f t="shared" si="19"/>
        <v>Jan-Feb 2026</v>
      </c>
    </row>
    <row r="73" spans="1:70" s="18" customFormat="1" ht="15" customHeight="1">
      <c r="A73" s="14">
        <v>46050.394597928243</v>
      </c>
      <c r="B73" s="15" t="s">
        <v>297</v>
      </c>
      <c r="C73" s="14">
        <v>46023</v>
      </c>
      <c r="D73" s="16"/>
      <c r="E73" s="16"/>
      <c r="F73" s="17" t="s">
        <v>322</v>
      </c>
      <c r="G73" s="13" t="s">
        <v>323</v>
      </c>
      <c r="H73" s="18">
        <v>10</v>
      </c>
      <c r="J73" s="18">
        <v>28</v>
      </c>
      <c r="L73" s="18">
        <v>18</v>
      </c>
      <c r="N73" s="18">
        <v>10</v>
      </c>
      <c r="P73" s="18">
        <v>16</v>
      </c>
      <c r="R73" s="18">
        <v>10</v>
      </c>
      <c r="T73" s="17"/>
      <c r="U73" s="19"/>
      <c r="V73" s="17"/>
      <c r="W73" s="19"/>
      <c r="X73" s="17"/>
      <c r="Y73" s="19"/>
      <c r="Z73" s="17"/>
      <c r="AA73" s="19"/>
      <c r="AB73" s="17"/>
      <c r="AC73" s="20"/>
      <c r="AD73" s="17"/>
      <c r="AE73" s="20"/>
      <c r="AF73" s="17"/>
      <c r="AG73" s="21"/>
      <c r="AH73" s="17"/>
      <c r="AI73" s="19"/>
      <c r="AJ73" s="17"/>
      <c r="AK73" s="19"/>
      <c r="AL73" s="17"/>
      <c r="AM73" s="21"/>
      <c r="AN73" s="17"/>
      <c r="AO73" s="19"/>
      <c r="AP73" s="17"/>
      <c r="AQ73" s="19"/>
      <c r="AR73" s="17"/>
      <c r="AS73" s="19"/>
      <c r="AT73" s="17"/>
      <c r="AU73" s="21"/>
      <c r="AV73" s="17"/>
      <c r="AW73" s="21"/>
      <c r="AX73" s="17"/>
      <c r="AY73" s="21"/>
      <c r="AZ73" s="17"/>
      <c r="BA73" s="21"/>
      <c r="BB73" s="17" t="s">
        <v>72</v>
      </c>
      <c r="BC73" s="21" t="s">
        <v>109</v>
      </c>
      <c r="BD73" s="17"/>
      <c r="BE73" s="22">
        <f t="shared" si="10"/>
        <v>92</v>
      </c>
      <c r="BF73" s="14">
        <f t="shared" si="11"/>
        <v>46023</v>
      </c>
      <c r="BG73" s="23" t="str">
        <f t="shared" si="12"/>
        <v>January 2026</v>
      </c>
      <c r="BH73" s="14">
        <f t="shared" si="13"/>
        <v>46020</v>
      </c>
      <c r="BI73" s="14">
        <f t="shared" si="14"/>
        <v>46026</v>
      </c>
      <c r="BJ73" s="17" t="str">
        <f t="shared" si="15"/>
        <v>29/12/2025 - 04/01/2026</v>
      </c>
      <c r="BK73" s="17">
        <f>IF($B73="","",COUNTIFS($B$5:$B73,$B73,$BF$5:$BF73,$BF73))</f>
        <v>9</v>
      </c>
      <c r="BL73" s="17">
        <f>IF($B73="","",COUNTIFS($B$5:$B73,$B73,$BH$5:$BH73,$BH73))</f>
        <v>9</v>
      </c>
      <c r="BM73" s="17" t="str">
        <f t="shared" si="16"/>
        <v>09|Ramida Singthong|20260101</v>
      </c>
      <c r="BN73" s="17" t="str">
        <f t="shared" si="17"/>
        <v>09|Ramida Singthong|20251229</v>
      </c>
      <c r="BO73" s="17">
        <f t="shared" si="18"/>
        <v>0</v>
      </c>
      <c r="BP73" s="24" t="s">
        <v>324</v>
      </c>
      <c r="BQ73" s="13"/>
      <c r="BR73" s="25" t="str">
        <f t="shared" si="19"/>
        <v>Jan-Feb 2026</v>
      </c>
    </row>
    <row r="74" spans="1:70" s="18" customFormat="1" ht="15" customHeight="1">
      <c r="A74" s="14">
        <v>46050.396994988427</v>
      </c>
      <c r="B74" s="15" t="s">
        <v>297</v>
      </c>
      <c r="C74" s="14">
        <v>46023</v>
      </c>
      <c r="D74" s="16"/>
      <c r="E74" s="16"/>
      <c r="F74" s="17" t="s">
        <v>325</v>
      </c>
      <c r="G74" s="13" t="s">
        <v>326</v>
      </c>
      <c r="H74" s="18">
        <v>8</v>
      </c>
      <c r="J74" s="18">
        <v>26</v>
      </c>
      <c r="L74" s="18">
        <v>16</v>
      </c>
      <c r="N74" s="18">
        <v>10</v>
      </c>
      <c r="P74" s="18">
        <v>16</v>
      </c>
      <c r="R74" s="18">
        <v>10</v>
      </c>
      <c r="T74" s="17"/>
      <c r="U74" s="19"/>
      <c r="V74" s="17"/>
      <c r="W74" s="19"/>
      <c r="X74" s="17"/>
      <c r="Y74" s="19"/>
      <c r="Z74" s="17"/>
      <c r="AA74" s="19"/>
      <c r="AB74" s="17"/>
      <c r="AC74" s="20"/>
      <c r="AD74" s="17"/>
      <c r="AE74" s="20"/>
      <c r="AF74" s="17"/>
      <c r="AG74" s="21"/>
      <c r="AH74" s="17"/>
      <c r="AI74" s="19"/>
      <c r="AJ74" s="17"/>
      <c r="AK74" s="19"/>
      <c r="AL74" s="17"/>
      <c r="AM74" s="21"/>
      <c r="AN74" s="17"/>
      <c r="AO74" s="19"/>
      <c r="AP74" s="17"/>
      <c r="AQ74" s="19"/>
      <c r="AR74" s="17"/>
      <c r="AS74" s="19"/>
      <c r="AT74" s="17"/>
      <c r="AU74" s="21"/>
      <c r="AV74" s="17"/>
      <c r="AW74" s="21"/>
      <c r="AX74" s="17"/>
      <c r="AY74" s="21"/>
      <c r="AZ74" s="17"/>
      <c r="BA74" s="21"/>
      <c r="BB74" s="17" t="s">
        <v>72</v>
      </c>
      <c r="BC74" s="21" t="s">
        <v>175</v>
      </c>
      <c r="BD74" s="17"/>
      <c r="BE74" s="22">
        <f t="shared" si="10"/>
        <v>86</v>
      </c>
      <c r="BF74" s="14">
        <f t="shared" si="11"/>
        <v>46023</v>
      </c>
      <c r="BG74" s="23" t="str">
        <f t="shared" si="12"/>
        <v>January 2026</v>
      </c>
      <c r="BH74" s="14">
        <f t="shared" si="13"/>
        <v>46020</v>
      </c>
      <c r="BI74" s="14">
        <f t="shared" si="14"/>
        <v>46026</v>
      </c>
      <c r="BJ74" s="17" t="str">
        <f t="shared" si="15"/>
        <v>29/12/2025 - 04/01/2026</v>
      </c>
      <c r="BK74" s="17">
        <f>IF($B74="","",COUNTIFS($B$5:$B74,$B74,$BF$5:$BF74,$BF74))</f>
        <v>10</v>
      </c>
      <c r="BL74" s="17">
        <f>IF($B74="","",COUNTIFS($B$5:$B74,$B74,$BH$5:$BH74,$BH74))</f>
        <v>10</v>
      </c>
      <c r="BM74" s="17" t="str">
        <f t="shared" si="16"/>
        <v>10|Ramida Singthong|20260101</v>
      </c>
      <c r="BN74" s="17" t="str">
        <f t="shared" si="17"/>
        <v>10|Ramida Singthong|20251229</v>
      </c>
      <c r="BO74" s="17">
        <f t="shared" si="18"/>
        <v>0</v>
      </c>
      <c r="BP74" s="24" t="s">
        <v>327</v>
      </c>
      <c r="BQ74" s="13"/>
      <c r="BR74" s="25" t="str">
        <f t="shared" si="19"/>
        <v>Jan-Feb 2026</v>
      </c>
    </row>
    <row r="75" spans="1:70" s="18" customFormat="1" ht="15" customHeight="1">
      <c r="A75" s="14">
        <v>46035.316201932867</v>
      </c>
      <c r="B75" s="15" t="s">
        <v>78</v>
      </c>
      <c r="C75" s="14">
        <v>46023</v>
      </c>
      <c r="D75" s="16"/>
      <c r="E75" s="16"/>
      <c r="F75" s="17" t="s">
        <v>328</v>
      </c>
      <c r="G75" s="13" t="s">
        <v>329</v>
      </c>
      <c r="H75" s="18">
        <v>8</v>
      </c>
      <c r="J75" s="18">
        <v>22</v>
      </c>
      <c r="L75" s="18">
        <v>16</v>
      </c>
      <c r="N75" s="18">
        <v>10</v>
      </c>
      <c r="P75" s="18">
        <v>17</v>
      </c>
      <c r="R75" s="18">
        <v>8</v>
      </c>
      <c r="T75" s="17"/>
      <c r="U75" s="19"/>
      <c r="V75" s="17"/>
      <c r="W75" s="19"/>
      <c r="X75" s="17"/>
      <c r="Y75" s="19"/>
      <c r="Z75" s="17"/>
      <c r="AA75" s="19"/>
      <c r="AB75" s="17"/>
      <c r="AC75" s="20"/>
      <c r="AD75" s="17"/>
      <c r="AE75" s="20"/>
      <c r="AF75" s="17"/>
      <c r="AG75" s="21"/>
      <c r="AH75" s="17"/>
      <c r="AI75" s="19"/>
      <c r="AJ75" s="17"/>
      <c r="AK75" s="19"/>
      <c r="AL75" s="17"/>
      <c r="AM75" s="21"/>
      <c r="AN75" s="17"/>
      <c r="AO75" s="19"/>
      <c r="AP75" s="17"/>
      <c r="AQ75" s="19"/>
      <c r="AR75" s="17"/>
      <c r="AS75" s="19"/>
      <c r="AT75" s="17"/>
      <c r="AU75" s="21"/>
      <c r="AV75" s="17"/>
      <c r="AW75" s="21"/>
      <c r="AX75" s="17"/>
      <c r="AY75" s="21"/>
      <c r="AZ75" s="17"/>
      <c r="BA75" s="21"/>
      <c r="BB75" s="17" t="s">
        <v>72</v>
      </c>
      <c r="BC75" s="21" t="s">
        <v>330</v>
      </c>
      <c r="BD75" s="17"/>
      <c r="BE75" s="22">
        <f t="shared" si="10"/>
        <v>81</v>
      </c>
      <c r="BF75" s="14">
        <f t="shared" si="11"/>
        <v>46023</v>
      </c>
      <c r="BG75" s="23" t="str">
        <f t="shared" si="12"/>
        <v>January 2026</v>
      </c>
      <c r="BH75" s="14">
        <f t="shared" si="13"/>
        <v>46020</v>
      </c>
      <c r="BI75" s="14">
        <f t="shared" si="14"/>
        <v>46026</v>
      </c>
      <c r="BJ75" s="17" t="str">
        <f t="shared" si="15"/>
        <v>29/12/2025 - 04/01/2026</v>
      </c>
      <c r="BK75" s="17">
        <f>IF($B75="","",COUNTIFS($B$5:$B75,$B75,$BF$5:$BF75,$BF75))</f>
        <v>1</v>
      </c>
      <c r="BL75" s="17">
        <f>IF($B75="","",COUNTIFS($B$5:$B75,$B75,$BH$5:$BH75,$BH75))</f>
        <v>1</v>
      </c>
      <c r="BM75" s="17" t="str">
        <f t="shared" si="16"/>
        <v>01|Sunijtra Siritip|20260101</v>
      </c>
      <c r="BN75" s="17" t="str">
        <f t="shared" si="17"/>
        <v>01|Sunijtra Siritip|20251229</v>
      </c>
      <c r="BO75" s="17">
        <f t="shared" si="18"/>
        <v>0</v>
      </c>
      <c r="BP75" s="24" t="s">
        <v>331</v>
      </c>
      <c r="BQ75" s="13"/>
      <c r="BR75" s="25" t="str">
        <f t="shared" si="19"/>
        <v>Jan-Feb 2026</v>
      </c>
    </row>
    <row r="76" spans="1:70" s="18" customFormat="1" ht="15" customHeight="1">
      <c r="A76" s="14">
        <v>46035.435246076391</v>
      </c>
      <c r="B76" s="15" t="s">
        <v>78</v>
      </c>
      <c r="C76" s="14">
        <v>46023</v>
      </c>
      <c r="D76" s="16"/>
      <c r="E76" s="16"/>
      <c r="F76" s="17" t="s">
        <v>332</v>
      </c>
      <c r="G76" s="13" t="s">
        <v>83</v>
      </c>
      <c r="H76" s="18">
        <v>7</v>
      </c>
      <c r="J76" s="18">
        <v>27</v>
      </c>
      <c r="L76" s="18">
        <v>17</v>
      </c>
      <c r="N76" s="18">
        <v>10</v>
      </c>
      <c r="P76" s="18">
        <v>20</v>
      </c>
      <c r="R76" s="18">
        <v>8</v>
      </c>
      <c r="T76" s="17"/>
      <c r="U76" s="19"/>
      <c r="V76" s="17"/>
      <c r="W76" s="19"/>
      <c r="X76" s="17"/>
      <c r="Y76" s="19"/>
      <c r="Z76" s="17"/>
      <c r="AA76" s="19"/>
      <c r="AB76" s="17"/>
      <c r="AC76" s="20"/>
      <c r="AD76" s="17"/>
      <c r="AE76" s="20"/>
      <c r="AF76" s="17"/>
      <c r="AG76" s="21"/>
      <c r="AH76" s="17"/>
      <c r="AI76" s="19"/>
      <c r="AJ76" s="17"/>
      <c r="AK76" s="19"/>
      <c r="AL76" s="17"/>
      <c r="AM76" s="21"/>
      <c r="AN76" s="17"/>
      <c r="AO76" s="19"/>
      <c r="AP76" s="17"/>
      <c r="AQ76" s="19"/>
      <c r="AR76" s="17"/>
      <c r="AS76" s="19"/>
      <c r="AT76" s="17"/>
      <c r="AU76" s="21"/>
      <c r="AV76" s="17"/>
      <c r="AW76" s="21"/>
      <c r="AX76" s="17"/>
      <c r="AY76" s="21"/>
      <c r="AZ76" s="17"/>
      <c r="BA76" s="21"/>
      <c r="BB76" s="17" t="s">
        <v>72</v>
      </c>
      <c r="BC76" s="21" t="s">
        <v>333</v>
      </c>
      <c r="BD76" s="17"/>
      <c r="BE76" s="22">
        <f t="shared" si="10"/>
        <v>89</v>
      </c>
      <c r="BF76" s="14">
        <f t="shared" si="11"/>
        <v>46023</v>
      </c>
      <c r="BG76" s="23" t="str">
        <f t="shared" si="12"/>
        <v>January 2026</v>
      </c>
      <c r="BH76" s="14">
        <f t="shared" si="13"/>
        <v>46020</v>
      </c>
      <c r="BI76" s="14">
        <f t="shared" si="14"/>
        <v>46026</v>
      </c>
      <c r="BJ76" s="17" t="str">
        <f t="shared" si="15"/>
        <v>29/12/2025 - 04/01/2026</v>
      </c>
      <c r="BK76" s="17">
        <f>IF($B76="","",COUNTIFS($B$5:$B76,$B76,$BF$5:$BF76,$BF76))</f>
        <v>2</v>
      </c>
      <c r="BL76" s="17">
        <f>IF($B76="","",COUNTIFS($B$5:$B76,$B76,$BH$5:$BH76,$BH76))</f>
        <v>2</v>
      </c>
      <c r="BM76" s="17" t="str">
        <f t="shared" si="16"/>
        <v>02|Sunijtra Siritip|20260101</v>
      </c>
      <c r="BN76" s="17" t="str">
        <f t="shared" si="17"/>
        <v>02|Sunijtra Siritip|20251229</v>
      </c>
      <c r="BO76" s="17">
        <f t="shared" si="18"/>
        <v>0</v>
      </c>
      <c r="BP76" s="24" t="s">
        <v>334</v>
      </c>
      <c r="BQ76" s="13"/>
      <c r="BR76" s="25" t="str">
        <f t="shared" si="19"/>
        <v>Jan-Feb 2026</v>
      </c>
    </row>
    <row r="77" spans="1:70" s="18" customFormat="1" ht="15" customHeight="1">
      <c r="A77" s="14">
        <v>46040.439696006943</v>
      </c>
      <c r="B77" s="15" t="s">
        <v>78</v>
      </c>
      <c r="C77" s="14">
        <v>46023</v>
      </c>
      <c r="D77" s="16"/>
      <c r="E77" s="16"/>
      <c r="F77" s="17" t="s">
        <v>335</v>
      </c>
      <c r="G77" s="13" t="s">
        <v>336</v>
      </c>
      <c r="H77" s="18">
        <v>10</v>
      </c>
      <c r="J77" s="18">
        <v>25</v>
      </c>
      <c r="L77" s="18">
        <v>15</v>
      </c>
      <c r="N77" s="18">
        <v>10</v>
      </c>
      <c r="P77" s="18">
        <v>18</v>
      </c>
      <c r="R77" s="18">
        <v>7</v>
      </c>
      <c r="T77" s="17"/>
      <c r="U77" s="19"/>
      <c r="V77" s="17"/>
      <c r="W77" s="19"/>
      <c r="X77" s="17"/>
      <c r="Y77" s="19"/>
      <c r="Z77" s="17"/>
      <c r="AA77" s="19"/>
      <c r="AB77" s="17"/>
      <c r="AC77" s="20"/>
      <c r="AD77" s="17"/>
      <c r="AE77" s="20"/>
      <c r="AF77" s="17"/>
      <c r="AG77" s="21"/>
      <c r="AH77" s="17"/>
      <c r="AI77" s="19"/>
      <c r="AJ77" s="17"/>
      <c r="AK77" s="19"/>
      <c r="AL77" s="17"/>
      <c r="AM77" s="21"/>
      <c r="AN77" s="17"/>
      <c r="AO77" s="19"/>
      <c r="AP77" s="17"/>
      <c r="AQ77" s="19"/>
      <c r="AR77" s="17"/>
      <c r="AS77" s="19"/>
      <c r="AT77" s="17"/>
      <c r="AU77" s="21"/>
      <c r="AV77" s="17"/>
      <c r="AW77" s="21"/>
      <c r="AX77" s="17"/>
      <c r="AY77" s="21"/>
      <c r="AZ77" s="17"/>
      <c r="BA77" s="21"/>
      <c r="BB77" s="17" t="s">
        <v>72</v>
      </c>
      <c r="BC77" s="21" t="s">
        <v>187</v>
      </c>
      <c r="BD77" s="17"/>
      <c r="BE77" s="22">
        <f t="shared" si="10"/>
        <v>85</v>
      </c>
      <c r="BF77" s="14">
        <f t="shared" si="11"/>
        <v>46023</v>
      </c>
      <c r="BG77" s="23" t="str">
        <f t="shared" si="12"/>
        <v>January 2026</v>
      </c>
      <c r="BH77" s="14">
        <f t="shared" si="13"/>
        <v>46020</v>
      </c>
      <c r="BI77" s="14">
        <f t="shared" si="14"/>
        <v>46026</v>
      </c>
      <c r="BJ77" s="17" t="str">
        <f t="shared" si="15"/>
        <v>29/12/2025 - 04/01/2026</v>
      </c>
      <c r="BK77" s="17">
        <f>IF($B77="","",COUNTIFS($B$5:$B77,$B77,$BF$5:$BF77,$BF77))</f>
        <v>3</v>
      </c>
      <c r="BL77" s="17">
        <f>IF($B77="","",COUNTIFS($B$5:$B77,$B77,$BH$5:$BH77,$BH77))</f>
        <v>3</v>
      </c>
      <c r="BM77" s="17" t="str">
        <f t="shared" si="16"/>
        <v>03|Sunijtra Siritip|20260101</v>
      </c>
      <c r="BN77" s="17" t="str">
        <f t="shared" si="17"/>
        <v>03|Sunijtra Siritip|20251229</v>
      </c>
      <c r="BO77" s="17">
        <f t="shared" si="18"/>
        <v>0</v>
      </c>
      <c r="BP77" s="24" t="s">
        <v>337</v>
      </c>
      <c r="BQ77" s="13"/>
      <c r="BR77" s="25" t="str">
        <f t="shared" si="19"/>
        <v>Jan-Feb 2026</v>
      </c>
    </row>
    <row r="78" spans="1:70" s="18" customFormat="1" ht="15" customHeight="1">
      <c r="A78" s="14">
        <v>46040.608927939807</v>
      </c>
      <c r="B78" s="15" t="s">
        <v>78</v>
      </c>
      <c r="C78" s="14">
        <v>46023</v>
      </c>
      <c r="D78" s="16"/>
      <c r="E78" s="16"/>
      <c r="F78" s="17" t="s">
        <v>338</v>
      </c>
      <c r="G78" s="13" t="s">
        <v>339</v>
      </c>
      <c r="H78" s="18">
        <v>10</v>
      </c>
      <c r="J78" s="18">
        <v>20</v>
      </c>
      <c r="L78" s="18">
        <v>14</v>
      </c>
      <c r="N78" s="18">
        <v>10</v>
      </c>
      <c r="P78" s="18">
        <v>17</v>
      </c>
      <c r="R78" s="18">
        <v>8</v>
      </c>
      <c r="T78" s="17"/>
      <c r="U78" s="19"/>
      <c r="V78" s="17"/>
      <c r="W78" s="19"/>
      <c r="X78" s="17"/>
      <c r="Y78" s="19"/>
      <c r="Z78" s="17"/>
      <c r="AA78" s="19"/>
      <c r="AB78" s="17"/>
      <c r="AC78" s="20"/>
      <c r="AD78" s="17"/>
      <c r="AE78" s="20"/>
      <c r="AF78" s="17"/>
      <c r="AG78" s="21"/>
      <c r="AH78" s="17"/>
      <c r="AI78" s="19"/>
      <c r="AJ78" s="17"/>
      <c r="AK78" s="19"/>
      <c r="AL78" s="17"/>
      <c r="AM78" s="21"/>
      <c r="AN78" s="17"/>
      <c r="AO78" s="19"/>
      <c r="AP78" s="17"/>
      <c r="AQ78" s="19"/>
      <c r="AR78" s="17"/>
      <c r="AS78" s="19"/>
      <c r="AT78" s="17"/>
      <c r="AU78" s="21"/>
      <c r="AV78" s="17"/>
      <c r="AW78" s="21"/>
      <c r="AX78" s="17"/>
      <c r="AY78" s="21"/>
      <c r="AZ78" s="17"/>
      <c r="BA78" s="21"/>
      <c r="BB78" s="17" t="s">
        <v>72</v>
      </c>
      <c r="BC78" s="21" t="s">
        <v>187</v>
      </c>
      <c r="BD78" s="17"/>
      <c r="BE78" s="22">
        <f t="shared" si="10"/>
        <v>79</v>
      </c>
      <c r="BF78" s="14">
        <f t="shared" si="11"/>
        <v>46023</v>
      </c>
      <c r="BG78" s="23" t="str">
        <f t="shared" si="12"/>
        <v>January 2026</v>
      </c>
      <c r="BH78" s="14">
        <f t="shared" si="13"/>
        <v>46020</v>
      </c>
      <c r="BI78" s="14">
        <f t="shared" si="14"/>
        <v>46026</v>
      </c>
      <c r="BJ78" s="17" t="str">
        <f t="shared" si="15"/>
        <v>29/12/2025 - 04/01/2026</v>
      </c>
      <c r="BK78" s="17">
        <f>IF($B78="","",COUNTIFS($B$5:$B78,$B78,$BF$5:$BF78,$BF78))</f>
        <v>4</v>
      </c>
      <c r="BL78" s="17">
        <f>IF($B78="","",COUNTIFS($B$5:$B78,$B78,$BH$5:$BH78,$BH78))</f>
        <v>4</v>
      </c>
      <c r="BM78" s="17" t="str">
        <f t="shared" si="16"/>
        <v>04|Sunijtra Siritip|20260101</v>
      </c>
      <c r="BN78" s="17" t="str">
        <f t="shared" si="17"/>
        <v>04|Sunijtra Siritip|20251229</v>
      </c>
      <c r="BO78" s="17">
        <f t="shared" si="18"/>
        <v>0</v>
      </c>
      <c r="BP78" s="24" t="s">
        <v>340</v>
      </c>
      <c r="BQ78" s="13"/>
      <c r="BR78" s="25" t="str">
        <f t="shared" si="19"/>
        <v>Jan-Feb 2026</v>
      </c>
    </row>
    <row r="79" spans="1:70" s="18" customFormat="1" ht="15" customHeight="1">
      <c r="A79" s="14">
        <v>46041.552727372677</v>
      </c>
      <c r="B79" s="15" t="s">
        <v>78</v>
      </c>
      <c r="C79" s="14">
        <v>46023</v>
      </c>
      <c r="D79" s="16"/>
      <c r="E79" s="16"/>
      <c r="F79" s="17" t="s">
        <v>341</v>
      </c>
      <c r="G79" s="13" t="s">
        <v>342</v>
      </c>
      <c r="H79" s="18">
        <v>10</v>
      </c>
      <c r="J79" s="18">
        <v>24</v>
      </c>
      <c r="L79" s="18">
        <v>16</v>
      </c>
      <c r="N79" s="18">
        <v>10</v>
      </c>
      <c r="P79" s="18">
        <v>18</v>
      </c>
      <c r="R79" s="18">
        <v>7</v>
      </c>
      <c r="T79" s="17"/>
      <c r="U79" s="19"/>
      <c r="V79" s="17"/>
      <c r="W79" s="19"/>
      <c r="X79" s="17"/>
      <c r="Y79" s="19"/>
      <c r="Z79" s="17"/>
      <c r="AA79" s="19"/>
      <c r="AB79" s="17"/>
      <c r="AC79" s="20"/>
      <c r="AD79" s="17"/>
      <c r="AE79" s="20"/>
      <c r="AF79" s="17"/>
      <c r="AG79" s="21"/>
      <c r="AH79" s="17"/>
      <c r="AI79" s="19"/>
      <c r="AJ79" s="17"/>
      <c r="AK79" s="19"/>
      <c r="AL79" s="17"/>
      <c r="AM79" s="21"/>
      <c r="AN79" s="17"/>
      <c r="AO79" s="19"/>
      <c r="AP79" s="17"/>
      <c r="AQ79" s="19"/>
      <c r="AR79" s="17"/>
      <c r="AS79" s="19"/>
      <c r="AT79" s="17"/>
      <c r="AU79" s="21"/>
      <c r="AV79" s="17"/>
      <c r="AW79" s="21"/>
      <c r="AX79" s="17"/>
      <c r="AY79" s="21"/>
      <c r="AZ79" s="17"/>
      <c r="BA79" s="21"/>
      <c r="BB79" s="17" t="s">
        <v>72</v>
      </c>
      <c r="BC79" s="21" t="s">
        <v>343</v>
      </c>
      <c r="BD79" s="17"/>
      <c r="BE79" s="22">
        <f t="shared" si="10"/>
        <v>85</v>
      </c>
      <c r="BF79" s="14">
        <f t="shared" si="11"/>
        <v>46023</v>
      </c>
      <c r="BG79" s="23" t="str">
        <f t="shared" si="12"/>
        <v>January 2026</v>
      </c>
      <c r="BH79" s="14">
        <f t="shared" si="13"/>
        <v>46020</v>
      </c>
      <c r="BI79" s="14">
        <f t="shared" si="14"/>
        <v>46026</v>
      </c>
      <c r="BJ79" s="17" t="str">
        <f t="shared" si="15"/>
        <v>29/12/2025 - 04/01/2026</v>
      </c>
      <c r="BK79" s="17">
        <f>IF($B79="","",COUNTIFS($B$5:$B79,$B79,$BF$5:$BF79,$BF79))</f>
        <v>5</v>
      </c>
      <c r="BL79" s="17">
        <f>IF($B79="","",COUNTIFS($B$5:$B79,$B79,$BH$5:$BH79,$BH79))</f>
        <v>5</v>
      </c>
      <c r="BM79" s="17" t="str">
        <f t="shared" si="16"/>
        <v>05|Sunijtra Siritip|20260101</v>
      </c>
      <c r="BN79" s="17" t="str">
        <f t="shared" si="17"/>
        <v>05|Sunijtra Siritip|20251229</v>
      </c>
      <c r="BO79" s="17">
        <f t="shared" si="18"/>
        <v>0</v>
      </c>
      <c r="BP79" s="24" t="s">
        <v>344</v>
      </c>
      <c r="BQ79" s="13"/>
      <c r="BR79" s="25" t="str">
        <f t="shared" si="19"/>
        <v>Jan-Feb 2026</v>
      </c>
    </row>
    <row r="80" spans="1:70" s="18" customFormat="1" ht="15" customHeight="1">
      <c r="A80" s="14">
        <v>46045.303153761583</v>
      </c>
      <c r="B80" s="15" t="s">
        <v>78</v>
      </c>
      <c r="C80" s="14">
        <v>46023</v>
      </c>
      <c r="D80" s="16"/>
      <c r="E80" s="16"/>
      <c r="F80" s="17" t="s">
        <v>345</v>
      </c>
      <c r="G80" s="13" t="s">
        <v>346</v>
      </c>
      <c r="H80" s="18">
        <v>10</v>
      </c>
      <c r="J80" s="18">
        <v>23</v>
      </c>
      <c r="L80" s="18">
        <v>17</v>
      </c>
      <c r="N80" s="18">
        <v>10</v>
      </c>
      <c r="P80" s="18">
        <v>17</v>
      </c>
      <c r="R80" s="18">
        <v>8</v>
      </c>
      <c r="T80" s="17"/>
      <c r="U80" s="19"/>
      <c r="V80" s="17"/>
      <c r="W80" s="19"/>
      <c r="X80" s="17"/>
      <c r="Y80" s="19"/>
      <c r="Z80" s="17"/>
      <c r="AA80" s="19"/>
      <c r="AB80" s="17"/>
      <c r="AC80" s="20"/>
      <c r="AD80" s="17"/>
      <c r="AE80" s="20"/>
      <c r="AF80" s="17"/>
      <c r="AG80" s="21"/>
      <c r="AH80" s="17"/>
      <c r="AI80" s="19"/>
      <c r="AJ80" s="17"/>
      <c r="AK80" s="19"/>
      <c r="AL80" s="17"/>
      <c r="AM80" s="21"/>
      <c r="AN80" s="17"/>
      <c r="AO80" s="19"/>
      <c r="AP80" s="17"/>
      <c r="AQ80" s="19"/>
      <c r="AR80" s="17"/>
      <c r="AS80" s="19"/>
      <c r="AT80" s="17"/>
      <c r="AU80" s="21"/>
      <c r="AV80" s="17"/>
      <c r="AW80" s="21"/>
      <c r="AX80" s="17"/>
      <c r="AY80" s="21"/>
      <c r="AZ80" s="17"/>
      <c r="BA80" s="21"/>
      <c r="BB80" s="17" t="s">
        <v>72</v>
      </c>
      <c r="BC80" s="21" t="s">
        <v>187</v>
      </c>
      <c r="BD80" s="17"/>
      <c r="BE80" s="22">
        <f t="shared" si="10"/>
        <v>85</v>
      </c>
      <c r="BF80" s="14">
        <f t="shared" si="11"/>
        <v>46023</v>
      </c>
      <c r="BG80" s="23" t="str">
        <f t="shared" si="12"/>
        <v>January 2026</v>
      </c>
      <c r="BH80" s="14">
        <f t="shared" si="13"/>
        <v>46020</v>
      </c>
      <c r="BI80" s="14">
        <f t="shared" si="14"/>
        <v>46026</v>
      </c>
      <c r="BJ80" s="17" t="str">
        <f t="shared" si="15"/>
        <v>29/12/2025 - 04/01/2026</v>
      </c>
      <c r="BK80" s="17">
        <f>IF($B80="","",COUNTIFS($B$5:$B80,$B80,$BF$5:$BF80,$BF80))</f>
        <v>6</v>
      </c>
      <c r="BL80" s="17">
        <f>IF($B80="","",COUNTIFS($B$5:$B80,$B80,$BH$5:$BH80,$BH80))</f>
        <v>6</v>
      </c>
      <c r="BM80" s="17" t="str">
        <f t="shared" si="16"/>
        <v>06|Sunijtra Siritip|20260101</v>
      </c>
      <c r="BN80" s="17" t="str">
        <f t="shared" si="17"/>
        <v>06|Sunijtra Siritip|20251229</v>
      </c>
      <c r="BO80" s="17">
        <f t="shared" si="18"/>
        <v>0</v>
      </c>
      <c r="BP80" s="24" t="s">
        <v>347</v>
      </c>
      <c r="BQ80" s="13"/>
      <c r="BR80" s="25" t="str">
        <f t="shared" si="19"/>
        <v>Jan-Feb 2026</v>
      </c>
    </row>
    <row r="81" spans="1:70" s="18" customFormat="1" ht="15" customHeight="1">
      <c r="A81" s="14">
        <v>46045.304648437501</v>
      </c>
      <c r="B81" s="15" t="s">
        <v>78</v>
      </c>
      <c r="C81" s="14">
        <v>46023</v>
      </c>
      <c r="D81" s="16"/>
      <c r="E81" s="16"/>
      <c r="F81" s="17" t="s">
        <v>348</v>
      </c>
      <c r="G81" s="13" t="s">
        <v>349</v>
      </c>
      <c r="H81" s="18">
        <v>10</v>
      </c>
      <c r="J81" s="18">
        <v>28</v>
      </c>
      <c r="L81" s="18">
        <v>18</v>
      </c>
      <c r="N81" s="18">
        <v>9</v>
      </c>
      <c r="P81" s="18">
        <v>17</v>
      </c>
      <c r="R81" s="18">
        <v>8</v>
      </c>
      <c r="T81" s="17"/>
      <c r="U81" s="19"/>
      <c r="V81" s="17"/>
      <c r="W81" s="19"/>
      <c r="X81" s="17"/>
      <c r="Y81" s="19"/>
      <c r="Z81" s="17"/>
      <c r="AA81" s="19"/>
      <c r="AB81" s="17"/>
      <c r="AC81" s="20"/>
      <c r="AD81" s="17"/>
      <c r="AE81" s="20"/>
      <c r="AF81" s="17"/>
      <c r="AG81" s="21"/>
      <c r="AH81" s="17"/>
      <c r="AI81" s="19"/>
      <c r="AJ81" s="17"/>
      <c r="AK81" s="19"/>
      <c r="AL81" s="17"/>
      <c r="AM81" s="21"/>
      <c r="AN81" s="17"/>
      <c r="AO81" s="19"/>
      <c r="AP81" s="17"/>
      <c r="AQ81" s="19"/>
      <c r="AR81" s="17"/>
      <c r="AS81" s="19"/>
      <c r="AT81" s="17"/>
      <c r="AU81" s="21"/>
      <c r="AV81" s="17"/>
      <c r="AW81" s="21"/>
      <c r="AX81" s="17"/>
      <c r="AY81" s="21"/>
      <c r="AZ81" s="17"/>
      <c r="BA81" s="21"/>
      <c r="BB81" s="17" t="s">
        <v>72</v>
      </c>
      <c r="BC81" s="21" t="s">
        <v>183</v>
      </c>
      <c r="BD81" s="17"/>
      <c r="BE81" s="22">
        <f t="shared" si="10"/>
        <v>90</v>
      </c>
      <c r="BF81" s="14">
        <f t="shared" si="11"/>
        <v>46023</v>
      </c>
      <c r="BG81" s="23" t="str">
        <f t="shared" si="12"/>
        <v>January 2026</v>
      </c>
      <c r="BH81" s="14">
        <f t="shared" si="13"/>
        <v>46020</v>
      </c>
      <c r="BI81" s="14">
        <f t="shared" si="14"/>
        <v>46026</v>
      </c>
      <c r="BJ81" s="17" t="str">
        <f t="shared" si="15"/>
        <v>29/12/2025 - 04/01/2026</v>
      </c>
      <c r="BK81" s="17">
        <f>IF($B81="","",COUNTIFS($B$5:$B81,$B81,$BF$5:$BF81,$BF81))</f>
        <v>7</v>
      </c>
      <c r="BL81" s="17">
        <f>IF($B81="","",COUNTIFS($B$5:$B81,$B81,$BH$5:$BH81,$BH81))</f>
        <v>7</v>
      </c>
      <c r="BM81" s="17" t="str">
        <f t="shared" si="16"/>
        <v>07|Sunijtra Siritip|20260101</v>
      </c>
      <c r="BN81" s="17" t="str">
        <f t="shared" si="17"/>
        <v>07|Sunijtra Siritip|20251229</v>
      </c>
      <c r="BO81" s="17">
        <f t="shared" si="18"/>
        <v>0</v>
      </c>
      <c r="BP81" s="24" t="s">
        <v>350</v>
      </c>
      <c r="BQ81" s="13"/>
      <c r="BR81" s="25" t="str">
        <f t="shared" si="19"/>
        <v>Jan-Feb 2026</v>
      </c>
    </row>
    <row r="82" spans="1:70" s="18" customFormat="1" ht="15" customHeight="1">
      <c r="A82" s="14">
        <v>46045.328256875</v>
      </c>
      <c r="B82" s="15" t="s">
        <v>78</v>
      </c>
      <c r="C82" s="14">
        <v>46023</v>
      </c>
      <c r="D82" s="16"/>
      <c r="E82" s="16"/>
      <c r="F82" s="17" t="s">
        <v>351</v>
      </c>
      <c r="G82" s="13" t="s">
        <v>352</v>
      </c>
      <c r="H82" s="18">
        <v>10</v>
      </c>
      <c r="J82" s="18">
        <v>15</v>
      </c>
      <c r="L82" s="18">
        <v>10</v>
      </c>
      <c r="N82" s="18">
        <v>9</v>
      </c>
      <c r="P82" s="18">
        <v>15</v>
      </c>
      <c r="R82" s="18">
        <v>8</v>
      </c>
      <c r="T82" s="17"/>
      <c r="U82" s="19"/>
      <c r="V82" s="17"/>
      <c r="W82" s="19"/>
      <c r="X82" s="17"/>
      <c r="Y82" s="19"/>
      <c r="Z82" s="17"/>
      <c r="AA82" s="19"/>
      <c r="AB82" s="17"/>
      <c r="AC82" s="20"/>
      <c r="AD82" s="17"/>
      <c r="AE82" s="20"/>
      <c r="AF82" s="17"/>
      <c r="AG82" s="21"/>
      <c r="AH82" s="17"/>
      <c r="AI82" s="19"/>
      <c r="AJ82" s="17"/>
      <c r="AK82" s="19"/>
      <c r="AL82" s="17"/>
      <c r="AM82" s="21"/>
      <c r="AN82" s="17"/>
      <c r="AO82" s="19"/>
      <c r="AP82" s="17"/>
      <c r="AQ82" s="19"/>
      <c r="AR82" s="17"/>
      <c r="AS82" s="19"/>
      <c r="AT82" s="17"/>
      <c r="AU82" s="21"/>
      <c r="AV82" s="17"/>
      <c r="AW82" s="21"/>
      <c r="AX82" s="17"/>
      <c r="AY82" s="21"/>
      <c r="AZ82" s="17"/>
      <c r="BA82" s="21"/>
      <c r="BB82" s="17" t="s">
        <v>72</v>
      </c>
      <c r="BC82" s="21" t="s">
        <v>175</v>
      </c>
      <c r="BD82" s="17"/>
      <c r="BE82" s="22">
        <f t="shared" si="10"/>
        <v>67</v>
      </c>
      <c r="BF82" s="14">
        <f t="shared" si="11"/>
        <v>46023</v>
      </c>
      <c r="BG82" s="23" t="str">
        <f t="shared" si="12"/>
        <v>January 2026</v>
      </c>
      <c r="BH82" s="14">
        <f t="shared" si="13"/>
        <v>46020</v>
      </c>
      <c r="BI82" s="14">
        <f t="shared" si="14"/>
        <v>46026</v>
      </c>
      <c r="BJ82" s="17" t="str">
        <f t="shared" si="15"/>
        <v>29/12/2025 - 04/01/2026</v>
      </c>
      <c r="BK82" s="17">
        <f>IF($B82="","",COUNTIFS($B$5:$B82,$B82,$BF$5:$BF82,$BF82))</f>
        <v>8</v>
      </c>
      <c r="BL82" s="17">
        <f>IF($B82="","",COUNTIFS($B$5:$B82,$B82,$BH$5:$BH82,$BH82))</f>
        <v>8</v>
      </c>
      <c r="BM82" s="17" t="str">
        <f t="shared" si="16"/>
        <v>08|Sunijtra Siritip|20260101</v>
      </c>
      <c r="BN82" s="17" t="str">
        <f t="shared" si="17"/>
        <v>08|Sunijtra Siritip|20251229</v>
      </c>
      <c r="BO82" s="17">
        <f t="shared" si="18"/>
        <v>0</v>
      </c>
      <c r="BP82" s="24" t="s">
        <v>353</v>
      </c>
      <c r="BQ82" s="13"/>
      <c r="BR82" s="25" t="str">
        <f t="shared" si="19"/>
        <v>Jan-Feb 2026</v>
      </c>
    </row>
    <row r="83" spans="1:70" s="18" customFormat="1" ht="15" customHeight="1">
      <c r="A83" s="14">
        <v>46048.309011458332</v>
      </c>
      <c r="B83" s="15" t="s">
        <v>78</v>
      </c>
      <c r="C83" s="14">
        <v>46023</v>
      </c>
      <c r="D83" s="16"/>
      <c r="E83" s="16"/>
      <c r="F83" s="17" t="s">
        <v>354</v>
      </c>
      <c r="G83" s="13" t="s">
        <v>355</v>
      </c>
      <c r="H83" s="18">
        <v>10</v>
      </c>
      <c r="J83" s="18">
        <v>20</v>
      </c>
      <c r="L83" s="18">
        <v>15</v>
      </c>
      <c r="N83" s="18">
        <v>10</v>
      </c>
      <c r="P83" s="18">
        <v>18</v>
      </c>
      <c r="R83" s="18">
        <v>5</v>
      </c>
      <c r="T83" s="17"/>
      <c r="U83" s="19"/>
      <c r="V83" s="17"/>
      <c r="W83" s="19"/>
      <c r="X83" s="17"/>
      <c r="Y83" s="19"/>
      <c r="Z83" s="17"/>
      <c r="AA83" s="19"/>
      <c r="AB83" s="17"/>
      <c r="AC83" s="20"/>
      <c r="AD83" s="17"/>
      <c r="AE83" s="20"/>
      <c r="AF83" s="17"/>
      <c r="AG83" s="21"/>
      <c r="AH83" s="17"/>
      <c r="AI83" s="19"/>
      <c r="AJ83" s="17"/>
      <c r="AK83" s="19"/>
      <c r="AL83" s="17"/>
      <c r="AM83" s="21"/>
      <c r="AN83" s="17"/>
      <c r="AO83" s="19"/>
      <c r="AP83" s="17"/>
      <c r="AQ83" s="19"/>
      <c r="AR83" s="17"/>
      <c r="AS83" s="19"/>
      <c r="AT83" s="17"/>
      <c r="AU83" s="21"/>
      <c r="AV83" s="17"/>
      <c r="AW83" s="21"/>
      <c r="AX83" s="17"/>
      <c r="AY83" s="21"/>
      <c r="AZ83" s="17"/>
      <c r="BA83" s="21"/>
      <c r="BB83" s="17" t="s">
        <v>72</v>
      </c>
      <c r="BC83" s="21" t="s">
        <v>356</v>
      </c>
      <c r="BD83" s="17"/>
      <c r="BE83" s="22">
        <f t="shared" si="10"/>
        <v>78</v>
      </c>
      <c r="BF83" s="14">
        <f t="shared" si="11"/>
        <v>46023</v>
      </c>
      <c r="BG83" s="23" t="str">
        <f t="shared" si="12"/>
        <v>January 2026</v>
      </c>
      <c r="BH83" s="14">
        <f t="shared" si="13"/>
        <v>46020</v>
      </c>
      <c r="BI83" s="14">
        <f t="shared" si="14"/>
        <v>46026</v>
      </c>
      <c r="BJ83" s="17" t="str">
        <f t="shared" si="15"/>
        <v>29/12/2025 - 04/01/2026</v>
      </c>
      <c r="BK83" s="17">
        <f>IF($B83="","",COUNTIFS($B$5:$B83,$B83,$BF$5:$BF83,$BF83))</f>
        <v>9</v>
      </c>
      <c r="BL83" s="17">
        <f>IF($B83="","",COUNTIFS($B$5:$B83,$B83,$BH$5:$BH83,$BH83))</f>
        <v>9</v>
      </c>
      <c r="BM83" s="17" t="str">
        <f t="shared" si="16"/>
        <v>09|Sunijtra Siritip|20260101</v>
      </c>
      <c r="BN83" s="17" t="str">
        <f t="shared" si="17"/>
        <v>09|Sunijtra Siritip|20251229</v>
      </c>
      <c r="BO83" s="17">
        <f t="shared" si="18"/>
        <v>0</v>
      </c>
      <c r="BP83" s="24" t="s">
        <v>357</v>
      </c>
      <c r="BQ83" s="13"/>
      <c r="BR83" s="25" t="str">
        <f t="shared" si="19"/>
        <v>Jan-Feb 2026</v>
      </c>
    </row>
    <row r="84" spans="1:70" s="18" customFormat="1" ht="15" customHeight="1">
      <c r="A84" s="14">
        <v>46049.346426643518</v>
      </c>
      <c r="B84" s="15" t="s">
        <v>78</v>
      </c>
      <c r="C84" s="14">
        <v>46023</v>
      </c>
      <c r="D84" s="16"/>
      <c r="E84" s="16"/>
      <c r="F84" s="17" t="s">
        <v>358</v>
      </c>
      <c r="G84" s="13" t="s">
        <v>359</v>
      </c>
      <c r="H84" s="18">
        <v>10</v>
      </c>
      <c r="J84" s="18">
        <v>20</v>
      </c>
      <c r="L84" s="18">
        <v>0</v>
      </c>
      <c r="N84" s="18">
        <v>10</v>
      </c>
      <c r="P84" s="18">
        <v>15</v>
      </c>
      <c r="R84" s="18">
        <v>7</v>
      </c>
      <c r="T84" s="17"/>
      <c r="U84" s="19"/>
      <c r="V84" s="17"/>
      <c r="W84" s="19"/>
      <c r="X84" s="17"/>
      <c r="Y84" s="19"/>
      <c r="Z84" s="17"/>
      <c r="AA84" s="19"/>
      <c r="AB84" s="17"/>
      <c r="AC84" s="20"/>
      <c r="AD84" s="17"/>
      <c r="AE84" s="20"/>
      <c r="AF84" s="17"/>
      <c r="AG84" s="21"/>
      <c r="AH84" s="17"/>
      <c r="AI84" s="19"/>
      <c r="AJ84" s="17"/>
      <c r="AK84" s="19"/>
      <c r="AL84" s="17"/>
      <c r="AM84" s="21"/>
      <c r="AN84" s="17"/>
      <c r="AO84" s="19"/>
      <c r="AP84" s="17"/>
      <c r="AQ84" s="19"/>
      <c r="AR84" s="17"/>
      <c r="AS84" s="19"/>
      <c r="AT84" s="17"/>
      <c r="AU84" s="21"/>
      <c r="AV84" s="17"/>
      <c r="AW84" s="21"/>
      <c r="AX84" s="17"/>
      <c r="AY84" s="21"/>
      <c r="AZ84" s="17"/>
      <c r="BA84" s="21"/>
      <c r="BB84" s="17" t="s">
        <v>72</v>
      </c>
      <c r="BC84" s="21" t="s">
        <v>360</v>
      </c>
      <c r="BD84" s="17"/>
      <c r="BE84" s="22">
        <f t="shared" si="10"/>
        <v>62</v>
      </c>
      <c r="BF84" s="14">
        <f t="shared" si="11"/>
        <v>46023</v>
      </c>
      <c r="BG84" s="23" t="str">
        <f t="shared" si="12"/>
        <v>January 2026</v>
      </c>
      <c r="BH84" s="14">
        <f t="shared" si="13"/>
        <v>46020</v>
      </c>
      <c r="BI84" s="14">
        <f t="shared" si="14"/>
        <v>46026</v>
      </c>
      <c r="BJ84" s="17" t="str">
        <f t="shared" si="15"/>
        <v>29/12/2025 - 04/01/2026</v>
      </c>
      <c r="BK84" s="17">
        <f>IF($B84="","",COUNTIFS($B$5:$B84,$B84,$BF$5:$BF84,$BF84))</f>
        <v>10</v>
      </c>
      <c r="BL84" s="17">
        <f>IF($B84="","",COUNTIFS($B$5:$B84,$B84,$BH$5:$BH84,$BH84))</f>
        <v>10</v>
      </c>
      <c r="BM84" s="17" t="str">
        <f t="shared" si="16"/>
        <v>10|Sunijtra Siritip|20260101</v>
      </c>
      <c r="BN84" s="17" t="str">
        <f t="shared" si="17"/>
        <v>10|Sunijtra Siritip|20251229</v>
      </c>
      <c r="BO84" s="17">
        <f t="shared" si="18"/>
        <v>0</v>
      </c>
      <c r="BP84" s="24" t="s">
        <v>361</v>
      </c>
      <c r="BQ84" s="13"/>
      <c r="BR84" s="25" t="str">
        <f t="shared" si="19"/>
        <v>Jan-Feb 2026</v>
      </c>
    </row>
    <row r="85" spans="1:70" s="18" customFormat="1" ht="15" customHeight="1">
      <c r="A85" s="14">
        <v>46036.133554201391</v>
      </c>
      <c r="B85" s="15" t="s">
        <v>76</v>
      </c>
      <c r="C85" s="14">
        <v>46023</v>
      </c>
      <c r="D85" s="16"/>
      <c r="E85" s="16"/>
      <c r="F85" s="17" t="s">
        <v>362</v>
      </c>
      <c r="G85" s="13" t="s">
        <v>363</v>
      </c>
      <c r="H85" s="18">
        <v>5</v>
      </c>
      <c r="J85" s="18">
        <v>25</v>
      </c>
      <c r="L85" s="18">
        <v>20</v>
      </c>
      <c r="N85" s="18">
        <v>10</v>
      </c>
      <c r="P85" s="18">
        <v>18</v>
      </c>
      <c r="R85" s="18">
        <v>0</v>
      </c>
      <c r="T85" s="17"/>
      <c r="U85" s="19"/>
      <c r="V85" s="17"/>
      <c r="W85" s="19"/>
      <c r="X85" s="17"/>
      <c r="Y85" s="19"/>
      <c r="Z85" s="17"/>
      <c r="AA85" s="19"/>
      <c r="AB85" s="17"/>
      <c r="AC85" s="20"/>
      <c r="AD85" s="17"/>
      <c r="AE85" s="20"/>
      <c r="AF85" s="17"/>
      <c r="AG85" s="21"/>
      <c r="AH85" s="17"/>
      <c r="AI85" s="19"/>
      <c r="AJ85" s="17"/>
      <c r="AK85" s="19"/>
      <c r="AL85" s="17"/>
      <c r="AM85" s="21"/>
      <c r="AN85" s="17"/>
      <c r="AO85" s="19"/>
      <c r="AP85" s="17"/>
      <c r="AQ85" s="19"/>
      <c r="AR85" s="17"/>
      <c r="AS85" s="19"/>
      <c r="AT85" s="17"/>
      <c r="AU85" s="21"/>
      <c r="AV85" s="17"/>
      <c r="AW85" s="21"/>
      <c r="AX85" s="17"/>
      <c r="AY85" s="21"/>
      <c r="AZ85" s="17"/>
      <c r="BA85" s="21"/>
      <c r="BB85" s="17" t="s">
        <v>72</v>
      </c>
      <c r="BC85" s="21" t="s">
        <v>333</v>
      </c>
      <c r="BD85" s="17"/>
      <c r="BE85" s="22">
        <f t="shared" si="10"/>
        <v>78</v>
      </c>
      <c r="BF85" s="14">
        <f t="shared" si="11"/>
        <v>46023</v>
      </c>
      <c r="BG85" s="23" t="str">
        <f t="shared" si="12"/>
        <v>January 2026</v>
      </c>
      <c r="BH85" s="14">
        <f t="shared" si="13"/>
        <v>46020</v>
      </c>
      <c r="BI85" s="14">
        <f t="shared" si="14"/>
        <v>46026</v>
      </c>
      <c r="BJ85" s="17" t="str">
        <f t="shared" si="15"/>
        <v>29/12/2025 - 04/01/2026</v>
      </c>
      <c r="BK85" s="17">
        <f>IF($B85="","",COUNTIFS($B$5:$B85,$B85,$BF$5:$BF85,$BF85))</f>
        <v>1</v>
      </c>
      <c r="BL85" s="17">
        <f>IF($B85="","",COUNTIFS($B$5:$B85,$B85,$BH$5:$BH85,$BH85))</f>
        <v>1</v>
      </c>
      <c r="BM85" s="17" t="str">
        <f t="shared" si="16"/>
        <v>01|Suphitcha Keawliam|20260101</v>
      </c>
      <c r="BN85" s="17" t="str">
        <f t="shared" si="17"/>
        <v>01|Suphitcha Keawliam|20251229</v>
      </c>
      <c r="BO85" s="17">
        <f t="shared" si="18"/>
        <v>0</v>
      </c>
      <c r="BP85" s="24" t="s">
        <v>364</v>
      </c>
      <c r="BQ85" s="13"/>
      <c r="BR85" s="25" t="str">
        <f t="shared" si="19"/>
        <v>Jan-Feb 2026</v>
      </c>
    </row>
    <row r="86" spans="1:70" s="18" customFormat="1" ht="15" customHeight="1">
      <c r="A86" s="14">
        <v>46036.137775034716</v>
      </c>
      <c r="B86" s="15" t="s">
        <v>76</v>
      </c>
      <c r="C86" s="14">
        <v>46023</v>
      </c>
      <c r="D86" s="16"/>
      <c r="E86" s="16"/>
      <c r="F86" s="17" t="s">
        <v>365</v>
      </c>
      <c r="G86" s="13" t="s">
        <v>366</v>
      </c>
      <c r="H86" s="18">
        <v>5</v>
      </c>
      <c r="J86" s="18">
        <v>10</v>
      </c>
      <c r="L86" s="18">
        <v>5</v>
      </c>
      <c r="N86" s="18">
        <v>10</v>
      </c>
      <c r="P86" s="18">
        <v>20</v>
      </c>
      <c r="R86" s="18">
        <v>0</v>
      </c>
      <c r="T86" s="17"/>
      <c r="U86" s="19"/>
      <c r="V86" s="17"/>
      <c r="W86" s="19"/>
      <c r="X86" s="17"/>
      <c r="Y86" s="19"/>
      <c r="Z86" s="17"/>
      <c r="AA86" s="19"/>
      <c r="AB86" s="17"/>
      <c r="AC86" s="20"/>
      <c r="AD86" s="17"/>
      <c r="AE86" s="20"/>
      <c r="AF86" s="17"/>
      <c r="AG86" s="21"/>
      <c r="AH86" s="17"/>
      <c r="AI86" s="19"/>
      <c r="AJ86" s="17"/>
      <c r="AK86" s="19"/>
      <c r="AL86" s="17"/>
      <c r="AM86" s="21"/>
      <c r="AN86" s="17"/>
      <c r="AO86" s="19"/>
      <c r="AP86" s="17"/>
      <c r="AQ86" s="19"/>
      <c r="AR86" s="17"/>
      <c r="AS86" s="19"/>
      <c r="AT86" s="17"/>
      <c r="AU86" s="21"/>
      <c r="AV86" s="17"/>
      <c r="AW86" s="21"/>
      <c r="AX86" s="17"/>
      <c r="AY86" s="21"/>
      <c r="AZ86" s="17"/>
      <c r="BA86" s="21"/>
      <c r="BB86" s="17" t="s">
        <v>72</v>
      </c>
      <c r="BC86" s="21" t="s">
        <v>367</v>
      </c>
      <c r="BD86" s="17"/>
      <c r="BE86" s="22">
        <f t="shared" si="10"/>
        <v>50</v>
      </c>
      <c r="BF86" s="14">
        <f t="shared" si="11"/>
        <v>46023</v>
      </c>
      <c r="BG86" s="23" t="str">
        <f t="shared" si="12"/>
        <v>January 2026</v>
      </c>
      <c r="BH86" s="14">
        <f t="shared" si="13"/>
        <v>46020</v>
      </c>
      <c r="BI86" s="14">
        <f t="shared" si="14"/>
        <v>46026</v>
      </c>
      <c r="BJ86" s="17" t="str">
        <f t="shared" si="15"/>
        <v>29/12/2025 - 04/01/2026</v>
      </c>
      <c r="BK86" s="17">
        <f>IF($B86="","",COUNTIFS($B$5:$B86,$B86,$BF$5:$BF86,$BF86))</f>
        <v>2</v>
      </c>
      <c r="BL86" s="17">
        <f>IF($B86="","",COUNTIFS($B$5:$B86,$B86,$BH$5:$BH86,$BH86))</f>
        <v>2</v>
      </c>
      <c r="BM86" s="17" t="str">
        <f t="shared" si="16"/>
        <v>02|Suphitcha Keawliam|20260101</v>
      </c>
      <c r="BN86" s="17" t="str">
        <f t="shared" si="17"/>
        <v>02|Suphitcha Keawliam|20251229</v>
      </c>
      <c r="BO86" s="17">
        <f t="shared" si="18"/>
        <v>0</v>
      </c>
      <c r="BP86" s="24" t="s">
        <v>368</v>
      </c>
      <c r="BQ86" s="13"/>
      <c r="BR86" s="25" t="str">
        <f t="shared" si="19"/>
        <v>Jan-Feb 2026</v>
      </c>
    </row>
    <row r="87" spans="1:70" s="18" customFormat="1" ht="15" customHeight="1">
      <c r="A87" s="14">
        <v>46036.57638017361</v>
      </c>
      <c r="B87" s="15" t="s">
        <v>76</v>
      </c>
      <c r="C87" s="14">
        <v>46023</v>
      </c>
      <c r="D87" s="16"/>
      <c r="E87" s="16"/>
      <c r="F87" s="17" t="s">
        <v>369</v>
      </c>
      <c r="G87" s="13" t="s">
        <v>80</v>
      </c>
      <c r="H87" s="18">
        <v>10</v>
      </c>
      <c r="J87" s="18">
        <v>15</v>
      </c>
      <c r="L87" s="18">
        <v>10</v>
      </c>
      <c r="N87" s="18">
        <v>8</v>
      </c>
      <c r="P87" s="18">
        <v>17</v>
      </c>
      <c r="R87" s="18">
        <v>10</v>
      </c>
      <c r="T87" s="17"/>
      <c r="U87" s="19"/>
      <c r="V87" s="17"/>
      <c r="W87" s="19"/>
      <c r="X87" s="17"/>
      <c r="Y87" s="19"/>
      <c r="Z87" s="17"/>
      <c r="AA87" s="19"/>
      <c r="AB87" s="17"/>
      <c r="AC87" s="20"/>
      <c r="AD87" s="17"/>
      <c r="AE87" s="20"/>
      <c r="AF87" s="17"/>
      <c r="AG87" s="21"/>
      <c r="AH87" s="17"/>
      <c r="AI87" s="19"/>
      <c r="AJ87" s="17"/>
      <c r="AK87" s="19"/>
      <c r="AL87" s="17"/>
      <c r="AM87" s="21"/>
      <c r="AN87" s="17"/>
      <c r="AO87" s="19"/>
      <c r="AP87" s="17"/>
      <c r="AQ87" s="19"/>
      <c r="AR87" s="17"/>
      <c r="AS87" s="19"/>
      <c r="AT87" s="17"/>
      <c r="AU87" s="21"/>
      <c r="AV87" s="17"/>
      <c r="AW87" s="21"/>
      <c r="AX87" s="17"/>
      <c r="AY87" s="21"/>
      <c r="AZ87" s="17"/>
      <c r="BA87" s="21"/>
      <c r="BB87" s="17" t="s">
        <v>72</v>
      </c>
      <c r="BC87" s="21" t="s">
        <v>370</v>
      </c>
      <c r="BD87" s="17"/>
      <c r="BE87" s="22">
        <f t="shared" si="10"/>
        <v>70</v>
      </c>
      <c r="BF87" s="14">
        <f t="shared" si="11"/>
        <v>46023</v>
      </c>
      <c r="BG87" s="23" t="str">
        <f t="shared" si="12"/>
        <v>January 2026</v>
      </c>
      <c r="BH87" s="14">
        <f t="shared" si="13"/>
        <v>46020</v>
      </c>
      <c r="BI87" s="14">
        <f t="shared" si="14"/>
        <v>46026</v>
      </c>
      <c r="BJ87" s="17" t="str">
        <f t="shared" si="15"/>
        <v>29/12/2025 - 04/01/2026</v>
      </c>
      <c r="BK87" s="17">
        <f>IF($B87="","",COUNTIFS($B$5:$B87,$B87,$BF$5:$BF87,$BF87))</f>
        <v>3</v>
      </c>
      <c r="BL87" s="17">
        <f>IF($B87="","",COUNTIFS($B$5:$B87,$B87,$BH$5:$BH87,$BH87))</f>
        <v>3</v>
      </c>
      <c r="BM87" s="17" t="str">
        <f t="shared" si="16"/>
        <v>03|Suphitcha Keawliam|20260101</v>
      </c>
      <c r="BN87" s="17" t="str">
        <f t="shared" si="17"/>
        <v>03|Suphitcha Keawliam|20251229</v>
      </c>
      <c r="BO87" s="17">
        <f t="shared" si="18"/>
        <v>0</v>
      </c>
      <c r="BP87" s="24" t="s">
        <v>371</v>
      </c>
      <c r="BQ87" s="13"/>
      <c r="BR87" s="25" t="str">
        <f t="shared" si="19"/>
        <v>Jan-Feb 2026</v>
      </c>
    </row>
    <row r="88" spans="1:70" s="18" customFormat="1" ht="15" customHeight="1">
      <c r="A88" s="14">
        <v>46036.585405486112</v>
      </c>
      <c r="B88" s="15" t="s">
        <v>76</v>
      </c>
      <c r="C88" s="14">
        <v>46023</v>
      </c>
      <c r="D88" s="16"/>
      <c r="E88" s="16"/>
      <c r="F88" s="17" t="s">
        <v>372</v>
      </c>
      <c r="G88" s="13" t="s">
        <v>373</v>
      </c>
      <c r="H88" s="18">
        <v>5</v>
      </c>
      <c r="J88" s="18">
        <v>15</v>
      </c>
      <c r="L88" s="18">
        <v>10</v>
      </c>
      <c r="N88" s="18">
        <v>10</v>
      </c>
      <c r="P88" s="18">
        <v>15</v>
      </c>
      <c r="R88" s="18">
        <v>0</v>
      </c>
      <c r="T88" s="17"/>
      <c r="U88" s="19"/>
      <c r="V88" s="17"/>
      <c r="W88" s="19"/>
      <c r="X88" s="17"/>
      <c r="Y88" s="19"/>
      <c r="Z88" s="17"/>
      <c r="AA88" s="19"/>
      <c r="AB88" s="17"/>
      <c r="AC88" s="20"/>
      <c r="AD88" s="17"/>
      <c r="AE88" s="20"/>
      <c r="AF88" s="17"/>
      <c r="AG88" s="21"/>
      <c r="AH88" s="17"/>
      <c r="AI88" s="19"/>
      <c r="AJ88" s="17"/>
      <c r="AK88" s="19"/>
      <c r="AL88" s="17"/>
      <c r="AM88" s="21"/>
      <c r="AN88" s="17"/>
      <c r="AO88" s="19"/>
      <c r="AP88" s="17"/>
      <c r="AQ88" s="19"/>
      <c r="AR88" s="17"/>
      <c r="AS88" s="19"/>
      <c r="AT88" s="17"/>
      <c r="AU88" s="21"/>
      <c r="AV88" s="17"/>
      <c r="AW88" s="21"/>
      <c r="AX88" s="17"/>
      <c r="AY88" s="21"/>
      <c r="AZ88" s="17"/>
      <c r="BA88" s="21"/>
      <c r="BB88" s="17" t="s">
        <v>72</v>
      </c>
      <c r="BC88" s="21" t="s">
        <v>374</v>
      </c>
      <c r="BD88" s="17"/>
      <c r="BE88" s="22">
        <f t="shared" si="10"/>
        <v>55</v>
      </c>
      <c r="BF88" s="14">
        <f t="shared" si="11"/>
        <v>46023</v>
      </c>
      <c r="BG88" s="23" t="str">
        <f t="shared" si="12"/>
        <v>January 2026</v>
      </c>
      <c r="BH88" s="14">
        <f t="shared" si="13"/>
        <v>46020</v>
      </c>
      <c r="BI88" s="14">
        <f t="shared" si="14"/>
        <v>46026</v>
      </c>
      <c r="BJ88" s="17" t="str">
        <f t="shared" si="15"/>
        <v>29/12/2025 - 04/01/2026</v>
      </c>
      <c r="BK88" s="17">
        <f>IF($B88="","",COUNTIFS($B$5:$B88,$B88,$BF$5:$BF88,$BF88))</f>
        <v>4</v>
      </c>
      <c r="BL88" s="17">
        <f>IF($B88="","",COUNTIFS($B$5:$B88,$B88,$BH$5:$BH88,$BH88))</f>
        <v>4</v>
      </c>
      <c r="BM88" s="17" t="str">
        <f t="shared" si="16"/>
        <v>04|Suphitcha Keawliam|20260101</v>
      </c>
      <c r="BN88" s="17" t="str">
        <f t="shared" si="17"/>
        <v>04|Suphitcha Keawliam|20251229</v>
      </c>
      <c r="BO88" s="17">
        <f t="shared" si="18"/>
        <v>0</v>
      </c>
      <c r="BP88" s="24" t="s">
        <v>375</v>
      </c>
      <c r="BQ88" s="13"/>
      <c r="BR88" s="25" t="str">
        <f t="shared" si="19"/>
        <v>Jan-Feb 2026</v>
      </c>
    </row>
    <row r="89" spans="1:70" s="18" customFormat="1" ht="15" customHeight="1">
      <c r="A89" s="14">
        <v>46036.599986018518</v>
      </c>
      <c r="B89" s="15" t="s">
        <v>76</v>
      </c>
      <c r="C89" s="14">
        <v>46023</v>
      </c>
      <c r="D89" s="16"/>
      <c r="E89" s="16"/>
      <c r="F89" s="17" t="s">
        <v>376</v>
      </c>
      <c r="G89" s="13" t="s">
        <v>377</v>
      </c>
      <c r="H89" s="18">
        <v>0</v>
      </c>
      <c r="J89" s="18">
        <v>30</v>
      </c>
      <c r="L89" s="18">
        <v>20</v>
      </c>
      <c r="N89" s="18">
        <v>10</v>
      </c>
      <c r="P89" s="18">
        <v>15</v>
      </c>
      <c r="R89" s="18">
        <v>0</v>
      </c>
      <c r="T89" s="17"/>
      <c r="U89" s="19"/>
      <c r="V89" s="17"/>
      <c r="W89" s="19"/>
      <c r="X89" s="17"/>
      <c r="Y89" s="19"/>
      <c r="Z89" s="17"/>
      <c r="AA89" s="19"/>
      <c r="AB89" s="17"/>
      <c r="AC89" s="20"/>
      <c r="AD89" s="17"/>
      <c r="AE89" s="20"/>
      <c r="AF89" s="17"/>
      <c r="AG89" s="21"/>
      <c r="AH89" s="17"/>
      <c r="AI89" s="19"/>
      <c r="AJ89" s="17"/>
      <c r="AK89" s="19"/>
      <c r="AL89" s="17"/>
      <c r="AM89" s="21"/>
      <c r="AN89" s="17"/>
      <c r="AO89" s="19"/>
      <c r="AP89" s="17"/>
      <c r="AQ89" s="19"/>
      <c r="AR89" s="17"/>
      <c r="AS89" s="19"/>
      <c r="AT89" s="17"/>
      <c r="AU89" s="21"/>
      <c r="AV89" s="17"/>
      <c r="AW89" s="21"/>
      <c r="AX89" s="17"/>
      <c r="AY89" s="21"/>
      <c r="AZ89" s="17"/>
      <c r="BA89" s="21"/>
      <c r="BB89" s="17" t="s">
        <v>72</v>
      </c>
      <c r="BC89" s="21" t="s">
        <v>378</v>
      </c>
      <c r="BD89" s="17"/>
      <c r="BE89" s="22">
        <f t="shared" si="10"/>
        <v>75</v>
      </c>
      <c r="BF89" s="14">
        <f t="shared" si="11"/>
        <v>46023</v>
      </c>
      <c r="BG89" s="23" t="str">
        <f t="shared" si="12"/>
        <v>January 2026</v>
      </c>
      <c r="BH89" s="14">
        <f t="shared" si="13"/>
        <v>46020</v>
      </c>
      <c r="BI89" s="14">
        <f t="shared" si="14"/>
        <v>46026</v>
      </c>
      <c r="BJ89" s="17" t="str">
        <f t="shared" si="15"/>
        <v>29/12/2025 - 04/01/2026</v>
      </c>
      <c r="BK89" s="17">
        <f>IF($B89="","",COUNTIFS($B$5:$B89,$B89,$BF$5:$BF89,$BF89))</f>
        <v>5</v>
      </c>
      <c r="BL89" s="17">
        <f>IF($B89="","",COUNTIFS($B$5:$B89,$B89,$BH$5:$BH89,$BH89))</f>
        <v>5</v>
      </c>
      <c r="BM89" s="17" t="str">
        <f t="shared" si="16"/>
        <v>05|Suphitcha Keawliam|20260101</v>
      </c>
      <c r="BN89" s="17" t="str">
        <f t="shared" si="17"/>
        <v>05|Suphitcha Keawliam|20251229</v>
      </c>
      <c r="BO89" s="17">
        <f t="shared" si="18"/>
        <v>0</v>
      </c>
      <c r="BP89" s="24" t="s">
        <v>379</v>
      </c>
      <c r="BQ89" s="13"/>
      <c r="BR89" s="25" t="str">
        <f t="shared" si="19"/>
        <v>Jan-Feb 2026</v>
      </c>
    </row>
    <row r="90" spans="1:70" s="18" customFormat="1" ht="15" customHeight="1">
      <c r="A90" s="14">
        <v>46037.648524432872</v>
      </c>
      <c r="B90" s="15" t="s">
        <v>76</v>
      </c>
      <c r="C90" s="14">
        <v>46023</v>
      </c>
      <c r="D90" s="16"/>
      <c r="E90" s="16"/>
      <c r="F90" s="17" t="s">
        <v>380</v>
      </c>
      <c r="G90" s="13" t="s">
        <v>381</v>
      </c>
      <c r="H90" s="18">
        <v>10</v>
      </c>
      <c r="J90" s="18">
        <v>10</v>
      </c>
      <c r="L90" s="18">
        <v>10</v>
      </c>
      <c r="N90" s="18">
        <v>10</v>
      </c>
      <c r="P90" s="18">
        <v>15</v>
      </c>
      <c r="R90" s="18">
        <v>7</v>
      </c>
      <c r="T90" s="17"/>
      <c r="U90" s="19"/>
      <c r="V90" s="17"/>
      <c r="W90" s="19"/>
      <c r="X90" s="17"/>
      <c r="Y90" s="19"/>
      <c r="Z90" s="17"/>
      <c r="AA90" s="19"/>
      <c r="AB90" s="17"/>
      <c r="AC90" s="20"/>
      <c r="AD90" s="17"/>
      <c r="AE90" s="20"/>
      <c r="AF90" s="17"/>
      <c r="AG90" s="21"/>
      <c r="AH90" s="17"/>
      <c r="AI90" s="19"/>
      <c r="AJ90" s="17"/>
      <c r="AK90" s="19"/>
      <c r="AL90" s="17"/>
      <c r="AM90" s="21"/>
      <c r="AN90" s="17"/>
      <c r="AO90" s="19"/>
      <c r="AP90" s="17"/>
      <c r="AQ90" s="19"/>
      <c r="AR90" s="17"/>
      <c r="AS90" s="19"/>
      <c r="AT90" s="17"/>
      <c r="AU90" s="21"/>
      <c r="AV90" s="17"/>
      <c r="AW90" s="21"/>
      <c r="AX90" s="17"/>
      <c r="AY90" s="21"/>
      <c r="AZ90" s="17"/>
      <c r="BA90" s="21"/>
      <c r="BB90" s="17" t="s">
        <v>72</v>
      </c>
      <c r="BC90" s="21" t="s">
        <v>382</v>
      </c>
      <c r="BD90" s="17"/>
      <c r="BE90" s="22">
        <f t="shared" si="10"/>
        <v>62</v>
      </c>
      <c r="BF90" s="14">
        <f t="shared" si="11"/>
        <v>46023</v>
      </c>
      <c r="BG90" s="23" t="str">
        <f t="shared" si="12"/>
        <v>January 2026</v>
      </c>
      <c r="BH90" s="14">
        <f t="shared" si="13"/>
        <v>46020</v>
      </c>
      <c r="BI90" s="14">
        <f t="shared" si="14"/>
        <v>46026</v>
      </c>
      <c r="BJ90" s="17" t="str">
        <f t="shared" si="15"/>
        <v>29/12/2025 - 04/01/2026</v>
      </c>
      <c r="BK90" s="17">
        <f>IF($B90="","",COUNTIFS($B$5:$B90,$B90,$BF$5:$BF90,$BF90))</f>
        <v>6</v>
      </c>
      <c r="BL90" s="17">
        <f>IF($B90="","",COUNTIFS($B$5:$B90,$B90,$BH$5:$BH90,$BH90))</f>
        <v>6</v>
      </c>
      <c r="BM90" s="17" t="str">
        <f t="shared" si="16"/>
        <v>06|Suphitcha Keawliam|20260101</v>
      </c>
      <c r="BN90" s="17" t="str">
        <f t="shared" si="17"/>
        <v>06|Suphitcha Keawliam|20251229</v>
      </c>
      <c r="BO90" s="17">
        <f t="shared" si="18"/>
        <v>0</v>
      </c>
      <c r="BP90" s="24" t="s">
        <v>383</v>
      </c>
      <c r="BQ90" s="13"/>
      <c r="BR90" s="25" t="str">
        <f t="shared" si="19"/>
        <v>Jan-Feb 2026</v>
      </c>
    </row>
    <row r="91" spans="1:70" s="18" customFormat="1" ht="15" customHeight="1">
      <c r="A91" s="14">
        <v>46039.600600601851</v>
      </c>
      <c r="B91" s="15" t="s">
        <v>76</v>
      </c>
      <c r="C91" s="14">
        <v>46023</v>
      </c>
      <c r="D91" s="16"/>
      <c r="E91" s="16"/>
      <c r="F91" s="17" t="s">
        <v>384</v>
      </c>
      <c r="G91" s="13" t="s">
        <v>385</v>
      </c>
      <c r="H91" s="18">
        <v>10</v>
      </c>
      <c r="J91" s="18">
        <v>10</v>
      </c>
      <c r="L91" s="18">
        <v>5</v>
      </c>
      <c r="N91" s="18">
        <v>10</v>
      </c>
      <c r="P91" s="18">
        <v>15</v>
      </c>
      <c r="R91" s="18">
        <v>0</v>
      </c>
      <c r="T91" s="17"/>
      <c r="U91" s="19"/>
      <c r="V91" s="17"/>
      <c r="W91" s="19"/>
      <c r="X91" s="17"/>
      <c r="Y91" s="19"/>
      <c r="Z91" s="17"/>
      <c r="AA91" s="19"/>
      <c r="AB91" s="17"/>
      <c r="AC91" s="20"/>
      <c r="AD91" s="17"/>
      <c r="AE91" s="20"/>
      <c r="AF91" s="17"/>
      <c r="AG91" s="21"/>
      <c r="AH91" s="17"/>
      <c r="AI91" s="19"/>
      <c r="AJ91" s="17"/>
      <c r="AK91" s="19"/>
      <c r="AL91" s="17"/>
      <c r="AM91" s="21"/>
      <c r="AN91" s="17"/>
      <c r="AO91" s="19"/>
      <c r="AP91" s="17"/>
      <c r="AQ91" s="19"/>
      <c r="AR91" s="17"/>
      <c r="AS91" s="19"/>
      <c r="AT91" s="17"/>
      <c r="AU91" s="21"/>
      <c r="AV91" s="17"/>
      <c r="AW91" s="21"/>
      <c r="AX91" s="17"/>
      <c r="AY91" s="21"/>
      <c r="AZ91" s="17"/>
      <c r="BA91" s="21"/>
      <c r="BB91" s="17" t="s">
        <v>72</v>
      </c>
      <c r="BC91" s="21" t="s">
        <v>386</v>
      </c>
      <c r="BD91" s="17"/>
      <c r="BE91" s="22">
        <f t="shared" si="10"/>
        <v>50</v>
      </c>
      <c r="BF91" s="14">
        <f t="shared" si="11"/>
        <v>46023</v>
      </c>
      <c r="BG91" s="23" t="str">
        <f t="shared" si="12"/>
        <v>January 2026</v>
      </c>
      <c r="BH91" s="14">
        <f t="shared" si="13"/>
        <v>46020</v>
      </c>
      <c r="BI91" s="14">
        <f t="shared" si="14"/>
        <v>46026</v>
      </c>
      <c r="BJ91" s="17" t="str">
        <f t="shared" si="15"/>
        <v>29/12/2025 - 04/01/2026</v>
      </c>
      <c r="BK91" s="17">
        <f>IF($B91="","",COUNTIFS($B$5:$B91,$B91,$BF$5:$BF91,$BF91))</f>
        <v>7</v>
      </c>
      <c r="BL91" s="17">
        <f>IF($B91="","",COUNTIFS($B$5:$B91,$B91,$BH$5:$BH91,$BH91))</f>
        <v>7</v>
      </c>
      <c r="BM91" s="17" t="str">
        <f t="shared" si="16"/>
        <v>07|Suphitcha Keawliam|20260101</v>
      </c>
      <c r="BN91" s="17" t="str">
        <f t="shared" si="17"/>
        <v>07|Suphitcha Keawliam|20251229</v>
      </c>
      <c r="BO91" s="17">
        <f t="shared" si="18"/>
        <v>0</v>
      </c>
      <c r="BP91" s="24" t="s">
        <v>387</v>
      </c>
      <c r="BQ91" s="13"/>
      <c r="BR91" s="25" t="str">
        <f t="shared" si="19"/>
        <v>Jan-Feb 2026</v>
      </c>
    </row>
    <row r="92" spans="1:70" s="18" customFormat="1" ht="15" customHeight="1">
      <c r="A92" s="14">
        <v>46040.193017962963</v>
      </c>
      <c r="B92" s="15" t="s">
        <v>76</v>
      </c>
      <c r="C92" s="14">
        <v>46023</v>
      </c>
      <c r="D92" s="16"/>
      <c r="E92" s="16"/>
      <c r="F92" s="17" t="s">
        <v>388</v>
      </c>
      <c r="G92" s="13" t="s">
        <v>389</v>
      </c>
      <c r="H92" s="18">
        <v>10</v>
      </c>
      <c r="J92" s="18">
        <v>0</v>
      </c>
      <c r="L92" s="18">
        <v>0</v>
      </c>
      <c r="N92" s="18">
        <v>10</v>
      </c>
      <c r="P92" s="18">
        <v>18</v>
      </c>
      <c r="R92" s="18">
        <v>10</v>
      </c>
      <c r="T92" s="17"/>
      <c r="U92" s="19"/>
      <c r="V92" s="17"/>
      <c r="W92" s="19"/>
      <c r="X92" s="17"/>
      <c r="Y92" s="19"/>
      <c r="Z92" s="17"/>
      <c r="AA92" s="19"/>
      <c r="AB92" s="17"/>
      <c r="AC92" s="20"/>
      <c r="AD92" s="17"/>
      <c r="AE92" s="20"/>
      <c r="AF92" s="17"/>
      <c r="AG92" s="21"/>
      <c r="AH92" s="17"/>
      <c r="AI92" s="19"/>
      <c r="AJ92" s="17"/>
      <c r="AK92" s="19"/>
      <c r="AL92" s="17"/>
      <c r="AM92" s="21"/>
      <c r="AN92" s="17"/>
      <c r="AO92" s="19"/>
      <c r="AP92" s="17"/>
      <c r="AQ92" s="19"/>
      <c r="AR92" s="17"/>
      <c r="AS92" s="19"/>
      <c r="AT92" s="17"/>
      <c r="AU92" s="21"/>
      <c r="AV92" s="17"/>
      <c r="AW92" s="21"/>
      <c r="AX92" s="17"/>
      <c r="AY92" s="21"/>
      <c r="AZ92" s="17"/>
      <c r="BA92" s="21"/>
      <c r="BB92" s="17" t="s">
        <v>72</v>
      </c>
      <c r="BC92" s="21" t="s">
        <v>105</v>
      </c>
      <c r="BD92" s="17"/>
      <c r="BE92" s="22">
        <f t="shared" si="10"/>
        <v>48</v>
      </c>
      <c r="BF92" s="14">
        <f t="shared" si="11"/>
        <v>46023</v>
      </c>
      <c r="BG92" s="23" t="str">
        <f t="shared" si="12"/>
        <v>January 2026</v>
      </c>
      <c r="BH92" s="14">
        <f t="shared" si="13"/>
        <v>46020</v>
      </c>
      <c r="BI92" s="14">
        <f t="shared" si="14"/>
        <v>46026</v>
      </c>
      <c r="BJ92" s="17" t="str">
        <f t="shared" si="15"/>
        <v>29/12/2025 - 04/01/2026</v>
      </c>
      <c r="BK92" s="17">
        <f>IF($B92="","",COUNTIFS($B$5:$B92,$B92,$BF$5:$BF92,$BF92))</f>
        <v>8</v>
      </c>
      <c r="BL92" s="17">
        <f>IF($B92="","",COUNTIFS($B$5:$B92,$B92,$BH$5:$BH92,$BH92))</f>
        <v>8</v>
      </c>
      <c r="BM92" s="17" t="str">
        <f t="shared" si="16"/>
        <v>08|Suphitcha Keawliam|20260101</v>
      </c>
      <c r="BN92" s="17" t="str">
        <f t="shared" si="17"/>
        <v>08|Suphitcha Keawliam|20251229</v>
      </c>
      <c r="BO92" s="17">
        <f t="shared" si="18"/>
        <v>0</v>
      </c>
      <c r="BP92" s="24" t="s">
        <v>390</v>
      </c>
      <c r="BQ92" s="13"/>
      <c r="BR92" s="25" t="str">
        <f t="shared" si="19"/>
        <v>Jan-Feb 2026</v>
      </c>
    </row>
    <row r="93" spans="1:70" s="18" customFormat="1" ht="15" customHeight="1">
      <c r="A93" s="14">
        <v>46040.322091539347</v>
      </c>
      <c r="B93" s="15" t="s">
        <v>76</v>
      </c>
      <c r="C93" s="14">
        <v>46023</v>
      </c>
      <c r="D93" s="16"/>
      <c r="E93" s="16"/>
      <c r="F93" s="17" t="s">
        <v>391</v>
      </c>
      <c r="G93" s="13" t="s">
        <v>392</v>
      </c>
      <c r="H93" s="18">
        <v>5</v>
      </c>
      <c r="J93" s="18">
        <v>5</v>
      </c>
      <c r="L93" s="18">
        <v>5</v>
      </c>
      <c r="N93" s="18">
        <v>10</v>
      </c>
      <c r="P93" s="18">
        <v>15</v>
      </c>
      <c r="R93" s="18">
        <v>0</v>
      </c>
      <c r="T93" s="17"/>
      <c r="U93" s="19"/>
      <c r="V93" s="17"/>
      <c r="W93" s="19"/>
      <c r="X93" s="17"/>
      <c r="Y93" s="19"/>
      <c r="Z93" s="17"/>
      <c r="AA93" s="19"/>
      <c r="AB93" s="17"/>
      <c r="AC93" s="20"/>
      <c r="AD93" s="17"/>
      <c r="AE93" s="20"/>
      <c r="AF93" s="17"/>
      <c r="AG93" s="21"/>
      <c r="AH93" s="17"/>
      <c r="AI93" s="19"/>
      <c r="AJ93" s="17"/>
      <c r="AK93" s="19"/>
      <c r="AL93" s="17"/>
      <c r="AM93" s="21"/>
      <c r="AN93" s="17"/>
      <c r="AO93" s="19"/>
      <c r="AP93" s="17"/>
      <c r="AQ93" s="19"/>
      <c r="AR93" s="17"/>
      <c r="AS93" s="19"/>
      <c r="AT93" s="17"/>
      <c r="AU93" s="21"/>
      <c r="AV93" s="17"/>
      <c r="AW93" s="21"/>
      <c r="AX93" s="17"/>
      <c r="AY93" s="21"/>
      <c r="AZ93" s="17"/>
      <c r="BA93" s="21"/>
      <c r="BB93" s="17" t="s">
        <v>72</v>
      </c>
      <c r="BC93" s="21" t="s">
        <v>393</v>
      </c>
      <c r="BD93" s="17"/>
      <c r="BE93" s="22">
        <f t="shared" ref="BE93:BE156" si="20">IF($B93="","",IF(COUNT($H93,$J93,$L93,$N93,$P93,$R93)&gt;0,SUM($H93,$J93,$L93,$N93,$P93,$R93),SUM($T93,$V93,$X93,$Z93,$AB93,$AD93,$AF93,$AH93,$AJ93,$AL93,$AN93,$AP93,$AR93,$AT93,$AV93,$AX93,$AZ93)))</f>
        <v>40</v>
      </c>
      <c r="BF93" s="14">
        <f t="shared" ref="BF93:BF156" si="21">IF($C93="","",DATE(YEAR($C93),MONTH($C93),1))</f>
        <v>46023</v>
      </c>
      <c r="BG93" s="23" t="str">
        <f t="shared" ref="BG93:BG156" si="22">IF($BF93="","",TEXT($BF93,"mmmm yyyy"))</f>
        <v>January 2026</v>
      </c>
      <c r="BH93" s="14">
        <f t="shared" ref="BH93:BH156" si="23">IF($C93="","",$C93-WEEKDAY($C93,2)+1)</f>
        <v>46020</v>
      </c>
      <c r="BI93" s="14">
        <f t="shared" ref="BI93:BI156" si="24">IF($BH93="","",$BH93+6)</f>
        <v>46026</v>
      </c>
      <c r="BJ93" s="17" t="str">
        <f t="shared" ref="BJ93:BJ156" si="25">IF($BH93="","",TEXT($BH93,"dd/mm/yyyy")&amp;" - "&amp;TEXT($BI93,"dd/mm/yyyy"))</f>
        <v>29/12/2025 - 04/01/2026</v>
      </c>
      <c r="BK93" s="17">
        <f>IF($B93="","",COUNTIFS($B$5:$B93,$B93,$BF$5:$BF93,$BF93))</f>
        <v>9</v>
      </c>
      <c r="BL93" s="17">
        <f>IF($B93="","",COUNTIFS($B$5:$B93,$B93,$BH$5:$BH93,$BH93))</f>
        <v>9</v>
      </c>
      <c r="BM93" s="17" t="str">
        <f t="shared" ref="BM93:BM156" si="26">IF($B93="","",TEXT($BK93,"00")&amp;"|"&amp;$B93&amp;"|"&amp;TEXT($BF93,"yyyymmdd"))</f>
        <v>09|Suphitcha Keawliam|20260101</v>
      </c>
      <c r="BN93" s="17" t="str">
        <f t="shared" ref="BN93:BN156" si="27">IF($B93="","",TEXT($BL93,"00")&amp;"|"&amp;$B93&amp;"|"&amp;TEXT($BH93,"yyyymmdd"))</f>
        <v>09|Suphitcha Keawliam|20251229</v>
      </c>
      <c r="BO93" s="17">
        <f t="shared" ref="BO93:BO156" si="28">IF(OR($BB93="YES",$BB93="Yes",$BB93="Y",$BB93=1),1,0)</f>
        <v>0</v>
      </c>
      <c r="BP93" s="24" t="s">
        <v>394</v>
      </c>
      <c r="BQ93" s="13"/>
      <c r="BR93" s="25" t="str">
        <f t="shared" ref="BR93:BR156" si="29">IF($C93="","",IF($C93&gt;=DATE(2026,6,1),"QA-2026-06",IF($C93&gt;=DATE(2026,5,1),"May 2026+",IF($C93&gt;=DATE(2026,4,1),"April 2026",IF($C93&gt;=DATE(2026,3,1),"March 2026","Jan-Feb 2026")))))</f>
        <v>Jan-Feb 2026</v>
      </c>
    </row>
    <row r="94" spans="1:70" s="18" customFormat="1" ht="15" customHeight="1">
      <c r="A94" s="14">
        <v>46053.523507881953</v>
      </c>
      <c r="B94" s="15" t="s">
        <v>76</v>
      </c>
      <c r="C94" s="14">
        <v>46023</v>
      </c>
      <c r="D94" s="16"/>
      <c r="E94" s="16"/>
      <c r="F94" s="17" t="s">
        <v>395</v>
      </c>
      <c r="G94" s="13" t="s">
        <v>396</v>
      </c>
      <c r="H94" s="18">
        <v>9</v>
      </c>
      <c r="J94" s="18">
        <v>22</v>
      </c>
      <c r="L94" s="18">
        <v>16</v>
      </c>
      <c r="N94" s="18">
        <v>10</v>
      </c>
      <c r="P94" s="18">
        <v>16</v>
      </c>
      <c r="R94" s="18">
        <v>8</v>
      </c>
      <c r="T94" s="17"/>
      <c r="U94" s="19"/>
      <c r="V94" s="17"/>
      <c r="W94" s="19"/>
      <c r="X94" s="17"/>
      <c r="Y94" s="19"/>
      <c r="Z94" s="17"/>
      <c r="AA94" s="19"/>
      <c r="AB94" s="17"/>
      <c r="AC94" s="20"/>
      <c r="AD94" s="17"/>
      <c r="AE94" s="20"/>
      <c r="AF94" s="17"/>
      <c r="AG94" s="21"/>
      <c r="AH94" s="17"/>
      <c r="AI94" s="19"/>
      <c r="AJ94" s="17"/>
      <c r="AK94" s="19"/>
      <c r="AL94" s="17"/>
      <c r="AM94" s="21"/>
      <c r="AN94" s="17"/>
      <c r="AO94" s="19"/>
      <c r="AP94" s="17"/>
      <c r="AQ94" s="19"/>
      <c r="AR94" s="17"/>
      <c r="AS94" s="19"/>
      <c r="AT94" s="17"/>
      <c r="AU94" s="21"/>
      <c r="AV94" s="17"/>
      <c r="AW94" s="21"/>
      <c r="AX94" s="17"/>
      <c r="AY94" s="21"/>
      <c r="AZ94" s="17"/>
      <c r="BA94" s="21"/>
      <c r="BB94" s="17" t="s">
        <v>72</v>
      </c>
      <c r="BC94" s="21" t="s">
        <v>90</v>
      </c>
      <c r="BD94" s="17"/>
      <c r="BE94" s="22">
        <f t="shared" si="20"/>
        <v>81</v>
      </c>
      <c r="BF94" s="14">
        <f t="shared" si="21"/>
        <v>46023</v>
      </c>
      <c r="BG94" s="23" t="str">
        <f t="shared" si="22"/>
        <v>January 2026</v>
      </c>
      <c r="BH94" s="14">
        <f t="shared" si="23"/>
        <v>46020</v>
      </c>
      <c r="BI94" s="14">
        <f t="shared" si="24"/>
        <v>46026</v>
      </c>
      <c r="BJ94" s="17" t="str">
        <f t="shared" si="25"/>
        <v>29/12/2025 - 04/01/2026</v>
      </c>
      <c r="BK94" s="17">
        <f>IF($B94="","",COUNTIFS($B$5:$B94,$B94,$BF$5:$BF94,$BF94))</f>
        <v>10</v>
      </c>
      <c r="BL94" s="17">
        <f>IF($B94="","",COUNTIFS($B$5:$B94,$B94,$BH$5:$BH94,$BH94))</f>
        <v>10</v>
      </c>
      <c r="BM94" s="17" t="str">
        <f t="shared" si="26"/>
        <v>10|Suphitcha Keawliam|20260101</v>
      </c>
      <c r="BN94" s="17" t="str">
        <f t="shared" si="27"/>
        <v>10|Suphitcha Keawliam|20251229</v>
      </c>
      <c r="BO94" s="17">
        <f t="shared" si="28"/>
        <v>0</v>
      </c>
      <c r="BP94" s="24" t="s">
        <v>397</v>
      </c>
      <c r="BQ94" s="13"/>
      <c r="BR94" s="25" t="str">
        <f t="shared" si="29"/>
        <v>Jan-Feb 2026</v>
      </c>
    </row>
    <row r="95" spans="1:70" s="18" customFormat="1" ht="15" customHeight="1">
      <c r="A95" s="14">
        <v>46051.534074629628</v>
      </c>
      <c r="B95" s="15" t="s">
        <v>398</v>
      </c>
      <c r="C95" s="14">
        <v>46023</v>
      </c>
      <c r="D95" s="16"/>
      <c r="E95" s="16"/>
      <c r="F95" s="17" t="s">
        <v>399</v>
      </c>
      <c r="G95" s="13" t="s">
        <v>400</v>
      </c>
      <c r="H95" s="18">
        <v>5</v>
      </c>
      <c r="J95" s="18">
        <v>30</v>
      </c>
      <c r="L95" s="18">
        <v>20</v>
      </c>
      <c r="N95" s="18">
        <v>10</v>
      </c>
      <c r="P95" s="18">
        <v>15</v>
      </c>
      <c r="R95" s="18">
        <v>8</v>
      </c>
      <c r="T95" s="17"/>
      <c r="U95" s="19"/>
      <c r="V95" s="17"/>
      <c r="W95" s="19"/>
      <c r="X95" s="17"/>
      <c r="Y95" s="19"/>
      <c r="Z95" s="17"/>
      <c r="AA95" s="19"/>
      <c r="AB95" s="17"/>
      <c r="AC95" s="20"/>
      <c r="AD95" s="17"/>
      <c r="AE95" s="20"/>
      <c r="AF95" s="17"/>
      <c r="AG95" s="21"/>
      <c r="AH95" s="17"/>
      <c r="AI95" s="19"/>
      <c r="AJ95" s="17"/>
      <c r="AK95" s="19"/>
      <c r="AL95" s="17"/>
      <c r="AM95" s="21"/>
      <c r="AN95" s="17"/>
      <c r="AO95" s="19"/>
      <c r="AP95" s="17"/>
      <c r="AQ95" s="19"/>
      <c r="AR95" s="17"/>
      <c r="AS95" s="19"/>
      <c r="AT95" s="17"/>
      <c r="AU95" s="21"/>
      <c r="AV95" s="17"/>
      <c r="AW95" s="21"/>
      <c r="AX95" s="17"/>
      <c r="AY95" s="21"/>
      <c r="AZ95" s="17"/>
      <c r="BA95" s="21"/>
      <c r="BB95" s="17" t="s">
        <v>72</v>
      </c>
      <c r="BC95" s="21" t="s">
        <v>401</v>
      </c>
      <c r="BD95" s="17"/>
      <c r="BE95" s="22">
        <f t="shared" si="20"/>
        <v>88</v>
      </c>
      <c r="BF95" s="14">
        <f t="shared" si="21"/>
        <v>46023</v>
      </c>
      <c r="BG95" s="23" t="str">
        <f t="shared" si="22"/>
        <v>January 2026</v>
      </c>
      <c r="BH95" s="14">
        <f t="shared" si="23"/>
        <v>46020</v>
      </c>
      <c r="BI95" s="14">
        <f t="shared" si="24"/>
        <v>46026</v>
      </c>
      <c r="BJ95" s="17" t="str">
        <f t="shared" si="25"/>
        <v>29/12/2025 - 04/01/2026</v>
      </c>
      <c r="BK95" s="17">
        <f>IF($B95="","",COUNTIFS($B$5:$B95,$B95,$BF$5:$BF95,$BF95))</f>
        <v>1</v>
      </c>
      <c r="BL95" s="17">
        <f>IF($B95="","",COUNTIFS($B$5:$B95,$B95,$BH$5:$BH95,$BH95))</f>
        <v>1</v>
      </c>
      <c r="BM95" s="17" t="str">
        <f t="shared" si="26"/>
        <v>01|Wachiraporn Chailittichai|20260101</v>
      </c>
      <c r="BN95" s="17" t="str">
        <f t="shared" si="27"/>
        <v>01|Wachiraporn Chailittichai|20251229</v>
      </c>
      <c r="BO95" s="17">
        <f t="shared" si="28"/>
        <v>0</v>
      </c>
      <c r="BP95" s="24" t="s">
        <v>402</v>
      </c>
      <c r="BQ95" s="13"/>
      <c r="BR95" s="25" t="str">
        <f t="shared" si="29"/>
        <v>Jan-Feb 2026</v>
      </c>
    </row>
    <row r="96" spans="1:70" s="18" customFormat="1" ht="15" customHeight="1">
      <c r="A96" s="14">
        <v>46051.536141944453</v>
      </c>
      <c r="B96" s="15" t="s">
        <v>398</v>
      </c>
      <c r="C96" s="14">
        <v>46023</v>
      </c>
      <c r="D96" s="16"/>
      <c r="E96" s="16"/>
      <c r="F96" s="17" t="s">
        <v>403</v>
      </c>
      <c r="G96" s="13" t="s">
        <v>137</v>
      </c>
      <c r="H96" s="18">
        <v>7</v>
      </c>
      <c r="J96" s="18">
        <v>30</v>
      </c>
      <c r="L96" s="18">
        <v>20</v>
      </c>
      <c r="N96" s="18">
        <v>10</v>
      </c>
      <c r="P96" s="18">
        <v>15</v>
      </c>
      <c r="R96" s="18">
        <v>7</v>
      </c>
      <c r="T96" s="17"/>
      <c r="U96" s="19"/>
      <c r="V96" s="17"/>
      <c r="W96" s="19"/>
      <c r="X96" s="17"/>
      <c r="Y96" s="19"/>
      <c r="Z96" s="17"/>
      <c r="AA96" s="19"/>
      <c r="AB96" s="17"/>
      <c r="AC96" s="20"/>
      <c r="AD96" s="17"/>
      <c r="AE96" s="20"/>
      <c r="AF96" s="17"/>
      <c r="AG96" s="21"/>
      <c r="AH96" s="17"/>
      <c r="AI96" s="19"/>
      <c r="AJ96" s="17"/>
      <c r="AK96" s="19"/>
      <c r="AL96" s="17"/>
      <c r="AM96" s="21"/>
      <c r="AN96" s="17"/>
      <c r="AO96" s="19"/>
      <c r="AP96" s="17"/>
      <c r="AQ96" s="19"/>
      <c r="AR96" s="17"/>
      <c r="AS96" s="19"/>
      <c r="AT96" s="17"/>
      <c r="AU96" s="21"/>
      <c r="AV96" s="17"/>
      <c r="AW96" s="21"/>
      <c r="AX96" s="17"/>
      <c r="AY96" s="21"/>
      <c r="AZ96" s="17"/>
      <c r="BA96" s="21"/>
      <c r="BB96" s="17" t="s">
        <v>72</v>
      </c>
      <c r="BC96" s="21" t="s">
        <v>138</v>
      </c>
      <c r="BD96" s="17"/>
      <c r="BE96" s="22">
        <f t="shared" si="20"/>
        <v>89</v>
      </c>
      <c r="BF96" s="14">
        <f t="shared" si="21"/>
        <v>46023</v>
      </c>
      <c r="BG96" s="23" t="str">
        <f t="shared" si="22"/>
        <v>January 2026</v>
      </c>
      <c r="BH96" s="14">
        <f t="shared" si="23"/>
        <v>46020</v>
      </c>
      <c r="BI96" s="14">
        <f t="shared" si="24"/>
        <v>46026</v>
      </c>
      <c r="BJ96" s="17" t="str">
        <f t="shared" si="25"/>
        <v>29/12/2025 - 04/01/2026</v>
      </c>
      <c r="BK96" s="17">
        <f>IF($B96="","",COUNTIFS($B$5:$B96,$B96,$BF$5:$BF96,$BF96))</f>
        <v>2</v>
      </c>
      <c r="BL96" s="17">
        <f>IF($B96="","",COUNTIFS($B$5:$B96,$B96,$BH$5:$BH96,$BH96))</f>
        <v>2</v>
      </c>
      <c r="BM96" s="17" t="str">
        <f t="shared" si="26"/>
        <v>02|Wachiraporn Chailittichai|20260101</v>
      </c>
      <c r="BN96" s="17" t="str">
        <f t="shared" si="27"/>
        <v>02|Wachiraporn Chailittichai|20251229</v>
      </c>
      <c r="BO96" s="17">
        <f t="shared" si="28"/>
        <v>0</v>
      </c>
      <c r="BP96" s="24" t="s">
        <v>404</v>
      </c>
      <c r="BQ96" s="13"/>
      <c r="BR96" s="25" t="str">
        <f t="shared" si="29"/>
        <v>Jan-Feb 2026</v>
      </c>
    </row>
    <row r="97" spans="1:70" s="18" customFormat="1" ht="15" customHeight="1">
      <c r="A97" s="14">
        <v>46051.540200011572</v>
      </c>
      <c r="B97" s="15" t="s">
        <v>398</v>
      </c>
      <c r="C97" s="14">
        <v>46023</v>
      </c>
      <c r="D97" s="16"/>
      <c r="E97" s="16"/>
      <c r="F97" s="17" t="s">
        <v>405</v>
      </c>
      <c r="G97" s="13" t="s">
        <v>406</v>
      </c>
      <c r="H97" s="18">
        <v>5</v>
      </c>
      <c r="J97" s="18">
        <v>30</v>
      </c>
      <c r="L97" s="18">
        <v>20</v>
      </c>
      <c r="N97" s="18">
        <v>10</v>
      </c>
      <c r="P97" s="18">
        <v>17</v>
      </c>
      <c r="R97" s="18">
        <v>6</v>
      </c>
      <c r="T97" s="17"/>
      <c r="U97" s="19"/>
      <c r="V97" s="17"/>
      <c r="W97" s="19"/>
      <c r="X97" s="17"/>
      <c r="Y97" s="19"/>
      <c r="Z97" s="17"/>
      <c r="AA97" s="19"/>
      <c r="AB97" s="17"/>
      <c r="AC97" s="20"/>
      <c r="AD97" s="17"/>
      <c r="AE97" s="20"/>
      <c r="AF97" s="17"/>
      <c r="AG97" s="21"/>
      <c r="AH97" s="17"/>
      <c r="AI97" s="19"/>
      <c r="AJ97" s="17"/>
      <c r="AK97" s="19"/>
      <c r="AL97" s="17"/>
      <c r="AM97" s="21"/>
      <c r="AN97" s="17"/>
      <c r="AO97" s="19"/>
      <c r="AP97" s="17"/>
      <c r="AQ97" s="19"/>
      <c r="AR97" s="17"/>
      <c r="AS97" s="19"/>
      <c r="AT97" s="17"/>
      <c r="AU97" s="21"/>
      <c r="AV97" s="17"/>
      <c r="AW97" s="21"/>
      <c r="AX97" s="17"/>
      <c r="AY97" s="21"/>
      <c r="AZ97" s="17"/>
      <c r="BA97" s="21"/>
      <c r="BB97" s="17" t="s">
        <v>72</v>
      </c>
      <c r="BC97" s="21" t="s">
        <v>313</v>
      </c>
      <c r="BD97" s="17"/>
      <c r="BE97" s="22">
        <f t="shared" si="20"/>
        <v>88</v>
      </c>
      <c r="BF97" s="14">
        <f t="shared" si="21"/>
        <v>46023</v>
      </c>
      <c r="BG97" s="23" t="str">
        <f t="shared" si="22"/>
        <v>January 2026</v>
      </c>
      <c r="BH97" s="14">
        <f t="shared" si="23"/>
        <v>46020</v>
      </c>
      <c r="BI97" s="14">
        <f t="shared" si="24"/>
        <v>46026</v>
      </c>
      <c r="BJ97" s="17" t="str">
        <f t="shared" si="25"/>
        <v>29/12/2025 - 04/01/2026</v>
      </c>
      <c r="BK97" s="17">
        <f>IF($B97="","",COUNTIFS($B$5:$B97,$B97,$BF$5:$BF97,$BF97))</f>
        <v>3</v>
      </c>
      <c r="BL97" s="17">
        <f>IF($B97="","",COUNTIFS($B$5:$B97,$B97,$BH$5:$BH97,$BH97))</f>
        <v>3</v>
      </c>
      <c r="BM97" s="17" t="str">
        <f t="shared" si="26"/>
        <v>03|Wachiraporn Chailittichai|20260101</v>
      </c>
      <c r="BN97" s="17" t="str">
        <f t="shared" si="27"/>
        <v>03|Wachiraporn Chailittichai|20251229</v>
      </c>
      <c r="BO97" s="17">
        <f t="shared" si="28"/>
        <v>0</v>
      </c>
      <c r="BP97" s="24" t="s">
        <v>407</v>
      </c>
      <c r="BQ97" s="13"/>
      <c r="BR97" s="25" t="str">
        <f t="shared" si="29"/>
        <v>Jan-Feb 2026</v>
      </c>
    </row>
    <row r="98" spans="1:70" s="18" customFormat="1" ht="15" customHeight="1">
      <c r="A98" s="14">
        <v>46051.541164351853</v>
      </c>
      <c r="B98" s="15" t="s">
        <v>398</v>
      </c>
      <c r="C98" s="14">
        <v>46023</v>
      </c>
      <c r="D98" s="16"/>
      <c r="E98" s="16"/>
      <c r="F98" s="17" t="s">
        <v>408</v>
      </c>
      <c r="G98" s="13" t="s">
        <v>409</v>
      </c>
      <c r="H98" s="18">
        <v>7</v>
      </c>
      <c r="J98" s="18">
        <v>28</v>
      </c>
      <c r="L98" s="18">
        <v>19</v>
      </c>
      <c r="N98" s="18">
        <v>10</v>
      </c>
      <c r="P98" s="18">
        <v>17</v>
      </c>
      <c r="R98" s="18">
        <v>6</v>
      </c>
      <c r="T98" s="17"/>
      <c r="U98" s="19"/>
      <c r="V98" s="17"/>
      <c r="W98" s="19"/>
      <c r="X98" s="17"/>
      <c r="Y98" s="19"/>
      <c r="Z98" s="17"/>
      <c r="AA98" s="19"/>
      <c r="AB98" s="17"/>
      <c r="AC98" s="20"/>
      <c r="AD98" s="17"/>
      <c r="AE98" s="20"/>
      <c r="AF98" s="17"/>
      <c r="AG98" s="21"/>
      <c r="AH98" s="17"/>
      <c r="AI98" s="19"/>
      <c r="AJ98" s="17"/>
      <c r="AK98" s="19"/>
      <c r="AL98" s="17"/>
      <c r="AM98" s="21"/>
      <c r="AN98" s="17"/>
      <c r="AO98" s="19"/>
      <c r="AP98" s="17"/>
      <c r="AQ98" s="19"/>
      <c r="AR98" s="17"/>
      <c r="AS98" s="19"/>
      <c r="AT98" s="17"/>
      <c r="AU98" s="21"/>
      <c r="AV98" s="17"/>
      <c r="AW98" s="21"/>
      <c r="AX98" s="17"/>
      <c r="AY98" s="21"/>
      <c r="AZ98" s="17"/>
      <c r="BA98" s="21"/>
      <c r="BB98" s="17" t="s">
        <v>72</v>
      </c>
      <c r="BC98" s="21" t="s">
        <v>273</v>
      </c>
      <c r="BD98" s="17"/>
      <c r="BE98" s="22">
        <f t="shared" si="20"/>
        <v>87</v>
      </c>
      <c r="BF98" s="14">
        <f t="shared" si="21"/>
        <v>46023</v>
      </c>
      <c r="BG98" s="23" t="str">
        <f t="shared" si="22"/>
        <v>January 2026</v>
      </c>
      <c r="BH98" s="14">
        <f t="shared" si="23"/>
        <v>46020</v>
      </c>
      <c r="BI98" s="14">
        <f t="shared" si="24"/>
        <v>46026</v>
      </c>
      <c r="BJ98" s="17" t="str">
        <f t="shared" si="25"/>
        <v>29/12/2025 - 04/01/2026</v>
      </c>
      <c r="BK98" s="17">
        <f>IF($B98="","",COUNTIFS($B$5:$B98,$B98,$BF$5:$BF98,$BF98))</f>
        <v>4</v>
      </c>
      <c r="BL98" s="17">
        <f>IF($B98="","",COUNTIFS($B$5:$B98,$B98,$BH$5:$BH98,$BH98))</f>
        <v>4</v>
      </c>
      <c r="BM98" s="17" t="str">
        <f t="shared" si="26"/>
        <v>04|Wachiraporn Chailittichai|20260101</v>
      </c>
      <c r="BN98" s="17" t="str">
        <f t="shared" si="27"/>
        <v>04|Wachiraporn Chailittichai|20251229</v>
      </c>
      <c r="BO98" s="17">
        <f t="shared" si="28"/>
        <v>0</v>
      </c>
      <c r="BP98" s="24" t="s">
        <v>410</v>
      </c>
      <c r="BQ98" s="13"/>
      <c r="BR98" s="25" t="str">
        <f t="shared" si="29"/>
        <v>Jan-Feb 2026</v>
      </c>
    </row>
    <row r="99" spans="1:70" s="18" customFormat="1" ht="15" customHeight="1">
      <c r="A99" s="14">
        <v>46052.437983240743</v>
      </c>
      <c r="B99" s="15" t="s">
        <v>398</v>
      </c>
      <c r="C99" s="14">
        <v>46023</v>
      </c>
      <c r="D99" s="16"/>
      <c r="E99" s="16"/>
      <c r="F99" s="17" t="s">
        <v>411</v>
      </c>
      <c r="G99" s="13" t="s">
        <v>412</v>
      </c>
      <c r="H99" s="18">
        <v>7</v>
      </c>
      <c r="J99" s="18">
        <v>27</v>
      </c>
      <c r="L99" s="18">
        <v>17</v>
      </c>
      <c r="N99" s="18">
        <v>10</v>
      </c>
      <c r="P99" s="18">
        <v>16</v>
      </c>
      <c r="R99" s="18">
        <v>10</v>
      </c>
      <c r="T99" s="17"/>
      <c r="U99" s="19"/>
      <c r="V99" s="17"/>
      <c r="W99" s="19"/>
      <c r="X99" s="17"/>
      <c r="Y99" s="19"/>
      <c r="Z99" s="17"/>
      <c r="AA99" s="19"/>
      <c r="AB99" s="17"/>
      <c r="AC99" s="20"/>
      <c r="AD99" s="17"/>
      <c r="AE99" s="20"/>
      <c r="AF99" s="17"/>
      <c r="AG99" s="21"/>
      <c r="AH99" s="17"/>
      <c r="AI99" s="19"/>
      <c r="AJ99" s="17"/>
      <c r="AK99" s="19"/>
      <c r="AL99" s="17"/>
      <c r="AM99" s="21"/>
      <c r="AN99" s="17"/>
      <c r="AO99" s="19"/>
      <c r="AP99" s="17"/>
      <c r="AQ99" s="19"/>
      <c r="AR99" s="17"/>
      <c r="AS99" s="19"/>
      <c r="AT99" s="17"/>
      <c r="AU99" s="21"/>
      <c r="AV99" s="17"/>
      <c r="AW99" s="21"/>
      <c r="AX99" s="17"/>
      <c r="AY99" s="21"/>
      <c r="AZ99" s="17"/>
      <c r="BA99" s="21"/>
      <c r="BB99" s="17" t="s">
        <v>72</v>
      </c>
      <c r="BC99" s="21" t="s">
        <v>273</v>
      </c>
      <c r="BD99" s="17"/>
      <c r="BE99" s="22">
        <f t="shared" si="20"/>
        <v>87</v>
      </c>
      <c r="BF99" s="14">
        <f t="shared" si="21"/>
        <v>46023</v>
      </c>
      <c r="BG99" s="23" t="str">
        <f t="shared" si="22"/>
        <v>January 2026</v>
      </c>
      <c r="BH99" s="14">
        <f t="shared" si="23"/>
        <v>46020</v>
      </c>
      <c r="BI99" s="14">
        <f t="shared" si="24"/>
        <v>46026</v>
      </c>
      <c r="BJ99" s="17" t="str">
        <f t="shared" si="25"/>
        <v>29/12/2025 - 04/01/2026</v>
      </c>
      <c r="BK99" s="17">
        <f>IF($B99="","",COUNTIFS($B$5:$B99,$B99,$BF$5:$BF99,$BF99))</f>
        <v>5</v>
      </c>
      <c r="BL99" s="17">
        <f>IF($B99="","",COUNTIFS($B$5:$B99,$B99,$BH$5:$BH99,$BH99))</f>
        <v>5</v>
      </c>
      <c r="BM99" s="17" t="str">
        <f t="shared" si="26"/>
        <v>05|Wachiraporn Chailittichai|20260101</v>
      </c>
      <c r="BN99" s="17" t="str">
        <f t="shared" si="27"/>
        <v>05|Wachiraporn Chailittichai|20251229</v>
      </c>
      <c r="BO99" s="17">
        <f t="shared" si="28"/>
        <v>0</v>
      </c>
      <c r="BP99" s="24" t="s">
        <v>413</v>
      </c>
      <c r="BQ99" s="13"/>
      <c r="BR99" s="25" t="str">
        <f t="shared" si="29"/>
        <v>Jan-Feb 2026</v>
      </c>
    </row>
    <row r="100" spans="1:70" s="18" customFormat="1" ht="15" customHeight="1">
      <c r="A100" s="14">
        <v>46052.440074421298</v>
      </c>
      <c r="B100" s="15" t="s">
        <v>398</v>
      </c>
      <c r="C100" s="14">
        <v>46023</v>
      </c>
      <c r="D100" s="16"/>
      <c r="E100" s="16"/>
      <c r="F100" s="17" t="s">
        <v>414</v>
      </c>
      <c r="G100" s="13" t="s">
        <v>415</v>
      </c>
      <c r="H100" s="18">
        <v>0</v>
      </c>
      <c r="J100" s="18">
        <v>15</v>
      </c>
      <c r="L100" s="18">
        <v>15</v>
      </c>
      <c r="N100" s="18">
        <v>10</v>
      </c>
      <c r="P100" s="18">
        <v>20</v>
      </c>
      <c r="R100" s="18">
        <v>10</v>
      </c>
      <c r="T100" s="17"/>
      <c r="U100" s="19"/>
      <c r="V100" s="17"/>
      <c r="W100" s="19"/>
      <c r="X100" s="17"/>
      <c r="Y100" s="19"/>
      <c r="Z100" s="17"/>
      <c r="AA100" s="19"/>
      <c r="AB100" s="17"/>
      <c r="AC100" s="20"/>
      <c r="AD100" s="17"/>
      <c r="AE100" s="20"/>
      <c r="AF100" s="17"/>
      <c r="AG100" s="21"/>
      <c r="AH100" s="17"/>
      <c r="AI100" s="19"/>
      <c r="AJ100" s="17"/>
      <c r="AK100" s="19"/>
      <c r="AL100" s="17"/>
      <c r="AM100" s="21"/>
      <c r="AN100" s="17"/>
      <c r="AO100" s="19"/>
      <c r="AP100" s="17"/>
      <c r="AQ100" s="19"/>
      <c r="AR100" s="17"/>
      <c r="AS100" s="19"/>
      <c r="AT100" s="17"/>
      <c r="AU100" s="21"/>
      <c r="AV100" s="17"/>
      <c r="AW100" s="21"/>
      <c r="AX100" s="17"/>
      <c r="AY100" s="21"/>
      <c r="AZ100" s="17"/>
      <c r="BA100" s="21"/>
      <c r="BB100" s="17" t="s">
        <v>72</v>
      </c>
      <c r="BC100" s="21" t="s">
        <v>153</v>
      </c>
      <c r="BD100" s="17"/>
      <c r="BE100" s="22">
        <f t="shared" si="20"/>
        <v>70</v>
      </c>
      <c r="BF100" s="14">
        <f t="shared" si="21"/>
        <v>46023</v>
      </c>
      <c r="BG100" s="23" t="str">
        <f t="shared" si="22"/>
        <v>January 2026</v>
      </c>
      <c r="BH100" s="14">
        <f t="shared" si="23"/>
        <v>46020</v>
      </c>
      <c r="BI100" s="14">
        <f t="shared" si="24"/>
        <v>46026</v>
      </c>
      <c r="BJ100" s="17" t="str">
        <f t="shared" si="25"/>
        <v>29/12/2025 - 04/01/2026</v>
      </c>
      <c r="BK100" s="17">
        <f>IF($B100="","",COUNTIFS($B$5:$B100,$B100,$BF$5:$BF100,$BF100))</f>
        <v>6</v>
      </c>
      <c r="BL100" s="17">
        <f>IF($B100="","",COUNTIFS($B$5:$B100,$B100,$BH$5:$BH100,$BH100))</f>
        <v>6</v>
      </c>
      <c r="BM100" s="17" t="str">
        <f t="shared" si="26"/>
        <v>06|Wachiraporn Chailittichai|20260101</v>
      </c>
      <c r="BN100" s="17" t="str">
        <f t="shared" si="27"/>
        <v>06|Wachiraporn Chailittichai|20251229</v>
      </c>
      <c r="BO100" s="17">
        <f t="shared" si="28"/>
        <v>0</v>
      </c>
      <c r="BP100" s="24" t="s">
        <v>416</v>
      </c>
      <c r="BQ100" s="13"/>
      <c r="BR100" s="25" t="str">
        <f t="shared" si="29"/>
        <v>Jan-Feb 2026</v>
      </c>
    </row>
    <row r="101" spans="1:70" s="18" customFormat="1" ht="15" customHeight="1">
      <c r="A101" s="14">
        <v>46052.44396459491</v>
      </c>
      <c r="B101" s="15" t="s">
        <v>398</v>
      </c>
      <c r="C101" s="14">
        <v>46023</v>
      </c>
      <c r="D101" s="16"/>
      <c r="E101" s="16"/>
      <c r="F101" s="17" t="s">
        <v>417</v>
      </c>
      <c r="G101" s="13" t="s">
        <v>418</v>
      </c>
      <c r="H101" s="18">
        <v>7</v>
      </c>
      <c r="J101" s="18">
        <v>30</v>
      </c>
      <c r="L101" s="18">
        <v>20</v>
      </c>
      <c r="N101" s="18">
        <v>10</v>
      </c>
      <c r="P101" s="18">
        <v>10</v>
      </c>
      <c r="R101" s="18">
        <v>7</v>
      </c>
      <c r="T101" s="17"/>
      <c r="U101" s="19"/>
      <c r="V101" s="17"/>
      <c r="W101" s="19"/>
      <c r="X101" s="17"/>
      <c r="Y101" s="19"/>
      <c r="Z101" s="17"/>
      <c r="AA101" s="19"/>
      <c r="AB101" s="17"/>
      <c r="AC101" s="20"/>
      <c r="AD101" s="17"/>
      <c r="AE101" s="20"/>
      <c r="AF101" s="17"/>
      <c r="AG101" s="21"/>
      <c r="AH101" s="17"/>
      <c r="AI101" s="19"/>
      <c r="AJ101" s="17"/>
      <c r="AK101" s="19"/>
      <c r="AL101" s="17"/>
      <c r="AM101" s="21"/>
      <c r="AN101" s="17"/>
      <c r="AO101" s="19"/>
      <c r="AP101" s="17"/>
      <c r="AQ101" s="19"/>
      <c r="AR101" s="17"/>
      <c r="AS101" s="19"/>
      <c r="AT101" s="17"/>
      <c r="AU101" s="21"/>
      <c r="AV101" s="17"/>
      <c r="AW101" s="21"/>
      <c r="AX101" s="17"/>
      <c r="AY101" s="21"/>
      <c r="AZ101" s="17"/>
      <c r="BA101" s="21"/>
      <c r="BB101" s="17" t="s">
        <v>72</v>
      </c>
      <c r="BC101" s="21" t="s">
        <v>419</v>
      </c>
      <c r="BD101" s="17"/>
      <c r="BE101" s="22">
        <f t="shared" si="20"/>
        <v>84</v>
      </c>
      <c r="BF101" s="14">
        <f t="shared" si="21"/>
        <v>46023</v>
      </c>
      <c r="BG101" s="23" t="str">
        <f t="shared" si="22"/>
        <v>January 2026</v>
      </c>
      <c r="BH101" s="14">
        <f t="shared" si="23"/>
        <v>46020</v>
      </c>
      <c r="BI101" s="14">
        <f t="shared" si="24"/>
        <v>46026</v>
      </c>
      <c r="BJ101" s="17" t="str">
        <f t="shared" si="25"/>
        <v>29/12/2025 - 04/01/2026</v>
      </c>
      <c r="BK101" s="17">
        <f>IF($B101="","",COUNTIFS($B$5:$B101,$B101,$BF$5:$BF101,$BF101))</f>
        <v>7</v>
      </c>
      <c r="BL101" s="17">
        <f>IF($B101="","",COUNTIFS($B$5:$B101,$B101,$BH$5:$BH101,$BH101))</f>
        <v>7</v>
      </c>
      <c r="BM101" s="17" t="str">
        <f t="shared" si="26"/>
        <v>07|Wachiraporn Chailittichai|20260101</v>
      </c>
      <c r="BN101" s="17" t="str">
        <f t="shared" si="27"/>
        <v>07|Wachiraporn Chailittichai|20251229</v>
      </c>
      <c r="BO101" s="17">
        <f t="shared" si="28"/>
        <v>0</v>
      </c>
      <c r="BP101" s="24" t="s">
        <v>420</v>
      </c>
      <c r="BQ101" s="13"/>
      <c r="BR101" s="25" t="str">
        <f t="shared" si="29"/>
        <v>Jan-Feb 2026</v>
      </c>
    </row>
    <row r="102" spans="1:70" s="18" customFormat="1" ht="15" customHeight="1">
      <c r="A102" s="14">
        <v>46053.347550092592</v>
      </c>
      <c r="B102" s="15" t="s">
        <v>398</v>
      </c>
      <c r="C102" s="14">
        <v>46023</v>
      </c>
      <c r="D102" s="16"/>
      <c r="E102" s="16"/>
      <c r="F102" s="17" t="s">
        <v>421</v>
      </c>
      <c r="G102" s="13" t="s">
        <v>422</v>
      </c>
      <c r="H102" s="18">
        <v>10</v>
      </c>
      <c r="J102" s="18">
        <v>15</v>
      </c>
      <c r="L102" s="18">
        <v>10</v>
      </c>
      <c r="N102" s="18">
        <v>10</v>
      </c>
      <c r="P102" s="18">
        <v>18</v>
      </c>
      <c r="R102" s="18">
        <v>7</v>
      </c>
      <c r="T102" s="17"/>
      <c r="U102" s="19"/>
      <c r="V102" s="17"/>
      <c r="W102" s="19"/>
      <c r="X102" s="17"/>
      <c r="Y102" s="19"/>
      <c r="Z102" s="17"/>
      <c r="AA102" s="19"/>
      <c r="AB102" s="17"/>
      <c r="AC102" s="20"/>
      <c r="AD102" s="17"/>
      <c r="AE102" s="20"/>
      <c r="AF102" s="17"/>
      <c r="AG102" s="21"/>
      <c r="AH102" s="17"/>
      <c r="AI102" s="19"/>
      <c r="AJ102" s="17"/>
      <c r="AK102" s="19"/>
      <c r="AL102" s="17"/>
      <c r="AM102" s="21"/>
      <c r="AN102" s="17"/>
      <c r="AO102" s="19"/>
      <c r="AP102" s="17"/>
      <c r="AQ102" s="19"/>
      <c r="AR102" s="17"/>
      <c r="AS102" s="19"/>
      <c r="AT102" s="17"/>
      <c r="AU102" s="21"/>
      <c r="AV102" s="17"/>
      <c r="AW102" s="21"/>
      <c r="AX102" s="17"/>
      <c r="AY102" s="21"/>
      <c r="AZ102" s="17"/>
      <c r="BA102" s="21"/>
      <c r="BB102" s="17" t="s">
        <v>72</v>
      </c>
      <c r="BC102" s="21" t="s">
        <v>423</v>
      </c>
      <c r="BD102" s="17"/>
      <c r="BE102" s="22">
        <f t="shared" si="20"/>
        <v>70</v>
      </c>
      <c r="BF102" s="14">
        <f t="shared" si="21"/>
        <v>46023</v>
      </c>
      <c r="BG102" s="23" t="str">
        <f t="shared" si="22"/>
        <v>January 2026</v>
      </c>
      <c r="BH102" s="14">
        <f t="shared" si="23"/>
        <v>46020</v>
      </c>
      <c r="BI102" s="14">
        <f t="shared" si="24"/>
        <v>46026</v>
      </c>
      <c r="BJ102" s="17" t="str">
        <f t="shared" si="25"/>
        <v>29/12/2025 - 04/01/2026</v>
      </c>
      <c r="BK102" s="17">
        <f>IF($B102="","",COUNTIFS($B$5:$B102,$B102,$BF$5:$BF102,$BF102))</f>
        <v>8</v>
      </c>
      <c r="BL102" s="17">
        <f>IF($B102="","",COUNTIFS($B$5:$B102,$B102,$BH$5:$BH102,$BH102))</f>
        <v>8</v>
      </c>
      <c r="BM102" s="17" t="str">
        <f t="shared" si="26"/>
        <v>08|Wachiraporn Chailittichai|20260101</v>
      </c>
      <c r="BN102" s="17" t="str">
        <f t="shared" si="27"/>
        <v>08|Wachiraporn Chailittichai|20251229</v>
      </c>
      <c r="BO102" s="17">
        <f t="shared" si="28"/>
        <v>0</v>
      </c>
      <c r="BP102" s="24" t="s">
        <v>424</v>
      </c>
      <c r="BQ102" s="13"/>
      <c r="BR102" s="25" t="str">
        <f t="shared" si="29"/>
        <v>Jan-Feb 2026</v>
      </c>
    </row>
    <row r="103" spans="1:70" s="18" customFormat="1" ht="15" customHeight="1">
      <c r="A103" s="14">
        <v>46053.365850543982</v>
      </c>
      <c r="B103" s="15" t="s">
        <v>398</v>
      </c>
      <c r="C103" s="14">
        <v>46023</v>
      </c>
      <c r="D103" s="16"/>
      <c r="E103" s="16"/>
      <c r="F103" s="17" t="s">
        <v>425</v>
      </c>
      <c r="G103" s="13" t="s">
        <v>426</v>
      </c>
      <c r="H103" s="18">
        <v>8</v>
      </c>
      <c r="J103" s="18">
        <v>28</v>
      </c>
      <c r="L103" s="18">
        <v>20</v>
      </c>
      <c r="N103" s="18">
        <v>10</v>
      </c>
      <c r="P103" s="18">
        <v>16</v>
      </c>
      <c r="R103" s="18">
        <v>5</v>
      </c>
      <c r="T103" s="17"/>
      <c r="U103" s="19"/>
      <c r="V103" s="17"/>
      <c r="W103" s="19"/>
      <c r="X103" s="17"/>
      <c r="Y103" s="19"/>
      <c r="Z103" s="17"/>
      <c r="AA103" s="19"/>
      <c r="AB103" s="17"/>
      <c r="AC103" s="20"/>
      <c r="AD103" s="17"/>
      <c r="AE103" s="20"/>
      <c r="AF103" s="17"/>
      <c r="AG103" s="21"/>
      <c r="AH103" s="17"/>
      <c r="AI103" s="19"/>
      <c r="AJ103" s="17"/>
      <c r="AK103" s="19"/>
      <c r="AL103" s="17"/>
      <c r="AM103" s="21"/>
      <c r="AN103" s="17"/>
      <c r="AO103" s="19"/>
      <c r="AP103" s="17"/>
      <c r="AQ103" s="19"/>
      <c r="AR103" s="17"/>
      <c r="AS103" s="19"/>
      <c r="AT103" s="17"/>
      <c r="AU103" s="21"/>
      <c r="AV103" s="17"/>
      <c r="AW103" s="21"/>
      <c r="AX103" s="17"/>
      <c r="AY103" s="21"/>
      <c r="AZ103" s="17"/>
      <c r="BA103" s="21"/>
      <c r="BB103" s="17" t="s">
        <v>72</v>
      </c>
      <c r="BC103" s="21" t="s">
        <v>86</v>
      </c>
      <c r="BD103" s="17"/>
      <c r="BE103" s="22">
        <f t="shared" si="20"/>
        <v>87</v>
      </c>
      <c r="BF103" s="14">
        <f t="shared" si="21"/>
        <v>46023</v>
      </c>
      <c r="BG103" s="23" t="str">
        <f t="shared" si="22"/>
        <v>January 2026</v>
      </c>
      <c r="BH103" s="14">
        <f t="shared" si="23"/>
        <v>46020</v>
      </c>
      <c r="BI103" s="14">
        <f t="shared" si="24"/>
        <v>46026</v>
      </c>
      <c r="BJ103" s="17" t="str">
        <f t="shared" si="25"/>
        <v>29/12/2025 - 04/01/2026</v>
      </c>
      <c r="BK103" s="17">
        <f>IF($B103="","",COUNTIFS($B$5:$B103,$B103,$BF$5:$BF103,$BF103))</f>
        <v>9</v>
      </c>
      <c r="BL103" s="17">
        <f>IF($B103="","",COUNTIFS($B$5:$B103,$B103,$BH$5:$BH103,$BH103))</f>
        <v>9</v>
      </c>
      <c r="BM103" s="17" t="str">
        <f t="shared" si="26"/>
        <v>09|Wachiraporn Chailittichai|20260101</v>
      </c>
      <c r="BN103" s="17" t="str">
        <f t="shared" si="27"/>
        <v>09|Wachiraporn Chailittichai|20251229</v>
      </c>
      <c r="BO103" s="17">
        <f t="shared" si="28"/>
        <v>0</v>
      </c>
      <c r="BP103" s="24" t="s">
        <v>427</v>
      </c>
      <c r="BQ103" s="13"/>
      <c r="BR103" s="25" t="str">
        <f t="shared" si="29"/>
        <v>Jan-Feb 2026</v>
      </c>
    </row>
    <row r="104" spans="1:70" s="18" customFormat="1" ht="15" customHeight="1">
      <c r="A104" s="14">
        <v>46053.377986574073</v>
      </c>
      <c r="B104" s="15" t="s">
        <v>398</v>
      </c>
      <c r="C104" s="14">
        <v>46023</v>
      </c>
      <c r="D104" s="16"/>
      <c r="E104" s="16"/>
      <c r="F104" s="17" t="s">
        <v>428</v>
      </c>
      <c r="G104" s="13" t="s">
        <v>429</v>
      </c>
      <c r="H104" s="18">
        <v>8</v>
      </c>
      <c r="J104" s="18">
        <v>30</v>
      </c>
      <c r="L104" s="18">
        <v>20</v>
      </c>
      <c r="N104" s="18">
        <v>10</v>
      </c>
      <c r="P104" s="18">
        <v>16</v>
      </c>
      <c r="R104" s="18">
        <v>7</v>
      </c>
      <c r="T104" s="17"/>
      <c r="U104" s="19"/>
      <c r="V104" s="17"/>
      <c r="W104" s="19"/>
      <c r="X104" s="17"/>
      <c r="Y104" s="19"/>
      <c r="Z104" s="17"/>
      <c r="AA104" s="19"/>
      <c r="AB104" s="17"/>
      <c r="AC104" s="20"/>
      <c r="AD104" s="17"/>
      <c r="AE104" s="20"/>
      <c r="AF104" s="17"/>
      <c r="AG104" s="21"/>
      <c r="AH104" s="17"/>
      <c r="AI104" s="19"/>
      <c r="AJ104" s="17"/>
      <c r="AK104" s="19"/>
      <c r="AL104" s="17"/>
      <c r="AM104" s="21"/>
      <c r="AN104" s="17"/>
      <c r="AO104" s="19"/>
      <c r="AP104" s="17"/>
      <c r="AQ104" s="19"/>
      <c r="AR104" s="17"/>
      <c r="AS104" s="19"/>
      <c r="AT104" s="17"/>
      <c r="AU104" s="21"/>
      <c r="AV104" s="17"/>
      <c r="AW104" s="21"/>
      <c r="AX104" s="17"/>
      <c r="AY104" s="21"/>
      <c r="AZ104" s="17"/>
      <c r="BA104" s="21"/>
      <c r="BB104" s="17" t="s">
        <v>72</v>
      </c>
      <c r="BC104" s="21" t="s">
        <v>86</v>
      </c>
      <c r="BD104" s="17"/>
      <c r="BE104" s="22">
        <f t="shared" si="20"/>
        <v>91</v>
      </c>
      <c r="BF104" s="14">
        <f t="shared" si="21"/>
        <v>46023</v>
      </c>
      <c r="BG104" s="23" t="str">
        <f t="shared" si="22"/>
        <v>January 2026</v>
      </c>
      <c r="BH104" s="14">
        <f t="shared" si="23"/>
        <v>46020</v>
      </c>
      <c r="BI104" s="14">
        <f t="shared" si="24"/>
        <v>46026</v>
      </c>
      <c r="BJ104" s="17" t="str">
        <f t="shared" si="25"/>
        <v>29/12/2025 - 04/01/2026</v>
      </c>
      <c r="BK104" s="17">
        <f>IF($B104="","",COUNTIFS($B$5:$B104,$B104,$BF$5:$BF104,$BF104))</f>
        <v>10</v>
      </c>
      <c r="BL104" s="17">
        <f>IF($B104="","",COUNTIFS($B$5:$B104,$B104,$BH$5:$BH104,$BH104))</f>
        <v>10</v>
      </c>
      <c r="BM104" s="17" t="str">
        <f t="shared" si="26"/>
        <v>10|Wachiraporn Chailittichai|20260101</v>
      </c>
      <c r="BN104" s="17" t="str">
        <f t="shared" si="27"/>
        <v>10|Wachiraporn Chailittichai|20251229</v>
      </c>
      <c r="BO104" s="17">
        <f t="shared" si="28"/>
        <v>0</v>
      </c>
      <c r="BP104" s="24" t="s">
        <v>430</v>
      </c>
      <c r="BQ104" s="13"/>
      <c r="BR104" s="25" t="str">
        <f t="shared" si="29"/>
        <v>Jan-Feb 2026</v>
      </c>
    </row>
    <row r="105" spans="1:70" s="18" customFormat="1" ht="15" customHeight="1">
      <c r="A105" s="14">
        <v>46053.145679467591</v>
      </c>
      <c r="B105" s="15" t="s">
        <v>79</v>
      </c>
      <c r="C105" s="14">
        <v>46023</v>
      </c>
      <c r="D105" s="16"/>
      <c r="E105" s="16"/>
      <c r="F105" s="17" t="s">
        <v>431</v>
      </c>
      <c r="G105" s="13" t="s">
        <v>432</v>
      </c>
      <c r="H105" s="18">
        <v>8</v>
      </c>
      <c r="J105" s="18">
        <v>20</v>
      </c>
      <c r="L105" s="18">
        <v>10</v>
      </c>
      <c r="N105" s="18">
        <v>10</v>
      </c>
      <c r="P105" s="18">
        <v>20</v>
      </c>
      <c r="R105" s="18">
        <v>0</v>
      </c>
      <c r="T105" s="17"/>
      <c r="U105" s="19"/>
      <c r="V105" s="17"/>
      <c r="W105" s="19"/>
      <c r="X105" s="17"/>
      <c r="Y105" s="19"/>
      <c r="Z105" s="17"/>
      <c r="AA105" s="19"/>
      <c r="AB105" s="17"/>
      <c r="AC105" s="20"/>
      <c r="AD105" s="17"/>
      <c r="AE105" s="20"/>
      <c r="AF105" s="17"/>
      <c r="AG105" s="21"/>
      <c r="AH105" s="17"/>
      <c r="AI105" s="19"/>
      <c r="AJ105" s="17"/>
      <c r="AK105" s="19"/>
      <c r="AL105" s="17"/>
      <c r="AM105" s="21"/>
      <c r="AN105" s="17"/>
      <c r="AO105" s="19"/>
      <c r="AP105" s="17"/>
      <c r="AQ105" s="19"/>
      <c r="AR105" s="17"/>
      <c r="AS105" s="19"/>
      <c r="AT105" s="17"/>
      <c r="AU105" s="21"/>
      <c r="AV105" s="17"/>
      <c r="AW105" s="21"/>
      <c r="AX105" s="17"/>
      <c r="AY105" s="21"/>
      <c r="AZ105" s="17"/>
      <c r="BA105" s="21"/>
      <c r="BB105" s="17" t="s">
        <v>72</v>
      </c>
      <c r="BC105" s="21" t="s">
        <v>433</v>
      </c>
      <c r="BD105" s="17"/>
      <c r="BE105" s="22">
        <f t="shared" si="20"/>
        <v>68</v>
      </c>
      <c r="BF105" s="14">
        <f t="shared" si="21"/>
        <v>46023</v>
      </c>
      <c r="BG105" s="23" t="str">
        <f t="shared" si="22"/>
        <v>January 2026</v>
      </c>
      <c r="BH105" s="14">
        <f t="shared" si="23"/>
        <v>46020</v>
      </c>
      <c r="BI105" s="14">
        <f t="shared" si="24"/>
        <v>46026</v>
      </c>
      <c r="BJ105" s="17" t="str">
        <f t="shared" si="25"/>
        <v>29/12/2025 - 04/01/2026</v>
      </c>
      <c r="BK105" s="17">
        <f>IF($B105="","",COUNTIFS($B$5:$B105,$B105,$BF$5:$BF105,$BF105))</f>
        <v>1</v>
      </c>
      <c r="BL105" s="17">
        <f>IF($B105="","",COUNTIFS($B$5:$B105,$B105,$BH$5:$BH105,$BH105))</f>
        <v>1</v>
      </c>
      <c r="BM105" s="17" t="str">
        <f t="shared" si="26"/>
        <v>01|Wassana Phothong|20260101</v>
      </c>
      <c r="BN105" s="17" t="str">
        <f t="shared" si="27"/>
        <v>01|Wassana Phothong|20251229</v>
      </c>
      <c r="BO105" s="17">
        <f t="shared" si="28"/>
        <v>0</v>
      </c>
      <c r="BP105" s="24" t="s">
        <v>434</v>
      </c>
      <c r="BQ105" s="13"/>
      <c r="BR105" s="25" t="str">
        <f t="shared" si="29"/>
        <v>Jan-Feb 2026</v>
      </c>
    </row>
    <row r="106" spans="1:70" s="18" customFormat="1" ht="15" customHeight="1">
      <c r="A106" s="14">
        <v>46053.15281201389</v>
      </c>
      <c r="B106" s="15" t="s">
        <v>79</v>
      </c>
      <c r="C106" s="14">
        <v>46023</v>
      </c>
      <c r="D106" s="16"/>
      <c r="E106" s="16"/>
      <c r="F106" s="17" t="s">
        <v>435</v>
      </c>
      <c r="G106" s="13" t="s">
        <v>436</v>
      </c>
      <c r="H106" s="18">
        <v>10</v>
      </c>
      <c r="J106" s="18">
        <v>20</v>
      </c>
      <c r="L106" s="18">
        <v>10</v>
      </c>
      <c r="N106" s="18">
        <v>8</v>
      </c>
      <c r="P106" s="18">
        <v>15</v>
      </c>
      <c r="R106" s="18">
        <v>0</v>
      </c>
      <c r="T106" s="17"/>
      <c r="U106" s="19"/>
      <c r="V106" s="17"/>
      <c r="W106" s="19"/>
      <c r="X106" s="17"/>
      <c r="Y106" s="19"/>
      <c r="Z106" s="17"/>
      <c r="AA106" s="19"/>
      <c r="AB106" s="17"/>
      <c r="AC106" s="20"/>
      <c r="AD106" s="17"/>
      <c r="AE106" s="20"/>
      <c r="AF106" s="17"/>
      <c r="AG106" s="21"/>
      <c r="AH106" s="17"/>
      <c r="AI106" s="19"/>
      <c r="AJ106" s="17"/>
      <c r="AK106" s="19"/>
      <c r="AL106" s="17"/>
      <c r="AM106" s="21"/>
      <c r="AN106" s="17"/>
      <c r="AO106" s="19"/>
      <c r="AP106" s="17"/>
      <c r="AQ106" s="19"/>
      <c r="AR106" s="17"/>
      <c r="AS106" s="19"/>
      <c r="AT106" s="17"/>
      <c r="AU106" s="21"/>
      <c r="AV106" s="17"/>
      <c r="AW106" s="21"/>
      <c r="AX106" s="17"/>
      <c r="AY106" s="21"/>
      <c r="AZ106" s="17"/>
      <c r="BA106" s="21"/>
      <c r="BB106" s="17" t="s">
        <v>72</v>
      </c>
      <c r="BC106" s="21" t="s">
        <v>160</v>
      </c>
      <c r="BD106" s="17"/>
      <c r="BE106" s="22">
        <f t="shared" si="20"/>
        <v>63</v>
      </c>
      <c r="BF106" s="14">
        <f t="shared" si="21"/>
        <v>46023</v>
      </c>
      <c r="BG106" s="23" t="str">
        <f t="shared" si="22"/>
        <v>January 2026</v>
      </c>
      <c r="BH106" s="14">
        <f t="shared" si="23"/>
        <v>46020</v>
      </c>
      <c r="BI106" s="14">
        <f t="shared" si="24"/>
        <v>46026</v>
      </c>
      <c r="BJ106" s="17" t="str">
        <f t="shared" si="25"/>
        <v>29/12/2025 - 04/01/2026</v>
      </c>
      <c r="BK106" s="17">
        <f>IF($B106="","",COUNTIFS($B$5:$B106,$B106,$BF$5:$BF106,$BF106))</f>
        <v>2</v>
      </c>
      <c r="BL106" s="17">
        <f>IF($B106="","",COUNTIFS($B$5:$B106,$B106,$BH$5:$BH106,$BH106))</f>
        <v>2</v>
      </c>
      <c r="BM106" s="17" t="str">
        <f t="shared" si="26"/>
        <v>02|Wassana Phothong|20260101</v>
      </c>
      <c r="BN106" s="17" t="str">
        <f t="shared" si="27"/>
        <v>02|Wassana Phothong|20251229</v>
      </c>
      <c r="BO106" s="17">
        <f t="shared" si="28"/>
        <v>0</v>
      </c>
      <c r="BP106" s="24" t="s">
        <v>437</v>
      </c>
      <c r="BQ106" s="13"/>
      <c r="BR106" s="25" t="str">
        <f t="shared" si="29"/>
        <v>Jan-Feb 2026</v>
      </c>
    </row>
    <row r="107" spans="1:70" s="18" customFormat="1" ht="15" customHeight="1">
      <c r="A107" s="14">
        <v>46053.154568171303</v>
      </c>
      <c r="B107" s="15" t="s">
        <v>79</v>
      </c>
      <c r="C107" s="14">
        <v>46023</v>
      </c>
      <c r="D107" s="16"/>
      <c r="E107" s="16"/>
      <c r="F107" s="17" t="s">
        <v>438</v>
      </c>
      <c r="G107" s="13" t="s">
        <v>439</v>
      </c>
      <c r="H107" s="18">
        <v>5</v>
      </c>
      <c r="J107" s="18">
        <v>20</v>
      </c>
      <c r="L107" s="18">
        <v>15</v>
      </c>
      <c r="N107" s="18">
        <v>9</v>
      </c>
      <c r="P107" s="18">
        <v>15</v>
      </c>
      <c r="R107" s="18">
        <v>6</v>
      </c>
      <c r="T107" s="17"/>
      <c r="U107" s="19"/>
      <c r="V107" s="17"/>
      <c r="W107" s="19"/>
      <c r="X107" s="17"/>
      <c r="Y107" s="19"/>
      <c r="Z107" s="17"/>
      <c r="AA107" s="19"/>
      <c r="AB107" s="17"/>
      <c r="AC107" s="20"/>
      <c r="AD107" s="17"/>
      <c r="AE107" s="20"/>
      <c r="AF107" s="17"/>
      <c r="AG107" s="21"/>
      <c r="AH107" s="17"/>
      <c r="AI107" s="19"/>
      <c r="AJ107" s="17"/>
      <c r="AK107" s="19"/>
      <c r="AL107" s="17"/>
      <c r="AM107" s="21"/>
      <c r="AN107" s="17"/>
      <c r="AO107" s="19"/>
      <c r="AP107" s="17"/>
      <c r="AQ107" s="19"/>
      <c r="AR107" s="17"/>
      <c r="AS107" s="19"/>
      <c r="AT107" s="17"/>
      <c r="AU107" s="21"/>
      <c r="AV107" s="17"/>
      <c r="AW107" s="21"/>
      <c r="AX107" s="17"/>
      <c r="AY107" s="21"/>
      <c r="AZ107" s="17"/>
      <c r="BA107" s="21"/>
      <c r="BB107" s="17" t="s">
        <v>72</v>
      </c>
      <c r="BC107" s="21" t="s">
        <v>440</v>
      </c>
      <c r="BD107" s="17"/>
      <c r="BE107" s="22">
        <f t="shared" si="20"/>
        <v>70</v>
      </c>
      <c r="BF107" s="14">
        <f t="shared" si="21"/>
        <v>46023</v>
      </c>
      <c r="BG107" s="23" t="str">
        <f t="shared" si="22"/>
        <v>January 2026</v>
      </c>
      <c r="BH107" s="14">
        <f t="shared" si="23"/>
        <v>46020</v>
      </c>
      <c r="BI107" s="14">
        <f t="shared" si="24"/>
        <v>46026</v>
      </c>
      <c r="BJ107" s="17" t="str">
        <f t="shared" si="25"/>
        <v>29/12/2025 - 04/01/2026</v>
      </c>
      <c r="BK107" s="17">
        <f>IF($B107="","",COUNTIFS($B$5:$B107,$B107,$BF$5:$BF107,$BF107))</f>
        <v>3</v>
      </c>
      <c r="BL107" s="17">
        <f>IF($B107="","",COUNTIFS($B$5:$B107,$B107,$BH$5:$BH107,$BH107))</f>
        <v>3</v>
      </c>
      <c r="BM107" s="17" t="str">
        <f t="shared" si="26"/>
        <v>03|Wassana Phothong|20260101</v>
      </c>
      <c r="BN107" s="17" t="str">
        <f t="shared" si="27"/>
        <v>03|Wassana Phothong|20251229</v>
      </c>
      <c r="BO107" s="17">
        <f t="shared" si="28"/>
        <v>0</v>
      </c>
      <c r="BP107" s="24" t="s">
        <v>441</v>
      </c>
      <c r="BQ107" s="13"/>
      <c r="BR107" s="25" t="str">
        <f t="shared" si="29"/>
        <v>Jan-Feb 2026</v>
      </c>
    </row>
    <row r="108" spans="1:70" s="18" customFormat="1" ht="15" customHeight="1">
      <c r="A108" s="14">
        <v>46053.159928993053</v>
      </c>
      <c r="B108" s="15" t="s">
        <v>79</v>
      </c>
      <c r="C108" s="14">
        <v>46023</v>
      </c>
      <c r="D108" s="16"/>
      <c r="E108" s="16"/>
      <c r="F108" s="17" t="s">
        <v>442</v>
      </c>
      <c r="G108" s="13" t="s">
        <v>443</v>
      </c>
      <c r="H108" s="18">
        <v>10</v>
      </c>
      <c r="J108" s="18">
        <v>20</v>
      </c>
      <c r="L108" s="18">
        <v>12</v>
      </c>
      <c r="N108" s="18">
        <v>10</v>
      </c>
      <c r="P108" s="18">
        <v>15</v>
      </c>
      <c r="R108" s="18">
        <v>8</v>
      </c>
      <c r="T108" s="17"/>
      <c r="U108" s="19"/>
      <c r="V108" s="17"/>
      <c r="W108" s="19"/>
      <c r="X108" s="17"/>
      <c r="Y108" s="19"/>
      <c r="Z108" s="17"/>
      <c r="AA108" s="19"/>
      <c r="AB108" s="17"/>
      <c r="AC108" s="20"/>
      <c r="AD108" s="17"/>
      <c r="AE108" s="20"/>
      <c r="AF108" s="17"/>
      <c r="AG108" s="21"/>
      <c r="AH108" s="17"/>
      <c r="AI108" s="19"/>
      <c r="AJ108" s="17"/>
      <c r="AK108" s="19"/>
      <c r="AL108" s="17"/>
      <c r="AM108" s="21"/>
      <c r="AN108" s="17"/>
      <c r="AO108" s="19"/>
      <c r="AP108" s="17"/>
      <c r="AQ108" s="19"/>
      <c r="AR108" s="17"/>
      <c r="AS108" s="19"/>
      <c r="AT108" s="17"/>
      <c r="AU108" s="21"/>
      <c r="AV108" s="17"/>
      <c r="AW108" s="21"/>
      <c r="AX108" s="17"/>
      <c r="AY108" s="21"/>
      <c r="AZ108" s="17"/>
      <c r="BA108" s="21"/>
      <c r="BB108" s="17" t="s">
        <v>72</v>
      </c>
      <c r="BC108" s="21" t="s">
        <v>433</v>
      </c>
      <c r="BD108" s="17"/>
      <c r="BE108" s="22">
        <f t="shared" si="20"/>
        <v>75</v>
      </c>
      <c r="BF108" s="14">
        <f t="shared" si="21"/>
        <v>46023</v>
      </c>
      <c r="BG108" s="23" t="str">
        <f t="shared" si="22"/>
        <v>January 2026</v>
      </c>
      <c r="BH108" s="14">
        <f t="shared" si="23"/>
        <v>46020</v>
      </c>
      <c r="BI108" s="14">
        <f t="shared" si="24"/>
        <v>46026</v>
      </c>
      <c r="BJ108" s="17" t="str">
        <f t="shared" si="25"/>
        <v>29/12/2025 - 04/01/2026</v>
      </c>
      <c r="BK108" s="17">
        <f>IF($B108="","",COUNTIFS($B$5:$B108,$B108,$BF$5:$BF108,$BF108))</f>
        <v>4</v>
      </c>
      <c r="BL108" s="17">
        <f>IF($B108="","",COUNTIFS($B$5:$B108,$B108,$BH$5:$BH108,$BH108))</f>
        <v>4</v>
      </c>
      <c r="BM108" s="17" t="str">
        <f t="shared" si="26"/>
        <v>04|Wassana Phothong|20260101</v>
      </c>
      <c r="BN108" s="17" t="str">
        <f t="shared" si="27"/>
        <v>04|Wassana Phothong|20251229</v>
      </c>
      <c r="BO108" s="17">
        <f t="shared" si="28"/>
        <v>0</v>
      </c>
      <c r="BP108" s="24" t="s">
        <v>444</v>
      </c>
      <c r="BQ108" s="13"/>
      <c r="BR108" s="25" t="str">
        <f t="shared" si="29"/>
        <v>Jan-Feb 2026</v>
      </c>
    </row>
    <row r="109" spans="1:70" s="18" customFormat="1" ht="15" customHeight="1">
      <c r="A109" s="14">
        <v>46053.178572743047</v>
      </c>
      <c r="B109" s="15" t="s">
        <v>79</v>
      </c>
      <c r="C109" s="14">
        <v>46023</v>
      </c>
      <c r="D109" s="16"/>
      <c r="E109" s="16"/>
      <c r="F109" s="17" t="s">
        <v>445</v>
      </c>
      <c r="G109" s="13" t="s">
        <v>446</v>
      </c>
      <c r="H109" s="18">
        <v>10</v>
      </c>
      <c r="J109" s="18">
        <v>15</v>
      </c>
      <c r="L109" s="18">
        <v>13</v>
      </c>
      <c r="N109" s="18">
        <v>10</v>
      </c>
      <c r="P109" s="18">
        <v>16</v>
      </c>
      <c r="R109" s="18">
        <v>7</v>
      </c>
      <c r="T109" s="17"/>
      <c r="U109" s="19"/>
      <c r="V109" s="17"/>
      <c r="W109" s="19"/>
      <c r="X109" s="17"/>
      <c r="Y109" s="19"/>
      <c r="Z109" s="17"/>
      <c r="AA109" s="19"/>
      <c r="AB109" s="17"/>
      <c r="AC109" s="20"/>
      <c r="AD109" s="17"/>
      <c r="AE109" s="20"/>
      <c r="AF109" s="17"/>
      <c r="AG109" s="21"/>
      <c r="AH109" s="17"/>
      <c r="AI109" s="19"/>
      <c r="AJ109" s="17"/>
      <c r="AK109" s="19"/>
      <c r="AL109" s="17"/>
      <c r="AM109" s="21"/>
      <c r="AN109" s="17"/>
      <c r="AO109" s="19"/>
      <c r="AP109" s="17"/>
      <c r="AQ109" s="19"/>
      <c r="AR109" s="17"/>
      <c r="AS109" s="19"/>
      <c r="AT109" s="17"/>
      <c r="AU109" s="21"/>
      <c r="AV109" s="17"/>
      <c r="AW109" s="21"/>
      <c r="AX109" s="17"/>
      <c r="AY109" s="21"/>
      <c r="AZ109" s="17"/>
      <c r="BA109" s="21"/>
      <c r="BB109" s="17" t="s">
        <v>72</v>
      </c>
      <c r="BC109" s="21" t="s">
        <v>198</v>
      </c>
      <c r="BD109" s="17"/>
      <c r="BE109" s="22">
        <f t="shared" si="20"/>
        <v>71</v>
      </c>
      <c r="BF109" s="14">
        <f t="shared" si="21"/>
        <v>46023</v>
      </c>
      <c r="BG109" s="23" t="str">
        <f t="shared" si="22"/>
        <v>January 2026</v>
      </c>
      <c r="BH109" s="14">
        <f t="shared" si="23"/>
        <v>46020</v>
      </c>
      <c r="BI109" s="14">
        <f t="shared" si="24"/>
        <v>46026</v>
      </c>
      <c r="BJ109" s="17" t="str">
        <f t="shared" si="25"/>
        <v>29/12/2025 - 04/01/2026</v>
      </c>
      <c r="BK109" s="17">
        <f>IF($B109="","",COUNTIFS($B$5:$B109,$B109,$BF$5:$BF109,$BF109))</f>
        <v>5</v>
      </c>
      <c r="BL109" s="17">
        <f>IF($B109="","",COUNTIFS($B$5:$B109,$B109,$BH$5:$BH109,$BH109))</f>
        <v>5</v>
      </c>
      <c r="BM109" s="17" t="str">
        <f t="shared" si="26"/>
        <v>05|Wassana Phothong|20260101</v>
      </c>
      <c r="BN109" s="17" t="str">
        <f t="shared" si="27"/>
        <v>05|Wassana Phothong|20251229</v>
      </c>
      <c r="BO109" s="17">
        <f t="shared" si="28"/>
        <v>0</v>
      </c>
      <c r="BP109" s="24" t="s">
        <v>447</v>
      </c>
      <c r="BQ109" s="13"/>
      <c r="BR109" s="25" t="str">
        <f t="shared" si="29"/>
        <v>Jan-Feb 2026</v>
      </c>
    </row>
    <row r="110" spans="1:70" s="18" customFormat="1" ht="15" customHeight="1">
      <c r="A110" s="14">
        <v>46053.187782037043</v>
      </c>
      <c r="B110" s="15" t="s">
        <v>79</v>
      </c>
      <c r="C110" s="14">
        <v>46023</v>
      </c>
      <c r="D110" s="16"/>
      <c r="E110" s="16"/>
      <c r="F110" s="17" t="s">
        <v>448</v>
      </c>
      <c r="G110" s="13" t="s">
        <v>449</v>
      </c>
      <c r="H110" s="18">
        <v>8</v>
      </c>
      <c r="J110" s="18">
        <v>20</v>
      </c>
      <c r="L110" s="18">
        <v>15</v>
      </c>
      <c r="N110" s="18">
        <v>10</v>
      </c>
      <c r="P110" s="18">
        <v>14</v>
      </c>
      <c r="R110" s="18">
        <v>8</v>
      </c>
      <c r="T110" s="17"/>
      <c r="U110" s="19"/>
      <c r="V110" s="17"/>
      <c r="W110" s="19"/>
      <c r="X110" s="17"/>
      <c r="Y110" s="19"/>
      <c r="Z110" s="17"/>
      <c r="AA110" s="19"/>
      <c r="AB110" s="17"/>
      <c r="AC110" s="20"/>
      <c r="AD110" s="17"/>
      <c r="AE110" s="20"/>
      <c r="AF110" s="17"/>
      <c r="AG110" s="21"/>
      <c r="AH110" s="17"/>
      <c r="AI110" s="19"/>
      <c r="AJ110" s="17"/>
      <c r="AK110" s="19"/>
      <c r="AL110" s="17"/>
      <c r="AM110" s="21"/>
      <c r="AN110" s="17"/>
      <c r="AO110" s="19"/>
      <c r="AP110" s="17"/>
      <c r="AQ110" s="19"/>
      <c r="AR110" s="17"/>
      <c r="AS110" s="19"/>
      <c r="AT110" s="17"/>
      <c r="AU110" s="21"/>
      <c r="AV110" s="17"/>
      <c r="AW110" s="21"/>
      <c r="AX110" s="17"/>
      <c r="AY110" s="21"/>
      <c r="AZ110" s="17"/>
      <c r="BA110" s="21"/>
      <c r="BB110" s="17" t="s">
        <v>72</v>
      </c>
      <c r="BC110" s="21" t="s">
        <v>273</v>
      </c>
      <c r="BD110" s="17"/>
      <c r="BE110" s="22">
        <f t="shared" si="20"/>
        <v>75</v>
      </c>
      <c r="BF110" s="14">
        <f t="shared" si="21"/>
        <v>46023</v>
      </c>
      <c r="BG110" s="23" t="str">
        <f t="shared" si="22"/>
        <v>January 2026</v>
      </c>
      <c r="BH110" s="14">
        <f t="shared" si="23"/>
        <v>46020</v>
      </c>
      <c r="BI110" s="14">
        <f t="shared" si="24"/>
        <v>46026</v>
      </c>
      <c r="BJ110" s="17" t="str">
        <f t="shared" si="25"/>
        <v>29/12/2025 - 04/01/2026</v>
      </c>
      <c r="BK110" s="17">
        <f>IF($B110="","",COUNTIFS($B$5:$B110,$B110,$BF$5:$BF110,$BF110))</f>
        <v>6</v>
      </c>
      <c r="BL110" s="17">
        <f>IF($B110="","",COUNTIFS($B$5:$B110,$B110,$BH$5:$BH110,$BH110))</f>
        <v>6</v>
      </c>
      <c r="BM110" s="17" t="str">
        <f t="shared" si="26"/>
        <v>06|Wassana Phothong|20260101</v>
      </c>
      <c r="BN110" s="17" t="str">
        <f t="shared" si="27"/>
        <v>06|Wassana Phothong|20251229</v>
      </c>
      <c r="BO110" s="17">
        <f t="shared" si="28"/>
        <v>0</v>
      </c>
      <c r="BP110" s="24" t="s">
        <v>450</v>
      </c>
      <c r="BQ110" s="13"/>
      <c r="BR110" s="25" t="str">
        <f t="shared" si="29"/>
        <v>Jan-Feb 2026</v>
      </c>
    </row>
    <row r="111" spans="1:70" s="18" customFormat="1" ht="15" customHeight="1">
      <c r="A111" s="14">
        <v>46053.191942361111</v>
      </c>
      <c r="B111" s="15" t="s">
        <v>79</v>
      </c>
      <c r="C111" s="14">
        <v>46023</v>
      </c>
      <c r="D111" s="16"/>
      <c r="E111" s="16"/>
      <c r="F111" s="17" t="s">
        <v>451</v>
      </c>
      <c r="G111" s="13" t="s">
        <v>452</v>
      </c>
      <c r="H111" s="18">
        <v>7</v>
      </c>
      <c r="J111" s="18">
        <v>24</v>
      </c>
      <c r="L111" s="18">
        <v>16</v>
      </c>
      <c r="N111" s="18">
        <v>8</v>
      </c>
      <c r="P111" s="18">
        <v>16</v>
      </c>
      <c r="R111" s="18">
        <v>10</v>
      </c>
      <c r="T111" s="17"/>
      <c r="U111" s="19"/>
      <c r="V111" s="17"/>
      <c r="W111" s="19"/>
      <c r="X111" s="17"/>
      <c r="Y111" s="19"/>
      <c r="Z111" s="17"/>
      <c r="AA111" s="19"/>
      <c r="AB111" s="17"/>
      <c r="AC111" s="20"/>
      <c r="AD111" s="17"/>
      <c r="AE111" s="20"/>
      <c r="AF111" s="17"/>
      <c r="AG111" s="21"/>
      <c r="AH111" s="17"/>
      <c r="AI111" s="19"/>
      <c r="AJ111" s="17"/>
      <c r="AK111" s="19"/>
      <c r="AL111" s="17"/>
      <c r="AM111" s="21"/>
      <c r="AN111" s="17"/>
      <c r="AO111" s="19"/>
      <c r="AP111" s="17"/>
      <c r="AQ111" s="19"/>
      <c r="AR111" s="17"/>
      <c r="AS111" s="19"/>
      <c r="AT111" s="17"/>
      <c r="AU111" s="21"/>
      <c r="AV111" s="17"/>
      <c r="AW111" s="21"/>
      <c r="AX111" s="17"/>
      <c r="AY111" s="21"/>
      <c r="AZ111" s="17"/>
      <c r="BA111" s="21"/>
      <c r="BB111" s="17" t="s">
        <v>72</v>
      </c>
      <c r="BC111" s="21" t="s">
        <v>86</v>
      </c>
      <c r="BD111" s="17"/>
      <c r="BE111" s="22">
        <f t="shared" si="20"/>
        <v>81</v>
      </c>
      <c r="BF111" s="14">
        <f t="shared" si="21"/>
        <v>46023</v>
      </c>
      <c r="BG111" s="23" t="str">
        <f t="shared" si="22"/>
        <v>January 2026</v>
      </c>
      <c r="BH111" s="14">
        <f t="shared" si="23"/>
        <v>46020</v>
      </c>
      <c r="BI111" s="14">
        <f t="shared" si="24"/>
        <v>46026</v>
      </c>
      <c r="BJ111" s="17" t="str">
        <f t="shared" si="25"/>
        <v>29/12/2025 - 04/01/2026</v>
      </c>
      <c r="BK111" s="17">
        <f>IF($B111="","",COUNTIFS($B$5:$B111,$B111,$BF$5:$BF111,$BF111))</f>
        <v>7</v>
      </c>
      <c r="BL111" s="17">
        <f>IF($B111="","",COUNTIFS($B$5:$B111,$B111,$BH$5:$BH111,$BH111))</f>
        <v>7</v>
      </c>
      <c r="BM111" s="17" t="str">
        <f t="shared" si="26"/>
        <v>07|Wassana Phothong|20260101</v>
      </c>
      <c r="BN111" s="17" t="str">
        <f t="shared" si="27"/>
        <v>07|Wassana Phothong|20251229</v>
      </c>
      <c r="BO111" s="17">
        <f t="shared" si="28"/>
        <v>0</v>
      </c>
      <c r="BP111" s="24" t="s">
        <v>453</v>
      </c>
      <c r="BQ111" s="13"/>
      <c r="BR111" s="25" t="str">
        <f t="shared" si="29"/>
        <v>Jan-Feb 2026</v>
      </c>
    </row>
    <row r="112" spans="1:70" s="18" customFormat="1" ht="15" customHeight="1">
      <c r="A112" s="14">
        <v>46053.193663993057</v>
      </c>
      <c r="B112" s="15" t="s">
        <v>79</v>
      </c>
      <c r="C112" s="14">
        <v>46023</v>
      </c>
      <c r="D112" s="16"/>
      <c r="E112" s="16"/>
      <c r="F112" s="17" t="s">
        <v>454</v>
      </c>
      <c r="G112" s="13" t="s">
        <v>455</v>
      </c>
      <c r="H112" s="18">
        <v>8</v>
      </c>
      <c r="J112" s="18">
        <v>22</v>
      </c>
      <c r="L112" s="18">
        <v>15</v>
      </c>
      <c r="N112" s="18">
        <v>10</v>
      </c>
      <c r="P112" s="18">
        <v>15</v>
      </c>
      <c r="R112" s="18">
        <v>0</v>
      </c>
      <c r="T112" s="17"/>
      <c r="U112" s="19"/>
      <c r="V112" s="17"/>
      <c r="W112" s="19"/>
      <c r="X112" s="17"/>
      <c r="Y112" s="19"/>
      <c r="Z112" s="17"/>
      <c r="AA112" s="19"/>
      <c r="AB112" s="17"/>
      <c r="AC112" s="20"/>
      <c r="AD112" s="17"/>
      <c r="AE112" s="20"/>
      <c r="AF112" s="17"/>
      <c r="AG112" s="21"/>
      <c r="AH112" s="17"/>
      <c r="AI112" s="19"/>
      <c r="AJ112" s="17"/>
      <c r="AK112" s="19"/>
      <c r="AL112" s="17"/>
      <c r="AM112" s="21"/>
      <c r="AN112" s="17"/>
      <c r="AO112" s="19"/>
      <c r="AP112" s="17"/>
      <c r="AQ112" s="19"/>
      <c r="AR112" s="17"/>
      <c r="AS112" s="19"/>
      <c r="AT112" s="17"/>
      <c r="AU112" s="21"/>
      <c r="AV112" s="17"/>
      <c r="AW112" s="21"/>
      <c r="AX112" s="17"/>
      <c r="AY112" s="21"/>
      <c r="AZ112" s="17"/>
      <c r="BA112" s="21"/>
      <c r="BB112" s="17" t="s">
        <v>72</v>
      </c>
      <c r="BC112" s="21" t="s">
        <v>216</v>
      </c>
      <c r="BD112" s="17"/>
      <c r="BE112" s="22">
        <f t="shared" si="20"/>
        <v>70</v>
      </c>
      <c r="BF112" s="14">
        <f t="shared" si="21"/>
        <v>46023</v>
      </c>
      <c r="BG112" s="23" t="str">
        <f t="shared" si="22"/>
        <v>January 2026</v>
      </c>
      <c r="BH112" s="14">
        <f t="shared" si="23"/>
        <v>46020</v>
      </c>
      <c r="BI112" s="14">
        <f t="shared" si="24"/>
        <v>46026</v>
      </c>
      <c r="BJ112" s="17" t="str">
        <f t="shared" si="25"/>
        <v>29/12/2025 - 04/01/2026</v>
      </c>
      <c r="BK112" s="17">
        <f>IF($B112="","",COUNTIFS($B$5:$B112,$B112,$BF$5:$BF112,$BF112))</f>
        <v>8</v>
      </c>
      <c r="BL112" s="17">
        <f>IF($B112="","",COUNTIFS($B$5:$B112,$B112,$BH$5:$BH112,$BH112))</f>
        <v>8</v>
      </c>
      <c r="BM112" s="17" t="str">
        <f t="shared" si="26"/>
        <v>08|Wassana Phothong|20260101</v>
      </c>
      <c r="BN112" s="17" t="str">
        <f t="shared" si="27"/>
        <v>08|Wassana Phothong|20251229</v>
      </c>
      <c r="BO112" s="17">
        <f t="shared" si="28"/>
        <v>0</v>
      </c>
      <c r="BP112" s="24" t="s">
        <v>456</v>
      </c>
      <c r="BQ112" s="13"/>
      <c r="BR112" s="25" t="str">
        <f t="shared" si="29"/>
        <v>Jan-Feb 2026</v>
      </c>
    </row>
    <row r="113" spans="1:70" s="18" customFormat="1" ht="15" customHeight="1">
      <c r="A113" s="14">
        <v>46053.195789722216</v>
      </c>
      <c r="B113" s="15" t="s">
        <v>79</v>
      </c>
      <c r="C113" s="14">
        <v>46023</v>
      </c>
      <c r="D113" s="16"/>
      <c r="E113" s="16"/>
      <c r="F113" s="17" t="s">
        <v>457</v>
      </c>
      <c r="G113" s="13" t="s">
        <v>458</v>
      </c>
      <c r="H113" s="18">
        <v>10</v>
      </c>
      <c r="J113" s="18">
        <v>22</v>
      </c>
      <c r="L113" s="18">
        <v>16</v>
      </c>
      <c r="N113" s="18">
        <v>10</v>
      </c>
      <c r="P113" s="18">
        <v>10</v>
      </c>
      <c r="R113" s="18">
        <v>5</v>
      </c>
      <c r="T113" s="17"/>
      <c r="U113" s="19"/>
      <c r="V113" s="17"/>
      <c r="W113" s="19"/>
      <c r="X113" s="17"/>
      <c r="Y113" s="19"/>
      <c r="Z113" s="17"/>
      <c r="AA113" s="19"/>
      <c r="AB113" s="17"/>
      <c r="AC113" s="20"/>
      <c r="AD113" s="17"/>
      <c r="AE113" s="20"/>
      <c r="AF113" s="17"/>
      <c r="AG113" s="21"/>
      <c r="AH113" s="17"/>
      <c r="AI113" s="19"/>
      <c r="AJ113" s="17"/>
      <c r="AK113" s="19"/>
      <c r="AL113" s="17"/>
      <c r="AM113" s="21"/>
      <c r="AN113" s="17"/>
      <c r="AO113" s="19"/>
      <c r="AP113" s="17"/>
      <c r="AQ113" s="19"/>
      <c r="AR113" s="17"/>
      <c r="AS113" s="19"/>
      <c r="AT113" s="17"/>
      <c r="AU113" s="21"/>
      <c r="AV113" s="17"/>
      <c r="AW113" s="21"/>
      <c r="AX113" s="17"/>
      <c r="AY113" s="21"/>
      <c r="AZ113" s="17"/>
      <c r="BA113" s="21"/>
      <c r="BB113" s="17" t="s">
        <v>72</v>
      </c>
      <c r="BC113" s="21" t="s">
        <v>160</v>
      </c>
      <c r="BD113" s="17"/>
      <c r="BE113" s="22">
        <f t="shared" si="20"/>
        <v>73</v>
      </c>
      <c r="BF113" s="14">
        <f t="shared" si="21"/>
        <v>46023</v>
      </c>
      <c r="BG113" s="23" t="str">
        <f t="shared" si="22"/>
        <v>January 2026</v>
      </c>
      <c r="BH113" s="14">
        <f t="shared" si="23"/>
        <v>46020</v>
      </c>
      <c r="BI113" s="14">
        <f t="shared" si="24"/>
        <v>46026</v>
      </c>
      <c r="BJ113" s="17" t="str">
        <f t="shared" si="25"/>
        <v>29/12/2025 - 04/01/2026</v>
      </c>
      <c r="BK113" s="17">
        <f>IF($B113="","",COUNTIFS($B$5:$B113,$B113,$BF$5:$BF113,$BF113))</f>
        <v>9</v>
      </c>
      <c r="BL113" s="17">
        <f>IF($B113="","",COUNTIFS($B$5:$B113,$B113,$BH$5:$BH113,$BH113))</f>
        <v>9</v>
      </c>
      <c r="BM113" s="17" t="str">
        <f t="shared" si="26"/>
        <v>09|Wassana Phothong|20260101</v>
      </c>
      <c r="BN113" s="17" t="str">
        <f t="shared" si="27"/>
        <v>09|Wassana Phothong|20251229</v>
      </c>
      <c r="BO113" s="17">
        <f t="shared" si="28"/>
        <v>0</v>
      </c>
      <c r="BP113" s="24" t="s">
        <v>459</v>
      </c>
      <c r="BQ113" s="13"/>
      <c r="BR113" s="25" t="str">
        <f t="shared" si="29"/>
        <v>Jan-Feb 2026</v>
      </c>
    </row>
    <row r="114" spans="1:70" s="18" customFormat="1" ht="15" customHeight="1">
      <c r="A114" s="14">
        <v>46053.202824525462</v>
      </c>
      <c r="B114" s="15" t="s">
        <v>79</v>
      </c>
      <c r="C114" s="14">
        <v>46023</v>
      </c>
      <c r="D114" s="16"/>
      <c r="E114" s="16"/>
      <c r="F114" s="17" t="s">
        <v>460</v>
      </c>
      <c r="G114" s="13" t="s">
        <v>461</v>
      </c>
      <c r="H114" s="18">
        <v>5</v>
      </c>
      <c r="J114" s="18">
        <v>24</v>
      </c>
      <c r="L114" s="18">
        <v>15</v>
      </c>
      <c r="N114" s="18">
        <v>10</v>
      </c>
      <c r="P114" s="18">
        <v>18</v>
      </c>
      <c r="R114" s="18">
        <v>0</v>
      </c>
      <c r="T114" s="17"/>
      <c r="U114" s="19"/>
      <c r="V114" s="17"/>
      <c r="W114" s="19"/>
      <c r="X114" s="17"/>
      <c r="Y114" s="19"/>
      <c r="Z114" s="17"/>
      <c r="AA114" s="19"/>
      <c r="AB114" s="17"/>
      <c r="AC114" s="20"/>
      <c r="AD114" s="17"/>
      <c r="AE114" s="20"/>
      <c r="AF114" s="17"/>
      <c r="AG114" s="21"/>
      <c r="AH114" s="17"/>
      <c r="AI114" s="19"/>
      <c r="AJ114" s="17"/>
      <c r="AK114" s="19"/>
      <c r="AL114" s="17"/>
      <c r="AM114" s="21"/>
      <c r="AN114" s="17"/>
      <c r="AO114" s="19"/>
      <c r="AP114" s="17"/>
      <c r="AQ114" s="19"/>
      <c r="AR114" s="17"/>
      <c r="AS114" s="19"/>
      <c r="AT114" s="17"/>
      <c r="AU114" s="21"/>
      <c r="AV114" s="17"/>
      <c r="AW114" s="21"/>
      <c r="AX114" s="17"/>
      <c r="AY114" s="21"/>
      <c r="AZ114" s="17"/>
      <c r="BA114" s="21"/>
      <c r="BB114" s="17" t="s">
        <v>72</v>
      </c>
      <c r="BC114" s="21" t="s">
        <v>462</v>
      </c>
      <c r="BD114" s="17"/>
      <c r="BE114" s="22">
        <f t="shared" si="20"/>
        <v>72</v>
      </c>
      <c r="BF114" s="14">
        <f t="shared" si="21"/>
        <v>46023</v>
      </c>
      <c r="BG114" s="23" t="str">
        <f t="shared" si="22"/>
        <v>January 2026</v>
      </c>
      <c r="BH114" s="14">
        <f t="shared" si="23"/>
        <v>46020</v>
      </c>
      <c r="BI114" s="14">
        <f t="shared" si="24"/>
        <v>46026</v>
      </c>
      <c r="BJ114" s="17" t="str">
        <f t="shared" si="25"/>
        <v>29/12/2025 - 04/01/2026</v>
      </c>
      <c r="BK114" s="17">
        <f>IF($B114="","",COUNTIFS($B$5:$B114,$B114,$BF$5:$BF114,$BF114))</f>
        <v>10</v>
      </c>
      <c r="BL114" s="17">
        <f>IF($B114="","",COUNTIFS($B$5:$B114,$B114,$BH$5:$BH114,$BH114))</f>
        <v>10</v>
      </c>
      <c r="BM114" s="17" t="str">
        <f t="shared" si="26"/>
        <v>10|Wassana Phothong|20260101</v>
      </c>
      <c r="BN114" s="17" t="str">
        <f t="shared" si="27"/>
        <v>10|Wassana Phothong|20251229</v>
      </c>
      <c r="BO114" s="17">
        <f t="shared" si="28"/>
        <v>0</v>
      </c>
      <c r="BP114" s="24" t="s">
        <v>463</v>
      </c>
      <c r="BQ114" s="13"/>
      <c r="BR114" s="25" t="str">
        <f t="shared" si="29"/>
        <v>Jan-Feb 2026</v>
      </c>
    </row>
    <row r="115" spans="1:70" s="18" customFormat="1" ht="15" customHeight="1">
      <c r="A115" s="14">
        <v>46072.331408958336</v>
      </c>
      <c r="B115" s="15" t="s">
        <v>74</v>
      </c>
      <c r="C115" s="14">
        <v>46054</v>
      </c>
      <c r="D115" s="16"/>
      <c r="E115" s="16"/>
      <c r="F115" s="17" t="s">
        <v>464</v>
      </c>
      <c r="G115" s="13" t="s">
        <v>465</v>
      </c>
      <c r="H115" s="18">
        <v>9</v>
      </c>
      <c r="J115" s="18">
        <v>25</v>
      </c>
      <c r="L115" s="18">
        <v>14</v>
      </c>
      <c r="N115" s="18">
        <v>10</v>
      </c>
      <c r="P115" s="18">
        <v>17</v>
      </c>
      <c r="R115" s="18">
        <v>10</v>
      </c>
      <c r="T115" s="17"/>
      <c r="U115" s="19"/>
      <c r="V115" s="17"/>
      <c r="W115" s="19"/>
      <c r="X115" s="17"/>
      <c r="Y115" s="19"/>
      <c r="Z115" s="17"/>
      <c r="AA115" s="19"/>
      <c r="AB115" s="17"/>
      <c r="AC115" s="20"/>
      <c r="AD115" s="17"/>
      <c r="AE115" s="20"/>
      <c r="AF115" s="17"/>
      <c r="AG115" s="21"/>
      <c r="AH115" s="17"/>
      <c r="AI115" s="19"/>
      <c r="AJ115" s="17"/>
      <c r="AK115" s="19"/>
      <c r="AL115" s="17"/>
      <c r="AM115" s="21"/>
      <c r="AN115" s="17"/>
      <c r="AO115" s="19"/>
      <c r="AP115" s="17"/>
      <c r="AQ115" s="19"/>
      <c r="AR115" s="17"/>
      <c r="AS115" s="19"/>
      <c r="AT115" s="17"/>
      <c r="AU115" s="21"/>
      <c r="AV115" s="17"/>
      <c r="AW115" s="21"/>
      <c r="AX115" s="17"/>
      <c r="AY115" s="21"/>
      <c r="AZ115" s="17"/>
      <c r="BA115" s="21"/>
      <c r="BB115" s="17" t="s">
        <v>72</v>
      </c>
      <c r="BC115" s="21" t="s">
        <v>466</v>
      </c>
      <c r="BD115" s="17"/>
      <c r="BE115" s="22">
        <f t="shared" si="20"/>
        <v>85</v>
      </c>
      <c r="BF115" s="14">
        <f t="shared" si="21"/>
        <v>46054</v>
      </c>
      <c r="BG115" s="23" t="str">
        <f t="shared" si="22"/>
        <v>February 2026</v>
      </c>
      <c r="BH115" s="14">
        <f t="shared" si="23"/>
        <v>46048</v>
      </c>
      <c r="BI115" s="14">
        <f t="shared" si="24"/>
        <v>46054</v>
      </c>
      <c r="BJ115" s="17" t="str">
        <f t="shared" si="25"/>
        <v>26/01/2026 - 01/02/2026</v>
      </c>
      <c r="BK115" s="17">
        <f>IF($B115="","",COUNTIFS($B$5:$B115,$B115,$BF$5:$BF115,$BF115))</f>
        <v>1</v>
      </c>
      <c r="BL115" s="17">
        <f>IF($B115="","",COUNTIFS($B$5:$B115,$B115,$BH$5:$BH115,$BH115))</f>
        <v>1</v>
      </c>
      <c r="BM115" s="17" t="str">
        <f t="shared" si="26"/>
        <v>01|Arisa Aiemrit|20260201</v>
      </c>
      <c r="BN115" s="17" t="str">
        <f t="shared" si="27"/>
        <v>01|Arisa Aiemrit|20260126</v>
      </c>
      <c r="BO115" s="17">
        <f t="shared" si="28"/>
        <v>0</v>
      </c>
      <c r="BP115" s="24" t="s">
        <v>467</v>
      </c>
      <c r="BQ115" s="13"/>
      <c r="BR115" s="25" t="str">
        <f t="shared" si="29"/>
        <v>Jan-Feb 2026</v>
      </c>
    </row>
    <row r="116" spans="1:70" s="18" customFormat="1" ht="15" customHeight="1">
      <c r="A116" s="14">
        <v>46072.354200000002</v>
      </c>
      <c r="B116" s="15" t="s">
        <v>74</v>
      </c>
      <c r="C116" s="14">
        <v>46054</v>
      </c>
      <c r="D116" s="16"/>
      <c r="E116" s="16"/>
      <c r="F116" s="17" t="s">
        <v>468</v>
      </c>
      <c r="G116" s="13" t="s">
        <v>469</v>
      </c>
      <c r="H116" s="18">
        <v>8</v>
      </c>
      <c r="J116" s="18">
        <v>27</v>
      </c>
      <c r="L116" s="18">
        <v>20</v>
      </c>
      <c r="N116" s="18">
        <v>10</v>
      </c>
      <c r="P116" s="18">
        <v>16</v>
      </c>
      <c r="R116" s="18">
        <v>5</v>
      </c>
      <c r="T116" s="17"/>
      <c r="U116" s="19"/>
      <c r="V116" s="17"/>
      <c r="W116" s="19"/>
      <c r="X116" s="17"/>
      <c r="Y116" s="19"/>
      <c r="Z116" s="17"/>
      <c r="AA116" s="19"/>
      <c r="AB116" s="17"/>
      <c r="AC116" s="20"/>
      <c r="AD116" s="17"/>
      <c r="AE116" s="20"/>
      <c r="AF116" s="17"/>
      <c r="AG116" s="21"/>
      <c r="AH116" s="17"/>
      <c r="AI116" s="19"/>
      <c r="AJ116" s="17"/>
      <c r="AK116" s="19"/>
      <c r="AL116" s="17"/>
      <c r="AM116" s="21"/>
      <c r="AN116" s="17"/>
      <c r="AO116" s="19"/>
      <c r="AP116" s="17"/>
      <c r="AQ116" s="19"/>
      <c r="AR116" s="17"/>
      <c r="AS116" s="19"/>
      <c r="AT116" s="17"/>
      <c r="AU116" s="21"/>
      <c r="AV116" s="17"/>
      <c r="AW116" s="21"/>
      <c r="AX116" s="17"/>
      <c r="AY116" s="21"/>
      <c r="AZ116" s="17"/>
      <c r="BA116" s="21"/>
      <c r="BB116" s="17" t="s">
        <v>72</v>
      </c>
      <c r="BC116" s="21" t="s">
        <v>470</v>
      </c>
      <c r="BD116" s="17"/>
      <c r="BE116" s="22">
        <f t="shared" si="20"/>
        <v>86</v>
      </c>
      <c r="BF116" s="14">
        <f t="shared" si="21"/>
        <v>46054</v>
      </c>
      <c r="BG116" s="23" t="str">
        <f t="shared" si="22"/>
        <v>February 2026</v>
      </c>
      <c r="BH116" s="14">
        <f t="shared" si="23"/>
        <v>46048</v>
      </c>
      <c r="BI116" s="14">
        <f t="shared" si="24"/>
        <v>46054</v>
      </c>
      <c r="BJ116" s="17" t="str">
        <f t="shared" si="25"/>
        <v>26/01/2026 - 01/02/2026</v>
      </c>
      <c r="BK116" s="17">
        <f>IF($B116="","",COUNTIFS($B$5:$B116,$B116,$BF$5:$BF116,$BF116))</f>
        <v>2</v>
      </c>
      <c r="BL116" s="17">
        <f>IF($B116="","",COUNTIFS($B$5:$B116,$B116,$BH$5:$BH116,$BH116))</f>
        <v>2</v>
      </c>
      <c r="BM116" s="17" t="str">
        <f t="shared" si="26"/>
        <v>02|Arisa Aiemrit|20260201</v>
      </c>
      <c r="BN116" s="17" t="str">
        <f t="shared" si="27"/>
        <v>02|Arisa Aiemrit|20260126</v>
      </c>
      <c r="BO116" s="17">
        <f t="shared" si="28"/>
        <v>0</v>
      </c>
      <c r="BP116" s="24" t="s">
        <v>471</v>
      </c>
      <c r="BQ116" s="13"/>
      <c r="BR116" s="25" t="str">
        <f t="shared" si="29"/>
        <v>Jan-Feb 2026</v>
      </c>
    </row>
    <row r="117" spans="1:70" s="18" customFormat="1" ht="15" customHeight="1">
      <c r="A117" s="14">
        <v>46080.709491516202</v>
      </c>
      <c r="B117" s="15" t="s">
        <v>74</v>
      </c>
      <c r="C117" s="14">
        <v>46054</v>
      </c>
      <c r="D117" s="16"/>
      <c r="E117" s="16"/>
      <c r="F117" s="17" t="s">
        <v>472</v>
      </c>
      <c r="G117" s="13" t="s">
        <v>473</v>
      </c>
      <c r="H117" s="18">
        <v>5</v>
      </c>
      <c r="J117" s="18">
        <v>26</v>
      </c>
      <c r="L117" s="18">
        <v>15</v>
      </c>
      <c r="N117" s="18">
        <v>10</v>
      </c>
      <c r="P117" s="18">
        <v>20</v>
      </c>
      <c r="R117" s="18">
        <v>10</v>
      </c>
      <c r="T117" s="17"/>
      <c r="U117" s="19"/>
      <c r="V117" s="17"/>
      <c r="W117" s="19"/>
      <c r="X117" s="17"/>
      <c r="Y117" s="19"/>
      <c r="Z117" s="17"/>
      <c r="AA117" s="19"/>
      <c r="AB117" s="17"/>
      <c r="AC117" s="20"/>
      <c r="AD117" s="17"/>
      <c r="AE117" s="20"/>
      <c r="AF117" s="17"/>
      <c r="AG117" s="21"/>
      <c r="AH117" s="17"/>
      <c r="AI117" s="19"/>
      <c r="AJ117" s="17"/>
      <c r="AK117" s="19"/>
      <c r="AL117" s="17"/>
      <c r="AM117" s="21"/>
      <c r="AN117" s="17"/>
      <c r="AO117" s="19"/>
      <c r="AP117" s="17"/>
      <c r="AQ117" s="19"/>
      <c r="AR117" s="17"/>
      <c r="AS117" s="19"/>
      <c r="AT117" s="17"/>
      <c r="AU117" s="21"/>
      <c r="AV117" s="17"/>
      <c r="AW117" s="21"/>
      <c r="AX117" s="17"/>
      <c r="AY117" s="21"/>
      <c r="AZ117" s="17"/>
      <c r="BA117" s="21"/>
      <c r="BB117" s="17" t="s">
        <v>72</v>
      </c>
      <c r="BC117" s="21" t="s">
        <v>109</v>
      </c>
      <c r="BD117" s="17"/>
      <c r="BE117" s="22">
        <f t="shared" si="20"/>
        <v>86</v>
      </c>
      <c r="BF117" s="14">
        <f t="shared" si="21"/>
        <v>46054</v>
      </c>
      <c r="BG117" s="23" t="str">
        <f t="shared" si="22"/>
        <v>February 2026</v>
      </c>
      <c r="BH117" s="14">
        <f t="shared" si="23"/>
        <v>46048</v>
      </c>
      <c r="BI117" s="14">
        <f t="shared" si="24"/>
        <v>46054</v>
      </c>
      <c r="BJ117" s="17" t="str">
        <f t="shared" si="25"/>
        <v>26/01/2026 - 01/02/2026</v>
      </c>
      <c r="BK117" s="17">
        <f>IF($B117="","",COUNTIFS($B$5:$B117,$B117,$BF$5:$BF117,$BF117))</f>
        <v>3</v>
      </c>
      <c r="BL117" s="17">
        <f>IF($B117="","",COUNTIFS($B$5:$B117,$B117,$BH$5:$BH117,$BH117))</f>
        <v>3</v>
      </c>
      <c r="BM117" s="17" t="str">
        <f t="shared" si="26"/>
        <v>03|Arisa Aiemrit|20260201</v>
      </c>
      <c r="BN117" s="17" t="str">
        <f t="shared" si="27"/>
        <v>03|Arisa Aiemrit|20260126</v>
      </c>
      <c r="BO117" s="17">
        <f t="shared" si="28"/>
        <v>0</v>
      </c>
      <c r="BP117" s="24" t="s">
        <v>474</v>
      </c>
      <c r="BQ117" s="13"/>
      <c r="BR117" s="25" t="str">
        <f t="shared" si="29"/>
        <v>Jan-Feb 2026</v>
      </c>
    </row>
    <row r="118" spans="1:70" s="18" customFormat="1" ht="15" customHeight="1">
      <c r="A118" s="14">
        <v>46080.719247141213</v>
      </c>
      <c r="B118" s="15" t="s">
        <v>74</v>
      </c>
      <c r="C118" s="14">
        <v>46054</v>
      </c>
      <c r="D118" s="16"/>
      <c r="E118" s="16"/>
      <c r="F118" s="17" t="s">
        <v>475</v>
      </c>
      <c r="G118" s="13" t="s">
        <v>476</v>
      </c>
      <c r="H118" s="18">
        <v>5</v>
      </c>
      <c r="J118" s="18">
        <v>28</v>
      </c>
      <c r="L118" s="18">
        <v>18</v>
      </c>
      <c r="N118" s="18">
        <v>6</v>
      </c>
      <c r="P118" s="18">
        <v>16</v>
      </c>
      <c r="R118" s="18">
        <v>8</v>
      </c>
      <c r="T118" s="17"/>
      <c r="U118" s="19"/>
      <c r="V118" s="17"/>
      <c r="W118" s="19"/>
      <c r="X118" s="17"/>
      <c r="Y118" s="19"/>
      <c r="Z118" s="17"/>
      <c r="AA118" s="19"/>
      <c r="AB118" s="17"/>
      <c r="AC118" s="20"/>
      <c r="AD118" s="17"/>
      <c r="AE118" s="20"/>
      <c r="AF118" s="17"/>
      <c r="AG118" s="21"/>
      <c r="AH118" s="17"/>
      <c r="AI118" s="19"/>
      <c r="AJ118" s="17"/>
      <c r="AK118" s="19"/>
      <c r="AL118" s="17"/>
      <c r="AM118" s="21"/>
      <c r="AN118" s="17"/>
      <c r="AO118" s="19"/>
      <c r="AP118" s="17"/>
      <c r="AQ118" s="19"/>
      <c r="AR118" s="17"/>
      <c r="AS118" s="19"/>
      <c r="AT118" s="17"/>
      <c r="AU118" s="21"/>
      <c r="AV118" s="17"/>
      <c r="AW118" s="21"/>
      <c r="AX118" s="17"/>
      <c r="AY118" s="21"/>
      <c r="AZ118" s="17"/>
      <c r="BA118" s="21"/>
      <c r="BB118" s="17" t="s">
        <v>72</v>
      </c>
      <c r="BC118" s="21" t="s">
        <v>477</v>
      </c>
      <c r="BD118" s="17"/>
      <c r="BE118" s="22">
        <f t="shared" si="20"/>
        <v>81</v>
      </c>
      <c r="BF118" s="14">
        <f t="shared" si="21"/>
        <v>46054</v>
      </c>
      <c r="BG118" s="23" t="str">
        <f t="shared" si="22"/>
        <v>February 2026</v>
      </c>
      <c r="BH118" s="14">
        <f t="shared" si="23"/>
        <v>46048</v>
      </c>
      <c r="BI118" s="14">
        <f t="shared" si="24"/>
        <v>46054</v>
      </c>
      <c r="BJ118" s="17" t="str">
        <f t="shared" si="25"/>
        <v>26/01/2026 - 01/02/2026</v>
      </c>
      <c r="BK118" s="17">
        <f>IF($B118="","",COUNTIFS($B$5:$B118,$B118,$BF$5:$BF118,$BF118))</f>
        <v>4</v>
      </c>
      <c r="BL118" s="17">
        <f>IF($B118="","",COUNTIFS($B$5:$B118,$B118,$BH$5:$BH118,$BH118))</f>
        <v>4</v>
      </c>
      <c r="BM118" s="17" t="str">
        <f t="shared" si="26"/>
        <v>04|Arisa Aiemrit|20260201</v>
      </c>
      <c r="BN118" s="17" t="str">
        <f t="shared" si="27"/>
        <v>04|Arisa Aiemrit|20260126</v>
      </c>
      <c r="BO118" s="17">
        <f t="shared" si="28"/>
        <v>0</v>
      </c>
      <c r="BP118" s="24" t="s">
        <v>478</v>
      </c>
      <c r="BQ118" s="13"/>
      <c r="BR118" s="25" t="str">
        <f t="shared" si="29"/>
        <v>Jan-Feb 2026</v>
      </c>
    </row>
    <row r="119" spans="1:70" s="18" customFormat="1" ht="15" customHeight="1">
      <c r="A119" s="14">
        <v>46080.731656504628</v>
      </c>
      <c r="B119" s="15" t="s">
        <v>74</v>
      </c>
      <c r="C119" s="14">
        <v>46054</v>
      </c>
      <c r="D119" s="16"/>
      <c r="E119" s="16"/>
      <c r="F119" s="17" t="s">
        <v>479</v>
      </c>
      <c r="G119" s="13"/>
      <c r="H119" s="18">
        <v>10</v>
      </c>
      <c r="J119" s="18">
        <v>15</v>
      </c>
      <c r="L119" s="18">
        <v>10</v>
      </c>
      <c r="N119" s="18">
        <v>9</v>
      </c>
      <c r="P119" s="18">
        <v>16</v>
      </c>
      <c r="R119" s="18">
        <v>10</v>
      </c>
      <c r="T119" s="17"/>
      <c r="U119" s="19"/>
      <c r="V119" s="17"/>
      <c r="W119" s="19"/>
      <c r="X119" s="17"/>
      <c r="Y119" s="19"/>
      <c r="Z119" s="17"/>
      <c r="AA119" s="19"/>
      <c r="AB119" s="17"/>
      <c r="AC119" s="20"/>
      <c r="AD119" s="17"/>
      <c r="AE119" s="20"/>
      <c r="AF119" s="17"/>
      <c r="AG119" s="21"/>
      <c r="AH119" s="17"/>
      <c r="AI119" s="19"/>
      <c r="AJ119" s="17"/>
      <c r="AK119" s="19"/>
      <c r="AL119" s="17"/>
      <c r="AM119" s="21"/>
      <c r="AN119" s="17"/>
      <c r="AO119" s="19"/>
      <c r="AP119" s="17"/>
      <c r="AQ119" s="19"/>
      <c r="AR119" s="17"/>
      <c r="AS119" s="19"/>
      <c r="AT119" s="17"/>
      <c r="AU119" s="21"/>
      <c r="AV119" s="17"/>
      <c r="AW119" s="21"/>
      <c r="AX119" s="17"/>
      <c r="AY119" s="21"/>
      <c r="AZ119" s="17"/>
      <c r="BA119" s="21"/>
      <c r="BB119" s="17" t="s">
        <v>72</v>
      </c>
      <c r="BC119" s="21" t="s">
        <v>480</v>
      </c>
      <c r="BD119" s="17"/>
      <c r="BE119" s="22">
        <f t="shared" si="20"/>
        <v>70</v>
      </c>
      <c r="BF119" s="14">
        <f t="shared" si="21"/>
        <v>46054</v>
      </c>
      <c r="BG119" s="23" t="str">
        <f t="shared" si="22"/>
        <v>February 2026</v>
      </c>
      <c r="BH119" s="14">
        <f t="shared" si="23"/>
        <v>46048</v>
      </c>
      <c r="BI119" s="14">
        <f t="shared" si="24"/>
        <v>46054</v>
      </c>
      <c r="BJ119" s="17" t="str">
        <f t="shared" si="25"/>
        <v>26/01/2026 - 01/02/2026</v>
      </c>
      <c r="BK119" s="17">
        <f>IF($B119="","",COUNTIFS($B$5:$B119,$B119,$BF$5:$BF119,$BF119))</f>
        <v>5</v>
      </c>
      <c r="BL119" s="17">
        <f>IF($B119="","",COUNTIFS($B$5:$B119,$B119,$BH$5:$BH119,$BH119))</f>
        <v>5</v>
      </c>
      <c r="BM119" s="17" t="str">
        <f t="shared" si="26"/>
        <v>05|Arisa Aiemrit|20260201</v>
      </c>
      <c r="BN119" s="17" t="str">
        <f t="shared" si="27"/>
        <v>05|Arisa Aiemrit|20260126</v>
      </c>
      <c r="BO119" s="17">
        <f t="shared" si="28"/>
        <v>0</v>
      </c>
      <c r="BP119" s="24" t="s">
        <v>481</v>
      </c>
      <c r="BQ119" s="13"/>
      <c r="BR119" s="25" t="str">
        <f t="shared" si="29"/>
        <v>Jan-Feb 2026</v>
      </c>
    </row>
    <row r="120" spans="1:70" s="18" customFormat="1" ht="15" customHeight="1">
      <c r="A120" s="14">
        <v>46080.739858032408</v>
      </c>
      <c r="B120" s="15" t="s">
        <v>74</v>
      </c>
      <c r="C120" s="14">
        <v>46054</v>
      </c>
      <c r="D120" s="16"/>
      <c r="E120" s="16"/>
      <c r="F120" s="17" t="s">
        <v>482</v>
      </c>
      <c r="G120" s="13" t="s">
        <v>483</v>
      </c>
      <c r="H120" s="18">
        <v>5</v>
      </c>
      <c r="J120" s="18">
        <v>25</v>
      </c>
      <c r="L120" s="18">
        <v>16</v>
      </c>
      <c r="N120" s="18">
        <v>9</v>
      </c>
      <c r="P120" s="18">
        <v>16</v>
      </c>
      <c r="R120" s="18">
        <v>10</v>
      </c>
      <c r="T120" s="17"/>
      <c r="U120" s="19"/>
      <c r="V120" s="17"/>
      <c r="W120" s="19"/>
      <c r="X120" s="17"/>
      <c r="Y120" s="19"/>
      <c r="Z120" s="17"/>
      <c r="AA120" s="19"/>
      <c r="AB120" s="17"/>
      <c r="AC120" s="20"/>
      <c r="AD120" s="17"/>
      <c r="AE120" s="20"/>
      <c r="AF120" s="17"/>
      <c r="AG120" s="21"/>
      <c r="AH120" s="17"/>
      <c r="AI120" s="19"/>
      <c r="AJ120" s="17"/>
      <c r="AK120" s="19"/>
      <c r="AL120" s="17"/>
      <c r="AM120" s="21"/>
      <c r="AN120" s="17"/>
      <c r="AO120" s="19"/>
      <c r="AP120" s="17"/>
      <c r="AQ120" s="19"/>
      <c r="AR120" s="17"/>
      <c r="AS120" s="19"/>
      <c r="AT120" s="17"/>
      <c r="AU120" s="21"/>
      <c r="AV120" s="17"/>
      <c r="AW120" s="21"/>
      <c r="AX120" s="17"/>
      <c r="AY120" s="21"/>
      <c r="AZ120" s="17"/>
      <c r="BA120" s="21"/>
      <c r="BB120" s="17" t="s">
        <v>72</v>
      </c>
      <c r="BC120" s="21" t="s">
        <v>484</v>
      </c>
      <c r="BD120" s="17"/>
      <c r="BE120" s="22">
        <f t="shared" si="20"/>
        <v>81</v>
      </c>
      <c r="BF120" s="14">
        <f t="shared" si="21"/>
        <v>46054</v>
      </c>
      <c r="BG120" s="23" t="str">
        <f t="shared" si="22"/>
        <v>February 2026</v>
      </c>
      <c r="BH120" s="14">
        <f t="shared" si="23"/>
        <v>46048</v>
      </c>
      <c r="BI120" s="14">
        <f t="shared" si="24"/>
        <v>46054</v>
      </c>
      <c r="BJ120" s="17" t="str">
        <f t="shared" si="25"/>
        <v>26/01/2026 - 01/02/2026</v>
      </c>
      <c r="BK120" s="17">
        <f>IF($B120="","",COUNTIFS($B$5:$B120,$B120,$BF$5:$BF120,$BF120))</f>
        <v>6</v>
      </c>
      <c r="BL120" s="17">
        <f>IF($B120="","",COUNTIFS($B$5:$B120,$B120,$BH$5:$BH120,$BH120))</f>
        <v>6</v>
      </c>
      <c r="BM120" s="17" t="str">
        <f t="shared" si="26"/>
        <v>06|Arisa Aiemrit|20260201</v>
      </c>
      <c r="BN120" s="17" t="str">
        <f t="shared" si="27"/>
        <v>06|Arisa Aiemrit|20260126</v>
      </c>
      <c r="BO120" s="17">
        <f t="shared" si="28"/>
        <v>0</v>
      </c>
      <c r="BP120" s="24" t="s">
        <v>485</v>
      </c>
      <c r="BQ120" s="13"/>
      <c r="BR120" s="25" t="str">
        <f t="shared" si="29"/>
        <v>Jan-Feb 2026</v>
      </c>
    </row>
    <row r="121" spans="1:70" s="18" customFormat="1" ht="15" customHeight="1">
      <c r="A121" s="14">
        <v>46080.746887210647</v>
      </c>
      <c r="B121" s="15" t="s">
        <v>74</v>
      </c>
      <c r="C121" s="14">
        <v>46054</v>
      </c>
      <c r="D121" s="16"/>
      <c r="E121" s="16"/>
      <c r="F121" s="17" t="s">
        <v>486</v>
      </c>
      <c r="G121" s="13" t="s">
        <v>487</v>
      </c>
      <c r="H121" s="18">
        <v>10</v>
      </c>
      <c r="J121" s="18">
        <v>15</v>
      </c>
      <c r="L121" s="18">
        <v>10</v>
      </c>
      <c r="N121" s="18">
        <v>10</v>
      </c>
      <c r="P121" s="18">
        <v>16</v>
      </c>
      <c r="R121" s="18">
        <v>10</v>
      </c>
      <c r="T121" s="17"/>
      <c r="U121" s="19"/>
      <c r="V121" s="17"/>
      <c r="W121" s="19"/>
      <c r="X121" s="17"/>
      <c r="Y121" s="19"/>
      <c r="Z121" s="17"/>
      <c r="AA121" s="19"/>
      <c r="AB121" s="17"/>
      <c r="AC121" s="20"/>
      <c r="AD121" s="17"/>
      <c r="AE121" s="20"/>
      <c r="AF121" s="17"/>
      <c r="AG121" s="21"/>
      <c r="AH121" s="17"/>
      <c r="AI121" s="19"/>
      <c r="AJ121" s="17"/>
      <c r="AK121" s="19"/>
      <c r="AL121" s="17"/>
      <c r="AM121" s="21"/>
      <c r="AN121" s="17"/>
      <c r="AO121" s="19"/>
      <c r="AP121" s="17"/>
      <c r="AQ121" s="19"/>
      <c r="AR121" s="17"/>
      <c r="AS121" s="19"/>
      <c r="AT121" s="17"/>
      <c r="AU121" s="21"/>
      <c r="AV121" s="17"/>
      <c r="AW121" s="21"/>
      <c r="AX121" s="17"/>
      <c r="AY121" s="21"/>
      <c r="AZ121" s="17"/>
      <c r="BA121" s="21"/>
      <c r="BB121" s="17" t="s">
        <v>72</v>
      </c>
      <c r="BC121" s="21" t="s">
        <v>86</v>
      </c>
      <c r="BD121" s="17"/>
      <c r="BE121" s="22">
        <f t="shared" si="20"/>
        <v>71</v>
      </c>
      <c r="BF121" s="14">
        <f t="shared" si="21"/>
        <v>46054</v>
      </c>
      <c r="BG121" s="23" t="str">
        <f t="shared" si="22"/>
        <v>February 2026</v>
      </c>
      <c r="BH121" s="14">
        <f t="shared" si="23"/>
        <v>46048</v>
      </c>
      <c r="BI121" s="14">
        <f t="shared" si="24"/>
        <v>46054</v>
      </c>
      <c r="BJ121" s="17" t="str">
        <f t="shared" si="25"/>
        <v>26/01/2026 - 01/02/2026</v>
      </c>
      <c r="BK121" s="17">
        <f>IF($B121="","",COUNTIFS($B$5:$B121,$B121,$BF$5:$BF121,$BF121))</f>
        <v>7</v>
      </c>
      <c r="BL121" s="17">
        <f>IF($B121="","",COUNTIFS($B$5:$B121,$B121,$BH$5:$BH121,$BH121))</f>
        <v>7</v>
      </c>
      <c r="BM121" s="17" t="str">
        <f t="shared" si="26"/>
        <v>07|Arisa Aiemrit|20260201</v>
      </c>
      <c r="BN121" s="17" t="str">
        <f t="shared" si="27"/>
        <v>07|Arisa Aiemrit|20260126</v>
      </c>
      <c r="BO121" s="17">
        <f t="shared" si="28"/>
        <v>0</v>
      </c>
      <c r="BP121" s="24" t="s">
        <v>488</v>
      </c>
      <c r="BQ121" s="13"/>
      <c r="BR121" s="25" t="str">
        <f t="shared" si="29"/>
        <v>Jan-Feb 2026</v>
      </c>
    </row>
    <row r="122" spans="1:70" s="18" customFormat="1" ht="15" customHeight="1">
      <c r="A122" s="14">
        <v>46080.74851863426</v>
      </c>
      <c r="B122" s="15" t="s">
        <v>74</v>
      </c>
      <c r="C122" s="14">
        <v>46054</v>
      </c>
      <c r="D122" s="16"/>
      <c r="E122" s="16"/>
      <c r="F122" s="17" t="s">
        <v>489</v>
      </c>
      <c r="G122" s="13" t="s">
        <v>490</v>
      </c>
      <c r="H122" s="18">
        <v>5</v>
      </c>
      <c r="J122" s="18">
        <v>26</v>
      </c>
      <c r="L122" s="18">
        <v>15</v>
      </c>
      <c r="N122" s="18">
        <v>10</v>
      </c>
      <c r="P122" s="18">
        <v>16</v>
      </c>
      <c r="R122" s="18">
        <v>8</v>
      </c>
      <c r="T122" s="17"/>
      <c r="U122" s="19"/>
      <c r="V122" s="17"/>
      <c r="W122" s="19"/>
      <c r="X122" s="17"/>
      <c r="Y122" s="19"/>
      <c r="Z122" s="17"/>
      <c r="AA122" s="19"/>
      <c r="AB122" s="17"/>
      <c r="AC122" s="20"/>
      <c r="AD122" s="17"/>
      <c r="AE122" s="20"/>
      <c r="AF122" s="17"/>
      <c r="AG122" s="21"/>
      <c r="AH122" s="17"/>
      <c r="AI122" s="19"/>
      <c r="AJ122" s="17"/>
      <c r="AK122" s="19"/>
      <c r="AL122" s="17"/>
      <c r="AM122" s="21"/>
      <c r="AN122" s="17"/>
      <c r="AO122" s="19"/>
      <c r="AP122" s="17"/>
      <c r="AQ122" s="19"/>
      <c r="AR122" s="17"/>
      <c r="AS122" s="19"/>
      <c r="AT122" s="17"/>
      <c r="AU122" s="21"/>
      <c r="AV122" s="17"/>
      <c r="AW122" s="21"/>
      <c r="AX122" s="17"/>
      <c r="AY122" s="21"/>
      <c r="AZ122" s="17"/>
      <c r="BA122" s="21"/>
      <c r="BB122" s="17" t="s">
        <v>72</v>
      </c>
      <c r="BC122" s="21" t="s">
        <v>491</v>
      </c>
      <c r="BD122" s="17"/>
      <c r="BE122" s="22">
        <f t="shared" si="20"/>
        <v>80</v>
      </c>
      <c r="BF122" s="14">
        <f t="shared" si="21"/>
        <v>46054</v>
      </c>
      <c r="BG122" s="23" t="str">
        <f t="shared" si="22"/>
        <v>February 2026</v>
      </c>
      <c r="BH122" s="14">
        <f t="shared" si="23"/>
        <v>46048</v>
      </c>
      <c r="BI122" s="14">
        <f t="shared" si="24"/>
        <v>46054</v>
      </c>
      <c r="BJ122" s="17" t="str">
        <f t="shared" si="25"/>
        <v>26/01/2026 - 01/02/2026</v>
      </c>
      <c r="BK122" s="17">
        <f>IF($B122="","",COUNTIFS($B$5:$B122,$B122,$BF$5:$BF122,$BF122))</f>
        <v>8</v>
      </c>
      <c r="BL122" s="17">
        <f>IF($B122="","",COUNTIFS($B$5:$B122,$B122,$BH$5:$BH122,$BH122))</f>
        <v>8</v>
      </c>
      <c r="BM122" s="17" t="str">
        <f t="shared" si="26"/>
        <v>08|Arisa Aiemrit|20260201</v>
      </c>
      <c r="BN122" s="17" t="str">
        <f t="shared" si="27"/>
        <v>08|Arisa Aiemrit|20260126</v>
      </c>
      <c r="BO122" s="17">
        <f t="shared" si="28"/>
        <v>0</v>
      </c>
      <c r="BP122" s="24" t="s">
        <v>492</v>
      </c>
      <c r="BQ122" s="13"/>
      <c r="BR122" s="25" t="str">
        <f t="shared" si="29"/>
        <v>Jan-Feb 2026</v>
      </c>
    </row>
    <row r="123" spans="1:70" s="18" customFormat="1" ht="15" customHeight="1">
      <c r="A123" s="14">
        <v>46080.752894953701</v>
      </c>
      <c r="B123" s="15" t="s">
        <v>74</v>
      </c>
      <c r="C123" s="14">
        <v>46054</v>
      </c>
      <c r="D123" s="16"/>
      <c r="E123" s="16"/>
      <c r="F123" s="17" t="s">
        <v>493</v>
      </c>
      <c r="G123" s="13" t="s">
        <v>494</v>
      </c>
      <c r="H123" s="18">
        <v>5</v>
      </c>
      <c r="J123" s="18">
        <v>26</v>
      </c>
      <c r="L123" s="18">
        <v>15</v>
      </c>
      <c r="N123" s="18">
        <v>10</v>
      </c>
      <c r="P123" s="18">
        <v>16</v>
      </c>
      <c r="R123" s="18">
        <v>10</v>
      </c>
      <c r="T123" s="17"/>
      <c r="U123" s="19"/>
      <c r="V123" s="17"/>
      <c r="W123" s="19"/>
      <c r="X123" s="17"/>
      <c r="Y123" s="19"/>
      <c r="Z123" s="17"/>
      <c r="AA123" s="19"/>
      <c r="AB123" s="17"/>
      <c r="AC123" s="20"/>
      <c r="AD123" s="17"/>
      <c r="AE123" s="20"/>
      <c r="AF123" s="17"/>
      <c r="AG123" s="21"/>
      <c r="AH123" s="17"/>
      <c r="AI123" s="19"/>
      <c r="AJ123" s="17"/>
      <c r="AK123" s="19"/>
      <c r="AL123" s="17"/>
      <c r="AM123" s="21"/>
      <c r="AN123" s="17"/>
      <c r="AO123" s="19"/>
      <c r="AP123" s="17"/>
      <c r="AQ123" s="19"/>
      <c r="AR123" s="17"/>
      <c r="AS123" s="19"/>
      <c r="AT123" s="17"/>
      <c r="AU123" s="21"/>
      <c r="AV123" s="17"/>
      <c r="AW123" s="21"/>
      <c r="AX123" s="17"/>
      <c r="AY123" s="21"/>
      <c r="AZ123" s="17"/>
      <c r="BA123" s="21"/>
      <c r="BB123" s="17" t="s">
        <v>72</v>
      </c>
      <c r="BC123" s="21" t="s">
        <v>94</v>
      </c>
      <c r="BD123" s="17"/>
      <c r="BE123" s="22">
        <f t="shared" si="20"/>
        <v>82</v>
      </c>
      <c r="BF123" s="14">
        <f t="shared" si="21"/>
        <v>46054</v>
      </c>
      <c r="BG123" s="23" t="str">
        <f t="shared" si="22"/>
        <v>February 2026</v>
      </c>
      <c r="BH123" s="14">
        <f t="shared" si="23"/>
        <v>46048</v>
      </c>
      <c r="BI123" s="14">
        <f t="shared" si="24"/>
        <v>46054</v>
      </c>
      <c r="BJ123" s="17" t="str">
        <f t="shared" si="25"/>
        <v>26/01/2026 - 01/02/2026</v>
      </c>
      <c r="BK123" s="17">
        <f>IF($B123="","",COUNTIFS($B$5:$B123,$B123,$BF$5:$BF123,$BF123))</f>
        <v>9</v>
      </c>
      <c r="BL123" s="17">
        <f>IF($B123="","",COUNTIFS($B$5:$B123,$B123,$BH$5:$BH123,$BH123))</f>
        <v>9</v>
      </c>
      <c r="BM123" s="17" t="str">
        <f t="shared" si="26"/>
        <v>09|Arisa Aiemrit|20260201</v>
      </c>
      <c r="BN123" s="17" t="str">
        <f t="shared" si="27"/>
        <v>09|Arisa Aiemrit|20260126</v>
      </c>
      <c r="BO123" s="17">
        <f t="shared" si="28"/>
        <v>0</v>
      </c>
      <c r="BP123" s="24" t="s">
        <v>495</v>
      </c>
      <c r="BQ123" s="13"/>
      <c r="BR123" s="25" t="str">
        <f t="shared" si="29"/>
        <v>Jan-Feb 2026</v>
      </c>
    </row>
    <row r="124" spans="1:70" s="18" customFormat="1" ht="15" customHeight="1">
      <c r="A124" s="14">
        <v>46080.754787777783</v>
      </c>
      <c r="B124" s="15" t="s">
        <v>74</v>
      </c>
      <c r="C124" s="14">
        <v>46054</v>
      </c>
      <c r="D124" s="16"/>
      <c r="E124" s="16"/>
      <c r="F124" s="17" t="s">
        <v>496</v>
      </c>
      <c r="G124" s="13" t="s">
        <v>497</v>
      </c>
      <c r="H124" s="18">
        <v>10</v>
      </c>
      <c r="J124" s="18">
        <v>10</v>
      </c>
      <c r="L124" s="18">
        <v>10</v>
      </c>
      <c r="N124" s="18">
        <v>10</v>
      </c>
      <c r="P124" s="18">
        <v>20</v>
      </c>
      <c r="R124" s="18">
        <v>0</v>
      </c>
      <c r="T124" s="17"/>
      <c r="U124" s="19"/>
      <c r="V124" s="17"/>
      <c r="W124" s="19"/>
      <c r="X124" s="17"/>
      <c r="Y124" s="19"/>
      <c r="Z124" s="17"/>
      <c r="AA124" s="19"/>
      <c r="AB124" s="17"/>
      <c r="AC124" s="20"/>
      <c r="AD124" s="17"/>
      <c r="AE124" s="20"/>
      <c r="AF124" s="17"/>
      <c r="AG124" s="21"/>
      <c r="AH124" s="17"/>
      <c r="AI124" s="19"/>
      <c r="AJ124" s="17"/>
      <c r="AK124" s="19"/>
      <c r="AL124" s="17"/>
      <c r="AM124" s="21"/>
      <c r="AN124" s="17"/>
      <c r="AO124" s="19"/>
      <c r="AP124" s="17"/>
      <c r="AQ124" s="19"/>
      <c r="AR124" s="17"/>
      <c r="AS124" s="19"/>
      <c r="AT124" s="17"/>
      <c r="AU124" s="21"/>
      <c r="AV124" s="17"/>
      <c r="AW124" s="21"/>
      <c r="AX124" s="17"/>
      <c r="AY124" s="21"/>
      <c r="AZ124" s="17"/>
      <c r="BA124" s="21"/>
      <c r="BB124" s="17" t="s">
        <v>72</v>
      </c>
      <c r="BC124" s="21" t="s">
        <v>101</v>
      </c>
      <c r="BD124" s="17"/>
      <c r="BE124" s="22">
        <f t="shared" si="20"/>
        <v>60</v>
      </c>
      <c r="BF124" s="14">
        <f t="shared" si="21"/>
        <v>46054</v>
      </c>
      <c r="BG124" s="23" t="str">
        <f t="shared" si="22"/>
        <v>February 2026</v>
      </c>
      <c r="BH124" s="14">
        <f t="shared" si="23"/>
        <v>46048</v>
      </c>
      <c r="BI124" s="14">
        <f t="shared" si="24"/>
        <v>46054</v>
      </c>
      <c r="BJ124" s="17" t="str">
        <f t="shared" si="25"/>
        <v>26/01/2026 - 01/02/2026</v>
      </c>
      <c r="BK124" s="17">
        <f>IF($B124="","",COUNTIFS($B$5:$B124,$B124,$BF$5:$BF124,$BF124))</f>
        <v>10</v>
      </c>
      <c r="BL124" s="17">
        <f>IF($B124="","",COUNTIFS($B$5:$B124,$B124,$BH$5:$BH124,$BH124))</f>
        <v>10</v>
      </c>
      <c r="BM124" s="17" t="str">
        <f t="shared" si="26"/>
        <v>10|Arisa Aiemrit|20260201</v>
      </c>
      <c r="BN124" s="17" t="str">
        <f t="shared" si="27"/>
        <v>10|Arisa Aiemrit|20260126</v>
      </c>
      <c r="BO124" s="17">
        <f t="shared" si="28"/>
        <v>0</v>
      </c>
      <c r="BP124" s="24" t="s">
        <v>498</v>
      </c>
      <c r="BQ124" s="13"/>
      <c r="BR124" s="25" t="str">
        <f t="shared" si="29"/>
        <v>Jan-Feb 2026</v>
      </c>
    </row>
    <row r="125" spans="1:70" s="18" customFormat="1" ht="15" customHeight="1">
      <c r="A125" s="14">
        <v>46080.914969189813</v>
      </c>
      <c r="B125" s="15" t="s">
        <v>71</v>
      </c>
      <c r="C125" s="14">
        <v>46054</v>
      </c>
      <c r="D125" s="16"/>
      <c r="E125" s="16"/>
      <c r="F125" s="17" t="s">
        <v>499</v>
      </c>
      <c r="G125" s="13" t="s">
        <v>500</v>
      </c>
      <c r="H125" s="18">
        <v>0</v>
      </c>
      <c r="J125" s="18">
        <v>20</v>
      </c>
      <c r="L125" s="18">
        <v>11</v>
      </c>
      <c r="N125" s="18">
        <v>10</v>
      </c>
      <c r="P125" s="18">
        <v>19</v>
      </c>
      <c r="R125" s="18">
        <v>5</v>
      </c>
      <c r="T125" s="17"/>
      <c r="U125" s="19"/>
      <c r="V125" s="17"/>
      <c r="W125" s="19"/>
      <c r="X125" s="17"/>
      <c r="Y125" s="19"/>
      <c r="Z125" s="17"/>
      <c r="AA125" s="19"/>
      <c r="AB125" s="17"/>
      <c r="AC125" s="20"/>
      <c r="AD125" s="17"/>
      <c r="AE125" s="20"/>
      <c r="AF125" s="17"/>
      <c r="AG125" s="21"/>
      <c r="AH125" s="17"/>
      <c r="AI125" s="19"/>
      <c r="AJ125" s="17"/>
      <c r="AK125" s="19"/>
      <c r="AL125" s="17"/>
      <c r="AM125" s="21"/>
      <c r="AN125" s="17"/>
      <c r="AO125" s="19"/>
      <c r="AP125" s="17"/>
      <c r="AQ125" s="19"/>
      <c r="AR125" s="17"/>
      <c r="AS125" s="19"/>
      <c r="AT125" s="17"/>
      <c r="AU125" s="21"/>
      <c r="AV125" s="17"/>
      <c r="AW125" s="21"/>
      <c r="AX125" s="17"/>
      <c r="AY125" s="21"/>
      <c r="AZ125" s="17"/>
      <c r="BA125" s="21"/>
      <c r="BB125" s="17" t="s">
        <v>72</v>
      </c>
      <c r="BC125" s="21" t="s">
        <v>501</v>
      </c>
      <c r="BD125" s="17"/>
      <c r="BE125" s="22">
        <f t="shared" si="20"/>
        <v>65</v>
      </c>
      <c r="BF125" s="14">
        <f t="shared" si="21"/>
        <v>46054</v>
      </c>
      <c r="BG125" s="23" t="str">
        <f t="shared" si="22"/>
        <v>February 2026</v>
      </c>
      <c r="BH125" s="14">
        <f t="shared" si="23"/>
        <v>46048</v>
      </c>
      <c r="BI125" s="14">
        <f t="shared" si="24"/>
        <v>46054</v>
      </c>
      <c r="BJ125" s="17" t="str">
        <f t="shared" si="25"/>
        <v>26/01/2026 - 01/02/2026</v>
      </c>
      <c r="BK125" s="17">
        <f>IF($B125="","",COUNTIFS($B$5:$B125,$B125,$BF$5:$BF125,$BF125))</f>
        <v>1</v>
      </c>
      <c r="BL125" s="17">
        <f>IF($B125="","",COUNTIFS($B$5:$B125,$B125,$BH$5:$BH125,$BH125))</f>
        <v>1</v>
      </c>
      <c r="BM125" s="17" t="str">
        <f t="shared" si="26"/>
        <v>01|Chatkonnaphat Bhusomya|20260201</v>
      </c>
      <c r="BN125" s="17" t="str">
        <f t="shared" si="27"/>
        <v>01|Chatkonnaphat Bhusomya|20260126</v>
      </c>
      <c r="BO125" s="17">
        <f t="shared" si="28"/>
        <v>0</v>
      </c>
      <c r="BP125" s="24" t="s">
        <v>502</v>
      </c>
      <c r="BQ125" s="13"/>
      <c r="BR125" s="25" t="str">
        <f t="shared" si="29"/>
        <v>Jan-Feb 2026</v>
      </c>
    </row>
    <row r="126" spans="1:70" s="18" customFormat="1" ht="15" customHeight="1">
      <c r="A126" s="14">
        <v>46080.926997210649</v>
      </c>
      <c r="B126" s="15" t="s">
        <v>71</v>
      </c>
      <c r="C126" s="14">
        <v>46054</v>
      </c>
      <c r="D126" s="16"/>
      <c r="E126" s="16"/>
      <c r="F126" s="17" t="s">
        <v>503</v>
      </c>
      <c r="G126" s="13" t="s">
        <v>504</v>
      </c>
      <c r="H126" s="18">
        <v>10</v>
      </c>
      <c r="J126" s="18">
        <v>20</v>
      </c>
      <c r="L126" s="18">
        <v>15</v>
      </c>
      <c r="N126" s="18">
        <v>10</v>
      </c>
      <c r="P126" s="18">
        <v>20</v>
      </c>
      <c r="R126" s="18">
        <v>7</v>
      </c>
      <c r="T126" s="17"/>
      <c r="U126" s="19"/>
      <c r="V126" s="17"/>
      <c r="W126" s="19"/>
      <c r="X126" s="17"/>
      <c r="Y126" s="19"/>
      <c r="Z126" s="17"/>
      <c r="AA126" s="19"/>
      <c r="AB126" s="17"/>
      <c r="AC126" s="20"/>
      <c r="AD126" s="17"/>
      <c r="AE126" s="20"/>
      <c r="AF126" s="17"/>
      <c r="AG126" s="21"/>
      <c r="AH126" s="17"/>
      <c r="AI126" s="19"/>
      <c r="AJ126" s="17"/>
      <c r="AK126" s="19"/>
      <c r="AL126" s="17"/>
      <c r="AM126" s="21"/>
      <c r="AN126" s="17"/>
      <c r="AO126" s="19"/>
      <c r="AP126" s="17"/>
      <c r="AQ126" s="19"/>
      <c r="AR126" s="17"/>
      <c r="AS126" s="19"/>
      <c r="AT126" s="17"/>
      <c r="AU126" s="21"/>
      <c r="AV126" s="17"/>
      <c r="AW126" s="21"/>
      <c r="AX126" s="17"/>
      <c r="AY126" s="21"/>
      <c r="AZ126" s="17"/>
      <c r="BA126" s="21"/>
      <c r="BB126" s="17" t="s">
        <v>72</v>
      </c>
      <c r="BC126" s="21" t="s">
        <v>90</v>
      </c>
      <c r="BD126" s="17"/>
      <c r="BE126" s="22">
        <f t="shared" si="20"/>
        <v>82</v>
      </c>
      <c r="BF126" s="14">
        <f t="shared" si="21"/>
        <v>46054</v>
      </c>
      <c r="BG126" s="23" t="str">
        <f t="shared" si="22"/>
        <v>February 2026</v>
      </c>
      <c r="BH126" s="14">
        <f t="shared" si="23"/>
        <v>46048</v>
      </c>
      <c r="BI126" s="14">
        <f t="shared" si="24"/>
        <v>46054</v>
      </c>
      <c r="BJ126" s="17" t="str">
        <f t="shared" si="25"/>
        <v>26/01/2026 - 01/02/2026</v>
      </c>
      <c r="BK126" s="17">
        <f>IF($B126="","",COUNTIFS($B$5:$B126,$B126,$BF$5:$BF126,$BF126))</f>
        <v>2</v>
      </c>
      <c r="BL126" s="17">
        <f>IF($B126="","",COUNTIFS($B$5:$B126,$B126,$BH$5:$BH126,$BH126))</f>
        <v>2</v>
      </c>
      <c r="BM126" s="17" t="str">
        <f t="shared" si="26"/>
        <v>02|Chatkonnaphat Bhusomya|20260201</v>
      </c>
      <c r="BN126" s="17" t="str">
        <f t="shared" si="27"/>
        <v>02|Chatkonnaphat Bhusomya|20260126</v>
      </c>
      <c r="BO126" s="17">
        <f t="shared" si="28"/>
        <v>0</v>
      </c>
      <c r="BP126" s="24" t="s">
        <v>505</v>
      </c>
      <c r="BQ126" s="13"/>
      <c r="BR126" s="25" t="str">
        <f t="shared" si="29"/>
        <v>Jan-Feb 2026</v>
      </c>
    </row>
    <row r="127" spans="1:70" s="18" customFormat="1" ht="15" customHeight="1">
      <c r="A127" s="14">
        <v>46080.928884409717</v>
      </c>
      <c r="B127" s="15" t="s">
        <v>71</v>
      </c>
      <c r="C127" s="14">
        <v>46054</v>
      </c>
      <c r="D127" s="16"/>
      <c r="E127" s="16"/>
      <c r="F127" s="17" t="s">
        <v>506</v>
      </c>
      <c r="G127" s="13" t="s">
        <v>507</v>
      </c>
      <c r="H127" s="18">
        <v>10</v>
      </c>
      <c r="J127" s="18">
        <v>24</v>
      </c>
      <c r="L127" s="18">
        <v>15</v>
      </c>
      <c r="N127" s="18">
        <v>10</v>
      </c>
      <c r="P127" s="18">
        <v>16</v>
      </c>
      <c r="R127" s="18">
        <v>9</v>
      </c>
      <c r="T127" s="17"/>
      <c r="U127" s="19"/>
      <c r="V127" s="17"/>
      <c r="W127" s="19"/>
      <c r="X127" s="17"/>
      <c r="Y127" s="19"/>
      <c r="Z127" s="17"/>
      <c r="AA127" s="19"/>
      <c r="AB127" s="17"/>
      <c r="AC127" s="20"/>
      <c r="AD127" s="17"/>
      <c r="AE127" s="20"/>
      <c r="AF127" s="17"/>
      <c r="AG127" s="21"/>
      <c r="AH127" s="17"/>
      <c r="AI127" s="19"/>
      <c r="AJ127" s="17"/>
      <c r="AK127" s="19"/>
      <c r="AL127" s="17"/>
      <c r="AM127" s="21"/>
      <c r="AN127" s="17"/>
      <c r="AO127" s="19"/>
      <c r="AP127" s="17"/>
      <c r="AQ127" s="19"/>
      <c r="AR127" s="17"/>
      <c r="AS127" s="19"/>
      <c r="AT127" s="17"/>
      <c r="AU127" s="21"/>
      <c r="AV127" s="17"/>
      <c r="AW127" s="21"/>
      <c r="AX127" s="17"/>
      <c r="AY127" s="21"/>
      <c r="AZ127" s="17"/>
      <c r="BA127" s="21"/>
      <c r="BB127" s="17" t="s">
        <v>72</v>
      </c>
      <c r="BC127" s="21" t="s">
        <v>90</v>
      </c>
      <c r="BD127" s="17"/>
      <c r="BE127" s="22">
        <f t="shared" si="20"/>
        <v>84</v>
      </c>
      <c r="BF127" s="14">
        <f t="shared" si="21"/>
        <v>46054</v>
      </c>
      <c r="BG127" s="23" t="str">
        <f t="shared" si="22"/>
        <v>February 2026</v>
      </c>
      <c r="BH127" s="14">
        <f t="shared" si="23"/>
        <v>46048</v>
      </c>
      <c r="BI127" s="14">
        <f t="shared" si="24"/>
        <v>46054</v>
      </c>
      <c r="BJ127" s="17" t="str">
        <f t="shared" si="25"/>
        <v>26/01/2026 - 01/02/2026</v>
      </c>
      <c r="BK127" s="17">
        <f>IF($B127="","",COUNTIFS($B$5:$B127,$B127,$BF$5:$BF127,$BF127))</f>
        <v>3</v>
      </c>
      <c r="BL127" s="17">
        <f>IF($B127="","",COUNTIFS($B$5:$B127,$B127,$BH$5:$BH127,$BH127))</f>
        <v>3</v>
      </c>
      <c r="BM127" s="17" t="str">
        <f t="shared" si="26"/>
        <v>03|Chatkonnaphat Bhusomya|20260201</v>
      </c>
      <c r="BN127" s="17" t="str">
        <f t="shared" si="27"/>
        <v>03|Chatkonnaphat Bhusomya|20260126</v>
      </c>
      <c r="BO127" s="17">
        <f t="shared" si="28"/>
        <v>0</v>
      </c>
      <c r="BP127" s="24" t="s">
        <v>508</v>
      </c>
      <c r="BQ127" s="13"/>
      <c r="BR127" s="25" t="str">
        <f t="shared" si="29"/>
        <v>Jan-Feb 2026</v>
      </c>
    </row>
    <row r="128" spans="1:70" s="18" customFormat="1" ht="15" customHeight="1">
      <c r="A128" s="14">
        <v>46080.930871574077</v>
      </c>
      <c r="B128" s="15" t="s">
        <v>71</v>
      </c>
      <c r="C128" s="14">
        <v>46054</v>
      </c>
      <c r="D128" s="16"/>
      <c r="E128" s="16"/>
      <c r="F128" s="17" t="s">
        <v>509</v>
      </c>
      <c r="G128" s="13" t="s">
        <v>510</v>
      </c>
      <c r="H128" s="18">
        <v>5</v>
      </c>
      <c r="J128" s="18">
        <v>27</v>
      </c>
      <c r="L128" s="18">
        <v>15</v>
      </c>
      <c r="N128" s="18">
        <v>10</v>
      </c>
      <c r="P128" s="18">
        <v>16</v>
      </c>
      <c r="R128" s="18">
        <v>7</v>
      </c>
      <c r="T128" s="17"/>
      <c r="U128" s="19"/>
      <c r="V128" s="17"/>
      <c r="W128" s="19"/>
      <c r="X128" s="17"/>
      <c r="Y128" s="19"/>
      <c r="Z128" s="17"/>
      <c r="AA128" s="19"/>
      <c r="AB128" s="17"/>
      <c r="AC128" s="20"/>
      <c r="AD128" s="17"/>
      <c r="AE128" s="20"/>
      <c r="AF128" s="17"/>
      <c r="AG128" s="21"/>
      <c r="AH128" s="17"/>
      <c r="AI128" s="19"/>
      <c r="AJ128" s="17"/>
      <c r="AK128" s="19"/>
      <c r="AL128" s="17"/>
      <c r="AM128" s="21"/>
      <c r="AN128" s="17"/>
      <c r="AO128" s="19"/>
      <c r="AP128" s="17"/>
      <c r="AQ128" s="19"/>
      <c r="AR128" s="17"/>
      <c r="AS128" s="19"/>
      <c r="AT128" s="17"/>
      <c r="AU128" s="21"/>
      <c r="AV128" s="17"/>
      <c r="AW128" s="21"/>
      <c r="AX128" s="17"/>
      <c r="AY128" s="21"/>
      <c r="AZ128" s="17"/>
      <c r="BA128" s="21"/>
      <c r="BB128" s="17" t="s">
        <v>72</v>
      </c>
      <c r="BC128" s="21" t="s">
        <v>101</v>
      </c>
      <c r="BD128" s="17"/>
      <c r="BE128" s="22">
        <f t="shared" si="20"/>
        <v>80</v>
      </c>
      <c r="BF128" s="14">
        <f t="shared" si="21"/>
        <v>46054</v>
      </c>
      <c r="BG128" s="23" t="str">
        <f t="shared" si="22"/>
        <v>February 2026</v>
      </c>
      <c r="BH128" s="14">
        <f t="shared" si="23"/>
        <v>46048</v>
      </c>
      <c r="BI128" s="14">
        <f t="shared" si="24"/>
        <v>46054</v>
      </c>
      <c r="BJ128" s="17" t="str">
        <f t="shared" si="25"/>
        <v>26/01/2026 - 01/02/2026</v>
      </c>
      <c r="BK128" s="17">
        <f>IF($B128="","",COUNTIFS($B$5:$B128,$B128,$BF$5:$BF128,$BF128))</f>
        <v>4</v>
      </c>
      <c r="BL128" s="17">
        <f>IF($B128="","",COUNTIFS($B$5:$B128,$B128,$BH$5:$BH128,$BH128))</f>
        <v>4</v>
      </c>
      <c r="BM128" s="17" t="str">
        <f t="shared" si="26"/>
        <v>04|Chatkonnaphat Bhusomya|20260201</v>
      </c>
      <c r="BN128" s="17" t="str">
        <f t="shared" si="27"/>
        <v>04|Chatkonnaphat Bhusomya|20260126</v>
      </c>
      <c r="BO128" s="17">
        <f t="shared" si="28"/>
        <v>0</v>
      </c>
      <c r="BP128" s="24" t="s">
        <v>511</v>
      </c>
      <c r="BQ128" s="13"/>
      <c r="BR128" s="25" t="str">
        <f t="shared" si="29"/>
        <v>Jan-Feb 2026</v>
      </c>
    </row>
    <row r="129" spans="1:70" s="18" customFormat="1" ht="15" customHeight="1">
      <c r="A129" s="14">
        <v>46080.932552175916</v>
      </c>
      <c r="B129" s="15" t="s">
        <v>71</v>
      </c>
      <c r="C129" s="14">
        <v>46054</v>
      </c>
      <c r="D129" s="16"/>
      <c r="E129" s="16"/>
      <c r="F129" s="17" t="s">
        <v>512</v>
      </c>
      <c r="G129" s="13" t="s">
        <v>513</v>
      </c>
      <c r="H129" s="18">
        <v>9</v>
      </c>
      <c r="J129" s="18">
        <v>25</v>
      </c>
      <c r="L129" s="18">
        <v>15</v>
      </c>
      <c r="N129" s="18">
        <v>7</v>
      </c>
      <c r="P129" s="18">
        <v>14</v>
      </c>
      <c r="R129" s="18">
        <v>8</v>
      </c>
      <c r="T129" s="17"/>
      <c r="U129" s="19"/>
      <c r="V129" s="17"/>
      <c r="W129" s="19"/>
      <c r="X129" s="17"/>
      <c r="Y129" s="19"/>
      <c r="Z129" s="17"/>
      <c r="AA129" s="19"/>
      <c r="AB129" s="17"/>
      <c r="AC129" s="20"/>
      <c r="AD129" s="17"/>
      <c r="AE129" s="20"/>
      <c r="AF129" s="17"/>
      <c r="AG129" s="21"/>
      <c r="AH129" s="17"/>
      <c r="AI129" s="19"/>
      <c r="AJ129" s="17"/>
      <c r="AK129" s="19"/>
      <c r="AL129" s="17"/>
      <c r="AM129" s="21"/>
      <c r="AN129" s="17"/>
      <c r="AO129" s="19"/>
      <c r="AP129" s="17"/>
      <c r="AQ129" s="19"/>
      <c r="AR129" s="17"/>
      <c r="AS129" s="19"/>
      <c r="AT129" s="17"/>
      <c r="AU129" s="21"/>
      <c r="AV129" s="17"/>
      <c r="AW129" s="21"/>
      <c r="AX129" s="17"/>
      <c r="AY129" s="21"/>
      <c r="AZ129" s="17"/>
      <c r="BA129" s="21"/>
      <c r="BB129" s="17" t="s">
        <v>72</v>
      </c>
      <c r="BC129" s="21" t="s">
        <v>514</v>
      </c>
      <c r="BD129" s="17"/>
      <c r="BE129" s="22">
        <f t="shared" si="20"/>
        <v>78</v>
      </c>
      <c r="BF129" s="14">
        <f t="shared" si="21"/>
        <v>46054</v>
      </c>
      <c r="BG129" s="23" t="str">
        <f t="shared" si="22"/>
        <v>February 2026</v>
      </c>
      <c r="BH129" s="14">
        <f t="shared" si="23"/>
        <v>46048</v>
      </c>
      <c r="BI129" s="14">
        <f t="shared" si="24"/>
        <v>46054</v>
      </c>
      <c r="BJ129" s="17" t="str">
        <f t="shared" si="25"/>
        <v>26/01/2026 - 01/02/2026</v>
      </c>
      <c r="BK129" s="17">
        <f>IF($B129="","",COUNTIFS($B$5:$B129,$B129,$BF$5:$BF129,$BF129))</f>
        <v>5</v>
      </c>
      <c r="BL129" s="17">
        <f>IF($B129="","",COUNTIFS($B$5:$B129,$B129,$BH$5:$BH129,$BH129))</f>
        <v>5</v>
      </c>
      <c r="BM129" s="17" t="str">
        <f t="shared" si="26"/>
        <v>05|Chatkonnaphat Bhusomya|20260201</v>
      </c>
      <c r="BN129" s="17" t="str">
        <f t="shared" si="27"/>
        <v>05|Chatkonnaphat Bhusomya|20260126</v>
      </c>
      <c r="BO129" s="17">
        <f t="shared" si="28"/>
        <v>0</v>
      </c>
      <c r="BP129" s="24" t="s">
        <v>515</v>
      </c>
      <c r="BQ129" s="13"/>
      <c r="BR129" s="25" t="str">
        <f t="shared" si="29"/>
        <v>Jan-Feb 2026</v>
      </c>
    </row>
    <row r="130" spans="1:70" s="18" customFormat="1" ht="15" customHeight="1">
      <c r="A130" s="14">
        <v>46080.933766655093</v>
      </c>
      <c r="B130" s="15" t="s">
        <v>71</v>
      </c>
      <c r="C130" s="14">
        <v>46054</v>
      </c>
      <c r="D130" s="16"/>
      <c r="E130" s="16"/>
      <c r="F130" s="17" t="s">
        <v>516</v>
      </c>
      <c r="G130" s="13" t="s">
        <v>517</v>
      </c>
      <c r="H130" s="18">
        <v>10</v>
      </c>
      <c r="J130" s="18">
        <v>28</v>
      </c>
      <c r="L130" s="18">
        <v>20</v>
      </c>
      <c r="N130" s="18">
        <v>10</v>
      </c>
      <c r="P130" s="18">
        <v>15</v>
      </c>
      <c r="R130" s="18">
        <v>8</v>
      </c>
      <c r="T130" s="17"/>
      <c r="U130" s="19"/>
      <c r="V130" s="17"/>
      <c r="W130" s="19"/>
      <c r="X130" s="17"/>
      <c r="Y130" s="19"/>
      <c r="Z130" s="17"/>
      <c r="AA130" s="19"/>
      <c r="AB130" s="17"/>
      <c r="AC130" s="20"/>
      <c r="AD130" s="17"/>
      <c r="AE130" s="20"/>
      <c r="AF130" s="17"/>
      <c r="AG130" s="21"/>
      <c r="AH130" s="17"/>
      <c r="AI130" s="19"/>
      <c r="AJ130" s="17"/>
      <c r="AK130" s="19"/>
      <c r="AL130" s="17"/>
      <c r="AM130" s="21"/>
      <c r="AN130" s="17"/>
      <c r="AO130" s="19"/>
      <c r="AP130" s="17"/>
      <c r="AQ130" s="19"/>
      <c r="AR130" s="17"/>
      <c r="AS130" s="19"/>
      <c r="AT130" s="17"/>
      <c r="AU130" s="21"/>
      <c r="AV130" s="17"/>
      <c r="AW130" s="21"/>
      <c r="AX130" s="17"/>
      <c r="AY130" s="21"/>
      <c r="AZ130" s="17"/>
      <c r="BA130" s="21"/>
      <c r="BB130" s="17" t="s">
        <v>72</v>
      </c>
      <c r="BC130" s="21" t="s">
        <v>477</v>
      </c>
      <c r="BD130" s="17"/>
      <c r="BE130" s="22">
        <f t="shared" si="20"/>
        <v>91</v>
      </c>
      <c r="BF130" s="14">
        <f t="shared" si="21"/>
        <v>46054</v>
      </c>
      <c r="BG130" s="23" t="str">
        <f t="shared" si="22"/>
        <v>February 2026</v>
      </c>
      <c r="BH130" s="14">
        <f t="shared" si="23"/>
        <v>46048</v>
      </c>
      <c r="BI130" s="14">
        <f t="shared" si="24"/>
        <v>46054</v>
      </c>
      <c r="BJ130" s="17" t="str">
        <f t="shared" si="25"/>
        <v>26/01/2026 - 01/02/2026</v>
      </c>
      <c r="BK130" s="17">
        <f>IF($B130="","",COUNTIFS($B$5:$B130,$B130,$BF$5:$BF130,$BF130))</f>
        <v>6</v>
      </c>
      <c r="BL130" s="17">
        <f>IF($B130="","",COUNTIFS($B$5:$B130,$B130,$BH$5:$BH130,$BH130))</f>
        <v>6</v>
      </c>
      <c r="BM130" s="17" t="str">
        <f t="shared" si="26"/>
        <v>06|Chatkonnaphat Bhusomya|20260201</v>
      </c>
      <c r="BN130" s="17" t="str">
        <f t="shared" si="27"/>
        <v>06|Chatkonnaphat Bhusomya|20260126</v>
      </c>
      <c r="BO130" s="17">
        <f t="shared" si="28"/>
        <v>0</v>
      </c>
      <c r="BP130" s="24" t="s">
        <v>518</v>
      </c>
      <c r="BQ130" s="13"/>
      <c r="BR130" s="25" t="str">
        <f t="shared" si="29"/>
        <v>Jan-Feb 2026</v>
      </c>
    </row>
    <row r="131" spans="1:70" s="18" customFormat="1" ht="15" customHeight="1">
      <c r="A131" s="14">
        <v>46080.934928391202</v>
      </c>
      <c r="B131" s="15" t="s">
        <v>71</v>
      </c>
      <c r="C131" s="14">
        <v>46054</v>
      </c>
      <c r="D131" s="16"/>
      <c r="E131" s="16"/>
      <c r="F131" s="17" t="s">
        <v>519</v>
      </c>
      <c r="G131" s="13" t="s">
        <v>520</v>
      </c>
      <c r="H131" s="18">
        <v>10</v>
      </c>
      <c r="J131" s="18">
        <v>27</v>
      </c>
      <c r="L131" s="18">
        <v>17</v>
      </c>
      <c r="N131" s="18">
        <v>10</v>
      </c>
      <c r="P131" s="18">
        <v>16</v>
      </c>
      <c r="R131" s="18">
        <v>7</v>
      </c>
      <c r="T131" s="17"/>
      <c r="U131" s="19"/>
      <c r="V131" s="17"/>
      <c r="W131" s="19"/>
      <c r="X131" s="17"/>
      <c r="Y131" s="19"/>
      <c r="Z131" s="17"/>
      <c r="AA131" s="19"/>
      <c r="AB131" s="17"/>
      <c r="AC131" s="20"/>
      <c r="AD131" s="17"/>
      <c r="AE131" s="20"/>
      <c r="AF131" s="17"/>
      <c r="AG131" s="21"/>
      <c r="AH131" s="17"/>
      <c r="AI131" s="19"/>
      <c r="AJ131" s="17"/>
      <c r="AK131" s="19"/>
      <c r="AL131" s="17"/>
      <c r="AM131" s="21"/>
      <c r="AN131" s="17"/>
      <c r="AO131" s="19"/>
      <c r="AP131" s="17"/>
      <c r="AQ131" s="19"/>
      <c r="AR131" s="17"/>
      <c r="AS131" s="19"/>
      <c r="AT131" s="17"/>
      <c r="AU131" s="21"/>
      <c r="AV131" s="17"/>
      <c r="AW131" s="21"/>
      <c r="AX131" s="17"/>
      <c r="AY131" s="21"/>
      <c r="AZ131" s="17"/>
      <c r="BA131" s="21"/>
      <c r="BB131" s="17" t="s">
        <v>72</v>
      </c>
      <c r="BC131" s="21" t="s">
        <v>521</v>
      </c>
      <c r="BD131" s="17"/>
      <c r="BE131" s="22">
        <f t="shared" si="20"/>
        <v>87</v>
      </c>
      <c r="BF131" s="14">
        <f t="shared" si="21"/>
        <v>46054</v>
      </c>
      <c r="BG131" s="23" t="str">
        <f t="shared" si="22"/>
        <v>February 2026</v>
      </c>
      <c r="BH131" s="14">
        <f t="shared" si="23"/>
        <v>46048</v>
      </c>
      <c r="BI131" s="14">
        <f t="shared" si="24"/>
        <v>46054</v>
      </c>
      <c r="BJ131" s="17" t="str">
        <f t="shared" si="25"/>
        <v>26/01/2026 - 01/02/2026</v>
      </c>
      <c r="BK131" s="17">
        <f>IF($B131="","",COUNTIFS($B$5:$B131,$B131,$BF$5:$BF131,$BF131))</f>
        <v>7</v>
      </c>
      <c r="BL131" s="17">
        <f>IF($B131="","",COUNTIFS($B$5:$B131,$B131,$BH$5:$BH131,$BH131))</f>
        <v>7</v>
      </c>
      <c r="BM131" s="17" t="str">
        <f t="shared" si="26"/>
        <v>07|Chatkonnaphat Bhusomya|20260201</v>
      </c>
      <c r="BN131" s="17" t="str">
        <f t="shared" si="27"/>
        <v>07|Chatkonnaphat Bhusomya|20260126</v>
      </c>
      <c r="BO131" s="17">
        <f t="shared" si="28"/>
        <v>0</v>
      </c>
      <c r="BP131" s="24" t="s">
        <v>522</v>
      </c>
      <c r="BQ131" s="13"/>
      <c r="BR131" s="25" t="str">
        <f t="shared" si="29"/>
        <v>Jan-Feb 2026</v>
      </c>
    </row>
    <row r="132" spans="1:70" s="18" customFormat="1" ht="15" customHeight="1">
      <c r="A132" s="14">
        <v>46080.937757071762</v>
      </c>
      <c r="B132" s="15" t="s">
        <v>71</v>
      </c>
      <c r="C132" s="14">
        <v>46054</v>
      </c>
      <c r="D132" s="16"/>
      <c r="E132" s="16"/>
      <c r="F132" s="17" t="s">
        <v>523</v>
      </c>
      <c r="G132" s="13" t="s">
        <v>524</v>
      </c>
      <c r="H132" s="18">
        <v>10</v>
      </c>
      <c r="J132" s="18">
        <v>24</v>
      </c>
      <c r="L132" s="18">
        <v>15</v>
      </c>
      <c r="N132" s="18">
        <v>10</v>
      </c>
      <c r="P132" s="18">
        <v>17</v>
      </c>
      <c r="R132" s="18">
        <v>6</v>
      </c>
      <c r="T132" s="17"/>
      <c r="U132" s="19"/>
      <c r="V132" s="17"/>
      <c r="W132" s="19"/>
      <c r="X132" s="17"/>
      <c r="Y132" s="19"/>
      <c r="Z132" s="17"/>
      <c r="AA132" s="19"/>
      <c r="AB132" s="17"/>
      <c r="AC132" s="20"/>
      <c r="AD132" s="17"/>
      <c r="AE132" s="20"/>
      <c r="AF132" s="17"/>
      <c r="AG132" s="21"/>
      <c r="AH132" s="17"/>
      <c r="AI132" s="19"/>
      <c r="AJ132" s="17"/>
      <c r="AK132" s="19"/>
      <c r="AL132" s="17"/>
      <c r="AM132" s="21"/>
      <c r="AN132" s="17"/>
      <c r="AO132" s="19"/>
      <c r="AP132" s="17"/>
      <c r="AQ132" s="19"/>
      <c r="AR132" s="17"/>
      <c r="AS132" s="19"/>
      <c r="AT132" s="17"/>
      <c r="AU132" s="21"/>
      <c r="AV132" s="17"/>
      <c r="AW132" s="21"/>
      <c r="AX132" s="17"/>
      <c r="AY132" s="21"/>
      <c r="AZ132" s="17"/>
      <c r="BA132" s="21"/>
      <c r="BB132" s="17" t="s">
        <v>72</v>
      </c>
      <c r="BC132" s="21" t="s">
        <v>525</v>
      </c>
      <c r="BD132" s="17"/>
      <c r="BE132" s="22">
        <f t="shared" si="20"/>
        <v>82</v>
      </c>
      <c r="BF132" s="14">
        <f t="shared" si="21"/>
        <v>46054</v>
      </c>
      <c r="BG132" s="23" t="str">
        <f t="shared" si="22"/>
        <v>February 2026</v>
      </c>
      <c r="BH132" s="14">
        <f t="shared" si="23"/>
        <v>46048</v>
      </c>
      <c r="BI132" s="14">
        <f t="shared" si="24"/>
        <v>46054</v>
      </c>
      <c r="BJ132" s="17" t="str">
        <f t="shared" si="25"/>
        <v>26/01/2026 - 01/02/2026</v>
      </c>
      <c r="BK132" s="17">
        <f>IF($B132="","",COUNTIFS($B$5:$B132,$B132,$BF$5:$BF132,$BF132))</f>
        <v>8</v>
      </c>
      <c r="BL132" s="17">
        <f>IF($B132="","",COUNTIFS($B$5:$B132,$B132,$BH$5:$BH132,$BH132))</f>
        <v>8</v>
      </c>
      <c r="BM132" s="17" t="str">
        <f t="shared" si="26"/>
        <v>08|Chatkonnaphat Bhusomya|20260201</v>
      </c>
      <c r="BN132" s="17" t="str">
        <f t="shared" si="27"/>
        <v>08|Chatkonnaphat Bhusomya|20260126</v>
      </c>
      <c r="BO132" s="17">
        <f t="shared" si="28"/>
        <v>0</v>
      </c>
      <c r="BP132" s="24" t="s">
        <v>526</v>
      </c>
      <c r="BQ132" s="13"/>
      <c r="BR132" s="25" t="str">
        <f t="shared" si="29"/>
        <v>Jan-Feb 2026</v>
      </c>
    </row>
    <row r="133" spans="1:70" s="18" customFormat="1" ht="15" customHeight="1">
      <c r="A133" s="14">
        <v>46080.93957815972</v>
      </c>
      <c r="B133" s="15" t="s">
        <v>71</v>
      </c>
      <c r="C133" s="14">
        <v>46054</v>
      </c>
      <c r="D133" s="16"/>
      <c r="E133" s="16"/>
      <c r="F133" s="17" t="s">
        <v>527</v>
      </c>
      <c r="G133" s="13" t="s">
        <v>528</v>
      </c>
      <c r="H133" s="18">
        <v>10</v>
      </c>
      <c r="J133" s="18">
        <v>20</v>
      </c>
      <c r="L133" s="18">
        <v>13</v>
      </c>
      <c r="N133" s="18">
        <v>10</v>
      </c>
      <c r="P133" s="18">
        <v>17</v>
      </c>
      <c r="R133" s="18">
        <v>4</v>
      </c>
      <c r="T133" s="17"/>
      <c r="U133" s="19"/>
      <c r="V133" s="17"/>
      <c r="W133" s="19"/>
      <c r="X133" s="17"/>
      <c r="Y133" s="19"/>
      <c r="Z133" s="17"/>
      <c r="AA133" s="19"/>
      <c r="AB133" s="17"/>
      <c r="AC133" s="20"/>
      <c r="AD133" s="17"/>
      <c r="AE133" s="20"/>
      <c r="AF133" s="17"/>
      <c r="AG133" s="21"/>
      <c r="AH133" s="17"/>
      <c r="AI133" s="19"/>
      <c r="AJ133" s="17"/>
      <c r="AK133" s="19"/>
      <c r="AL133" s="17"/>
      <c r="AM133" s="21"/>
      <c r="AN133" s="17"/>
      <c r="AO133" s="19"/>
      <c r="AP133" s="17"/>
      <c r="AQ133" s="19"/>
      <c r="AR133" s="17"/>
      <c r="AS133" s="19"/>
      <c r="AT133" s="17"/>
      <c r="AU133" s="21"/>
      <c r="AV133" s="17"/>
      <c r="AW133" s="21"/>
      <c r="AX133" s="17"/>
      <c r="AY133" s="21"/>
      <c r="AZ133" s="17"/>
      <c r="BA133" s="21"/>
      <c r="BB133" s="17" t="s">
        <v>72</v>
      </c>
      <c r="BC133" s="21" t="s">
        <v>209</v>
      </c>
      <c r="BD133" s="17"/>
      <c r="BE133" s="22">
        <f t="shared" si="20"/>
        <v>74</v>
      </c>
      <c r="BF133" s="14">
        <f t="shared" si="21"/>
        <v>46054</v>
      </c>
      <c r="BG133" s="23" t="str">
        <f t="shared" si="22"/>
        <v>February 2026</v>
      </c>
      <c r="BH133" s="14">
        <f t="shared" si="23"/>
        <v>46048</v>
      </c>
      <c r="BI133" s="14">
        <f t="shared" si="24"/>
        <v>46054</v>
      </c>
      <c r="BJ133" s="17" t="str">
        <f t="shared" si="25"/>
        <v>26/01/2026 - 01/02/2026</v>
      </c>
      <c r="BK133" s="17">
        <f>IF($B133="","",COUNTIFS($B$5:$B133,$B133,$BF$5:$BF133,$BF133))</f>
        <v>9</v>
      </c>
      <c r="BL133" s="17">
        <f>IF($B133="","",COUNTIFS($B$5:$B133,$B133,$BH$5:$BH133,$BH133))</f>
        <v>9</v>
      </c>
      <c r="BM133" s="17" t="str">
        <f t="shared" si="26"/>
        <v>09|Chatkonnaphat Bhusomya|20260201</v>
      </c>
      <c r="BN133" s="17" t="str">
        <f t="shared" si="27"/>
        <v>09|Chatkonnaphat Bhusomya|20260126</v>
      </c>
      <c r="BO133" s="17">
        <f t="shared" si="28"/>
        <v>0</v>
      </c>
      <c r="BP133" s="24" t="s">
        <v>529</v>
      </c>
      <c r="BQ133" s="13"/>
      <c r="BR133" s="25" t="str">
        <f t="shared" si="29"/>
        <v>Jan-Feb 2026</v>
      </c>
    </row>
    <row r="134" spans="1:70" s="18" customFormat="1" ht="15" customHeight="1">
      <c r="A134" s="14">
        <v>46080.941350127323</v>
      </c>
      <c r="B134" s="15" t="s">
        <v>71</v>
      </c>
      <c r="C134" s="14">
        <v>46054</v>
      </c>
      <c r="D134" s="16"/>
      <c r="E134" s="16"/>
      <c r="F134" s="17" t="s">
        <v>530</v>
      </c>
      <c r="G134" s="13" t="s">
        <v>531</v>
      </c>
      <c r="H134" s="18">
        <v>4</v>
      </c>
      <c r="J134" s="18">
        <v>20</v>
      </c>
      <c r="L134" s="18">
        <v>15</v>
      </c>
      <c r="N134" s="18">
        <v>10</v>
      </c>
      <c r="P134" s="18">
        <v>18</v>
      </c>
      <c r="R134" s="18">
        <v>10</v>
      </c>
      <c r="T134" s="17"/>
      <c r="U134" s="19"/>
      <c r="V134" s="17"/>
      <c r="W134" s="19"/>
      <c r="X134" s="17"/>
      <c r="Y134" s="19"/>
      <c r="Z134" s="17"/>
      <c r="AA134" s="19"/>
      <c r="AB134" s="17"/>
      <c r="AC134" s="20"/>
      <c r="AD134" s="17"/>
      <c r="AE134" s="20"/>
      <c r="AF134" s="17"/>
      <c r="AG134" s="21"/>
      <c r="AH134" s="17"/>
      <c r="AI134" s="19"/>
      <c r="AJ134" s="17"/>
      <c r="AK134" s="19"/>
      <c r="AL134" s="17"/>
      <c r="AM134" s="21"/>
      <c r="AN134" s="17"/>
      <c r="AO134" s="19"/>
      <c r="AP134" s="17"/>
      <c r="AQ134" s="19"/>
      <c r="AR134" s="17"/>
      <c r="AS134" s="19"/>
      <c r="AT134" s="17"/>
      <c r="AU134" s="21"/>
      <c r="AV134" s="17"/>
      <c r="AW134" s="21"/>
      <c r="AX134" s="17"/>
      <c r="AY134" s="21"/>
      <c r="AZ134" s="17"/>
      <c r="BA134" s="21"/>
      <c r="BB134" s="17" t="s">
        <v>72</v>
      </c>
      <c r="BC134" s="21" t="s">
        <v>138</v>
      </c>
      <c r="BD134" s="17"/>
      <c r="BE134" s="22">
        <f t="shared" si="20"/>
        <v>77</v>
      </c>
      <c r="BF134" s="14">
        <f t="shared" si="21"/>
        <v>46054</v>
      </c>
      <c r="BG134" s="23" t="str">
        <f t="shared" si="22"/>
        <v>February 2026</v>
      </c>
      <c r="BH134" s="14">
        <f t="shared" si="23"/>
        <v>46048</v>
      </c>
      <c r="BI134" s="14">
        <f t="shared" si="24"/>
        <v>46054</v>
      </c>
      <c r="BJ134" s="17" t="str">
        <f t="shared" si="25"/>
        <v>26/01/2026 - 01/02/2026</v>
      </c>
      <c r="BK134" s="17">
        <f>IF($B134="","",COUNTIFS($B$5:$B134,$B134,$BF$5:$BF134,$BF134))</f>
        <v>10</v>
      </c>
      <c r="BL134" s="17">
        <f>IF($B134="","",COUNTIFS($B$5:$B134,$B134,$BH$5:$BH134,$BH134))</f>
        <v>10</v>
      </c>
      <c r="BM134" s="17" t="str">
        <f t="shared" si="26"/>
        <v>10|Chatkonnaphat Bhusomya|20260201</v>
      </c>
      <c r="BN134" s="17" t="str">
        <f t="shared" si="27"/>
        <v>10|Chatkonnaphat Bhusomya|20260126</v>
      </c>
      <c r="BO134" s="17">
        <f t="shared" si="28"/>
        <v>0</v>
      </c>
      <c r="BP134" s="24" t="s">
        <v>532</v>
      </c>
      <c r="BQ134" s="13"/>
      <c r="BR134" s="25" t="str">
        <f t="shared" si="29"/>
        <v>Jan-Feb 2026</v>
      </c>
    </row>
    <row r="135" spans="1:70" s="18" customFormat="1" ht="15" customHeight="1">
      <c r="A135" s="14">
        <v>46069.400803090277</v>
      </c>
      <c r="B135" s="15" t="s">
        <v>75</v>
      </c>
      <c r="C135" s="14">
        <v>46054</v>
      </c>
      <c r="D135" s="16"/>
      <c r="E135" s="16"/>
      <c r="F135" s="17" t="s">
        <v>533</v>
      </c>
      <c r="G135" s="13" t="s">
        <v>534</v>
      </c>
      <c r="H135" s="18">
        <v>10</v>
      </c>
      <c r="J135" s="18">
        <v>24</v>
      </c>
      <c r="L135" s="18">
        <v>16</v>
      </c>
      <c r="N135" s="18">
        <v>10</v>
      </c>
      <c r="P135" s="18">
        <v>15</v>
      </c>
      <c r="R135" s="18">
        <v>6</v>
      </c>
      <c r="T135" s="17"/>
      <c r="U135" s="19"/>
      <c r="V135" s="17"/>
      <c r="W135" s="19"/>
      <c r="X135" s="17"/>
      <c r="Y135" s="19"/>
      <c r="Z135" s="17"/>
      <c r="AA135" s="19"/>
      <c r="AB135" s="17"/>
      <c r="AC135" s="20"/>
      <c r="AD135" s="17"/>
      <c r="AE135" s="20"/>
      <c r="AF135" s="17"/>
      <c r="AG135" s="21"/>
      <c r="AH135" s="17"/>
      <c r="AI135" s="19"/>
      <c r="AJ135" s="17"/>
      <c r="AK135" s="19"/>
      <c r="AL135" s="17"/>
      <c r="AM135" s="21"/>
      <c r="AN135" s="17"/>
      <c r="AO135" s="19"/>
      <c r="AP135" s="17"/>
      <c r="AQ135" s="19"/>
      <c r="AR135" s="17"/>
      <c r="AS135" s="19"/>
      <c r="AT135" s="17"/>
      <c r="AU135" s="21"/>
      <c r="AV135" s="17"/>
      <c r="AW135" s="21"/>
      <c r="AX135" s="17"/>
      <c r="AY135" s="21"/>
      <c r="AZ135" s="17"/>
      <c r="BA135" s="21"/>
      <c r="BB135" s="17" t="s">
        <v>72</v>
      </c>
      <c r="BC135" s="21" t="s">
        <v>153</v>
      </c>
      <c r="BD135" s="17"/>
      <c r="BE135" s="22">
        <f t="shared" si="20"/>
        <v>81</v>
      </c>
      <c r="BF135" s="14">
        <f t="shared" si="21"/>
        <v>46054</v>
      </c>
      <c r="BG135" s="23" t="str">
        <f t="shared" si="22"/>
        <v>February 2026</v>
      </c>
      <c r="BH135" s="14">
        <f t="shared" si="23"/>
        <v>46048</v>
      </c>
      <c r="BI135" s="14">
        <f t="shared" si="24"/>
        <v>46054</v>
      </c>
      <c r="BJ135" s="17" t="str">
        <f t="shared" si="25"/>
        <v>26/01/2026 - 01/02/2026</v>
      </c>
      <c r="BK135" s="17">
        <f>IF($B135="","",COUNTIFS($B$5:$B135,$B135,$BF$5:$BF135,$BF135))</f>
        <v>1</v>
      </c>
      <c r="BL135" s="17">
        <f>IF($B135="","",COUNTIFS($B$5:$B135,$B135,$BH$5:$BH135,$BH135))</f>
        <v>1</v>
      </c>
      <c r="BM135" s="17" t="str">
        <f t="shared" si="26"/>
        <v>01|Jariyawadee Taboodda|20260201</v>
      </c>
      <c r="BN135" s="17" t="str">
        <f t="shared" si="27"/>
        <v>01|Jariyawadee Taboodda|20260126</v>
      </c>
      <c r="BO135" s="17">
        <f t="shared" si="28"/>
        <v>0</v>
      </c>
      <c r="BP135" s="24" t="s">
        <v>535</v>
      </c>
      <c r="BQ135" s="13"/>
      <c r="BR135" s="25" t="str">
        <f t="shared" si="29"/>
        <v>Jan-Feb 2026</v>
      </c>
    </row>
    <row r="136" spans="1:70" s="18" customFormat="1" ht="15" customHeight="1">
      <c r="A136" s="14">
        <v>46069.402250046303</v>
      </c>
      <c r="B136" s="15" t="s">
        <v>75</v>
      </c>
      <c r="C136" s="14">
        <v>46054</v>
      </c>
      <c r="D136" s="16"/>
      <c r="E136" s="16"/>
      <c r="F136" s="17" t="s">
        <v>536</v>
      </c>
      <c r="G136" s="13" t="s">
        <v>537</v>
      </c>
      <c r="H136" s="18">
        <v>8</v>
      </c>
      <c r="J136" s="18">
        <v>24</v>
      </c>
      <c r="L136" s="18">
        <v>16</v>
      </c>
      <c r="N136" s="18">
        <v>10</v>
      </c>
      <c r="P136" s="18">
        <v>15</v>
      </c>
      <c r="R136" s="18">
        <v>5</v>
      </c>
      <c r="T136" s="17"/>
      <c r="U136" s="19"/>
      <c r="V136" s="17"/>
      <c r="W136" s="19"/>
      <c r="X136" s="17"/>
      <c r="Y136" s="19"/>
      <c r="Z136" s="17"/>
      <c r="AA136" s="19"/>
      <c r="AB136" s="17"/>
      <c r="AC136" s="20"/>
      <c r="AD136" s="17"/>
      <c r="AE136" s="20"/>
      <c r="AF136" s="17"/>
      <c r="AG136" s="21"/>
      <c r="AH136" s="17"/>
      <c r="AI136" s="19"/>
      <c r="AJ136" s="17"/>
      <c r="AK136" s="19"/>
      <c r="AL136" s="17"/>
      <c r="AM136" s="21"/>
      <c r="AN136" s="17"/>
      <c r="AO136" s="19"/>
      <c r="AP136" s="17"/>
      <c r="AQ136" s="19"/>
      <c r="AR136" s="17"/>
      <c r="AS136" s="19"/>
      <c r="AT136" s="17"/>
      <c r="AU136" s="21"/>
      <c r="AV136" s="17"/>
      <c r="AW136" s="21"/>
      <c r="AX136" s="17"/>
      <c r="AY136" s="21"/>
      <c r="AZ136" s="17"/>
      <c r="BA136" s="21"/>
      <c r="BB136" s="17" t="s">
        <v>72</v>
      </c>
      <c r="BC136" s="21" t="s">
        <v>142</v>
      </c>
      <c r="BD136" s="17"/>
      <c r="BE136" s="22">
        <f t="shared" si="20"/>
        <v>78</v>
      </c>
      <c r="BF136" s="14">
        <f t="shared" si="21"/>
        <v>46054</v>
      </c>
      <c r="BG136" s="23" t="str">
        <f t="shared" si="22"/>
        <v>February 2026</v>
      </c>
      <c r="BH136" s="14">
        <f t="shared" si="23"/>
        <v>46048</v>
      </c>
      <c r="BI136" s="14">
        <f t="shared" si="24"/>
        <v>46054</v>
      </c>
      <c r="BJ136" s="17" t="str">
        <f t="shared" si="25"/>
        <v>26/01/2026 - 01/02/2026</v>
      </c>
      <c r="BK136" s="17">
        <f>IF($B136="","",COUNTIFS($B$5:$B136,$B136,$BF$5:$BF136,$BF136))</f>
        <v>2</v>
      </c>
      <c r="BL136" s="17">
        <f>IF($B136="","",COUNTIFS($B$5:$B136,$B136,$BH$5:$BH136,$BH136))</f>
        <v>2</v>
      </c>
      <c r="BM136" s="17" t="str">
        <f t="shared" si="26"/>
        <v>02|Jariyawadee Taboodda|20260201</v>
      </c>
      <c r="BN136" s="17" t="str">
        <f t="shared" si="27"/>
        <v>02|Jariyawadee Taboodda|20260126</v>
      </c>
      <c r="BO136" s="17">
        <f t="shared" si="28"/>
        <v>0</v>
      </c>
      <c r="BP136" s="24" t="s">
        <v>538</v>
      </c>
      <c r="BQ136" s="13"/>
      <c r="BR136" s="25" t="str">
        <f t="shared" si="29"/>
        <v>Jan-Feb 2026</v>
      </c>
    </row>
    <row r="137" spans="1:70" s="18" customFormat="1" ht="15" customHeight="1">
      <c r="A137" s="14">
        <v>46069.408745208333</v>
      </c>
      <c r="B137" s="15" t="s">
        <v>75</v>
      </c>
      <c r="C137" s="14">
        <v>46054</v>
      </c>
      <c r="D137" s="16"/>
      <c r="E137" s="16"/>
      <c r="F137" s="17" t="s">
        <v>539</v>
      </c>
      <c r="G137" s="13" t="s">
        <v>540</v>
      </c>
      <c r="H137" s="18">
        <v>8</v>
      </c>
      <c r="J137" s="18">
        <v>20</v>
      </c>
      <c r="L137" s="18">
        <v>12</v>
      </c>
      <c r="N137" s="18">
        <v>10</v>
      </c>
      <c r="P137" s="18">
        <v>20</v>
      </c>
      <c r="R137" s="18">
        <v>10</v>
      </c>
      <c r="T137" s="17"/>
      <c r="U137" s="19"/>
      <c r="V137" s="17"/>
      <c r="W137" s="19"/>
      <c r="X137" s="17"/>
      <c r="Y137" s="19"/>
      <c r="Z137" s="17"/>
      <c r="AA137" s="19"/>
      <c r="AB137" s="17"/>
      <c r="AC137" s="20"/>
      <c r="AD137" s="17"/>
      <c r="AE137" s="20"/>
      <c r="AF137" s="17"/>
      <c r="AG137" s="21"/>
      <c r="AH137" s="17"/>
      <c r="AI137" s="19"/>
      <c r="AJ137" s="17"/>
      <c r="AK137" s="19"/>
      <c r="AL137" s="17"/>
      <c r="AM137" s="21"/>
      <c r="AN137" s="17"/>
      <c r="AO137" s="19"/>
      <c r="AP137" s="17"/>
      <c r="AQ137" s="19"/>
      <c r="AR137" s="17"/>
      <c r="AS137" s="19"/>
      <c r="AT137" s="17"/>
      <c r="AU137" s="21"/>
      <c r="AV137" s="17"/>
      <c r="AW137" s="21"/>
      <c r="AX137" s="17"/>
      <c r="AY137" s="21"/>
      <c r="AZ137" s="17"/>
      <c r="BA137" s="21"/>
      <c r="BB137" s="17" t="s">
        <v>72</v>
      </c>
      <c r="BC137" s="21" t="s">
        <v>224</v>
      </c>
      <c r="BD137" s="17"/>
      <c r="BE137" s="22">
        <f t="shared" si="20"/>
        <v>80</v>
      </c>
      <c r="BF137" s="14">
        <f t="shared" si="21"/>
        <v>46054</v>
      </c>
      <c r="BG137" s="23" t="str">
        <f t="shared" si="22"/>
        <v>February 2026</v>
      </c>
      <c r="BH137" s="14">
        <f t="shared" si="23"/>
        <v>46048</v>
      </c>
      <c r="BI137" s="14">
        <f t="shared" si="24"/>
        <v>46054</v>
      </c>
      <c r="BJ137" s="17" t="str">
        <f t="shared" si="25"/>
        <v>26/01/2026 - 01/02/2026</v>
      </c>
      <c r="BK137" s="17">
        <f>IF($B137="","",COUNTIFS($B$5:$B137,$B137,$BF$5:$BF137,$BF137))</f>
        <v>3</v>
      </c>
      <c r="BL137" s="17">
        <f>IF($B137="","",COUNTIFS($B$5:$B137,$B137,$BH$5:$BH137,$BH137))</f>
        <v>3</v>
      </c>
      <c r="BM137" s="17" t="str">
        <f t="shared" si="26"/>
        <v>03|Jariyawadee Taboodda|20260201</v>
      </c>
      <c r="BN137" s="17" t="str">
        <f t="shared" si="27"/>
        <v>03|Jariyawadee Taboodda|20260126</v>
      </c>
      <c r="BO137" s="17">
        <f t="shared" si="28"/>
        <v>0</v>
      </c>
      <c r="BP137" s="24" t="s">
        <v>541</v>
      </c>
      <c r="BQ137" s="13"/>
      <c r="BR137" s="25" t="str">
        <f t="shared" si="29"/>
        <v>Jan-Feb 2026</v>
      </c>
    </row>
    <row r="138" spans="1:70" s="18" customFormat="1" ht="15" customHeight="1">
      <c r="A138" s="14">
        <v>46069.413770613428</v>
      </c>
      <c r="B138" s="15" t="s">
        <v>75</v>
      </c>
      <c r="C138" s="14">
        <v>46054</v>
      </c>
      <c r="D138" s="16"/>
      <c r="E138" s="16"/>
      <c r="F138" s="17" t="s">
        <v>542</v>
      </c>
      <c r="G138" s="13" t="s">
        <v>543</v>
      </c>
      <c r="H138" s="18">
        <v>10</v>
      </c>
      <c r="J138" s="18">
        <v>20</v>
      </c>
      <c r="L138" s="18">
        <v>15</v>
      </c>
      <c r="N138" s="18">
        <v>10</v>
      </c>
      <c r="P138" s="18">
        <v>20</v>
      </c>
      <c r="R138" s="18">
        <v>0</v>
      </c>
      <c r="T138" s="17"/>
      <c r="U138" s="19"/>
      <c r="V138" s="17"/>
      <c r="W138" s="19"/>
      <c r="X138" s="17"/>
      <c r="Y138" s="19"/>
      <c r="Z138" s="17"/>
      <c r="AA138" s="19"/>
      <c r="AB138" s="17"/>
      <c r="AC138" s="20"/>
      <c r="AD138" s="17"/>
      <c r="AE138" s="20"/>
      <c r="AF138" s="17"/>
      <c r="AG138" s="21"/>
      <c r="AH138" s="17"/>
      <c r="AI138" s="19"/>
      <c r="AJ138" s="17"/>
      <c r="AK138" s="19"/>
      <c r="AL138" s="17"/>
      <c r="AM138" s="21"/>
      <c r="AN138" s="17"/>
      <c r="AO138" s="19"/>
      <c r="AP138" s="17"/>
      <c r="AQ138" s="19"/>
      <c r="AR138" s="17"/>
      <c r="AS138" s="19"/>
      <c r="AT138" s="17"/>
      <c r="AU138" s="21"/>
      <c r="AV138" s="17"/>
      <c r="AW138" s="21"/>
      <c r="AX138" s="17"/>
      <c r="AY138" s="21"/>
      <c r="AZ138" s="17"/>
      <c r="BA138" s="21"/>
      <c r="BB138" s="17" t="s">
        <v>72</v>
      </c>
      <c r="BC138" s="21" t="s">
        <v>105</v>
      </c>
      <c r="BD138" s="17"/>
      <c r="BE138" s="22">
        <f t="shared" si="20"/>
        <v>75</v>
      </c>
      <c r="BF138" s="14">
        <f t="shared" si="21"/>
        <v>46054</v>
      </c>
      <c r="BG138" s="23" t="str">
        <f t="shared" si="22"/>
        <v>February 2026</v>
      </c>
      <c r="BH138" s="14">
        <f t="shared" si="23"/>
        <v>46048</v>
      </c>
      <c r="BI138" s="14">
        <f t="shared" si="24"/>
        <v>46054</v>
      </c>
      <c r="BJ138" s="17" t="str">
        <f t="shared" si="25"/>
        <v>26/01/2026 - 01/02/2026</v>
      </c>
      <c r="BK138" s="17">
        <f>IF($B138="","",COUNTIFS($B$5:$B138,$B138,$BF$5:$BF138,$BF138))</f>
        <v>4</v>
      </c>
      <c r="BL138" s="17">
        <f>IF($B138="","",COUNTIFS($B$5:$B138,$B138,$BH$5:$BH138,$BH138))</f>
        <v>4</v>
      </c>
      <c r="BM138" s="17" t="str">
        <f t="shared" si="26"/>
        <v>04|Jariyawadee Taboodda|20260201</v>
      </c>
      <c r="BN138" s="17" t="str">
        <f t="shared" si="27"/>
        <v>04|Jariyawadee Taboodda|20260126</v>
      </c>
      <c r="BO138" s="17">
        <f t="shared" si="28"/>
        <v>0</v>
      </c>
      <c r="BP138" s="24" t="s">
        <v>544</v>
      </c>
      <c r="BQ138" s="13"/>
      <c r="BR138" s="25" t="str">
        <f t="shared" si="29"/>
        <v>Jan-Feb 2026</v>
      </c>
    </row>
    <row r="139" spans="1:70" s="18" customFormat="1" ht="15" customHeight="1">
      <c r="A139" s="14">
        <v>46069.419137696757</v>
      </c>
      <c r="B139" s="15" t="s">
        <v>75</v>
      </c>
      <c r="C139" s="14">
        <v>46054</v>
      </c>
      <c r="D139" s="16"/>
      <c r="E139" s="16"/>
      <c r="F139" s="17" t="s">
        <v>545</v>
      </c>
      <c r="G139" s="13" t="s">
        <v>546</v>
      </c>
      <c r="H139" s="18">
        <v>5</v>
      </c>
      <c r="J139" s="18">
        <v>25</v>
      </c>
      <c r="L139" s="18">
        <v>17</v>
      </c>
      <c r="N139" s="18">
        <v>10</v>
      </c>
      <c r="P139" s="18">
        <v>15</v>
      </c>
      <c r="R139" s="18">
        <v>10</v>
      </c>
      <c r="T139" s="17"/>
      <c r="U139" s="19"/>
      <c r="V139" s="17"/>
      <c r="W139" s="19"/>
      <c r="X139" s="17"/>
      <c r="Y139" s="19"/>
      <c r="Z139" s="17"/>
      <c r="AA139" s="19"/>
      <c r="AB139" s="17"/>
      <c r="AC139" s="20"/>
      <c r="AD139" s="17"/>
      <c r="AE139" s="20"/>
      <c r="AF139" s="17"/>
      <c r="AG139" s="21"/>
      <c r="AH139" s="17"/>
      <c r="AI139" s="19"/>
      <c r="AJ139" s="17"/>
      <c r="AK139" s="19"/>
      <c r="AL139" s="17"/>
      <c r="AM139" s="21"/>
      <c r="AN139" s="17"/>
      <c r="AO139" s="19"/>
      <c r="AP139" s="17"/>
      <c r="AQ139" s="19"/>
      <c r="AR139" s="17"/>
      <c r="AS139" s="19"/>
      <c r="AT139" s="17"/>
      <c r="AU139" s="21"/>
      <c r="AV139" s="17"/>
      <c r="AW139" s="21"/>
      <c r="AX139" s="17"/>
      <c r="AY139" s="21"/>
      <c r="AZ139" s="17"/>
      <c r="BA139" s="21"/>
      <c r="BB139" s="17" t="s">
        <v>72</v>
      </c>
      <c r="BC139" s="21" t="s">
        <v>86</v>
      </c>
      <c r="BD139" s="17"/>
      <c r="BE139" s="22">
        <f t="shared" si="20"/>
        <v>82</v>
      </c>
      <c r="BF139" s="14">
        <f t="shared" si="21"/>
        <v>46054</v>
      </c>
      <c r="BG139" s="23" t="str">
        <f t="shared" si="22"/>
        <v>February 2026</v>
      </c>
      <c r="BH139" s="14">
        <f t="shared" si="23"/>
        <v>46048</v>
      </c>
      <c r="BI139" s="14">
        <f t="shared" si="24"/>
        <v>46054</v>
      </c>
      <c r="BJ139" s="17" t="str">
        <f t="shared" si="25"/>
        <v>26/01/2026 - 01/02/2026</v>
      </c>
      <c r="BK139" s="17">
        <f>IF($B139="","",COUNTIFS($B$5:$B139,$B139,$BF$5:$BF139,$BF139))</f>
        <v>5</v>
      </c>
      <c r="BL139" s="17">
        <f>IF($B139="","",COUNTIFS($B$5:$B139,$B139,$BH$5:$BH139,$BH139))</f>
        <v>5</v>
      </c>
      <c r="BM139" s="17" t="str">
        <f t="shared" si="26"/>
        <v>05|Jariyawadee Taboodda|20260201</v>
      </c>
      <c r="BN139" s="17" t="str">
        <f t="shared" si="27"/>
        <v>05|Jariyawadee Taboodda|20260126</v>
      </c>
      <c r="BO139" s="17">
        <f t="shared" si="28"/>
        <v>0</v>
      </c>
      <c r="BP139" s="24" t="s">
        <v>547</v>
      </c>
      <c r="BQ139" s="13"/>
      <c r="BR139" s="25" t="str">
        <f t="shared" si="29"/>
        <v>Jan-Feb 2026</v>
      </c>
    </row>
    <row r="140" spans="1:70" s="18" customFormat="1" ht="15" customHeight="1">
      <c r="A140" s="14">
        <v>46071.19169939815</v>
      </c>
      <c r="B140" s="15" t="s">
        <v>75</v>
      </c>
      <c r="C140" s="14">
        <v>46054</v>
      </c>
      <c r="D140" s="16"/>
      <c r="E140" s="16"/>
      <c r="F140" s="17" t="s">
        <v>548</v>
      </c>
      <c r="G140" s="13" t="s">
        <v>549</v>
      </c>
      <c r="H140" s="18">
        <v>8</v>
      </c>
      <c r="J140" s="18">
        <v>15</v>
      </c>
      <c r="L140" s="18">
        <v>10</v>
      </c>
      <c r="N140" s="18">
        <v>10</v>
      </c>
      <c r="P140" s="18">
        <v>15</v>
      </c>
      <c r="R140" s="18">
        <v>5</v>
      </c>
      <c r="T140" s="17"/>
      <c r="U140" s="19"/>
      <c r="V140" s="17"/>
      <c r="W140" s="19"/>
      <c r="X140" s="17"/>
      <c r="Y140" s="19"/>
      <c r="Z140" s="17"/>
      <c r="AA140" s="19"/>
      <c r="AB140" s="17"/>
      <c r="AC140" s="20"/>
      <c r="AD140" s="17"/>
      <c r="AE140" s="20"/>
      <c r="AF140" s="17"/>
      <c r="AG140" s="21"/>
      <c r="AH140" s="17"/>
      <c r="AI140" s="19"/>
      <c r="AJ140" s="17"/>
      <c r="AK140" s="19"/>
      <c r="AL140" s="17"/>
      <c r="AM140" s="21"/>
      <c r="AN140" s="17"/>
      <c r="AO140" s="19"/>
      <c r="AP140" s="17"/>
      <c r="AQ140" s="19"/>
      <c r="AR140" s="17"/>
      <c r="AS140" s="19"/>
      <c r="AT140" s="17"/>
      <c r="AU140" s="21"/>
      <c r="AV140" s="17"/>
      <c r="AW140" s="21"/>
      <c r="AX140" s="17"/>
      <c r="AY140" s="21"/>
      <c r="AZ140" s="17"/>
      <c r="BA140" s="21"/>
      <c r="BB140" s="17" t="s">
        <v>72</v>
      </c>
      <c r="BC140" s="21" t="s">
        <v>142</v>
      </c>
      <c r="BD140" s="17"/>
      <c r="BE140" s="22">
        <f t="shared" si="20"/>
        <v>63</v>
      </c>
      <c r="BF140" s="14">
        <f t="shared" si="21"/>
        <v>46054</v>
      </c>
      <c r="BG140" s="23" t="str">
        <f t="shared" si="22"/>
        <v>February 2026</v>
      </c>
      <c r="BH140" s="14">
        <f t="shared" si="23"/>
        <v>46048</v>
      </c>
      <c r="BI140" s="14">
        <f t="shared" si="24"/>
        <v>46054</v>
      </c>
      <c r="BJ140" s="17" t="str">
        <f t="shared" si="25"/>
        <v>26/01/2026 - 01/02/2026</v>
      </c>
      <c r="BK140" s="17">
        <f>IF($B140="","",COUNTIFS($B$5:$B140,$B140,$BF$5:$BF140,$BF140))</f>
        <v>6</v>
      </c>
      <c r="BL140" s="17">
        <f>IF($B140="","",COUNTIFS($B$5:$B140,$B140,$BH$5:$BH140,$BH140))</f>
        <v>6</v>
      </c>
      <c r="BM140" s="17" t="str">
        <f t="shared" si="26"/>
        <v>06|Jariyawadee Taboodda|20260201</v>
      </c>
      <c r="BN140" s="17" t="str">
        <f t="shared" si="27"/>
        <v>06|Jariyawadee Taboodda|20260126</v>
      </c>
      <c r="BO140" s="17">
        <f t="shared" si="28"/>
        <v>0</v>
      </c>
      <c r="BP140" s="24" t="s">
        <v>550</v>
      </c>
      <c r="BQ140" s="13"/>
      <c r="BR140" s="25" t="str">
        <f t="shared" si="29"/>
        <v>Jan-Feb 2026</v>
      </c>
    </row>
    <row r="141" spans="1:70" s="18" customFormat="1" ht="15" customHeight="1">
      <c r="A141" s="14">
        <v>46077.377248252313</v>
      </c>
      <c r="B141" s="15" t="s">
        <v>75</v>
      </c>
      <c r="C141" s="14">
        <v>46054</v>
      </c>
      <c r="D141" s="16"/>
      <c r="E141" s="16"/>
      <c r="F141" s="17" t="s">
        <v>551</v>
      </c>
      <c r="G141" s="13" t="s">
        <v>552</v>
      </c>
      <c r="H141" s="18">
        <v>8</v>
      </c>
      <c r="J141" s="18">
        <v>25</v>
      </c>
      <c r="L141" s="18">
        <v>16</v>
      </c>
      <c r="N141" s="18">
        <v>10</v>
      </c>
      <c r="P141" s="18">
        <v>15</v>
      </c>
      <c r="R141" s="18">
        <v>5</v>
      </c>
      <c r="T141" s="17"/>
      <c r="U141" s="19"/>
      <c r="V141" s="17"/>
      <c r="W141" s="19"/>
      <c r="X141" s="17"/>
      <c r="Y141" s="19"/>
      <c r="Z141" s="17"/>
      <c r="AA141" s="19"/>
      <c r="AB141" s="17"/>
      <c r="AC141" s="20"/>
      <c r="AD141" s="17"/>
      <c r="AE141" s="20"/>
      <c r="AF141" s="17"/>
      <c r="AG141" s="21"/>
      <c r="AH141" s="17"/>
      <c r="AI141" s="19"/>
      <c r="AJ141" s="17"/>
      <c r="AK141" s="19"/>
      <c r="AL141" s="17"/>
      <c r="AM141" s="21"/>
      <c r="AN141" s="17"/>
      <c r="AO141" s="19"/>
      <c r="AP141" s="17"/>
      <c r="AQ141" s="19"/>
      <c r="AR141" s="17"/>
      <c r="AS141" s="19"/>
      <c r="AT141" s="17"/>
      <c r="AU141" s="21"/>
      <c r="AV141" s="17"/>
      <c r="AW141" s="21"/>
      <c r="AX141" s="17"/>
      <c r="AY141" s="21"/>
      <c r="AZ141" s="17"/>
      <c r="BA141" s="21"/>
      <c r="BB141" s="17" t="s">
        <v>72</v>
      </c>
      <c r="BC141" s="21" t="s">
        <v>216</v>
      </c>
      <c r="BD141" s="17"/>
      <c r="BE141" s="22">
        <f t="shared" si="20"/>
        <v>79</v>
      </c>
      <c r="BF141" s="14">
        <f t="shared" si="21"/>
        <v>46054</v>
      </c>
      <c r="BG141" s="23" t="str">
        <f t="shared" si="22"/>
        <v>February 2026</v>
      </c>
      <c r="BH141" s="14">
        <f t="shared" si="23"/>
        <v>46048</v>
      </c>
      <c r="BI141" s="14">
        <f t="shared" si="24"/>
        <v>46054</v>
      </c>
      <c r="BJ141" s="17" t="str">
        <f t="shared" si="25"/>
        <v>26/01/2026 - 01/02/2026</v>
      </c>
      <c r="BK141" s="17">
        <f>IF($B141="","",COUNTIFS($B$5:$B141,$B141,$BF$5:$BF141,$BF141))</f>
        <v>7</v>
      </c>
      <c r="BL141" s="17">
        <f>IF($B141="","",COUNTIFS($B$5:$B141,$B141,$BH$5:$BH141,$BH141))</f>
        <v>7</v>
      </c>
      <c r="BM141" s="17" t="str">
        <f t="shared" si="26"/>
        <v>07|Jariyawadee Taboodda|20260201</v>
      </c>
      <c r="BN141" s="17" t="str">
        <f t="shared" si="27"/>
        <v>07|Jariyawadee Taboodda|20260126</v>
      </c>
      <c r="BO141" s="17">
        <f t="shared" si="28"/>
        <v>0</v>
      </c>
      <c r="BP141" s="24" t="s">
        <v>553</v>
      </c>
      <c r="BQ141" s="13"/>
      <c r="BR141" s="25" t="str">
        <f t="shared" si="29"/>
        <v>Jan-Feb 2026</v>
      </c>
    </row>
    <row r="142" spans="1:70" s="18" customFormat="1" ht="15" customHeight="1">
      <c r="A142" s="14">
        <v>46077.454330821762</v>
      </c>
      <c r="B142" s="15" t="s">
        <v>75</v>
      </c>
      <c r="C142" s="14">
        <v>46054</v>
      </c>
      <c r="D142" s="16"/>
      <c r="E142" s="16"/>
      <c r="F142" s="17" t="s">
        <v>554</v>
      </c>
      <c r="G142" s="13" t="s">
        <v>555</v>
      </c>
      <c r="H142" s="18">
        <v>10</v>
      </c>
      <c r="J142" s="18">
        <v>22</v>
      </c>
      <c r="L142" s="18">
        <v>16</v>
      </c>
      <c r="N142" s="18">
        <v>10</v>
      </c>
      <c r="P142" s="18">
        <v>16</v>
      </c>
      <c r="R142" s="18">
        <v>7</v>
      </c>
      <c r="T142" s="17"/>
      <c r="U142" s="19"/>
      <c r="V142" s="17"/>
      <c r="W142" s="19"/>
      <c r="X142" s="17"/>
      <c r="Y142" s="19"/>
      <c r="Z142" s="17"/>
      <c r="AA142" s="19"/>
      <c r="AB142" s="17"/>
      <c r="AC142" s="20"/>
      <c r="AD142" s="17"/>
      <c r="AE142" s="20"/>
      <c r="AF142" s="17"/>
      <c r="AG142" s="21"/>
      <c r="AH142" s="17"/>
      <c r="AI142" s="19"/>
      <c r="AJ142" s="17"/>
      <c r="AK142" s="19"/>
      <c r="AL142" s="17"/>
      <c r="AM142" s="21"/>
      <c r="AN142" s="17"/>
      <c r="AO142" s="19"/>
      <c r="AP142" s="17"/>
      <c r="AQ142" s="19"/>
      <c r="AR142" s="17"/>
      <c r="AS142" s="19"/>
      <c r="AT142" s="17"/>
      <c r="AU142" s="21"/>
      <c r="AV142" s="17"/>
      <c r="AW142" s="21"/>
      <c r="AX142" s="17"/>
      <c r="AY142" s="21"/>
      <c r="AZ142" s="17"/>
      <c r="BA142" s="21"/>
      <c r="BB142" s="17" t="s">
        <v>72</v>
      </c>
      <c r="BC142" s="21" t="s">
        <v>142</v>
      </c>
      <c r="BD142" s="17"/>
      <c r="BE142" s="22">
        <f t="shared" si="20"/>
        <v>81</v>
      </c>
      <c r="BF142" s="14">
        <f t="shared" si="21"/>
        <v>46054</v>
      </c>
      <c r="BG142" s="23" t="str">
        <f t="shared" si="22"/>
        <v>February 2026</v>
      </c>
      <c r="BH142" s="14">
        <f t="shared" si="23"/>
        <v>46048</v>
      </c>
      <c r="BI142" s="14">
        <f t="shared" si="24"/>
        <v>46054</v>
      </c>
      <c r="BJ142" s="17" t="str">
        <f t="shared" si="25"/>
        <v>26/01/2026 - 01/02/2026</v>
      </c>
      <c r="BK142" s="17">
        <f>IF($B142="","",COUNTIFS($B$5:$B142,$B142,$BF$5:$BF142,$BF142))</f>
        <v>8</v>
      </c>
      <c r="BL142" s="17">
        <f>IF($B142="","",COUNTIFS($B$5:$B142,$B142,$BH$5:$BH142,$BH142))</f>
        <v>8</v>
      </c>
      <c r="BM142" s="17" t="str">
        <f t="shared" si="26"/>
        <v>08|Jariyawadee Taboodda|20260201</v>
      </c>
      <c r="BN142" s="17" t="str">
        <f t="shared" si="27"/>
        <v>08|Jariyawadee Taboodda|20260126</v>
      </c>
      <c r="BO142" s="17">
        <f t="shared" si="28"/>
        <v>0</v>
      </c>
      <c r="BP142" s="24" t="s">
        <v>556</v>
      </c>
      <c r="BQ142" s="13"/>
      <c r="BR142" s="25" t="str">
        <f t="shared" si="29"/>
        <v>Jan-Feb 2026</v>
      </c>
    </row>
    <row r="143" spans="1:70" s="18" customFormat="1" ht="15" customHeight="1">
      <c r="A143" s="14">
        <v>46077.459449849543</v>
      </c>
      <c r="B143" s="15" t="s">
        <v>75</v>
      </c>
      <c r="C143" s="14">
        <v>46054</v>
      </c>
      <c r="D143" s="16"/>
      <c r="E143" s="16"/>
      <c r="F143" s="17" t="s">
        <v>557</v>
      </c>
      <c r="G143" s="13" t="s">
        <v>558</v>
      </c>
      <c r="H143" s="18">
        <v>9</v>
      </c>
      <c r="J143" s="18">
        <v>28</v>
      </c>
      <c r="L143" s="18">
        <v>18</v>
      </c>
      <c r="N143" s="18">
        <v>10</v>
      </c>
      <c r="P143" s="18">
        <v>15</v>
      </c>
      <c r="R143" s="18">
        <v>7</v>
      </c>
      <c r="T143" s="17"/>
      <c r="U143" s="19"/>
      <c r="V143" s="17"/>
      <c r="W143" s="19"/>
      <c r="X143" s="17"/>
      <c r="Y143" s="19"/>
      <c r="Z143" s="17"/>
      <c r="AA143" s="19"/>
      <c r="AB143" s="17"/>
      <c r="AC143" s="20"/>
      <c r="AD143" s="17"/>
      <c r="AE143" s="20"/>
      <c r="AF143" s="17"/>
      <c r="AG143" s="21"/>
      <c r="AH143" s="17"/>
      <c r="AI143" s="19"/>
      <c r="AJ143" s="17"/>
      <c r="AK143" s="19"/>
      <c r="AL143" s="17"/>
      <c r="AM143" s="21"/>
      <c r="AN143" s="17"/>
      <c r="AO143" s="19"/>
      <c r="AP143" s="17"/>
      <c r="AQ143" s="19"/>
      <c r="AR143" s="17"/>
      <c r="AS143" s="19"/>
      <c r="AT143" s="17"/>
      <c r="AU143" s="21"/>
      <c r="AV143" s="17"/>
      <c r="AW143" s="21"/>
      <c r="AX143" s="17"/>
      <c r="AY143" s="21"/>
      <c r="AZ143" s="17"/>
      <c r="BA143" s="21"/>
      <c r="BB143" s="17" t="s">
        <v>72</v>
      </c>
      <c r="BC143" s="21" t="s">
        <v>559</v>
      </c>
      <c r="BD143" s="17"/>
      <c r="BE143" s="22">
        <f t="shared" si="20"/>
        <v>87</v>
      </c>
      <c r="BF143" s="14">
        <f t="shared" si="21"/>
        <v>46054</v>
      </c>
      <c r="BG143" s="23" t="str">
        <f t="shared" si="22"/>
        <v>February 2026</v>
      </c>
      <c r="BH143" s="14">
        <f t="shared" si="23"/>
        <v>46048</v>
      </c>
      <c r="BI143" s="14">
        <f t="shared" si="24"/>
        <v>46054</v>
      </c>
      <c r="BJ143" s="17" t="str">
        <f t="shared" si="25"/>
        <v>26/01/2026 - 01/02/2026</v>
      </c>
      <c r="BK143" s="17">
        <f>IF($B143="","",COUNTIFS($B$5:$B143,$B143,$BF$5:$BF143,$BF143))</f>
        <v>9</v>
      </c>
      <c r="BL143" s="17">
        <f>IF($B143="","",COUNTIFS($B$5:$B143,$B143,$BH$5:$BH143,$BH143))</f>
        <v>9</v>
      </c>
      <c r="BM143" s="17" t="str">
        <f t="shared" si="26"/>
        <v>09|Jariyawadee Taboodda|20260201</v>
      </c>
      <c r="BN143" s="17" t="str">
        <f t="shared" si="27"/>
        <v>09|Jariyawadee Taboodda|20260126</v>
      </c>
      <c r="BO143" s="17">
        <f t="shared" si="28"/>
        <v>0</v>
      </c>
      <c r="BP143" s="24" t="s">
        <v>560</v>
      </c>
      <c r="BQ143" s="13"/>
      <c r="BR143" s="25" t="str">
        <f t="shared" si="29"/>
        <v>Jan-Feb 2026</v>
      </c>
    </row>
    <row r="144" spans="1:70" s="18" customFormat="1" ht="15" customHeight="1">
      <c r="A144" s="14">
        <v>46078.196508067129</v>
      </c>
      <c r="B144" s="15" t="s">
        <v>75</v>
      </c>
      <c r="C144" s="14">
        <v>46054</v>
      </c>
      <c r="D144" s="16"/>
      <c r="E144" s="16"/>
      <c r="F144" s="17" t="s">
        <v>561</v>
      </c>
      <c r="G144" s="13" t="s">
        <v>562</v>
      </c>
      <c r="H144" s="18">
        <v>8</v>
      </c>
      <c r="J144" s="18">
        <v>25</v>
      </c>
      <c r="L144" s="18">
        <v>15</v>
      </c>
      <c r="N144" s="18">
        <v>10</v>
      </c>
      <c r="P144" s="18">
        <v>20</v>
      </c>
      <c r="R144" s="18">
        <v>8</v>
      </c>
      <c r="T144" s="17"/>
      <c r="U144" s="19"/>
      <c r="V144" s="17"/>
      <c r="W144" s="19"/>
      <c r="X144" s="17"/>
      <c r="Y144" s="19"/>
      <c r="Z144" s="17"/>
      <c r="AA144" s="19"/>
      <c r="AB144" s="17"/>
      <c r="AC144" s="20"/>
      <c r="AD144" s="17"/>
      <c r="AE144" s="20"/>
      <c r="AF144" s="17"/>
      <c r="AG144" s="21"/>
      <c r="AH144" s="17"/>
      <c r="AI144" s="19"/>
      <c r="AJ144" s="17"/>
      <c r="AK144" s="19"/>
      <c r="AL144" s="17"/>
      <c r="AM144" s="21"/>
      <c r="AN144" s="17"/>
      <c r="AO144" s="19"/>
      <c r="AP144" s="17"/>
      <c r="AQ144" s="19"/>
      <c r="AR144" s="17"/>
      <c r="AS144" s="19"/>
      <c r="AT144" s="17"/>
      <c r="AU144" s="21"/>
      <c r="AV144" s="17"/>
      <c r="AW144" s="21"/>
      <c r="AX144" s="17"/>
      <c r="AY144" s="21"/>
      <c r="AZ144" s="17"/>
      <c r="BA144" s="21"/>
      <c r="BB144" s="17" t="s">
        <v>72</v>
      </c>
      <c r="BC144" s="21" t="s">
        <v>94</v>
      </c>
      <c r="BD144" s="17"/>
      <c r="BE144" s="22">
        <f t="shared" si="20"/>
        <v>86</v>
      </c>
      <c r="BF144" s="14">
        <f t="shared" si="21"/>
        <v>46054</v>
      </c>
      <c r="BG144" s="23" t="str">
        <f t="shared" si="22"/>
        <v>February 2026</v>
      </c>
      <c r="BH144" s="14">
        <f t="shared" si="23"/>
        <v>46048</v>
      </c>
      <c r="BI144" s="14">
        <f t="shared" si="24"/>
        <v>46054</v>
      </c>
      <c r="BJ144" s="17" t="str">
        <f t="shared" si="25"/>
        <v>26/01/2026 - 01/02/2026</v>
      </c>
      <c r="BK144" s="17">
        <f>IF($B144="","",COUNTIFS($B$5:$B144,$B144,$BF$5:$BF144,$BF144))</f>
        <v>10</v>
      </c>
      <c r="BL144" s="17">
        <f>IF($B144="","",COUNTIFS($B$5:$B144,$B144,$BH$5:$BH144,$BH144))</f>
        <v>10</v>
      </c>
      <c r="BM144" s="17" t="str">
        <f t="shared" si="26"/>
        <v>10|Jariyawadee Taboodda|20260201</v>
      </c>
      <c r="BN144" s="17" t="str">
        <f t="shared" si="27"/>
        <v>10|Jariyawadee Taboodda|20260126</v>
      </c>
      <c r="BO144" s="17">
        <f t="shared" si="28"/>
        <v>0</v>
      </c>
      <c r="BP144" s="24" t="s">
        <v>563</v>
      </c>
      <c r="BQ144" s="13"/>
      <c r="BR144" s="25" t="str">
        <f t="shared" si="29"/>
        <v>Jan-Feb 2026</v>
      </c>
    </row>
    <row r="145" spans="1:70" s="18" customFormat="1" ht="15" customHeight="1">
      <c r="A145" s="14">
        <v>46063.102872118063</v>
      </c>
      <c r="B145" s="15" t="s">
        <v>73</v>
      </c>
      <c r="C145" s="14">
        <v>46054</v>
      </c>
      <c r="D145" s="16"/>
      <c r="E145" s="16"/>
      <c r="F145" s="17" t="s">
        <v>564</v>
      </c>
      <c r="G145" s="13" t="s">
        <v>565</v>
      </c>
      <c r="H145" s="18">
        <v>5</v>
      </c>
      <c r="J145" s="18">
        <v>20</v>
      </c>
      <c r="L145" s="18">
        <v>10</v>
      </c>
      <c r="N145" s="18">
        <v>7</v>
      </c>
      <c r="P145" s="18">
        <v>12</v>
      </c>
      <c r="R145" s="18">
        <v>7</v>
      </c>
      <c r="T145" s="17"/>
      <c r="U145" s="19"/>
      <c r="V145" s="17"/>
      <c r="W145" s="19"/>
      <c r="X145" s="17"/>
      <c r="Y145" s="19"/>
      <c r="Z145" s="17"/>
      <c r="AA145" s="19"/>
      <c r="AB145" s="17"/>
      <c r="AC145" s="20"/>
      <c r="AD145" s="17"/>
      <c r="AE145" s="20"/>
      <c r="AF145" s="17"/>
      <c r="AG145" s="21"/>
      <c r="AH145" s="17"/>
      <c r="AI145" s="19"/>
      <c r="AJ145" s="17"/>
      <c r="AK145" s="19"/>
      <c r="AL145" s="17"/>
      <c r="AM145" s="21"/>
      <c r="AN145" s="17"/>
      <c r="AO145" s="19"/>
      <c r="AP145" s="17"/>
      <c r="AQ145" s="19"/>
      <c r="AR145" s="17"/>
      <c r="AS145" s="19"/>
      <c r="AT145" s="17"/>
      <c r="AU145" s="21"/>
      <c r="AV145" s="17"/>
      <c r="AW145" s="21"/>
      <c r="AX145" s="17"/>
      <c r="AY145" s="21"/>
      <c r="AZ145" s="17"/>
      <c r="BA145" s="21"/>
      <c r="BB145" s="17" t="s">
        <v>72</v>
      </c>
      <c r="BC145" s="21" t="s">
        <v>566</v>
      </c>
      <c r="BD145" s="17"/>
      <c r="BE145" s="22">
        <f t="shared" si="20"/>
        <v>61</v>
      </c>
      <c r="BF145" s="14">
        <f t="shared" si="21"/>
        <v>46054</v>
      </c>
      <c r="BG145" s="23" t="str">
        <f t="shared" si="22"/>
        <v>February 2026</v>
      </c>
      <c r="BH145" s="14">
        <f t="shared" si="23"/>
        <v>46048</v>
      </c>
      <c r="BI145" s="14">
        <f t="shared" si="24"/>
        <v>46054</v>
      </c>
      <c r="BJ145" s="17" t="str">
        <f t="shared" si="25"/>
        <v>26/01/2026 - 01/02/2026</v>
      </c>
      <c r="BK145" s="17">
        <f>IF($B145="","",COUNTIFS($B$5:$B145,$B145,$BF$5:$BF145,$BF145))</f>
        <v>1</v>
      </c>
      <c r="BL145" s="17">
        <f>IF($B145="","",COUNTIFS($B$5:$B145,$B145,$BH$5:$BH145,$BH145))</f>
        <v>1</v>
      </c>
      <c r="BM145" s="17" t="str">
        <f t="shared" si="26"/>
        <v>01|Jureeporn Piddum|20260201</v>
      </c>
      <c r="BN145" s="17" t="str">
        <f t="shared" si="27"/>
        <v>01|Jureeporn Piddum|20260126</v>
      </c>
      <c r="BO145" s="17">
        <f t="shared" si="28"/>
        <v>0</v>
      </c>
      <c r="BP145" s="24" t="s">
        <v>567</v>
      </c>
      <c r="BQ145" s="13"/>
      <c r="BR145" s="25" t="str">
        <f t="shared" si="29"/>
        <v>Jan-Feb 2026</v>
      </c>
    </row>
    <row r="146" spans="1:70" s="18" customFormat="1" ht="15" customHeight="1">
      <c r="A146" s="14">
        <v>46063.112490636573</v>
      </c>
      <c r="B146" s="15" t="s">
        <v>73</v>
      </c>
      <c r="C146" s="14">
        <v>46054</v>
      </c>
      <c r="D146" s="16"/>
      <c r="E146" s="16"/>
      <c r="F146" s="17" t="s">
        <v>568</v>
      </c>
      <c r="G146" s="13" t="s">
        <v>569</v>
      </c>
      <c r="H146" s="18">
        <v>5</v>
      </c>
      <c r="J146" s="18">
        <v>24</v>
      </c>
      <c r="L146" s="18">
        <v>15</v>
      </c>
      <c r="N146" s="18">
        <v>10</v>
      </c>
      <c r="P146" s="18">
        <v>17</v>
      </c>
      <c r="R146" s="18">
        <v>7</v>
      </c>
      <c r="T146" s="17"/>
      <c r="U146" s="19"/>
      <c r="V146" s="17"/>
      <c r="W146" s="19"/>
      <c r="X146" s="17"/>
      <c r="Y146" s="19"/>
      <c r="Z146" s="17"/>
      <c r="AA146" s="19"/>
      <c r="AB146" s="17"/>
      <c r="AC146" s="20"/>
      <c r="AD146" s="17"/>
      <c r="AE146" s="20"/>
      <c r="AF146" s="17"/>
      <c r="AG146" s="21"/>
      <c r="AH146" s="17"/>
      <c r="AI146" s="19"/>
      <c r="AJ146" s="17"/>
      <c r="AK146" s="19"/>
      <c r="AL146" s="17"/>
      <c r="AM146" s="21"/>
      <c r="AN146" s="17"/>
      <c r="AO146" s="19"/>
      <c r="AP146" s="17"/>
      <c r="AQ146" s="19"/>
      <c r="AR146" s="17"/>
      <c r="AS146" s="19"/>
      <c r="AT146" s="17"/>
      <c r="AU146" s="21"/>
      <c r="AV146" s="17"/>
      <c r="AW146" s="21"/>
      <c r="AX146" s="17"/>
      <c r="AY146" s="21"/>
      <c r="AZ146" s="17"/>
      <c r="BA146" s="21"/>
      <c r="BB146" s="17" t="s">
        <v>72</v>
      </c>
      <c r="BC146" s="21" t="s">
        <v>570</v>
      </c>
      <c r="BD146" s="17"/>
      <c r="BE146" s="22">
        <f t="shared" si="20"/>
        <v>78</v>
      </c>
      <c r="BF146" s="14">
        <f t="shared" si="21"/>
        <v>46054</v>
      </c>
      <c r="BG146" s="23" t="str">
        <f t="shared" si="22"/>
        <v>February 2026</v>
      </c>
      <c r="BH146" s="14">
        <f t="shared" si="23"/>
        <v>46048</v>
      </c>
      <c r="BI146" s="14">
        <f t="shared" si="24"/>
        <v>46054</v>
      </c>
      <c r="BJ146" s="17" t="str">
        <f t="shared" si="25"/>
        <v>26/01/2026 - 01/02/2026</v>
      </c>
      <c r="BK146" s="17">
        <f>IF($B146="","",COUNTIFS($B$5:$B146,$B146,$BF$5:$BF146,$BF146))</f>
        <v>2</v>
      </c>
      <c r="BL146" s="17">
        <f>IF($B146="","",COUNTIFS($B$5:$B146,$B146,$BH$5:$BH146,$BH146))</f>
        <v>2</v>
      </c>
      <c r="BM146" s="17" t="str">
        <f t="shared" si="26"/>
        <v>02|Jureeporn Piddum|20260201</v>
      </c>
      <c r="BN146" s="17" t="str">
        <f t="shared" si="27"/>
        <v>02|Jureeporn Piddum|20260126</v>
      </c>
      <c r="BO146" s="17">
        <f t="shared" si="28"/>
        <v>0</v>
      </c>
      <c r="BP146" s="24" t="s">
        <v>571</v>
      </c>
      <c r="BQ146" s="13"/>
      <c r="BR146" s="25" t="str">
        <f t="shared" si="29"/>
        <v>Jan-Feb 2026</v>
      </c>
    </row>
    <row r="147" spans="1:70" s="18" customFormat="1" ht="15" customHeight="1">
      <c r="A147" s="14">
        <v>46066.481844085647</v>
      </c>
      <c r="B147" s="15" t="s">
        <v>73</v>
      </c>
      <c r="C147" s="14">
        <v>46054</v>
      </c>
      <c r="D147" s="16"/>
      <c r="E147" s="16"/>
      <c r="F147" s="17" t="s">
        <v>572</v>
      </c>
      <c r="G147" s="13" t="s">
        <v>573</v>
      </c>
      <c r="H147" s="18">
        <v>0</v>
      </c>
      <c r="J147" s="18">
        <v>20</v>
      </c>
      <c r="L147" s="18">
        <v>10</v>
      </c>
      <c r="N147" s="18">
        <v>10</v>
      </c>
      <c r="P147" s="18">
        <v>10</v>
      </c>
      <c r="R147" s="18">
        <v>5</v>
      </c>
      <c r="T147" s="17"/>
      <c r="U147" s="19"/>
      <c r="V147" s="17"/>
      <c r="W147" s="19"/>
      <c r="X147" s="17"/>
      <c r="Y147" s="19"/>
      <c r="Z147" s="17"/>
      <c r="AA147" s="19"/>
      <c r="AB147" s="17"/>
      <c r="AC147" s="20"/>
      <c r="AD147" s="17"/>
      <c r="AE147" s="20"/>
      <c r="AF147" s="17"/>
      <c r="AG147" s="21"/>
      <c r="AH147" s="17"/>
      <c r="AI147" s="19"/>
      <c r="AJ147" s="17"/>
      <c r="AK147" s="19"/>
      <c r="AL147" s="17"/>
      <c r="AM147" s="21"/>
      <c r="AN147" s="17"/>
      <c r="AO147" s="19"/>
      <c r="AP147" s="17"/>
      <c r="AQ147" s="19"/>
      <c r="AR147" s="17"/>
      <c r="AS147" s="19"/>
      <c r="AT147" s="17"/>
      <c r="AU147" s="21"/>
      <c r="AV147" s="17"/>
      <c r="AW147" s="21"/>
      <c r="AX147" s="17"/>
      <c r="AY147" s="21"/>
      <c r="AZ147" s="17"/>
      <c r="BA147" s="21"/>
      <c r="BB147" s="17" t="s">
        <v>72</v>
      </c>
      <c r="BC147" s="21" t="s">
        <v>574</v>
      </c>
      <c r="BD147" s="17"/>
      <c r="BE147" s="22">
        <f t="shared" si="20"/>
        <v>55</v>
      </c>
      <c r="BF147" s="14">
        <f t="shared" si="21"/>
        <v>46054</v>
      </c>
      <c r="BG147" s="23" t="str">
        <f t="shared" si="22"/>
        <v>February 2026</v>
      </c>
      <c r="BH147" s="14">
        <f t="shared" si="23"/>
        <v>46048</v>
      </c>
      <c r="BI147" s="14">
        <f t="shared" si="24"/>
        <v>46054</v>
      </c>
      <c r="BJ147" s="17" t="str">
        <f t="shared" si="25"/>
        <v>26/01/2026 - 01/02/2026</v>
      </c>
      <c r="BK147" s="17">
        <f>IF($B147="","",COUNTIFS($B$5:$B147,$B147,$BF$5:$BF147,$BF147))</f>
        <v>3</v>
      </c>
      <c r="BL147" s="17">
        <f>IF($B147="","",COUNTIFS($B$5:$B147,$B147,$BH$5:$BH147,$BH147))</f>
        <v>3</v>
      </c>
      <c r="BM147" s="17" t="str">
        <f t="shared" si="26"/>
        <v>03|Jureeporn Piddum|20260201</v>
      </c>
      <c r="BN147" s="17" t="str">
        <f t="shared" si="27"/>
        <v>03|Jureeporn Piddum|20260126</v>
      </c>
      <c r="BO147" s="17">
        <f t="shared" si="28"/>
        <v>0</v>
      </c>
      <c r="BP147" s="24" t="s">
        <v>575</v>
      </c>
      <c r="BQ147" s="13"/>
      <c r="BR147" s="25" t="str">
        <f t="shared" si="29"/>
        <v>Jan-Feb 2026</v>
      </c>
    </row>
    <row r="148" spans="1:70" s="18" customFormat="1" ht="15" customHeight="1">
      <c r="A148" s="14">
        <v>46070.36097021991</v>
      </c>
      <c r="B148" s="15" t="s">
        <v>73</v>
      </c>
      <c r="C148" s="14">
        <v>46054</v>
      </c>
      <c r="D148" s="16"/>
      <c r="E148" s="16"/>
      <c r="F148" s="17" t="s">
        <v>576</v>
      </c>
      <c r="G148" s="13" t="s">
        <v>577</v>
      </c>
      <c r="H148" s="18">
        <v>10</v>
      </c>
      <c r="J148" s="18">
        <v>15</v>
      </c>
      <c r="L148" s="18">
        <v>10</v>
      </c>
      <c r="N148" s="18">
        <v>10</v>
      </c>
      <c r="P148" s="18">
        <v>16</v>
      </c>
      <c r="R148" s="18">
        <v>5</v>
      </c>
      <c r="T148" s="17"/>
      <c r="U148" s="19"/>
      <c r="V148" s="17"/>
      <c r="W148" s="19"/>
      <c r="X148" s="17"/>
      <c r="Y148" s="19"/>
      <c r="Z148" s="17"/>
      <c r="AA148" s="19"/>
      <c r="AB148" s="17"/>
      <c r="AC148" s="20"/>
      <c r="AD148" s="17"/>
      <c r="AE148" s="20"/>
      <c r="AF148" s="17"/>
      <c r="AG148" s="21"/>
      <c r="AH148" s="17"/>
      <c r="AI148" s="19"/>
      <c r="AJ148" s="17"/>
      <c r="AK148" s="19"/>
      <c r="AL148" s="17"/>
      <c r="AM148" s="21"/>
      <c r="AN148" s="17"/>
      <c r="AO148" s="19"/>
      <c r="AP148" s="17"/>
      <c r="AQ148" s="19"/>
      <c r="AR148" s="17"/>
      <c r="AS148" s="19"/>
      <c r="AT148" s="17"/>
      <c r="AU148" s="21"/>
      <c r="AV148" s="17"/>
      <c r="AW148" s="21"/>
      <c r="AX148" s="17"/>
      <c r="AY148" s="21"/>
      <c r="AZ148" s="17"/>
      <c r="BA148" s="21"/>
      <c r="BB148" s="17" t="s">
        <v>72</v>
      </c>
      <c r="BC148" s="21" t="s">
        <v>343</v>
      </c>
      <c r="BD148" s="17"/>
      <c r="BE148" s="22">
        <f t="shared" si="20"/>
        <v>66</v>
      </c>
      <c r="BF148" s="14">
        <f t="shared" si="21"/>
        <v>46054</v>
      </c>
      <c r="BG148" s="23" t="str">
        <f t="shared" si="22"/>
        <v>February 2026</v>
      </c>
      <c r="BH148" s="14">
        <f t="shared" si="23"/>
        <v>46048</v>
      </c>
      <c r="BI148" s="14">
        <f t="shared" si="24"/>
        <v>46054</v>
      </c>
      <c r="BJ148" s="17" t="str">
        <f t="shared" si="25"/>
        <v>26/01/2026 - 01/02/2026</v>
      </c>
      <c r="BK148" s="17">
        <f>IF($B148="","",COUNTIFS($B$5:$B148,$B148,$BF$5:$BF148,$BF148))</f>
        <v>4</v>
      </c>
      <c r="BL148" s="17">
        <f>IF($B148="","",COUNTIFS($B$5:$B148,$B148,$BH$5:$BH148,$BH148))</f>
        <v>4</v>
      </c>
      <c r="BM148" s="17" t="str">
        <f t="shared" si="26"/>
        <v>04|Jureeporn Piddum|20260201</v>
      </c>
      <c r="BN148" s="17" t="str">
        <f t="shared" si="27"/>
        <v>04|Jureeporn Piddum|20260126</v>
      </c>
      <c r="BO148" s="17">
        <f t="shared" si="28"/>
        <v>0</v>
      </c>
      <c r="BP148" s="24" t="s">
        <v>578</v>
      </c>
      <c r="BQ148" s="13"/>
      <c r="BR148" s="25" t="str">
        <f t="shared" si="29"/>
        <v>Jan-Feb 2026</v>
      </c>
    </row>
    <row r="149" spans="1:70" s="18" customFormat="1" ht="15" customHeight="1">
      <c r="A149" s="14">
        <v>46070.366660370368</v>
      </c>
      <c r="B149" s="15" t="s">
        <v>73</v>
      </c>
      <c r="C149" s="14">
        <v>46054</v>
      </c>
      <c r="D149" s="16"/>
      <c r="E149" s="16"/>
      <c r="F149" s="17" t="s">
        <v>579</v>
      </c>
      <c r="G149" s="13" t="s">
        <v>580</v>
      </c>
      <c r="H149" s="18">
        <v>10</v>
      </c>
      <c r="J149" s="18">
        <v>18</v>
      </c>
      <c r="L149" s="18">
        <v>15</v>
      </c>
      <c r="N149" s="18">
        <v>10</v>
      </c>
      <c r="P149" s="18">
        <v>15</v>
      </c>
      <c r="R149" s="18">
        <v>6</v>
      </c>
      <c r="T149" s="17"/>
      <c r="U149" s="19"/>
      <c r="V149" s="17"/>
      <c r="W149" s="19"/>
      <c r="X149" s="17"/>
      <c r="Y149" s="19"/>
      <c r="Z149" s="17"/>
      <c r="AA149" s="19"/>
      <c r="AB149" s="17"/>
      <c r="AC149" s="20"/>
      <c r="AD149" s="17"/>
      <c r="AE149" s="20"/>
      <c r="AF149" s="17"/>
      <c r="AG149" s="21"/>
      <c r="AH149" s="17"/>
      <c r="AI149" s="19"/>
      <c r="AJ149" s="17"/>
      <c r="AK149" s="19"/>
      <c r="AL149" s="17"/>
      <c r="AM149" s="21"/>
      <c r="AN149" s="17"/>
      <c r="AO149" s="19"/>
      <c r="AP149" s="17"/>
      <c r="AQ149" s="19"/>
      <c r="AR149" s="17"/>
      <c r="AS149" s="19"/>
      <c r="AT149" s="17"/>
      <c r="AU149" s="21"/>
      <c r="AV149" s="17"/>
      <c r="AW149" s="21"/>
      <c r="AX149" s="17"/>
      <c r="AY149" s="21"/>
      <c r="AZ149" s="17"/>
      <c r="BA149" s="21"/>
      <c r="BB149" s="17" t="s">
        <v>72</v>
      </c>
      <c r="BC149" s="21" t="s">
        <v>581</v>
      </c>
      <c r="BD149" s="17"/>
      <c r="BE149" s="22">
        <f t="shared" si="20"/>
        <v>74</v>
      </c>
      <c r="BF149" s="14">
        <f t="shared" si="21"/>
        <v>46054</v>
      </c>
      <c r="BG149" s="23" t="str">
        <f t="shared" si="22"/>
        <v>February 2026</v>
      </c>
      <c r="BH149" s="14">
        <f t="shared" si="23"/>
        <v>46048</v>
      </c>
      <c r="BI149" s="14">
        <f t="shared" si="24"/>
        <v>46054</v>
      </c>
      <c r="BJ149" s="17" t="str">
        <f t="shared" si="25"/>
        <v>26/01/2026 - 01/02/2026</v>
      </c>
      <c r="BK149" s="17">
        <f>IF($B149="","",COUNTIFS($B$5:$B149,$B149,$BF$5:$BF149,$BF149))</f>
        <v>5</v>
      </c>
      <c r="BL149" s="17">
        <f>IF($B149="","",COUNTIFS($B$5:$B149,$B149,$BH$5:$BH149,$BH149))</f>
        <v>5</v>
      </c>
      <c r="BM149" s="17" t="str">
        <f t="shared" si="26"/>
        <v>05|Jureeporn Piddum|20260201</v>
      </c>
      <c r="BN149" s="17" t="str">
        <f t="shared" si="27"/>
        <v>05|Jureeporn Piddum|20260126</v>
      </c>
      <c r="BO149" s="17">
        <f t="shared" si="28"/>
        <v>0</v>
      </c>
      <c r="BP149" s="24" t="s">
        <v>582</v>
      </c>
      <c r="BQ149" s="13"/>
      <c r="BR149" s="25" t="str">
        <f t="shared" si="29"/>
        <v>Jan-Feb 2026</v>
      </c>
    </row>
    <row r="150" spans="1:70" s="18" customFormat="1" ht="15" customHeight="1">
      <c r="A150" s="14">
        <v>46070.373986886567</v>
      </c>
      <c r="B150" s="15" t="s">
        <v>73</v>
      </c>
      <c r="C150" s="14">
        <v>46054</v>
      </c>
      <c r="D150" s="16"/>
      <c r="E150" s="16"/>
      <c r="F150" s="17" t="s">
        <v>583</v>
      </c>
      <c r="G150" s="13" t="s">
        <v>584</v>
      </c>
      <c r="H150" s="18">
        <v>10</v>
      </c>
      <c r="J150" s="18">
        <v>25</v>
      </c>
      <c r="L150" s="18">
        <v>18</v>
      </c>
      <c r="N150" s="18">
        <v>10</v>
      </c>
      <c r="P150" s="18">
        <v>16</v>
      </c>
      <c r="R150" s="18">
        <v>8</v>
      </c>
      <c r="T150" s="17"/>
      <c r="U150" s="19"/>
      <c r="V150" s="17"/>
      <c r="W150" s="19"/>
      <c r="X150" s="17"/>
      <c r="Y150" s="19"/>
      <c r="Z150" s="17"/>
      <c r="AA150" s="19"/>
      <c r="AB150" s="17"/>
      <c r="AC150" s="20"/>
      <c r="AD150" s="17"/>
      <c r="AE150" s="20"/>
      <c r="AF150" s="17"/>
      <c r="AG150" s="21"/>
      <c r="AH150" s="17"/>
      <c r="AI150" s="19"/>
      <c r="AJ150" s="17"/>
      <c r="AK150" s="19"/>
      <c r="AL150" s="17"/>
      <c r="AM150" s="21"/>
      <c r="AN150" s="17"/>
      <c r="AO150" s="19"/>
      <c r="AP150" s="17"/>
      <c r="AQ150" s="19"/>
      <c r="AR150" s="17"/>
      <c r="AS150" s="19"/>
      <c r="AT150" s="17"/>
      <c r="AU150" s="21"/>
      <c r="AV150" s="17"/>
      <c r="AW150" s="21"/>
      <c r="AX150" s="17"/>
      <c r="AY150" s="21"/>
      <c r="AZ150" s="17"/>
      <c r="BA150" s="21"/>
      <c r="BB150" s="17" t="s">
        <v>72</v>
      </c>
      <c r="BC150" s="21" t="s">
        <v>187</v>
      </c>
      <c r="BD150" s="17"/>
      <c r="BE150" s="22">
        <f t="shared" si="20"/>
        <v>87</v>
      </c>
      <c r="BF150" s="14">
        <f t="shared" si="21"/>
        <v>46054</v>
      </c>
      <c r="BG150" s="23" t="str">
        <f t="shared" si="22"/>
        <v>February 2026</v>
      </c>
      <c r="BH150" s="14">
        <f t="shared" si="23"/>
        <v>46048</v>
      </c>
      <c r="BI150" s="14">
        <f t="shared" si="24"/>
        <v>46054</v>
      </c>
      <c r="BJ150" s="17" t="str">
        <f t="shared" si="25"/>
        <v>26/01/2026 - 01/02/2026</v>
      </c>
      <c r="BK150" s="17">
        <f>IF($B150="","",COUNTIFS($B$5:$B150,$B150,$BF$5:$BF150,$BF150))</f>
        <v>6</v>
      </c>
      <c r="BL150" s="17">
        <f>IF($B150="","",COUNTIFS($B$5:$B150,$B150,$BH$5:$BH150,$BH150))</f>
        <v>6</v>
      </c>
      <c r="BM150" s="17" t="str">
        <f t="shared" si="26"/>
        <v>06|Jureeporn Piddum|20260201</v>
      </c>
      <c r="BN150" s="17" t="str">
        <f t="shared" si="27"/>
        <v>06|Jureeporn Piddum|20260126</v>
      </c>
      <c r="BO150" s="17">
        <f t="shared" si="28"/>
        <v>0</v>
      </c>
      <c r="BP150" s="24" t="s">
        <v>585</v>
      </c>
      <c r="BQ150" s="13"/>
      <c r="BR150" s="25" t="str">
        <f t="shared" si="29"/>
        <v>Jan-Feb 2026</v>
      </c>
    </row>
    <row r="151" spans="1:70" s="18" customFormat="1" ht="15" customHeight="1">
      <c r="A151" s="14">
        <v>46076.541371273153</v>
      </c>
      <c r="B151" s="15" t="s">
        <v>73</v>
      </c>
      <c r="C151" s="14">
        <v>46054</v>
      </c>
      <c r="D151" s="16"/>
      <c r="E151" s="16"/>
      <c r="F151" s="17" t="s">
        <v>586</v>
      </c>
      <c r="G151" s="13" t="s">
        <v>587</v>
      </c>
      <c r="H151" s="18">
        <v>10</v>
      </c>
      <c r="J151" s="18">
        <v>22</v>
      </c>
      <c r="L151" s="18">
        <v>15</v>
      </c>
      <c r="N151" s="18">
        <v>9</v>
      </c>
      <c r="P151" s="18">
        <v>10</v>
      </c>
      <c r="R151" s="18">
        <v>7</v>
      </c>
      <c r="T151" s="17"/>
      <c r="U151" s="19"/>
      <c r="V151" s="17"/>
      <c r="W151" s="19"/>
      <c r="X151" s="17"/>
      <c r="Y151" s="19"/>
      <c r="Z151" s="17"/>
      <c r="AA151" s="19"/>
      <c r="AB151" s="17"/>
      <c r="AC151" s="20"/>
      <c r="AD151" s="17"/>
      <c r="AE151" s="20"/>
      <c r="AF151" s="17"/>
      <c r="AG151" s="21"/>
      <c r="AH151" s="17"/>
      <c r="AI151" s="19"/>
      <c r="AJ151" s="17"/>
      <c r="AK151" s="19"/>
      <c r="AL151" s="17"/>
      <c r="AM151" s="21"/>
      <c r="AN151" s="17"/>
      <c r="AO151" s="19"/>
      <c r="AP151" s="17"/>
      <c r="AQ151" s="19"/>
      <c r="AR151" s="17"/>
      <c r="AS151" s="19"/>
      <c r="AT151" s="17"/>
      <c r="AU151" s="21"/>
      <c r="AV151" s="17"/>
      <c r="AW151" s="21"/>
      <c r="AX151" s="17"/>
      <c r="AY151" s="21"/>
      <c r="AZ151" s="17"/>
      <c r="BA151" s="21"/>
      <c r="BB151" s="17" t="s">
        <v>72</v>
      </c>
      <c r="BC151" s="21" t="s">
        <v>588</v>
      </c>
      <c r="BD151" s="17"/>
      <c r="BE151" s="22">
        <f t="shared" si="20"/>
        <v>73</v>
      </c>
      <c r="BF151" s="14">
        <f t="shared" si="21"/>
        <v>46054</v>
      </c>
      <c r="BG151" s="23" t="str">
        <f t="shared" si="22"/>
        <v>February 2026</v>
      </c>
      <c r="BH151" s="14">
        <f t="shared" si="23"/>
        <v>46048</v>
      </c>
      <c r="BI151" s="14">
        <f t="shared" si="24"/>
        <v>46054</v>
      </c>
      <c r="BJ151" s="17" t="str">
        <f t="shared" si="25"/>
        <v>26/01/2026 - 01/02/2026</v>
      </c>
      <c r="BK151" s="17">
        <f>IF($B151="","",COUNTIFS($B$5:$B151,$B151,$BF$5:$BF151,$BF151))</f>
        <v>7</v>
      </c>
      <c r="BL151" s="17">
        <f>IF($B151="","",COUNTIFS($B$5:$B151,$B151,$BH$5:$BH151,$BH151))</f>
        <v>7</v>
      </c>
      <c r="BM151" s="17" t="str">
        <f t="shared" si="26"/>
        <v>07|Jureeporn Piddum|20260201</v>
      </c>
      <c r="BN151" s="17" t="str">
        <f t="shared" si="27"/>
        <v>07|Jureeporn Piddum|20260126</v>
      </c>
      <c r="BO151" s="17">
        <f t="shared" si="28"/>
        <v>0</v>
      </c>
      <c r="BP151" s="24" t="s">
        <v>589</v>
      </c>
      <c r="BQ151" s="13"/>
      <c r="BR151" s="25" t="str">
        <f t="shared" si="29"/>
        <v>Jan-Feb 2026</v>
      </c>
    </row>
    <row r="152" spans="1:70" s="18" customFormat="1" ht="15" customHeight="1">
      <c r="A152" s="14">
        <v>46076.559879479173</v>
      </c>
      <c r="B152" s="15" t="s">
        <v>73</v>
      </c>
      <c r="C152" s="14">
        <v>46054</v>
      </c>
      <c r="D152" s="16"/>
      <c r="E152" s="16"/>
      <c r="F152" s="17" t="s">
        <v>590</v>
      </c>
      <c r="G152" s="13" t="s">
        <v>591</v>
      </c>
      <c r="H152" s="18">
        <v>10</v>
      </c>
      <c r="J152" s="18">
        <v>24</v>
      </c>
      <c r="L152" s="18">
        <v>17</v>
      </c>
      <c r="N152" s="18">
        <v>10</v>
      </c>
      <c r="P152" s="18">
        <v>15</v>
      </c>
      <c r="R152" s="18">
        <v>7</v>
      </c>
      <c r="T152" s="17"/>
      <c r="U152" s="19"/>
      <c r="V152" s="17"/>
      <c r="W152" s="19"/>
      <c r="X152" s="17"/>
      <c r="Y152" s="19"/>
      <c r="Z152" s="17"/>
      <c r="AA152" s="19"/>
      <c r="AB152" s="17"/>
      <c r="AC152" s="20"/>
      <c r="AD152" s="17"/>
      <c r="AE152" s="20"/>
      <c r="AF152" s="17"/>
      <c r="AG152" s="21"/>
      <c r="AH152" s="17"/>
      <c r="AI152" s="19"/>
      <c r="AJ152" s="17"/>
      <c r="AK152" s="19"/>
      <c r="AL152" s="17"/>
      <c r="AM152" s="21"/>
      <c r="AN152" s="17"/>
      <c r="AO152" s="19"/>
      <c r="AP152" s="17"/>
      <c r="AQ152" s="19"/>
      <c r="AR152" s="17"/>
      <c r="AS152" s="19"/>
      <c r="AT152" s="17"/>
      <c r="AU152" s="21"/>
      <c r="AV152" s="17"/>
      <c r="AW152" s="21"/>
      <c r="AX152" s="17"/>
      <c r="AY152" s="21"/>
      <c r="AZ152" s="17"/>
      <c r="BA152" s="21"/>
      <c r="BB152" s="17" t="s">
        <v>72</v>
      </c>
      <c r="BC152" s="21" t="s">
        <v>592</v>
      </c>
      <c r="BD152" s="17"/>
      <c r="BE152" s="22">
        <f t="shared" si="20"/>
        <v>83</v>
      </c>
      <c r="BF152" s="14">
        <f t="shared" si="21"/>
        <v>46054</v>
      </c>
      <c r="BG152" s="23" t="str">
        <f t="shared" si="22"/>
        <v>February 2026</v>
      </c>
      <c r="BH152" s="14">
        <f t="shared" si="23"/>
        <v>46048</v>
      </c>
      <c r="BI152" s="14">
        <f t="shared" si="24"/>
        <v>46054</v>
      </c>
      <c r="BJ152" s="17" t="str">
        <f t="shared" si="25"/>
        <v>26/01/2026 - 01/02/2026</v>
      </c>
      <c r="BK152" s="17">
        <f>IF($B152="","",COUNTIFS($B$5:$B152,$B152,$BF$5:$BF152,$BF152))</f>
        <v>8</v>
      </c>
      <c r="BL152" s="17">
        <f>IF($B152="","",COUNTIFS($B$5:$B152,$B152,$BH$5:$BH152,$BH152))</f>
        <v>8</v>
      </c>
      <c r="BM152" s="17" t="str">
        <f t="shared" si="26"/>
        <v>08|Jureeporn Piddum|20260201</v>
      </c>
      <c r="BN152" s="17" t="str">
        <f t="shared" si="27"/>
        <v>08|Jureeporn Piddum|20260126</v>
      </c>
      <c r="BO152" s="17">
        <f t="shared" si="28"/>
        <v>0</v>
      </c>
      <c r="BP152" s="24" t="s">
        <v>593</v>
      </c>
      <c r="BQ152" s="13"/>
      <c r="BR152" s="25" t="str">
        <f t="shared" si="29"/>
        <v>Jan-Feb 2026</v>
      </c>
    </row>
    <row r="153" spans="1:70" s="18" customFormat="1" ht="15" customHeight="1">
      <c r="A153" s="14">
        <v>46080.298573599539</v>
      </c>
      <c r="B153" s="15" t="s">
        <v>73</v>
      </c>
      <c r="C153" s="14">
        <v>46054</v>
      </c>
      <c r="D153" s="16"/>
      <c r="E153" s="16"/>
      <c r="F153" s="17" t="s">
        <v>594</v>
      </c>
      <c r="G153" s="13" t="s">
        <v>595</v>
      </c>
      <c r="H153" s="18">
        <v>7</v>
      </c>
      <c r="J153" s="18">
        <v>27</v>
      </c>
      <c r="L153" s="18">
        <v>18</v>
      </c>
      <c r="N153" s="18">
        <v>10</v>
      </c>
      <c r="P153" s="18">
        <v>16</v>
      </c>
      <c r="R153" s="18">
        <v>7</v>
      </c>
      <c r="T153" s="17"/>
      <c r="U153" s="19"/>
      <c r="V153" s="17"/>
      <c r="W153" s="19"/>
      <c r="X153" s="17"/>
      <c r="Y153" s="19"/>
      <c r="Z153" s="17"/>
      <c r="AA153" s="19"/>
      <c r="AB153" s="17"/>
      <c r="AC153" s="20"/>
      <c r="AD153" s="17"/>
      <c r="AE153" s="20"/>
      <c r="AF153" s="17"/>
      <c r="AG153" s="21"/>
      <c r="AH153" s="17"/>
      <c r="AI153" s="19"/>
      <c r="AJ153" s="17"/>
      <c r="AK153" s="19"/>
      <c r="AL153" s="17"/>
      <c r="AM153" s="21"/>
      <c r="AN153" s="17"/>
      <c r="AO153" s="19"/>
      <c r="AP153" s="17"/>
      <c r="AQ153" s="19"/>
      <c r="AR153" s="17"/>
      <c r="AS153" s="19"/>
      <c r="AT153" s="17"/>
      <c r="AU153" s="21"/>
      <c r="AV153" s="17"/>
      <c r="AW153" s="21"/>
      <c r="AX153" s="17"/>
      <c r="AY153" s="21"/>
      <c r="AZ153" s="17"/>
      <c r="BA153" s="21"/>
      <c r="BB153" s="17" t="s">
        <v>72</v>
      </c>
      <c r="BC153" s="21" t="s">
        <v>187</v>
      </c>
      <c r="BD153" s="17"/>
      <c r="BE153" s="22">
        <f t="shared" si="20"/>
        <v>85</v>
      </c>
      <c r="BF153" s="14">
        <f t="shared" si="21"/>
        <v>46054</v>
      </c>
      <c r="BG153" s="23" t="str">
        <f t="shared" si="22"/>
        <v>February 2026</v>
      </c>
      <c r="BH153" s="14">
        <f t="shared" si="23"/>
        <v>46048</v>
      </c>
      <c r="BI153" s="14">
        <f t="shared" si="24"/>
        <v>46054</v>
      </c>
      <c r="BJ153" s="17" t="str">
        <f t="shared" si="25"/>
        <v>26/01/2026 - 01/02/2026</v>
      </c>
      <c r="BK153" s="17">
        <f>IF($B153="","",COUNTIFS($B$5:$B153,$B153,$BF$5:$BF153,$BF153))</f>
        <v>9</v>
      </c>
      <c r="BL153" s="17">
        <f>IF($B153="","",COUNTIFS($B$5:$B153,$B153,$BH$5:$BH153,$BH153))</f>
        <v>9</v>
      </c>
      <c r="BM153" s="17" t="str">
        <f t="shared" si="26"/>
        <v>09|Jureeporn Piddum|20260201</v>
      </c>
      <c r="BN153" s="17" t="str">
        <f t="shared" si="27"/>
        <v>09|Jureeporn Piddum|20260126</v>
      </c>
      <c r="BO153" s="17">
        <f t="shared" si="28"/>
        <v>0</v>
      </c>
      <c r="BP153" s="24" t="s">
        <v>596</v>
      </c>
      <c r="BQ153" s="13"/>
      <c r="BR153" s="25" t="str">
        <f t="shared" si="29"/>
        <v>Jan-Feb 2026</v>
      </c>
    </row>
    <row r="154" spans="1:70" s="18" customFormat="1" ht="15" customHeight="1">
      <c r="A154" s="14">
        <v>46080.306127361109</v>
      </c>
      <c r="B154" s="15" t="s">
        <v>73</v>
      </c>
      <c r="C154" s="14">
        <v>46054</v>
      </c>
      <c r="D154" s="16"/>
      <c r="E154" s="16"/>
      <c r="F154" s="17" t="s">
        <v>597</v>
      </c>
      <c r="G154" s="13" t="s">
        <v>598</v>
      </c>
      <c r="H154" s="18">
        <v>10</v>
      </c>
      <c r="J154" s="18">
        <v>20</v>
      </c>
      <c r="L154" s="18">
        <v>15</v>
      </c>
      <c r="N154" s="18">
        <v>10</v>
      </c>
      <c r="P154" s="18">
        <v>12</v>
      </c>
      <c r="R154" s="18">
        <v>5</v>
      </c>
      <c r="T154" s="17"/>
      <c r="U154" s="19"/>
      <c r="V154" s="17"/>
      <c r="W154" s="19"/>
      <c r="X154" s="17"/>
      <c r="Y154" s="19"/>
      <c r="Z154" s="17"/>
      <c r="AA154" s="19"/>
      <c r="AB154" s="17"/>
      <c r="AC154" s="20"/>
      <c r="AD154" s="17"/>
      <c r="AE154" s="20"/>
      <c r="AF154" s="17"/>
      <c r="AG154" s="21"/>
      <c r="AH154" s="17"/>
      <c r="AI154" s="19"/>
      <c r="AJ154" s="17"/>
      <c r="AK154" s="19"/>
      <c r="AL154" s="17"/>
      <c r="AM154" s="21"/>
      <c r="AN154" s="17"/>
      <c r="AO154" s="19"/>
      <c r="AP154" s="17"/>
      <c r="AQ154" s="19"/>
      <c r="AR154" s="17"/>
      <c r="AS154" s="19"/>
      <c r="AT154" s="17"/>
      <c r="AU154" s="21"/>
      <c r="AV154" s="17"/>
      <c r="AW154" s="21"/>
      <c r="AX154" s="17"/>
      <c r="AY154" s="21"/>
      <c r="AZ154" s="17"/>
      <c r="BA154" s="21"/>
      <c r="BB154" s="17" t="s">
        <v>72</v>
      </c>
      <c r="BC154" s="21" t="s">
        <v>175</v>
      </c>
      <c r="BD154" s="17"/>
      <c r="BE154" s="22">
        <f t="shared" si="20"/>
        <v>72</v>
      </c>
      <c r="BF154" s="14">
        <f t="shared" si="21"/>
        <v>46054</v>
      </c>
      <c r="BG154" s="23" t="str">
        <f t="shared" si="22"/>
        <v>February 2026</v>
      </c>
      <c r="BH154" s="14">
        <f t="shared" si="23"/>
        <v>46048</v>
      </c>
      <c r="BI154" s="14">
        <f t="shared" si="24"/>
        <v>46054</v>
      </c>
      <c r="BJ154" s="17" t="str">
        <f t="shared" si="25"/>
        <v>26/01/2026 - 01/02/2026</v>
      </c>
      <c r="BK154" s="17">
        <f>IF($B154="","",COUNTIFS($B$5:$B154,$B154,$BF$5:$BF154,$BF154))</f>
        <v>10</v>
      </c>
      <c r="BL154" s="17">
        <f>IF($B154="","",COUNTIFS($B$5:$B154,$B154,$BH$5:$BH154,$BH154))</f>
        <v>10</v>
      </c>
      <c r="BM154" s="17" t="str">
        <f t="shared" si="26"/>
        <v>10|Jureeporn Piddum|20260201</v>
      </c>
      <c r="BN154" s="17" t="str">
        <f t="shared" si="27"/>
        <v>10|Jureeporn Piddum|20260126</v>
      </c>
      <c r="BO154" s="17">
        <f t="shared" si="28"/>
        <v>0</v>
      </c>
      <c r="BP154" s="24" t="s">
        <v>599</v>
      </c>
      <c r="BQ154" s="13"/>
      <c r="BR154" s="25" t="str">
        <f t="shared" si="29"/>
        <v>Jan-Feb 2026</v>
      </c>
    </row>
    <row r="155" spans="1:70" s="18" customFormat="1" ht="15" customHeight="1">
      <c r="A155" s="14">
        <v>46062.571902361109</v>
      </c>
      <c r="B155" s="15" t="s">
        <v>81</v>
      </c>
      <c r="C155" s="14">
        <v>46054</v>
      </c>
      <c r="D155" s="16"/>
      <c r="E155" s="16"/>
      <c r="F155" s="17" t="s">
        <v>600</v>
      </c>
      <c r="G155" s="13" t="s">
        <v>601</v>
      </c>
      <c r="H155" s="18">
        <v>10</v>
      </c>
      <c r="J155" s="18">
        <v>26</v>
      </c>
      <c r="L155" s="18">
        <v>17</v>
      </c>
      <c r="N155" s="18">
        <v>10</v>
      </c>
      <c r="P155" s="18">
        <v>18</v>
      </c>
      <c r="R155" s="18">
        <v>8</v>
      </c>
      <c r="T155" s="17"/>
      <c r="U155" s="19"/>
      <c r="V155" s="17"/>
      <c r="W155" s="19"/>
      <c r="X155" s="17"/>
      <c r="Y155" s="19"/>
      <c r="Z155" s="17"/>
      <c r="AA155" s="19"/>
      <c r="AB155" s="17"/>
      <c r="AC155" s="20"/>
      <c r="AD155" s="17"/>
      <c r="AE155" s="20"/>
      <c r="AF155" s="17"/>
      <c r="AG155" s="21"/>
      <c r="AH155" s="17"/>
      <c r="AI155" s="19"/>
      <c r="AJ155" s="17"/>
      <c r="AK155" s="19"/>
      <c r="AL155" s="17"/>
      <c r="AM155" s="21"/>
      <c r="AN155" s="17"/>
      <c r="AO155" s="19"/>
      <c r="AP155" s="17"/>
      <c r="AQ155" s="19"/>
      <c r="AR155" s="17"/>
      <c r="AS155" s="19"/>
      <c r="AT155" s="17"/>
      <c r="AU155" s="21"/>
      <c r="AV155" s="17"/>
      <c r="AW155" s="21"/>
      <c r="AX155" s="17"/>
      <c r="AY155" s="21"/>
      <c r="AZ155" s="17"/>
      <c r="BA155" s="21"/>
      <c r="BB155" s="17" t="s">
        <v>72</v>
      </c>
      <c r="BC155" s="21" t="s">
        <v>109</v>
      </c>
      <c r="BD155" s="17"/>
      <c r="BE155" s="22">
        <f t="shared" si="20"/>
        <v>89</v>
      </c>
      <c r="BF155" s="14">
        <f t="shared" si="21"/>
        <v>46054</v>
      </c>
      <c r="BG155" s="23" t="str">
        <f t="shared" si="22"/>
        <v>February 2026</v>
      </c>
      <c r="BH155" s="14">
        <f t="shared" si="23"/>
        <v>46048</v>
      </c>
      <c r="BI155" s="14">
        <f t="shared" si="24"/>
        <v>46054</v>
      </c>
      <c r="BJ155" s="17" t="str">
        <f t="shared" si="25"/>
        <v>26/01/2026 - 01/02/2026</v>
      </c>
      <c r="BK155" s="17">
        <f>IF($B155="","",COUNTIFS($B$5:$B155,$B155,$BF$5:$BF155,$BF155))</f>
        <v>1</v>
      </c>
      <c r="BL155" s="17">
        <f>IF($B155="","",COUNTIFS($B$5:$B155,$B155,$BH$5:$BH155,$BH155))</f>
        <v>1</v>
      </c>
      <c r="BM155" s="17" t="str">
        <f t="shared" si="26"/>
        <v>01|Krivut Vongkampan|20260201</v>
      </c>
      <c r="BN155" s="17" t="str">
        <f t="shared" si="27"/>
        <v>01|Krivut Vongkampan|20260126</v>
      </c>
      <c r="BO155" s="17">
        <f t="shared" si="28"/>
        <v>0</v>
      </c>
      <c r="BP155" s="24" t="s">
        <v>602</v>
      </c>
      <c r="BQ155" s="13"/>
      <c r="BR155" s="25" t="str">
        <f t="shared" si="29"/>
        <v>Jan-Feb 2026</v>
      </c>
    </row>
    <row r="156" spans="1:70" s="18" customFormat="1" ht="15" customHeight="1">
      <c r="A156" s="14">
        <v>46075.636080868047</v>
      </c>
      <c r="B156" s="15" t="s">
        <v>81</v>
      </c>
      <c r="C156" s="14">
        <v>46054</v>
      </c>
      <c r="D156" s="16"/>
      <c r="E156" s="16"/>
      <c r="F156" s="17" t="s">
        <v>603</v>
      </c>
      <c r="G156" s="13" t="s">
        <v>604</v>
      </c>
      <c r="H156" s="18">
        <v>8</v>
      </c>
      <c r="J156" s="18">
        <v>28</v>
      </c>
      <c r="L156" s="18">
        <v>18</v>
      </c>
      <c r="N156" s="18">
        <v>10</v>
      </c>
      <c r="P156" s="18">
        <v>16</v>
      </c>
      <c r="R156" s="18">
        <v>9</v>
      </c>
      <c r="T156" s="17"/>
      <c r="U156" s="19"/>
      <c r="V156" s="17"/>
      <c r="W156" s="19"/>
      <c r="X156" s="17"/>
      <c r="Y156" s="19"/>
      <c r="Z156" s="17"/>
      <c r="AA156" s="19"/>
      <c r="AB156" s="17"/>
      <c r="AC156" s="20"/>
      <c r="AD156" s="17"/>
      <c r="AE156" s="20"/>
      <c r="AF156" s="17"/>
      <c r="AG156" s="21"/>
      <c r="AH156" s="17"/>
      <c r="AI156" s="19"/>
      <c r="AJ156" s="17"/>
      <c r="AK156" s="19"/>
      <c r="AL156" s="17"/>
      <c r="AM156" s="21"/>
      <c r="AN156" s="17"/>
      <c r="AO156" s="19"/>
      <c r="AP156" s="17"/>
      <c r="AQ156" s="19"/>
      <c r="AR156" s="17"/>
      <c r="AS156" s="19"/>
      <c r="AT156" s="17"/>
      <c r="AU156" s="21"/>
      <c r="AV156" s="17"/>
      <c r="AW156" s="21"/>
      <c r="AX156" s="17"/>
      <c r="AY156" s="21"/>
      <c r="AZ156" s="17"/>
      <c r="BA156" s="21"/>
      <c r="BB156" s="17" t="s">
        <v>72</v>
      </c>
      <c r="BC156" s="21" t="s">
        <v>109</v>
      </c>
      <c r="BD156" s="17"/>
      <c r="BE156" s="22">
        <f t="shared" si="20"/>
        <v>89</v>
      </c>
      <c r="BF156" s="14">
        <f t="shared" si="21"/>
        <v>46054</v>
      </c>
      <c r="BG156" s="23" t="str">
        <f t="shared" si="22"/>
        <v>February 2026</v>
      </c>
      <c r="BH156" s="14">
        <f t="shared" si="23"/>
        <v>46048</v>
      </c>
      <c r="BI156" s="14">
        <f t="shared" si="24"/>
        <v>46054</v>
      </c>
      <c r="BJ156" s="17" t="str">
        <f t="shared" si="25"/>
        <v>26/01/2026 - 01/02/2026</v>
      </c>
      <c r="BK156" s="17">
        <f>IF($B156="","",COUNTIFS($B$5:$B156,$B156,$BF$5:$BF156,$BF156))</f>
        <v>2</v>
      </c>
      <c r="BL156" s="17">
        <f>IF($B156="","",COUNTIFS($B$5:$B156,$B156,$BH$5:$BH156,$BH156))</f>
        <v>2</v>
      </c>
      <c r="BM156" s="17" t="str">
        <f t="shared" si="26"/>
        <v>02|Krivut Vongkampan|20260201</v>
      </c>
      <c r="BN156" s="17" t="str">
        <f t="shared" si="27"/>
        <v>02|Krivut Vongkampan|20260126</v>
      </c>
      <c r="BO156" s="17">
        <f t="shared" si="28"/>
        <v>0</v>
      </c>
      <c r="BP156" s="24" t="s">
        <v>605</v>
      </c>
      <c r="BQ156" s="13"/>
      <c r="BR156" s="25" t="str">
        <f t="shared" si="29"/>
        <v>Jan-Feb 2026</v>
      </c>
    </row>
    <row r="157" spans="1:70" s="18" customFormat="1" ht="15" customHeight="1">
      <c r="A157" s="14">
        <v>46076.388289722221</v>
      </c>
      <c r="B157" s="15" t="s">
        <v>81</v>
      </c>
      <c r="C157" s="14">
        <v>46054</v>
      </c>
      <c r="D157" s="16"/>
      <c r="E157" s="16"/>
      <c r="F157" s="17" t="s">
        <v>606</v>
      </c>
      <c r="G157" s="13" t="s">
        <v>607</v>
      </c>
      <c r="H157" s="18">
        <v>8</v>
      </c>
      <c r="J157" s="18">
        <v>27</v>
      </c>
      <c r="L157" s="18">
        <v>17</v>
      </c>
      <c r="N157" s="18">
        <v>10</v>
      </c>
      <c r="P157" s="18">
        <v>17</v>
      </c>
      <c r="R157" s="18">
        <v>8</v>
      </c>
      <c r="T157" s="17"/>
      <c r="U157" s="19"/>
      <c r="V157" s="17"/>
      <c r="W157" s="19"/>
      <c r="X157" s="17"/>
      <c r="Y157" s="19"/>
      <c r="Z157" s="17"/>
      <c r="AA157" s="19"/>
      <c r="AB157" s="17"/>
      <c r="AC157" s="20"/>
      <c r="AD157" s="17"/>
      <c r="AE157" s="20"/>
      <c r="AF157" s="17"/>
      <c r="AG157" s="21"/>
      <c r="AH157" s="17"/>
      <c r="AI157" s="19"/>
      <c r="AJ157" s="17"/>
      <c r="AK157" s="19"/>
      <c r="AL157" s="17"/>
      <c r="AM157" s="21"/>
      <c r="AN157" s="17"/>
      <c r="AO157" s="19"/>
      <c r="AP157" s="17"/>
      <c r="AQ157" s="19"/>
      <c r="AR157" s="17"/>
      <c r="AS157" s="19"/>
      <c r="AT157" s="17"/>
      <c r="AU157" s="21"/>
      <c r="AV157" s="17"/>
      <c r="AW157" s="21"/>
      <c r="AX157" s="17"/>
      <c r="AY157" s="21"/>
      <c r="AZ157" s="17"/>
      <c r="BA157" s="21"/>
      <c r="BB157" s="17" t="s">
        <v>72</v>
      </c>
      <c r="BC157" s="21" t="s">
        <v>94</v>
      </c>
      <c r="BD157" s="17"/>
      <c r="BE157" s="22">
        <f t="shared" ref="BE157:BE220" si="30">IF($B157="","",IF(COUNT($H157,$J157,$L157,$N157,$P157,$R157)&gt;0,SUM($H157,$J157,$L157,$N157,$P157,$R157),SUM($T157,$V157,$X157,$Z157,$AB157,$AD157,$AF157,$AH157,$AJ157,$AL157,$AN157,$AP157,$AR157,$AT157,$AV157,$AX157,$AZ157)))</f>
        <v>87</v>
      </c>
      <c r="BF157" s="14">
        <f t="shared" ref="BF157:BF220" si="31">IF($C157="","",DATE(YEAR($C157),MONTH($C157),1))</f>
        <v>46054</v>
      </c>
      <c r="BG157" s="23" t="str">
        <f t="shared" ref="BG157:BG220" si="32">IF($BF157="","",TEXT($BF157,"mmmm yyyy"))</f>
        <v>February 2026</v>
      </c>
      <c r="BH157" s="14">
        <f t="shared" ref="BH157:BH220" si="33">IF($C157="","",$C157-WEEKDAY($C157,2)+1)</f>
        <v>46048</v>
      </c>
      <c r="BI157" s="14">
        <f t="shared" ref="BI157:BI220" si="34">IF($BH157="","",$BH157+6)</f>
        <v>46054</v>
      </c>
      <c r="BJ157" s="17" t="str">
        <f t="shared" ref="BJ157:BJ220" si="35">IF($BH157="","",TEXT($BH157,"dd/mm/yyyy")&amp;" - "&amp;TEXT($BI157,"dd/mm/yyyy"))</f>
        <v>26/01/2026 - 01/02/2026</v>
      </c>
      <c r="BK157" s="17">
        <f>IF($B157="","",COUNTIFS($B$5:$B157,$B157,$BF$5:$BF157,$BF157))</f>
        <v>3</v>
      </c>
      <c r="BL157" s="17">
        <f>IF($B157="","",COUNTIFS($B$5:$B157,$B157,$BH$5:$BH157,$BH157))</f>
        <v>3</v>
      </c>
      <c r="BM157" s="17" t="str">
        <f t="shared" ref="BM157:BM220" si="36">IF($B157="","",TEXT($BK157,"00")&amp;"|"&amp;$B157&amp;"|"&amp;TEXT($BF157,"yyyymmdd"))</f>
        <v>03|Krivut Vongkampan|20260201</v>
      </c>
      <c r="BN157" s="17" t="str">
        <f t="shared" ref="BN157:BN220" si="37">IF($B157="","",TEXT($BL157,"00")&amp;"|"&amp;$B157&amp;"|"&amp;TEXT($BH157,"yyyymmdd"))</f>
        <v>03|Krivut Vongkampan|20260126</v>
      </c>
      <c r="BO157" s="17">
        <f t="shared" ref="BO157:BO220" si="38">IF(OR($BB157="YES",$BB157="Yes",$BB157="Y",$BB157=1),1,0)</f>
        <v>0</v>
      </c>
      <c r="BP157" s="24" t="s">
        <v>608</v>
      </c>
      <c r="BQ157" s="13"/>
      <c r="BR157" s="25" t="str">
        <f t="shared" ref="BR157:BR220" si="39">IF($C157="","",IF($C157&gt;=DATE(2026,6,1),"QA-2026-06",IF($C157&gt;=DATE(2026,5,1),"May 2026+",IF($C157&gt;=DATE(2026,4,1),"April 2026",IF($C157&gt;=DATE(2026,3,1),"March 2026","Jan-Feb 2026")))))</f>
        <v>Jan-Feb 2026</v>
      </c>
    </row>
    <row r="158" spans="1:70" s="18" customFormat="1" ht="15" customHeight="1">
      <c r="A158" s="14">
        <v>46080.761069884262</v>
      </c>
      <c r="B158" s="15" t="s">
        <v>81</v>
      </c>
      <c r="C158" s="14">
        <v>46054</v>
      </c>
      <c r="D158" s="16"/>
      <c r="E158" s="16"/>
      <c r="F158" s="17" t="s">
        <v>609</v>
      </c>
      <c r="G158" s="13" t="s">
        <v>610</v>
      </c>
      <c r="H158" s="18">
        <v>8</v>
      </c>
      <c r="J158" s="18">
        <v>29</v>
      </c>
      <c r="L158" s="18">
        <v>19</v>
      </c>
      <c r="N158" s="18">
        <v>10</v>
      </c>
      <c r="P158" s="18">
        <v>16</v>
      </c>
      <c r="R158" s="18">
        <v>7</v>
      </c>
      <c r="T158" s="17"/>
      <c r="U158" s="19"/>
      <c r="V158" s="17"/>
      <c r="W158" s="19"/>
      <c r="X158" s="17"/>
      <c r="Y158" s="19"/>
      <c r="Z158" s="17"/>
      <c r="AA158" s="19"/>
      <c r="AB158" s="17"/>
      <c r="AC158" s="20"/>
      <c r="AD158" s="17"/>
      <c r="AE158" s="20"/>
      <c r="AF158" s="17"/>
      <c r="AG158" s="21"/>
      <c r="AH158" s="17"/>
      <c r="AI158" s="19"/>
      <c r="AJ158" s="17"/>
      <c r="AK158" s="19"/>
      <c r="AL158" s="17"/>
      <c r="AM158" s="21"/>
      <c r="AN158" s="17"/>
      <c r="AO158" s="19"/>
      <c r="AP158" s="17"/>
      <c r="AQ158" s="19"/>
      <c r="AR158" s="17"/>
      <c r="AS158" s="19"/>
      <c r="AT158" s="17"/>
      <c r="AU158" s="21"/>
      <c r="AV158" s="17"/>
      <c r="AW158" s="21"/>
      <c r="AX158" s="17"/>
      <c r="AY158" s="21"/>
      <c r="AZ158" s="17"/>
      <c r="BA158" s="21"/>
      <c r="BB158" s="17" t="s">
        <v>72</v>
      </c>
      <c r="BC158" s="21" t="s">
        <v>109</v>
      </c>
      <c r="BD158" s="17"/>
      <c r="BE158" s="22">
        <f t="shared" si="30"/>
        <v>89</v>
      </c>
      <c r="BF158" s="14">
        <f t="shared" si="31"/>
        <v>46054</v>
      </c>
      <c r="BG158" s="23" t="str">
        <f t="shared" si="32"/>
        <v>February 2026</v>
      </c>
      <c r="BH158" s="14">
        <f t="shared" si="33"/>
        <v>46048</v>
      </c>
      <c r="BI158" s="14">
        <f t="shared" si="34"/>
        <v>46054</v>
      </c>
      <c r="BJ158" s="17" t="str">
        <f t="shared" si="35"/>
        <v>26/01/2026 - 01/02/2026</v>
      </c>
      <c r="BK158" s="17">
        <f>IF($B158="","",COUNTIFS($B$5:$B158,$B158,$BF$5:$BF158,$BF158))</f>
        <v>4</v>
      </c>
      <c r="BL158" s="17">
        <f>IF($B158="","",COUNTIFS($B$5:$B158,$B158,$BH$5:$BH158,$BH158))</f>
        <v>4</v>
      </c>
      <c r="BM158" s="17" t="str">
        <f t="shared" si="36"/>
        <v>04|Krivut Vongkampan|20260201</v>
      </c>
      <c r="BN158" s="17" t="str">
        <f t="shared" si="37"/>
        <v>04|Krivut Vongkampan|20260126</v>
      </c>
      <c r="BO158" s="17">
        <f t="shared" si="38"/>
        <v>0</v>
      </c>
      <c r="BP158" s="24" t="s">
        <v>611</v>
      </c>
      <c r="BQ158" s="13"/>
      <c r="BR158" s="25" t="str">
        <f t="shared" si="39"/>
        <v>Jan-Feb 2026</v>
      </c>
    </row>
    <row r="159" spans="1:70" s="18" customFormat="1" ht="15" customHeight="1">
      <c r="A159" s="14">
        <v>46080.766934270832</v>
      </c>
      <c r="B159" s="15" t="s">
        <v>81</v>
      </c>
      <c r="C159" s="14">
        <v>46054</v>
      </c>
      <c r="D159" s="16"/>
      <c r="E159" s="16"/>
      <c r="F159" s="17" t="s">
        <v>612</v>
      </c>
      <c r="G159" s="13" t="s">
        <v>613</v>
      </c>
      <c r="H159" s="18">
        <v>8</v>
      </c>
      <c r="J159" s="18">
        <v>28</v>
      </c>
      <c r="L159" s="18">
        <v>18</v>
      </c>
      <c r="N159" s="18">
        <v>10</v>
      </c>
      <c r="P159" s="18">
        <v>18</v>
      </c>
      <c r="R159" s="18">
        <v>10</v>
      </c>
      <c r="T159" s="17"/>
      <c r="U159" s="19"/>
      <c r="V159" s="17"/>
      <c r="W159" s="19"/>
      <c r="X159" s="17"/>
      <c r="Y159" s="19"/>
      <c r="Z159" s="17"/>
      <c r="AA159" s="19"/>
      <c r="AB159" s="17"/>
      <c r="AC159" s="20"/>
      <c r="AD159" s="17"/>
      <c r="AE159" s="20"/>
      <c r="AF159" s="17"/>
      <c r="AG159" s="21"/>
      <c r="AH159" s="17"/>
      <c r="AI159" s="19"/>
      <c r="AJ159" s="17"/>
      <c r="AK159" s="19"/>
      <c r="AL159" s="17"/>
      <c r="AM159" s="21"/>
      <c r="AN159" s="17"/>
      <c r="AO159" s="19"/>
      <c r="AP159" s="17"/>
      <c r="AQ159" s="19"/>
      <c r="AR159" s="17"/>
      <c r="AS159" s="19"/>
      <c r="AT159" s="17"/>
      <c r="AU159" s="21"/>
      <c r="AV159" s="17"/>
      <c r="AW159" s="21"/>
      <c r="AX159" s="17"/>
      <c r="AY159" s="21"/>
      <c r="AZ159" s="17"/>
      <c r="BA159" s="21"/>
      <c r="BB159" s="17" t="s">
        <v>72</v>
      </c>
      <c r="BC159" s="21" t="s">
        <v>86</v>
      </c>
      <c r="BD159" s="17"/>
      <c r="BE159" s="22">
        <f t="shared" si="30"/>
        <v>92</v>
      </c>
      <c r="BF159" s="14">
        <f t="shared" si="31"/>
        <v>46054</v>
      </c>
      <c r="BG159" s="23" t="str">
        <f t="shared" si="32"/>
        <v>February 2026</v>
      </c>
      <c r="BH159" s="14">
        <f t="shared" si="33"/>
        <v>46048</v>
      </c>
      <c r="BI159" s="14">
        <f t="shared" si="34"/>
        <v>46054</v>
      </c>
      <c r="BJ159" s="17" t="str">
        <f t="shared" si="35"/>
        <v>26/01/2026 - 01/02/2026</v>
      </c>
      <c r="BK159" s="17">
        <f>IF($B159="","",COUNTIFS($B$5:$B159,$B159,$BF$5:$BF159,$BF159))</f>
        <v>5</v>
      </c>
      <c r="BL159" s="17">
        <f>IF($B159="","",COUNTIFS($B$5:$B159,$B159,$BH$5:$BH159,$BH159))</f>
        <v>5</v>
      </c>
      <c r="BM159" s="17" t="str">
        <f t="shared" si="36"/>
        <v>05|Krivut Vongkampan|20260201</v>
      </c>
      <c r="BN159" s="17" t="str">
        <f t="shared" si="37"/>
        <v>05|Krivut Vongkampan|20260126</v>
      </c>
      <c r="BO159" s="17">
        <f t="shared" si="38"/>
        <v>0</v>
      </c>
      <c r="BP159" s="24" t="s">
        <v>614</v>
      </c>
      <c r="BQ159" s="13"/>
      <c r="BR159" s="25" t="str">
        <f t="shared" si="39"/>
        <v>Jan-Feb 2026</v>
      </c>
    </row>
    <row r="160" spans="1:70" s="18" customFormat="1" ht="15" customHeight="1">
      <c r="A160" s="14">
        <v>46081.113994444437</v>
      </c>
      <c r="B160" s="15" t="s">
        <v>81</v>
      </c>
      <c r="C160" s="14">
        <v>46054</v>
      </c>
      <c r="D160" s="16"/>
      <c r="E160" s="16"/>
      <c r="F160" s="17" t="s">
        <v>615</v>
      </c>
      <c r="G160" s="13" t="s">
        <v>616</v>
      </c>
      <c r="H160" s="18">
        <v>7</v>
      </c>
      <c r="J160" s="18">
        <v>29</v>
      </c>
      <c r="L160" s="18">
        <v>17</v>
      </c>
      <c r="N160" s="18">
        <v>10</v>
      </c>
      <c r="P160" s="18">
        <v>15</v>
      </c>
      <c r="R160" s="18">
        <v>10</v>
      </c>
      <c r="T160" s="17"/>
      <c r="U160" s="19"/>
      <c r="V160" s="17"/>
      <c r="W160" s="19"/>
      <c r="X160" s="17"/>
      <c r="Y160" s="19"/>
      <c r="Z160" s="17"/>
      <c r="AA160" s="19"/>
      <c r="AB160" s="17"/>
      <c r="AC160" s="20"/>
      <c r="AD160" s="17"/>
      <c r="AE160" s="20"/>
      <c r="AF160" s="17"/>
      <c r="AG160" s="21"/>
      <c r="AH160" s="17"/>
      <c r="AI160" s="19"/>
      <c r="AJ160" s="17"/>
      <c r="AK160" s="19"/>
      <c r="AL160" s="17"/>
      <c r="AM160" s="21"/>
      <c r="AN160" s="17"/>
      <c r="AO160" s="19"/>
      <c r="AP160" s="17"/>
      <c r="AQ160" s="19"/>
      <c r="AR160" s="17"/>
      <c r="AS160" s="19"/>
      <c r="AT160" s="17"/>
      <c r="AU160" s="21"/>
      <c r="AV160" s="17"/>
      <c r="AW160" s="21"/>
      <c r="AX160" s="17"/>
      <c r="AY160" s="21"/>
      <c r="AZ160" s="17"/>
      <c r="BA160" s="21"/>
      <c r="BB160" s="17" t="s">
        <v>72</v>
      </c>
      <c r="BC160" s="21" t="s">
        <v>90</v>
      </c>
      <c r="BD160" s="17"/>
      <c r="BE160" s="22">
        <f t="shared" si="30"/>
        <v>88</v>
      </c>
      <c r="BF160" s="14">
        <f t="shared" si="31"/>
        <v>46054</v>
      </c>
      <c r="BG160" s="23" t="str">
        <f t="shared" si="32"/>
        <v>February 2026</v>
      </c>
      <c r="BH160" s="14">
        <f t="shared" si="33"/>
        <v>46048</v>
      </c>
      <c r="BI160" s="14">
        <f t="shared" si="34"/>
        <v>46054</v>
      </c>
      <c r="BJ160" s="17" t="str">
        <f t="shared" si="35"/>
        <v>26/01/2026 - 01/02/2026</v>
      </c>
      <c r="BK160" s="17">
        <f>IF($B160="","",COUNTIFS($B$5:$B160,$B160,$BF$5:$BF160,$BF160))</f>
        <v>6</v>
      </c>
      <c r="BL160" s="17">
        <f>IF($B160="","",COUNTIFS($B$5:$B160,$B160,$BH$5:$BH160,$BH160))</f>
        <v>6</v>
      </c>
      <c r="BM160" s="17" t="str">
        <f t="shared" si="36"/>
        <v>06|Krivut Vongkampan|20260201</v>
      </c>
      <c r="BN160" s="17" t="str">
        <f t="shared" si="37"/>
        <v>06|Krivut Vongkampan|20260126</v>
      </c>
      <c r="BO160" s="17">
        <f t="shared" si="38"/>
        <v>0</v>
      </c>
      <c r="BP160" s="24" t="s">
        <v>617</v>
      </c>
      <c r="BQ160" s="13"/>
      <c r="BR160" s="25" t="str">
        <f t="shared" si="39"/>
        <v>Jan-Feb 2026</v>
      </c>
    </row>
    <row r="161" spans="1:70" s="18" customFormat="1" ht="15" customHeight="1">
      <c r="A161" s="14">
        <v>46083.594112476851</v>
      </c>
      <c r="B161" s="15" t="s">
        <v>81</v>
      </c>
      <c r="C161" s="14">
        <v>46054</v>
      </c>
      <c r="D161" s="16"/>
      <c r="E161" s="16"/>
      <c r="F161" s="17" t="s">
        <v>618</v>
      </c>
      <c r="G161" s="13" t="s">
        <v>619</v>
      </c>
      <c r="H161" s="18">
        <v>10</v>
      </c>
      <c r="J161" s="18">
        <v>22</v>
      </c>
      <c r="L161" s="18">
        <v>15</v>
      </c>
      <c r="N161" s="18">
        <v>10</v>
      </c>
      <c r="P161" s="18">
        <v>18</v>
      </c>
      <c r="R161" s="18">
        <v>9</v>
      </c>
      <c r="T161" s="17"/>
      <c r="U161" s="19"/>
      <c r="V161" s="17"/>
      <c r="W161" s="19"/>
      <c r="X161" s="17"/>
      <c r="Y161" s="19"/>
      <c r="Z161" s="17"/>
      <c r="AA161" s="19"/>
      <c r="AB161" s="17"/>
      <c r="AC161" s="20"/>
      <c r="AD161" s="17"/>
      <c r="AE161" s="20"/>
      <c r="AF161" s="17"/>
      <c r="AG161" s="21"/>
      <c r="AH161" s="17"/>
      <c r="AI161" s="19"/>
      <c r="AJ161" s="17"/>
      <c r="AK161" s="19"/>
      <c r="AL161" s="17"/>
      <c r="AM161" s="21"/>
      <c r="AN161" s="17"/>
      <c r="AO161" s="19"/>
      <c r="AP161" s="17"/>
      <c r="AQ161" s="19"/>
      <c r="AR161" s="17"/>
      <c r="AS161" s="19"/>
      <c r="AT161" s="17"/>
      <c r="AU161" s="21"/>
      <c r="AV161" s="17"/>
      <c r="AW161" s="21"/>
      <c r="AX161" s="17"/>
      <c r="AY161" s="21"/>
      <c r="AZ161" s="17"/>
      <c r="BA161" s="21"/>
      <c r="BB161" s="17" t="s">
        <v>72</v>
      </c>
      <c r="BC161" s="21" t="s">
        <v>175</v>
      </c>
      <c r="BD161" s="17"/>
      <c r="BE161" s="22">
        <f t="shared" si="30"/>
        <v>84</v>
      </c>
      <c r="BF161" s="14">
        <f t="shared" si="31"/>
        <v>46054</v>
      </c>
      <c r="BG161" s="23" t="str">
        <f t="shared" si="32"/>
        <v>February 2026</v>
      </c>
      <c r="BH161" s="14">
        <f t="shared" si="33"/>
        <v>46048</v>
      </c>
      <c r="BI161" s="14">
        <f t="shared" si="34"/>
        <v>46054</v>
      </c>
      <c r="BJ161" s="17" t="str">
        <f t="shared" si="35"/>
        <v>26/01/2026 - 01/02/2026</v>
      </c>
      <c r="BK161" s="17">
        <f>IF($B161="","",COUNTIFS($B$5:$B161,$B161,$BF$5:$BF161,$BF161))</f>
        <v>7</v>
      </c>
      <c r="BL161" s="17">
        <f>IF($B161="","",COUNTIFS($B$5:$B161,$B161,$BH$5:$BH161,$BH161))</f>
        <v>7</v>
      </c>
      <c r="BM161" s="17" t="str">
        <f t="shared" si="36"/>
        <v>07|Krivut Vongkampan|20260201</v>
      </c>
      <c r="BN161" s="17" t="str">
        <f t="shared" si="37"/>
        <v>07|Krivut Vongkampan|20260126</v>
      </c>
      <c r="BO161" s="17">
        <f t="shared" si="38"/>
        <v>0</v>
      </c>
      <c r="BP161" s="24" t="s">
        <v>620</v>
      </c>
      <c r="BQ161" s="13"/>
      <c r="BR161" s="25" t="str">
        <f t="shared" si="39"/>
        <v>Jan-Feb 2026</v>
      </c>
    </row>
    <row r="162" spans="1:70" s="18" customFormat="1" ht="15" customHeight="1">
      <c r="A162" s="14">
        <v>46083.600927384257</v>
      </c>
      <c r="B162" s="15" t="s">
        <v>81</v>
      </c>
      <c r="C162" s="14">
        <v>46054</v>
      </c>
      <c r="D162" s="16"/>
      <c r="E162" s="16"/>
      <c r="F162" s="17" t="s">
        <v>621</v>
      </c>
      <c r="G162" s="13" t="s">
        <v>622</v>
      </c>
      <c r="H162" s="18">
        <v>8</v>
      </c>
      <c r="J162" s="18">
        <v>25</v>
      </c>
      <c r="L162" s="18">
        <v>17</v>
      </c>
      <c r="N162" s="18">
        <v>10</v>
      </c>
      <c r="P162" s="18">
        <v>18</v>
      </c>
      <c r="R162" s="18">
        <v>10</v>
      </c>
      <c r="T162" s="17"/>
      <c r="U162" s="19"/>
      <c r="V162" s="17"/>
      <c r="W162" s="19"/>
      <c r="X162" s="17"/>
      <c r="Y162" s="19"/>
      <c r="Z162" s="17"/>
      <c r="AA162" s="19"/>
      <c r="AB162" s="17"/>
      <c r="AC162" s="20"/>
      <c r="AD162" s="17"/>
      <c r="AE162" s="20"/>
      <c r="AF162" s="17"/>
      <c r="AG162" s="21"/>
      <c r="AH162" s="17"/>
      <c r="AI162" s="19"/>
      <c r="AJ162" s="17"/>
      <c r="AK162" s="19"/>
      <c r="AL162" s="17"/>
      <c r="AM162" s="21"/>
      <c r="AN162" s="17"/>
      <c r="AO162" s="19"/>
      <c r="AP162" s="17"/>
      <c r="AQ162" s="19"/>
      <c r="AR162" s="17"/>
      <c r="AS162" s="19"/>
      <c r="AT162" s="17"/>
      <c r="AU162" s="21"/>
      <c r="AV162" s="17"/>
      <c r="AW162" s="21"/>
      <c r="AX162" s="17"/>
      <c r="AY162" s="21"/>
      <c r="AZ162" s="17"/>
      <c r="BA162" s="21"/>
      <c r="BB162" s="17" t="s">
        <v>72</v>
      </c>
      <c r="BC162" s="21" t="s">
        <v>90</v>
      </c>
      <c r="BD162" s="17"/>
      <c r="BE162" s="22">
        <f t="shared" si="30"/>
        <v>88</v>
      </c>
      <c r="BF162" s="14">
        <f t="shared" si="31"/>
        <v>46054</v>
      </c>
      <c r="BG162" s="23" t="str">
        <f t="shared" si="32"/>
        <v>February 2026</v>
      </c>
      <c r="BH162" s="14">
        <f t="shared" si="33"/>
        <v>46048</v>
      </c>
      <c r="BI162" s="14">
        <f t="shared" si="34"/>
        <v>46054</v>
      </c>
      <c r="BJ162" s="17" t="str">
        <f t="shared" si="35"/>
        <v>26/01/2026 - 01/02/2026</v>
      </c>
      <c r="BK162" s="17">
        <f>IF($B162="","",COUNTIFS($B$5:$B162,$B162,$BF$5:$BF162,$BF162))</f>
        <v>8</v>
      </c>
      <c r="BL162" s="17">
        <f>IF($B162="","",COUNTIFS($B$5:$B162,$B162,$BH$5:$BH162,$BH162))</f>
        <v>8</v>
      </c>
      <c r="BM162" s="17" t="str">
        <f t="shared" si="36"/>
        <v>08|Krivut Vongkampan|20260201</v>
      </c>
      <c r="BN162" s="17" t="str">
        <f t="shared" si="37"/>
        <v>08|Krivut Vongkampan|20260126</v>
      </c>
      <c r="BO162" s="17">
        <f t="shared" si="38"/>
        <v>0</v>
      </c>
      <c r="BP162" s="24" t="s">
        <v>623</v>
      </c>
      <c r="BQ162" s="13"/>
      <c r="BR162" s="25" t="str">
        <f t="shared" si="39"/>
        <v>Jan-Feb 2026</v>
      </c>
    </row>
    <row r="163" spans="1:70" s="18" customFormat="1" ht="15" customHeight="1">
      <c r="A163" s="14">
        <v>46083.635427303241</v>
      </c>
      <c r="B163" s="15" t="s">
        <v>81</v>
      </c>
      <c r="C163" s="14">
        <v>46054</v>
      </c>
      <c r="D163" s="16"/>
      <c r="E163" s="16"/>
      <c r="F163" s="17" t="s">
        <v>624</v>
      </c>
      <c r="G163" s="13" t="s">
        <v>625</v>
      </c>
      <c r="H163" s="18">
        <v>8</v>
      </c>
      <c r="J163" s="18">
        <v>27</v>
      </c>
      <c r="L163" s="18">
        <v>17</v>
      </c>
      <c r="N163" s="18">
        <v>10</v>
      </c>
      <c r="P163" s="18">
        <v>17</v>
      </c>
      <c r="R163" s="18">
        <v>10</v>
      </c>
      <c r="T163" s="17"/>
      <c r="U163" s="19"/>
      <c r="V163" s="17"/>
      <c r="W163" s="19"/>
      <c r="X163" s="17"/>
      <c r="Y163" s="19"/>
      <c r="Z163" s="17"/>
      <c r="AA163" s="19"/>
      <c r="AB163" s="17"/>
      <c r="AC163" s="20"/>
      <c r="AD163" s="17"/>
      <c r="AE163" s="20"/>
      <c r="AF163" s="17"/>
      <c r="AG163" s="21"/>
      <c r="AH163" s="17"/>
      <c r="AI163" s="19"/>
      <c r="AJ163" s="17"/>
      <c r="AK163" s="19"/>
      <c r="AL163" s="17"/>
      <c r="AM163" s="21"/>
      <c r="AN163" s="17"/>
      <c r="AO163" s="19"/>
      <c r="AP163" s="17"/>
      <c r="AQ163" s="19"/>
      <c r="AR163" s="17"/>
      <c r="AS163" s="19"/>
      <c r="AT163" s="17"/>
      <c r="AU163" s="21"/>
      <c r="AV163" s="17"/>
      <c r="AW163" s="21"/>
      <c r="AX163" s="17"/>
      <c r="AY163" s="21"/>
      <c r="AZ163" s="17"/>
      <c r="BA163" s="21"/>
      <c r="BB163" s="17" t="s">
        <v>72</v>
      </c>
      <c r="BC163" s="21" t="s">
        <v>318</v>
      </c>
      <c r="BD163" s="17"/>
      <c r="BE163" s="22">
        <f t="shared" si="30"/>
        <v>89</v>
      </c>
      <c r="BF163" s="14">
        <f t="shared" si="31"/>
        <v>46054</v>
      </c>
      <c r="BG163" s="23" t="str">
        <f t="shared" si="32"/>
        <v>February 2026</v>
      </c>
      <c r="BH163" s="14">
        <f t="shared" si="33"/>
        <v>46048</v>
      </c>
      <c r="BI163" s="14">
        <f t="shared" si="34"/>
        <v>46054</v>
      </c>
      <c r="BJ163" s="17" t="str">
        <f t="shared" si="35"/>
        <v>26/01/2026 - 01/02/2026</v>
      </c>
      <c r="BK163" s="17">
        <f>IF($B163="","",COUNTIFS($B$5:$B163,$B163,$BF$5:$BF163,$BF163))</f>
        <v>9</v>
      </c>
      <c r="BL163" s="17">
        <f>IF($B163="","",COUNTIFS($B$5:$B163,$B163,$BH$5:$BH163,$BH163))</f>
        <v>9</v>
      </c>
      <c r="BM163" s="17" t="str">
        <f t="shared" si="36"/>
        <v>09|Krivut Vongkampan|20260201</v>
      </c>
      <c r="BN163" s="17" t="str">
        <f t="shared" si="37"/>
        <v>09|Krivut Vongkampan|20260126</v>
      </c>
      <c r="BO163" s="17">
        <f t="shared" si="38"/>
        <v>0</v>
      </c>
      <c r="BP163" s="24" t="s">
        <v>626</v>
      </c>
      <c r="BQ163" s="13"/>
      <c r="BR163" s="25" t="str">
        <f t="shared" si="39"/>
        <v>Jan-Feb 2026</v>
      </c>
    </row>
    <row r="164" spans="1:70" s="18" customFormat="1" ht="15" customHeight="1">
      <c r="A164" s="14">
        <v>46063.120588032412</v>
      </c>
      <c r="B164" s="15" t="s">
        <v>77</v>
      </c>
      <c r="C164" s="14">
        <v>46054</v>
      </c>
      <c r="D164" s="16"/>
      <c r="E164" s="16"/>
      <c r="F164" s="17" t="s">
        <v>627</v>
      </c>
      <c r="G164" s="13" t="s">
        <v>628</v>
      </c>
      <c r="H164" s="18">
        <v>10</v>
      </c>
      <c r="J164" s="18">
        <v>24</v>
      </c>
      <c r="L164" s="18">
        <v>17</v>
      </c>
      <c r="N164" s="18">
        <v>10</v>
      </c>
      <c r="P164" s="18">
        <v>16</v>
      </c>
      <c r="R164" s="18">
        <v>7</v>
      </c>
      <c r="T164" s="17"/>
      <c r="U164" s="19"/>
      <c r="V164" s="17"/>
      <c r="W164" s="19"/>
      <c r="X164" s="17"/>
      <c r="Y164" s="19"/>
      <c r="Z164" s="17"/>
      <c r="AA164" s="19"/>
      <c r="AB164" s="17"/>
      <c r="AC164" s="20"/>
      <c r="AD164" s="17"/>
      <c r="AE164" s="20"/>
      <c r="AF164" s="17"/>
      <c r="AG164" s="21"/>
      <c r="AH164" s="17"/>
      <c r="AI164" s="19"/>
      <c r="AJ164" s="17"/>
      <c r="AK164" s="19"/>
      <c r="AL164" s="17"/>
      <c r="AM164" s="21"/>
      <c r="AN164" s="17"/>
      <c r="AO164" s="19"/>
      <c r="AP164" s="17"/>
      <c r="AQ164" s="19"/>
      <c r="AR164" s="17"/>
      <c r="AS164" s="19"/>
      <c r="AT164" s="17"/>
      <c r="AU164" s="21"/>
      <c r="AV164" s="17"/>
      <c r="AW164" s="21"/>
      <c r="AX164" s="17"/>
      <c r="AY164" s="21"/>
      <c r="AZ164" s="17"/>
      <c r="BA164" s="21"/>
      <c r="BB164" s="17" t="s">
        <v>72</v>
      </c>
      <c r="BC164" s="21" t="s">
        <v>183</v>
      </c>
      <c r="BD164" s="17"/>
      <c r="BE164" s="22">
        <f t="shared" si="30"/>
        <v>84</v>
      </c>
      <c r="BF164" s="14">
        <f t="shared" si="31"/>
        <v>46054</v>
      </c>
      <c r="BG164" s="23" t="str">
        <f t="shared" si="32"/>
        <v>February 2026</v>
      </c>
      <c r="BH164" s="14">
        <f t="shared" si="33"/>
        <v>46048</v>
      </c>
      <c r="BI164" s="14">
        <f t="shared" si="34"/>
        <v>46054</v>
      </c>
      <c r="BJ164" s="17" t="str">
        <f t="shared" si="35"/>
        <v>26/01/2026 - 01/02/2026</v>
      </c>
      <c r="BK164" s="17">
        <f>IF($B164="","",COUNTIFS($B$5:$B164,$B164,$BF$5:$BF164,$BF164))</f>
        <v>1</v>
      </c>
      <c r="BL164" s="17">
        <f>IF($B164="","",COUNTIFS($B$5:$B164,$B164,$BH$5:$BH164,$BH164))</f>
        <v>1</v>
      </c>
      <c r="BM164" s="17" t="str">
        <f t="shared" si="36"/>
        <v>01|Natcha Chai-in|20260201</v>
      </c>
      <c r="BN164" s="17" t="str">
        <f t="shared" si="37"/>
        <v>01|Natcha Chai-in|20260126</v>
      </c>
      <c r="BO164" s="17">
        <f t="shared" si="38"/>
        <v>0</v>
      </c>
      <c r="BP164" s="24" t="s">
        <v>629</v>
      </c>
      <c r="BQ164" s="13"/>
      <c r="BR164" s="25" t="str">
        <f t="shared" si="39"/>
        <v>Jan-Feb 2026</v>
      </c>
    </row>
    <row r="165" spans="1:70" s="18" customFormat="1" ht="15" customHeight="1">
      <c r="A165" s="14">
        <v>46070.398164976847</v>
      </c>
      <c r="B165" s="15" t="s">
        <v>77</v>
      </c>
      <c r="C165" s="14">
        <v>46054</v>
      </c>
      <c r="D165" s="16"/>
      <c r="E165" s="16"/>
      <c r="F165" s="17" t="s">
        <v>630</v>
      </c>
      <c r="G165" s="13" t="s">
        <v>631</v>
      </c>
      <c r="H165" s="18">
        <v>10</v>
      </c>
      <c r="J165" s="18">
        <v>18</v>
      </c>
      <c r="L165" s="18">
        <v>12</v>
      </c>
      <c r="N165" s="18">
        <v>10</v>
      </c>
      <c r="P165" s="18">
        <v>17</v>
      </c>
      <c r="R165" s="18">
        <v>7</v>
      </c>
      <c r="T165" s="17"/>
      <c r="U165" s="19"/>
      <c r="V165" s="17"/>
      <c r="W165" s="19"/>
      <c r="X165" s="17"/>
      <c r="Y165" s="19"/>
      <c r="Z165" s="17"/>
      <c r="AA165" s="19"/>
      <c r="AB165" s="17"/>
      <c r="AC165" s="20"/>
      <c r="AD165" s="17"/>
      <c r="AE165" s="20"/>
      <c r="AF165" s="17"/>
      <c r="AG165" s="21"/>
      <c r="AH165" s="17"/>
      <c r="AI165" s="19"/>
      <c r="AJ165" s="17"/>
      <c r="AK165" s="19"/>
      <c r="AL165" s="17"/>
      <c r="AM165" s="21"/>
      <c r="AN165" s="17"/>
      <c r="AO165" s="19"/>
      <c r="AP165" s="17"/>
      <c r="AQ165" s="19"/>
      <c r="AR165" s="17"/>
      <c r="AS165" s="19"/>
      <c r="AT165" s="17"/>
      <c r="AU165" s="21"/>
      <c r="AV165" s="17"/>
      <c r="AW165" s="21"/>
      <c r="AX165" s="17"/>
      <c r="AY165" s="21"/>
      <c r="AZ165" s="17"/>
      <c r="BA165" s="21"/>
      <c r="BB165" s="17" t="s">
        <v>72</v>
      </c>
      <c r="BC165" s="21" t="s">
        <v>187</v>
      </c>
      <c r="BD165" s="17"/>
      <c r="BE165" s="22">
        <f t="shared" si="30"/>
        <v>74</v>
      </c>
      <c r="BF165" s="14">
        <f t="shared" si="31"/>
        <v>46054</v>
      </c>
      <c r="BG165" s="23" t="str">
        <f t="shared" si="32"/>
        <v>February 2026</v>
      </c>
      <c r="BH165" s="14">
        <f t="shared" si="33"/>
        <v>46048</v>
      </c>
      <c r="BI165" s="14">
        <f t="shared" si="34"/>
        <v>46054</v>
      </c>
      <c r="BJ165" s="17" t="str">
        <f t="shared" si="35"/>
        <v>26/01/2026 - 01/02/2026</v>
      </c>
      <c r="BK165" s="17">
        <f>IF($B165="","",COUNTIFS($B$5:$B165,$B165,$BF$5:$BF165,$BF165))</f>
        <v>2</v>
      </c>
      <c r="BL165" s="17">
        <f>IF($B165="","",COUNTIFS($B$5:$B165,$B165,$BH$5:$BH165,$BH165))</f>
        <v>2</v>
      </c>
      <c r="BM165" s="17" t="str">
        <f t="shared" si="36"/>
        <v>02|Natcha Chai-in|20260201</v>
      </c>
      <c r="BN165" s="17" t="str">
        <f t="shared" si="37"/>
        <v>02|Natcha Chai-in|20260126</v>
      </c>
      <c r="BO165" s="17">
        <f t="shared" si="38"/>
        <v>0</v>
      </c>
      <c r="BP165" s="24" t="s">
        <v>632</v>
      </c>
      <c r="BQ165" s="13"/>
      <c r="BR165" s="25" t="str">
        <f t="shared" si="39"/>
        <v>Jan-Feb 2026</v>
      </c>
    </row>
    <row r="166" spans="1:70" s="18" customFormat="1" ht="15" customHeight="1">
      <c r="A166" s="14">
        <v>46070.400447939814</v>
      </c>
      <c r="B166" s="15" t="s">
        <v>77</v>
      </c>
      <c r="C166" s="14">
        <v>46054</v>
      </c>
      <c r="D166" s="16"/>
      <c r="E166" s="16"/>
      <c r="F166" s="17" t="s">
        <v>633</v>
      </c>
      <c r="G166" s="13" t="s">
        <v>634</v>
      </c>
      <c r="H166" s="18">
        <v>10</v>
      </c>
      <c r="J166" s="18">
        <v>24</v>
      </c>
      <c r="L166" s="18">
        <v>15</v>
      </c>
      <c r="N166" s="18">
        <v>10</v>
      </c>
      <c r="P166" s="18">
        <v>16</v>
      </c>
      <c r="R166" s="18">
        <v>10</v>
      </c>
      <c r="T166" s="17"/>
      <c r="U166" s="19"/>
      <c r="V166" s="17"/>
      <c r="W166" s="19"/>
      <c r="X166" s="17"/>
      <c r="Y166" s="19"/>
      <c r="Z166" s="17"/>
      <c r="AA166" s="19"/>
      <c r="AB166" s="17"/>
      <c r="AC166" s="20"/>
      <c r="AD166" s="17"/>
      <c r="AE166" s="20"/>
      <c r="AF166" s="17"/>
      <c r="AG166" s="21"/>
      <c r="AH166" s="17"/>
      <c r="AI166" s="19"/>
      <c r="AJ166" s="17"/>
      <c r="AK166" s="19"/>
      <c r="AL166" s="17"/>
      <c r="AM166" s="21"/>
      <c r="AN166" s="17"/>
      <c r="AO166" s="19"/>
      <c r="AP166" s="17"/>
      <c r="AQ166" s="19"/>
      <c r="AR166" s="17"/>
      <c r="AS166" s="19"/>
      <c r="AT166" s="17"/>
      <c r="AU166" s="21"/>
      <c r="AV166" s="17"/>
      <c r="AW166" s="21"/>
      <c r="AX166" s="17"/>
      <c r="AY166" s="21"/>
      <c r="AZ166" s="17"/>
      <c r="BA166" s="21"/>
      <c r="BB166" s="17" t="s">
        <v>72</v>
      </c>
      <c r="BC166" s="21" t="s">
        <v>160</v>
      </c>
      <c r="BD166" s="17"/>
      <c r="BE166" s="22">
        <f t="shared" si="30"/>
        <v>85</v>
      </c>
      <c r="BF166" s="14">
        <f t="shared" si="31"/>
        <v>46054</v>
      </c>
      <c r="BG166" s="23" t="str">
        <f t="shared" si="32"/>
        <v>February 2026</v>
      </c>
      <c r="BH166" s="14">
        <f t="shared" si="33"/>
        <v>46048</v>
      </c>
      <c r="BI166" s="14">
        <f t="shared" si="34"/>
        <v>46054</v>
      </c>
      <c r="BJ166" s="17" t="str">
        <f t="shared" si="35"/>
        <v>26/01/2026 - 01/02/2026</v>
      </c>
      <c r="BK166" s="17">
        <f>IF($B166="","",COUNTIFS($B$5:$B166,$B166,$BF$5:$BF166,$BF166))</f>
        <v>3</v>
      </c>
      <c r="BL166" s="17">
        <f>IF($B166="","",COUNTIFS($B$5:$B166,$B166,$BH$5:$BH166,$BH166))</f>
        <v>3</v>
      </c>
      <c r="BM166" s="17" t="str">
        <f t="shared" si="36"/>
        <v>03|Natcha Chai-in|20260201</v>
      </c>
      <c r="BN166" s="17" t="str">
        <f t="shared" si="37"/>
        <v>03|Natcha Chai-in|20260126</v>
      </c>
      <c r="BO166" s="17">
        <f t="shared" si="38"/>
        <v>0</v>
      </c>
      <c r="BP166" s="24" t="s">
        <v>635</v>
      </c>
      <c r="BQ166" s="13"/>
      <c r="BR166" s="25" t="str">
        <f t="shared" si="39"/>
        <v>Jan-Feb 2026</v>
      </c>
    </row>
    <row r="167" spans="1:70" s="18" customFormat="1" ht="15" customHeight="1">
      <c r="A167" s="14">
        <v>46070.417472407411</v>
      </c>
      <c r="B167" s="15" t="s">
        <v>77</v>
      </c>
      <c r="C167" s="14">
        <v>46054</v>
      </c>
      <c r="D167" s="16"/>
      <c r="E167" s="16"/>
      <c r="F167" s="17" t="s">
        <v>636</v>
      </c>
      <c r="G167" s="13" t="s">
        <v>637</v>
      </c>
      <c r="H167" s="18">
        <v>10</v>
      </c>
      <c r="J167" s="18">
        <v>20</v>
      </c>
      <c r="L167" s="18">
        <v>12</v>
      </c>
      <c r="N167" s="18">
        <v>10</v>
      </c>
      <c r="P167" s="18">
        <v>18</v>
      </c>
      <c r="R167" s="18">
        <v>8</v>
      </c>
      <c r="T167" s="17"/>
      <c r="U167" s="19"/>
      <c r="V167" s="17"/>
      <c r="W167" s="19"/>
      <c r="X167" s="17"/>
      <c r="Y167" s="19"/>
      <c r="Z167" s="17"/>
      <c r="AA167" s="19"/>
      <c r="AB167" s="17"/>
      <c r="AC167" s="20"/>
      <c r="AD167" s="17"/>
      <c r="AE167" s="20"/>
      <c r="AF167" s="17"/>
      <c r="AG167" s="21"/>
      <c r="AH167" s="17"/>
      <c r="AI167" s="19"/>
      <c r="AJ167" s="17"/>
      <c r="AK167" s="19"/>
      <c r="AL167" s="17"/>
      <c r="AM167" s="21"/>
      <c r="AN167" s="17"/>
      <c r="AO167" s="19"/>
      <c r="AP167" s="17"/>
      <c r="AQ167" s="19"/>
      <c r="AR167" s="17"/>
      <c r="AS167" s="19"/>
      <c r="AT167" s="17"/>
      <c r="AU167" s="21"/>
      <c r="AV167" s="17"/>
      <c r="AW167" s="21"/>
      <c r="AX167" s="17"/>
      <c r="AY167" s="21"/>
      <c r="AZ167" s="17"/>
      <c r="BA167" s="21"/>
      <c r="BB167" s="17" t="s">
        <v>72</v>
      </c>
      <c r="BC167" s="21" t="s">
        <v>160</v>
      </c>
      <c r="BD167" s="17"/>
      <c r="BE167" s="22">
        <f t="shared" si="30"/>
        <v>78</v>
      </c>
      <c r="BF167" s="14">
        <f t="shared" si="31"/>
        <v>46054</v>
      </c>
      <c r="BG167" s="23" t="str">
        <f t="shared" si="32"/>
        <v>February 2026</v>
      </c>
      <c r="BH167" s="14">
        <f t="shared" si="33"/>
        <v>46048</v>
      </c>
      <c r="BI167" s="14">
        <f t="shared" si="34"/>
        <v>46054</v>
      </c>
      <c r="BJ167" s="17" t="str">
        <f t="shared" si="35"/>
        <v>26/01/2026 - 01/02/2026</v>
      </c>
      <c r="BK167" s="17">
        <f>IF($B167="","",COUNTIFS($B$5:$B167,$B167,$BF$5:$BF167,$BF167))</f>
        <v>4</v>
      </c>
      <c r="BL167" s="17">
        <f>IF($B167="","",COUNTIFS($B$5:$B167,$B167,$BH$5:$BH167,$BH167))</f>
        <v>4</v>
      </c>
      <c r="BM167" s="17" t="str">
        <f t="shared" si="36"/>
        <v>04|Natcha Chai-in|20260201</v>
      </c>
      <c r="BN167" s="17" t="str">
        <f t="shared" si="37"/>
        <v>04|Natcha Chai-in|20260126</v>
      </c>
      <c r="BO167" s="17">
        <f t="shared" si="38"/>
        <v>0</v>
      </c>
      <c r="BP167" s="24" t="s">
        <v>638</v>
      </c>
      <c r="BQ167" s="13"/>
      <c r="BR167" s="25" t="str">
        <f t="shared" si="39"/>
        <v>Jan-Feb 2026</v>
      </c>
    </row>
    <row r="168" spans="1:70" s="18" customFormat="1" ht="15" customHeight="1">
      <c r="A168" s="14">
        <v>46070.429895821762</v>
      </c>
      <c r="B168" s="15" t="s">
        <v>77</v>
      </c>
      <c r="C168" s="14">
        <v>46054</v>
      </c>
      <c r="D168" s="16"/>
      <c r="E168" s="16"/>
      <c r="F168" s="17" t="s">
        <v>639</v>
      </c>
      <c r="G168" s="13" t="s">
        <v>640</v>
      </c>
      <c r="H168" s="18">
        <v>10</v>
      </c>
      <c r="J168" s="18">
        <v>30</v>
      </c>
      <c r="L168" s="18">
        <v>20</v>
      </c>
      <c r="N168" s="18">
        <v>10</v>
      </c>
      <c r="P168" s="18">
        <v>15</v>
      </c>
      <c r="R168" s="18">
        <v>8</v>
      </c>
      <c r="T168" s="17"/>
      <c r="U168" s="19"/>
      <c r="V168" s="17"/>
      <c r="W168" s="19"/>
      <c r="X168" s="17"/>
      <c r="Y168" s="19"/>
      <c r="Z168" s="17"/>
      <c r="AA168" s="19"/>
      <c r="AB168" s="17"/>
      <c r="AC168" s="20"/>
      <c r="AD168" s="17"/>
      <c r="AE168" s="20"/>
      <c r="AF168" s="17"/>
      <c r="AG168" s="21"/>
      <c r="AH168" s="17"/>
      <c r="AI168" s="19"/>
      <c r="AJ168" s="17"/>
      <c r="AK168" s="19"/>
      <c r="AL168" s="17"/>
      <c r="AM168" s="21"/>
      <c r="AN168" s="17"/>
      <c r="AO168" s="19"/>
      <c r="AP168" s="17"/>
      <c r="AQ168" s="19"/>
      <c r="AR168" s="17"/>
      <c r="AS168" s="19"/>
      <c r="AT168" s="17"/>
      <c r="AU168" s="21"/>
      <c r="AV168" s="17"/>
      <c r="AW168" s="21"/>
      <c r="AX168" s="17"/>
      <c r="AY168" s="21"/>
      <c r="AZ168" s="17"/>
      <c r="BA168" s="21"/>
      <c r="BB168" s="17" t="s">
        <v>72</v>
      </c>
      <c r="BC168" s="21" t="s">
        <v>570</v>
      </c>
      <c r="BD168" s="17"/>
      <c r="BE168" s="22">
        <f t="shared" si="30"/>
        <v>93</v>
      </c>
      <c r="BF168" s="14">
        <f t="shared" si="31"/>
        <v>46054</v>
      </c>
      <c r="BG168" s="23" t="str">
        <f t="shared" si="32"/>
        <v>February 2026</v>
      </c>
      <c r="BH168" s="14">
        <f t="shared" si="33"/>
        <v>46048</v>
      </c>
      <c r="BI168" s="14">
        <f t="shared" si="34"/>
        <v>46054</v>
      </c>
      <c r="BJ168" s="17" t="str">
        <f t="shared" si="35"/>
        <v>26/01/2026 - 01/02/2026</v>
      </c>
      <c r="BK168" s="17">
        <f>IF($B168="","",COUNTIFS($B$5:$B168,$B168,$BF$5:$BF168,$BF168))</f>
        <v>5</v>
      </c>
      <c r="BL168" s="17">
        <f>IF($B168="","",COUNTIFS($B$5:$B168,$B168,$BH$5:$BH168,$BH168))</f>
        <v>5</v>
      </c>
      <c r="BM168" s="17" t="str">
        <f t="shared" si="36"/>
        <v>05|Natcha Chai-in|20260201</v>
      </c>
      <c r="BN168" s="17" t="str">
        <f t="shared" si="37"/>
        <v>05|Natcha Chai-in|20260126</v>
      </c>
      <c r="BO168" s="17">
        <f t="shared" si="38"/>
        <v>0</v>
      </c>
      <c r="BP168" s="24" t="s">
        <v>641</v>
      </c>
      <c r="BQ168" s="13"/>
      <c r="BR168" s="25" t="str">
        <f t="shared" si="39"/>
        <v>Jan-Feb 2026</v>
      </c>
    </row>
    <row r="169" spans="1:70" s="18" customFormat="1" ht="15" customHeight="1">
      <c r="A169" s="14">
        <v>46076.521411458343</v>
      </c>
      <c r="B169" s="15" t="s">
        <v>77</v>
      </c>
      <c r="C169" s="14">
        <v>46054</v>
      </c>
      <c r="D169" s="16"/>
      <c r="E169" s="16"/>
      <c r="F169" s="17" t="s">
        <v>642</v>
      </c>
      <c r="G169" s="13" t="s">
        <v>643</v>
      </c>
      <c r="H169" s="18">
        <v>10</v>
      </c>
      <c r="J169" s="18">
        <v>28</v>
      </c>
      <c r="L169" s="18">
        <v>20</v>
      </c>
      <c r="N169" s="18">
        <v>10</v>
      </c>
      <c r="P169" s="18">
        <v>16</v>
      </c>
      <c r="R169" s="18">
        <v>7</v>
      </c>
      <c r="T169" s="17"/>
      <c r="U169" s="19"/>
      <c r="V169" s="17"/>
      <c r="W169" s="19"/>
      <c r="X169" s="17"/>
      <c r="Y169" s="19"/>
      <c r="Z169" s="17"/>
      <c r="AA169" s="19"/>
      <c r="AB169" s="17"/>
      <c r="AC169" s="20"/>
      <c r="AD169" s="17"/>
      <c r="AE169" s="20"/>
      <c r="AF169" s="17"/>
      <c r="AG169" s="21"/>
      <c r="AH169" s="17"/>
      <c r="AI169" s="19"/>
      <c r="AJ169" s="17"/>
      <c r="AK169" s="19"/>
      <c r="AL169" s="17"/>
      <c r="AM169" s="21"/>
      <c r="AN169" s="17"/>
      <c r="AO169" s="19"/>
      <c r="AP169" s="17"/>
      <c r="AQ169" s="19"/>
      <c r="AR169" s="17"/>
      <c r="AS169" s="19"/>
      <c r="AT169" s="17"/>
      <c r="AU169" s="21"/>
      <c r="AV169" s="17"/>
      <c r="AW169" s="21"/>
      <c r="AX169" s="17"/>
      <c r="AY169" s="21"/>
      <c r="AZ169" s="17"/>
      <c r="BA169" s="21"/>
      <c r="BB169" s="17" t="s">
        <v>72</v>
      </c>
      <c r="BC169" s="21" t="s">
        <v>160</v>
      </c>
      <c r="BD169" s="17"/>
      <c r="BE169" s="22">
        <f t="shared" si="30"/>
        <v>91</v>
      </c>
      <c r="BF169" s="14">
        <f t="shared" si="31"/>
        <v>46054</v>
      </c>
      <c r="BG169" s="23" t="str">
        <f t="shared" si="32"/>
        <v>February 2026</v>
      </c>
      <c r="BH169" s="14">
        <f t="shared" si="33"/>
        <v>46048</v>
      </c>
      <c r="BI169" s="14">
        <f t="shared" si="34"/>
        <v>46054</v>
      </c>
      <c r="BJ169" s="17" t="str">
        <f t="shared" si="35"/>
        <v>26/01/2026 - 01/02/2026</v>
      </c>
      <c r="BK169" s="17">
        <f>IF($B169="","",COUNTIFS($B$5:$B169,$B169,$BF$5:$BF169,$BF169))</f>
        <v>6</v>
      </c>
      <c r="BL169" s="17">
        <f>IF($B169="","",COUNTIFS($B$5:$B169,$B169,$BH$5:$BH169,$BH169))</f>
        <v>6</v>
      </c>
      <c r="BM169" s="17" t="str">
        <f t="shared" si="36"/>
        <v>06|Natcha Chai-in|20260201</v>
      </c>
      <c r="BN169" s="17" t="str">
        <f t="shared" si="37"/>
        <v>06|Natcha Chai-in|20260126</v>
      </c>
      <c r="BO169" s="17">
        <f t="shared" si="38"/>
        <v>0</v>
      </c>
      <c r="BP169" s="24" t="s">
        <v>644</v>
      </c>
      <c r="BQ169" s="13"/>
      <c r="BR169" s="25" t="str">
        <f t="shared" si="39"/>
        <v>Jan-Feb 2026</v>
      </c>
    </row>
    <row r="170" spans="1:70" s="18" customFormat="1" ht="15" customHeight="1">
      <c r="A170" s="14">
        <v>46076.524813877317</v>
      </c>
      <c r="B170" s="15" t="s">
        <v>77</v>
      </c>
      <c r="C170" s="14">
        <v>46054</v>
      </c>
      <c r="D170" s="16"/>
      <c r="E170" s="16"/>
      <c r="F170" s="17" t="s">
        <v>645</v>
      </c>
      <c r="G170" s="13" t="s">
        <v>646</v>
      </c>
      <c r="H170" s="18">
        <v>5</v>
      </c>
      <c r="J170" s="18">
        <v>20</v>
      </c>
      <c r="L170" s="18">
        <v>12</v>
      </c>
      <c r="N170" s="18">
        <v>10</v>
      </c>
      <c r="P170" s="18">
        <v>18</v>
      </c>
      <c r="R170" s="18">
        <v>7</v>
      </c>
      <c r="T170" s="17"/>
      <c r="U170" s="19"/>
      <c r="V170" s="17"/>
      <c r="W170" s="19"/>
      <c r="X170" s="17"/>
      <c r="Y170" s="19"/>
      <c r="Z170" s="17"/>
      <c r="AA170" s="19"/>
      <c r="AB170" s="17"/>
      <c r="AC170" s="20"/>
      <c r="AD170" s="17"/>
      <c r="AE170" s="20"/>
      <c r="AF170" s="17"/>
      <c r="AG170" s="21"/>
      <c r="AH170" s="17"/>
      <c r="AI170" s="19"/>
      <c r="AJ170" s="17"/>
      <c r="AK170" s="19"/>
      <c r="AL170" s="17"/>
      <c r="AM170" s="21"/>
      <c r="AN170" s="17"/>
      <c r="AO170" s="19"/>
      <c r="AP170" s="17"/>
      <c r="AQ170" s="19"/>
      <c r="AR170" s="17"/>
      <c r="AS170" s="19"/>
      <c r="AT170" s="17"/>
      <c r="AU170" s="21"/>
      <c r="AV170" s="17"/>
      <c r="AW170" s="21"/>
      <c r="AX170" s="17"/>
      <c r="AY170" s="21"/>
      <c r="AZ170" s="17"/>
      <c r="BA170" s="21"/>
      <c r="BB170" s="17" t="s">
        <v>72</v>
      </c>
      <c r="BC170" s="21" t="s">
        <v>160</v>
      </c>
      <c r="BD170" s="17"/>
      <c r="BE170" s="22">
        <f t="shared" si="30"/>
        <v>72</v>
      </c>
      <c r="BF170" s="14">
        <f t="shared" si="31"/>
        <v>46054</v>
      </c>
      <c r="BG170" s="23" t="str">
        <f t="shared" si="32"/>
        <v>February 2026</v>
      </c>
      <c r="BH170" s="14">
        <f t="shared" si="33"/>
        <v>46048</v>
      </c>
      <c r="BI170" s="14">
        <f t="shared" si="34"/>
        <v>46054</v>
      </c>
      <c r="BJ170" s="17" t="str">
        <f t="shared" si="35"/>
        <v>26/01/2026 - 01/02/2026</v>
      </c>
      <c r="BK170" s="17">
        <f>IF($B170="","",COUNTIFS($B$5:$B170,$B170,$BF$5:$BF170,$BF170))</f>
        <v>7</v>
      </c>
      <c r="BL170" s="17">
        <f>IF($B170="","",COUNTIFS($B$5:$B170,$B170,$BH$5:$BH170,$BH170))</f>
        <v>7</v>
      </c>
      <c r="BM170" s="17" t="str">
        <f t="shared" si="36"/>
        <v>07|Natcha Chai-in|20260201</v>
      </c>
      <c r="BN170" s="17" t="str">
        <f t="shared" si="37"/>
        <v>07|Natcha Chai-in|20260126</v>
      </c>
      <c r="BO170" s="17">
        <f t="shared" si="38"/>
        <v>0</v>
      </c>
      <c r="BP170" s="24" t="s">
        <v>647</v>
      </c>
      <c r="BQ170" s="13"/>
      <c r="BR170" s="25" t="str">
        <f t="shared" si="39"/>
        <v>Jan-Feb 2026</v>
      </c>
    </row>
    <row r="171" spans="1:70" s="18" customFormat="1" ht="15" customHeight="1">
      <c r="A171" s="14">
        <v>46076.535106631942</v>
      </c>
      <c r="B171" s="15" t="s">
        <v>77</v>
      </c>
      <c r="C171" s="14">
        <v>46054</v>
      </c>
      <c r="D171" s="16"/>
      <c r="E171" s="16"/>
      <c r="F171" s="17" t="s">
        <v>648</v>
      </c>
      <c r="G171" s="13" t="s">
        <v>649</v>
      </c>
      <c r="H171" s="18">
        <v>10</v>
      </c>
      <c r="J171" s="18">
        <v>25</v>
      </c>
      <c r="L171" s="18">
        <v>16</v>
      </c>
      <c r="N171" s="18">
        <v>10</v>
      </c>
      <c r="P171" s="18">
        <v>14</v>
      </c>
      <c r="R171" s="18">
        <v>5</v>
      </c>
      <c r="T171" s="17"/>
      <c r="U171" s="19"/>
      <c r="V171" s="17"/>
      <c r="W171" s="19"/>
      <c r="X171" s="17"/>
      <c r="Y171" s="19"/>
      <c r="Z171" s="17"/>
      <c r="AA171" s="19"/>
      <c r="AB171" s="17"/>
      <c r="AC171" s="20"/>
      <c r="AD171" s="17"/>
      <c r="AE171" s="20"/>
      <c r="AF171" s="17"/>
      <c r="AG171" s="21"/>
      <c r="AH171" s="17"/>
      <c r="AI171" s="19"/>
      <c r="AJ171" s="17"/>
      <c r="AK171" s="19"/>
      <c r="AL171" s="17"/>
      <c r="AM171" s="21"/>
      <c r="AN171" s="17"/>
      <c r="AO171" s="19"/>
      <c r="AP171" s="17"/>
      <c r="AQ171" s="19"/>
      <c r="AR171" s="17"/>
      <c r="AS171" s="19"/>
      <c r="AT171" s="17"/>
      <c r="AU171" s="21"/>
      <c r="AV171" s="17"/>
      <c r="AW171" s="21"/>
      <c r="AX171" s="17"/>
      <c r="AY171" s="21"/>
      <c r="AZ171" s="17"/>
      <c r="BA171" s="21"/>
      <c r="BB171" s="17" t="s">
        <v>72</v>
      </c>
      <c r="BC171" s="21" t="s">
        <v>650</v>
      </c>
      <c r="BD171" s="17"/>
      <c r="BE171" s="22">
        <f t="shared" si="30"/>
        <v>80</v>
      </c>
      <c r="BF171" s="14">
        <f t="shared" si="31"/>
        <v>46054</v>
      </c>
      <c r="BG171" s="23" t="str">
        <f t="shared" si="32"/>
        <v>February 2026</v>
      </c>
      <c r="BH171" s="14">
        <f t="shared" si="33"/>
        <v>46048</v>
      </c>
      <c r="BI171" s="14">
        <f t="shared" si="34"/>
        <v>46054</v>
      </c>
      <c r="BJ171" s="17" t="str">
        <f t="shared" si="35"/>
        <v>26/01/2026 - 01/02/2026</v>
      </c>
      <c r="BK171" s="17">
        <f>IF($B171="","",COUNTIFS($B$5:$B171,$B171,$BF$5:$BF171,$BF171))</f>
        <v>8</v>
      </c>
      <c r="BL171" s="17">
        <f>IF($B171="","",COUNTIFS($B$5:$B171,$B171,$BH$5:$BH171,$BH171))</f>
        <v>8</v>
      </c>
      <c r="BM171" s="17" t="str">
        <f t="shared" si="36"/>
        <v>08|Natcha Chai-in|20260201</v>
      </c>
      <c r="BN171" s="17" t="str">
        <f t="shared" si="37"/>
        <v>08|Natcha Chai-in|20260126</v>
      </c>
      <c r="BO171" s="17">
        <f t="shared" si="38"/>
        <v>0</v>
      </c>
      <c r="BP171" s="24" t="s">
        <v>651</v>
      </c>
      <c r="BQ171" s="13"/>
      <c r="BR171" s="25" t="str">
        <f t="shared" si="39"/>
        <v>Jan-Feb 2026</v>
      </c>
    </row>
    <row r="172" spans="1:70" s="18" customFormat="1" ht="15" customHeight="1">
      <c r="A172" s="14">
        <v>46080.316407418977</v>
      </c>
      <c r="B172" s="15" t="s">
        <v>77</v>
      </c>
      <c r="C172" s="14">
        <v>46054</v>
      </c>
      <c r="D172" s="16"/>
      <c r="E172" s="16"/>
      <c r="F172" s="17" t="s">
        <v>652</v>
      </c>
      <c r="G172" s="13" t="s">
        <v>653</v>
      </c>
      <c r="H172" s="18">
        <v>10</v>
      </c>
      <c r="J172" s="18">
        <v>25</v>
      </c>
      <c r="L172" s="18">
        <v>16</v>
      </c>
      <c r="N172" s="18">
        <v>8</v>
      </c>
      <c r="P172" s="18">
        <v>10</v>
      </c>
      <c r="R172" s="18">
        <v>9</v>
      </c>
      <c r="T172" s="17"/>
      <c r="U172" s="19"/>
      <c r="V172" s="17"/>
      <c r="W172" s="19"/>
      <c r="X172" s="17"/>
      <c r="Y172" s="19"/>
      <c r="Z172" s="17"/>
      <c r="AA172" s="19"/>
      <c r="AB172" s="17"/>
      <c r="AC172" s="20"/>
      <c r="AD172" s="17"/>
      <c r="AE172" s="20"/>
      <c r="AF172" s="17"/>
      <c r="AG172" s="21"/>
      <c r="AH172" s="17"/>
      <c r="AI172" s="19"/>
      <c r="AJ172" s="17"/>
      <c r="AK172" s="19"/>
      <c r="AL172" s="17"/>
      <c r="AM172" s="21"/>
      <c r="AN172" s="17"/>
      <c r="AO172" s="19"/>
      <c r="AP172" s="17"/>
      <c r="AQ172" s="19"/>
      <c r="AR172" s="17"/>
      <c r="AS172" s="19"/>
      <c r="AT172" s="17"/>
      <c r="AU172" s="21"/>
      <c r="AV172" s="17"/>
      <c r="AW172" s="21"/>
      <c r="AX172" s="17"/>
      <c r="AY172" s="21"/>
      <c r="AZ172" s="17"/>
      <c r="BA172" s="21"/>
      <c r="BB172" s="17" t="s">
        <v>72</v>
      </c>
      <c r="BC172" s="21" t="s">
        <v>175</v>
      </c>
      <c r="BD172" s="17"/>
      <c r="BE172" s="22">
        <f t="shared" si="30"/>
        <v>78</v>
      </c>
      <c r="BF172" s="14">
        <f t="shared" si="31"/>
        <v>46054</v>
      </c>
      <c r="BG172" s="23" t="str">
        <f t="shared" si="32"/>
        <v>February 2026</v>
      </c>
      <c r="BH172" s="14">
        <f t="shared" si="33"/>
        <v>46048</v>
      </c>
      <c r="BI172" s="14">
        <f t="shared" si="34"/>
        <v>46054</v>
      </c>
      <c r="BJ172" s="17" t="str">
        <f t="shared" si="35"/>
        <v>26/01/2026 - 01/02/2026</v>
      </c>
      <c r="BK172" s="17">
        <f>IF($B172="","",COUNTIFS($B$5:$B172,$B172,$BF$5:$BF172,$BF172))</f>
        <v>9</v>
      </c>
      <c r="BL172" s="17">
        <f>IF($B172="","",COUNTIFS($B$5:$B172,$B172,$BH$5:$BH172,$BH172))</f>
        <v>9</v>
      </c>
      <c r="BM172" s="17" t="str">
        <f t="shared" si="36"/>
        <v>09|Natcha Chai-in|20260201</v>
      </c>
      <c r="BN172" s="17" t="str">
        <f t="shared" si="37"/>
        <v>09|Natcha Chai-in|20260126</v>
      </c>
      <c r="BO172" s="17">
        <f t="shared" si="38"/>
        <v>0</v>
      </c>
      <c r="BP172" s="24" t="s">
        <v>654</v>
      </c>
      <c r="BQ172" s="13"/>
      <c r="BR172" s="25" t="str">
        <f t="shared" si="39"/>
        <v>Jan-Feb 2026</v>
      </c>
    </row>
    <row r="173" spans="1:70" s="18" customFormat="1" ht="15" customHeight="1">
      <c r="A173" s="14">
        <v>46080.323531331022</v>
      </c>
      <c r="B173" s="15" t="s">
        <v>77</v>
      </c>
      <c r="C173" s="14">
        <v>46054</v>
      </c>
      <c r="D173" s="16"/>
      <c r="E173" s="16"/>
      <c r="F173" s="17" t="s">
        <v>655</v>
      </c>
      <c r="G173" s="13" t="s">
        <v>656</v>
      </c>
      <c r="H173" s="18">
        <v>9</v>
      </c>
      <c r="J173" s="18">
        <v>26</v>
      </c>
      <c r="L173" s="18">
        <v>17</v>
      </c>
      <c r="N173" s="18">
        <v>9</v>
      </c>
      <c r="P173" s="18">
        <v>10</v>
      </c>
      <c r="R173" s="18">
        <v>9</v>
      </c>
      <c r="T173" s="17"/>
      <c r="U173" s="19"/>
      <c r="V173" s="17"/>
      <c r="W173" s="19"/>
      <c r="X173" s="17"/>
      <c r="Y173" s="19"/>
      <c r="Z173" s="17"/>
      <c r="AA173" s="19"/>
      <c r="AB173" s="17"/>
      <c r="AC173" s="20"/>
      <c r="AD173" s="17"/>
      <c r="AE173" s="20"/>
      <c r="AF173" s="17"/>
      <c r="AG173" s="21"/>
      <c r="AH173" s="17"/>
      <c r="AI173" s="19"/>
      <c r="AJ173" s="17"/>
      <c r="AK173" s="19"/>
      <c r="AL173" s="17"/>
      <c r="AM173" s="21"/>
      <c r="AN173" s="17"/>
      <c r="AO173" s="19"/>
      <c r="AP173" s="17"/>
      <c r="AQ173" s="19"/>
      <c r="AR173" s="17"/>
      <c r="AS173" s="19"/>
      <c r="AT173" s="17"/>
      <c r="AU173" s="21"/>
      <c r="AV173" s="17"/>
      <c r="AW173" s="21"/>
      <c r="AX173" s="17"/>
      <c r="AY173" s="21"/>
      <c r="AZ173" s="17"/>
      <c r="BA173" s="21"/>
      <c r="BB173" s="17" t="s">
        <v>72</v>
      </c>
      <c r="BC173" s="21" t="s">
        <v>187</v>
      </c>
      <c r="BD173" s="17"/>
      <c r="BE173" s="22">
        <f t="shared" si="30"/>
        <v>80</v>
      </c>
      <c r="BF173" s="14">
        <f t="shared" si="31"/>
        <v>46054</v>
      </c>
      <c r="BG173" s="23" t="str">
        <f t="shared" si="32"/>
        <v>February 2026</v>
      </c>
      <c r="BH173" s="14">
        <f t="shared" si="33"/>
        <v>46048</v>
      </c>
      <c r="BI173" s="14">
        <f t="shared" si="34"/>
        <v>46054</v>
      </c>
      <c r="BJ173" s="17" t="str">
        <f t="shared" si="35"/>
        <v>26/01/2026 - 01/02/2026</v>
      </c>
      <c r="BK173" s="17">
        <f>IF($B173="","",COUNTIFS($B$5:$B173,$B173,$BF$5:$BF173,$BF173))</f>
        <v>10</v>
      </c>
      <c r="BL173" s="17">
        <f>IF($B173="","",COUNTIFS($B$5:$B173,$B173,$BH$5:$BH173,$BH173))</f>
        <v>10</v>
      </c>
      <c r="BM173" s="17" t="str">
        <f t="shared" si="36"/>
        <v>10|Natcha Chai-in|20260201</v>
      </c>
      <c r="BN173" s="17" t="str">
        <f t="shared" si="37"/>
        <v>10|Natcha Chai-in|20260126</v>
      </c>
      <c r="BO173" s="17">
        <f t="shared" si="38"/>
        <v>0</v>
      </c>
      <c r="BP173" s="24" t="s">
        <v>657</v>
      </c>
      <c r="BQ173" s="13"/>
      <c r="BR173" s="25" t="str">
        <f t="shared" si="39"/>
        <v>Jan-Feb 2026</v>
      </c>
    </row>
    <row r="174" spans="1:70" s="18" customFormat="1" ht="15" customHeight="1">
      <c r="A174" s="14">
        <v>46065.351408622693</v>
      </c>
      <c r="B174" s="15" t="s">
        <v>78</v>
      </c>
      <c r="C174" s="14">
        <v>46054</v>
      </c>
      <c r="D174" s="16"/>
      <c r="E174" s="16"/>
      <c r="F174" s="17" t="s">
        <v>658</v>
      </c>
      <c r="G174" s="13" t="s">
        <v>659</v>
      </c>
      <c r="H174" s="18">
        <v>10</v>
      </c>
      <c r="J174" s="18">
        <v>20</v>
      </c>
      <c r="L174" s="18">
        <v>10</v>
      </c>
      <c r="N174" s="18">
        <v>10</v>
      </c>
      <c r="P174" s="18">
        <v>10</v>
      </c>
      <c r="R174" s="18">
        <v>8</v>
      </c>
      <c r="T174" s="17"/>
      <c r="U174" s="19"/>
      <c r="V174" s="17"/>
      <c r="W174" s="19"/>
      <c r="X174" s="17"/>
      <c r="Y174" s="19"/>
      <c r="Z174" s="17"/>
      <c r="AA174" s="19"/>
      <c r="AB174" s="17"/>
      <c r="AC174" s="20"/>
      <c r="AD174" s="17"/>
      <c r="AE174" s="20"/>
      <c r="AF174" s="17"/>
      <c r="AG174" s="21"/>
      <c r="AH174" s="17"/>
      <c r="AI174" s="19"/>
      <c r="AJ174" s="17"/>
      <c r="AK174" s="19"/>
      <c r="AL174" s="17"/>
      <c r="AM174" s="21"/>
      <c r="AN174" s="17"/>
      <c r="AO174" s="19"/>
      <c r="AP174" s="17"/>
      <c r="AQ174" s="19"/>
      <c r="AR174" s="17"/>
      <c r="AS174" s="19"/>
      <c r="AT174" s="17"/>
      <c r="AU174" s="21"/>
      <c r="AV174" s="17"/>
      <c r="AW174" s="21"/>
      <c r="AX174" s="17"/>
      <c r="AY174" s="21"/>
      <c r="AZ174" s="17"/>
      <c r="BA174" s="21"/>
      <c r="BB174" s="17" t="s">
        <v>72</v>
      </c>
      <c r="BC174" s="21" t="s">
        <v>660</v>
      </c>
      <c r="BD174" s="17"/>
      <c r="BE174" s="22">
        <f t="shared" si="30"/>
        <v>68</v>
      </c>
      <c r="BF174" s="14">
        <f t="shared" si="31"/>
        <v>46054</v>
      </c>
      <c r="BG174" s="23" t="str">
        <f t="shared" si="32"/>
        <v>February 2026</v>
      </c>
      <c r="BH174" s="14">
        <f t="shared" si="33"/>
        <v>46048</v>
      </c>
      <c r="BI174" s="14">
        <f t="shared" si="34"/>
        <v>46054</v>
      </c>
      <c r="BJ174" s="17" t="str">
        <f t="shared" si="35"/>
        <v>26/01/2026 - 01/02/2026</v>
      </c>
      <c r="BK174" s="17">
        <f>IF($B174="","",COUNTIFS($B$5:$B174,$B174,$BF$5:$BF174,$BF174))</f>
        <v>1</v>
      </c>
      <c r="BL174" s="17">
        <f>IF($B174="","",COUNTIFS($B$5:$B174,$B174,$BH$5:$BH174,$BH174))</f>
        <v>1</v>
      </c>
      <c r="BM174" s="17" t="str">
        <f t="shared" si="36"/>
        <v>01|Sunijtra Siritip|20260201</v>
      </c>
      <c r="BN174" s="17" t="str">
        <f t="shared" si="37"/>
        <v>01|Sunijtra Siritip|20260126</v>
      </c>
      <c r="BO174" s="17">
        <f t="shared" si="38"/>
        <v>0</v>
      </c>
      <c r="BP174" s="24" t="s">
        <v>661</v>
      </c>
      <c r="BQ174" s="13"/>
      <c r="BR174" s="25" t="str">
        <f t="shared" si="39"/>
        <v>Jan-Feb 2026</v>
      </c>
    </row>
    <row r="175" spans="1:70" s="18" customFormat="1" ht="15" customHeight="1">
      <c r="A175" s="14">
        <v>46080.849484027778</v>
      </c>
      <c r="B175" s="15" t="s">
        <v>78</v>
      </c>
      <c r="C175" s="14">
        <v>46054</v>
      </c>
      <c r="D175" s="16"/>
      <c r="E175" s="16"/>
      <c r="F175" s="17" t="s">
        <v>662</v>
      </c>
      <c r="G175" s="13" t="s">
        <v>663</v>
      </c>
      <c r="H175" s="18">
        <v>10</v>
      </c>
      <c r="J175" s="18">
        <v>15</v>
      </c>
      <c r="L175" s="18">
        <v>10</v>
      </c>
      <c r="N175" s="18">
        <v>10</v>
      </c>
      <c r="P175" s="18">
        <v>18</v>
      </c>
      <c r="R175" s="18">
        <v>0</v>
      </c>
      <c r="T175" s="17"/>
      <c r="U175" s="19"/>
      <c r="V175" s="17"/>
      <c r="W175" s="19"/>
      <c r="X175" s="17"/>
      <c r="Y175" s="19"/>
      <c r="Z175" s="17"/>
      <c r="AA175" s="19"/>
      <c r="AB175" s="17"/>
      <c r="AC175" s="20"/>
      <c r="AD175" s="17"/>
      <c r="AE175" s="20"/>
      <c r="AF175" s="17"/>
      <c r="AG175" s="21"/>
      <c r="AH175" s="17"/>
      <c r="AI175" s="19"/>
      <c r="AJ175" s="17"/>
      <c r="AK175" s="19"/>
      <c r="AL175" s="17"/>
      <c r="AM175" s="21"/>
      <c r="AN175" s="17"/>
      <c r="AO175" s="19"/>
      <c r="AP175" s="17"/>
      <c r="AQ175" s="19"/>
      <c r="AR175" s="17"/>
      <c r="AS175" s="19"/>
      <c r="AT175" s="17"/>
      <c r="AU175" s="21"/>
      <c r="AV175" s="17"/>
      <c r="AW175" s="21"/>
      <c r="AX175" s="17"/>
      <c r="AY175" s="21"/>
      <c r="AZ175" s="17"/>
      <c r="BA175" s="21"/>
      <c r="BB175" s="17" t="s">
        <v>72</v>
      </c>
      <c r="BC175" s="21" t="s">
        <v>101</v>
      </c>
      <c r="BD175" s="17"/>
      <c r="BE175" s="22">
        <f t="shared" si="30"/>
        <v>63</v>
      </c>
      <c r="BF175" s="14">
        <f t="shared" si="31"/>
        <v>46054</v>
      </c>
      <c r="BG175" s="23" t="str">
        <f t="shared" si="32"/>
        <v>February 2026</v>
      </c>
      <c r="BH175" s="14">
        <f t="shared" si="33"/>
        <v>46048</v>
      </c>
      <c r="BI175" s="14">
        <f t="shared" si="34"/>
        <v>46054</v>
      </c>
      <c r="BJ175" s="17" t="str">
        <f t="shared" si="35"/>
        <v>26/01/2026 - 01/02/2026</v>
      </c>
      <c r="BK175" s="17">
        <f>IF($B175="","",COUNTIFS($B$5:$B175,$B175,$BF$5:$BF175,$BF175))</f>
        <v>2</v>
      </c>
      <c r="BL175" s="17">
        <f>IF($B175="","",COUNTIFS($B$5:$B175,$B175,$BH$5:$BH175,$BH175))</f>
        <v>2</v>
      </c>
      <c r="BM175" s="17" t="str">
        <f t="shared" si="36"/>
        <v>02|Sunijtra Siritip|20260201</v>
      </c>
      <c r="BN175" s="17" t="str">
        <f t="shared" si="37"/>
        <v>02|Sunijtra Siritip|20260126</v>
      </c>
      <c r="BO175" s="17">
        <f t="shared" si="38"/>
        <v>0</v>
      </c>
      <c r="BP175" s="24" t="s">
        <v>664</v>
      </c>
      <c r="BQ175" s="13"/>
      <c r="BR175" s="25" t="str">
        <f t="shared" si="39"/>
        <v>Jan-Feb 2026</v>
      </c>
    </row>
    <row r="176" spans="1:70" s="18" customFormat="1" ht="15" customHeight="1">
      <c r="A176" s="14">
        <v>46080.854189004633</v>
      </c>
      <c r="B176" s="15" t="s">
        <v>78</v>
      </c>
      <c r="C176" s="14">
        <v>46054</v>
      </c>
      <c r="D176" s="16"/>
      <c r="E176" s="16"/>
      <c r="F176" s="17" t="s">
        <v>665</v>
      </c>
      <c r="G176" s="13" t="s">
        <v>666</v>
      </c>
      <c r="H176" s="18">
        <v>10</v>
      </c>
      <c r="J176" s="18">
        <v>0</v>
      </c>
      <c r="L176" s="18">
        <v>0</v>
      </c>
      <c r="N176" s="18">
        <v>10</v>
      </c>
      <c r="P176" s="18">
        <v>15</v>
      </c>
      <c r="R176" s="18">
        <v>0</v>
      </c>
      <c r="T176" s="17"/>
      <c r="U176" s="19"/>
      <c r="V176" s="17"/>
      <c r="W176" s="19"/>
      <c r="X176" s="17"/>
      <c r="Y176" s="19"/>
      <c r="Z176" s="17"/>
      <c r="AA176" s="19"/>
      <c r="AB176" s="17"/>
      <c r="AC176" s="20"/>
      <c r="AD176" s="17"/>
      <c r="AE176" s="20"/>
      <c r="AF176" s="17"/>
      <c r="AG176" s="21"/>
      <c r="AH176" s="17"/>
      <c r="AI176" s="19"/>
      <c r="AJ176" s="17"/>
      <c r="AK176" s="19"/>
      <c r="AL176" s="17"/>
      <c r="AM176" s="21"/>
      <c r="AN176" s="17"/>
      <c r="AO176" s="19"/>
      <c r="AP176" s="17"/>
      <c r="AQ176" s="19"/>
      <c r="AR176" s="17"/>
      <c r="AS176" s="19"/>
      <c r="AT176" s="17"/>
      <c r="AU176" s="21"/>
      <c r="AV176" s="17"/>
      <c r="AW176" s="21"/>
      <c r="AX176" s="17"/>
      <c r="AY176" s="21"/>
      <c r="AZ176" s="17"/>
      <c r="BA176" s="21"/>
      <c r="BB176" s="17" t="s">
        <v>72</v>
      </c>
      <c r="BC176" s="21" t="s">
        <v>667</v>
      </c>
      <c r="BD176" s="17"/>
      <c r="BE176" s="22">
        <f t="shared" si="30"/>
        <v>35</v>
      </c>
      <c r="BF176" s="14">
        <f t="shared" si="31"/>
        <v>46054</v>
      </c>
      <c r="BG176" s="23" t="str">
        <f t="shared" si="32"/>
        <v>February 2026</v>
      </c>
      <c r="BH176" s="14">
        <f t="shared" si="33"/>
        <v>46048</v>
      </c>
      <c r="BI176" s="14">
        <f t="shared" si="34"/>
        <v>46054</v>
      </c>
      <c r="BJ176" s="17" t="str">
        <f t="shared" si="35"/>
        <v>26/01/2026 - 01/02/2026</v>
      </c>
      <c r="BK176" s="17">
        <f>IF($B176="","",COUNTIFS($B$5:$B176,$B176,$BF$5:$BF176,$BF176))</f>
        <v>3</v>
      </c>
      <c r="BL176" s="17">
        <f>IF($B176="","",COUNTIFS($B$5:$B176,$B176,$BH$5:$BH176,$BH176))</f>
        <v>3</v>
      </c>
      <c r="BM176" s="17" t="str">
        <f t="shared" si="36"/>
        <v>03|Sunijtra Siritip|20260201</v>
      </c>
      <c r="BN176" s="17" t="str">
        <f t="shared" si="37"/>
        <v>03|Sunijtra Siritip|20260126</v>
      </c>
      <c r="BO176" s="17">
        <f t="shared" si="38"/>
        <v>0</v>
      </c>
      <c r="BP176" s="24" t="s">
        <v>668</v>
      </c>
      <c r="BQ176" s="13"/>
      <c r="BR176" s="25" t="str">
        <f t="shared" si="39"/>
        <v>Jan-Feb 2026</v>
      </c>
    </row>
    <row r="177" spans="1:70" s="18" customFormat="1" ht="15" customHeight="1">
      <c r="A177" s="14">
        <v>46080.863395486107</v>
      </c>
      <c r="B177" s="15" t="s">
        <v>78</v>
      </c>
      <c r="C177" s="14">
        <v>46054</v>
      </c>
      <c r="D177" s="16"/>
      <c r="E177" s="16"/>
      <c r="F177" s="17" t="s">
        <v>669</v>
      </c>
      <c r="G177" s="13" t="s">
        <v>670</v>
      </c>
      <c r="H177" s="18">
        <v>5</v>
      </c>
      <c r="J177" s="18">
        <v>15</v>
      </c>
      <c r="L177" s="18">
        <v>10</v>
      </c>
      <c r="N177" s="18">
        <v>10</v>
      </c>
      <c r="P177" s="18">
        <v>17</v>
      </c>
      <c r="R177" s="18">
        <v>6</v>
      </c>
      <c r="T177" s="17"/>
      <c r="U177" s="19"/>
      <c r="V177" s="17"/>
      <c r="W177" s="19"/>
      <c r="X177" s="17"/>
      <c r="Y177" s="19"/>
      <c r="Z177" s="17"/>
      <c r="AA177" s="19"/>
      <c r="AB177" s="17"/>
      <c r="AC177" s="20"/>
      <c r="AD177" s="17"/>
      <c r="AE177" s="20"/>
      <c r="AF177" s="17"/>
      <c r="AG177" s="21"/>
      <c r="AH177" s="17"/>
      <c r="AI177" s="19"/>
      <c r="AJ177" s="17"/>
      <c r="AK177" s="19"/>
      <c r="AL177" s="17"/>
      <c r="AM177" s="21"/>
      <c r="AN177" s="17"/>
      <c r="AO177" s="19"/>
      <c r="AP177" s="17"/>
      <c r="AQ177" s="19"/>
      <c r="AR177" s="17"/>
      <c r="AS177" s="19"/>
      <c r="AT177" s="17"/>
      <c r="AU177" s="21"/>
      <c r="AV177" s="17"/>
      <c r="AW177" s="21"/>
      <c r="AX177" s="17"/>
      <c r="AY177" s="21"/>
      <c r="AZ177" s="17"/>
      <c r="BA177" s="21"/>
      <c r="BB177" s="17" t="s">
        <v>72</v>
      </c>
      <c r="BC177" s="21" t="s">
        <v>306</v>
      </c>
      <c r="BD177" s="17"/>
      <c r="BE177" s="22">
        <f t="shared" si="30"/>
        <v>63</v>
      </c>
      <c r="BF177" s="14">
        <f t="shared" si="31"/>
        <v>46054</v>
      </c>
      <c r="BG177" s="23" t="str">
        <f t="shared" si="32"/>
        <v>February 2026</v>
      </c>
      <c r="BH177" s="14">
        <f t="shared" si="33"/>
        <v>46048</v>
      </c>
      <c r="BI177" s="14">
        <f t="shared" si="34"/>
        <v>46054</v>
      </c>
      <c r="BJ177" s="17" t="str">
        <f t="shared" si="35"/>
        <v>26/01/2026 - 01/02/2026</v>
      </c>
      <c r="BK177" s="17">
        <f>IF($B177="","",COUNTIFS($B$5:$B177,$B177,$BF$5:$BF177,$BF177))</f>
        <v>4</v>
      </c>
      <c r="BL177" s="17">
        <f>IF($B177="","",COUNTIFS($B$5:$B177,$B177,$BH$5:$BH177,$BH177))</f>
        <v>4</v>
      </c>
      <c r="BM177" s="17" t="str">
        <f t="shared" si="36"/>
        <v>04|Sunijtra Siritip|20260201</v>
      </c>
      <c r="BN177" s="17" t="str">
        <f t="shared" si="37"/>
        <v>04|Sunijtra Siritip|20260126</v>
      </c>
      <c r="BO177" s="17">
        <f t="shared" si="38"/>
        <v>0</v>
      </c>
      <c r="BP177" s="24" t="s">
        <v>671</v>
      </c>
      <c r="BQ177" s="13"/>
      <c r="BR177" s="25" t="str">
        <f t="shared" si="39"/>
        <v>Jan-Feb 2026</v>
      </c>
    </row>
    <row r="178" spans="1:70" s="18" customFormat="1" ht="15" customHeight="1">
      <c r="A178" s="14">
        <v>46080.865989756952</v>
      </c>
      <c r="B178" s="15" t="s">
        <v>78</v>
      </c>
      <c r="C178" s="14">
        <v>46054</v>
      </c>
      <c r="D178" s="16"/>
      <c r="E178" s="16"/>
      <c r="F178" s="17" t="s">
        <v>672</v>
      </c>
      <c r="G178" s="13" t="s">
        <v>673</v>
      </c>
      <c r="H178" s="18">
        <v>10</v>
      </c>
      <c r="J178" s="18">
        <v>20</v>
      </c>
      <c r="L178" s="18">
        <v>15</v>
      </c>
      <c r="N178" s="18">
        <v>10</v>
      </c>
      <c r="P178" s="18">
        <v>10</v>
      </c>
      <c r="R178" s="18">
        <v>8</v>
      </c>
      <c r="T178" s="17"/>
      <c r="U178" s="19"/>
      <c r="V178" s="17"/>
      <c r="W178" s="19"/>
      <c r="X178" s="17"/>
      <c r="Y178" s="19"/>
      <c r="Z178" s="17"/>
      <c r="AA178" s="19"/>
      <c r="AB178" s="17"/>
      <c r="AC178" s="20"/>
      <c r="AD178" s="17"/>
      <c r="AE178" s="20"/>
      <c r="AF178" s="17"/>
      <c r="AG178" s="21"/>
      <c r="AH178" s="17"/>
      <c r="AI178" s="19"/>
      <c r="AJ178" s="17"/>
      <c r="AK178" s="19"/>
      <c r="AL178" s="17"/>
      <c r="AM178" s="21"/>
      <c r="AN178" s="17"/>
      <c r="AO178" s="19"/>
      <c r="AP178" s="17"/>
      <c r="AQ178" s="19"/>
      <c r="AR178" s="17"/>
      <c r="AS178" s="19"/>
      <c r="AT178" s="17"/>
      <c r="AU178" s="21"/>
      <c r="AV178" s="17"/>
      <c r="AW178" s="21"/>
      <c r="AX178" s="17"/>
      <c r="AY178" s="21"/>
      <c r="AZ178" s="17"/>
      <c r="BA178" s="21"/>
      <c r="BB178" s="17" t="s">
        <v>72</v>
      </c>
      <c r="BC178" s="21" t="s">
        <v>94</v>
      </c>
      <c r="BD178" s="17"/>
      <c r="BE178" s="22">
        <f t="shared" si="30"/>
        <v>73</v>
      </c>
      <c r="BF178" s="14">
        <f t="shared" si="31"/>
        <v>46054</v>
      </c>
      <c r="BG178" s="23" t="str">
        <f t="shared" si="32"/>
        <v>February 2026</v>
      </c>
      <c r="BH178" s="14">
        <f t="shared" si="33"/>
        <v>46048</v>
      </c>
      <c r="BI178" s="14">
        <f t="shared" si="34"/>
        <v>46054</v>
      </c>
      <c r="BJ178" s="17" t="str">
        <f t="shared" si="35"/>
        <v>26/01/2026 - 01/02/2026</v>
      </c>
      <c r="BK178" s="17">
        <f>IF($B178="","",COUNTIFS($B$5:$B178,$B178,$BF$5:$BF178,$BF178))</f>
        <v>5</v>
      </c>
      <c r="BL178" s="17">
        <f>IF($B178="","",COUNTIFS($B$5:$B178,$B178,$BH$5:$BH178,$BH178))</f>
        <v>5</v>
      </c>
      <c r="BM178" s="17" t="str">
        <f t="shared" si="36"/>
        <v>05|Sunijtra Siritip|20260201</v>
      </c>
      <c r="BN178" s="17" t="str">
        <f t="shared" si="37"/>
        <v>05|Sunijtra Siritip|20260126</v>
      </c>
      <c r="BO178" s="17">
        <f t="shared" si="38"/>
        <v>0</v>
      </c>
      <c r="BP178" s="24" t="s">
        <v>674</v>
      </c>
      <c r="BQ178" s="13"/>
      <c r="BR178" s="25" t="str">
        <f t="shared" si="39"/>
        <v>Jan-Feb 2026</v>
      </c>
    </row>
    <row r="179" spans="1:70" s="18" customFormat="1" ht="15" customHeight="1">
      <c r="A179" s="14">
        <v>46080.877304988433</v>
      </c>
      <c r="B179" s="15" t="s">
        <v>78</v>
      </c>
      <c r="C179" s="14">
        <v>46054</v>
      </c>
      <c r="D179" s="16"/>
      <c r="E179" s="16"/>
      <c r="F179" s="17" t="s">
        <v>675</v>
      </c>
      <c r="G179" s="13" t="s">
        <v>676</v>
      </c>
      <c r="H179" s="18">
        <v>10</v>
      </c>
      <c r="J179" s="18">
        <v>10</v>
      </c>
      <c r="L179" s="18">
        <v>8</v>
      </c>
      <c r="N179" s="18">
        <v>10</v>
      </c>
      <c r="P179" s="18">
        <v>15</v>
      </c>
      <c r="R179" s="18">
        <v>7</v>
      </c>
      <c r="T179" s="17"/>
      <c r="U179" s="19"/>
      <c r="V179" s="17"/>
      <c r="W179" s="19"/>
      <c r="X179" s="17"/>
      <c r="Y179" s="19"/>
      <c r="Z179" s="17"/>
      <c r="AA179" s="19"/>
      <c r="AB179" s="17"/>
      <c r="AC179" s="20"/>
      <c r="AD179" s="17"/>
      <c r="AE179" s="20"/>
      <c r="AF179" s="17"/>
      <c r="AG179" s="21"/>
      <c r="AH179" s="17"/>
      <c r="AI179" s="19"/>
      <c r="AJ179" s="17"/>
      <c r="AK179" s="19"/>
      <c r="AL179" s="17"/>
      <c r="AM179" s="21"/>
      <c r="AN179" s="17"/>
      <c r="AO179" s="19"/>
      <c r="AP179" s="17"/>
      <c r="AQ179" s="19"/>
      <c r="AR179" s="17"/>
      <c r="AS179" s="19"/>
      <c r="AT179" s="17"/>
      <c r="AU179" s="21"/>
      <c r="AV179" s="17"/>
      <c r="AW179" s="21"/>
      <c r="AX179" s="17"/>
      <c r="AY179" s="21"/>
      <c r="AZ179" s="17"/>
      <c r="BA179" s="21"/>
      <c r="BB179" s="17" t="s">
        <v>72</v>
      </c>
      <c r="BC179" s="21" t="s">
        <v>220</v>
      </c>
      <c r="BD179" s="17"/>
      <c r="BE179" s="22">
        <f t="shared" si="30"/>
        <v>60</v>
      </c>
      <c r="BF179" s="14">
        <f t="shared" si="31"/>
        <v>46054</v>
      </c>
      <c r="BG179" s="23" t="str">
        <f t="shared" si="32"/>
        <v>February 2026</v>
      </c>
      <c r="BH179" s="14">
        <f t="shared" si="33"/>
        <v>46048</v>
      </c>
      <c r="BI179" s="14">
        <f t="shared" si="34"/>
        <v>46054</v>
      </c>
      <c r="BJ179" s="17" t="str">
        <f t="shared" si="35"/>
        <v>26/01/2026 - 01/02/2026</v>
      </c>
      <c r="BK179" s="17">
        <f>IF($B179="","",COUNTIFS($B$5:$B179,$B179,$BF$5:$BF179,$BF179))</f>
        <v>6</v>
      </c>
      <c r="BL179" s="17">
        <f>IF($B179="","",COUNTIFS($B$5:$B179,$B179,$BH$5:$BH179,$BH179))</f>
        <v>6</v>
      </c>
      <c r="BM179" s="17" t="str">
        <f t="shared" si="36"/>
        <v>06|Sunijtra Siritip|20260201</v>
      </c>
      <c r="BN179" s="17" t="str">
        <f t="shared" si="37"/>
        <v>06|Sunijtra Siritip|20260126</v>
      </c>
      <c r="BO179" s="17">
        <f t="shared" si="38"/>
        <v>0</v>
      </c>
      <c r="BP179" s="24" t="s">
        <v>677</v>
      </c>
      <c r="BQ179" s="13"/>
      <c r="BR179" s="25" t="str">
        <f t="shared" si="39"/>
        <v>Jan-Feb 2026</v>
      </c>
    </row>
    <row r="180" spans="1:70" s="18" customFormat="1" ht="15" customHeight="1">
      <c r="A180" s="14">
        <v>46080.881615625003</v>
      </c>
      <c r="B180" s="15" t="s">
        <v>78</v>
      </c>
      <c r="C180" s="14">
        <v>46054</v>
      </c>
      <c r="D180" s="16"/>
      <c r="E180" s="16"/>
      <c r="F180" s="17" t="s">
        <v>678</v>
      </c>
      <c r="G180" s="13" t="s">
        <v>679</v>
      </c>
      <c r="H180" s="18">
        <v>10</v>
      </c>
      <c r="J180" s="18">
        <v>15</v>
      </c>
      <c r="L180" s="18">
        <v>10</v>
      </c>
      <c r="N180" s="18">
        <v>10</v>
      </c>
      <c r="P180" s="18">
        <v>17</v>
      </c>
      <c r="R180" s="18">
        <v>7</v>
      </c>
      <c r="T180" s="17"/>
      <c r="U180" s="19"/>
      <c r="V180" s="17"/>
      <c r="W180" s="19"/>
      <c r="X180" s="17"/>
      <c r="Y180" s="19"/>
      <c r="Z180" s="17"/>
      <c r="AA180" s="19"/>
      <c r="AB180" s="17"/>
      <c r="AC180" s="20"/>
      <c r="AD180" s="17"/>
      <c r="AE180" s="20"/>
      <c r="AF180" s="17"/>
      <c r="AG180" s="21"/>
      <c r="AH180" s="17"/>
      <c r="AI180" s="19"/>
      <c r="AJ180" s="17"/>
      <c r="AK180" s="19"/>
      <c r="AL180" s="17"/>
      <c r="AM180" s="21"/>
      <c r="AN180" s="17"/>
      <c r="AO180" s="19"/>
      <c r="AP180" s="17"/>
      <c r="AQ180" s="19"/>
      <c r="AR180" s="17"/>
      <c r="AS180" s="19"/>
      <c r="AT180" s="17"/>
      <c r="AU180" s="21"/>
      <c r="AV180" s="17"/>
      <c r="AW180" s="21"/>
      <c r="AX180" s="17"/>
      <c r="AY180" s="21"/>
      <c r="AZ180" s="17"/>
      <c r="BA180" s="21"/>
      <c r="BB180" s="17" t="s">
        <v>72</v>
      </c>
      <c r="BC180" s="21" t="s">
        <v>94</v>
      </c>
      <c r="BD180" s="17"/>
      <c r="BE180" s="22">
        <f t="shared" si="30"/>
        <v>69</v>
      </c>
      <c r="BF180" s="14">
        <f t="shared" si="31"/>
        <v>46054</v>
      </c>
      <c r="BG180" s="23" t="str">
        <f t="shared" si="32"/>
        <v>February 2026</v>
      </c>
      <c r="BH180" s="14">
        <f t="shared" si="33"/>
        <v>46048</v>
      </c>
      <c r="BI180" s="14">
        <f t="shared" si="34"/>
        <v>46054</v>
      </c>
      <c r="BJ180" s="17" t="str">
        <f t="shared" si="35"/>
        <v>26/01/2026 - 01/02/2026</v>
      </c>
      <c r="BK180" s="17">
        <f>IF($B180="","",COUNTIFS($B$5:$B180,$B180,$BF$5:$BF180,$BF180))</f>
        <v>7</v>
      </c>
      <c r="BL180" s="17">
        <f>IF($B180="","",COUNTIFS($B$5:$B180,$B180,$BH$5:$BH180,$BH180))</f>
        <v>7</v>
      </c>
      <c r="BM180" s="17" t="str">
        <f t="shared" si="36"/>
        <v>07|Sunijtra Siritip|20260201</v>
      </c>
      <c r="BN180" s="17" t="str">
        <f t="shared" si="37"/>
        <v>07|Sunijtra Siritip|20260126</v>
      </c>
      <c r="BO180" s="17">
        <f t="shared" si="38"/>
        <v>0</v>
      </c>
      <c r="BP180" s="24" t="s">
        <v>680</v>
      </c>
      <c r="BQ180" s="13"/>
      <c r="BR180" s="25" t="str">
        <f t="shared" si="39"/>
        <v>Jan-Feb 2026</v>
      </c>
    </row>
    <row r="181" spans="1:70" s="18" customFormat="1" ht="15" customHeight="1">
      <c r="A181" s="14">
        <v>46080.889370520832</v>
      </c>
      <c r="B181" s="15" t="s">
        <v>78</v>
      </c>
      <c r="C181" s="14">
        <v>46054</v>
      </c>
      <c r="D181" s="16"/>
      <c r="E181" s="16"/>
      <c r="F181" s="17" t="s">
        <v>681</v>
      </c>
      <c r="G181" s="13" t="s">
        <v>682</v>
      </c>
      <c r="H181" s="18">
        <v>10</v>
      </c>
      <c r="J181" s="18">
        <v>22</v>
      </c>
      <c r="L181" s="18">
        <v>14</v>
      </c>
      <c r="N181" s="18">
        <v>10</v>
      </c>
      <c r="P181" s="18">
        <v>17</v>
      </c>
      <c r="R181" s="18">
        <v>4</v>
      </c>
      <c r="T181" s="17"/>
      <c r="U181" s="19"/>
      <c r="V181" s="17"/>
      <c r="W181" s="19"/>
      <c r="X181" s="17"/>
      <c r="Y181" s="19"/>
      <c r="Z181" s="17"/>
      <c r="AA181" s="19"/>
      <c r="AB181" s="17"/>
      <c r="AC181" s="20"/>
      <c r="AD181" s="17"/>
      <c r="AE181" s="20"/>
      <c r="AF181" s="17"/>
      <c r="AG181" s="21"/>
      <c r="AH181" s="17"/>
      <c r="AI181" s="19"/>
      <c r="AJ181" s="17"/>
      <c r="AK181" s="19"/>
      <c r="AL181" s="17"/>
      <c r="AM181" s="21"/>
      <c r="AN181" s="17"/>
      <c r="AO181" s="19"/>
      <c r="AP181" s="17"/>
      <c r="AQ181" s="19"/>
      <c r="AR181" s="17"/>
      <c r="AS181" s="19"/>
      <c r="AT181" s="17"/>
      <c r="AU181" s="21"/>
      <c r="AV181" s="17"/>
      <c r="AW181" s="21"/>
      <c r="AX181" s="17"/>
      <c r="AY181" s="21"/>
      <c r="AZ181" s="17"/>
      <c r="BA181" s="21"/>
      <c r="BB181" s="17" t="s">
        <v>72</v>
      </c>
      <c r="BC181" s="21" t="s">
        <v>94</v>
      </c>
      <c r="BD181" s="17"/>
      <c r="BE181" s="22">
        <f t="shared" si="30"/>
        <v>77</v>
      </c>
      <c r="BF181" s="14">
        <f t="shared" si="31"/>
        <v>46054</v>
      </c>
      <c r="BG181" s="23" t="str">
        <f t="shared" si="32"/>
        <v>February 2026</v>
      </c>
      <c r="BH181" s="14">
        <f t="shared" si="33"/>
        <v>46048</v>
      </c>
      <c r="BI181" s="14">
        <f t="shared" si="34"/>
        <v>46054</v>
      </c>
      <c r="BJ181" s="17" t="str">
        <f t="shared" si="35"/>
        <v>26/01/2026 - 01/02/2026</v>
      </c>
      <c r="BK181" s="17">
        <f>IF($B181="","",COUNTIFS($B$5:$B181,$B181,$BF$5:$BF181,$BF181))</f>
        <v>8</v>
      </c>
      <c r="BL181" s="17">
        <f>IF($B181="","",COUNTIFS($B$5:$B181,$B181,$BH$5:$BH181,$BH181))</f>
        <v>8</v>
      </c>
      <c r="BM181" s="17" t="str">
        <f t="shared" si="36"/>
        <v>08|Sunijtra Siritip|20260201</v>
      </c>
      <c r="BN181" s="17" t="str">
        <f t="shared" si="37"/>
        <v>08|Sunijtra Siritip|20260126</v>
      </c>
      <c r="BO181" s="17">
        <f t="shared" si="38"/>
        <v>0</v>
      </c>
      <c r="BP181" s="24" t="s">
        <v>683</v>
      </c>
      <c r="BQ181" s="13"/>
      <c r="BR181" s="25" t="str">
        <f t="shared" si="39"/>
        <v>Jan-Feb 2026</v>
      </c>
    </row>
    <row r="182" spans="1:70" s="18" customFormat="1" ht="15" customHeight="1">
      <c r="A182" s="14">
        <v>46081.461073888888</v>
      </c>
      <c r="B182" s="15" t="s">
        <v>78</v>
      </c>
      <c r="C182" s="14">
        <v>46054</v>
      </c>
      <c r="D182" s="16"/>
      <c r="E182" s="16"/>
      <c r="F182" s="17" t="s">
        <v>684</v>
      </c>
      <c r="G182" s="13" t="s">
        <v>685</v>
      </c>
      <c r="H182" s="18">
        <v>10</v>
      </c>
      <c r="J182" s="18">
        <v>29</v>
      </c>
      <c r="L182" s="18">
        <v>19</v>
      </c>
      <c r="N182" s="18">
        <v>10</v>
      </c>
      <c r="P182" s="18">
        <v>15</v>
      </c>
      <c r="R182" s="18">
        <v>10</v>
      </c>
      <c r="T182" s="17"/>
      <c r="U182" s="19"/>
      <c r="V182" s="17"/>
      <c r="W182" s="19"/>
      <c r="X182" s="17"/>
      <c r="Y182" s="19"/>
      <c r="Z182" s="17"/>
      <c r="AA182" s="19"/>
      <c r="AB182" s="17"/>
      <c r="AC182" s="20"/>
      <c r="AD182" s="17"/>
      <c r="AE182" s="20"/>
      <c r="AF182" s="17"/>
      <c r="AG182" s="21"/>
      <c r="AH182" s="17"/>
      <c r="AI182" s="19"/>
      <c r="AJ182" s="17"/>
      <c r="AK182" s="19"/>
      <c r="AL182" s="17"/>
      <c r="AM182" s="21"/>
      <c r="AN182" s="17"/>
      <c r="AO182" s="19"/>
      <c r="AP182" s="17"/>
      <c r="AQ182" s="19"/>
      <c r="AR182" s="17"/>
      <c r="AS182" s="19"/>
      <c r="AT182" s="17"/>
      <c r="AU182" s="21"/>
      <c r="AV182" s="17"/>
      <c r="AW182" s="21"/>
      <c r="AX182" s="17"/>
      <c r="AY182" s="21"/>
      <c r="AZ182" s="17"/>
      <c r="BA182" s="21"/>
      <c r="BB182" s="17" t="s">
        <v>72</v>
      </c>
      <c r="BC182" s="21" t="s">
        <v>101</v>
      </c>
      <c r="BD182" s="17"/>
      <c r="BE182" s="22">
        <f t="shared" si="30"/>
        <v>93</v>
      </c>
      <c r="BF182" s="14">
        <f t="shared" si="31"/>
        <v>46054</v>
      </c>
      <c r="BG182" s="23" t="str">
        <f t="shared" si="32"/>
        <v>February 2026</v>
      </c>
      <c r="BH182" s="14">
        <f t="shared" si="33"/>
        <v>46048</v>
      </c>
      <c r="BI182" s="14">
        <f t="shared" si="34"/>
        <v>46054</v>
      </c>
      <c r="BJ182" s="17" t="str">
        <f t="shared" si="35"/>
        <v>26/01/2026 - 01/02/2026</v>
      </c>
      <c r="BK182" s="17">
        <f>IF($B182="","",COUNTIFS($B$5:$B182,$B182,$BF$5:$BF182,$BF182))</f>
        <v>9</v>
      </c>
      <c r="BL182" s="17">
        <f>IF($B182="","",COUNTIFS($B$5:$B182,$B182,$BH$5:$BH182,$BH182))</f>
        <v>9</v>
      </c>
      <c r="BM182" s="17" t="str">
        <f t="shared" si="36"/>
        <v>09|Sunijtra Siritip|20260201</v>
      </c>
      <c r="BN182" s="17" t="str">
        <f t="shared" si="37"/>
        <v>09|Sunijtra Siritip|20260126</v>
      </c>
      <c r="BO182" s="17">
        <f t="shared" si="38"/>
        <v>0</v>
      </c>
      <c r="BP182" s="24" t="s">
        <v>686</v>
      </c>
      <c r="BQ182" s="13"/>
      <c r="BR182" s="25" t="str">
        <f t="shared" si="39"/>
        <v>Jan-Feb 2026</v>
      </c>
    </row>
    <row r="183" spans="1:70" s="18" customFormat="1" ht="15" customHeight="1">
      <c r="A183" s="14">
        <v>46081.620487905093</v>
      </c>
      <c r="B183" s="15" t="s">
        <v>78</v>
      </c>
      <c r="C183" s="14">
        <v>46054</v>
      </c>
      <c r="D183" s="16"/>
      <c r="E183" s="16"/>
      <c r="F183" s="17" t="s">
        <v>687</v>
      </c>
      <c r="G183" s="13" t="s">
        <v>688</v>
      </c>
      <c r="H183" s="18">
        <v>5</v>
      </c>
      <c r="J183" s="18">
        <v>22</v>
      </c>
      <c r="L183" s="18">
        <v>14</v>
      </c>
      <c r="N183" s="18">
        <v>10</v>
      </c>
      <c r="P183" s="18">
        <v>18</v>
      </c>
      <c r="R183" s="18">
        <v>7</v>
      </c>
      <c r="T183" s="17"/>
      <c r="U183" s="19"/>
      <c r="V183" s="17"/>
      <c r="W183" s="19"/>
      <c r="X183" s="17"/>
      <c r="Y183" s="19"/>
      <c r="Z183" s="17"/>
      <c r="AA183" s="19"/>
      <c r="AB183" s="17"/>
      <c r="AC183" s="20"/>
      <c r="AD183" s="17"/>
      <c r="AE183" s="20"/>
      <c r="AF183" s="17"/>
      <c r="AG183" s="21"/>
      <c r="AH183" s="17"/>
      <c r="AI183" s="19"/>
      <c r="AJ183" s="17"/>
      <c r="AK183" s="19"/>
      <c r="AL183" s="17"/>
      <c r="AM183" s="21"/>
      <c r="AN183" s="17"/>
      <c r="AO183" s="19"/>
      <c r="AP183" s="17"/>
      <c r="AQ183" s="19"/>
      <c r="AR183" s="17"/>
      <c r="AS183" s="19"/>
      <c r="AT183" s="17"/>
      <c r="AU183" s="21"/>
      <c r="AV183" s="17"/>
      <c r="AW183" s="21"/>
      <c r="AX183" s="17"/>
      <c r="AY183" s="21"/>
      <c r="AZ183" s="17"/>
      <c r="BA183" s="21"/>
      <c r="BB183" s="17" t="s">
        <v>72</v>
      </c>
      <c r="BC183" s="21" t="s">
        <v>462</v>
      </c>
      <c r="BD183" s="17"/>
      <c r="BE183" s="22">
        <f t="shared" si="30"/>
        <v>76</v>
      </c>
      <c r="BF183" s="14">
        <f t="shared" si="31"/>
        <v>46054</v>
      </c>
      <c r="BG183" s="23" t="str">
        <f t="shared" si="32"/>
        <v>February 2026</v>
      </c>
      <c r="BH183" s="14">
        <f t="shared" si="33"/>
        <v>46048</v>
      </c>
      <c r="BI183" s="14">
        <f t="shared" si="34"/>
        <v>46054</v>
      </c>
      <c r="BJ183" s="17" t="str">
        <f t="shared" si="35"/>
        <v>26/01/2026 - 01/02/2026</v>
      </c>
      <c r="BK183" s="17">
        <f>IF($B183="","",COUNTIFS($B$5:$B183,$B183,$BF$5:$BF183,$BF183))</f>
        <v>10</v>
      </c>
      <c r="BL183" s="17">
        <f>IF($B183="","",COUNTIFS($B$5:$B183,$B183,$BH$5:$BH183,$BH183))</f>
        <v>10</v>
      </c>
      <c r="BM183" s="17" t="str">
        <f t="shared" si="36"/>
        <v>10|Sunijtra Siritip|20260201</v>
      </c>
      <c r="BN183" s="17" t="str">
        <f t="shared" si="37"/>
        <v>10|Sunijtra Siritip|20260126</v>
      </c>
      <c r="BO183" s="17">
        <f t="shared" si="38"/>
        <v>0</v>
      </c>
      <c r="BP183" s="24" t="s">
        <v>689</v>
      </c>
      <c r="BQ183" s="13"/>
      <c r="BR183" s="25" t="str">
        <f t="shared" si="39"/>
        <v>Jan-Feb 2026</v>
      </c>
    </row>
    <row r="184" spans="1:70" s="18" customFormat="1" ht="15" customHeight="1">
      <c r="A184" s="14">
        <v>46062.602572314812</v>
      </c>
      <c r="B184" s="15" t="s">
        <v>76</v>
      </c>
      <c r="C184" s="14">
        <v>46054</v>
      </c>
      <c r="D184" s="16"/>
      <c r="E184" s="16"/>
      <c r="F184" s="17" t="s">
        <v>690</v>
      </c>
      <c r="G184" s="13" t="s">
        <v>691</v>
      </c>
      <c r="H184" s="18">
        <v>10</v>
      </c>
      <c r="J184" s="18">
        <v>28</v>
      </c>
      <c r="L184" s="18">
        <v>18</v>
      </c>
      <c r="N184" s="18">
        <v>10</v>
      </c>
      <c r="P184" s="18">
        <v>18</v>
      </c>
      <c r="R184" s="18">
        <v>0</v>
      </c>
      <c r="T184" s="17"/>
      <c r="U184" s="19"/>
      <c r="V184" s="17"/>
      <c r="W184" s="19"/>
      <c r="X184" s="17"/>
      <c r="Y184" s="19"/>
      <c r="Z184" s="17"/>
      <c r="AA184" s="19"/>
      <c r="AB184" s="17"/>
      <c r="AC184" s="20"/>
      <c r="AD184" s="17"/>
      <c r="AE184" s="20"/>
      <c r="AF184" s="17"/>
      <c r="AG184" s="21"/>
      <c r="AH184" s="17"/>
      <c r="AI184" s="19"/>
      <c r="AJ184" s="17"/>
      <c r="AK184" s="19"/>
      <c r="AL184" s="17"/>
      <c r="AM184" s="21"/>
      <c r="AN184" s="17"/>
      <c r="AO184" s="19"/>
      <c r="AP184" s="17"/>
      <c r="AQ184" s="19"/>
      <c r="AR184" s="17"/>
      <c r="AS184" s="19"/>
      <c r="AT184" s="17"/>
      <c r="AU184" s="21"/>
      <c r="AV184" s="17"/>
      <c r="AW184" s="21"/>
      <c r="AX184" s="17"/>
      <c r="AY184" s="21"/>
      <c r="AZ184" s="17"/>
      <c r="BA184" s="21"/>
      <c r="BB184" s="17" t="s">
        <v>72</v>
      </c>
      <c r="BC184" s="21" t="s">
        <v>220</v>
      </c>
      <c r="BD184" s="17"/>
      <c r="BE184" s="22">
        <f t="shared" si="30"/>
        <v>84</v>
      </c>
      <c r="BF184" s="14">
        <f t="shared" si="31"/>
        <v>46054</v>
      </c>
      <c r="BG184" s="23" t="str">
        <f t="shared" si="32"/>
        <v>February 2026</v>
      </c>
      <c r="BH184" s="14">
        <f t="shared" si="33"/>
        <v>46048</v>
      </c>
      <c r="BI184" s="14">
        <f t="shared" si="34"/>
        <v>46054</v>
      </c>
      <c r="BJ184" s="17" t="str">
        <f t="shared" si="35"/>
        <v>26/01/2026 - 01/02/2026</v>
      </c>
      <c r="BK184" s="17">
        <f>IF($B184="","",COUNTIFS($B$5:$B184,$B184,$BF$5:$BF184,$BF184))</f>
        <v>1</v>
      </c>
      <c r="BL184" s="17">
        <f>IF($B184="","",COUNTIFS($B$5:$B184,$B184,$BH$5:$BH184,$BH184))</f>
        <v>1</v>
      </c>
      <c r="BM184" s="17" t="str">
        <f t="shared" si="36"/>
        <v>01|Suphitcha Keawliam|20260201</v>
      </c>
      <c r="BN184" s="17" t="str">
        <f t="shared" si="37"/>
        <v>01|Suphitcha Keawliam|20260126</v>
      </c>
      <c r="BO184" s="17">
        <f t="shared" si="38"/>
        <v>0</v>
      </c>
      <c r="BP184" s="24" t="s">
        <v>692</v>
      </c>
      <c r="BQ184" s="13"/>
      <c r="BR184" s="25" t="str">
        <f t="shared" si="39"/>
        <v>Jan-Feb 2026</v>
      </c>
    </row>
    <row r="185" spans="1:70" s="18" customFormat="1" ht="15" customHeight="1">
      <c r="A185" s="14">
        <v>46072.287996145831</v>
      </c>
      <c r="B185" s="15" t="s">
        <v>76</v>
      </c>
      <c r="C185" s="14">
        <v>46054</v>
      </c>
      <c r="D185" s="16"/>
      <c r="E185" s="16"/>
      <c r="F185" s="17" t="s">
        <v>693</v>
      </c>
      <c r="G185" s="13" t="s">
        <v>694</v>
      </c>
      <c r="H185" s="18">
        <v>10</v>
      </c>
      <c r="J185" s="18">
        <v>24</v>
      </c>
      <c r="L185" s="18">
        <v>14</v>
      </c>
      <c r="N185" s="18">
        <v>10</v>
      </c>
      <c r="P185" s="18">
        <v>17</v>
      </c>
      <c r="R185" s="18">
        <v>9</v>
      </c>
      <c r="T185" s="17"/>
      <c r="U185" s="19"/>
      <c r="V185" s="17"/>
      <c r="W185" s="19"/>
      <c r="X185" s="17"/>
      <c r="Y185" s="19"/>
      <c r="Z185" s="17"/>
      <c r="AA185" s="19"/>
      <c r="AB185" s="17"/>
      <c r="AC185" s="20"/>
      <c r="AD185" s="17"/>
      <c r="AE185" s="20"/>
      <c r="AF185" s="17"/>
      <c r="AG185" s="21"/>
      <c r="AH185" s="17"/>
      <c r="AI185" s="19"/>
      <c r="AJ185" s="17"/>
      <c r="AK185" s="19"/>
      <c r="AL185" s="17"/>
      <c r="AM185" s="21"/>
      <c r="AN185" s="17"/>
      <c r="AO185" s="19"/>
      <c r="AP185" s="17"/>
      <c r="AQ185" s="19"/>
      <c r="AR185" s="17"/>
      <c r="AS185" s="19"/>
      <c r="AT185" s="17"/>
      <c r="AU185" s="21"/>
      <c r="AV185" s="17"/>
      <c r="AW185" s="21"/>
      <c r="AX185" s="17"/>
      <c r="AY185" s="21"/>
      <c r="AZ185" s="17"/>
      <c r="BA185" s="21"/>
      <c r="BB185" s="17" t="s">
        <v>72</v>
      </c>
      <c r="BC185" s="21" t="s">
        <v>142</v>
      </c>
      <c r="BD185" s="17"/>
      <c r="BE185" s="22">
        <f t="shared" si="30"/>
        <v>84</v>
      </c>
      <c r="BF185" s="14">
        <f t="shared" si="31"/>
        <v>46054</v>
      </c>
      <c r="BG185" s="23" t="str">
        <f t="shared" si="32"/>
        <v>February 2026</v>
      </c>
      <c r="BH185" s="14">
        <f t="shared" si="33"/>
        <v>46048</v>
      </c>
      <c r="BI185" s="14">
        <f t="shared" si="34"/>
        <v>46054</v>
      </c>
      <c r="BJ185" s="17" t="str">
        <f t="shared" si="35"/>
        <v>26/01/2026 - 01/02/2026</v>
      </c>
      <c r="BK185" s="17">
        <f>IF($B185="","",COUNTIFS($B$5:$B185,$B185,$BF$5:$BF185,$BF185))</f>
        <v>2</v>
      </c>
      <c r="BL185" s="17">
        <f>IF($B185="","",COUNTIFS($B$5:$B185,$B185,$BH$5:$BH185,$BH185))</f>
        <v>2</v>
      </c>
      <c r="BM185" s="17" t="str">
        <f t="shared" si="36"/>
        <v>02|Suphitcha Keawliam|20260201</v>
      </c>
      <c r="BN185" s="17" t="str">
        <f t="shared" si="37"/>
        <v>02|Suphitcha Keawliam|20260126</v>
      </c>
      <c r="BO185" s="17">
        <f t="shared" si="38"/>
        <v>0</v>
      </c>
      <c r="BP185" s="24" t="s">
        <v>695</v>
      </c>
      <c r="BQ185" s="13"/>
      <c r="BR185" s="25" t="str">
        <f t="shared" si="39"/>
        <v>Jan-Feb 2026</v>
      </c>
    </row>
    <row r="186" spans="1:70" s="18" customFormat="1" ht="15" customHeight="1">
      <c r="A186" s="14">
        <v>46083.077955775458</v>
      </c>
      <c r="B186" s="15" t="s">
        <v>76</v>
      </c>
      <c r="C186" s="14">
        <v>46054</v>
      </c>
      <c r="D186" s="16"/>
      <c r="E186" s="16"/>
      <c r="F186" s="17" t="s">
        <v>696</v>
      </c>
      <c r="G186" s="13" t="s">
        <v>697</v>
      </c>
      <c r="H186" s="18">
        <v>10</v>
      </c>
      <c r="J186" s="18">
        <v>29</v>
      </c>
      <c r="L186" s="18">
        <v>19</v>
      </c>
      <c r="N186" s="18">
        <v>10</v>
      </c>
      <c r="P186" s="18">
        <v>16</v>
      </c>
      <c r="R186" s="18">
        <v>8</v>
      </c>
      <c r="T186" s="17"/>
      <c r="U186" s="19"/>
      <c r="V186" s="17"/>
      <c r="W186" s="19"/>
      <c r="X186" s="17"/>
      <c r="Y186" s="19"/>
      <c r="Z186" s="17"/>
      <c r="AA186" s="19"/>
      <c r="AB186" s="17"/>
      <c r="AC186" s="20"/>
      <c r="AD186" s="17"/>
      <c r="AE186" s="20"/>
      <c r="AF186" s="17"/>
      <c r="AG186" s="21"/>
      <c r="AH186" s="17"/>
      <c r="AI186" s="19"/>
      <c r="AJ186" s="17"/>
      <c r="AK186" s="19"/>
      <c r="AL186" s="17"/>
      <c r="AM186" s="21"/>
      <c r="AN186" s="17"/>
      <c r="AO186" s="19"/>
      <c r="AP186" s="17"/>
      <c r="AQ186" s="19"/>
      <c r="AR186" s="17"/>
      <c r="AS186" s="19"/>
      <c r="AT186" s="17"/>
      <c r="AU186" s="21"/>
      <c r="AV186" s="17"/>
      <c r="AW186" s="21"/>
      <c r="AX186" s="17"/>
      <c r="AY186" s="21"/>
      <c r="AZ186" s="17"/>
      <c r="BA186" s="21"/>
      <c r="BB186" s="17" t="s">
        <v>72</v>
      </c>
      <c r="BC186" s="21" t="s">
        <v>273</v>
      </c>
      <c r="BD186" s="17"/>
      <c r="BE186" s="22">
        <f t="shared" si="30"/>
        <v>92</v>
      </c>
      <c r="BF186" s="14">
        <f t="shared" si="31"/>
        <v>46054</v>
      </c>
      <c r="BG186" s="23" t="str">
        <f t="shared" si="32"/>
        <v>February 2026</v>
      </c>
      <c r="BH186" s="14">
        <f t="shared" si="33"/>
        <v>46048</v>
      </c>
      <c r="BI186" s="14">
        <f t="shared" si="34"/>
        <v>46054</v>
      </c>
      <c r="BJ186" s="17" t="str">
        <f t="shared" si="35"/>
        <v>26/01/2026 - 01/02/2026</v>
      </c>
      <c r="BK186" s="17">
        <f>IF($B186="","",COUNTIFS($B$5:$B186,$B186,$BF$5:$BF186,$BF186))</f>
        <v>3</v>
      </c>
      <c r="BL186" s="17">
        <f>IF($B186="","",COUNTIFS($B$5:$B186,$B186,$BH$5:$BH186,$BH186))</f>
        <v>3</v>
      </c>
      <c r="BM186" s="17" t="str">
        <f t="shared" si="36"/>
        <v>03|Suphitcha Keawliam|20260201</v>
      </c>
      <c r="BN186" s="17" t="str">
        <f t="shared" si="37"/>
        <v>03|Suphitcha Keawliam|20260126</v>
      </c>
      <c r="BO186" s="17">
        <f t="shared" si="38"/>
        <v>0</v>
      </c>
      <c r="BP186" s="24" t="s">
        <v>698</v>
      </c>
      <c r="BQ186" s="13"/>
      <c r="BR186" s="25" t="str">
        <f t="shared" si="39"/>
        <v>Jan-Feb 2026</v>
      </c>
    </row>
    <row r="187" spans="1:70" s="18" customFormat="1" ht="15" customHeight="1">
      <c r="A187" s="14">
        <v>46083.10327521991</v>
      </c>
      <c r="B187" s="15" t="s">
        <v>76</v>
      </c>
      <c r="C187" s="14">
        <v>46054</v>
      </c>
      <c r="D187" s="16"/>
      <c r="E187" s="16"/>
      <c r="F187" s="17" t="s">
        <v>699</v>
      </c>
      <c r="G187" s="13" t="s">
        <v>700</v>
      </c>
      <c r="H187" s="18">
        <v>10</v>
      </c>
      <c r="J187" s="18">
        <v>29</v>
      </c>
      <c r="L187" s="18">
        <v>19</v>
      </c>
      <c r="N187" s="18">
        <v>10</v>
      </c>
      <c r="P187" s="18">
        <v>15</v>
      </c>
      <c r="R187" s="18">
        <v>4</v>
      </c>
      <c r="T187" s="17"/>
      <c r="U187" s="19"/>
      <c r="V187" s="17"/>
      <c r="W187" s="19"/>
      <c r="X187" s="17"/>
      <c r="Y187" s="19"/>
      <c r="Z187" s="17"/>
      <c r="AA187" s="19"/>
      <c r="AB187" s="17"/>
      <c r="AC187" s="20"/>
      <c r="AD187" s="17"/>
      <c r="AE187" s="20"/>
      <c r="AF187" s="17"/>
      <c r="AG187" s="21"/>
      <c r="AH187" s="17"/>
      <c r="AI187" s="19"/>
      <c r="AJ187" s="17"/>
      <c r="AK187" s="19"/>
      <c r="AL187" s="17"/>
      <c r="AM187" s="21"/>
      <c r="AN187" s="17"/>
      <c r="AO187" s="19"/>
      <c r="AP187" s="17"/>
      <c r="AQ187" s="19"/>
      <c r="AR187" s="17"/>
      <c r="AS187" s="19"/>
      <c r="AT187" s="17"/>
      <c r="AU187" s="21"/>
      <c r="AV187" s="17"/>
      <c r="AW187" s="21"/>
      <c r="AX187" s="17"/>
      <c r="AY187" s="21"/>
      <c r="AZ187" s="17"/>
      <c r="BA187" s="21"/>
      <c r="BB187" s="17" t="s">
        <v>72</v>
      </c>
      <c r="BC187" s="21" t="s">
        <v>86</v>
      </c>
      <c r="BD187" s="17"/>
      <c r="BE187" s="22">
        <f t="shared" si="30"/>
        <v>87</v>
      </c>
      <c r="BF187" s="14">
        <f t="shared" si="31"/>
        <v>46054</v>
      </c>
      <c r="BG187" s="23" t="str">
        <f t="shared" si="32"/>
        <v>February 2026</v>
      </c>
      <c r="BH187" s="14">
        <f t="shared" si="33"/>
        <v>46048</v>
      </c>
      <c r="BI187" s="14">
        <f t="shared" si="34"/>
        <v>46054</v>
      </c>
      <c r="BJ187" s="17" t="str">
        <f t="shared" si="35"/>
        <v>26/01/2026 - 01/02/2026</v>
      </c>
      <c r="BK187" s="17">
        <f>IF($B187="","",COUNTIFS($B$5:$B187,$B187,$BF$5:$BF187,$BF187))</f>
        <v>4</v>
      </c>
      <c r="BL187" s="17">
        <f>IF($B187="","",COUNTIFS($B$5:$B187,$B187,$BH$5:$BH187,$BH187))</f>
        <v>4</v>
      </c>
      <c r="BM187" s="17" t="str">
        <f t="shared" si="36"/>
        <v>04|Suphitcha Keawliam|20260201</v>
      </c>
      <c r="BN187" s="17" t="str">
        <f t="shared" si="37"/>
        <v>04|Suphitcha Keawliam|20260126</v>
      </c>
      <c r="BO187" s="17">
        <f t="shared" si="38"/>
        <v>0</v>
      </c>
      <c r="BP187" s="24" t="s">
        <v>701</v>
      </c>
      <c r="BQ187" s="13"/>
      <c r="BR187" s="25" t="str">
        <f t="shared" si="39"/>
        <v>Jan-Feb 2026</v>
      </c>
    </row>
    <row r="188" spans="1:70" s="18" customFormat="1" ht="15" customHeight="1">
      <c r="A188" s="14">
        <v>46083.117481250003</v>
      </c>
      <c r="B188" s="15" t="s">
        <v>76</v>
      </c>
      <c r="C188" s="14">
        <v>46054</v>
      </c>
      <c r="D188" s="16"/>
      <c r="E188" s="16"/>
      <c r="F188" s="17" t="s">
        <v>702</v>
      </c>
      <c r="G188" s="13" t="s">
        <v>703</v>
      </c>
      <c r="H188" s="18">
        <v>10</v>
      </c>
      <c r="J188" s="18">
        <v>25</v>
      </c>
      <c r="L188" s="18">
        <v>18</v>
      </c>
      <c r="N188" s="18">
        <v>10</v>
      </c>
      <c r="P188" s="18">
        <v>17</v>
      </c>
      <c r="R188" s="18">
        <v>9</v>
      </c>
      <c r="T188" s="17"/>
      <c r="U188" s="19"/>
      <c r="V188" s="17"/>
      <c r="W188" s="19"/>
      <c r="X188" s="17"/>
      <c r="Y188" s="19"/>
      <c r="Z188" s="17"/>
      <c r="AA188" s="19"/>
      <c r="AB188" s="17"/>
      <c r="AC188" s="20"/>
      <c r="AD188" s="17"/>
      <c r="AE188" s="20"/>
      <c r="AF188" s="17"/>
      <c r="AG188" s="21"/>
      <c r="AH188" s="17"/>
      <c r="AI188" s="19"/>
      <c r="AJ188" s="17"/>
      <c r="AK188" s="19"/>
      <c r="AL188" s="17"/>
      <c r="AM188" s="21"/>
      <c r="AN188" s="17"/>
      <c r="AO188" s="19"/>
      <c r="AP188" s="17"/>
      <c r="AQ188" s="19"/>
      <c r="AR188" s="17"/>
      <c r="AS188" s="19"/>
      <c r="AT188" s="17"/>
      <c r="AU188" s="21"/>
      <c r="AV188" s="17"/>
      <c r="AW188" s="21"/>
      <c r="AX188" s="17"/>
      <c r="AY188" s="21"/>
      <c r="AZ188" s="17"/>
      <c r="BA188" s="21"/>
      <c r="BB188" s="17" t="s">
        <v>72</v>
      </c>
      <c r="BC188" s="21" t="s">
        <v>704</v>
      </c>
      <c r="BD188" s="17"/>
      <c r="BE188" s="22">
        <f t="shared" si="30"/>
        <v>89</v>
      </c>
      <c r="BF188" s="14">
        <f t="shared" si="31"/>
        <v>46054</v>
      </c>
      <c r="BG188" s="23" t="str">
        <f t="shared" si="32"/>
        <v>February 2026</v>
      </c>
      <c r="BH188" s="14">
        <f t="shared" si="33"/>
        <v>46048</v>
      </c>
      <c r="BI188" s="14">
        <f t="shared" si="34"/>
        <v>46054</v>
      </c>
      <c r="BJ188" s="17" t="str">
        <f t="shared" si="35"/>
        <v>26/01/2026 - 01/02/2026</v>
      </c>
      <c r="BK188" s="17">
        <f>IF($B188="","",COUNTIFS($B$5:$B188,$B188,$BF$5:$BF188,$BF188))</f>
        <v>5</v>
      </c>
      <c r="BL188" s="17">
        <f>IF($B188="","",COUNTIFS($B$5:$B188,$B188,$BH$5:$BH188,$BH188))</f>
        <v>5</v>
      </c>
      <c r="BM188" s="17" t="str">
        <f t="shared" si="36"/>
        <v>05|Suphitcha Keawliam|20260201</v>
      </c>
      <c r="BN188" s="17" t="str">
        <f t="shared" si="37"/>
        <v>05|Suphitcha Keawliam|20260126</v>
      </c>
      <c r="BO188" s="17">
        <f t="shared" si="38"/>
        <v>0</v>
      </c>
      <c r="BP188" s="24" t="s">
        <v>705</v>
      </c>
      <c r="BQ188" s="13"/>
      <c r="BR188" s="25" t="str">
        <f t="shared" si="39"/>
        <v>Jan-Feb 2026</v>
      </c>
    </row>
    <row r="189" spans="1:70" s="18" customFormat="1" ht="15" customHeight="1">
      <c r="A189" s="14">
        <v>46083.146601030086</v>
      </c>
      <c r="B189" s="15" t="s">
        <v>76</v>
      </c>
      <c r="C189" s="14">
        <v>46054</v>
      </c>
      <c r="D189" s="16"/>
      <c r="E189" s="16"/>
      <c r="F189" s="17" t="s">
        <v>706</v>
      </c>
      <c r="G189" s="13" t="s">
        <v>707</v>
      </c>
      <c r="H189" s="18">
        <v>10</v>
      </c>
      <c r="J189" s="18">
        <v>26</v>
      </c>
      <c r="L189" s="18">
        <v>17</v>
      </c>
      <c r="N189" s="18">
        <v>10</v>
      </c>
      <c r="P189" s="18">
        <v>16</v>
      </c>
      <c r="R189" s="18">
        <v>9</v>
      </c>
      <c r="T189" s="17"/>
      <c r="U189" s="19"/>
      <c r="V189" s="17"/>
      <c r="W189" s="19"/>
      <c r="X189" s="17"/>
      <c r="Y189" s="19"/>
      <c r="Z189" s="17"/>
      <c r="AA189" s="19"/>
      <c r="AB189" s="17"/>
      <c r="AC189" s="20"/>
      <c r="AD189" s="17"/>
      <c r="AE189" s="20"/>
      <c r="AF189" s="17"/>
      <c r="AG189" s="21"/>
      <c r="AH189" s="17"/>
      <c r="AI189" s="19"/>
      <c r="AJ189" s="17"/>
      <c r="AK189" s="19"/>
      <c r="AL189" s="17"/>
      <c r="AM189" s="21"/>
      <c r="AN189" s="17"/>
      <c r="AO189" s="19"/>
      <c r="AP189" s="17"/>
      <c r="AQ189" s="19"/>
      <c r="AR189" s="17"/>
      <c r="AS189" s="19"/>
      <c r="AT189" s="17"/>
      <c r="AU189" s="21"/>
      <c r="AV189" s="17"/>
      <c r="AW189" s="21"/>
      <c r="AX189" s="17"/>
      <c r="AY189" s="21"/>
      <c r="AZ189" s="17"/>
      <c r="BA189" s="21"/>
      <c r="BB189" s="17" t="s">
        <v>72</v>
      </c>
      <c r="BC189" s="21" t="s">
        <v>153</v>
      </c>
      <c r="BD189" s="17"/>
      <c r="BE189" s="22">
        <f t="shared" si="30"/>
        <v>88</v>
      </c>
      <c r="BF189" s="14">
        <f t="shared" si="31"/>
        <v>46054</v>
      </c>
      <c r="BG189" s="23" t="str">
        <f t="shared" si="32"/>
        <v>February 2026</v>
      </c>
      <c r="BH189" s="14">
        <f t="shared" si="33"/>
        <v>46048</v>
      </c>
      <c r="BI189" s="14">
        <f t="shared" si="34"/>
        <v>46054</v>
      </c>
      <c r="BJ189" s="17" t="str">
        <f t="shared" si="35"/>
        <v>26/01/2026 - 01/02/2026</v>
      </c>
      <c r="BK189" s="17">
        <f>IF($B189="","",COUNTIFS($B$5:$B189,$B189,$BF$5:$BF189,$BF189))</f>
        <v>6</v>
      </c>
      <c r="BL189" s="17">
        <f>IF($B189="","",COUNTIFS($B$5:$B189,$B189,$BH$5:$BH189,$BH189))</f>
        <v>6</v>
      </c>
      <c r="BM189" s="17" t="str">
        <f t="shared" si="36"/>
        <v>06|Suphitcha Keawliam|20260201</v>
      </c>
      <c r="BN189" s="17" t="str">
        <f t="shared" si="37"/>
        <v>06|Suphitcha Keawliam|20260126</v>
      </c>
      <c r="BO189" s="17">
        <f t="shared" si="38"/>
        <v>0</v>
      </c>
      <c r="BP189" s="24" t="s">
        <v>708</v>
      </c>
      <c r="BQ189" s="13"/>
      <c r="BR189" s="25" t="str">
        <f t="shared" si="39"/>
        <v>Jan-Feb 2026</v>
      </c>
    </row>
    <row r="190" spans="1:70" s="18" customFormat="1" ht="15" customHeight="1">
      <c r="A190" s="14">
        <v>46083.172985868063</v>
      </c>
      <c r="B190" s="15" t="s">
        <v>76</v>
      </c>
      <c r="C190" s="14">
        <v>46054</v>
      </c>
      <c r="D190" s="16"/>
      <c r="E190" s="16"/>
      <c r="F190" s="17" t="s">
        <v>709</v>
      </c>
      <c r="G190" s="13" t="s">
        <v>710</v>
      </c>
      <c r="H190" s="18">
        <v>10</v>
      </c>
      <c r="J190" s="18">
        <v>15</v>
      </c>
      <c r="L190" s="18">
        <v>10</v>
      </c>
      <c r="N190" s="18">
        <v>10</v>
      </c>
      <c r="P190" s="18">
        <v>18</v>
      </c>
      <c r="R190" s="18">
        <v>6</v>
      </c>
      <c r="T190" s="17"/>
      <c r="U190" s="19"/>
      <c r="V190" s="17"/>
      <c r="W190" s="19"/>
      <c r="X190" s="17"/>
      <c r="Y190" s="19"/>
      <c r="Z190" s="17"/>
      <c r="AA190" s="19"/>
      <c r="AB190" s="17"/>
      <c r="AC190" s="20"/>
      <c r="AD190" s="17"/>
      <c r="AE190" s="20"/>
      <c r="AF190" s="17"/>
      <c r="AG190" s="21"/>
      <c r="AH190" s="17"/>
      <c r="AI190" s="19"/>
      <c r="AJ190" s="17"/>
      <c r="AK190" s="19"/>
      <c r="AL190" s="17"/>
      <c r="AM190" s="21"/>
      <c r="AN190" s="17"/>
      <c r="AO190" s="19"/>
      <c r="AP190" s="17"/>
      <c r="AQ190" s="19"/>
      <c r="AR190" s="17"/>
      <c r="AS190" s="19"/>
      <c r="AT190" s="17"/>
      <c r="AU190" s="21"/>
      <c r="AV190" s="17"/>
      <c r="AW190" s="21"/>
      <c r="AX190" s="17"/>
      <c r="AY190" s="21"/>
      <c r="AZ190" s="17"/>
      <c r="BA190" s="21"/>
      <c r="BB190" s="17" t="s">
        <v>72</v>
      </c>
      <c r="BC190" s="21" t="s">
        <v>704</v>
      </c>
      <c r="BD190" s="17"/>
      <c r="BE190" s="22">
        <f t="shared" si="30"/>
        <v>69</v>
      </c>
      <c r="BF190" s="14">
        <f t="shared" si="31"/>
        <v>46054</v>
      </c>
      <c r="BG190" s="23" t="str">
        <f t="shared" si="32"/>
        <v>February 2026</v>
      </c>
      <c r="BH190" s="14">
        <f t="shared" si="33"/>
        <v>46048</v>
      </c>
      <c r="BI190" s="14">
        <f t="shared" si="34"/>
        <v>46054</v>
      </c>
      <c r="BJ190" s="17" t="str">
        <f t="shared" si="35"/>
        <v>26/01/2026 - 01/02/2026</v>
      </c>
      <c r="BK190" s="17">
        <f>IF($B190="","",COUNTIFS($B$5:$B190,$B190,$BF$5:$BF190,$BF190))</f>
        <v>7</v>
      </c>
      <c r="BL190" s="17">
        <f>IF($B190="","",COUNTIFS($B$5:$B190,$B190,$BH$5:$BH190,$BH190))</f>
        <v>7</v>
      </c>
      <c r="BM190" s="17" t="str">
        <f t="shared" si="36"/>
        <v>07|Suphitcha Keawliam|20260201</v>
      </c>
      <c r="BN190" s="17" t="str">
        <f t="shared" si="37"/>
        <v>07|Suphitcha Keawliam|20260126</v>
      </c>
      <c r="BO190" s="17">
        <f t="shared" si="38"/>
        <v>0</v>
      </c>
      <c r="BP190" s="24" t="s">
        <v>711</v>
      </c>
      <c r="BQ190" s="13"/>
      <c r="BR190" s="25" t="str">
        <f t="shared" si="39"/>
        <v>Jan-Feb 2026</v>
      </c>
    </row>
    <row r="191" spans="1:70" s="18" customFormat="1" ht="15" customHeight="1">
      <c r="A191" s="14">
        <v>46083.186735416668</v>
      </c>
      <c r="B191" s="15" t="s">
        <v>76</v>
      </c>
      <c r="C191" s="14">
        <v>46054</v>
      </c>
      <c r="D191" s="16"/>
      <c r="E191" s="16"/>
      <c r="F191" s="17" t="s">
        <v>712</v>
      </c>
      <c r="G191" s="13" t="s">
        <v>713</v>
      </c>
      <c r="H191" s="18">
        <v>10</v>
      </c>
      <c r="J191" s="18">
        <v>27</v>
      </c>
      <c r="L191" s="18">
        <v>17</v>
      </c>
      <c r="N191" s="18">
        <v>10</v>
      </c>
      <c r="P191" s="18">
        <v>15</v>
      </c>
      <c r="R191" s="18">
        <v>5</v>
      </c>
      <c r="T191" s="17"/>
      <c r="U191" s="19"/>
      <c r="V191" s="17"/>
      <c r="W191" s="19"/>
      <c r="X191" s="17"/>
      <c r="Y191" s="19"/>
      <c r="Z191" s="17"/>
      <c r="AA191" s="19"/>
      <c r="AB191" s="17"/>
      <c r="AC191" s="20"/>
      <c r="AD191" s="17"/>
      <c r="AE191" s="20"/>
      <c r="AF191" s="17"/>
      <c r="AG191" s="21"/>
      <c r="AH191" s="17"/>
      <c r="AI191" s="19"/>
      <c r="AJ191" s="17"/>
      <c r="AK191" s="19"/>
      <c r="AL191" s="17"/>
      <c r="AM191" s="21"/>
      <c r="AN191" s="17"/>
      <c r="AO191" s="19"/>
      <c r="AP191" s="17"/>
      <c r="AQ191" s="19"/>
      <c r="AR191" s="17"/>
      <c r="AS191" s="19"/>
      <c r="AT191" s="17"/>
      <c r="AU191" s="21"/>
      <c r="AV191" s="17"/>
      <c r="AW191" s="21"/>
      <c r="AX191" s="17"/>
      <c r="AY191" s="21"/>
      <c r="AZ191" s="17"/>
      <c r="BA191" s="21"/>
      <c r="BB191" s="17" t="s">
        <v>72</v>
      </c>
      <c r="BC191" s="21" t="s">
        <v>714</v>
      </c>
      <c r="BD191" s="17"/>
      <c r="BE191" s="22">
        <f t="shared" si="30"/>
        <v>84</v>
      </c>
      <c r="BF191" s="14">
        <f t="shared" si="31"/>
        <v>46054</v>
      </c>
      <c r="BG191" s="23" t="str">
        <f t="shared" si="32"/>
        <v>February 2026</v>
      </c>
      <c r="BH191" s="14">
        <f t="shared" si="33"/>
        <v>46048</v>
      </c>
      <c r="BI191" s="14">
        <f t="shared" si="34"/>
        <v>46054</v>
      </c>
      <c r="BJ191" s="17" t="str">
        <f t="shared" si="35"/>
        <v>26/01/2026 - 01/02/2026</v>
      </c>
      <c r="BK191" s="17">
        <f>IF($B191="","",COUNTIFS($B$5:$B191,$B191,$BF$5:$BF191,$BF191))</f>
        <v>8</v>
      </c>
      <c r="BL191" s="17">
        <f>IF($B191="","",COUNTIFS($B$5:$B191,$B191,$BH$5:$BH191,$BH191))</f>
        <v>8</v>
      </c>
      <c r="BM191" s="17" t="str">
        <f t="shared" si="36"/>
        <v>08|Suphitcha Keawliam|20260201</v>
      </c>
      <c r="BN191" s="17" t="str">
        <f t="shared" si="37"/>
        <v>08|Suphitcha Keawliam|20260126</v>
      </c>
      <c r="BO191" s="17">
        <f t="shared" si="38"/>
        <v>0</v>
      </c>
      <c r="BP191" s="24" t="s">
        <v>715</v>
      </c>
      <c r="BQ191" s="13"/>
      <c r="BR191" s="25" t="str">
        <f t="shared" si="39"/>
        <v>Jan-Feb 2026</v>
      </c>
    </row>
    <row r="192" spans="1:70" s="18" customFormat="1" ht="15" customHeight="1">
      <c r="A192" s="14">
        <v>46083.193716192131</v>
      </c>
      <c r="B192" s="15" t="s">
        <v>76</v>
      </c>
      <c r="C192" s="14">
        <v>46054</v>
      </c>
      <c r="D192" s="16"/>
      <c r="E192" s="16"/>
      <c r="F192" s="17" t="s">
        <v>716</v>
      </c>
      <c r="G192" s="13" t="s">
        <v>717</v>
      </c>
      <c r="H192" s="18">
        <v>9</v>
      </c>
      <c r="J192" s="18">
        <v>27</v>
      </c>
      <c r="L192" s="18">
        <v>17</v>
      </c>
      <c r="N192" s="18">
        <v>10</v>
      </c>
      <c r="P192" s="18">
        <v>14</v>
      </c>
      <c r="R192" s="18">
        <v>8</v>
      </c>
      <c r="T192" s="17"/>
      <c r="U192" s="19"/>
      <c r="V192" s="17"/>
      <c r="W192" s="19"/>
      <c r="X192" s="17"/>
      <c r="Y192" s="19"/>
      <c r="Z192" s="17"/>
      <c r="AA192" s="19"/>
      <c r="AB192" s="17"/>
      <c r="AC192" s="20"/>
      <c r="AD192" s="17"/>
      <c r="AE192" s="20"/>
      <c r="AF192" s="17"/>
      <c r="AG192" s="21"/>
      <c r="AH192" s="17"/>
      <c r="AI192" s="19"/>
      <c r="AJ192" s="17"/>
      <c r="AK192" s="19"/>
      <c r="AL192" s="17"/>
      <c r="AM192" s="21"/>
      <c r="AN192" s="17"/>
      <c r="AO192" s="19"/>
      <c r="AP192" s="17"/>
      <c r="AQ192" s="19"/>
      <c r="AR192" s="17"/>
      <c r="AS192" s="19"/>
      <c r="AT192" s="17"/>
      <c r="AU192" s="21"/>
      <c r="AV192" s="17"/>
      <c r="AW192" s="21"/>
      <c r="AX192" s="17"/>
      <c r="AY192" s="21"/>
      <c r="AZ192" s="17"/>
      <c r="BA192" s="21"/>
      <c r="BB192" s="17" t="s">
        <v>72</v>
      </c>
      <c r="BC192" s="21" t="s">
        <v>423</v>
      </c>
      <c r="BD192" s="17"/>
      <c r="BE192" s="22">
        <f t="shared" si="30"/>
        <v>85</v>
      </c>
      <c r="BF192" s="14">
        <f t="shared" si="31"/>
        <v>46054</v>
      </c>
      <c r="BG192" s="23" t="str">
        <f t="shared" si="32"/>
        <v>February 2026</v>
      </c>
      <c r="BH192" s="14">
        <f t="shared" si="33"/>
        <v>46048</v>
      </c>
      <c r="BI192" s="14">
        <f t="shared" si="34"/>
        <v>46054</v>
      </c>
      <c r="BJ192" s="17" t="str">
        <f t="shared" si="35"/>
        <v>26/01/2026 - 01/02/2026</v>
      </c>
      <c r="BK192" s="17">
        <f>IF($B192="","",COUNTIFS($B$5:$B192,$B192,$BF$5:$BF192,$BF192))</f>
        <v>9</v>
      </c>
      <c r="BL192" s="17">
        <f>IF($B192="","",COUNTIFS($B$5:$B192,$B192,$BH$5:$BH192,$BH192))</f>
        <v>9</v>
      </c>
      <c r="BM192" s="17" t="str">
        <f t="shared" si="36"/>
        <v>09|Suphitcha Keawliam|20260201</v>
      </c>
      <c r="BN192" s="17" t="str">
        <f t="shared" si="37"/>
        <v>09|Suphitcha Keawliam|20260126</v>
      </c>
      <c r="BO192" s="17">
        <f t="shared" si="38"/>
        <v>0</v>
      </c>
      <c r="BP192" s="24" t="s">
        <v>718</v>
      </c>
      <c r="BQ192" s="13"/>
      <c r="BR192" s="25" t="str">
        <f t="shared" si="39"/>
        <v>Jan-Feb 2026</v>
      </c>
    </row>
    <row r="193" spans="1:70" s="18" customFormat="1" ht="15" customHeight="1">
      <c r="A193" s="14">
        <v>46083.199713298607</v>
      </c>
      <c r="B193" s="15" t="s">
        <v>76</v>
      </c>
      <c r="C193" s="14">
        <v>46054</v>
      </c>
      <c r="D193" s="16"/>
      <c r="E193" s="16"/>
      <c r="F193" s="17" t="s">
        <v>719</v>
      </c>
      <c r="G193" s="13" t="s">
        <v>720</v>
      </c>
      <c r="H193" s="18">
        <v>10</v>
      </c>
      <c r="J193" s="18">
        <v>22</v>
      </c>
      <c r="L193" s="18">
        <v>15</v>
      </c>
      <c r="N193" s="18">
        <v>10</v>
      </c>
      <c r="P193" s="18">
        <v>16</v>
      </c>
      <c r="R193" s="18">
        <v>8</v>
      </c>
      <c r="T193" s="17"/>
      <c r="U193" s="19"/>
      <c r="V193" s="17"/>
      <c r="W193" s="19"/>
      <c r="X193" s="17"/>
      <c r="Y193" s="19"/>
      <c r="Z193" s="17"/>
      <c r="AA193" s="19"/>
      <c r="AB193" s="17"/>
      <c r="AC193" s="20"/>
      <c r="AD193" s="17"/>
      <c r="AE193" s="20"/>
      <c r="AF193" s="17"/>
      <c r="AG193" s="21"/>
      <c r="AH193" s="17"/>
      <c r="AI193" s="19"/>
      <c r="AJ193" s="17"/>
      <c r="AK193" s="19"/>
      <c r="AL193" s="17"/>
      <c r="AM193" s="21"/>
      <c r="AN193" s="17"/>
      <c r="AO193" s="19"/>
      <c r="AP193" s="17"/>
      <c r="AQ193" s="19"/>
      <c r="AR193" s="17"/>
      <c r="AS193" s="19"/>
      <c r="AT193" s="17"/>
      <c r="AU193" s="21"/>
      <c r="AV193" s="17"/>
      <c r="AW193" s="21"/>
      <c r="AX193" s="17"/>
      <c r="AY193" s="21"/>
      <c r="AZ193" s="17"/>
      <c r="BA193" s="21"/>
      <c r="BB193" s="17" t="s">
        <v>72</v>
      </c>
      <c r="BC193" s="21" t="s">
        <v>423</v>
      </c>
      <c r="BD193" s="17"/>
      <c r="BE193" s="22">
        <f t="shared" si="30"/>
        <v>81</v>
      </c>
      <c r="BF193" s="14">
        <f t="shared" si="31"/>
        <v>46054</v>
      </c>
      <c r="BG193" s="23" t="str">
        <f t="shared" si="32"/>
        <v>February 2026</v>
      </c>
      <c r="BH193" s="14">
        <f t="shared" si="33"/>
        <v>46048</v>
      </c>
      <c r="BI193" s="14">
        <f t="shared" si="34"/>
        <v>46054</v>
      </c>
      <c r="BJ193" s="17" t="str">
        <f t="shared" si="35"/>
        <v>26/01/2026 - 01/02/2026</v>
      </c>
      <c r="BK193" s="17">
        <f>IF($B193="","",COUNTIFS($B$5:$B193,$B193,$BF$5:$BF193,$BF193))</f>
        <v>10</v>
      </c>
      <c r="BL193" s="17">
        <f>IF($B193="","",COUNTIFS($B$5:$B193,$B193,$BH$5:$BH193,$BH193))</f>
        <v>10</v>
      </c>
      <c r="BM193" s="17" t="str">
        <f t="shared" si="36"/>
        <v>10|Suphitcha Keawliam|20260201</v>
      </c>
      <c r="BN193" s="17" t="str">
        <f t="shared" si="37"/>
        <v>10|Suphitcha Keawliam|20260126</v>
      </c>
      <c r="BO193" s="17">
        <f t="shared" si="38"/>
        <v>0</v>
      </c>
      <c r="BP193" s="24" t="s">
        <v>721</v>
      </c>
      <c r="BQ193" s="13"/>
      <c r="BR193" s="25" t="str">
        <f t="shared" si="39"/>
        <v>Jan-Feb 2026</v>
      </c>
    </row>
    <row r="194" spans="1:70" s="18" customFormat="1" ht="15" customHeight="1">
      <c r="A194" s="14">
        <v>46065.278313796298</v>
      </c>
      <c r="B194" s="15" t="s">
        <v>398</v>
      </c>
      <c r="C194" s="14">
        <v>46054</v>
      </c>
      <c r="D194" s="16"/>
      <c r="E194" s="16"/>
      <c r="F194" s="17" t="s">
        <v>722</v>
      </c>
      <c r="G194" s="13" t="s">
        <v>723</v>
      </c>
      <c r="H194" s="18">
        <v>5</v>
      </c>
      <c r="J194" s="18">
        <v>15</v>
      </c>
      <c r="L194" s="18">
        <v>5</v>
      </c>
      <c r="N194" s="18">
        <v>10</v>
      </c>
      <c r="P194" s="18">
        <v>15</v>
      </c>
      <c r="R194" s="18">
        <v>7</v>
      </c>
      <c r="T194" s="17"/>
      <c r="U194" s="19"/>
      <c r="V194" s="17"/>
      <c r="W194" s="19"/>
      <c r="X194" s="17"/>
      <c r="Y194" s="19"/>
      <c r="Z194" s="17"/>
      <c r="AA194" s="19"/>
      <c r="AB194" s="17"/>
      <c r="AC194" s="20"/>
      <c r="AD194" s="17"/>
      <c r="AE194" s="20"/>
      <c r="AF194" s="17"/>
      <c r="AG194" s="21"/>
      <c r="AH194" s="17"/>
      <c r="AI194" s="19"/>
      <c r="AJ194" s="17"/>
      <c r="AK194" s="19"/>
      <c r="AL194" s="17"/>
      <c r="AM194" s="21"/>
      <c r="AN194" s="17"/>
      <c r="AO194" s="19"/>
      <c r="AP194" s="17"/>
      <c r="AQ194" s="19"/>
      <c r="AR194" s="17"/>
      <c r="AS194" s="19"/>
      <c r="AT194" s="17"/>
      <c r="AU194" s="21"/>
      <c r="AV194" s="17"/>
      <c r="AW194" s="21"/>
      <c r="AX194" s="17"/>
      <c r="AY194" s="21"/>
      <c r="AZ194" s="17"/>
      <c r="BA194" s="21"/>
      <c r="BB194" s="17" t="s">
        <v>72</v>
      </c>
      <c r="BC194" s="21" t="s">
        <v>724</v>
      </c>
      <c r="BD194" s="17"/>
      <c r="BE194" s="22">
        <f t="shared" si="30"/>
        <v>57</v>
      </c>
      <c r="BF194" s="14">
        <f t="shared" si="31"/>
        <v>46054</v>
      </c>
      <c r="BG194" s="23" t="str">
        <f t="shared" si="32"/>
        <v>February 2026</v>
      </c>
      <c r="BH194" s="14">
        <f t="shared" si="33"/>
        <v>46048</v>
      </c>
      <c r="BI194" s="14">
        <f t="shared" si="34"/>
        <v>46054</v>
      </c>
      <c r="BJ194" s="17" t="str">
        <f t="shared" si="35"/>
        <v>26/01/2026 - 01/02/2026</v>
      </c>
      <c r="BK194" s="17">
        <f>IF($B194="","",COUNTIFS($B$5:$B194,$B194,$BF$5:$BF194,$BF194))</f>
        <v>1</v>
      </c>
      <c r="BL194" s="17">
        <f>IF($B194="","",COUNTIFS($B$5:$B194,$B194,$BH$5:$BH194,$BH194))</f>
        <v>1</v>
      </c>
      <c r="BM194" s="17" t="str">
        <f t="shared" si="36"/>
        <v>01|Wachiraporn Chailittichai|20260201</v>
      </c>
      <c r="BN194" s="17" t="str">
        <f t="shared" si="37"/>
        <v>01|Wachiraporn Chailittichai|20260126</v>
      </c>
      <c r="BO194" s="17">
        <f t="shared" si="38"/>
        <v>0</v>
      </c>
      <c r="BP194" s="24" t="s">
        <v>725</v>
      </c>
      <c r="BQ194" s="13"/>
      <c r="BR194" s="25" t="str">
        <f t="shared" si="39"/>
        <v>Jan-Feb 2026</v>
      </c>
    </row>
    <row r="195" spans="1:70" s="18" customFormat="1" ht="15" customHeight="1">
      <c r="A195" s="14">
        <v>46080.769738078707</v>
      </c>
      <c r="B195" s="15" t="s">
        <v>398</v>
      </c>
      <c r="C195" s="14">
        <v>46054</v>
      </c>
      <c r="D195" s="16"/>
      <c r="E195" s="16"/>
      <c r="F195" s="17" t="s">
        <v>726</v>
      </c>
      <c r="G195" s="13" t="s">
        <v>727</v>
      </c>
      <c r="H195" s="18">
        <v>10</v>
      </c>
      <c r="J195" s="18">
        <v>22</v>
      </c>
      <c r="L195" s="18">
        <v>15</v>
      </c>
      <c r="N195" s="18">
        <v>10</v>
      </c>
      <c r="P195" s="18">
        <v>18</v>
      </c>
      <c r="R195" s="18">
        <v>0</v>
      </c>
      <c r="T195" s="17"/>
      <c r="U195" s="19"/>
      <c r="V195" s="17"/>
      <c r="W195" s="19"/>
      <c r="X195" s="17"/>
      <c r="Y195" s="19"/>
      <c r="Z195" s="17"/>
      <c r="AA195" s="19"/>
      <c r="AB195" s="17"/>
      <c r="AC195" s="20"/>
      <c r="AD195" s="17"/>
      <c r="AE195" s="20"/>
      <c r="AF195" s="17"/>
      <c r="AG195" s="21"/>
      <c r="AH195" s="17"/>
      <c r="AI195" s="19"/>
      <c r="AJ195" s="17"/>
      <c r="AK195" s="19"/>
      <c r="AL195" s="17"/>
      <c r="AM195" s="21"/>
      <c r="AN195" s="17"/>
      <c r="AO195" s="19"/>
      <c r="AP195" s="17"/>
      <c r="AQ195" s="19"/>
      <c r="AR195" s="17"/>
      <c r="AS195" s="19"/>
      <c r="AT195" s="17"/>
      <c r="AU195" s="21"/>
      <c r="AV195" s="17"/>
      <c r="AW195" s="21"/>
      <c r="AX195" s="17"/>
      <c r="AY195" s="21"/>
      <c r="AZ195" s="17"/>
      <c r="BA195" s="21"/>
      <c r="BB195" s="17" t="s">
        <v>72</v>
      </c>
      <c r="BC195" s="21" t="s">
        <v>318</v>
      </c>
      <c r="BD195" s="17"/>
      <c r="BE195" s="22">
        <f t="shared" si="30"/>
        <v>75</v>
      </c>
      <c r="BF195" s="14">
        <f t="shared" si="31"/>
        <v>46054</v>
      </c>
      <c r="BG195" s="23" t="str">
        <f t="shared" si="32"/>
        <v>February 2026</v>
      </c>
      <c r="BH195" s="14">
        <f t="shared" si="33"/>
        <v>46048</v>
      </c>
      <c r="BI195" s="14">
        <f t="shared" si="34"/>
        <v>46054</v>
      </c>
      <c r="BJ195" s="17" t="str">
        <f t="shared" si="35"/>
        <v>26/01/2026 - 01/02/2026</v>
      </c>
      <c r="BK195" s="17">
        <f>IF($B195="","",COUNTIFS($B$5:$B195,$B195,$BF$5:$BF195,$BF195))</f>
        <v>2</v>
      </c>
      <c r="BL195" s="17">
        <f>IF($B195="","",COUNTIFS($B$5:$B195,$B195,$BH$5:$BH195,$BH195))</f>
        <v>2</v>
      </c>
      <c r="BM195" s="17" t="str">
        <f t="shared" si="36"/>
        <v>02|Wachiraporn Chailittichai|20260201</v>
      </c>
      <c r="BN195" s="17" t="str">
        <f t="shared" si="37"/>
        <v>02|Wachiraporn Chailittichai|20260126</v>
      </c>
      <c r="BO195" s="17">
        <f t="shared" si="38"/>
        <v>0</v>
      </c>
      <c r="BP195" s="24" t="s">
        <v>728</v>
      </c>
      <c r="BQ195" s="13"/>
      <c r="BR195" s="25" t="str">
        <f t="shared" si="39"/>
        <v>Jan-Feb 2026</v>
      </c>
    </row>
    <row r="196" spans="1:70" s="18" customFormat="1" ht="15" customHeight="1">
      <c r="A196" s="14">
        <v>46080.77994158565</v>
      </c>
      <c r="B196" s="15" t="s">
        <v>398</v>
      </c>
      <c r="C196" s="14">
        <v>46054</v>
      </c>
      <c r="D196" s="16"/>
      <c r="E196" s="16"/>
      <c r="F196" s="17" t="s">
        <v>729</v>
      </c>
      <c r="G196" s="13" t="s">
        <v>730</v>
      </c>
      <c r="H196" s="18">
        <v>10</v>
      </c>
      <c r="J196" s="18">
        <v>22</v>
      </c>
      <c r="L196" s="18">
        <v>16</v>
      </c>
      <c r="N196" s="18">
        <v>5</v>
      </c>
      <c r="P196" s="18">
        <v>10</v>
      </c>
      <c r="R196" s="18">
        <v>7</v>
      </c>
      <c r="T196" s="17"/>
      <c r="U196" s="19"/>
      <c r="V196" s="17"/>
      <c r="W196" s="19"/>
      <c r="X196" s="17"/>
      <c r="Y196" s="19"/>
      <c r="Z196" s="17"/>
      <c r="AA196" s="19"/>
      <c r="AB196" s="17"/>
      <c r="AC196" s="20"/>
      <c r="AD196" s="17"/>
      <c r="AE196" s="20"/>
      <c r="AF196" s="17"/>
      <c r="AG196" s="21"/>
      <c r="AH196" s="17"/>
      <c r="AI196" s="19"/>
      <c r="AJ196" s="17"/>
      <c r="AK196" s="19"/>
      <c r="AL196" s="17"/>
      <c r="AM196" s="21"/>
      <c r="AN196" s="17"/>
      <c r="AO196" s="19"/>
      <c r="AP196" s="17"/>
      <c r="AQ196" s="19"/>
      <c r="AR196" s="17"/>
      <c r="AS196" s="19"/>
      <c r="AT196" s="17"/>
      <c r="AU196" s="21"/>
      <c r="AV196" s="17"/>
      <c r="AW196" s="21"/>
      <c r="AX196" s="17"/>
      <c r="AY196" s="21"/>
      <c r="AZ196" s="17"/>
      <c r="BA196" s="21"/>
      <c r="BB196" s="17" t="s">
        <v>72</v>
      </c>
      <c r="BC196" s="21" t="s">
        <v>731</v>
      </c>
      <c r="BD196" s="17"/>
      <c r="BE196" s="22">
        <f t="shared" si="30"/>
        <v>70</v>
      </c>
      <c r="BF196" s="14">
        <f t="shared" si="31"/>
        <v>46054</v>
      </c>
      <c r="BG196" s="23" t="str">
        <f t="shared" si="32"/>
        <v>February 2026</v>
      </c>
      <c r="BH196" s="14">
        <f t="shared" si="33"/>
        <v>46048</v>
      </c>
      <c r="BI196" s="14">
        <f t="shared" si="34"/>
        <v>46054</v>
      </c>
      <c r="BJ196" s="17" t="str">
        <f t="shared" si="35"/>
        <v>26/01/2026 - 01/02/2026</v>
      </c>
      <c r="BK196" s="17">
        <f>IF($B196="","",COUNTIFS($B$5:$B196,$B196,$BF$5:$BF196,$BF196))</f>
        <v>3</v>
      </c>
      <c r="BL196" s="17">
        <f>IF($B196="","",COUNTIFS($B$5:$B196,$B196,$BH$5:$BH196,$BH196))</f>
        <v>3</v>
      </c>
      <c r="BM196" s="17" t="str">
        <f t="shared" si="36"/>
        <v>03|Wachiraporn Chailittichai|20260201</v>
      </c>
      <c r="BN196" s="17" t="str">
        <f t="shared" si="37"/>
        <v>03|Wachiraporn Chailittichai|20260126</v>
      </c>
      <c r="BO196" s="17">
        <f t="shared" si="38"/>
        <v>0</v>
      </c>
      <c r="BP196" s="24" t="s">
        <v>732</v>
      </c>
      <c r="BQ196" s="13"/>
      <c r="BR196" s="25" t="str">
        <f t="shared" si="39"/>
        <v>Jan-Feb 2026</v>
      </c>
    </row>
    <row r="197" spans="1:70" s="18" customFormat="1" ht="15" customHeight="1">
      <c r="A197" s="14">
        <v>46080.79074329861</v>
      </c>
      <c r="B197" s="15" t="s">
        <v>398</v>
      </c>
      <c r="C197" s="14">
        <v>46054</v>
      </c>
      <c r="D197" s="16"/>
      <c r="E197" s="16"/>
      <c r="F197" s="17" t="s">
        <v>733</v>
      </c>
      <c r="G197" s="13" t="s">
        <v>734</v>
      </c>
      <c r="H197" s="18">
        <v>5</v>
      </c>
      <c r="J197" s="18">
        <v>20</v>
      </c>
      <c r="L197" s="18">
        <v>12</v>
      </c>
      <c r="N197" s="18">
        <v>10</v>
      </c>
      <c r="P197" s="18">
        <v>15</v>
      </c>
      <c r="R197" s="18">
        <v>8</v>
      </c>
      <c r="T197" s="17"/>
      <c r="U197" s="19"/>
      <c r="V197" s="17"/>
      <c r="W197" s="19"/>
      <c r="X197" s="17"/>
      <c r="Y197" s="19"/>
      <c r="Z197" s="17"/>
      <c r="AA197" s="19"/>
      <c r="AB197" s="17"/>
      <c r="AC197" s="20"/>
      <c r="AD197" s="17"/>
      <c r="AE197" s="20"/>
      <c r="AF197" s="17"/>
      <c r="AG197" s="21"/>
      <c r="AH197" s="17"/>
      <c r="AI197" s="19"/>
      <c r="AJ197" s="17"/>
      <c r="AK197" s="19"/>
      <c r="AL197" s="17"/>
      <c r="AM197" s="21"/>
      <c r="AN197" s="17"/>
      <c r="AO197" s="19"/>
      <c r="AP197" s="17"/>
      <c r="AQ197" s="19"/>
      <c r="AR197" s="17"/>
      <c r="AS197" s="19"/>
      <c r="AT197" s="17"/>
      <c r="AU197" s="21"/>
      <c r="AV197" s="17"/>
      <c r="AW197" s="21"/>
      <c r="AX197" s="17"/>
      <c r="AY197" s="21"/>
      <c r="AZ197" s="17"/>
      <c r="BA197" s="21"/>
      <c r="BB197" s="17" t="s">
        <v>72</v>
      </c>
      <c r="BC197" s="21" t="s">
        <v>735</v>
      </c>
      <c r="BD197" s="17"/>
      <c r="BE197" s="22">
        <f t="shared" si="30"/>
        <v>70</v>
      </c>
      <c r="BF197" s="14">
        <f t="shared" si="31"/>
        <v>46054</v>
      </c>
      <c r="BG197" s="23" t="str">
        <f t="shared" si="32"/>
        <v>February 2026</v>
      </c>
      <c r="BH197" s="14">
        <f t="shared" si="33"/>
        <v>46048</v>
      </c>
      <c r="BI197" s="14">
        <f t="shared" si="34"/>
        <v>46054</v>
      </c>
      <c r="BJ197" s="17" t="str">
        <f t="shared" si="35"/>
        <v>26/01/2026 - 01/02/2026</v>
      </c>
      <c r="BK197" s="17">
        <f>IF($B197="","",COUNTIFS($B$5:$B197,$B197,$BF$5:$BF197,$BF197))</f>
        <v>4</v>
      </c>
      <c r="BL197" s="17">
        <f>IF($B197="","",COUNTIFS($B$5:$B197,$B197,$BH$5:$BH197,$BH197))</f>
        <v>4</v>
      </c>
      <c r="BM197" s="17" t="str">
        <f t="shared" si="36"/>
        <v>04|Wachiraporn Chailittichai|20260201</v>
      </c>
      <c r="BN197" s="17" t="str">
        <f t="shared" si="37"/>
        <v>04|Wachiraporn Chailittichai|20260126</v>
      </c>
      <c r="BO197" s="17">
        <f t="shared" si="38"/>
        <v>0</v>
      </c>
      <c r="BP197" s="24" t="s">
        <v>736</v>
      </c>
      <c r="BQ197" s="13"/>
      <c r="BR197" s="25" t="str">
        <f t="shared" si="39"/>
        <v>Jan-Feb 2026</v>
      </c>
    </row>
    <row r="198" spans="1:70" s="18" customFormat="1" ht="15" customHeight="1">
      <c r="A198" s="14">
        <v>46080.793213506942</v>
      </c>
      <c r="B198" s="15" t="s">
        <v>398</v>
      </c>
      <c r="C198" s="14">
        <v>46054</v>
      </c>
      <c r="D198" s="16"/>
      <c r="E198" s="16"/>
      <c r="F198" s="17" t="s">
        <v>737</v>
      </c>
      <c r="G198" s="13" t="s">
        <v>738</v>
      </c>
      <c r="H198" s="18">
        <v>5</v>
      </c>
      <c r="J198" s="18">
        <v>25</v>
      </c>
      <c r="L198" s="18">
        <v>16</v>
      </c>
      <c r="N198" s="18">
        <v>10</v>
      </c>
      <c r="P198" s="18">
        <v>18</v>
      </c>
      <c r="R198" s="18">
        <v>8</v>
      </c>
      <c r="T198" s="17"/>
      <c r="U198" s="19"/>
      <c r="V198" s="17"/>
      <c r="W198" s="19"/>
      <c r="X198" s="17"/>
      <c r="Y198" s="19"/>
      <c r="Z198" s="17"/>
      <c r="AA198" s="19"/>
      <c r="AB198" s="17"/>
      <c r="AC198" s="20"/>
      <c r="AD198" s="17"/>
      <c r="AE198" s="20"/>
      <c r="AF198" s="17"/>
      <c r="AG198" s="21"/>
      <c r="AH198" s="17"/>
      <c r="AI198" s="19"/>
      <c r="AJ198" s="17"/>
      <c r="AK198" s="19"/>
      <c r="AL198" s="17"/>
      <c r="AM198" s="21"/>
      <c r="AN198" s="17"/>
      <c r="AO198" s="19"/>
      <c r="AP198" s="17"/>
      <c r="AQ198" s="19"/>
      <c r="AR198" s="17"/>
      <c r="AS198" s="19"/>
      <c r="AT198" s="17"/>
      <c r="AU198" s="21"/>
      <c r="AV198" s="17"/>
      <c r="AW198" s="21"/>
      <c r="AX198" s="17"/>
      <c r="AY198" s="21"/>
      <c r="AZ198" s="17"/>
      <c r="BA198" s="21"/>
      <c r="BB198" s="17" t="s">
        <v>72</v>
      </c>
      <c r="BC198" s="21" t="s">
        <v>739</v>
      </c>
      <c r="BD198" s="17"/>
      <c r="BE198" s="22">
        <f t="shared" si="30"/>
        <v>82</v>
      </c>
      <c r="BF198" s="14">
        <f t="shared" si="31"/>
        <v>46054</v>
      </c>
      <c r="BG198" s="23" t="str">
        <f t="shared" si="32"/>
        <v>February 2026</v>
      </c>
      <c r="BH198" s="14">
        <f t="shared" si="33"/>
        <v>46048</v>
      </c>
      <c r="BI198" s="14">
        <f t="shared" si="34"/>
        <v>46054</v>
      </c>
      <c r="BJ198" s="17" t="str">
        <f t="shared" si="35"/>
        <v>26/01/2026 - 01/02/2026</v>
      </c>
      <c r="BK198" s="17">
        <f>IF($B198="","",COUNTIFS($B$5:$B198,$B198,$BF$5:$BF198,$BF198))</f>
        <v>5</v>
      </c>
      <c r="BL198" s="17">
        <f>IF($B198="","",COUNTIFS($B$5:$B198,$B198,$BH$5:$BH198,$BH198))</f>
        <v>5</v>
      </c>
      <c r="BM198" s="17" t="str">
        <f t="shared" si="36"/>
        <v>05|Wachiraporn Chailittichai|20260201</v>
      </c>
      <c r="BN198" s="17" t="str">
        <f t="shared" si="37"/>
        <v>05|Wachiraporn Chailittichai|20260126</v>
      </c>
      <c r="BO198" s="17">
        <f t="shared" si="38"/>
        <v>0</v>
      </c>
      <c r="BP198" s="24" t="s">
        <v>740</v>
      </c>
      <c r="BQ198" s="13"/>
      <c r="BR198" s="25" t="str">
        <f t="shared" si="39"/>
        <v>Jan-Feb 2026</v>
      </c>
    </row>
    <row r="199" spans="1:70" s="18" customFormat="1" ht="15" customHeight="1">
      <c r="A199" s="14">
        <v>46080.811605185183</v>
      </c>
      <c r="B199" s="15" t="s">
        <v>398</v>
      </c>
      <c r="C199" s="14">
        <v>46054</v>
      </c>
      <c r="D199" s="16"/>
      <c r="E199" s="16"/>
      <c r="F199" s="17" t="s">
        <v>741</v>
      </c>
      <c r="G199" s="13" t="s">
        <v>742</v>
      </c>
      <c r="H199" s="18">
        <v>0</v>
      </c>
      <c r="J199" s="18">
        <v>10</v>
      </c>
      <c r="L199" s="18">
        <v>5</v>
      </c>
      <c r="N199" s="18">
        <v>10</v>
      </c>
      <c r="P199" s="18">
        <v>20</v>
      </c>
      <c r="R199" s="18">
        <v>10</v>
      </c>
      <c r="T199" s="17"/>
      <c r="U199" s="19"/>
      <c r="V199" s="17"/>
      <c r="W199" s="19"/>
      <c r="X199" s="17"/>
      <c r="Y199" s="19"/>
      <c r="Z199" s="17"/>
      <c r="AA199" s="19"/>
      <c r="AB199" s="17"/>
      <c r="AC199" s="20"/>
      <c r="AD199" s="17"/>
      <c r="AE199" s="20"/>
      <c r="AF199" s="17"/>
      <c r="AG199" s="21"/>
      <c r="AH199" s="17"/>
      <c r="AI199" s="19"/>
      <c r="AJ199" s="17"/>
      <c r="AK199" s="19"/>
      <c r="AL199" s="17"/>
      <c r="AM199" s="21"/>
      <c r="AN199" s="17"/>
      <c r="AO199" s="19"/>
      <c r="AP199" s="17"/>
      <c r="AQ199" s="19"/>
      <c r="AR199" s="17"/>
      <c r="AS199" s="19"/>
      <c r="AT199" s="17"/>
      <c r="AU199" s="21"/>
      <c r="AV199" s="17"/>
      <c r="AW199" s="21"/>
      <c r="AX199" s="17"/>
      <c r="AY199" s="21"/>
      <c r="AZ199" s="17"/>
      <c r="BA199" s="21"/>
      <c r="BB199" s="17" t="s">
        <v>72</v>
      </c>
      <c r="BC199" s="21" t="s">
        <v>94</v>
      </c>
      <c r="BD199" s="17"/>
      <c r="BE199" s="22">
        <f t="shared" si="30"/>
        <v>55</v>
      </c>
      <c r="BF199" s="14">
        <f t="shared" si="31"/>
        <v>46054</v>
      </c>
      <c r="BG199" s="23" t="str">
        <f t="shared" si="32"/>
        <v>February 2026</v>
      </c>
      <c r="BH199" s="14">
        <f t="shared" si="33"/>
        <v>46048</v>
      </c>
      <c r="BI199" s="14">
        <f t="shared" si="34"/>
        <v>46054</v>
      </c>
      <c r="BJ199" s="17" t="str">
        <f t="shared" si="35"/>
        <v>26/01/2026 - 01/02/2026</v>
      </c>
      <c r="BK199" s="17">
        <f>IF($B199="","",COUNTIFS($B$5:$B199,$B199,$BF$5:$BF199,$BF199))</f>
        <v>6</v>
      </c>
      <c r="BL199" s="17">
        <f>IF($B199="","",COUNTIFS($B$5:$B199,$B199,$BH$5:$BH199,$BH199))</f>
        <v>6</v>
      </c>
      <c r="BM199" s="17" t="str">
        <f t="shared" si="36"/>
        <v>06|Wachiraporn Chailittichai|20260201</v>
      </c>
      <c r="BN199" s="17" t="str">
        <f t="shared" si="37"/>
        <v>06|Wachiraporn Chailittichai|20260126</v>
      </c>
      <c r="BO199" s="17">
        <f t="shared" si="38"/>
        <v>0</v>
      </c>
      <c r="BP199" s="24" t="s">
        <v>743</v>
      </c>
      <c r="BQ199" s="13"/>
      <c r="BR199" s="25" t="str">
        <f t="shared" si="39"/>
        <v>Jan-Feb 2026</v>
      </c>
    </row>
    <row r="200" spans="1:70" s="18" customFormat="1" ht="15" customHeight="1">
      <c r="A200" s="14">
        <v>46080.821361793976</v>
      </c>
      <c r="B200" s="15" t="s">
        <v>398</v>
      </c>
      <c r="C200" s="14">
        <v>46054</v>
      </c>
      <c r="D200" s="16"/>
      <c r="E200" s="16"/>
      <c r="F200" s="17" t="s">
        <v>744</v>
      </c>
      <c r="G200" s="13" t="s">
        <v>745</v>
      </c>
      <c r="H200" s="18">
        <v>5</v>
      </c>
      <c r="J200" s="18">
        <v>20</v>
      </c>
      <c r="L200" s="18">
        <v>10</v>
      </c>
      <c r="N200" s="18">
        <v>8</v>
      </c>
      <c r="P200" s="18">
        <v>10</v>
      </c>
      <c r="R200" s="18">
        <v>7</v>
      </c>
      <c r="T200" s="17"/>
      <c r="U200" s="19"/>
      <c r="V200" s="17"/>
      <c r="W200" s="19"/>
      <c r="X200" s="17"/>
      <c r="Y200" s="19"/>
      <c r="Z200" s="17"/>
      <c r="AA200" s="19"/>
      <c r="AB200" s="17"/>
      <c r="AC200" s="20"/>
      <c r="AD200" s="17"/>
      <c r="AE200" s="20"/>
      <c r="AF200" s="17"/>
      <c r="AG200" s="21"/>
      <c r="AH200" s="17"/>
      <c r="AI200" s="19"/>
      <c r="AJ200" s="17"/>
      <c r="AK200" s="19"/>
      <c r="AL200" s="17"/>
      <c r="AM200" s="21"/>
      <c r="AN200" s="17"/>
      <c r="AO200" s="19"/>
      <c r="AP200" s="17"/>
      <c r="AQ200" s="19"/>
      <c r="AR200" s="17"/>
      <c r="AS200" s="19"/>
      <c r="AT200" s="17"/>
      <c r="AU200" s="21"/>
      <c r="AV200" s="17"/>
      <c r="AW200" s="21"/>
      <c r="AX200" s="17"/>
      <c r="AY200" s="21"/>
      <c r="AZ200" s="17"/>
      <c r="BA200" s="21"/>
      <c r="BB200" s="17" t="s">
        <v>72</v>
      </c>
      <c r="BC200" s="21" t="s">
        <v>175</v>
      </c>
      <c r="BD200" s="17"/>
      <c r="BE200" s="22">
        <f t="shared" si="30"/>
        <v>60</v>
      </c>
      <c r="BF200" s="14">
        <f t="shared" si="31"/>
        <v>46054</v>
      </c>
      <c r="BG200" s="23" t="str">
        <f t="shared" si="32"/>
        <v>February 2026</v>
      </c>
      <c r="BH200" s="14">
        <f t="shared" si="33"/>
        <v>46048</v>
      </c>
      <c r="BI200" s="14">
        <f t="shared" si="34"/>
        <v>46054</v>
      </c>
      <c r="BJ200" s="17" t="str">
        <f t="shared" si="35"/>
        <v>26/01/2026 - 01/02/2026</v>
      </c>
      <c r="BK200" s="17">
        <f>IF($B200="","",COUNTIFS($B$5:$B200,$B200,$BF$5:$BF200,$BF200))</f>
        <v>7</v>
      </c>
      <c r="BL200" s="17">
        <f>IF($B200="","",COUNTIFS($B$5:$B200,$B200,$BH$5:$BH200,$BH200))</f>
        <v>7</v>
      </c>
      <c r="BM200" s="17" t="str">
        <f t="shared" si="36"/>
        <v>07|Wachiraporn Chailittichai|20260201</v>
      </c>
      <c r="BN200" s="17" t="str">
        <f t="shared" si="37"/>
        <v>07|Wachiraporn Chailittichai|20260126</v>
      </c>
      <c r="BO200" s="17">
        <f t="shared" si="38"/>
        <v>0</v>
      </c>
      <c r="BP200" s="24" t="s">
        <v>746</v>
      </c>
      <c r="BQ200" s="13"/>
      <c r="BR200" s="25" t="str">
        <f t="shared" si="39"/>
        <v>Jan-Feb 2026</v>
      </c>
    </row>
    <row r="201" spans="1:70" s="18" customFormat="1" ht="15" customHeight="1">
      <c r="A201" s="14">
        <v>46080.82991685185</v>
      </c>
      <c r="B201" s="15" t="s">
        <v>398</v>
      </c>
      <c r="C201" s="14">
        <v>46054</v>
      </c>
      <c r="D201" s="16"/>
      <c r="E201" s="16"/>
      <c r="F201" s="17" t="s">
        <v>747</v>
      </c>
      <c r="G201" s="13" t="s">
        <v>748</v>
      </c>
      <c r="H201" s="18">
        <v>10</v>
      </c>
      <c r="J201" s="18">
        <v>15</v>
      </c>
      <c r="L201" s="18">
        <v>10</v>
      </c>
      <c r="N201" s="18">
        <v>0</v>
      </c>
      <c r="P201" s="18">
        <v>15</v>
      </c>
      <c r="R201" s="18">
        <v>8</v>
      </c>
      <c r="T201" s="17"/>
      <c r="U201" s="19"/>
      <c r="V201" s="17"/>
      <c r="W201" s="19"/>
      <c r="X201" s="17"/>
      <c r="Y201" s="19"/>
      <c r="Z201" s="17"/>
      <c r="AA201" s="19"/>
      <c r="AB201" s="17"/>
      <c r="AC201" s="20"/>
      <c r="AD201" s="17"/>
      <c r="AE201" s="20"/>
      <c r="AF201" s="17"/>
      <c r="AG201" s="21"/>
      <c r="AH201" s="17"/>
      <c r="AI201" s="19"/>
      <c r="AJ201" s="17"/>
      <c r="AK201" s="19"/>
      <c r="AL201" s="17"/>
      <c r="AM201" s="21"/>
      <c r="AN201" s="17"/>
      <c r="AO201" s="19"/>
      <c r="AP201" s="17"/>
      <c r="AQ201" s="19"/>
      <c r="AR201" s="17"/>
      <c r="AS201" s="19"/>
      <c r="AT201" s="17"/>
      <c r="AU201" s="21"/>
      <c r="AV201" s="17"/>
      <c r="AW201" s="21"/>
      <c r="AX201" s="17"/>
      <c r="AY201" s="21"/>
      <c r="AZ201" s="17"/>
      <c r="BA201" s="21"/>
      <c r="BB201" s="17" t="s">
        <v>72</v>
      </c>
      <c r="BC201" s="21" t="s">
        <v>113</v>
      </c>
      <c r="BD201" s="17"/>
      <c r="BE201" s="22">
        <f t="shared" si="30"/>
        <v>58</v>
      </c>
      <c r="BF201" s="14">
        <f t="shared" si="31"/>
        <v>46054</v>
      </c>
      <c r="BG201" s="23" t="str">
        <f t="shared" si="32"/>
        <v>February 2026</v>
      </c>
      <c r="BH201" s="14">
        <f t="shared" si="33"/>
        <v>46048</v>
      </c>
      <c r="BI201" s="14">
        <f t="shared" si="34"/>
        <v>46054</v>
      </c>
      <c r="BJ201" s="17" t="str">
        <f t="shared" si="35"/>
        <v>26/01/2026 - 01/02/2026</v>
      </c>
      <c r="BK201" s="17">
        <f>IF($B201="","",COUNTIFS($B$5:$B201,$B201,$BF$5:$BF201,$BF201))</f>
        <v>8</v>
      </c>
      <c r="BL201" s="17">
        <f>IF($B201="","",COUNTIFS($B$5:$B201,$B201,$BH$5:$BH201,$BH201))</f>
        <v>8</v>
      </c>
      <c r="BM201" s="17" t="str">
        <f t="shared" si="36"/>
        <v>08|Wachiraporn Chailittichai|20260201</v>
      </c>
      <c r="BN201" s="17" t="str">
        <f t="shared" si="37"/>
        <v>08|Wachiraporn Chailittichai|20260126</v>
      </c>
      <c r="BO201" s="17">
        <f t="shared" si="38"/>
        <v>0</v>
      </c>
      <c r="BP201" s="24" t="s">
        <v>749</v>
      </c>
      <c r="BQ201" s="13"/>
      <c r="BR201" s="25" t="str">
        <f t="shared" si="39"/>
        <v>Jan-Feb 2026</v>
      </c>
    </row>
    <row r="202" spans="1:70" s="18" customFormat="1" ht="15" customHeight="1">
      <c r="A202" s="14">
        <v>46080.83695261574</v>
      </c>
      <c r="B202" s="15" t="s">
        <v>398</v>
      </c>
      <c r="C202" s="14">
        <v>46054</v>
      </c>
      <c r="D202" s="16"/>
      <c r="E202" s="16"/>
      <c r="F202" s="17" t="s">
        <v>750</v>
      </c>
      <c r="G202" s="13" t="s">
        <v>751</v>
      </c>
      <c r="H202" s="18">
        <v>10</v>
      </c>
      <c r="J202" s="18">
        <v>25</v>
      </c>
      <c r="L202" s="18">
        <v>16</v>
      </c>
      <c r="N202" s="18">
        <v>5</v>
      </c>
      <c r="P202" s="18">
        <v>10</v>
      </c>
      <c r="R202" s="18">
        <v>6</v>
      </c>
      <c r="T202" s="17"/>
      <c r="U202" s="19"/>
      <c r="V202" s="17"/>
      <c r="W202" s="19"/>
      <c r="X202" s="17"/>
      <c r="Y202" s="19"/>
      <c r="Z202" s="17"/>
      <c r="AA202" s="19"/>
      <c r="AB202" s="17"/>
      <c r="AC202" s="20"/>
      <c r="AD202" s="17"/>
      <c r="AE202" s="20"/>
      <c r="AF202" s="17"/>
      <c r="AG202" s="21"/>
      <c r="AH202" s="17"/>
      <c r="AI202" s="19"/>
      <c r="AJ202" s="17"/>
      <c r="AK202" s="19"/>
      <c r="AL202" s="17"/>
      <c r="AM202" s="21"/>
      <c r="AN202" s="17"/>
      <c r="AO202" s="19"/>
      <c r="AP202" s="17"/>
      <c r="AQ202" s="19"/>
      <c r="AR202" s="17"/>
      <c r="AS202" s="19"/>
      <c r="AT202" s="17"/>
      <c r="AU202" s="21"/>
      <c r="AV202" s="17"/>
      <c r="AW202" s="21"/>
      <c r="AX202" s="17"/>
      <c r="AY202" s="21"/>
      <c r="AZ202" s="17"/>
      <c r="BA202" s="21"/>
      <c r="BB202" s="17" t="s">
        <v>72</v>
      </c>
      <c r="BC202" s="21" t="s">
        <v>273</v>
      </c>
      <c r="BD202" s="17"/>
      <c r="BE202" s="22">
        <f t="shared" si="30"/>
        <v>72</v>
      </c>
      <c r="BF202" s="14">
        <f t="shared" si="31"/>
        <v>46054</v>
      </c>
      <c r="BG202" s="23" t="str">
        <f t="shared" si="32"/>
        <v>February 2026</v>
      </c>
      <c r="BH202" s="14">
        <f t="shared" si="33"/>
        <v>46048</v>
      </c>
      <c r="BI202" s="14">
        <f t="shared" si="34"/>
        <v>46054</v>
      </c>
      <c r="BJ202" s="17" t="str">
        <f t="shared" si="35"/>
        <v>26/01/2026 - 01/02/2026</v>
      </c>
      <c r="BK202" s="17">
        <f>IF($B202="","",COUNTIFS($B$5:$B202,$B202,$BF$5:$BF202,$BF202))</f>
        <v>9</v>
      </c>
      <c r="BL202" s="17">
        <f>IF($B202="","",COUNTIFS($B$5:$B202,$B202,$BH$5:$BH202,$BH202))</f>
        <v>9</v>
      </c>
      <c r="BM202" s="17" t="str">
        <f t="shared" si="36"/>
        <v>09|Wachiraporn Chailittichai|20260201</v>
      </c>
      <c r="BN202" s="17" t="str">
        <f t="shared" si="37"/>
        <v>09|Wachiraporn Chailittichai|20260126</v>
      </c>
      <c r="BO202" s="17">
        <f t="shared" si="38"/>
        <v>0</v>
      </c>
      <c r="BP202" s="24" t="s">
        <v>752</v>
      </c>
      <c r="BQ202" s="13"/>
      <c r="BR202" s="25" t="str">
        <f t="shared" si="39"/>
        <v>Jan-Feb 2026</v>
      </c>
    </row>
    <row r="203" spans="1:70" s="18" customFormat="1" ht="15" customHeight="1">
      <c r="A203" s="14">
        <v>46080.843224456017</v>
      </c>
      <c r="B203" s="15" t="s">
        <v>398</v>
      </c>
      <c r="C203" s="14">
        <v>46054</v>
      </c>
      <c r="D203" s="16"/>
      <c r="E203" s="16"/>
      <c r="F203" s="17" t="s">
        <v>753</v>
      </c>
      <c r="G203" s="13" t="s">
        <v>754</v>
      </c>
      <c r="H203" s="18">
        <v>5</v>
      </c>
      <c r="J203" s="18">
        <v>10</v>
      </c>
      <c r="L203" s="18">
        <v>0</v>
      </c>
      <c r="N203" s="18">
        <v>8</v>
      </c>
      <c r="P203" s="18">
        <v>15</v>
      </c>
      <c r="R203" s="18">
        <v>7</v>
      </c>
      <c r="T203" s="17"/>
      <c r="U203" s="19"/>
      <c r="V203" s="17"/>
      <c r="W203" s="19"/>
      <c r="X203" s="17"/>
      <c r="Y203" s="19"/>
      <c r="Z203" s="17"/>
      <c r="AA203" s="19"/>
      <c r="AB203" s="17"/>
      <c r="AC203" s="20"/>
      <c r="AD203" s="17"/>
      <c r="AE203" s="20"/>
      <c r="AF203" s="17"/>
      <c r="AG203" s="21"/>
      <c r="AH203" s="17"/>
      <c r="AI203" s="19"/>
      <c r="AJ203" s="17"/>
      <c r="AK203" s="19"/>
      <c r="AL203" s="17"/>
      <c r="AM203" s="21"/>
      <c r="AN203" s="17"/>
      <c r="AO203" s="19"/>
      <c r="AP203" s="17"/>
      <c r="AQ203" s="19"/>
      <c r="AR203" s="17"/>
      <c r="AS203" s="19"/>
      <c r="AT203" s="17"/>
      <c r="AU203" s="21"/>
      <c r="AV203" s="17"/>
      <c r="AW203" s="21"/>
      <c r="AX203" s="17"/>
      <c r="AY203" s="21"/>
      <c r="AZ203" s="17"/>
      <c r="BA203" s="21"/>
      <c r="BB203" s="17" t="s">
        <v>72</v>
      </c>
      <c r="BC203" s="21" t="s">
        <v>142</v>
      </c>
      <c r="BD203" s="17"/>
      <c r="BE203" s="22">
        <f t="shared" si="30"/>
        <v>45</v>
      </c>
      <c r="BF203" s="14">
        <f t="shared" si="31"/>
        <v>46054</v>
      </c>
      <c r="BG203" s="23" t="str">
        <f t="shared" si="32"/>
        <v>February 2026</v>
      </c>
      <c r="BH203" s="14">
        <f t="shared" si="33"/>
        <v>46048</v>
      </c>
      <c r="BI203" s="14">
        <f t="shared" si="34"/>
        <v>46054</v>
      </c>
      <c r="BJ203" s="17" t="str">
        <f t="shared" si="35"/>
        <v>26/01/2026 - 01/02/2026</v>
      </c>
      <c r="BK203" s="17">
        <f>IF($B203="","",COUNTIFS($B$5:$B203,$B203,$BF$5:$BF203,$BF203))</f>
        <v>10</v>
      </c>
      <c r="BL203" s="17">
        <f>IF($B203="","",COUNTIFS($B$5:$B203,$B203,$BH$5:$BH203,$BH203))</f>
        <v>10</v>
      </c>
      <c r="BM203" s="17" t="str">
        <f t="shared" si="36"/>
        <v>10|Wachiraporn Chailittichai|20260201</v>
      </c>
      <c r="BN203" s="17" t="str">
        <f t="shared" si="37"/>
        <v>10|Wachiraporn Chailittichai|20260126</v>
      </c>
      <c r="BO203" s="17">
        <f t="shared" si="38"/>
        <v>0</v>
      </c>
      <c r="BP203" s="24" t="s">
        <v>755</v>
      </c>
      <c r="BQ203" s="13"/>
      <c r="BR203" s="25" t="str">
        <f t="shared" si="39"/>
        <v>Jan-Feb 2026</v>
      </c>
    </row>
    <row r="204" spans="1:70" s="18" customFormat="1" ht="15" customHeight="1">
      <c r="A204" s="14">
        <v>46063.168839918981</v>
      </c>
      <c r="B204" s="15" t="s">
        <v>79</v>
      </c>
      <c r="C204" s="14">
        <v>46054</v>
      </c>
      <c r="D204" s="16"/>
      <c r="E204" s="16"/>
      <c r="F204" s="17" t="s">
        <v>756</v>
      </c>
      <c r="G204" s="13" t="s">
        <v>757</v>
      </c>
      <c r="H204" s="18">
        <v>10</v>
      </c>
      <c r="J204" s="18">
        <v>22</v>
      </c>
      <c r="L204" s="18">
        <v>14</v>
      </c>
      <c r="N204" s="18">
        <v>10</v>
      </c>
      <c r="P204" s="18">
        <v>16</v>
      </c>
      <c r="R204" s="18">
        <v>9</v>
      </c>
      <c r="T204" s="17"/>
      <c r="U204" s="19"/>
      <c r="V204" s="17"/>
      <c r="W204" s="19"/>
      <c r="X204" s="17"/>
      <c r="Y204" s="19"/>
      <c r="Z204" s="17"/>
      <c r="AA204" s="19"/>
      <c r="AB204" s="17"/>
      <c r="AC204" s="20"/>
      <c r="AD204" s="17"/>
      <c r="AE204" s="20"/>
      <c r="AF204" s="17"/>
      <c r="AG204" s="21"/>
      <c r="AH204" s="17"/>
      <c r="AI204" s="19"/>
      <c r="AJ204" s="17"/>
      <c r="AK204" s="19"/>
      <c r="AL204" s="17"/>
      <c r="AM204" s="21"/>
      <c r="AN204" s="17"/>
      <c r="AO204" s="19"/>
      <c r="AP204" s="17"/>
      <c r="AQ204" s="19"/>
      <c r="AR204" s="17"/>
      <c r="AS204" s="19"/>
      <c r="AT204" s="17"/>
      <c r="AU204" s="21"/>
      <c r="AV204" s="17"/>
      <c r="AW204" s="21"/>
      <c r="AX204" s="17"/>
      <c r="AY204" s="21"/>
      <c r="AZ204" s="17"/>
      <c r="BA204" s="21"/>
      <c r="BB204" s="17" t="s">
        <v>72</v>
      </c>
      <c r="BC204" s="21" t="s">
        <v>253</v>
      </c>
      <c r="BD204" s="17"/>
      <c r="BE204" s="22">
        <f t="shared" si="30"/>
        <v>81</v>
      </c>
      <c r="BF204" s="14">
        <f t="shared" si="31"/>
        <v>46054</v>
      </c>
      <c r="BG204" s="23" t="str">
        <f t="shared" si="32"/>
        <v>February 2026</v>
      </c>
      <c r="BH204" s="14">
        <f t="shared" si="33"/>
        <v>46048</v>
      </c>
      <c r="BI204" s="14">
        <f t="shared" si="34"/>
        <v>46054</v>
      </c>
      <c r="BJ204" s="17" t="str">
        <f t="shared" si="35"/>
        <v>26/01/2026 - 01/02/2026</v>
      </c>
      <c r="BK204" s="17">
        <f>IF($B204="","",COUNTIFS($B$5:$B204,$B204,$BF$5:$BF204,$BF204))</f>
        <v>1</v>
      </c>
      <c r="BL204" s="17">
        <f>IF($B204="","",COUNTIFS($B$5:$B204,$B204,$BH$5:$BH204,$BH204))</f>
        <v>1</v>
      </c>
      <c r="BM204" s="17" t="str">
        <f t="shared" si="36"/>
        <v>01|Wassana Phothong|20260201</v>
      </c>
      <c r="BN204" s="17" t="str">
        <f t="shared" si="37"/>
        <v>01|Wassana Phothong|20260126</v>
      </c>
      <c r="BO204" s="17">
        <f t="shared" si="38"/>
        <v>0</v>
      </c>
      <c r="BP204" s="24" t="s">
        <v>758</v>
      </c>
      <c r="BQ204" s="13"/>
      <c r="BR204" s="25" t="str">
        <f t="shared" si="39"/>
        <v>Jan-Feb 2026</v>
      </c>
    </row>
    <row r="205" spans="1:70" s="18" customFormat="1" ht="15" customHeight="1">
      <c r="A205" s="14">
        <v>46063.170864490741</v>
      </c>
      <c r="B205" s="15" t="s">
        <v>79</v>
      </c>
      <c r="C205" s="14">
        <v>46054</v>
      </c>
      <c r="D205" s="16"/>
      <c r="E205" s="16"/>
      <c r="F205" s="17" t="s">
        <v>759</v>
      </c>
      <c r="G205" s="13" t="s">
        <v>760</v>
      </c>
      <c r="H205" s="18">
        <v>8</v>
      </c>
      <c r="J205" s="18">
        <v>20</v>
      </c>
      <c r="L205" s="18">
        <v>10</v>
      </c>
      <c r="N205" s="18">
        <v>10</v>
      </c>
      <c r="P205" s="18">
        <v>20</v>
      </c>
      <c r="R205" s="18">
        <v>10</v>
      </c>
      <c r="T205" s="17"/>
      <c r="U205" s="19"/>
      <c r="V205" s="17"/>
      <c r="W205" s="19"/>
      <c r="X205" s="17"/>
      <c r="Y205" s="19"/>
      <c r="Z205" s="17"/>
      <c r="AA205" s="19"/>
      <c r="AB205" s="17"/>
      <c r="AC205" s="20"/>
      <c r="AD205" s="17"/>
      <c r="AE205" s="20"/>
      <c r="AF205" s="17"/>
      <c r="AG205" s="21"/>
      <c r="AH205" s="17"/>
      <c r="AI205" s="19"/>
      <c r="AJ205" s="17"/>
      <c r="AK205" s="19"/>
      <c r="AL205" s="17"/>
      <c r="AM205" s="21"/>
      <c r="AN205" s="17"/>
      <c r="AO205" s="19"/>
      <c r="AP205" s="17"/>
      <c r="AQ205" s="19"/>
      <c r="AR205" s="17"/>
      <c r="AS205" s="19"/>
      <c r="AT205" s="17"/>
      <c r="AU205" s="21"/>
      <c r="AV205" s="17"/>
      <c r="AW205" s="21"/>
      <c r="AX205" s="17"/>
      <c r="AY205" s="21"/>
      <c r="AZ205" s="17"/>
      <c r="BA205" s="21"/>
      <c r="BB205" s="17" t="s">
        <v>72</v>
      </c>
      <c r="BC205" s="21" t="s">
        <v>86</v>
      </c>
      <c r="BD205" s="17"/>
      <c r="BE205" s="22">
        <f t="shared" si="30"/>
        <v>78</v>
      </c>
      <c r="BF205" s="14">
        <f t="shared" si="31"/>
        <v>46054</v>
      </c>
      <c r="BG205" s="23" t="str">
        <f t="shared" si="32"/>
        <v>February 2026</v>
      </c>
      <c r="BH205" s="14">
        <f t="shared" si="33"/>
        <v>46048</v>
      </c>
      <c r="BI205" s="14">
        <f t="shared" si="34"/>
        <v>46054</v>
      </c>
      <c r="BJ205" s="17" t="str">
        <f t="shared" si="35"/>
        <v>26/01/2026 - 01/02/2026</v>
      </c>
      <c r="BK205" s="17">
        <f>IF($B205="","",COUNTIFS($B$5:$B205,$B205,$BF$5:$BF205,$BF205))</f>
        <v>2</v>
      </c>
      <c r="BL205" s="17">
        <f>IF($B205="","",COUNTIFS($B$5:$B205,$B205,$BH$5:$BH205,$BH205))</f>
        <v>2</v>
      </c>
      <c r="BM205" s="17" t="str">
        <f t="shared" si="36"/>
        <v>02|Wassana Phothong|20260201</v>
      </c>
      <c r="BN205" s="17" t="str">
        <f t="shared" si="37"/>
        <v>02|Wassana Phothong|20260126</v>
      </c>
      <c r="BO205" s="17">
        <f t="shared" si="38"/>
        <v>0</v>
      </c>
      <c r="BP205" s="24" t="s">
        <v>761</v>
      </c>
      <c r="BQ205" s="13"/>
      <c r="BR205" s="25" t="str">
        <f t="shared" si="39"/>
        <v>Jan-Feb 2026</v>
      </c>
    </row>
    <row r="206" spans="1:70" s="18" customFormat="1" ht="15" customHeight="1">
      <c r="A206" s="14">
        <v>46063.18072822917</v>
      </c>
      <c r="B206" s="15" t="s">
        <v>79</v>
      </c>
      <c r="C206" s="14">
        <v>46054</v>
      </c>
      <c r="D206" s="16"/>
      <c r="E206" s="16"/>
      <c r="F206" s="17" t="s">
        <v>762</v>
      </c>
      <c r="G206" s="13" t="s">
        <v>763</v>
      </c>
      <c r="H206" s="18">
        <v>8</v>
      </c>
      <c r="J206" s="18">
        <v>24</v>
      </c>
      <c r="L206" s="18">
        <v>15</v>
      </c>
      <c r="N206" s="18">
        <v>10</v>
      </c>
      <c r="P206" s="18">
        <v>18</v>
      </c>
      <c r="R206" s="18">
        <v>10</v>
      </c>
      <c r="T206" s="17"/>
      <c r="U206" s="19"/>
      <c r="V206" s="17"/>
      <c r="W206" s="19"/>
      <c r="X206" s="17"/>
      <c r="Y206" s="19"/>
      <c r="Z206" s="17"/>
      <c r="AA206" s="19"/>
      <c r="AB206" s="17"/>
      <c r="AC206" s="20"/>
      <c r="AD206" s="17"/>
      <c r="AE206" s="20"/>
      <c r="AF206" s="17"/>
      <c r="AG206" s="21"/>
      <c r="AH206" s="17"/>
      <c r="AI206" s="19"/>
      <c r="AJ206" s="17"/>
      <c r="AK206" s="19"/>
      <c r="AL206" s="17"/>
      <c r="AM206" s="21"/>
      <c r="AN206" s="17"/>
      <c r="AO206" s="19"/>
      <c r="AP206" s="17"/>
      <c r="AQ206" s="19"/>
      <c r="AR206" s="17"/>
      <c r="AS206" s="19"/>
      <c r="AT206" s="17"/>
      <c r="AU206" s="21"/>
      <c r="AV206" s="17"/>
      <c r="AW206" s="21"/>
      <c r="AX206" s="17"/>
      <c r="AY206" s="21"/>
      <c r="AZ206" s="17"/>
      <c r="BA206" s="21"/>
      <c r="BB206" s="17" t="s">
        <v>72</v>
      </c>
      <c r="BC206" s="21" t="s">
        <v>86</v>
      </c>
      <c r="BD206" s="17"/>
      <c r="BE206" s="22">
        <f t="shared" si="30"/>
        <v>85</v>
      </c>
      <c r="BF206" s="14">
        <f t="shared" si="31"/>
        <v>46054</v>
      </c>
      <c r="BG206" s="23" t="str">
        <f t="shared" si="32"/>
        <v>February 2026</v>
      </c>
      <c r="BH206" s="14">
        <f t="shared" si="33"/>
        <v>46048</v>
      </c>
      <c r="BI206" s="14">
        <f t="shared" si="34"/>
        <v>46054</v>
      </c>
      <c r="BJ206" s="17" t="str">
        <f t="shared" si="35"/>
        <v>26/01/2026 - 01/02/2026</v>
      </c>
      <c r="BK206" s="17">
        <f>IF($B206="","",COUNTIFS($B$5:$B206,$B206,$BF$5:$BF206,$BF206))</f>
        <v>3</v>
      </c>
      <c r="BL206" s="17">
        <f>IF($B206="","",COUNTIFS($B$5:$B206,$B206,$BH$5:$BH206,$BH206))</f>
        <v>3</v>
      </c>
      <c r="BM206" s="17" t="str">
        <f t="shared" si="36"/>
        <v>03|Wassana Phothong|20260201</v>
      </c>
      <c r="BN206" s="17" t="str">
        <f t="shared" si="37"/>
        <v>03|Wassana Phothong|20260126</v>
      </c>
      <c r="BO206" s="17">
        <f t="shared" si="38"/>
        <v>0</v>
      </c>
      <c r="BP206" s="24" t="s">
        <v>764</v>
      </c>
      <c r="BQ206" s="13"/>
      <c r="BR206" s="25" t="str">
        <f t="shared" si="39"/>
        <v>Jan-Feb 2026</v>
      </c>
    </row>
    <row r="207" spans="1:70" s="18" customFormat="1" ht="15" customHeight="1">
      <c r="A207" s="14">
        <v>46063.261767199067</v>
      </c>
      <c r="B207" s="15" t="s">
        <v>79</v>
      </c>
      <c r="C207" s="14">
        <v>46054</v>
      </c>
      <c r="D207" s="16"/>
      <c r="E207" s="16"/>
      <c r="F207" s="17" t="s">
        <v>765</v>
      </c>
      <c r="G207" s="13" t="s">
        <v>766</v>
      </c>
      <c r="H207" s="18">
        <v>8</v>
      </c>
      <c r="J207" s="18">
        <v>26</v>
      </c>
      <c r="L207" s="18">
        <v>17</v>
      </c>
      <c r="N207" s="18">
        <v>10</v>
      </c>
      <c r="P207" s="18">
        <v>17</v>
      </c>
      <c r="R207" s="18">
        <v>9</v>
      </c>
      <c r="T207" s="17"/>
      <c r="U207" s="19"/>
      <c r="V207" s="17"/>
      <c r="W207" s="19"/>
      <c r="X207" s="17"/>
      <c r="Y207" s="19"/>
      <c r="Z207" s="17"/>
      <c r="AA207" s="19"/>
      <c r="AB207" s="17"/>
      <c r="AC207" s="20"/>
      <c r="AD207" s="17"/>
      <c r="AE207" s="20"/>
      <c r="AF207" s="17"/>
      <c r="AG207" s="21"/>
      <c r="AH207" s="17"/>
      <c r="AI207" s="19"/>
      <c r="AJ207" s="17"/>
      <c r="AK207" s="19"/>
      <c r="AL207" s="17"/>
      <c r="AM207" s="21"/>
      <c r="AN207" s="17"/>
      <c r="AO207" s="19"/>
      <c r="AP207" s="17"/>
      <c r="AQ207" s="19"/>
      <c r="AR207" s="17"/>
      <c r="AS207" s="19"/>
      <c r="AT207" s="17"/>
      <c r="AU207" s="21"/>
      <c r="AV207" s="17"/>
      <c r="AW207" s="21"/>
      <c r="AX207" s="17"/>
      <c r="AY207" s="21"/>
      <c r="AZ207" s="17"/>
      <c r="BA207" s="21"/>
      <c r="BB207" s="17" t="s">
        <v>72</v>
      </c>
      <c r="BC207" s="21" t="s">
        <v>283</v>
      </c>
      <c r="BD207" s="17"/>
      <c r="BE207" s="22">
        <f t="shared" si="30"/>
        <v>87</v>
      </c>
      <c r="BF207" s="14">
        <f t="shared" si="31"/>
        <v>46054</v>
      </c>
      <c r="BG207" s="23" t="str">
        <f t="shared" si="32"/>
        <v>February 2026</v>
      </c>
      <c r="BH207" s="14">
        <f t="shared" si="33"/>
        <v>46048</v>
      </c>
      <c r="BI207" s="14">
        <f t="shared" si="34"/>
        <v>46054</v>
      </c>
      <c r="BJ207" s="17" t="str">
        <f t="shared" si="35"/>
        <v>26/01/2026 - 01/02/2026</v>
      </c>
      <c r="BK207" s="17">
        <f>IF($B207="","",COUNTIFS($B$5:$B207,$B207,$BF$5:$BF207,$BF207))</f>
        <v>4</v>
      </c>
      <c r="BL207" s="17">
        <f>IF($B207="","",COUNTIFS($B$5:$B207,$B207,$BH$5:$BH207,$BH207))</f>
        <v>4</v>
      </c>
      <c r="BM207" s="17" t="str">
        <f t="shared" si="36"/>
        <v>04|Wassana Phothong|20260201</v>
      </c>
      <c r="BN207" s="17" t="str">
        <f t="shared" si="37"/>
        <v>04|Wassana Phothong|20260126</v>
      </c>
      <c r="BO207" s="17">
        <f t="shared" si="38"/>
        <v>0</v>
      </c>
      <c r="BP207" s="24" t="s">
        <v>767</v>
      </c>
      <c r="BQ207" s="13"/>
      <c r="BR207" s="25" t="str">
        <f t="shared" si="39"/>
        <v>Jan-Feb 2026</v>
      </c>
    </row>
    <row r="208" spans="1:70" s="18" customFormat="1" ht="15" customHeight="1">
      <c r="A208" s="14">
        <v>46063.265865590278</v>
      </c>
      <c r="B208" s="15" t="s">
        <v>79</v>
      </c>
      <c r="C208" s="14">
        <v>46054</v>
      </c>
      <c r="D208" s="16"/>
      <c r="E208" s="16"/>
      <c r="F208" s="17" t="s">
        <v>768</v>
      </c>
      <c r="G208" s="13" t="s">
        <v>769</v>
      </c>
      <c r="H208" s="18">
        <v>6</v>
      </c>
      <c r="J208" s="18">
        <v>23</v>
      </c>
      <c r="L208" s="18">
        <v>14</v>
      </c>
      <c r="N208" s="18">
        <v>10</v>
      </c>
      <c r="P208" s="18">
        <v>15</v>
      </c>
      <c r="R208" s="18">
        <v>10</v>
      </c>
      <c r="T208" s="17"/>
      <c r="U208" s="19"/>
      <c r="V208" s="17"/>
      <c r="W208" s="19"/>
      <c r="X208" s="17"/>
      <c r="Y208" s="19"/>
      <c r="Z208" s="17"/>
      <c r="AA208" s="19"/>
      <c r="AB208" s="17"/>
      <c r="AC208" s="20"/>
      <c r="AD208" s="17"/>
      <c r="AE208" s="20"/>
      <c r="AF208" s="17"/>
      <c r="AG208" s="21"/>
      <c r="AH208" s="17"/>
      <c r="AI208" s="19"/>
      <c r="AJ208" s="17"/>
      <c r="AK208" s="19"/>
      <c r="AL208" s="17"/>
      <c r="AM208" s="21"/>
      <c r="AN208" s="17"/>
      <c r="AO208" s="19"/>
      <c r="AP208" s="17"/>
      <c r="AQ208" s="19"/>
      <c r="AR208" s="17"/>
      <c r="AS208" s="19"/>
      <c r="AT208" s="17"/>
      <c r="AU208" s="21"/>
      <c r="AV208" s="17"/>
      <c r="AW208" s="21"/>
      <c r="AX208" s="17"/>
      <c r="AY208" s="21"/>
      <c r="AZ208" s="17"/>
      <c r="BA208" s="21"/>
      <c r="BB208" s="17" t="s">
        <v>72</v>
      </c>
      <c r="BC208" s="21" t="s">
        <v>142</v>
      </c>
      <c r="BD208" s="17"/>
      <c r="BE208" s="22">
        <f t="shared" si="30"/>
        <v>78</v>
      </c>
      <c r="BF208" s="14">
        <f t="shared" si="31"/>
        <v>46054</v>
      </c>
      <c r="BG208" s="23" t="str">
        <f t="shared" si="32"/>
        <v>February 2026</v>
      </c>
      <c r="BH208" s="14">
        <f t="shared" si="33"/>
        <v>46048</v>
      </c>
      <c r="BI208" s="14">
        <f t="shared" si="34"/>
        <v>46054</v>
      </c>
      <c r="BJ208" s="17" t="str">
        <f t="shared" si="35"/>
        <v>26/01/2026 - 01/02/2026</v>
      </c>
      <c r="BK208" s="17">
        <f>IF($B208="","",COUNTIFS($B$5:$B208,$B208,$BF$5:$BF208,$BF208))</f>
        <v>5</v>
      </c>
      <c r="BL208" s="17">
        <f>IF($B208="","",COUNTIFS($B$5:$B208,$B208,$BH$5:$BH208,$BH208))</f>
        <v>5</v>
      </c>
      <c r="BM208" s="17" t="str">
        <f t="shared" si="36"/>
        <v>05|Wassana Phothong|20260201</v>
      </c>
      <c r="BN208" s="17" t="str">
        <f t="shared" si="37"/>
        <v>05|Wassana Phothong|20260126</v>
      </c>
      <c r="BO208" s="17">
        <f t="shared" si="38"/>
        <v>0</v>
      </c>
      <c r="BP208" s="24" t="s">
        <v>770</v>
      </c>
      <c r="BQ208" s="13"/>
      <c r="BR208" s="25" t="str">
        <f t="shared" si="39"/>
        <v>Jan-Feb 2026</v>
      </c>
    </row>
    <row r="209" spans="1:70" s="18" customFormat="1" ht="15" customHeight="1">
      <c r="A209" s="14">
        <v>46071.173833645837</v>
      </c>
      <c r="B209" s="15" t="s">
        <v>79</v>
      </c>
      <c r="C209" s="14">
        <v>46054</v>
      </c>
      <c r="D209" s="16"/>
      <c r="E209" s="16"/>
      <c r="F209" s="17" t="s">
        <v>771</v>
      </c>
      <c r="G209" s="13" t="s">
        <v>772</v>
      </c>
      <c r="H209" s="18">
        <v>5</v>
      </c>
      <c r="J209" s="18">
        <v>25</v>
      </c>
      <c r="L209" s="18">
        <v>14</v>
      </c>
      <c r="N209" s="18">
        <v>10</v>
      </c>
      <c r="P209" s="18">
        <v>16</v>
      </c>
      <c r="R209" s="18">
        <v>8</v>
      </c>
      <c r="T209" s="17"/>
      <c r="U209" s="19"/>
      <c r="V209" s="17"/>
      <c r="W209" s="19"/>
      <c r="X209" s="17"/>
      <c r="Y209" s="19"/>
      <c r="Z209" s="17"/>
      <c r="AA209" s="19"/>
      <c r="AB209" s="17"/>
      <c r="AC209" s="20"/>
      <c r="AD209" s="17"/>
      <c r="AE209" s="20"/>
      <c r="AF209" s="17"/>
      <c r="AG209" s="21"/>
      <c r="AH209" s="17"/>
      <c r="AI209" s="19"/>
      <c r="AJ209" s="17"/>
      <c r="AK209" s="19"/>
      <c r="AL209" s="17"/>
      <c r="AM209" s="21"/>
      <c r="AN209" s="17"/>
      <c r="AO209" s="19"/>
      <c r="AP209" s="17"/>
      <c r="AQ209" s="19"/>
      <c r="AR209" s="17"/>
      <c r="AS209" s="19"/>
      <c r="AT209" s="17"/>
      <c r="AU209" s="21"/>
      <c r="AV209" s="17"/>
      <c r="AW209" s="21"/>
      <c r="AX209" s="17"/>
      <c r="AY209" s="21"/>
      <c r="AZ209" s="17"/>
      <c r="BA209" s="21"/>
      <c r="BB209" s="17" t="s">
        <v>72</v>
      </c>
      <c r="BC209" s="21" t="s">
        <v>209</v>
      </c>
      <c r="BD209" s="17"/>
      <c r="BE209" s="22">
        <f t="shared" si="30"/>
        <v>78</v>
      </c>
      <c r="BF209" s="14">
        <f t="shared" si="31"/>
        <v>46054</v>
      </c>
      <c r="BG209" s="23" t="str">
        <f t="shared" si="32"/>
        <v>February 2026</v>
      </c>
      <c r="BH209" s="14">
        <f t="shared" si="33"/>
        <v>46048</v>
      </c>
      <c r="BI209" s="14">
        <f t="shared" si="34"/>
        <v>46054</v>
      </c>
      <c r="BJ209" s="17" t="str">
        <f t="shared" si="35"/>
        <v>26/01/2026 - 01/02/2026</v>
      </c>
      <c r="BK209" s="17">
        <f>IF($B209="","",COUNTIFS($B$5:$B209,$B209,$BF$5:$BF209,$BF209))</f>
        <v>6</v>
      </c>
      <c r="BL209" s="17">
        <f>IF($B209="","",COUNTIFS($B$5:$B209,$B209,$BH$5:$BH209,$BH209))</f>
        <v>6</v>
      </c>
      <c r="BM209" s="17" t="str">
        <f t="shared" si="36"/>
        <v>06|Wassana Phothong|20260201</v>
      </c>
      <c r="BN209" s="17" t="str">
        <f t="shared" si="37"/>
        <v>06|Wassana Phothong|20260126</v>
      </c>
      <c r="BO209" s="17">
        <f t="shared" si="38"/>
        <v>0</v>
      </c>
      <c r="BP209" s="24" t="s">
        <v>773</v>
      </c>
      <c r="BQ209" s="13"/>
      <c r="BR209" s="25" t="str">
        <f t="shared" si="39"/>
        <v>Jan-Feb 2026</v>
      </c>
    </row>
    <row r="210" spans="1:70" s="18" customFormat="1" ht="15" customHeight="1">
      <c r="A210" s="14">
        <v>46073.272348946761</v>
      </c>
      <c r="B210" s="15" t="s">
        <v>79</v>
      </c>
      <c r="C210" s="14">
        <v>46054</v>
      </c>
      <c r="D210" s="16"/>
      <c r="E210" s="16"/>
      <c r="F210" s="17" t="s">
        <v>774</v>
      </c>
      <c r="G210" s="13" t="s">
        <v>775</v>
      </c>
      <c r="H210" s="18">
        <v>5</v>
      </c>
      <c r="J210" s="18">
        <v>20</v>
      </c>
      <c r="L210" s="18">
        <v>10</v>
      </c>
      <c r="N210" s="18">
        <v>8</v>
      </c>
      <c r="P210" s="18">
        <v>16</v>
      </c>
      <c r="R210" s="18">
        <v>7</v>
      </c>
      <c r="T210" s="17"/>
      <c r="U210" s="19"/>
      <c r="V210" s="17"/>
      <c r="W210" s="19"/>
      <c r="X210" s="17"/>
      <c r="Y210" s="19"/>
      <c r="Z210" s="17"/>
      <c r="AA210" s="19"/>
      <c r="AB210" s="17"/>
      <c r="AC210" s="20"/>
      <c r="AD210" s="17"/>
      <c r="AE210" s="20"/>
      <c r="AF210" s="17"/>
      <c r="AG210" s="21"/>
      <c r="AH210" s="17"/>
      <c r="AI210" s="19"/>
      <c r="AJ210" s="17"/>
      <c r="AK210" s="19"/>
      <c r="AL210" s="17"/>
      <c r="AM210" s="21"/>
      <c r="AN210" s="17"/>
      <c r="AO210" s="19"/>
      <c r="AP210" s="17"/>
      <c r="AQ210" s="19"/>
      <c r="AR210" s="17"/>
      <c r="AS210" s="19"/>
      <c r="AT210" s="17"/>
      <c r="AU210" s="21"/>
      <c r="AV210" s="17"/>
      <c r="AW210" s="21"/>
      <c r="AX210" s="17"/>
      <c r="AY210" s="21"/>
      <c r="AZ210" s="17"/>
      <c r="BA210" s="21"/>
      <c r="BB210" s="17" t="s">
        <v>72</v>
      </c>
      <c r="BC210" s="21" t="s">
        <v>776</v>
      </c>
      <c r="BD210" s="17"/>
      <c r="BE210" s="22">
        <f t="shared" si="30"/>
        <v>66</v>
      </c>
      <c r="BF210" s="14">
        <f t="shared" si="31"/>
        <v>46054</v>
      </c>
      <c r="BG210" s="23" t="str">
        <f t="shared" si="32"/>
        <v>February 2026</v>
      </c>
      <c r="BH210" s="14">
        <f t="shared" si="33"/>
        <v>46048</v>
      </c>
      <c r="BI210" s="14">
        <f t="shared" si="34"/>
        <v>46054</v>
      </c>
      <c r="BJ210" s="17" t="str">
        <f t="shared" si="35"/>
        <v>26/01/2026 - 01/02/2026</v>
      </c>
      <c r="BK210" s="17">
        <f>IF($B210="","",COUNTIFS($B$5:$B210,$B210,$BF$5:$BF210,$BF210))</f>
        <v>7</v>
      </c>
      <c r="BL210" s="17">
        <f>IF($B210="","",COUNTIFS($B$5:$B210,$B210,$BH$5:$BH210,$BH210))</f>
        <v>7</v>
      </c>
      <c r="BM210" s="17" t="str">
        <f t="shared" si="36"/>
        <v>07|Wassana Phothong|20260201</v>
      </c>
      <c r="BN210" s="17" t="str">
        <f t="shared" si="37"/>
        <v>07|Wassana Phothong|20260126</v>
      </c>
      <c r="BO210" s="17">
        <f t="shared" si="38"/>
        <v>0</v>
      </c>
      <c r="BP210" s="24" t="s">
        <v>777</v>
      </c>
      <c r="BQ210" s="13"/>
      <c r="BR210" s="25" t="str">
        <f t="shared" si="39"/>
        <v>Jan-Feb 2026</v>
      </c>
    </row>
    <row r="211" spans="1:70" s="18" customFormat="1" ht="15" customHeight="1">
      <c r="A211" s="14">
        <v>46077.425657025473</v>
      </c>
      <c r="B211" s="15" t="s">
        <v>79</v>
      </c>
      <c r="C211" s="14">
        <v>46054</v>
      </c>
      <c r="D211" s="16"/>
      <c r="E211" s="16"/>
      <c r="F211" s="17" t="s">
        <v>778</v>
      </c>
      <c r="G211" s="13" t="s">
        <v>779</v>
      </c>
      <c r="H211" s="18">
        <v>5</v>
      </c>
      <c r="J211" s="18">
        <v>15</v>
      </c>
      <c r="L211" s="18">
        <v>10</v>
      </c>
      <c r="N211" s="18">
        <v>10</v>
      </c>
      <c r="P211" s="18">
        <v>10</v>
      </c>
      <c r="R211" s="18">
        <v>4</v>
      </c>
      <c r="T211" s="17"/>
      <c r="U211" s="19"/>
      <c r="V211" s="17"/>
      <c r="W211" s="19"/>
      <c r="X211" s="17"/>
      <c r="Y211" s="19"/>
      <c r="Z211" s="17"/>
      <c r="AA211" s="19"/>
      <c r="AB211" s="17"/>
      <c r="AC211" s="20"/>
      <c r="AD211" s="17"/>
      <c r="AE211" s="20"/>
      <c r="AF211" s="17"/>
      <c r="AG211" s="21"/>
      <c r="AH211" s="17"/>
      <c r="AI211" s="19"/>
      <c r="AJ211" s="17"/>
      <c r="AK211" s="19"/>
      <c r="AL211" s="17"/>
      <c r="AM211" s="21"/>
      <c r="AN211" s="17"/>
      <c r="AO211" s="19"/>
      <c r="AP211" s="17"/>
      <c r="AQ211" s="19"/>
      <c r="AR211" s="17"/>
      <c r="AS211" s="19"/>
      <c r="AT211" s="17"/>
      <c r="AU211" s="21"/>
      <c r="AV211" s="17"/>
      <c r="AW211" s="21"/>
      <c r="AX211" s="17"/>
      <c r="AY211" s="21"/>
      <c r="AZ211" s="17"/>
      <c r="BA211" s="21"/>
      <c r="BB211" s="17" t="s">
        <v>72</v>
      </c>
      <c r="BC211" s="21" t="s">
        <v>175</v>
      </c>
      <c r="BD211" s="17"/>
      <c r="BE211" s="22">
        <f t="shared" si="30"/>
        <v>54</v>
      </c>
      <c r="BF211" s="14">
        <f t="shared" si="31"/>
        <v>46054</v>
      </c>
      <c r="BG211" s="23" t="str">
        <f t="shared" si="32"/>
        <v>February 2026</v>
      </c>
      <c r="BH211" s="14">
        <f t="shared" si="33"/>
        <v>46048</v>
      </c>
      <c r="BI211" s="14">
        <f t="shared" si="34"/>
        <v>46054</v>
      </c>
      <c r="BJ211" s="17" t="str">
        <f t="shared" si="35"/>
        <v>26/01/2026 - 01/02/2026</v>
      </c>
      <c r="BK211" s="17">
        <f>IF($B211="","",COUNTIFS($B$5:$B211,$B211,$BF$5:$BF211,$BF211))</f>
        <v>8</v>
      </c>
      <c r="BL211" s="17">
        <f>IF($B211="","",COUNTIFS($B$5:$B211,$B211,$BH$5:$BH211,$BH211))</f>
        <v>8</v>
      </c>
      <c r="BM211" s="17" t="str">
        <f t="shared" si="36"/>
        <v>08|Wassana Phothong|20260201</v>
      </c>
      <c r="BN211" s="17" t="str">
        <f t="shared" si="37"/>
        <v>08|Wassana Phothong|20260126</v>
      </c>
      <c r="BO211" s="17">
        <f t="shared" si="38"/>
        <v>0</v>
      </c>
      <c r="BP211" s="24" t="s">
        <v>780</v>
      </c>
      <c r="BQ211" s="13"/>
      <c r="BR211" s="25" t="str">
        <f t="shared" si="39"/>
        <v>Jan-Feb 2026</v>
      </c>
    </row>
    <row r="212" spans="1:70" s="18" customFormat="1" ht="15" customHeight="1">
      <c r="A212" s="14">
        <v>46077.434019351851</v>
      </c>
      <c r="B212" s="15" t="s">
        <v>79</v>
      </c>
      <c r="C212" s="14">
        <v>46054</v>
      </c>
      <c r="D212" s="16"/>
      <c r="E212" s="16"/>
      <c r="F212" s="17" t="s">
        <v>781</v>
      </c>
      <c r="G212" s="13" t="s">
        <v>782</v>
      </c>
      <c r="H212" s="18">
        <v>8</v>
      </c>
      <c r="J212" s="18">
        <v>24</v>
      </c>
      <c r="L212" s="18">
        <v>17</v>
      </c>
      <c r="N212" s="18">
        <v>10</v>
      </c>
      <c r="P212" s="18">
        <v>16</v>
      </c>
      <c r="R212" s="18">
        <v>10</v>
      </c>
      <c r="T212" s="17"/>
      <c r="U212" s="19"/>
      <c r="V212" s="17"/>
      <c r="W212" s="19"/>
      <c r="X212" s="17"/>
      <c r="Y212" s="19"/>
      <c r="Z212" s="17"/>
      <c r="AA212" s="19"/>
      <c r="AB212" s="17"/>
      <c r="AC212" s="20"/>
      <c r="AD212" s="17"/>
      <c r="AE212" s="20"/>
      <c r="AF212" s="17"/>
      <c r="AG212" s="21"/>
      <c r="AH212" s="17"/>
      <c r="AI212" s="19"/>
      <c r="AJ212" s="17"/>
      <c r="AK212" s="19"/>
      <c r="AL212" s="17"/>
      <c r="AM212" s="21"/>
      <c r="AN212" s="17"/>
      <c r="AO212" s="19"/>
      <c r="AP212" s="17"/>
      <c r="AQ212" s="19"/>
      <c r="AR212" s="17"/>
      <c r="AS212" s="19"/>
      <c r="AT212" s="17"/>
      <c r="AU212" s="21"/>
      <c r="AV212" s="17"/>
      <c r="AW212" s="21"/>
      <c r="AX212" s="17"/>
      <c r="AY212" s="21"/>
      <c r="AZ212" s="17"/>
      <c r="BA212" s="21"/>
      <c r="BB212" s="17" t="s">
        <v>72</v>
      </c>
      <c r="BC212" s="21" t="s">
        <v>273</v>
      </c>
      <c r="BD212" s="17"/>
      <c r="BE212" s="22">
        <f t="shared" si="30"/>
        <v>85</v>
      </c>
      <c r="BF212" s="14">
        <f t="shared" si="31"/>
        <v>46054</v>
      </c>
      <c r="BG212" s="23" t="str">
        <f t="shared" si="32"/>
        <v>February 2026</v>
      </c>
      <c r="BH212" s="14">
        <f t="shared" si="33"/>
        <v>46048</v>
      </c>
      <c r="BI212" s="14">
        <f t="shared" si="34"/>
        <v>46054</v>
      </c>
      <c r="BJ212" s="17" t="str">
        <f t="shared" si="35"/>
        <v>26/01/2026 - 01/02/2026</v>
      </c>
      <c r="BK212" s="17">
        <f>IF($B212="","",COUNTIFS($B$5:$B212,$B212,$BF$5:$BF212,$BF212))</f>
        <v>9</v>
      </c>
      <c r="BL212" s="17">
        <f>IF($B212="","",COUNTIFS($B$5:$B212,$B212,$BH$5:$BH212,$BH212))</f>
        <v>9</v>
      </c>
      <c r="BM212" s="17" t="str">
        <f t="shared" si="36"/>
        <v>09|Wassana Phothong|20260201</v>
      </c>
      <c r="BN212" s="17" t="str">
        <f t="shared" si="37"/>
        <v>09|Wassana Phothong|20260126</v>
      </c>
      <c r="BO212" s="17">
        <f t="shared" si="38"/>
        <v>0</v>
      </c>
      <c r="BP212" s="24" t="s">
        <v>783</v>
      </c>
      <c r="BQ212" s="13"/>
      <c r="BR212" s="25" t="str">
        <f t="shared" si="39"/>
        <v>Jan-Feb 2026</v>
      </c>
    </row>
    <row r="213" spans="1:70" s="18" customFormat="1" ht="15" customHeight="1">
      <c r="A213" s="14">
        <v>46077.442223726852</v>
      </c>
      <c r="B213" s="15" t="s">
        <v>79</v>
      </c>
      <c r="C213" s="14">
        <v>46054</v>
      </c>
      <c r="D213" s="16"/>
      <c r="E213" s="16"/>
      <c r="F213" s="17" t="s">
        <v>784</v>
      </c>
      <c r="G213" s="13" t="s">
        <v>785</v>
      </c>
      <c r="H213" s="18">
        <v>5</v>
      </c>
      <c r="J213" s="18">
        <v>22</v>
      </c>
      <c r="L213" s="18">
        <v>16</v>
      </c>
      <c r="N213" s="18">
        <v>10</v>
      </c>
      <c r="P213" s="18">
        <v>17</v>
      </c>
      <c r="R213" s="18">
        <v>4</v>
      </c>
      <c r="T213" s="17"/>
      <c r="U213" s="19"/>
      <c r="V213" s="17"/>
      <c r="W213" s="19"/>
      <c r="X213" s="17"/>
      <c r="Y213" s="19"/>
      <c r="Z213" s="17"/>
      <c r="AA213" s="19"/>
      <c r="AB213" s="17"/>
      <c r="AC213" s="20"/>
      <c r="AD213" s="17"/>
      <c r="AE213" s="20"/>
      <c r="AF213" s="17"/>
      <c r="AG213" s="21"/>
      <c r="AH213" s="17"/>
      <c r="AI213" s="19"/>
      <c r="AJ213" s="17"/>
      <c r="AK213" s="19"/>
      <c r="AL213" s="17"/>
      <c r="AM213" s="21"/>
      <c r="AN213" s="17"/>
      <c r="AO213" s="19"/>
      <c r="AP213" s="17"/>
      <c r="AQ213" s="19"/>
      <c r="AR213" s="17"/>
      <c r="AS213" s="19"/>
      <c r="AT213" s="17"/>
      <c r="AU213" s="21"/>
      <c r="AV213" s="17"/>
      <c r="AW213" s="21"/>
      <c r="AX213" s="17"/>
      <c r="AY213" s="21"/>
      <c r="AZ213" s="17"/>
      <c r="BA213" s="21"/>
      <c r="BB213" s="17" t="s">
        <v>72</v>
      </c>
      <c r="BC213" s="21" t="s">
        <v>401</v>
      </c>
      <c r="BD213" s="17"/>
      <c r="BE213" s="22">
        <f t="shared" si="30"/>
        <v>74</v>
      </c>
      <c r="BF213" s="14">
        <f t="shared" si="31"/>
        <v>46054</v>
      </c>
      <c r="BG213" s="23" t="str">
        <f t="shared" si="32"/>
        <v>February 2026</v>
      </c>
      <c r="BH213" s="14">
        <f t="shared" si="33"/>
        <v>46048</v>
      </c>
      <c r="BI213" s="14">
        <f t="shared" si="34"/>
        <v>46054</v>
      </c>
      <c r="BJ213" s="17" t="str">
        <f t="shared" si="35"/>
        <v>26/01/2026 - 01/02/2026</v>
      </c>
      <c r="BK213" s="17">
        <f>IF($B213="","",COUNTIFS($B$5:$B213,$B213,$BF$5:$BF213,$BF213))</f>
        <v>10</v>
      </c>
      <c r="BL213" s="17">
        <f>IF($B213="","",COUNTIFS($B$5:$B213,$B213,$BH$5:$BH213,$BH213))</f>
        <v>10</v>
      </c>
      <c r="BM213" s="17" t="str">
        <f t="shared" si="36"/>
        <v>10|Wassana Phothong|20260201</v>
      </c>
      <c r="BN213" s="17" t="str">
        <f t="shared" si="37"/>
        <v>10|Wassana Phothong|20260126</v>
      </c>
      <c r="BO213" s="17">
        <f t="shared" si="38"/>
        <v>0</v>
      </c>
      <c r="BP213" s="24" t="s">
        <v>786</v>
      </c>
      <c r="BQ213" s="13"/>
      <c r="BR213" s="25" t="str">
        <f t="shared" si="39"/>
        <v>Jan-Feb 2026</v>
      </c>
    </row>
    <row r="214" spans="1:70" s="18" customFormat="1" ht="15" customHeight="1">
      <c r="A214" s="14">
        <v>46083.62850053241</v>
      </c>
      <c r="B214" s="15" t="s">
        <v>81</v>
      </c>
      <c r="C214" s="14">
        <v>46054</v>
      </c>
      <c r="D214" s="16"/>
      <c r="E214" s="16"/>
      <c r="F214" s="17" t="s">
        <v>787</v>
      </c>
      <c r="G214" s="13" t="s">
        <v>788</v>
      </c>
      <c r="H214" s="18">
        <v>8</v>
      </c>
      <c r="J214" s="18">
        <v>27</v>
      </c>
      <c r="L214" s="18">
        <v>17</v>
      </c>
      <c r="N214" s="18">
        <v>10</v>
      </c>
      <c r="P214" s="18">
        <v>17</v>
      </c>
      <c r="R214" s="18">
        <v>8</v>
      </c>
      <c r="T214" s="17"/>
      <c r="U214" s="19"/>
      <c r="V214" s="17"/>
      <c r="W214" s="19"/>
      <c r="X214" s="17"/>
      <c r="Y214" s="19"/>
      <c r="Z214" s="17"/>
      <c r="AA214" s="19"/>
      <c r="AB214" s="17"/>
      <c r="AC214" s="20"/>
      <c r="AD214" s="17"/>
      <c r="AE214" s="20"/>
      <c r="AF214" s="17"/>
      <c r="AG214" s="21"/>
      <c r="AH214" s="17"/>
      <c r="AI214" s="19"/>
      <c r="AJ214" s="17"/>
      <c r="AK214" s="19"/>
      <c r="AL214" s="17"/>
      <c r="AM214" s="21"/>
      <c r="AN214" s="17"/>
      <c r="AO214" s="19"/>
      <c r="AP214" s="17"/>
      <c r="AQ214" s="19"/>
      <c r="AR214" s="17"/>
      <c r="AS214" s="19"/>
      <c r="AT214" s="17"/>
      <c r="AU214" s="21"/>
      <c r="AV214" s="17"/>
      <c r="AW214" s="21"/>
      <c r="AX214" s="17"/>
      <c r="AY214" s="21"/>
      <c r="AZ214" s="17"/>
      <c r="BA214" s="21"/>
      <c r="BB214" s="17" t="s">
        <v>72</v>
      </c>
      <c r="BC214" s="21" t="s">
        <v>153</v>
      </c>
      <c r="BD214" s="17"/>
      <c r="BE214" s="22">
        <f t="shared" si="30"/>
        <v>87</v>
      </c>
      <c r="BF214" s="14">
        <f t="shared" si="31"/>
        <v>46054</v>
      </c>
      <c r="BG214" s="23" t="str">
        <f t="shared" si="32"/>
        <v>February 2026</v>
      </c>
      <c r="BH214" s="14">
        <f t="shared" si="33"/>
        <v>46048</v>
      </c>
      <c r="BI214" s="14">
        <f t="shared" si="34"/>
        <v>46054</v>
      </c>
      <c r="BJ214" s="17" t="str">
        <f t="shared" si="35"/>
        <v>26/01/2026 - 01/02/2026</v>
      </c>
      <c r="BK214" s="17">
        <f>IF($B214="","",COUNTIFS($B$5:$B214,$B214,$BF$5:$BF214,$BF214))</f>
        <v>10</v>
      </c>
      <c r="BL214" s="17">
        <f>IF($B214="","",COUNTIFS($B$5:$B214,$B214,$BH$5:$BH214,$BH214))</f>
        <v>10</v>
      </c>
      <c r="BM214" s="17" t="str">
        <f t="shared" si="36"/>
        <v>10|Krivut Vongkampan|20260201</v>
      </c>
      <c r="BN214" s="17" t="str">
        <f t="shared" si="37"/>
        <v>10|Krivut Vongkampan|20260126</v>
      </c>
      <c r="BO214" s="17">
        <f t="shared" si="38"/>
        <v>0</v>
      </c>
      <c r="BP214" s="24" t="s">
        <v>789</v>
      </c>
      <c r="BQ214" s="13"/>
      <c r="BR214" s="25" t="str">
        <f t="shared" si="39"/>
        <v>Jan-Feb 2026</v>
      </c>
    </row>
    <row r="215" spans="1:70" ht="14.25" customHeight="1">
      <c r="A215" s="26"/>
      <c r="C215" s="26"/>
      <c r="D215" s="27"/>
      <c r="E215" s="27"/>
      <c r="BE215" s="10" t="str">
        <f t="shared" si="30"/>
        <v/>
      </c>
      <c r="BF215" s="8" t="str">
        <f t="shared" si="31"/>
        <v/>
      </c>
      <c r="BG215" s="11" t="str">
        <f t="shared" si="32"/>
        <v/>
      </c>
      <c r="BH215" s="8" t="str">
        <f t="shared" si="33"/>
        <v/>
      </c>
      <c r="BI215" s="8" t="str">
        <f t="shared" si="34"/>
        <v/>
      </c>
      <c r="BJ215" s="9" t="str">
        <f t="shared" si="35"/>
        <v/>
      </c>
      <c r="BK215" s="9" t="str">
        <f>IF($B215="","",COUNTIFS($B$5:$B215,$B215,$BF$5:$BF215,$BF215))</f>
        <v/>
      </c>
      <c r="BL215" s="9" t="str">
        <f>IF($B215="","",COUNTIFS($B$5:$B215,$B215,$BH$5:$BH215,$BH215))</f>
        <v/>
      </c>
      <c r="BM215" s="9" t="str">
        <f t="shared" si="36"/>
        <v/>
      </c>
      <c r="BN215" s="9" t="str">
        <f t="shared" si="37"/>
        <v/>
      </c>
      <c r="BO215" s="9">
        <f t="shared" si="38"/>
        <v>0</v>
      </c>
      <c r="BR215" s="12" t="str">
        <f t="shared" si="39"/>
        <v/>
      </c>
    </row>
    <row r="216" spans="1:70" ht="14.25" customHeight="1">
      <c r="A216" s="26"/>
      <c r="C216" s="26"/>
      <c r="D216" s="27"/>
      <c r="E216" s="27"/>
      <c r="BE216" s="10" t="str">
        <f t="shared" si="30"/>
        <v/>
      </c>
      <c r="BF216" s="8" t="str">
        <f t="shared" si="31"/>
        <v/>
      </c>
      <c r="BG216" s="11" t="str">
        <f t="shared" si="32"/>
        <v/>
      </c>
      <c r="BH216" s="8" t="str">
        <f t="shared" si="33"/>
        <v/>
      </c>
      <c r="BI216" s="8" t="str">
        <f t="shared" si="34"/>
        <v/>
      </c>
      <c r="BJ216" s="9" t="str">
        <f t="shared" si="35"/>
        <v/>
      </c>
      <c r="BK216" s="9" t="str">
        <f>IF($B216="","",COUNTIFS($B$5:$B216,$B216,$BF$5:$BF216,$BF216))</f>
        <v/>
      </c>
      <c r="BL216" s="9" t="str">
        <f>IF($B216="","",COUNTIFS($B$5:$B216,$B216,$BH$5:$BH216,$BH216))</f>
        <v/>
      </c>
      <c r="BM216" s="9" t="str">
        <f t="shared" si="36"/>
        <v/>
      </c>
      <c r="BN216" s="9" t="str">
        <f t="shared" si="37"/>
        <v/>
      </c>
      <c r="BO216" s="9">
        <f t="shared" si="38"/>
        <v>0</v>
      </c>
      <c r="BR216" s="12" t="str">
        <f t="shared" si="39"/>
        <v/>
      </c>
    </row>
    <row r="217" spans="1:70" ht="14.25" customHeight="1">
      <c r="A217" s="26"/>
      <c r="C217" s="26"/>
      <c r="D217" s="27"/>
      <c r="E217" s="27"/>
      <c r="BE217" s="10" t="str">
        <f t="shared" si="30"/>
        <v/>
      </c>
      <c r="BF217" s="8" t="str">
        <f t="shared" si="31"/>
        <v/>
      </c>
      <c r="BG217" s="11" t="str">
        <f t="shared" si="32"/>
        <v/>
      </c>
      <c r="BH217" s="8" t="str">
        <f t="shared" si="33"/>
        <v/>
      </c>
      <c r="BI217" s="8" t="str">
        <f t="shared" si="34"/>
        <v/>
      </c>
      <c r="BJ217" s="9" t="str">
        <f t="shared" si="35"/>
        <v/>
      </c>
      <c r="BK217" s="9" t="str">
        <f>IF($B217="","",COUNTIFS($B$5:$B217,$B217,$BF$5:$BF217,$BF217))</f>
        <v/>
      </c>
      <c r="BL217" s="9" t="str">
        <f>IF($B217="","",COUNTIFS($B$5:$B217,$B217,$BH$5:$BH217,$BH217))</f>
        <v/>
      </c>
      <c r="BM217" s="9" t="str">
        <f t="shared" si="36"/>
        <v/>
      </c>
      <c r="BN217" s="9" t="str">
        <f t="shared" si="37"/>
        <v/>
      </c>
      <c r="BO217" s="9">
        <f t="shared" si="38"/>
        <v>0</v>
      </c>
      <c r="BR217" s="12" t="str">
        <f t="shared" si="39"/>
        <v/>
      </c>
    </row>
    <row r="218" spans="1:70" ht="14.25" customHeight="1">
      <c r="A218" s="26"/>
      <c r="C218" s="26"/>
      <c r="D218" s="27"/>
      <c r="E218" s="27"/>
      <c r="BE218" s="10" t="str">
        <f t="shared" si="30"/>
        <v/>
      </c>
      <c r="BF218" s="8" t="str">
        <f t="shared" si="31"/>
        <v/>
      </c>
      <c r="BG218" s="11" t="str">
        <f t="shared" si="32"/>
        <v/>
      </c>
      <c r="BH218" s="8" t="str">
        <f t="shared" si="33"/>
        <v/>
      </c>
      <c r="BI218" s="8" t="str">
        <f t="shared" si="34"/>
        <v/>
      </c>
      <c r="BJ218" s="9" t="str">
        <f t="shared" si="35"/>
        <v/>
      </c>
      <c r="BK218" s="9" t="str">
        <f>IF($B218="","",COUNTIFS($B$5:$B218,$B218,$BF$5:$BF218,$BF218))</f>
        <v/>
      </c>
      <c r="BL218" s="9" t="str">
        <f>IF($B218="","",COUNTIFS($B$5:$B218,$B218,$BH$5:$BH218,$BH218))</f>
        <v/>
      </c>
      <c r="BM218" s="9" t="str">
        <f t="shared" si="36"/>
        <v/>
      </c>
      <c r="BN218" s="9" t="str">
        <f t="shared" si="37"/>
        <v/>
      </c>
      <c r="BO218" s="9">
        <f t="shared" si="38"/>
        <v>0</v>
      </c>
      <c r="BR218" s="12" t="str">
        <f t="shared" si="39"/>
        <v/>
      </c>
    </row>
    <row r="219" spans="1:70" ht="14.25" customHeight="1">
      <c r="A219" s="26"/>
      <c r="C219" s="26"/>
      <c r="D219" s="27"/>
      <c r="E219" s="27"/>
      <c r="BE219" s="10" t="str">
        <f t="shared" si="30"/>
        <v/>
      </c>
      <c r="BF219" s="8" t="str">
        <f t="shared" si="31"/>
        <v/>
      </c>
      <c r="BG219" s="11" t="str">
        <f t="shared" si="32"/>
        <v/>
      </c>
      <c r="BH219" s="8" t="str">
        <f t="shared" si="33"/>
        <v/>
      </c>
      <c r="BI219" s="8" t="str">
        <f t="shared" si="34"/>
        <v/>
      </c>
      <c r="BJ219" s="9" t="str">
        <f t="shared" si="35"/>
        <v/>
      </c>
      <c r="BK219" s="9" t="str">
        <f>IF($B219="","",COUNTIFS($B$5:$B219,$B219,$BF$5:$BF219,$BF219))</f>
        <v/>
      </c>
      <c r="BL219" s="9" t="str">
        <f>IF($B219="","",COUNTIFS($B$5:$B219,$B219,$BH$5:$BH219,$BH219))</f>
        <v/>
      </c>
      <c r="BM219" s="9" t="str">
        <f t="shared" si="36"/>
        <v/>
      </c>
      <c r="BN219" s="9" t="str">
        <f t="shared" si="37"/>
        <v/>
      </c>
      <c r="BO219" s="9">
        <f t="shared" si="38"/>
        <v>0</v>
      </c>
      <c r="BR219" s="12" t="str">
        <f t="shared" si="39"/>
        <v/>
      </c>
    </row>
    <row r="220" spans="1:70" ht="14.25" customHeight="1">
      <c r="A220" s="26"/>
      <c r="C220" s="26"/>
      <c r="D220" s="27"/>
      <c r="E220" s="27"/>
      <c r="BE220" s="10" t="str">
        <f t="shared" si="30"/>
        <v/>
      </c>
      <c r="BF220" s="8" t="str">
        <f t="shared" si="31"/>
        <v/>
      </c>
      <c r="BG220" s="11" t="str">
        <f t="shared" si="32"/>
        <v/>
      </c>
      <c r="BH220" s="8" t="str">
        <f t="shared" si="33"/>
        <v/>
      </c>
      <c r="BI220" s="8" t="str">
        <f t="shared" si="34"/>
        <v/>
      </c>
      <c r="BJ220" s="9" t="str">
        <f t="shared" si="35"/>
        <v/>
      </c>
      <c r="BK220" s="9" t="str">
        <f>IF($B220="","",COUNTIFS($B$5:$B220,$B220,$BF$5:$BF220,$BF220))</f>
        <v/>
      </c>
      <c r="BL220" s="9" t="str">
        <f>IF($B220="","",COUNTIFS($B$5:$B220,$B220,$BH$5:$BH220,$BH220))</f>
        <v/>
      </c>
      <c r="BM220" s="9" t="str">
        <f t="shared" si="36"/>
        <v/>
      </c>
      <c r="BN220" s="9" t="str">
        <f t="shared" si="37"/>
        <v/>
      </c>
      <c r="BO220" s="9">
        <f t="shared" si="38"/>
        <v>0</v>
      </c>
      <c r="BR220" s="12" t="str">
        <f t="shared" si="39"/>
        <v/>
      </c>
    </row>
    <row r="221" spans="1:70" ht="14.25" customHeight="1">
      <c r="A221" s="26"/>
      <c r="C221" s="26"/>
      <c r="D221" s="27"/>
      <c r="E221" s="27"/>
      <c r="BE221" s="10" t="str">
        <f t="shared" ref="BE221:BE284" si="40">IF($B221="","",IF(COUNT($H221,$J221,$L221,$N221,$P221,$R221)&gt;0,SUM($H221,$J221,$L221,$N221,$P221,$R221),SUM($T221,$V221,$X221,$Z221,$AB221,$AD221,$AF221,$AH221,$AJ221,$AL221,$AN221,$AP221,$AR221,$AT221,$AV221,$AX221,$AZ221)))</f>
        <v/>
      </c>
      <c r="BF221" s="8" t="str">
        <f t="shared" ref="BF221:BF284" si="41">IF($C221="","",DATE(YEAR($C221),MONTH($C221),1))</f>
        <v/>
      </c>
      <c r="BG221" s="11" t="str">
        <f t="shared" ref="BG221:BG284" si="42">IF($BF221="","",TEXT($BF221,"mmmm yyyy"))</f>
        <v/>
      </c>
      <c r="BH221" s="8" t="str">
        <f t="shared" ref="BH221:BH284" si="43">IF($C221="","",$C221-WEEKDAY($C221,2)+1)</f>
        <v/>
      </c>
      <c r="BI221" s="8" t="str">
        <f t="shared" ref="BI221:BI284" si="44">IF($BH221="","",$BH221+6)</f>
        <v/>
      </c>
      <c r="BJ221" s="9" t="str">
        <f t="shared" ref="BJ221:BJ284" si="45">IF($BH221="","",TEXT($BH221,"dd/mm/yyyy")&amp;" - "&amp;TEXT($BI221,"dd/mm/yyyy"))</f>
        <v/>
      </c>
      <c r="BK221" s="9" t="str">
        <f>IF($B221="","",COUNTIFS($B$5:$B221,$B221,$BF$5:$BF221,$BF221))</f>
        <v/>
      </c>
      <c r="BL221" s="9" t="str">
        <f>IF($B221="","",COUNTIFS($B$5:$B221,$B221,$BH$5:$BH221,$BH221))</f>
        <v/>
      </c>
      <c r="BM221" s="9" t="str">
        <f t="shared" ref="BM221:BM284" si="46">IF($B221="","",TEXT($BK221,"00")&amp;"|"&amp;$B221&amp;"|"&amp;TEXT($BF221,"yyyymmdd"))</f>
        <v/>
      </c>
      <c r="BN221" s="9" t="str">
        <f t="shared" ref="BN221:BN284" si="47">IF($B221="","",TEXT($BL221,"00")&amp;"|"&amp;$B221&amp;"|"&amp;TEXT($BH221,"yyyymmdd"))</f>
        <v/>
      </c>
      <c r="BO221" s="9">
        <f t="shared" ref="BO221:BO284" si="48">IF(OR($BB221="YES",$BB221="Yes",$BB221="Y",$BB221=1),1,0)</f>
        <v>0</v>
      </c>
      <c r="BR221" s="12" t="str">
        <f t="shared" ref="BR221:BR284" si="49">IF($C221="","",IF($C221&gt;=DATE(2026,6,1),"QA-2026-06",IF($C221&gt;=DATE(2026,5,1),"May 2026+",IF($C221&gt;=DATE(2026,4,1),"April 2026",IF($C221&gt;=DATE(2026,3,1),"March 2026","Jan-Feb 2026")))))</f>
        <v/>
      </c>
    </row>
    <row r="222" spans="1:70" ht="14.25" customHeight="1">
      <c r="A222" s="26"/>
      <c r="C222" s="26"/>
      <c r="D222" s="27"/>
      <c r="E222" s="27"/>
      <c r="BE222" s="10" t="str">
        <f t="shared" si="40"/>
        <v/>
      </c>
      <c r="BF222" s="8" t="str">
        <f t="shared" si="41"/>
        <v/>
      </c>
      <c r="BG222" s="11" t="str">
        <f t="shared" si="42"/>
        <v/>
      </c>
      <c r="BH222" s="8" t="str">
        <f t="shared" si="43"/>
        <v/>
      </c>
      <c r="BI222" s="8" t="str">
        <f t="shared" si="44"/>
        <v/>
      </c>
      <c r="BJ222" s="9" t="str">
        <f t="shared" si="45"/>
        <v/>
      </c>
      <c r="BK222" s="9" t="str">
        <f>IF($B222="","",COUNTIFS($B$5:$B222,$B222,$BF$5:$BF222,$BF222))</f>
        <v/>
      </c>
      <c r="BL222" s="9" t="str">
        <f>IF($B222="","",COUNTIFS($B$5:$B222,$B222,$BH$5:$BH222,$BH222))</f>
        <v/>
      </c>
      <c r="BM222" s="9" t="str">
        <f t="shared" si="46"/>
        <v/>
      </c>
      <c r="BN222" s="9" t="str">
        <f t="shared" si="47"/>
        <v/>
      </c>
      <c r="BO222" s="9">
        <f t="shared" si="48"/>
        <v>0</v>
      </c>
      <c r="BR222" s="12" t="str">
        <f t="shared" si="49"/>
        <v/>
      </c>
    </row>
    <row r="223" spans="1:70" ht="14.25" customHeight="1">
      <c r="A223" s="26"/>
      <c r="C223" s="26"/>
      <c r="D223" s="27"/>
      <c r="E223" s="27"/>
      <c r="BE223" s="10" t="str">
        <f t="shared" si="40"/>
        <v/>
      </c>
      <c r="BF223" s="8" t="str">
        <f t="shared" si="41"/>
        <v/>
      </c>
      <c r="BG223" s="11" t="str">
        <f t="shared" si="42"/>
        <v/>
      </c>
      <c r="BH223" s="8" t="str">
        <f t="shared" si="43"/>
        <v/>
      </c>
      <c r="BI223" s="8" t="str">
        <f t="shared" si="44"/>
        <v/>
      </c>
      <c r="BJ223" s="9" t="str">
        <f t="shared" si="45"/>
        <v/>
      </c>
      <c r="BK223" s="9" t="str">
        <f>IF($B223="","",COUNTIFS($B$5:$B223,$B223,$BF$5:$BF223,$BF223))</f>
        <v/>
      </c>
      <c r="BL223" s="9" t="str">
        <f>IF($B223="","",COUNTIFS($B$5:$B223,$B223,$BH$5:$BH223,$BH223))</f>
        <v/>
      </c>
      <c r="BM223" s="9" t="str">
        <f t="shared" si="46"/>
        <v/>
      </c>
      <c r="BN223" s="9" t="str">
        <f t="shared" si="47"/>
        <v/>
      </c>
      <c r="BO223" s="9">
        <f t="shared" si="48"/>
        <v>0</v>
      </c>
      <c r="BR223" s="12" t="str">
        <f t="shared" si="49"/>
        <v/>
      </c>
    </row>
    <row r="224" spans="1:70" ht="14.25" customHeight="1">
      <c r="A224" s="26"/>
      <c r="C224" s="26"/>
      <c r="D224" s="27"/>
      <c r="E224" s="27"/>
      <c r="BE224" s="10" t="str">
        <f t="shared" si="40"/>
        <v/>
      </c>
      <c r="BF224" s="8" t="str">
        <f t="shared" si="41"/>
        <v/>
      </c>
      <c r="BG224" s="11" t="str">
        <f t="shared" si="42"/>
        <v/>
      </c>
      <c r="BH224" s="8" t="str">
        <f t="shared" si="43"/>
        <v/>
      </c>
      <c r="BI224" s="8" t="str">
        <f t="shared" si="44"/>
        <v/>
      </c>
      <c r="BJ224" s="9" t="str">
        <f t="shared" si="45"/>
        <v/>
      </c>
      <c r="BK224" s="9" t="str">
        <f>IF($B224="","",COUNTIFS($B$5:$B224,$B224,$BF$5:$BF224,$BF224))</f>
        <v/>
      </c>
      <c r="BL224" s="9" t="str">
        <f>IF($B224="","",COUNTIFS($B$5:$B224,$B224,$BH$5:$BH224,$BH224))</f>
        <v/>
      </c>
      <c r="BM224" s="9" t="str">
        <f t="shared" si="46"/>
        <v/>
      </c>
      <c r="BN224" s="9" t="str">
        <f t="shared" si="47"/>
        <v/>
      </c>
      <c r="BO224" s="9">
        <f t="shared" si="48"/>
        <v>0</v>
      </c>
      <c r="BR224" s="12" t="str">
        <f t="shared" si="49"/>
        <v/>
      </c>
    </row>
    <row r="225" spans="1:70" ht="14.25" customHeight="1">
      <c r="A225" s="26"/>
      <c r="C225" s="26"/>
      <c r="D225" s="27"/>
      <c r="E225" s="27"/>
      <c r="BE225" s="10" t="str">
        <f t="shared" si="40"/>
        <v/>
      </c>
      <c r="BF225" s="8" t="str">
        <f t="shared" si="41"/>
        <v/>
      </c>
      <c r="BG225" s="11" t="str">
        <f t="shared" si="42"/>
        <v/>
      </c>
      <c r="BH225" s="8" t="str">
        <f t="shared" si="43"/>
        <v/>
      </c>
      <c r="BI225" s="8" t="str">
        <f t="shared" si="44"/>
        <v/>
      </c>
      <c r="BJ225" s="9" t="str">
        <f t="shared" si="45"/>
        <v/>
      </c>
      <c r="BK225" s="9" t="str">
        <f>IF($B225="","",COUNTIFS($B$5:$B225,$B225,$BF$5:$BF225,$BF225))</f>
        <v/>
      </c>
      <c r="BL225" s="9" t="str">
        <f>IF($B225="","",COUNTIFS($B$5:$B225,$B225,$BH$5:$BH225,$BH225))</f>
        <v/>
      </c>
      <c r="BM225" s="9" t="str">
        <f t="shared" si="46"/>
        <v/>
      </c>
      <c r="BN225" s="9" t="str">
        <f t="shared" si="47"/>
        <v/>
      </c>
      <c r="BO225" s="9">
        <f t="shared" si="48"/>
        <v>0</v>
      </c>
      <c r="BR225" s="12" t="str">
        <f t="shared" si="49"/>
        <v/>
      </c>
    </row>
    <row r="226" spans="1:70" ht="14.25" customHeight="1">
      <c r="A226" s="26"/>
      <c r="C226" s="26"/>
      <c r="D226" s="27"/>
      <c r="E226" s="27"/>
      <c r="BE226" s="10" t="str">
        <f t="shared" si="40"/>
        <v/>
      </c>
      <c r="BF226" s="8" t="str">
        <f t="shared" si="41"/>
        <v/>
      </c>
      <c r="BG226" s="11" t="str">
        <f t="shared" si="42"/>
        <v/>
      </c>
      <c r="BH226" s="8" t="str">
        <f t="shared" si="43"/>
        <v/>
      </c>
      <c r="BI226" s="8" t="str">
        <f t="shared" si="44"/>
        <v/>
      </c>
      <c r="BJ226" s="9" t="str">
        <f t="shared" si="45"/>
        <v/>
      </c>
      <c r="BK226" s="9" t="str">
        <f>IF($B226="","",COUNTIFS($B$5:$B226,$B226,$BF$5:$BF226,$BF226))</f>
        <v/>
      </c>
      <c r="BL226" s="9" t="str">
        <f>IF($B226="","",COUNTIFS($B$5:$B226,$B226,$BH$5:$BH226,$BH226))</f>
        <v/>
      </c>
      <c r="BM226" s="9" t="str">
        <f t="shared" si="46"/>
        <v/>
      </c>
      <c r="BN226" s="9" t="str">
        <f t="shared" si="47"/>
        <v/>
      </c>
      <c r="BO226" s="9">
        <f t="shared" si="48"/>
        <v>0</v>
      </c>
      <c r="BR226" s="12" t="str">
        <f t="shared" si="49"/>
        <v/>
      </c>
    </row>
    <row r="227" spans="1:70" ht="14.25" customHeight="1">
      <c r="A227" s="26"/>
      <c r="C227" s="26"/>
      <c r="D227" s="27"/>
      <c r="E227" s="27"/>
      <c r="BE227" s="10" t="str">
        <f t="shared" si="40"/>
        <v/>
      </c>
      <c r="BF227" s="8" t="str">
        <f t="shared" si="41"/>
        <v/>
      </c>
      <c r="BG227" s="11" t="str">
        <f t="shared" si="42"/>
        <v/>
      </c>
      <c r="BH227" s="8" t="str">
        <f t="shared" si="43"/>
        <v/>
      </c>
      <c r="BI227" s="8" t="str">
        <f t="shared" si="44"/>
        <v/>
      </c>
      <c r="BJ227" s="9" t="str">
        <f t="shared" si="45"/>
        <v/>
      </c>
      <c r="BK227" s="9" t="str">
        <f>IF($B227="","",COUNTIFS($B$5:$B227,$B227,$BF$5:$BF227,$BF227))</f>
        <v/>
      </c>
      <c r="BL227" s="9" t="str">
        <f>IF($B227="","",COUNTIFS($B$5:$B227,$B227,$BH$5:$BH227,$BH227))</f>
        <v/>
      </c>
      <c r="BM227" s="9" t="str">
        <f t="shared" si="46"/>
        <v/>
      </c>
      <c r="BN227" s="9" t="str">
        <f t="shared" si="47"/>
        <v/>
      </c>
      <c r="BO227" s="9">
        <f t="shared" si="48"/>
        <v>0</v>
      </c>
      <c r="BR227" s="12" t="str">
        <f t="shared" si="49"/>
        <v/>
      </c>
    </row>
    <row r="228" spans="1:70" ht="14.25" customHeight="1">
      <c r="A228" s="26"/>
      <c r="C228" s="26"/>
      <c r="D228" s="27"/>
      <c r="E228" s="27"/>
      <c r="BE228" s="10" t="str">
        <f t="shared" si="40"/>
        <v/>
      </c>
      <c r="BF228" s="8" t="str">
        <f t="shared" si="41"/>
        <v/>
      </c>
      <c r="BG228" s="11" t="str">
        <f t="shared" si="42"/>
        <v/>
      </c>
      <c r="BH228" s="8" t="str">
        <f t="shared" si="43"/>
        <v/>
      </c>
      <c r="BI228" s="8" t="str">
        <f t="shared" si="44"/>
        <v/>
      </c>
      <c r="BJ228" s="9" t="str">
        <f t="shared" si="45"/>
        <v/>
      </c>
      <c r="BK228" s="9" t="str">
        <f>IF($B228="","",COUNTIFS($B$5:$B228,$B228,$BF$5:$BF228,$BF228))</f>
        <v/>
      </c>
      <c r="BL228" s="9" t="str">
        <f>IF($B228="","",COUNTIFS($B$5:$B228,$B228,$BH$5:$BH228,$BH228))</f>
        <v/>
      </c>
      <c r="BM228" s="9" t="str">
        <f t="shared" si="46"/>
        <v/>
      </c>
      <c r="BN228" s="9" t="str">
        <f t="shared" si="47"/>
        <v/>
      </c>
      <c r="BO228" s="9">
        <f t="shared" si="48"/>
        <v>0</v>
      </c>
      <c r="BR228" s="12" t="str">
        <f t="shared" si="49"/>
        <v/>
      </c>
    </row>
    <row r="229" spans="1:70" ht="14.25" customHeight="1">
      <c r="A229" s="26"/>
      <c r="C229" s="26"/>
      <c r="D229" s="27"/>
      <c r="E229" s="27"/>
      <c r="BE229" s="10" t="str">
        <f t="shared" si="40"/>
        <v/>
      </c>
      <c r="BF229" s="8" t="str">
        <f t="shared" si="41"/>
        <v/>
      </c>
      <c r="BG229" s="11" t="str">
        <f t="shared" si="42"/>
        <v/>
      </c>
      <c r="BH229" s="8" t="str">
        <f t="shared" si="43"/>
        <v/>
      </c>
      <c r="BI229" s="8" t="str">
        <f t="shared" si="44"/>
        <v/>
      </c>
      <c r="BJ229" s="9" t="str">
        <f t="shared" si="45"/>
        <v/>
      </c>
      <c r="BK229" s="9" t="str">
        <f>IF($B229="","",COUNTIFS($B$5:$B229,$B229,$BF$5:$BF229,$BF229))</f>
        <v/>
      </c>
      <c r="BL229" s="9" t="str">
        <f>IF($B229="","",COUNTIFS($B$5:$B229,$B229,$BH$5:$BH229,$BH229))</f>
        <v/>
      </c>
      <c r="BM229" s="9" t="str">
        <f t="shared" si="46"/>
        <v/>
      </c>
      <c r="BN229" s="9" t="str">
        <f t="shared" si="47"/>
        <v/>
      </c>
      <c r="BO229" s="9">
        <f t="shared" si="48"/>
        <v>0</v>
      </c>
      <c r="BR229" s="12" t="str">
        <f t="shared" si="49"/>
        <v/>
      </c>
    </row>
    <row r="230" spans="1:70" ht="14.25" customHeight="1">
      <c r="A230" s="26"/>
      <c r="C230" s="26"/>
      <c r="D230" s="27"/>
      <c r="E230" s="27"/>
      <c r="BE230" s="10" t="str">
        <f t="shared" si="40"/>
        <v/>
      </c>
      <c r="BF230" s="8" t="str">
        <f t="shared" si="41"/>
        <v/>
      </c>
      <c r="BG230" s="11" t="str">
        <f t="shared" si="42"/>
        <v/>
      </c>
      <c r="BH230" s="8" t="str">
        <f t="shared" si="43"/>
        <v/>
      </c>
      <c r="BI230" s="8" t="str">
        <f t="shared" si="44"/>
        <v/>
      </c>
      <c r="BJ230" s="9" t="str">
        <f t="shared" si="45"/>
        <v/>
      </c>
      <c r="BK230" s="9" t="str">
        <f>IF($B230="","",COUNTIFS($B$5:$B230,$B230,$BF$5:$BF230,$BF230))</f>
        <v/>
      </c>
      <c r="BL230" s="9" t="str">
        <f>IF($B230="","",COUNTIFS($B$5:$B230,$B230,$BH$5:$BH230,$BH230))</f>
        <v/>
      </c>
      <c r="BM230" s="9" t="str">
        <f t="shared" si="46"/>
        <v/>
      </c>
      <c r="BN230" s="9" t="str">
        <f t="shared" si="47"/>
        <v/>
      </c>
      <c r="BO230" s="9">
        <f t="shared" si="48"/>
        <v>0</v>
      </c>
      <c r="BR230" s="12" t="str">
        <f t="shared" si="49"/>
        <v/>
      </c>
    </row>
    <row r="231" spans="1:70" ht="14.25" customHeight="1">
      <c r="A231" s="26"/>
      <c r="C231" s="26"/>
      <c r="D231" s="27"/>
      <c r="E231" s="27"/>
      <c r="BE231" s="10" t="str">
        <f t="shared" si="40"/>
        <v/>
      </c>
      <c r="BF231" s="8" t="str">
        <f t="shared" si="41"/>
        <v/>
      </c>
      <c r="BG231" s="11" t="str">
        <f t="shared" si="42"/>
        <v/>
      </c>
      <c r="BH231" s="8" t="str">
        <f t="shared" si="43"/>
        <v/>
      </c>
      <c r="BI231" s="8" t="str">
        <f t="shared" si="44"/>
        <v/>
      </c>
      <c r="BJ231" s="9" t="str">
        <f t="shared" si="45"/>
        <v/>
      </c>
      <c r="BK231" s="9" t="str">
        <f>IF($B231="","",COUNTIFS($B$5:$B231,$B231,$BF$5:$BF231,$BF231))</f>
        <v/>
      </c>
      <c r="BL231" s="9" t="str">
        <f>IF($B231="","",COUNTIFS($B$5:$B231,$B231,$BH$5:$BH231,$BH231))</f>
        <v/>
      </c>
      <c r="BM231" s="9" t="str">
        <f t="shared" si="46"/>
        <v/>
      </c>
      <c r="BN231" s="9" t="str">
        <f t="shared" si="47"/>
        <v/>
      </c>
      <c r="BO231" s="9">
        <f t="shared" si="48"/>
        <v>0</v>
      </c>
      <c r="BR231" s="12" t="str">
        <f t="shared" si="49"/>
        <v/>
      </c>
    </row>
    <row r="232" spans="1:70" ht="14.25" customHeight="1">
      <c r="A232" s="26"/>
      <c r="C232" s="26"/>
      <c r="D232" s="27"/>
      <c r="E232" s="27"/>
      <c r="BE232" s="10" t="str">
        <f t="shared" si="40"/>
        <v/>
      </c>
      <c r="BF232" s="8" t="str">
        <f t="shared" si="41"/>
        <v/>
      </c>
      <c r="BG232" s="11" t="str">
        <f t="shared" si="42"/>
        <v/>
      </c>
      <c r="BH232" s="8" t="str">
        <f t="shared" si="43"/>
        <v/>
      </c>
      <c r="BI232" s="8" t="str">
        <f t="shared" si="44"/>
        <v/>
      </c>
      <c r="BJ232" s="9" t="str">
        <f t="shared" si="45"/>
        <v/>
      </c>
      <c r="BK232" s="9" t="str">
        <f>IF($B232="","",COUNTIFS($B$5:$B232,$B232,$BF$5:$BF232,$BF232))</f>
        <v/>
      </c>
      <c r="BL232" s="9" t="str">
        <f>IF($B232="","",COUNTIFS($B$5:$B232,$B232,$BH$5:$BH232,$BH232))</f>
        <v/>
      </c>
      <c r="BM232" s="9" t="str">
        <f t="shared" si="46"/>
        <v/>
      </c>
      <c r="BN232" s="9" t="str">
        <f t="shared" si="47"/>
        <v/>
      </c>
      <c r="BO232" s="9">
        <f t="shared" si="48"/>
        <v>0</v>
      </c>
      <c r="BR232" s="12" t="str">
        <f t="shared" si="49"/>
        <v/>
      </c>
    </row>
    <row r="233" spans="1:70" ht="14.25" customHeight="1">
      <c r="A233" s="26"/>
      <c r="C233" s="26"/>
      <c r="D233" s="27"/>
      <c r="E233" s="27"/>
      <c r="BE233" s="10" t="str">
        <f t="shared" si="40"/>
        <v/>
      </c>
      <c r="BF233" s="8" t="str">
        <f t="shared" si="41"/>
        <v/>
      </c>
      <c r="BG233" s="11" t="str">
        <f t="shared" si="42"/>
        <v/>
      </c>
      <c r="BH233" s="8" t="str">
        <f t="shared" si="43"/>
        <v/>
      </c>
      <c r="BI233" s="8" t="str">
        <f t="shared" si="44"/>
        <v/>
      </c>
      <c r="BJ233" s="9" t="str">
        <f t="shared" si="45"/>
        <v/>
      </c>
      <c r="BK233" s="9" t="str">
        <f>IF($B233="","",COUNTIFS($B$5:$B233,$B233,$BF$5:$BF233,$BF233))</f>
        <v/>
      </c>
      <c r="BL233" s="9" t="str">
        <f>IF($B233="","",COUNTIFS($B$5:$B233,$B233,$BH$5:$BH233,$BH233))</f>
        <v/>
      </c>
      <c r="BM233" s="9" t="str">
        <f t="shared" si="46"/>
        <v/>
      </c>
      <c r="BN233" s="9" t="str">
        <f t="shared" si="47"/>
        <v/>
      </c>
      <c r="BO233" s="9">
        <f t="shared" si="48"/>
        <v>0</v>
      </c>
      <c r="BR233" s="12" t="str">
        <f t="shared" si="49"/>
        <v/>
      </c>
    </row>
    <row r="234" spans="1:70" ht="14.25" customHeight="1">
      <c r="A234" s="26"/>
      <c r="C234" s="26"/>
      <c r="D234" s="27"/>
      <c r="E234" s="27"/>
      <c r="BE234" s="10" t="str">
        <f t="shared" si="40"/>
        <v/>
      </c>
      <c r="BF234" s="8" t="str">
        <f t="shared" si="41"/>
        <v/>
      </c>
      <c r="BG234" s="11" t="str">
        <f t="shared" si="42"/>
        <v/>
      </c>
      <c r="BH234" s="8" t="str">
        <f t="shared" si="43"/>
        <v/>
      </c>
      <c r="BI234" s="8" t="str">
        <f t="shared" si="44"/>
        <v/>
      </c>
      <c r="BJ234" s="9" t="str">
        <f t="shared" si="45"/>
        <v/>
      </c>
      <c r="BK234" s="9" t="str">
        <f>IF($B234="","",COUNTIFS($B$5:$B234,$B234,$BF$5:$BF234,$BF234))</f>
        <v/>
      </c>
      <c r="BL234" s="9" t="str">
        <f>IF($B234="","",COUNTIFS($B$5:$B234,$B234,$BH$5:$BH234,$BH234))</f>
        <v/>
      </c>
      <c r="BM234" s="9" t="str">
        <f t="shared" si="46"/>
        <v/>
      </c>
      <c r="BN234" s="9" t="str">
        <f t="shared" si="47"/>
        <v/>
      </c>
      <c r="BO234" s="9">
        <f t="shared" si="48"/>
        <v>0</v>
      </c>
      <c r="BR234" s="12" t="str">
        <f t="shared" si="49"/>
        <v/>
      </c>
    </row>
    <row r="235" spans="1:70" ht="14.25" customHeight="1">
      <c r="A235" s="26"/>
      <c r="C235" s="26"/>
      <c r="D235" s="27"/>
      <c r="E235" s="27"/>
      <c r="BE235" s="10" t="str">
        <f t="shared" si="40"/>
        <v/>
      </c>
      <c r="BF235" s="8" t="str">
        <f t="shared" si="41"/>
        <v/>
      </c>
      <c r="BG235" s="11" t="str">
        <f t="shared" si="42"/>
        <v/>
      </c>
      <c r="BH235" s="8" t="str">
        <f t="shared" si="43"/>
        <v/>
      </c>
      <c r="BI235" s="8" t="str">
        <f t="shared" si="44"/>
        <v/>
      </c>
      <c r="BJ235" s="9" t="str">
        <f t="shared" si="45"/>
        <v/>
      </c>
      <c r="BK235" s="9" t="str">
        <f>IF($B235="","",COUNTIFS($B$5:$B235,$B235,$BF$5:$BF235,$BF235))</f>
        <v/>
      </c>
      <c r="BL235" s="9" t="str">
        <f>IF($B235="","",COUNTIFS($B$5:$B235,$B235,$BH$5:$BH235,$BH235))</f>
        <v/>
      </c>
      <c r="BM235" s="9" t="str">
        <f t="shared" si="46"/>
        <v/>
      </c>
      <c r="BN235" s="9" t="str">
        <f t="shared" si="47"/>
        <v/>
      </c>
      <c r="BO235" s="9">
        <f t="shared" si="48"/>
        <v>0</v>
      </c>
      <c r="BR235" s="12" t="str">
        <f t="shared" si="49"/>
        <v/>
      </c>
    </row>
    <row r="236" spans="1:70" ht="14.25" customHeight="1">
      <c r="A236" s="26"/>
      <c r="C236" s="26"/>
      <c r="D236" s="27"/>
      <c r="E236" s="27"/>
      <c r="BE236" s="10" t="str">
        <f t="shared" si="40"/>
        <v/>
      </c>
      <c r="BF236" s="8" t="str">
        <f t="shared" si="41"/>
        <v/>
      </c>
      <c r="BG236" s="11" t="str">
        <f t="shared" si="42"/>
        <v/>
      </c>
      <c r="BH236" s="8" t="str">
        <f t="shared" si="43"/>
        <v/>
      </c>
      <c r="BI236" s="8" t="str">
        <f t="shared" si="44"/>
        <v/>
      </c>
      <c r="BJ236" s="9" t="str">
        <f t="shared" si="45"/>
        <v/>
      </c>
      <c r="BK236" s="9" t="str">
        <f>IF($B236="","",COUNTIFS($B$5:$B236,$B236,$BF$5:$BF236,$BF236))</f>
        <v/>
      </c>
      <c r="BL236" s="9" t="str">
        <f>IF($B236="","",COUNTIFS($B$5:$B236,$B236,$BH$5:$BH236,$BH236))</f>
        <v/>
      </c>
      <c r="BM236" s="9" t="str">
        <f t="shared" si="46"/>
        <v/>
      </c>
      <c r="BN236" s="9" t="str">
        <f t="shared" si="47"/>
        <v/>
      </c>
      <c r="BO236" s="9">
        <f t="shared" si="48"/>
        <v>0</v>
      </c>
      <c r="BR236" s="12" t="str">
        <f t="shared" si="49"/>
        <v/>
      </c>
    </row>
    <row r="237" spans="1:70" ht="14.25" customHeight="1">
      <c r="A237" s="26"/>
      <c r="C237" s="26"/>
      <c r="D237" s="27"/>
      <c r="E237" s="27"/>
      <c r="BE237" s="10" t="str">
        <f t="shared" si="40"/>
        <v/>
      </c>
      <c r="BF237" s="8" t="str">
        <f t="shared" si="41"/>
        <v/>
      </c>
      <c r="BG237" s="11" t="str">
        <f t="shared" si="42"/>
        <v/>
      </c>
      <c r="BH237" s="8" t="str">
        <f t="shared" si="43"/>
        <v/>
      </c>
      <c r="BI237" s="8" t="str">
        <f t="shared" si="44"/>
        <v/>
      </c>
      <c r="BJ237" s="9" t="str">
        <f t="shared" si="45"/>
        <v/>
      </c>
      <c r="BK237" s="9" t="str">
        <f>IF($B237="","",COUNTIFS($B$5:$B237,$B237,$BF$5:$BF237,$BF237))</f>
        <v/>
      </c>
      <c r="BL237" s="9" t="str">
        <f>IF($B237="","",COUNTIFS($B$5:$B237,$B237,$BH$5:$BH237,$BH237))</f>
        <v/>
      </c>
      <c r="BM237" s="9" t="str">
        <f t="shared" si="46"/>
        <v/>
      </c>
      <c r="BN237" s="9" t="str">
        <f t="shared" si="47"/>
        <v/>
      </c>
      <c r="BO237" s="9">
        <f t="shared" si="48"/>
        <v>0</v>
      </c>
      <c r="BR237" s="12" t="str">
        <f t="shared" si="49"/>
        <v/>
      </c>
    </row>
    <row r="238" spans="1:70" ht="14.25" customHeight="1">
      <c r="A238" s="26"/>
      <c r="C238" s="26"/>
      <c r="D238" s="27"/>
      <c r="E238" s="27"/>
      <c r="BE238" s="10" t="str">
        <f t="shared" si="40"/>
        <v/>
      </c>
      <c r="BF238" s="8" t="str">
        <f t="shared" si="41"/>
        <v/>
      </c>
      <c r="BG238" s="11" t="str">
        <f t="shared" si="42"/>
        <v/>
      </c>
      <c r="BH238" s="8" t="str">
        <f t="shared" si="43"/>
        <v/>
      </c>
      <c r="BI238" s="8" t="str">
        <f t="shared" si="44"/>
        <v/>
      </c>
      <c r="BJ238" s="9" t="str">
        <f t="shared" si="45"/>
        <v/>
      </c>
      <c r="BK238" s="9" t="str">
        <f>IF($B238="","",COUNTIFS($B$5:$B238,$B238,$BF$5:$BF238,$BF238))</f>
        <v/>
      </c>
      <c r="BL238" s="9" t="str">
        <f>IF($B238="","",COUNTIFS($B$5:$B238,$B238,$BH$5:$BH238,$BH238))</f>
        <v/>
      </c>
      <c r="BM238" s="9" t="str">
        <f t="shared" si="46"/>
        <v/>
      </c>
      <c r="BN238" s="9" t="str">
        <f t="shared" si="47"/>
        <v/>
      </c>
      <c r="BO238" s="9">
        <f t="shared" si="48"/>
        <v>0</v>
      </c>
      <c r="BR238" s="12" t="str">
        <f t="shared" si="49"/>
        <v/>
      </c>
    </row>
    <row r="239" spans="1:70" ht="14.25" customHeight="1">
      <c r="A239" s="26"/>
      <c r="C239" s="26"/>
      <c r="D239" s="27"/>
      <c r="E239" s="27"/>
      <c r="BE239" s="10" t="str">
        <f t="shared" si="40"/>
        <v/>
      </c>
      <c r="BF239" s="8" t="str">
        <f t="shared" si="41"/>
        <v/>
      </c>
      <c r="BG239" s="11" t="str">
        <f t="shared" si="42"/>
        <v/>
      </c>
      <c r="BH239" s="8" t="str">
        <f t="shared" si="43"/>
        <v/>
      </c>
      <c r="BI239" s="8" t="str">
        <f t="shared" si="44"/>
        <v/>
      </c>
      <c r="BJ239" s="9" t="str">
        <f t="shared" si="45"/>
        <v/>
      </c>
      <c r="BK239" s="9" t="str">
        <f>IF($B239="","",COUNTIFS($B$5:$B239,$B239,$BF$5:$BF239,$BF239))</f>
        <v/>
      </c>
      <c r="BL239" s="9" t="str">
        <f>IF($B239="","",COUNTIFS($B$5:$B239,$B239,$BH$5:$BH239,$BH239))</f>
        <v/>
      </c>
      <c r="BM239" s="9" t="str">
        <f t="shared" si="46"/>
        <v/>
      </c>
      <c r="BN239" s="9" t="str">
        <f t="shared" si="47"/>
        <v/>
      </c>
      <c r="BO239" s="9">
        <f t="shared" si="48"/>
        <v>0</v>
      </c>
      <c r="BR239" s="12" t="str">
        <f t="shared" si="49"/>
        <v/>
      </c>
    </row>
    <row r="240" spans="1:70" ht="14.25" customHeight="1">
      <c r="A240" s="26"/>
      <c r="C240" s="26"/>
      <c r="D240" s="27"/>
      <c r="E240" s="27"/>
      <c r="BE240" s="10" t="str">
        <f t="shared" si="40"/>
        <v/>
      </c>
      <c r="BF240" s="8" t="str">
        <f t="shared" si="41"/>
        <v/>
      </c>
      <c r="BG240" s="11" t="str">
        <f t="shared" si="42"/>
        <v/>
      </c>
      <c r="BH240" s="8" t="str">
        <f t="shared" si="43"/>
        <v/>
      </c>
      <c r="BI240" s="8" t="str">
        <f t="shared" si="44"/>
        <v/>
      </c>
      <c r="BJ240" s="9" t="str">
        <f t="shared" si="45"/>
        <v/>
      </c>
      <c r="BK240" s="9" t="str">
        <f>IF($B240="","",COUNTIFS($B$5:$B240,$B240,$BF$5:$BF240,$BF240))</f>
        <v/>
      </c>
      <c r="BL240" s="9" t="str">
        <f>IF($B240="","",COUNTIFS($B$5:$B240,$B240,$BH$5:$BH240,$BH240))</f>
        <v/>
      </c>
      <c r="BM240" s="9" t="str">
        <f t="shared" si="46"/>
        <v/>
      </c>
      <c r="BN240" s="9" t="str">
        <f t="shared" si="47"/>
        <v/>
      </c>
      <c r="BO240" s="9">
        <f t="shared" si="48"/>
        <v>0</v>
      </c>
      <c r="BR240" s="12" t="str">
        <f t="shared" si="49"/>
        <v/>
      </c>
    </row>
    <row r="241" spans="1:70" ht="14.25" customHeight="1">
      <c r="A241" s="26"/>
      <c r="C241" s="26"/>
      <c r="D241" s="27"/>
      <c r="E241" s="27"/>
      <c r="BE241" s="10" t="str">
        <f t="shared" si="40"/>
        <v/>
      </c>
      <c r="BF241" s="8" t="str">
        <f t="shared" si="41"/>
        <v/>
      </c>
      <c r="BG241" s="11" t="str">
        <f t="shared" si="42"/>
        <v/>
      </c>
      <c r="BH241" s="8" t="str">
        <f t="shared" si="43"/>
        <v/>
      </c>
      <c r="BI241" s="8" t="str">
        <f t="shared" si="44"/>
        <v/>
      </c>
      <c r="BJ241" s="9" t="str">
        <f t="shared" si="45"/>
        <v/>
      </c>
      <c r="BK241" s="9" t="str">
        <f>IF($B241="","",COUNTIFS($B$5:$B241,$B241,$BF$5:$BF241,$BF241))</f>
        <v/>
      </c>
      <c r="BL241" s="9" t="str">
        <f>IF($B241="","",COUNTIFS($B$5:$B241,$B241,$BH$5:$BH241,$BH241))</f>
        <v/>
      </c>
      <c r="BM241" s="9" t="str">
        <f t="shared" si="46"/>
        <v/>
      </c>
      <c r="BN241" s="9" t="str">
        <f t="shared" si="47"/>
        <v/>
      </c>
      <c r="BO241" s="9">
        <f t="shared" si="48"/>
        <v>0</v>
      </c>
      <c r="BR241" s="12" t="str">
        <f t="shared" si="49"/>
        <v/>
      </c>
    </row>
    <row r="242" spans="1:70" ht="14.25" customHeight="1">
      <c r="A242" s="26"/>
      <c r="C242" s="26"/>
      <c r="D242" s="27"/>
      <c r="E242" s="27"/>
      <c r="BE242" s="10" t="str">
        <f t="shared" si="40"/>
        <v/>
      </c>
      <c r="BF242" s="8" t="str">
        <f t="shared" si="41"/>
        <v/>
      </c>
      <c r="BG242" s="11" t="str">
        <f t="shared" si="42"/>
        <v/>
      </c>
      <c r="BH242" s="8" t="str">
        <f t="shared" si="43"/>
        <v/>
      </c>
      <c r="BI242" s="8" t="str">
        <f t="shared" si="44"/>
        <v/>
      </c>
      <c r="BJ242" s="9" t="str">
        <f t="shared" si="45"/>
        <v/>
      </c>
      <c r="BK242" s="9" t="str">
        <f>IF($B242="","",COUNTIFS($B$5:$B242,$B242,$BF$5:$BF242,$BF242))</f>
        <v/>
      </c>
      <c r="BL242" s="9" t="str">
        <f>IF($B242="","",COUNTIFS($B$5:$B242,$B242,$BH$5:$BH242,$BH242))</f>
        <v/>
      </c>
      <c r="BM242" s="9" t="str">
        <f t="shared" si="46"/>
        <v/>
      </c>
      <c r="BN242" s="9" t="str">
        <f t="shared" si="47"/>
        <v/>
      </c>
      <c r="BO242" s="9">
        <f t="shared" si="48"/>
        <v>0</v>
      </c>
      <c r="BR242" s="12" t="str">
        <f t="shared" si="49"/>
        <v/>
      </c>
    </row>
    <row r="243" spans="1:70" ht="14.25" customHeight="1">
      <c r="A243" s="26"/>
      <c r="C243" s="26"/>
      <c r="D243" s="27"/>
      <c r="E243" s="27"/>
      <c r="BE243" s="10" t="str">
        <f t="shared" si="40"/>
        <v/>
      </c>
      <c r="BF243" s="8" t="str">
        <f t="shared" si="41"/>
        <v/>
      </c>
      <c r="BG243" s="11" t="str">
        <f t="shared" si="42"/>
        <v/>
      </c>
      <c r="BH243" s="8" t="str">
        <f t="shared" si="43"/>
        <v/>
      </c>
      <c r="BI243" s="8" t="str">
        <f t="shared" si="44"/>
        <v/>
      </c>
      <c r="BJ243" s="9" t="str">
        <f t="shared" si="45"/>
        <v/>
      </c>
      <c r="BK243" s="9" t="str">
        <f>IF($B243="","",COUNTIFS($B$5:$B243,$B243,$BF$5:$BF243,$BF243))</f>
        <v/>
      </c>
      <c r="BL243" s="9" t="str">
        <f>IF($B243="","",COUNTIFS($B$5:$B243,$B243,$BH$5:$BH243,$BH243))</f>
        <v/>
      </c>
      <c r="BM243" s="9" t="str">
        <f t="shared" si="46"/>
        <v/>
      </c>
      <c r="BN243" s="9" t="str">
        <f t="shared" si="47"/>
        <v/>
      </c>
      <c r="BO243" s="9">
        <f t="shared" si="48"/>
        <v>0</v>
      </c>
      <c r="BR243" s="12" t="str">
        <f t="shared" si="49"/>
        <v/>
      </c>
    </row>
    <row r="244" spans="1:70" ht="14.25" customHeight="1">
      <c r="A244" s="26"/>
      <c r="C244" s="26"/>
      <c r="D244" s="27"/>
      <c r="E244" s="27"/>
      <c r="BE244" s="10" t="str">
        <f t="shared" si="40"/>
        <v/>
      </c>
      <c r="BF244" s="8" t="str">
        <f t="shared" si="41"/>
        <v/>
      </c>
      <c r="BG244" s="11" t="str">
        <f t="shared" si="42"/>
        <v/>
      </c>
      <c r="BH244" s="8" t="str">
        <f t="shared" si="43"/>
        <v/>
      </c>
      <c r="BI244" s="8" t="str">
        <f t="shared" si="44"/>
        <v/>
      </c>
      <c r="BJ244" s="9" t="str">
        <f t="shared" si="45"/>
        <v/>
      </c>
      <c r="BK244" s="9" t="str">
        <f>IF($B244="","",COUNTIFS($B$5:$B244,$B244,$BF$5:$BF244,$BF244))</f>
        <v/>
      </c>
      <c r="BL244" s="9" t="str">
        <f>IF($B244="","",COUNTIFS($B$5:$B244,$B244,$BH$5:$BH244,$BH244))</f>
        <v/>
      </c>
      <c r="BM244" s="9" t="str">
        <f t="shared" si="46"/>
        <v/>
      </c>
      <c r="BN244" s="9" t="str">
        <f t="shared" si="47"/>
        <v/>
      </c>
      <c r="BO244" s="9">
        <f t="shared" si="48"/>
        <v>0</v>
      </c>
      <c r="BR244" s="12" t="str">
        <f t="shared" si="49"/>
        <v/>
      </c>
    </row>
    <row r="245" spans="1:70" ht="14.25" customHeight="1">
      <c r="A245" s="26"/>
      <c r="C245" s="26"/>
      <c r="D245" s="27"/>
      <c r="E245" s="27"/>
      <c r="BE245" s="10" t="str">
        <f t="shared" si="40"/>
        <v/>
      </c>
      <c r="BF245" s="8" t="str">
        <f t="shared" si="41"/>
        <v/>
      </c>
      <c r="BG245" s="11" t="str">
        <f t="shared" si="42"/>
        <v/>
      </c>
      <c r="BH245" s="8" t="str">
        <f t="shared" si="43"/>
        <v/>
      </c>
      <c r="BI245" s="8" t="str">
        <f t="shared" si="44"/>
        <v/>
      </c>
      <c r="BJ245" s="9" t="str">
        <f t="shared" si="45"/>
        <v/>
      </c>
      <c r="BK245" s="9" t="str">
        <f>IF($B245="","",COUNTIFS($B$5:$B245,$B245,$BF$5:$BF245,$BF245))</f>
        <v/>
      </c>
      <c r="BL245" s="9" t="str">
        <f>IF($B245="","",COUNTIFS($B$5:$B245,$B245,$BH$5:$BH245,$BH245))</f>
        <v/>
      </c>
      <c r="BM245" s="9" t="str">
        <f t="shared" si="46"/>
        <v/>
      </c>
      <c r="BN245" s="9" t="str">
        <f t="shared" si="47"/>
        <v/>
      </c>
      <c r="BO245" s="9">
        <f t="shared" si="48"/>
        <v>0</v>
      </c>
      <c r="BR245" s="12" t="str">
        <f t="shared" si="49"/>
        <v/>
      </c>
    </row>
    <row r="246" spans="1:70" ht="14.25" customHeight="1">
      <c r="A246" s="26"/>
      <c r="C246" s="26"/>
      <c r="D246" s="27"/>
      <c r="E246" s="27"/>
      <c r="BE246" s="10" t="str">
        <f t="shared" si="40"/>
        <v/>
      </c>
      <c r="BF246" s="8" t="str">
        <f t="shared" si="41"/>
        <v/>
      </c>
      <c r="BG246" s="11" t="str">
        <f t="shared" si="42"/>
        <v/>
      </c>
      <c r="BH246" s="8" t="str">
        <f t="shared" si="43"/>
        <v/>
      </c>
      <c r="BI246" s="8" t="str">
        <f t="shared" si="44"/>
        <v/>
      </c>
      <c r="BJ246" s="9" t="str">
        <f t="shared" si="45"/>
        <v/>
      </c>
      <c r="BK246" s="9" t="str">
        <f>IF($B246="","",COUNTIFS($B$5:$B246,$B246,$BF$5:$BF246,$BF246))</f>
        <v/>
      </c>
      <c r="BL246" s="9" t="str">
        <f>IF($B246="","",COUNTIFS($B$5:$B246,$B246,$BH$5:$BH246,$BH246))</f>
        <v/>
      </c>
      <c r="BM246" s="9" t="str">
        <f t="shared" si="46"/>
        <v/>
      </c>
      <c r="BN246" s="9" t="str">
        <f t="shared" si="47"/>
        <v/>
      </c>
      <c r="BO246" s="9">
        <f t="shared" si="48"/>
        <v>0</v>
      </c>
      <c r="BR246" s="12" t="str">
        <f t="shared" si="49"/>
        <v/>
      </c>
    </row>
    <row r="247" spans="1:70" ht="14.25" customHeight="1">
      <c r="A247" s="26"/>
      <c r="C247" s="26"/>
      <c r="D247" s="27"/>
      <c r="E247" s="27"/>
      <c r="BE247" s="10" t="str">
        <f t="shared" si="40"/>
        <v/>
      </c>
      <c r="BF247" s="8" t="str">
        <f t="shared" si="41"/>
        <v/>
      </c>
      <c r="BG247" s="11" t="str">
        <f t="shared" si="42"/>
        <v/>
      </c>
      <c r="BH247" s="8" t="str">
        <f t="shared" si="43"/>
        <v/>
      </c>
      <c r="BI247" s="8" t="str">
        <f t="shared" si="44"/>
        <v/>
      </c>
      <c r="BJ247" s="9" t="str">
        <f t="shared" si="45"/>
        <v/>
      </c>
      <c r="BK247" s="9" t="str">
        <f>IF($B247="","",COUNTIFS($B$5:$B247,$B247,$BF$5:$BF247,$BF247))</f>
        <v/>
      </c>
      <c r="BL247" s="9" t="str">
        <f>IF($B247="","",COUNTIFS($B$5:$B247,$B247,$BH$5:$BH247,$BH247))</f>
        <v/>
      </c>
      <c r="BM247" s="9" t="str">
        <f t="shared" si="46"/>
        <v/>
      </c>
      <c r="BN247" s="9" t="str">
        <f t="shared" si="47"/>
        <v/>
      </c>
      <c r="BO247" s="9">
        <f t="shared" si="48"/>
        <v>0</v>
      </c>
      <c r="BR247" s="12" t="str">
        <f t="shared" si="49"/>
        <v/>
      </c>
    </row>
    <row r="248" spans="1:70" ht="14.25" customHeight="1">
      <c r="A248" s="26"/>
      <c r="C248" s="26"/>
      <c r="D248" s="27"/>
      <c r="E248" s="27"/>
      <c r="BE248" s="10" t="str">
        <f t="shared" si="40"/>
        <v/>
      </c>
      <c r="BF248" s="8" t="str">
        <f t="shared" si="41"/>
        <v/>
      </c>
      <c r="BG248" s="11" t="str">
        <f t="shared" si="42"/>
        <v/>
      </c>
      <c r="BH248" s="8" t="str">
        <f t="shared" si="43"/>
        <v/>
      </c>
      <c r="BI248" s="8" t="str">
        <f t="shared" si="44"/>
        <v/>
      </c>
      <c r="BJ248" s="9" t="str">
        <f t="shared" si="45"/>
        <v/>
      </c>
      <c r="BK248" s="9" t="str">
        <f>IF($B248="","",COUNTIFS($B$5:$B248,$B248,$BF$5:$BF248,$BF248))</f>
        <v/>
      </c>
      <c r="BL248" s="9" t="str">
        <f>IF($B248="","",COUNTIFS($B$5:$B248,$B248,$BH$5:$BH248,$BH248))</f>
        <v/>
      </c>
      <c r="BM248" s="9" t="str">
        <f t="shared" si="46"/>
        <v/>
      </c>
      <c r="BN248" s="9" t="str">
        <f t="shared" si="47"/>
        <v/>
      </c>
      <c r="BO248" s="9">
        <f t="shared" si="48"/>
        <v>0</v>
      </c>
      <c r="BR248" s="12" t="str">
        <f t="shared" si="49"/>
        <v/>
      </c>
    </row>
    <row r="249" spans="1:70" ht="14.25" customHeight="1">
      <c r="A249" s="26"/>
      <c r="C249" s="26"/>
      <c r="D249" s="27"/>
      <c r="E249" s="27"/>
      <c r="BE249" s="10" t="str">
        <f t="shared" si="40"/>
        <v/>
      </c>
      <c r="BF249" s="8" t="str">
        <f t="shared" si="41"/>
        <v/>
      </c>
      <c r="BG249" s="11" t="str">
        <f t="shared" si="42"/>
        <v/>
      </c>
      <c r="BH249" s="8" t="str">
        <f t="shared" si="43"/>
        <v/>
      </c>
      <c r="BI249" s="8" t="str">
        <f t="shared" si="44"/>
        <v/>
      </c>
      <c r="BJ249" s="9" t="str">
        <f t="shared" si="45"/>
        <v/>
      </c>
      <c r="BK249" s="9" t="str">
        <f>IF($B249="","",COUNTIFS($B$5:$B249,$B249,$BF$5:$BF249,$BF249))</f>
        <v/>
      </c>
      <c r="BL249" s="9" t="str">
        <f>IF($B249="","",COUNTIFS($B$5:$B249,$B249,$BH$5:$BH249,$BH249))</f>
        <v/>
      </c>
      <c r="BM249" s="9" t="str">
        <f t="shared" si="46"/>
        <v/>
      </c>
      <c r="BN249" s="9" t="str">
        <f t="shared" si="47"/>
        <v/>
      </c>
      <c r="BO249" s="9">
        <f t="shared" si="48"/>
        <v>0</v>
      </c>
      <c r="BR249" s="12" t="str">
        <f t="shared" si="49"/>
        <v/>
      </c>
    </row>
    <row r="250" spans="1:70" ht="14.25" customHeight="1">
      <c r="A250" s="26"/>
      <c r="C250" s="26"/>
      <c r="D250" s="27"/>
      <c r="E250" s="27"/>
      <c r="BE250" s="10" t="str">
        <f t="shared" si="40"/>
        <v/>
      </c>
      <c r="BF250" s="8" t="str">
        <f t="shared" si="41"/>
        <v/>
      </c>
      <c r="BG250" s="11" t="str">
        <f t="shared" si="42"/>
        <v/>
      </c>
      <c r="BH250" s="8" t="str">
        <f t="shared" si="43"/>
        <v/>
      </c>
      <c r="BI250" s="8" t="str">
        <f t="shared" si="44"/>
        <v/>
      </c>
      <c r="BJ250" s="9" t="str">
        <f t="shared" si="45"/>
        <v/>
      </c>
      <c r="BK250" s="9" t="str">
        <f>IF($B250="","",COUNTIFS($B$5:$B250,$B250,$BF$5:$BF250,$BF250))</f>
        <v/>
      </c>
      <c r="BL250" s="9" t="str">
        <f>IF($B250="","",COUNTIFS($B$5:$B250,$B250,$BH$5:$BH250,$BH250))</f>
        <v/>
      </c>
      <c r="BM250" s="9" t="str">
        <f t="shared" si="46"/>
        <v/>
      </c>
      <c r="BN250" s="9" t="str">
        <f t="shared" si="47"/>
        <v/>
      </c>
      <c r="BO250" s="9">
        <f t="shared" si="48"/>
        <v>0</v>
      </c>
      <c r="BR250" s="12" t="str">
        <f t="shared" si="49"/>
        <v/>
      </c>
    </row>
    <row r="251" spans="1:70" ht="14.25" customHeight="1">
      <c r="A251" s="26"/>
      <c r="C251" s="26"/>
      <c r="D251" s="27"/>
      <c r="E251" s="27"/>
      <c r="BE251" s="10" t="str">
        <f t="shared" si="40"/>
        <v/>
      </c>
      <c r="BF251" s="8" t="str">
        <f t="shared" si="41"/>
        <v/>
      </c>
      <c r="BG251" s="11" t="str">
        <f t="shared" si="42"/>
        <v/>
      </c>
      <c r="BH251" s="8" t="str">
        <f t="shared" si="43"/>
        <v/>
      </c>
      <c r="BI251" s="8" t="str">
        <f t="shared" si="44"/>
        <v/>
      </c>
      <c r="BJ251" s="9" t="str">
        <f t="shared" si="45"/>
        <v/>
      </c>
      <c r="BK251" s="9" t="str">
        <f>IF($B251="","",COUNTIFS($B$5:$B251,$B251,$BF$5:$BF251,$BF251))</f>
        <v/>
      </c>
      <c r="BL251" s="9" t="str">
        <f>IF($B251="","",COUNTIFS($B$5:$B251,$B251,$BH$5:$BH251,$BH251))</f>
        <v/>
      </c>
      <c r="BM251" s="9" t="str">
        <f t="shared" si="46"/>
        <v/>
      </c>
      <c r="BN251" s="9" t="str">
        <f t="shared" si="47"/>
        <v/>
      </c>
      <c r="BO251" s="9">
        <f t="shared" si="48"/>
        <v>0</v>
      </c>
      <c r="BR251" s="12" t="str">
        <f t="shared" si="49"/>
        <v/>
      </c>
    </row>
    <row r="252" spans="1:70" ht="14.25" customHeight="1">
      <c r="A252" s="26"/>
      <c r="C252" s="26"/>
      <c r="D252" s="27"/>
      <c r="E252" s="27"/>
      <c r="BE252" s="10" t="str">
        <f t="shared" si="40"/>
        <v/>
      </c>
      <c r="BF252" s="8" t="str">
        <f t="shared" si="41"/>
        <v/>
      </c>
      <c r="BG252" s="11" t="str">
        <f t="shared" si="42"/>
        <v/>
      </c>
      <c r="BH252" s="8" t="str">
        <f t="shared" si="43"/>
        <v/>
      </c>
      <c r="BI252" s="8" t="str">
        <f t="shared" si="44"/>
        <v/>
      </c>
      <c r="BJ252" s="9" t="str">
        <f t="shared" si="45"/>
        <v/>
      </c>
      <c r="BK252" s="9" t="str">
        <f>IF($B252="","",COUNTIFS($B$5:$B252,$B252,$BF$5:$BF252,$BF252))</f>
        <v/>
      </c>
      <c r="BL252" s="9" t="str">
        <f>IF($B252="","",COUNTIFS($B$5:$B252,$B252,$BH$5:$BH252,$BH252))</f>
        <v/>
      </c>
      <c r="BM252" s="9" t="str">
        <f t="shared" si="46"/>
        <v/>
      </c>
      <c r="BN252" s="9" t="str">
        <f t="shared" si="47"/>
        <v/>
      </c>
      <c r="BO252" s="9">
        <f t="shared" si="48"/>
        <v>0</v>
      </c>
      <c r="BR252" s="12" t="str">
        <f t="shared" si="49"/>
        <v/>
      </c>
    </row>
    <row r="253" spans="1:70" ht="14.25" customHeight="1">
      <c r="A253" s="26"/>
      <c r="C253" s="26"/>
      <c r="D253" s="27"/>
      <c r="E253" s="27"/>
      <c r="BE253" s="10" t="str">
        <f t="shared" si="40"/>
        <v/>
      </c>
      <c r="BF253" s="8" t="str">
        <f t="shared" si="41"/>
        <v/>
      </c>
      <c r="BG253" s="11" t="str">
        <f t="shared" si="42"/>
        <v/>
      </c>
      <c r="BH253" s="8" t="str">
        <f t="shared" si="43"/>
        <v/>
      </c>
      <c r="BI253" s="8" t="str">
        <f t="shared" si="44"/>
        <v/>
      </c>
      <c r="BJ253" s="9" t="str">
        <f t="shared" si="45"/>
        <v/>
      </c>
      <c r="BK253" s="9" t="str">
        <f>IF($B253="","",COUNTIFS($B$5:$B253,$B253,$BF$5:$BF253,$BF253))</f>
        <v/>
      </c>
      <c r="BL253" s="9" t="str">
        <f>IF($B253="","",COUNTIFS($B$5:$B253,$B253,$BH$5:$BH253,$BH253))</f>
        <v/>
      </c>
      <c r="BM253" s="9" t="str">
        <f t="shared" si="46"/>
        <v/>
      </c>
      <c r="BN253" s="9" t="str">
        <f t="shared" si="47"/>
        <v/>
      </c>
      <c r="BO253" s="9">
        <f t="shared" si="48"/>
        <v>0</v>
      </c>
      <c r="BR253" s="12" t="str">
        <f t="shared" si="49"/>
        <v/>
      </c>
    </row>
    <row r="254" spans="1:70" ht="14.25" customHeight="1">
      <c r="A254" s="26"/>
      <c r="C254" s="26"/>
      <c r="D254" s="27"/>
      <c r="E254" s="27"/>
      <c r="BE254" s="10" t="str">
        <f t="shared" si="40"/>
        <v/>
      </c>
      <c r="BF254" s="8" t="str">
        <f t="shared" si="41"/>
        <v/>
      </c>
      <c r="BG254" s="11" t="str">
        <f t="shared" si="42"/>
        <v/>
      </c>
      <c r="BH254" s="8" t="str">
        <f t="shared" si="43"/>
        <v/>
      </c>
      <c r="BI254" s="8" t="str">
        <f t="shared" si="44"/>
        <v/>
      </c>
      <c r="BJ254" s="9" t="str">
        <f t="shared" si="45"/>
        <v/>
      </c>
      <c r="BK254" s="9" t="str">
        <f>IF($B254="","",COUNTIFS($B$5:$B254,$B254,$BF$5:$BF254,$BF254))</f>
        <v/>
      </c>
      <c r="BL254" s="9" t="str">
        <f>IF($B254="","",COUNTIFS($B$5:$B254,$B254,$BH$5:$BH254,$BH254))</f>
        <v/>
      </c>
      <c r="BM254" s="9" t="str">
        <f t="shared" si="46"/>
        <v/>
      </c>
      <c r="BN254" s="9" t="str">
        <f t="shared" si="47"/>
        <v/>
      </c>
      <c r="BO254" s="9">
        <f t="shared" si="48"/>
        <v>0</v>
      </c>
      <c r="BR254" s="12" t="str">
        <f t="shared" si="49"/>
        <v/>
      </c>
    </row>
    <row r="255" spans="1:70" ht="14.25" customHeight="1">
      <c r="A255" s="26"/>
      <c r="C255" s="26"/>
      <c r="D255" s="27"/>
      <c r="E255" s="27"/>
      <c r="BE255" s="10" t="str">
        <f t="shared" si="40"/>
        <v/>
      </c>
      <c r="BF255" s="8" t="str">
        <f t="shared" si="41"/>
        <v/>
      </c>
      <c r="BG255" s="11" t="str">
        <f t="shared" si="42"/>
        <v/>
      </c>
      <c r="BH255" s="8" t="str">
        <f t="shared" si="43"/>
        <v/>
      </c>
      <c r="BI255" s="8" t="str">
        <f t="shared" si="44"/>
        <v/>
      </c>
      <c r="BJ255" s="9" t="str">
        <f t="shared" si="45"/>
        <v/>
      </c>
      <c r="BK255" s="9" t="str">
        <f>IF($B255="","",COUNTIFS($B$5:$B255,$B255,$BF$5:$BF255,$BF255))</f>
        <v/>
      </c>
      <c r="BL255" s="9" t="str">
        <f>IF($B255="","",COUNTIFS($B$5:$B255,$B255,$BH$5:$BH255,$BH255))</f>
        <v/>
      </c>
      <c r="BM255" s="9" t="str">
        <f t="shared" si="46"/>
        <v/>
      </c>
      <c r="BN255" s="9" t="str">
        <f t="shared" si="47"/>
        <v/>
      </c>
      <c r="BO255" s="9">
        <f t="shared" si="48"/>
        <v>0</v>
      </c>
      <c r="BR255" s="12" t="str">
        <f t="shared" si="49"/>
        <v/>
      </c>
    </row>
    <row r="256" spans="1:70" ht="14.25" customHeight="1">
      <c r="A256" s="26"/>
      <c r="C256" s="26"/>
      <c r="D256" s="27"/>
      <c r="E256" s="27"/>
      <c r="BE256" s="10" t="str">
        <f t="shared" si="40"/>
        <v/>
      </c>
      <c r="BF256" s="8" t="str">
        <f t="shared" si="41"/>
        <v/>
      </c>
      <c r="BG256" s="11" t="str">
        <f t="shared" si="42"/>
        <v/>
      </c>
      <c r="BH256" s="8" t="str">
        <f t="shared" si="43"/>
        <v/>
      </c>
      <c r="BI256" s="8" t="str">
        <f t="shared" si="44"/>
        <v/>
      </c>
      <c r="BJ256" s="9" t="str">
        <f t="shared" si="45"/>
        <v/>
      </c>
      <c r="BK256" s="9" t="str">
        <f>IF($B256="","",COUNTIFS($B$5:$B256,$B256,$BF$5:$BF256,$BF256))</f>
        <v/>
      </c>
      <c r="BL256" s="9" t="str">
        <f>IF($B256="","",COUNTIFS($B$5:$B256,$B256,$BH$5:$BH256,$BH256))</f>
        <v/>
      </c>
      <c r="BM256" s="9" t="str">
        <f t="shared" si="46"/>
        <v/>
      </c>
      <c r="BN256" s="9" t="str">
        <f t="shared" si="47"/>
        <v/>
      </c>
      <c r="BO256" s="9">
        <f t="shared" si="48"/>
        <v>0</v>
      </c>
      <c r="BR256" s="12" t="str">
        <f t="shared" si="49"/>
        <v/>
      </c>
    </row>
    <row r="257" spans="1:70" ht="14.25" customHeight="1">
      <c r="A257" s="26"/>
      <c r="C257" s="26"/>
      <c r="D257" s="27"/>
      <c r="E257" s="27"/>
      <c r="BE257" s="10" t="str">
        <f t="shared" si="40"/>
        <v/>
      </c>
      <c r="BF257" s="8" t="str">
        <f t="shared" si="41"/>
        <v/>
      </c>
      <c r="BG257" s="11" t="str">
        <f t="shared" si="42"/>
        <v/>
      </c>
      <c r="BH257" s="8" t="str">
        <f t="shared" si="43"/>
        <v/>
      </c>
      <c r="BI257" s="8" t="str">
        <f t="shared" si="44"/>
        <v/>
      </c>
      <c r="BJ257" s="9" t="str">
        <f t="shared" si="45"/>
        <v/>
      </c>
      <c r="BK257" s="9" t="str">
        <f>IF($B257="","",COUNTIFS($B$5:$B257,$B257,$BF$5:$BF257,$BF257))</f>
        <v/>
      </c>
      <c r="BL257" s="9" t="str">
        <f>IF($B257="","",COUNTIFS($B$5:$B257,$B257,$BH$5:$BH257,$BH257))</f>
        <v/>
      </c>
      <c r="BM257" s="9" t="str">
        <f t="shared" si="46"/>
        <v/>
      </c>
      <c r="BN257" s="9" t="str">
        <f t="shared" si="47"/>
        <v/>
      </c>
      <c r="BO257" s="9">
        <f t="shared" si="48"/>
        <v>0</v>
      </c>
      <c r="BR257" s="12" t="str">
        <f t="shared" si="49"/>
        <v/>
      </c>
    </row>
    <row r="258" spans="1:70" ht="14.25" customHeight="1">
      <c r="A258" s="26"/>
      <c r="C258" s="26"/>
      <c r="D258" s="27"/>
      <c r="E258" s="27"/>
      <c r="BE258" s="10" t="str">
        <f t="shared" si="40"/>
        <v/>
      </c>
      <c r="BF258" s="8" t="str">
        <f t="shared" si="41"/>
        <v/>
      </c>
      <c r="BG258" s="11" t="str">
        <f t="shared" si="42"/>
        <v/>
      </c>
      <c r="BH258" s="8" t="str">
        <f t="shared" si="43"/>
        <v/>
      </c>
      <c r="BI258" s="8" t="str">
        <f t="shared" si="44"/>
        <v/>
      </c>
      <c r="BJ258" s="9" t="str">
        <f t="shared" si="45"/>
        <v/>
      </c>
      <c r="BK258" s="9" t="str">
        <f>IF($B258="","",COUNTIFS($B$5:$B258,$B258,$BF$5:$BF258,$BF258))</f>
        <v/>
      </c>
      <c r="BL258" s="9" t="str">
        <f>IF($B258="","",COUNTIFS($B$5:$B258,$B258,$BH$5:$BH258,$BH258))</f>
        <v/>
      </c>
      <c r="BM258" s="9" t="str">
        <f t="shared" si="46"/>
        <v/>
      </c>
      <c r="BN258" s="9" t="str">
        <f t="shared" si="47"/>
        <v/>
      </c>
      <c r="BO258" s="9">
        <f t="shared" si="48"/>
        <v>0</v>
      </c>
      <c r="BR258" s="12" t="str">
        <f t="shared" si="49"/>
        <v/>
      </c>
    </row>
    <row r="259" spans="1:70" ht="14.25" customHeight="1">
      <c r="A259" s="26"/>
      <c r="C259" s="26"/>
      <c r="D259" s="27"/>
      <c r="E259" s="27"/>
      <c r="BE259" s="10" t="str">
        <f t="shared" si="40"/>
        <v/>
      </c>
      <c r="BF259" s="8" t="str">
        <f t="shared" si="41"/>
        <v/>
      </c>
      <c r="BG259" s="11" t="str">
        <f t="shared" si="42"/>
        <v/>
      </c>
      <c r="BH259" s="8" t="str">
        <f t="shared" si="43"/>
        <v/>
      </c>
      <c r="BI259" s="8" t="str">
        <f t="shared" si="44"/>
        <v/>
      </c>
      <c r="BJ259" s="9" t="str">
        <f t="shared" si="45"/>
        <v/>
      </c>
      <c r="BK259" s="9" t="str">
        <f>IF($B259="","",COUNTIFS($B$5:$B259,$B259,$BF$5:$BF259,$BF259))</f>
        <v/>
      </c>
      <c r="BL259" s="9" t="str">
        <f>IF($B259="","",COUNTIFS($B$5:$B259,$B259,$BH$5:$BH259,$BH259))</f>
        <v/>
      </c>
      <c r="BM259" s="9" t="str">
        <f t="shared" si="46"/>
        <v/>
      </c>
      <c r="BN259" s="9" t="str">
        <f t="shared" si="47"/>
        <v/>
      </c>
      <c r="BO259" s="9">
        <f t="shared" si="48"/>
        <v>0</v>
      </c>
      <c r="BR259" s="12" t="str">
        <f t="shared" si="49"/>
        <v/>
      </c>
    </row>
    <row r="260" spans="1:70" ht="14.25" customHeight="1">
      <c r="A260" s="26"/>
      <c r="C260" s="26"/>
      <c r="D260" s="27"/>
      <c r="E260" s="27"/>
      <c r="BE260" s="10" t="str">
        <f t="shared" si="40"/>
        <v/>
      </c>
      <c r="BF260" s="8" t="str">
        <f t="shared" si="41"/>
        <v/>
      </c>
      <c r="BG260" s="11" t="str">
        <f t="shared" si="42"/>
        <v/>
      </c>
      <c r="BH260" s="8" t="str">
        <f t="shared" si="43"/>
        <v/>
      </c>
      <c r="BI260" s="8" t="str">
        <f t="shared" si="44"/>
        <v/>
      </c>
      <c r="BJ260" s="9" t="str">
        <f t="shared" si="45"/>
        <v/>
      </c>
      <c r="BK260" s="9" t="str">
        <f>IF($B260="","",COUNTIFS($B$5:$B260,$B260,$BF$5:$BF260,$BF260))</f>
        <v/>
      </c>
      <c r="BL260" s="9" t="str">
        <f>IF($B260="","",COUNTIFS($B$5:$B260,$B260,$BH$5:$BH260,$BH260))</f>
        <v/>
      </c>
      <c r="BM260" s="9" t="str">
        <f t="shared" si="46"/>
        <v/>
      </c>
      <c r="BN260" s="9" t="str">
        <f t="shared" si="47"/>
        <v/>
      </c>
      <c r="BO260" s="9">
        <f t="shared" si="48"/>
        <v>0</v>
      </c>
      <c r="BR260" s="12" t="str">
        <f t="shared" si="49"/>
        <v/>
      </c>
    </row>
    <row r="261" spans="1:70" ht="14.25" customHeight="1">
      <c r="A261" s="26"/>
      <c r="C261" s="26"/>
      <c r="D261" s="27"/>
      <c r="E261" s="27"/>
      <c r="BE261" s="10" t="str">
        <f t="shared" si="40"/>
        <v/>
      </c>
      <c r="BF261" s="8" t="str">
        <f t="shared" si="41"/>
        <v/>
      </c>
      <c r="BG261" s="11" t="str">
        <f t="shared" si="42"/>
        <v/>
      </c>
      <c r="BH261" s="8" t="str">
        <f t="shared" si="43"/>
        <v/>
      </c>
      <c r="BI261" s="8" t="str">
        <f t="shared" si="44"/>
        <v/>
      </c>
      <c r="BJ261" s="9" t="str">
        <f t="shared" si="45"/>
        <v/>
      </c>
      <c r="BK261" s="9" t="str">
        <f>IF($B261="","",COUNTIFS($B$5:$B261,$B261,$BF$5:$BF261,$BF261))</f>
        <v/>
      </c>
      <c r="BL261" s="9" t="str">
        <f>IF($B261="","",COUNTIFS($B$5:$B261,$B261,$BH$5:$BH261,$BH261))</f>
        <v/>
      </c>
      <c r="BM261" s="9" t="str">
        <f t="shared" si="46"/>
        <v/>
      </c>
      <c r="BN261" s="9" t="str">
        <f t="shared" si="47"/>
        <v/>
      </c>
      <c r="BO261" s="9">
        <f t="shared" si="48"/>
        <v>0</v>
      </c>
      <c r="BR261" s="12" t="str">
        <f t="shared" si="49"/>
        <v/>
      </c>
    </row>
    <row r="262" spans="1:70" ht="14.25" customHeight="1">
      <c r="A262" s="26"/>
      <c r="C262" s="26"/>
      <c r="D262" s="27"/>
      <c r="E262" s="27"/>
      <c r="BE262" s="10" t="str">
        <f t="shared" si="40"/>
        <v/>
      </c>
      <c r="BF262" s="8" t="str">
        <f t="shared" si="41"/>
        <v/>
      </c>
      <c r="BG262" s="11" t="str">
        <f t="shared" si="42"/>
        <v/>
      </c>
      <c r="BH262" s="8" t="str">
        <f t="shared" si="43"/>
        <v/>
      </c>
      <c r="BI262" s="8" t="str">
        <f t="shared" si="44"/>
        <v/>
      </c>
      <c r="BJ262" s="9" t="str">
        <f t="shared" si="45"/>
        <v/>
      </c>
      <c r="BK262" s="9" t="str">
        <f>IF($B262="","",COUNTIFS($B$5:$B262,$B262,$BF$5:$BF262,$BF262))</f>
        <v/>
      </c>
      <c r="BL262" s="9" t="str">
        <f>IF($B262="","",COUNTIFS($B$5:$B262,$B262,$BH$5:$BH262,$BH262))</f>
        <v/>
      </c>
      <c r="BM262" s="9" t="str">
        <f t="shared" si="46"/>
        <v/>
      </c>
      <c r="BN262" s="9" t="str">
        <f t="shared" si="47"/>
        <v/>
      </c>
      <c r="BO262" s="9">
        <f t="shared" si="48"/>
        <v>0</v>
      </c>
      <c r="BR262" s="12" t="str">
        <f t="shared" si="49"/>
        <v/>
      </c>
    </row>
    <row r="263" spans="1:70" ht="14.25" customHeight="1">
      <c r="A263" s="26"/>
      <c r="C263" s="26"/>
      <c r="D263" s="27"/>
      <c r="E263" s="27"/>
      <c r="BE263" s="10" t="str">
        <f t="shared" si="40"/>
        <v/>
      </c>
      <c r="BF263" s="8" t="str">
        <f t="shared" si="41"/>
        <v/>
      </c>
      <c r="BG263" s="11" t="str">
        <f t="shared" si="42"/>
        <v/>
      </c>
      <c r="BH263" s="8" t="str">
        <f t="shared" si="43"/>
        <v/>
      </c>
      <c r="BI263" s="8" t="str">
        <f t="shared" si="44"/>
        <v/>
      </c>
      <c r="BJ263" s="9" t="str">
        <f t="shared" si="45"/>
        <v/>
      </c>
      <c r="BK263" s="9" t="str">
        <f>IF($B263="","",COUNTIFS($B$5:$B263,$B263,$BF$5:$BF263,$BF263))</f>
        <v/>
      </c>
      <c r="BL263" s="9" t="str">
        <f>IF($B263="","",COUNTIFS($B$5:$B263,$B263,$BH$5:$BH263,$BH263))</f>
        <v/>
      </c>
      <c r="BM263" s="9" t="str">
        <f t="shared" si="46"/>
        <v/>
      </c>
      <c r="BN263" s="9" t="str">
        <f t="shared" si="47"/>
        <v/>
      </c>
      <c r="BO263" s="9">
        <f t="shared" si="48"/>
        <v>0</v>
      </c>
      <c r="BR263" s="12" t="str">
        <f t="shared" si="49"/>
        <v/>
      </c>
    </row>
    <row r="264" spans="1:70" ht="14.25" customHeight="1">
      <c r="A264" s="26"/>
      <c r="C264" s="26"/>
      <c r="D264" s="27"/>
      <c r="E264" s="27"/>
      <c r="BE264" s="10" t="str">
        <f t="shared" si="40"/>
        <v/>
      </c>
      <c r="BF264" s="8" t="str">
        <f t="shared" si="41"/>
        <v/>
      </c>
      <c r="BG264" s="11" t="str">
        <f t="shared" si="42"/>
        <v/>
      </c>
      <c r="BH264" s="8" t="str">
        <f t="shared" si="43"/>
        <v/>
      </c>
      <c r="BI264" s="8" t="str">
        <f t="shared" si="44"/>
        <v/>
      </c>
      <c r="BJ264" s="9" t="str">
        <f t="shared" si="45"/>
        <v/>
      </c>
      <c r="BK264" s="9" t="str">
        <f>IF($B264="","",COUNTIFS($B$5:$B264,$B264,$BF$5:$BF264,$BF264))</f>
        <v/>
      </c>
      <c r="BL264" s="9" t="str">
        <f>IF($B264="","",COUNTIFS($B$5:$B264,$B264,$BH$5:$BH264,$BH264))</f>
        <v/>
      </c>
      <c r="BM264" s="9" t="str">
        <f t="shared" si="46"/>
        <v/>
      </c>
      <c r="BN264" s="9" t="str">
        <f t="shared" si="47"/>
        <v/>
      </c>
      <c r="BO264" s="9">
        <f t="shared" si="48"/>
        <v>0</v>
      </c>
      <c r="BR264" s="12" t="str">
        <f t="shared" si="49"/>
        <v/>
      </c>
    </row>
    <row r="265" spans="1:70" ht="14.25" customHeight="1">
      <c r="A265" s="26"/>
      <c r="C265" s="26"/>
      <c r="D265" s="27"/>
      <c r="E265" s="27"/>
      <c r="BE265" s="10" t="str">
        <f t="shared" si="40"/>
        <v/>
      </c>
      <c r="BF265" s="8" t="str">
        <f t="shared" si="41"/>
        <v/>
      </c>
      <c r="BG265" s="11" t="str">
        <f t="shared" si="42"/>
        <v/>
      </c>
      <c r="BH265" s="8" t="str">
        <f t="shared" si="43"/>
        <v/>
      </c>
      <c r="BI265" s="8" t="str">
        <f t="shared" si="44"/>
        <v/>
      </c>
      <c r="BJ265" s="9" t="str">
        <f t="shared" si="45"/>
        <v/>
      </c>
      <c r="BK265" s="9" t="str">
        <f>IF($B265="","",COUNTIFS($B$5:$B265,$B265,$BF$5:$BF265,$BF265))</f>
        <v/>
      </c>
      <c r="BL265" s="9" t="str">
        <f>IF($B265="","",COUNTIFS($B$5:$B265,$B265,$BH$5:$BH265,$BH265))</f>
        <v/>
      </c>
      <c r="BM265" s="9" t="str">
        <f t="shared" si="46"/>
        <v/>
      </c>
      <c r="BN265" s="9" t="str">
        <f t="shared" si="47"/>
        <v/>
      </c>
      <c r="BO265" s="9">
        <f t="shared" si="48"/>
        <v>0</v>
      </c>
      <c r="BR265" s="12" t="str">
        <f t="shared" si="49"/>
        <v/>
      </c>
    </row>
    <row r="266" spans="1:70" ht="14.25" customHeight="1">
      <c r="A266" s="26"/>
      <c r="C266" s="26"/>
      <c r="D266" s="27"/>
      <c r="E266" s="27"/>
      <c r="BE266" s="10" t="str">
        <f t="shared" si="40"/>
        <v/>
      </c>
      <c r="BF266" s="8" t="str">
        <f t="shared" si="41"/>
        <v/>
      </c>
      <c r="BG266" s="11" t="str">
        <f t="shared" si="42"/>
        <v/>
      </c>
      <c r="BH266" s="8" t="str">
        <f t="shared" si="43"/>
        <v/>
      </c>
      <c r="BI266" s="8" t="str">
        <f t="shared" si="44"/>
        <v/>
      </c>
      <c r="BJ266" s="9" t="str">
        <f t="shared" si="45"/>
        <v/>
      </c>
      <c r="BK266" s="9" t="str">
        <f>IF($B266="","",COUNTIFS($B$5:$B266,$B266,$BF$5:$BF266,$BF266))</f>
        <v/>
      </c>
      <c r="BL266" s="9" t="str">
        <f>IF($B266="","",COUNTIFS($B$5:$B266,$B266,$BH$5:$BH266,$BH266))</f>
        <v/>
      </c>
      <c r="BM266" s="9" t="str">
        <f t="shared" si="46"/>
        <v/>
      </c>
      <c r="BN266" s="9" t="str">
        <f t="shared" si="47"/>
        <v/>
      </c>
      <c r="BO266" s="9">
        <f t="shared" si="48"/>
        <v>0</v>
      </c>
      <c r="BR266" s="12" t="str">
        <f t="shared" si="49"/>
        <v/>
      </c>
    </row>
    <row r="267" spans="1:70" ht="14.25" customHeight="1">
      <c r="A267" s="26"/>
      <c r="C267" s="26"/>
      <c r="D267" s="27"/>
      <c r="E267" s="27"/>
      <c r="BE267" s="10" t="str">
        <f t="shared" si="40"/>
        <v/>
      </c>
      <c r="BF267" s="8" t="str">
        <f t="shared" si="41"/>
        <v/>
      </c>
      <c r="BG267" s="11" t="str">
        <f t="shared" si="42"/>
        <v/>
      </c>
      <c r="BH267" s="8" t="str">
        <f t="shared" si="43"/>
        <v/>
      </c>
      <c r="BI267" s="8" t="str">
        <f t="shared" si="44"/>
        <v/>
      </c>
      <c r="BJ267" s="9" t="str">
        <f t="shared" si="45"/>
        <v/>
      </c>
      <c r="BK267" s="9" t="str">
        <f>IF($B267="","",COUNTIFS($B$5:$B267,$B267,$BF$5:$BF267,$BF267))</f>
        <v/>
      </c>
      <c r="BL267" s="9" t="str">
        <f>IF($B267="","",COUNTIFS($B$5:$B267,$B267,$BH$5:$BH267,$BH267))</f>
        <v/>
      </c>
      <c r="BM267" s="9" t="str">
        <f t="shared" si="46"/>
        <v/>
      </c>
      <c r="BN267" s="9" t="str">
        <f t="shared" si="47"/>
        <v/>
      </c>
      <c r="BO267" s="9">
        <f t="shared" si="48"/>
        <v>0</v>
      </c>
      <c r="BR267" s="12" t="str">
        <f t="shared" si="49"/>
        <v/>
      </c>
    </row>
    <row r="268" spans="1:70" ht="14.25" customHeight="1">
      <c r="A268" s="26"/>
      <c r="C268" s="26"/>
      <c r="D268" s="27"/>
      <c r="E268" s="27"/>
      <c r="BE268" s="10" t="str">
        <f t="shared" si="40"/>
        <v/>
      </c>
      <c r="BF268" s="8" t="str">
        <f t="shared" si="41"/>
        <v/>
      </c>
      <c r="BG268" s="11" t="str">
        <f t="shared" si="42"/>
        <v/>
      </c>
      <c r="BH268" s="8" t="str">
        <f t="shared" si="43"/>
        <v/>
      </c>
      <c r="BI268" s="8" t="str">
        <f t="shared" si="44"/>
        <v/>
      </c>
      <c r="BJ268" s="9" t="str">
        <f t="shared" si="45"/>
        <v/>
      </c>
      <c r="BK268" s="9" t="str">
        <f>IF($B268="","",COUNTIFS($B$5:$B268,$B268,$BF$5:$BF268,$BF268))</f>
        <v/>
      </c>
      <c r="BL268" s="9" t="str">
        <f>IF($B268="","",COUNTIFS($B$5:$B268,$B268,$BH$5:$BH268,$BH268))</f>
        <v/>
      </c>
      <c r="BM268" s="9" t="str">
        <f t="shared" si="46"/>
        <v/>
      </c>
      <c r="BN268" s="9" t="str">
        <f t="shared" si="47"/>
        <v/>
      </c>
      <c r="BO268" s="9">
        <f t="shared" si="48"/>
        <v>0</v>
      </c>
      <c r="BR268" s="12" t="str">
        <f t="shared" si="49"/>
        <v/>
      </c>
    </row>
    <row r="269" spans="1:70" ht="14.25" customHeight="1">
      <c r="A269" s="26"/>
      <c r="C269" s="26"/>
      <c r="D269" s="27"/>
      <c r="E269" s="27"/>
      <c r="BE269" s="10" t="str">
        <f t="shared" si="40"/>
        <v/>
      </c>
      <c r="BF269" s="8" t="str">
        <f t="shared" si="41"/>
        <v/>
      </c>
      <c r="BG269" s="11" t="str">
        <f t="shared" si="42"/>
        <v/>
      </c>
      <c r="BH269" s="8" t="str">
        <f t="shared" si="43"/>
        <v/>
      </c>
      <c r="BI269" s="8" t="str">
        <f t="shared" si="44"/>
        <v/>
      </c>
      <c r="BJ269" s="9" t="str">
        <f t="shared" si="45"/>
        <v/>
      </c>
      <c r="BK269" s="9" t="str">
        <f>IF($B269="","",COUNTIFS($B$5:$B269,$B269,$BF$5:$BF269,$BF269))</f>
        <v/>
      </c>
      <c r="BL269" s="9" t="str">
        <f>IF($B269="","",COUNTIFS($B$5:$B269,$B269,$BH$5:$BH269,$BH269))</f>
        <v/>
      </c>
      <c r="BM269" s="9" t="str">
        <f t="shared" si="46"/>
        <v/>
      </c>
      <c r="BN269" s="9" t="str">
        <f t="shared" si="47"/>
        <v/>
      </c>
      <c r="BO269" s="9">
        <f t="shared" si="48"/>
        <v>0</v>
      </c>
      <c r="BR269" s="12" t="str">
        <f t="shared" si="49"/>
        <v/>
      </c>
    </row>
    <row r="270" spans="1:70" ht="14.25" customHeight="1">
      <c r="A270" s="26"/>
      <c r="C270" s="26"/>
      <c r="D270" s="27"/>
      <c r="E270" s="27"/>
      <c r="BE270" s="10" t="str">
        <f t="shared" si="40"/>
        <v/>
      </c>
      <c r="BF270" s="8" t="str">
        <f t="shared" si="41"/>
        <v/>
      </c>
      <c r="BG270" s="11" t="str">
        <f t="shared" si="42"/>
        <v/>
      </c>
      <c r="BH270" s="8" t="str">
        <f t="shared" si="43"/>
        <v/>
      </c>
      <c r="BI270" s="8" t="str">
        <f t="shared" si="44"/>
        <v/>
      </c>
      <c r="BJ270" s="9" t="str">
        <f t="shared" si="45"/>
        <v/>
      </c>
      <c r="BK270" s="9" t="str">
        <f>IF($B270="","",COUNTIFS($B$5:$B270,$B270,$BF$5:$BF270,$BF270))</f>
        <v/>
      </c>
      <c r="BL270" s="9" t="str">
        <f>IF($B270="","",COUNTIFS($B$5:$B270,$B270,$BH$5:$BH270,$BH270))</f>
        <v/>
      </c>
      <c r="BM270" s="9" t="str">
        <f t="shared" si="46"/>
        <v/>
      </c>
      <c r="BN270" s="9" t="str">
        <f t="shared" si="47"/>
        <v/>
      </c>
      <c r="BO270" s="9">
        <f t="shared" si="48"/>
        <v>0</v>
      </c>
      <c r="BR270" s="12" t="str">
        <f t="shared" si="49"/>
        <v/>
      </c>
    </row>
    <row r="271" spans="1:70" ht="14.25" customHeight="1">
      <c r="A271" s="26"/>
      <c r="C271" s="26"/>
      <c r="D271" s="27"/>
      <c r="E271" s="27"/>
      <c r="BE271" s="10" t="str">
        <f t="shared" si="40"/>
        <v/>
      </c>
      <c r="BF271" s="8" t="str">
        <f t="shared" si="41"/>
        <v/>
      </c>
      <c r="BG271" s="11" t="str">
        <f t="shared" si="42"/>
        <v/>
      </c>
      <c r="BH271" s="8" t="str">
        <f t="shared" si="43"/>
        <v/>
      </c>
      <c r="BI271" s="8" t="str">
        <f t="shared" si="44"/>
        <v/>
      </c>
      <c r="BJ271" s="9" t="str">
        <f t="shared" si="45"/>
        <v/>
      </c>
      <c r="BK271" s="9" t="str">
        <f>IF($B271="","",COUNTIFS($B$5:$B271,$B271,$BF$5:$BF271,$BF271))</f>
        <v/>
      </c>
      <c r="BL271" s="9" t="str">
        <f>IF($B271="","",COUNTIFS($B$5:$B271,$B271,$BH$5:$BH271,$BH271))</f>
        <v/>
      </c>
      <c r="BM271" s="9" t="str">
        <f t="shared" si="46"/>
        <v/>
      </c>
      <c r="BN271" s="9" t="str">
        <f t="shared" si="47"/>
        <v/>
      </c>
      <c r="BO271" s="9">
        <f t="shared" si="48"/>
        <v>0</v>
      </c>
      <c r="BR271" s="12" t="str">
        <f t="shared" si="49"/>
        <v/>
      </c>
    </row>
    <row r="272" spans="1:70" ht="14.25" customHeight="1">
      <c r="A272" s="26"/>
      <c r="C272" s="26"/>
      <c r="D272" s="27"/>
      <c r="E272" s="27"/>
      <c r="BE272" s="10" t="str">
        <f t="shared" si="40"/>
        <v/>
      </c>
      <c r="BF272" s="8" t="str">
        <f t="shared" si="41"/>
        <v/>
      </c>
      <c r="BG272" s="11" t="str">
        <f t="shared" si="42"/>
        <v/>
      </c>
      <c r="BH272" s="8" t="str">
        <f t="shared" si="43"/>
        <v/>
      </c>
      <c r="BI272" s="8" t="str">
        <f t="shared" si="44"/>
        <v/>
      </c>
      <c r="BJ272" s="9" t="str">
        <f t="shared" si="45"/>
        <v/>
      </c>
      <c r="BK272" s="9" t="str">
        <f>IF($B272="","",COUNTIFS($B$5:$B272,$B272,$BF$5:$BF272,$BF272))</f>
        <v/>
      </c>
      <c r="BL272" s="9" t="str">
        <f>IF($B272="","",COUNTIFS($B$5:$B272,$B272,$BH$5:$BH272,$BH272))</f>
        <v/>
      </c>
      <c r="BM272" s="9" t="str">
        <f t="shared" si="46"/>
        <v/>
      </c>
      <c r="BN272" s="9" t="str">
        <f t="shared" si="47"/>
        <v/>
      </c>
      <c r="BO272" s="9">
        <f t="shared" si="48"/>
        <v>0</v>
      </c>
      <c r="BR272" s="12" t="str">
        <f t="shared" si="49"/>
        <v/>
      </c>
    </row>
    <row r="273" spans="1:70" ht="14.25" customHeight="1">
      <c r="A273" s="26"/>
      <c r="C273" s="26"/>
      <c r="D273" s="27"/>
      <c r="E273" s="27"/>
      <c r="BE273" s="10" t="str">
        <f t="shared" si="40"/>
        <v/>
      </c>
      <c r="BF273" s="8" t="str">
        <f t="shared" si="41"/>
        <v/>
      </c>
      <c r="BG273" s="11" t="str">
        <f t="shared" si="42"/>
        <v/>
      </c>
      <c r="BH273" s="8" t="str">
        <f t="shared" si="43"/>
        <v/>
      </c>
      <c r="BI273" s="8" t="str">
        <f t="shared" si="44"/>
        <v/>
      </c>
      <c r="BJ273" s="9" t="str">
        <f t="shared" si="45"/>
        <v/>
      </c>
      <c r="BK273" s="9" t="str">
        <f>IF($B273="","",COUNTIFS($B$5:$B273,$B273,$BF$5:$BF273,$BF273))</f>
        <v/>
      </c>
      <c r="BL273" s="9" t="str">
        <f>IF($B273="","",COUNTIFS($B$5:$B273,$B273,$BH$5:$BH273,$BH273))</f>
        <v/>
      </c>
      <c r="BM273" s="9" t="str">
        <f t="shared" si="46"/>
        <v/>
      </c>
      <c r="BN273" s="9" t="str">
        <f t="shared" si="47"/>
        <v/>
      </c>
      <c r="BO273" s="9">
        <f t="shared" si="48"/>
        <v>0</v>
      </c>
      <c r="BR273" s="12" t="str">
        <f t="shared" si="49"/>
        <v/>
      </c>
    </row>
    <row r="274" spans="1:70" ht="14.25" customHeight="1">
      <c r="A274" s="26"/>
      <c r="C274" s="26"/>
      <c r="D274" s="27"/>
      <c r="E274" s="27"/>
      <c r="BE274" s="10" t="str">
        <f t="shared" si="40"/>
        <v/>
      </c>
      <c r="BF274" s="8" t="str">
        <f t="shared" si="41"/>
        <v/>
      </c>
      <c r="BG274" s="11" t="str">
        <f t="shared" si="42"/>
        <v/>
      </c>
      <c r="BH274" s="8" t="str">
        <f t="shared" si="43"/>
        <v/>
      </c>
      <c r="BI274" s="8" t="str">
        <f t="shared" si="44"/>
        <v/>
      </c>
      <c r="BJ274" s="9" t="str">
        <f t="shared" si="45"/>
        <v/>
      </c>
      <c r="BK274" s="9" t="str">
        <f>IF($B274="","",COUNTIFS($B$5:$B274,$B274,$BF$5:$BF274,$BF274))</f>
        <v/>
      </c>
      <c r="BL274" s="9" t="str">
        <f>IF($B274="","",COUNTIFS($B$5:$B274,$B274,$BH$5:$BH274,$BH274))</f>
        <v/>
      </c>
      <c r="BM274" s="9" t="str">
        <f t="shared" si="46"/>
        <v/>
      </c>
      <c r="BN274" s="9" t="str">
        <f t="shared" si="47"/>
        <v/>
      </c>
      <c r="BO274" s="9">
        <f t="shared" si="48"/>
        <v>0</v>
      </c>
      <c r="BR274" s="12" t="str">
        <f t="shared" si="49"/>
        <v/>
      </c>
    </row>
    <row r="275" spans="1:70" ht="14.25" customHeight="1">
      <c r="A275" s="26"/>
      <c r="C275" s="26"/>
      <c r="D275" s="27"/>
      <c r="E275" s="27"/>
      <c r="BE275" s="10" t="str">
        <f t="shared" si="40"/>
        <v/>
      </c>
      <c r="BF275" s="8" t="str">
        <f t="shared" si="41"/>
        <v/>
      </c>
      <c r="BG275" s="11" t="str">
        <f t="shared" si="42"/>
        <v/>
      </c>
      <c r="BH275" s="8" t="str">
        <f t="shared" si="43"/>
        <v/>
      </c>
      <c r="BI275" s="8" t="str">
        <f t="shared" si="44"/>
        <v/>
      </c>
      <c r="BJ275" s="9" t="str">
        <f t="shared" si="45"/>
        <v/>
      </c>
      <c r="BK275" s="9" t="str">
        <f>IF($B275="","",COUNTIFS($B$5:$B275,$B275,$BF$5:$BF275,$BF275))</f>
        <v/>
      </c>
      <c r="BL275" s="9" t="str">
        <f>IF($B275="","",COUNTIFS($B$5:$B275,$B275,$BH$5:$BH275,$BH275))</f>
        <v/>
      </c>
      <c r="BM275" s="9" t="str">
        <f t="shared" si="46"/>
        <v/>
      </c>
      <c r="BN275" s="9" t="str">
        <f t="shared" si="47"/>
        <v/>
      </c>
      <c r="BO275" s="9">
        <f t="shared" si="48"/>
        <v>0</v>
      </c>
      <c r="BR275" s="12" t="str">
        <f t="shared" si="49"/>
        <v/>
      </c>
    </row>
    <row r="276" spans="1:70" ht="14.25" customHeight="1">
      <c r="A276" s="26"/>
      <c r="C276" s="26"/>
      <c r="D276" s="27"/>
      <c r="E276" s="27"/>
      <c r="BE276" s="10" t="str">
        <f t="shared" si="40"/>
        <v/>
      </c>
      <c r="BF276" s="8" t="str">
        <f t="shared" si="41"/>
        <v/>
      </c>
      <c r="BG276" s="11" t="str">
        <f t="shared" si="42"/>
        <v/>
      </c>
      <c r="BH276" s="8" t="str">
        <f t="shared" si="43"/>
        <v/>
      </c>
      <c r="BI276" s="8" t="str">
        <f t="shared" si="44"/>
        <v/>
      </c>
      <c r="BJ276" s="9" t="str">
        <f t="shared" si="45"/>
        <v/>
      </c>
      <c r="BK276" s="9" t="str">
        <f>IF($B276="","",COUNTIFS($B$5:$B276,$B276,$BF$5:$BF276,$BF276))</f>
        <v/>
      </c>
      <c r="BL276" s="9" t="str">
        <f>IF($B276="","",COUNTIFS($B$5:$B276,$B276,$BH$5:$BH276,$BH276))</f>
        <v/>
      </c>
      <c r="BM276" s="9" t="str">
        <f t="shared" si="46"/>
        <v/>
      </c>
      <c r="BN276" s="9" t="str">
        <f t="shared" si="47"/>
        <v/>
      </c>
      <c r="BO276" s="9">
        <f t="shared" si="48"/>
        <v>0</v>
      </c>
      <c r="BR276" s="12" t="str">
        <f t="shared" si="49"/>
        <v/>
      </c>
    </row>
    <row r="277" spans="1:70" ht="14.25" customHeight="1">
      <c r="A277" s="26"/>
      <c r="C277" s="26"/>
      <c r="D277" s="27"/>
      <c r="E277" s="27"/>
      <c r="BE277" s="10" t="str">
        <f t="shared" si="40"/>
        <v/>
      </c>
      <c r="BF277" s="8" t="str">
        <f t="shared" si="41"/>
        <v/>
      </c>
      <c r="BG277" s="11" t="str">
        <f t="shared" si="42"/>
        <v/>
      </c>
      <c r="BH277" s="8" t="str">
        <f t="shared" si="43"/>
        <v/>
      </c>
      <c r="BI277" s="8" t="str">
        <f t="shared" si="44"/>
        <v/>
      </c>
      <c r="BJ277" s="9" t="str">
        <f t="shared" si="45"/>
        <v/>
      </c>
      <c r="BK277" s="9" t="str">
        <f>IF($B277="","",COUNTIFS($B$5:$B277,$B277,$BF$5:$BF277,$BF277))</f>
        <v/>
      </c>
      <c r="BL277" s="9" t="str">
        <f>IF($B277="","",COUNTIFS($B$5:$B277,$B277,$BH$5:$BH277,$BH277))</f>
        <v/>
      </c>
      <c r="BM277" s="9" t="str">
        <f t="shared" si="46"/>
        <v/>
      </c>
      <c r="BN277" s="9" t="str">
        <f t="shared" si="47"/>
        <v/>
      </c>
      <c r="BO277" s="9">
        <f t="shared" si="48"/>
        <v>0</v>
      </c>
      <c r="BR277" s="12" t="str">
        <f t="shared" si="49"/>
        <v/>
      </c>
    </row>
    <row r="278" spans="1:70" ht="14.25" customHeight="1">
      <c r="A278" s="26"/>
      <c r="C278" s="26"/>
      <c r="D278" s="27"/>
      <c r="E278" s="27"/>
      <c r="BE278" s="10" t="str">
        <f t="shared" si="40"/>
        <v/>
      </c>
      <c r="BF278" s="8" t="str">
        <f t="shared" si="41"/>
        <v/>
      </c>
      <c r="BG278" s="11" t="str">
        <f t="shared" si="42"/>
        <v/>
      </c>
      <c r="BH278" s="8" t="str">
        <f t="shared" si="43"/>
        <v/>
      </c>
      <c r="BI278" s="8" t="str">
        <f t="shared" si="44"/>
        <v/>
      </c>
      <c r="BJ278" s="9" t="str">
        <f t="shared" si="45"/>
        <v/>
      </c>
      <c r="BK278" s="9" t="str">
        <f>IF($B278="","",COUNTIFS($B$5:$B278,$B278,$BF$5:$BF278,$BF278))</f>
        <v/>
      </c>
      <c r="BL278" s="9" t="str">
        <f>IF($B278="","",COUNTIFS($B$5:$B278,$B278,$BH$5:$BH278,$BH278))</f>
        <v/>
      </c>
      <c r="BM278" s="9" t="str">
        <f t="shared" si="46"/>
        <v/>
      </c>
      <c r="BN278" s="9" t="str">
        <f t="shared" si="47"/>
        <v/>
      </c>
      <c r="BO278" s="9">
        <f t="shared" si="48"/>
        <v>0</v>
      </c>
      <c r="BR278" s="12" t="str">
        <f t="shared" si="49"/>
        <v/>
      </c>
    </row>
    <row r="279" spans="1:70" ht="14.25" customHeight="1">
      <c r="A279" s="26"/>
      <c r="C279" s="26"/>
      <c r="D279" s="27"/>
      <c r="E279" s="27"/>
      <c r="BE279" s="10" t="str">
        <f t="shared" si="40"/>
        <v/>
      </c>
      <c r="BF279" s="8" t="str">
        <f t="shared" si="41"/>
        <v/>
      </c>
      <c r="BG279" s="11" t="str">
        <f t="shared" si="42"/>
        <v/>
      </c>
      <c r="BH279" s="8" t="str">
        <f t="shared" si="43"/>
        <v/>
      </c>
      <c r="BI279" s="8" t="str">
        <f t="shared" si="44"/>
        <v/>
      </c>
      <c r="BJ279" s="9" t="str">
        <f t="shared" si="45"/>
        <v/>
      </c>
      <c r="BK279" s="9" t="str">
        <f>IF($B279="","",COUNTIFS($B$5:$B279,$B279,$BF$5:$BF279,$BF279))</f>
        <v/>
      </c>
      <c r="BL279" s="9" t="str">
        <f>IF($B279="","",COUNTIFS($B$5:$B279,$B279,$BH$5:$BH279,$BH279))</f>
        <v/>
      </c>
      <c r="BM279" s="9" t="str">
        <f t="shared" si="46"/>
        <v/>
      </c>
      <c r="BN279" s="9" t="str">
        <f t="shared" si="47"/>
        <v/>
      </c>
      <c r="BO279" s="9">
        <f t="shared" si="48"/>
        <v>0</v>
      </c>
      <c r="BR279" s="12" t="str">
        <f t="shared" si="49"/>
        <v/>
      </c>
    </row>
    <row r="280" spans="1:70" ht="14.25" customHeight="1">
      <c r="A280" s="26"/>
      <c r="C280" s="26"/>
      <c r="D280" s="27"/>
      <c r="E280" s="27"/>
      <c r="BE280" s="10" t="str">
        <f t="shared" si="40"/>
        <v/>
      </c>
      <c r="BF280" s="8" t="str">
        <f t="shared" si="41"/>
        <v/>
      </c>
      <c r="BG280" s="11" t="str">
        <f t="shared" si="42"/>
        <v/>
      </c>
      <c r="BH280" s="8" t="str">
        <f t="shared" si="43"/>
        <v/>
      </c>
      <c r="BI280" s="8" t="str">
        <f t="shared" si="44"/>
        <v/>
      </c>
      <c r="BJ280" s="9" t="str">
        <f t="shared" si="45"/>
        <v/>
      </c>
      <c r="BK280" s="9" t="str">
        <f>IF($B280="","",COUNTIFS($B$5:$B280,$B280,$BF$5:$BF280,$BF280))</f>
        <v/>
      </c>
      <c r="BL280" s="9" t="str">
        <f>IF($B280="","",COUNTIFS($B$5:$B280,$B280,$BH$5:$BH280,$BH280))</f>
        <v/>
      </c>
      <c r="BM280" s="9" t="str">
        <f t="shared" si="46"/>
        <v/>
      </c>
      <c r="BN280" s="9" t="str">
        <f t="shared" si="47"/>
        <v/>
      </c>
      <c r="BO280" s="9">
        <f t="shared" si="48"/>
        <v>0</v>
      </c>
      <c r="BR280" s="12" t="str">
        <f t="shared" si="49"/>
        <v/>
      </c>
    </row>
    <row r="281" spans="1:70" ht="14.25" customHeight="1">
      <c r="A281" s="26"/>
      <c r="C281" s="26"/>
      <c r="D281" s="27"/>
      <c r="E281" s="27"/>
      <c r="BE281" s="10" t="str">
        <f t="shared" si="40"/>
        <v/>
      </c>
      <c r="BF281" s="8" t="str">
        <f t="shared" si="41"/>
        <v/>
      </c>
      <c r="BG281" s="11" t="str">
        <f t="shared" si="42"/>
        <v/>
      </c>
      <c r="BH281" s="8" t="str">
        <f t="shared" si="43"/>
        <v/>
      </c>
      <c r="BI281" s="8" t="str">
        <f t="shared" si="44"/>
        <v/>
      </c>
      <c r="BJ281" s="9" t="str">
        <f t="shared" si="45"/>
        <v/>
      </c>
      <c r="BK281" s="9" t="str">
        <f>IF($B281="","",COUNTIFS($B$5:$B281,$B281,$BF$5:$BF281,$BF281))</f>
        <v/>
      </c>
      <c r="BL281" s="9" t="str">
        <f>IF($B281="","",COUNTIFS($B$5:$B281,$B281,$BH$5:$BH281,$BH281))</f>
        <v/>
      </c>
      <c r="BM281" s="9" t="str">
        <f t="shared" si="46"/>
        <v/>
      </c>
      <c r="BN281" s="9" t="str">
        <f t="shared" si="47"/>
        <v/>
      </c>
      <c r="BO281" s="9">
        <f t="shared" si="48"/>
        <v>0</v>
      </c>
      <c r="BR281" s="12" t="str">
        <f t="shared" si="49"/>
        <v/>
      </c>
    </row>
    <row r="282" spans="1:70" ht="14.25" customHeight="1">
      <c r="A282" s="26"/>
      <c r="C282" s="26"/>
      <c r="D282" s="27"/>
      <c r="E282" s="27"/>
      <c r="BE282" s="10" t="str">
        <f t="shared" si="40"/>
        <v/>
      </c>
      <c r="BF282" s="8" t="str">
        <f t="shared" si="41"/>
        <v/>
      </c>
      <c r="BG282" s="11" t="str">
        <f t="shared" si="42"/>
        <v/>
      </c>
      <c r="BH282" s="8" t="str">
        <f t="shared" si="43"/>
        <v/>
      </c>
      <c r="BI282" s="8" t="str">
        <f t="shared" si="44"/>
        <v/>
      </c>
      <c r="BJ282" s="9" t="str">
        <f t="shared" si="45"/>
        <v/>
      </c>
      <c r="BK282" s="9" t="str">
        <f>IF($B282="","",COUNTIFS($B$5:$B282,$B282,$BF$5:$BF282,$BF282))</f>
        <v/>
      </c>
      <c r="BL282" s="9" t="str">
        <f>IF($B282="","",COUNTIFS($B$5:$B282,$B282,$BH$5:$BH282,$BH282))</f>
        <v/>
      </c>
      <c r="BM282" s="9" t="str">
        <f t="shared" si="46"/>
        <v/>
      </c>
      <c r="BN282" s="9" t="str">
        <f t="shared" si="47"/>
        <v/>
      </c>
      <c r="BO282" s="9">
        <f t="shared" si="48"/>
        <v>0</v>
      </c>
      <c r="BR282" s="12" t="str">
        <f t="shared" si="49"/>
        <v/>
      </c>
    </row>
    <row r="283" spans="1:70" ht="14.25" customHeight="1">
      <c r="A283" s="26"/>
      <c r="C283" s="26"/>
      <c r="D283" s="27"/>
      <c r="E283" s="27"/>
      <c r="BE283" s="10" t="str">
        <f t="shared" si="40"/>
        <v/>
      </c>
      <c r="BF283" s="8" t="str">
        <f t="shared" si="41"/>
        <v/>
      </c>
      <c r="BG283" s="11" t="str">
        <f t="shared" si="42"/>
        <v/>
      </c>
      <c r="BH283" s="8" t="str">
        <f t="shared" si="43"/>
        <v/>
      </c>
      <c r="BI283" s="8" t="str">
        <f t="shared" si="44"/>
        <v/>
      </c>
      <c r="BJ283" s="9" t="str">
        <f t="shared" si="45"/>
        <v/>
      </c>
      <c r="BK283" s="9" t="str">
        <f>IF($B283="","",COUNTIFS($B$5:$B283,$B283,$BF$5:$BF283,$BF283))</f>
        <v/>
      </c>
      <c r="BL283" s="9" t="str">
        <f>IF($B283="","",COUNTIFS($B$5:$B283,$B283,$BH$5:$BH283,$BH283))</f>
        <v/>
      </c>
      <c r="BM283" s="9" t="str">
        <f t="shared" si="46"/>
        <v/>
      </c>
      <c r="BN283" s="9" t="str">
        <f t="shared" si="47"/>
        <v/>
      </c>
      <c r="BO283" s="9">
        <f t="shared" si="48"/>
        <v>0</v>
      </c>
      <c r="BR283" s="12" t="str">
        <f t="shared" si="49"/>
        <v/>
      </c>
    </row>
    <row r="284" spans="1:70" ht="14.25" customHeight="1">
      <c r="A284" s="26"/>
      <c r="C284" s="26"/>
      <c r="D284" s="27"/>
      <c r="E284" s="27"/>
      <c r="BE284" s="10" t="str">
        <f t="shared" si="40"/>
        <v/>
      </c>
      <c r="BF284" s="8" t="str">
        <f t="shared" si="41"/>
        <v/>
      </c>
      <c r="BG284" s="11" t="str">
        <f t="shared" si="42"/>
        <v/>
      </c>
      <c r="BH284" s="8" t="str">
        <f t="shared" si="43"/>
        <v/>
      </c>
      <c r="BI284" s="8" t="str">
        <f t="shared" si="44"/>
        <v/>
      </c>
      <c r="BJ284" s="9" t="str">
        <f t="shared" si="45"/>
        <v/>
      </c>
      <c r="BK284" s="9" t="str">
        <f>IF($B284="","",COUNTIFS($B$5:$B284,$B284,$BF$5:$BF284,$BF284))</f>
        <v/>
      </c>
      <c r="BL284" s="9" t="str">
        <f>IF($B284="","",COUNTIFS($B$5:$B284,$B284,$BH$5:$BH284,$BH284))</f>
        <v/>
      </c>
      <c r="BM284" s="9" t="str">
        <f t="shared" si="46"/>
        <v/>
      </c>
      <c r="BN284" s="9" t="str">
        <f t="shared" si="47"/>
        <v/>
      </c>
      <c r="BO284" s="9">
        <f t="shared" si="48"/>
        <v>0</v>
      </c>
      <c r="BR284" s="12" t="str">
        <f t="shared" si="49"/>
        <v/>
      </c>
    </row>
    <row r="285" spans="1:70" ht="14.25" customHeight="1">
      <c r="A285" s="26"/>
      <c r="C285" s="26"/>
      <c r="D285" s="27"/>
      <c r="E285" s="27"/>
      <c r="BE285" s="10" t="str">
        <f t="shared" ref="BE285:BE348" si="50">IF($B285="","",IF(COUNT($H285,$J285,$L285,$N285,$P285,$R285)&gt;0,SUM($H285,$J285,$L285,$N285,$P285,$R285),SUM($T285,$V285,$X285,$Z285,$AB285,$AD285,$AF285,$AH285,$AJ285,$AL285,$AN285,$AP285,$AR285,$AT285,$AV285,$AX285,$AZ285)))</f>
        <v/>
      </c>
      <c r="BF285" s="8" t="str">
        <f t="shared" ref="BF285:BF348" si="51">IF($C285="","",DATE(YEAR($C285),MONTH($C285),1))</f>
        <v/>
      </c>
      <c r="BG285" s="11" t="str">
        <f t="shared" ref="BG285:BG348" si="52">IF($BF285="","",TEXT($BF285,"mmmm yyyy"))</f>
        <v/>
      </c>
      <c r="BH285" s="8" t="str">
        <f t="shared" ref="BH285:BH348" si="53">IF($C285="","",$C285-WEEKDAY($C285,2)+1)</f>
        <v/>
      </c>
      <c r="BI285" s="8" t="str">
        <f t="shared" ref="BI285:BI348" si="54">IF($BH285="","",$BH285+6)</f>
        <v/>
      </c>
      <c r="BJ285" s="9" t="str">
        <f t="shared" ref="BJ285:BJ348" si="55">IF($BH285="","",TEXT($BH285,"dd/mm/yyyy")&amp;" - "&amp;TEXT($BI285,"dd/mm/yyyy"))</f>
        <v/>
      </c>
      <c r="BK285" s="9" t="str">
        <f>IF($B285="","",COUNTIFS($B$5:$B285,$B285,$BF$5:$BF285,$BF285))</f>
        <v/>
      </c>
      <c r="BL285" s="9" t="str">
        <f>IF($B285="","",COUNTIFS($B$5:$B285,$B285,$BH$5:$BH285,$BH285))</f>
        <v/>
      </c>
      <c r="BM285" s="9" t="str">
        <f t="shared" ref="BM285:BM348" si="56">IF($B285="","",TEXT($BK285,"00")&amp;"|"&amp;$B285&amp;"|"&amp;TEXT($BF285,"yyyymmdd"))</f>
        <v/>
      </c>
      <c r="BN285" s="9" t="str">
        <f t="shared" ref="BN285:BN348" si="57">IF($B285="","",TEXT($BL285,"00")&amp;"|"&amp;$B285&amp;"|"&amp;TEXT($BH285,"yyyymmdd"))</f>
        <v/>
      </c>
      <c r="BO285" s="9">
        <f t="shared" ref="BO285:BO348" si="58">IF(OR($BB285="YES",$BB285="Yes",$BB285="Y",$BB285=1),1,0)</f>
        <v>0</v>
      </c>
      <c r="BR285" s="12" t="str">
        <f t="shared" ref="BR285:BR348" si="59">IF($C285="","",IF($C285&gt;=DATE(2026,6,1),"QA-2026-06",IF($C285&gt;=DATE(2026,5,1),"May 2026+",IF($C285&gt;=DATE(2026,4,1),"April 2026",IF($C285&gt;=DATE(2026,3,1),"March 2026","Jan-Feb 2026")))))</f>
        <v/>
      </c>
    </row>
    <row r="286" spans="1:70" ht="14.25" customHeight="1">
      <c r="A286" s="26"/>
      <c r="C286" s="26"/>
      <c r="D286" s="27"/>
      <c r="E286" s="27"/>
      <c r="BE286" s="10" t="str">
        <f t="shared" si="50"/>
        <v/>
      </c>
      <c r="BF286" s="8" t="str">
        <f t="shared" si="51"/>
        <v/>
      </c>
      <c r="BG286" s="11" t="str">
        <f t="shared" si="52"/>
        <v/>
      </c>
      <c r="BH286" s="8" t="str">
        <f t="shared" si="53"/>
        <v/>
      </c>
      <c r="BI286" s="8" t="str">
        <f t="shared" si="54"/>
        <v/>
      </c>
      <c r="BJ286" s="9" t="str">
        <f t="shared" si="55"/>
        <v/>
      </c>
      <c r="BK286" s="9" t="str">
        <f>IF($B286="","",COUNTIFS($B$5:$B286,$B286,$BF$5:$BF286,$BF286))</f>
        <v/>
      </c>
      <c r="BL286" s="9" t="str">
        <f>IF($B286="","",COUNTIFS($B$5:$B286,$B286,$BH$5:$BH286,$BH286))</f>
        <v/>
      </c>
      <c r="BM286" s="9" t="str">
        <f t="shared" si="56"/>
        <v/>
      </c>
      <c r="BN286" s="9" t="str">
        <f t="shared" si="57"/>
        <v/>
      </c>
      <c r="BO286" s="9">
        <f t="shared" si="58"/>
        <v>0</v>
      </c>
      <c r="BR286" s="12" t="str">
        <f t="shared" si="59"/>
        <v/>
      </c>
    </row>
    <row r="287" spans="1:70" ht="14.25" customHeight="1">
      <c r="A287" s="26"/>
      <c r="C287" s="26"/>
      <c r="D287" s="27"/>
      <c r="E287" s="27"/>
      <c r="BE287" s="10" t="str">
        <f t="shared" si="50"/>
        <v/>
      </c>
      <c r="BF287" s="8" t="str">
        <f t="shared" si="51"/>
        <v/>
      </c>
      <c r="BG287" s="11" t="str">
        <f t="shared" si="52"/>
        <v/>
      </c>
      <c r="BH287" s="8" t="str">
        <f t="shared" si="53"/>
        <v/>
      </c>
      <c r="BI287" s="8" t="str">
        <f t="shared" si="54"/>
        <v/>
      </c>
      <c r="BJ287" s="9" t="str">
        <f t="shared" si="55"/>
        <v/>
      </c>
      <c r="BK287" s="9" t="str">
        <f>IF($B287="","",COUNTIFS($B$5:$B287,$B287,$BF$5:$BF287,$BF287))</f>
        <v/>
      </c>
      <c r="BL287" s="9" t="str">
        <f>IF($B287="","",COUNTIFS($B$5:$B287,$B287,$BH$5:$BH287,$BH287))</f>
        <v/>
      </c>
      <c r="BM287" s="9" t="str">
        <f t="shared" si="56"/>
        <v/>
      </c>
      <c r="BN287" s="9" t="str">
        <f t="shared" si="57"/>
        <v/>
      </c>
      <c r="BO287" s="9">
        <f t="shared" si="58"/>
        <v>0</v>
      </c>
      <c r="BR287" s="12" t="str">
        <f t="shared" si="59"/>
        <v/>
      </c>
    </row>
    <row r="288" spans="1:70" ht="14.25" customHeight="1">
      <c r="A288" s="26"/>
      <c r="C288" s="26"/>
      <c r="D288" s="27"/>
      <c r="E288" s="27"/>
      <c r="BE288" s="10" t="str">
        <f t="shared" si="50"/>
        <v/>
      </c>
      <c r="BF288" s="8" t="str">
        <f t="shared" si="51"/>
        <v/>
      </c>
      <c r="BG288" s="11" t="str">
        <f t="shared" si="52"/>
        <v/>
      </c>
      <c r="BH288" s="8" t="str">
        <f t="shared" si="53"/>
        <v/>
      </c>
      <c r="BI288" s="8" t="str">
        <f t="shared" si="54"/>
        <v/>
      </c>
      <c r="BJ288" s="9" t="str">
        <f t="shared" si="55"/>
        <v/>
      </c>
      <c r="BK288" s="9" t="str">
        <f>IF($B288="","",COUNTIFS($B$5:$B288,$B288,$BF$5:$BF288,$BF288))</f>
        <v/>
      </c>
      <c r="BL288" s="9" t="str">
        <f>IF($B288="","",COUNTIFS($B$5:$B288,$B288,$BH$5:$BH288,$BH288))</f>
        <v/>
      </c>
      <c r="BM288" s="9" t="str">
        <f t="shared" si="56"/>
        <v/>
      </c>
      <c r="BN288" s="9" t="str">
        <f t="shared" si="57"/>
        <v/>
      </c>
      <c r="BO288" s="9">
        <f t="shared" si="58"/>
        <v>0</v>
      </c>
      <c r="BR288" s="12" t="str">
        <f t="shared" si="59"/>
        <v/>
      </c>
    </row>
    <row r="289" spans="1:70" ht="14.25" customHeight="1">
      <c r="A289" s="26"/>
      <c r="C289" s="26"/>
      <c r="D289" s="27"/>
      <c r="E289" s="27"/>
      <c r="BE289" s="10" t="str">
        <f t="shared" si="50"/>
        <v/>
      </c>
      <c r="BF289" s="8" t="str">
        <f t="shared" si="51"/>
        <v/>
      </c>
      <c r="BG289" s="11" t="str">
        <f t="shared" si="52"/>
        <v/>
      </c>
      <c r="BH289" s="8" t="str">
        <f t="shared" si="53"/>
        <v/>
      </c>
      <c r="BI289" s="8" t="str">
        <f t="shared" si="54"/>
        <v/>
      </c>
      <c r="BJ289" s="9" t="str">
        <f t="shared" si="55"/>
        <v/>
      </c>
      <c r="BK289" s="9" t="str">
        <f>IF($B289="","",COUNTIFS($B$5:$B289,$B289,$BF$5:$BF289,$BF289))</f>
        <v/>
      </c>
      <c r="BL289" s="9" t="str">
        <f>IF($B289="","",COUNTIFS($B$5:$B289,$B289,$BH$5:$BH289,$BH289))</f>
        <v/>
      </c>
      <c r="BM289" s="9" t="str">
        <f t="shared" si="56"/>
        <v/>
      </c>
      <c r="BN289" s="9" t="str">
        <f t="shared" si="57"/>
        <v/>
      </c>
      <c r="BO289" s="9">
        <f t="shared" si="58"/>
        <v>0</v>
      </c>
      <c r="BR289" s="12" t="str">
        <f t="shared" si="59"/>
        <v/>
      </c>
    </row>
    <row r="290" spans="1:70" ht="14.25" customHeight="1">
      <c r="A290" s="26"/>
      <c r="C290" s="26"/>
      <c r="D290" s="27"/>
      <c r="E290" s="27"/>
      <c r="BE290" s="10" t="str">
        <f t="shared" si="50"/>
        <v/>
      </c>
      <c r="BF290" s="8" t="str">
        <f t="shared" si="51"/>
        <v/>
      </c>
      <c r="BG290" s="11" t="str">
        <f t="shared" si="52"/>
        <v/>
      </c>
      <c r="BH290" s="8" t="str">
        <f t="shared" si="53"/>
        <v/>
      </c>
      <c r="BI290" s="8" t="str">
        <f t="shared" si="54"/>
        <v/>
      </c>
      <c r="BJ290" s="9" t="str">
        <f t="shared" si="55"/>
        <v/>
      </c>
      <c r="BK290" s="9" t="str">
        <f>IF($B290="","",COUNTIFS($B$5:$B290,$B290,$BF$5:$BF290,$BF290))</f>
        <v/>
      </c>
      <c r="BL290" s="9" t="str">
        <f>IF($B290="","",COUNTIFS($B$5:$B290,$B290,$BH$5:$BH290,$BH290))</f>
        <v/>
      </c>
      <c r="BM290" s="9" t="str">
        <f t="shared" si="56"/>
        <v/>
      </c>
      <c r="BN290" s="9" t="str">
        <f t="shared" si="57"/>
        <v/>
      </c>
      <c r="BO290" s="9">
        <f t="shared" si="58"/>
        <v>0</v>
      </c>
      <c r="BR290" s="12" t="str">
        <f t="shared" si="59"/>
        <v/>
      </c>
    </row>
    <row r="291" spans="1:70" ht="14.25" customHeight="1">
      <c r="A291" s="26"/>
      <c r="C291" s="26"/>
      <c r="D291" s="27"/>
      <c r="E291" s="27"/>
      <c r="BE291" s="10" t="str">
        <f t="shared" si="50"/>
        <v/>
      </c>
      <c r="BF291" s="8" t="str">
        <f t="shared" si="51"/>
        <v/>
      </c>
      <c r="BG291" s="11" t="str">
        <f t="shared" si="52"/>
        <v/>
      </c>
      <c r="BH291" s="8" t="str">
        <f t="shared" si="53"/>
        <v/>
      </c>
      <c r="BI291" s="8" t="str">
        <f t="shared" si="54"/>
        <v/>
      </c>
      <c r="BJ291" s="9" t="str">
        <f t="shared" si="55"/>
        <v/>
      </c>
      <c r="BK291" s="9" t="str">
        <f>IF($B291="","",COUNTIFS($B$5:$B291,$B291,$BF$5:$BF291,$BF291))</f>
        <v/>
      </c>
      <c r="BL291" s="9" t="str">
        <f>IF($B291="","",COUNTIFS($B$5:$B291,$B291,$BH$5:$BH291,$BH291))</f>
        <v/>
      </c>
      <c r="BM291" s="9" t="str">
        <f t="shared" si="56"/>
        <v/>
      </c>
      <c r="BN291" s="9" t="str">
        <f t="shared" si="57"/>
        <v/>
      </c>
      <c r="BO291" s="9">
        <f t="shared" si="58"/>
        <v>0</v>
      </c>
      <c r="BR291" s="12" t="str">
        <f t="shared" si="59"/>
        <v/>
      </c>
    </row>
    <row r="292" spans="1:70" ht="14.25" customHeight="1">
      <c r="A292" s="26"/>
      <c r="C292" s="26"/>
      <c r="D292" s="27"/>
      <c r="E292" s="27"/>
      <c r="BE292" s="10" t="str">
        <f t="shared" si="50"/>
        <v/>
      </c>
      <c r="BF292" s="8" t="str">
        <f t="shared" si="51"/>
        <v/>
      </c>
      <c r="BG292" s="11" t="str">
        <f t="shared" si="52"/>
        <v/>
      </c>
      <c r="BH292" s="8" t="str">
        <f t="shared" si="53"/>
        <v/>
      </c>
      <c r="BI292" s="8" t="str">
        <f t="shared" si="54"/>
        <v/>
      </c>
      <c r="BJ292" s="9" t="str">
        <f t="shared" si="55"/>
        <v/>
      </c>
      <c r="BK292" s="9" t="str">
        <f>IF($B292="","",COUNTIFS($B$5:$B292,$B292,$BF$5:$BF292,$BF292))</f>
        <v/>
      </c>
      <c r="BL292" s="9" t="str">
        <f>IF($B292="","",COUNTIFS($B$5:$B292,$B292,$BH$5:$BH292,$BH292))</f>
        <v/>
      </c>
      <c r="BM292" s="9" t="str">
        <f t="shared" si="56"/>
        <v/>
      </c>
      <c r="BN292" s="9" t="str">
        <f t="shared" si="57"/>
        <v/>
      </c>
      <c r="BO292" s="9">
        <f t="shared" si="58"/>
        <v>0</v>
      </c>
      <c r="BR292" s="12" t="str">
        <f t="shared" si="59"/>
        <v/>
      </c>
    </row>
    <row r="293" spans="1:70" ht="14.25" customHeight="1">
      <c r="A293" s="26"/>
      <c r="C293" s="26"/>
      <c r="D293" s="27"/>
      <c r="E293" s="27"/>
      <c r="BE293" s="10" t="str">
        <f t="shared" si="50"/>
        <v/>
      </c>
      <c r="BF293" s="8" t="str">
        <f t="shared" si="51"/>
        <v/>
      </c>
      <c r="BG293" s="11" t="str">
        <f t="shared" si="52"/>
        <v/>
      </c>
      <c r="BH293" s="8" t="str">
        <f t="shared" si="53"/>
        <v/>
      </c>
      <c r="BI293" s="8" t="str">
        <f t="shared" si="54"/>
        <v/>
      </c>
      <c r="BJ293" s="9" t="str">
        <f t="shared" si="55"/>
        <v/>
      </c>
      <c r="BK293" s="9" t="str">
        <f>IF($B293="","",COUNTIFS($B$5:$B293,$B293,$BF$5:$BF293,$BF293))</f>
        <v/>
      </c>
      <c r="BL293" s="9" t="str">
        <f>IF($B293="","",COUNTIFS($B$5:$B293,$B293,$BH$5:$BH293,$BH293))</f>
        <v/>
      </c>
      <c r="BM293" s="9" t="str">
        <f t="shared" si="56"/>
        <v/>
      </c>
      <c r="BN293" s="9" t="str">
        <f t="shared" si="57"/>
        <v/>
      </c>
      <c r="BO293" s="9">
        <f t="shared" si="58"/>
        <v>0</v>
      </c>
      <c r="BR293" s="12" t="str">
        <f t="shared" si="59"/>
        <v/>
      </c>
    </row>
    <row r="294" spans="1:70" ht="14.25" customHeight="1">
      <c r="A294" s="26"/>
      <c r="C294" s="26"/>
      <c r="D294" s="27"/>
      <c r="E294" s="27"/>
      <c r="BE294" s="10" t="str">
        <f t="shared" si="50"/>
        <v/>
      </c>
      <c r="BF294" s="8" t="str">
        <f t="shared" si="51"/>
        <v/>
      </c>
      <c r="BG294" s="11" t="str">
        <f t="shared" si="52"/>
        <v/>
      </c>
      <c r="BH294" s="8" t="str">
        <f t="shared" si="53"/>
        <v/>
      </c>
      <c r="BI294" s="8" t="str">
        <f t="shared" si="54"/>
        <v/>
      </c>
      <c r="BJ294" s="9" t="str">
        <f t="shared" si="55"/>
        <v/>
      </c>
      <c r="BK294" s="9" t="str">
        <f>IF($B294="","",COUNTIFS($B$5:$B294,$B294,$BF$5:$BF294,$BF294))</f>
        <v/>
      </c>
      <c r="BL294" s="9" t="str">
        <f>IF($B294="","",COUNTIFS($B$5:$B294,$B294,$BH$5:$BH294,$BH294))</f>
        <v/>
      </c>
      <c r="BM294" s="9" t="str">
        <f t="shared" si="56"/>
        <v/>
      </c>
      <c r="BN294" s="9" t="str">
        <f t="shared" si="57"/>
        <v/>
      </c>
      <c r="BO294" s="9">
        <f t="shared" si="58"/>
        <v>0</v>
      </c>
      <c r="BR294" s="12" t="str">
        <f t="shared" si="59"/>
        <v/>
      </c>
    </row>
    <row r="295" spans="1:70" ht="14.25" customHeight="1">
      <c r="A295" s="26"/>
      <c r="C295" s="26"/>
      <c r="D295" s="27"/>
      <c r="E295" s="27"/>
      <c r="BE295" s="10" t="str">
        <f t="shared" si="50"/>
        <v/>
      </c>
      <c r="BF295" s="8" t="str">
        <f t="shared" si="51"/>
        <v/>
      </c>
      <c r="BG295" s="11" t="str">
        <f t="shared" si="52"/>
        <v/>
      </c>
      <c r="BH295" s="8" t="str">
        <f t="shared" si="53"/>
        <v/>
      </c>
      <c r="BI295" s="8" t="str">
        <f t="shared" si="54"/>
        <v/>
      </c>
      <c r="BJ295" s="9" t="str">
        <f t="shared" si="55"/>
        <v/>
      </c>
      <c r="BK295" s="9" t="str">
        <f>IF($B295="","",COUNTIFS($B$5:$B295,$B295,$BF$5:$BF295,$BF295))</f>
        <v/>
      </c>
      <c r="BL295" s="9" t="str">
        <f>IF($B295="","",COUNTIFS($B$5:$B295,$B295,$BH$5:$BH295,$BH295))</f>
        <v/>
      </c>
      <c r="BM295" s="9" t="str">
        <f t="shared" si="56"/>
        <v/>
      </c>
      <c r="BN295" s="9" t="str">
        <f t="shared" si="57"/>
        <v/>
      </c>
      <c r="BO295" s="9">
        <f t="shared" si="58"/>
        <v>0</v>
      </c>
      <c r="BR295" s="12" t="str">
        <f t="shared" si="59"/>
        <v/>
      </c>
    </row>
    <row r="296" spans="1:70" ht="14.25" customHeight="1">
      <c r="A296" s="26"/>
      <c r="C296" s="26"/>
      <c r="D296" s="27"/>
      <c r="E296" s="27"/>
      <c r="BE296" s="10" t="str">
        <f t="shared" si="50"/>
        <v/>
      </c>
      <c r="BF296" s="8" t="str">
        <f t="shared" si="51"/>
        <v/>
      </c>
      <c r="BG296" s="11" t="str">
        <f t="shared" si="52"/>
        <v/>
      </c>
      <c r="BH296" s="8" t="str">
        <f t="shared" si="53"/>
        <v/>
      </c>
      <c r="BI296" s="8" t="str">
        <f t="shared" si="54"/>
        <v/>
      </c>
      <c r="BJ296" s="9" t="str">
        <f t="shared" si="55"/>
        <v/>
      </c>
      <c r="BK296" s="9" t="str">
        <f>IF($B296="","",COUNTIFS($B$5:$B296,$B296,$BF$5:$BF296,$BF296))</f>
        <v/>
      </c>
      <c r="BL296" s="9" t="str">
        <f>IF($B296="","",COUNTIFS($B$5:$B296,$B296,$BH$5:$BH296,$BH296))</f>
        <v/>
      </c>
      <c r="BM296" s="9" t="str">
        <f t="shared" si="56"/>
        <v/>
      </c>
      <c r="BN296" s="9" t="str">
        <f t="shared" si="57"/>
        <v/>
      </c>
      <c r="BO296" s="9">
        <f t="shared" si="58"/>
        <v>0</v>
      </c>
      <c r="BR296" s="12" t="str">
        <f t="shared" si="59"/>
        <v/>
      </c>
    </row>
    <row r="297" spans="1:70" ht="14.25" customHeight="1">
      <c r="A297" s="26"/>
      <c r="C297" s="26"/>
      <c r="D297" s="27"/>
      <c r="E297" s="27"/>
      <c r="BE297" s="10" t="str">
        <f t="shared" si="50"/>
        <v/>
      </c>
      <c r="BF297" s="8" t="str">
        <f t="shared" si="51"/>
        <v/>
      </c>
      <c r="BG297" s="11" t="str">
        <f t="shared" si="52"/>
        <v/>
      </c>
      <c r="BH297" s="8" t="str">
        <f t="shared" si="53"/>
        <v/>
      </c>
      <c r="BI297" s="8" t="str">
        <f t="shared" si="54"/>
        <v/>
      </c>
      <c r="BJ297" s="9" t="str">
        <f t="shared" si="55"/>
        <v/>
      </c>
      <c r="BK297" s="9" t="str">
        <f>IF($B297="","",COUNTIFS($B$5:$B297,$B297,$BF$5:$BF297,$BF297))</f>
        <v/>
      </c>
      <c r="BL297" s="9" t="str">
        <f>IF($B297="","",COUNTIFS($B$5:$B297,$B297,$BH$5:$BH297,$BH297))</f>
        <v/>
      </c>
      <c r="BM297" s="9" t="str">
        <f t="shared" si="56"/>
        <v/>
      </c>
      <c r="BN297" s="9" t="str">
        <f t="shared" si="57"/>
        <v/>
      </c>
      <c r="BO297" s="9">
        <f t="shared" si="58"/>
        <v>0</v>
      </c>
      <c r="BR297" s="12" t="str">
        <f t="shared" si="59"/>
        <v/>
      </c>
    </row>
    <row r="298" spans="1:70" ht="14.25" customHeight="1">
      <c r="A298" s="26"/>
      <c r="C298" s="26"/>
      <c r="D298" s="27"/>
      <c r="E298" s="27"/>
      <c r="BE298" s="10" t="str">
        <f t="shared" si="50"/>
        <v/>
      </c>
      <c r="BF298" s="8" t="str">
        <f t="shared" si="51"/>
        <v/>
      </c>
      <c r="BG298" s="11" t="str">
        <f t="shared" si="52"/>
        <v/>
      </c>
      <c r="BH298" s="8" t="str">
        <f t="shared" si="53"/>
        <v/>
      </c>
      <c r="BI298" s="8" t="str">
        <f t="shared" si="54"/>
        <v/>
      </c>
      <c r="BJ298" s="9" t="str">
        <f t="shared" si="55"/>
        <v/>
      </c>
      <c r="BK298" s="9" t="str">
        <f>IF($B298="","",COUNTIFS($B$5:$B298,$B298,$BF$5:$BF298,$BF298))</f>
        <v/>
      </c>
      <c r="BL298" s="9" t="str">
        <f>IF($B298="","",COUNTIFS($B$5:$B298,$B298,$BH$5:$BH298,$BH298))</f>
        <v/>
      </c>
      <c r="BM298" s="9" t="str">
        <f t="shared" si="56"/>
        <v/>
      </c>
      <c r="BN298" s="9" t="str">
        <f t="shared" si="57"/>
        <v/>
      </c>
      <c r="BO298" s="9">
        <f t="shared" si="58"/>
        <v>0</v>
      </c>
      <c r="BR298" s="12" t="str">
        <f t="shared" si="59"/>
        <v/>
      </c>
    </row>
    <row r="299" spans="1:70" ht="14.25" customHeight="1">
      <c r="A299" s="26"/>
      <c r="C299" s="26"/>
      <c r="D299" s="27"/>
      <c r="E299" s="27"/>
      <c r="BE299" s="10" t="str">
        <f t="shared" si="50"/>
        <v/>
      </c>
      <c r="BF299" s="8" t="str">
        <f t="shared" si="51"/>
        <v/>
      </c>
      <c r="BG299" s="11" t="str">
        <f t="shared" si="52"/>
        <v/>
      </c>
      <c r="BH299" s="8" t="str">
        <f t="shared" si="53"/>
        <v/>
      </c>
      <c r="BI299" s="8" t="str">
        <f t="shared" si="54"/>
        <v/>
      </c>
      <c r="BJ299" s="9" t="str">
        <f t="shared" si="55"/>
        <v/>
      </c>
      <c r="BK299" s="9" t="str">
        <f>IF($B299="","",COUNTIFS($B$5:$B299,$B299,$BF$5:$BF299,$BF299))</f>
        <v/>
      </c>
      <c r="BL299" s="9" t="str">
        <f>IF($B299="","",COUNTIFS($B$5:$B299,$B299,$BH$5:$BH299,$BH299))</f>
        <v/>
      </c>
      <c r="BM299" s="9" t="str">
        <f t="shared" si="56"/>
        <v/>
      </c>
      <c r="BN299" s="9" t="str">
        <f t="shared" si="57"/>
        <v/>
      </c>
      <c r="BO299" s="9">
        <f t="shared" si="58"/>
        <v>0</v>
      </c>
      <c r="BR299" s="12" t="str">
        <f t="shared" si="59"/>
        <v/>
      </c>
    </row>
    <row r="300" spans="1:70" ht="14.25" customHeight="1">
      <c r="A300" s="26"/>
      <c r="C300" s="26"/>
      <c r="D300" s="27"/>
      <c r="E300" s="27"/>
      <c r="BE300" s="10" t="str">
        <f t="shared" si="50"/>
        <v/>
      </c>
      <c r="BF300" s="8" t="str">
        <f t="shared" si="51"/>
        <v/>
      </c>
      <c r="BG300" s="11" t="str">
        <f t="shared" si="52"/>
        <v/>
      </c>
      <c r="BH300" s="8" t="str">
        <f t="shared" si="53"/>
        <v/>
      </c>
      <c r="BI300" s="8" t="str">
        <f t="shared" si="54"/>
        <v/>
      </c>
      <c r="BJ300" s="9" t="str">
        <f t="shared" si="55"/>
        <v/>
      </c>
      <c r="BK300" s="9" t="str">
        <f>IF($B300="","",COUNTIFS($B$5:$B300,$B300,$BF$5:$BF300,$BF300))</f>
        <v/>
      </c>
      <c r="BL300" s="9" t="str">
        <f>IF($B300="","",COUNTIFS($B$5:$B300,$B300,$BH$5:$BH300,$BH300))</f>
        <v/>
      </c>
      <c r="BM300" s="9" t="str">
        <f t="shared" si="56"/>
        <v/>
      </c>
      <c r="BN300" s="9" t="str">
        <f t="shared" si="57"/>
        <v/>
      </c>
      <c r="BO300" s="9">
        <f t="shared" si="58"/>
        <v>0</v>
      </c>
      <c r="BR300" s="12" t="str">
        <f t="shared" si="59"/>
        <v/>
      </c>
    </row>
    <row r="301" spans="1:70" ht="14.25" customHeight="1">
      <c r="A301" s="26"/>
      <c r="C301" s="26"/>
      <c r="D301" s="27"/>
      <c r="E301" s="27"/>
      <c r="BE301" s="10" t="str">
        <f t="shared" si="50"/>
        <v/>
      </c>
      <c r="BF301" s="8" t="str">
        <f t="shared" si="51"/>
        <v/>
      </c>
      <c r="BG301" s="11" t="str">
        <f t="shared" si="52"/>
        <v/>
      </c>
      <c r="BH301" s="8" t="str">
        <f t="shared" si="53"/>
        <v/>
      </c>
      <c r="BI301" s="8" t="str">
        <f t="shared" si="54"/>
        <v/>
      </c>
      <c r="BJ301" s="9" t="str">
        <f t="shared" si="55"/>
        <v/>
      </c>
      <c r="BK301" s="9" t="str">
        <f>IF($B301="","",COUNTIFS($B$5:$B301,$B301,$BF$5:$BF301,$BF301))</f>
        <v/>
      </c>
      <c r="BL301" s="9" t="str">
        <f>IF($B301="","",COUNTIFS($B$5:$B301,$B301,$BH$5:$BH301,$BH301))</f>
        <v/>
      </c>
      <c r="BM301" s="9" t="str">
        <f t="shared" si="56"/>
        <v/>
      </c>
      <c r="BN301" s="9" t="str">
        <f t="shared" si="57"/>
        <v/>
      </c>
      <c r="BO301" s="9">
        <f t="shared" si="58"/>
        <v>0</v>
      </c>
      <c r="BR301" s="12" t="str">
        <f t="shared" si="59"/>
        <v/>
      </c>
    </row>
    <row r="302" spans="1:70" ht="14.25" customHeight="1">
      <c r="A302" s="26"/>
      <c r="C302" s="26"/>
      <c r="D302" s="27"/>
      <c r="E302" s="27"/>
      <c r="BE302" s="10" t="str">
        <f t="shared" si="50"/>
        <v/>
      </c>
      <c r="BF302" s="8" t="str">
        <f t="shared" si="51"/>
        <v/>
      </c>
      <c r="BG302" s="11" t="str">
        <f t="shared" si="52"/>
        <v/>
      </c>
      <c r="BH302" s="8" t="str">
        <f t="shared" si="53"/>
        <v/>
      </c>
      <c r="BI302" s="8" t="str">
        <f t="shared" si="54"/>
        <v/>
      </c>
      <c r="BJ302" s="9" t="str">
        <f t="shared" si="55"/>
        <v/>
      </c>
      <c r="BK302" s="9" t="str">
        <f>IF($B302="","",COUNTIFS($B$5:$B302,$B302,$BF$5:$BF302,$BF302))</f>
        <v/>
      </c>
      <c r="BL302" s="9" t="str">
        <f>IF($B302="","",COUNTIFS($B$5:$B302,$B302,$BH$5:$BH302,$BH302))</f>
        <v/>
      </c>
      <c r="BM302" s="9" t="str">
        <f t="shared" si="56"/>
        <v/>
      </c>
      <c r="BN302" s="9" t="str">
        <f t="shared" si="57"/>
        <v/>
      </c>
      <c r="BO302" s="9">
        <f t="shared" si="58"/>
        <v>0</v>
      </c>
      <c r="BR302" s="12" t="str">
        <f t="shared" si="59"/>
        <v/>
      </c>
    </row>
    <row r="303" spans="1:70" ht="14.25" customHeight="1">
      <c r="A303" s="26"/>
      <c r="C303" s="26"/>
      <c r="D303" s="27"/>
      <c r="E303" s="27"/>
      <c r="BE303" s="10" t="str">
        <f t="shared" si="50"/>
        <v/>
      </c>
      <c r="BF303" s="8" t="str">
        <f t="shared" si="51"/>
        <v/>
      </c>
      <c r="BG303" s="11" t="str">
        <f t="shared" si="52"/>
        <v/>
      </c>
      <c r="BH303" s="8" t="str">
        <f t="shared" si="53"/>
        <v/>
      </c>
      <c r="BI303" s="8" t="str">
        <f t="shared" si="54"/>
        <v/>
      </c>
      <c r="BJ303" s="9" t="str">
        <f t="shared" si="55"/>
        <v/>
      </c>
      <c r="BK303" s="9" t="str">
        <f>IF($B303="","",COUNTIFS($B$5:$B303,$B303,$BF$5:$BF303,$BF303))</f>
        <v/>
      </c>
      <c r="BL303" s="9" t="str">
        <f>IF($B303="","",COUNTIFS($B$5:$B303,$B303,$BH$5:$BH303,$BH303))</f>
        <v/>
      </c>
      <c r="BM303" s="9" t="str">
        <f t="shared" si="56"/>
        <v/>
      </c>
      <c r="BN303" s="9" t="str">
        <f t="shared" si="57"/>
        <v/>
      </c>
      <c r="BO303" s="9">
        <f t="shared" si="58"/>
        <v>0</v>
      </c>
      <c r="BR303" s="12" t="str">
        <f t="shared" si="59"/>
        <v/>
      </c>
    </row>
    <row r="304" spans="1:70" ht="14.25" customHeight="1">
      <c r="A304" s="26"/>
      <c r="C304" s="26"/>
      <c r="D304" s="27"/>
      <c r="E304" s="27"/>
      <c r="BE304" s="10" t="str">
        <f t="shared" si="50"/>
        <v/>
      </c>
      <c r="BF304" s="8" t="str">
        <f t="shared" si="51"/>
        <v/>
      </c>
      <c r="BG304" s="11" t="str">
        <f t="shared" si="52"/>
        <v/>
      </c>
      <c r="BH304" s="8" t="str">
        <f t="shared" si="53"/>
        <v/>
      </c>
      <c r="BI304" s="8" t="str">
        <f t="shared" si="54"/>
        <v/>
      </c>
      <c r="BJ304" s="9" t="str">
        <f t="shared" si="55"/>
        <v/>
      </c>
      <c r="BK304" s="9" t="str">
        <f>IF($B304="","",COUNTIFS($B$5:$B304,$B304,$BF$5:$BF304,$BF304))</f>
        <v/>
      </c>
      <c r="BL304" s="9" t="str">
        <f>IF($B304="","",COUNTIFS($B$5:$B304,$B304,$BH$5:$BH304,$BH304))</f>
        <v/>
      </c>
      <c r="BM304" s="9" t="str">
        <f t="shared" si="56"/>
        <v/>
      </c>
      <c r="BN304" s="9" t="str">
        <f t="shared" si="57"/>
        <v/>
      </c>
      <c r="BO304" s="9">
        <f t="shared" si="58"/>
        <v>0</v>
      </c>
      <c r="BR304" s="12" t="str">
        <f t="shared" si="59"/>
        <v/>
      </c>
    </row>
    <row r="305" spans="1:70" ht="14.25" customHeight="1">
      <c r="A305" s="26"/>
      <c r="C305" s="26"/>
      <c r="D305" s="27"/>
      <c r="E305" s="27"/>
      <c r="BE305" s="10" t="str">
        <f t="shared" si="50"/>
        <v/>
      </c>
      <c r="BF305" s="8" t="str">
        <f t="shared" si="51"/>
        <v/>
      </c>
      <c r="BG305" s="11" t="str">
        <f t="shared" si="52"/>
        <v/>
      </c>
      <c r="BH305" s="8" t="str">
        <f t="shared" si="53"/>
        <v/>
      </c>
      <c r="BI305" s="8" t="str">
        <f t="shared" si="54"/>
        <v/>
      </c>
      <c r="BJ305" s="9" t="str">
        <f t="shared" si="55"/>
        <v/>
      </c>
      <c r="BK305" s="9" t="str">
        <f>IF($B305="","",COUNTIFS($B$5:$B305,$B305,$BF$5:$BF305,$BF305))</f>
        <v/>
      </c>
      <c r="BL305" s="9" t="str">
        <f>IF($B305="","",COUNTIFS($B$5:$B305,$B305,$BH$5:$BH305,$BH305))</f>
        <v/>
      </c>
      <c r="BM305" s="9" t="str">
        <f t="shared" si="56"/>
        <v/>
      </c>
      <c r="BN305" s="9" t="str">
        <f t="shared" si="57"/>
        <v/>
      </c>
      <c r="BO305" s="9">
        <f t="shared" si="58"/>
        <v>0</v>
      </c>
      <c r="BR305" s="12" t="str">
        <f t="shared" si="59"/>
        <v/>
      </c>
    </row>
    <row r="306" spans="1:70" ht="14.25" customHeight="1">
      <c r="A306" s="26"/>
      <c r="C306" s="26"/>
      <c r="D306" s="27"/>
      <c r="E306" s="27"/>
      <c r="BE306" s="10" t="str">
        <f t="shared" si="50"/>
        <v/>
      </c>
      <c r="BF306" s="8" t="str">
        <f t="shared" si="51"/>
        <v/>
      </c>
      <c r="BG306" s="11" t="str">
        <f t="shared" si="52"/>
        <v/>
      </c>
      <c r="BH306" s="8" t="str">
        <f t="shared" si="53"/>
        <v/>
      </c>
      <c r="BI306" s="8" t="str">
        <f t="shared" si="54"/>
        <v/>
      </c>
      <c r="BJ306" s="9" t="str">
        <f t="shared" si="55"/>
        <v/>
      </c>
      <c r="BK306" s="9" t="str">
        <f>IF($B306="","",COUNTIFS($B$5:$B306,$B306,$BF$5:$BF306,$BF306))</f>
        <v/>
      </c>
      <c r="BL306" s="9" t="str">
        <f>IF($B306="","",COUNTIFS($B$5:$B306,$B306,$BH$5:$BH306,$BH306))</f>
        <v/>
      </c>
      <c r="BM306" s="9" t="str">
        <f t="shared" si="56"/>
        <v/>
      </c>
      <c r="BN306" s="9" t="str">
        <f t="shared" si="57"/>
        <v/>
      </c>
      <c r="BO306" s="9">
        <f t="shared" si="58"/>
        <v>0</v>
      </c>
      <c r="BR306" s="12" t="str">
        <f t="shared" si="59"/>
        <v/>
      </c>
    </row>
    <row r="307" spans="1:70" ht="14.25" customHeight="1">
      <c r="A307" s="26"/>
      <c r="C307" s="26"/>
      <c r="D307" s="27"/>
      <c r="E307" s="27"/>
      <c r="BE307" s="10" t="str">
        <f t="shared" si="50"/>
        <v/>
      </c>
      <c r="BF307" s="8" t="str">
        <f t="shared" si="51"/>
        <v/>
      </c>
      <c r="BG307" s="11" t="str">
        <f t="shared" si="52"/>
        <v/>
      </c>
      <c r="BH307" s="8" t="str">
        <f t="shared" si="53"/>
        <v/>
      </c>
      <c r="BI307" s="8" t="str">
        <f t="shared" si="54"/>
        <v/>
      </c>
      <c r="BJ307" s="9" t="str">
        <f t="shared" si="55"/>
        <v/>
      </c>
      <c r="BK307" s="9" t="str">
        <f>IF($B307="","",COUNTIFS($B$5:$B307,$B307,$BF$5:$BF307,$BF307))</f>
        <v/>
      </c>
      <c r="BL307" s="9" t="str">
        <f>IF($B307="","",COUNTIFS($B$5:$B307,$B307,$BH$5:$BH307,$BH307))</f>
        <v/>
      </c>
      <c r="BM307" s="9" t="str">
        <f t="shared" si="56"/>
        <v/>
      </c>
      <c r="BN307" s="9" t="str">
        <f t="shared" si="57"/>
        <v/>
      </c>
      <c r="BO307" s="9">
        <f t="shared" si="58"/>
        <v>0</v>
      </c>
      <c r="BR307" s="12" t="str">
        <f t="shared" si="59"/>
        <v/>
      </c>
    </row>
    <row r="308" spans="1:70" ht="14.25" customHeight="1">
      <c r="A308" s="26"/>
      <c r="C308" s="26"/>
      <c r="D308" s="27"/>
      <c r="E308" s="27"/>
      <c r="BE308" s="10" t="str">
        <f t="shared" si="50"/>
        <v/>
      </c>
      <c r="BF308" s="8" t="str">
        <f t="shared" si="51"/>
        <v/>
      </c>
      <c r="BG308" s="11" t="str">
        <f t="shared" si="52"/>
        <v/>
      </c>
      <c r="BH308" s="8" t="str">
        <f t="shared" si="53"/>
        <v/>
      </c>
      <c r="BI308" s="8" t="str">
        <f t="shared" si="54"/>
        <v/>
      </c>
      <c r="BJ308" s="9" t="str">
        <f t="shared" si="55"/>
        <v/>
      </c>
      <c r="BK308" s="9" t="str">
        <f>IF($B308="","",COUNTIFS($B$5:$B308,$B308,$BF$5:$BF308,$BF308))</f>
        <v/>
      </c>
      <c r="BL308" s="9" t="str">
        <f>IF($B308="","",COUNTIFS($B$5:$B308,$B308,$BH$5:$BH308,$BH308))</f>
        <v/>
      </c>
      <c r="BM308" s="9" t="str">
        <f t="shared" si="56"/>
        <v/>
      </c>
      <c r="BN308" s="9" t="str">
        <f t="shared" si="57"/>
        <v/>
      </c>
      <c r="BO308" s="9">
        <f t="shared" si="58"/>
        <v>0</v>
      </c>
      <c r="BR308" s="12" t="str">
        <f t="shared" si="59"/>
        <v/>
      </c>
    </row>
    <row r="309" spans="1:70" ht="14.25" customHeight="1">
      <c r="A309" s="26"/>
      <c r="C309" s="26"/>
      <c r="D309" s="27"/>
      <c r="E309" s="27"/>
      <c r="BE309" s="10" t="str">
        <f t="shared" si="50"/>
        <v/>
      </c>
      <c r="BF309" s="8" t="str">
        <f t="shared" si="51"/>
        <v/>
      </c>
      <c r="BG309" s="11" t="str">
        <f t="shared" si="52"/>
        <v/>
      </c>
      <c r="BH309" s="8" t="str">
        <f t="shared" si="53"/>
        <v/>
      </c>
      <c r="BI309" s="8" t="str">
        <f t="shared" si="54"/>
        <v/>
      </c>
      <c r="BJ309" s="9" t="str">
        <f t="shared" si="55"/>
        <v/>
      </c>
      <c r="BK309" s="9" t="str">
        <f>IF($B309="","",COUNTIFS($B$5:$B309,$B309,$BF$5:$BF309,$BF309))</f>
        <v/>
      </c>
      <c r="BL309" s="9" t="str">
        <f>IF($B309="","",COUNTIFS($B$5:$B309,$B309,$BH$5:$BH309,$BH309))</f>
        <v/>
      </c>
      <c r="BM309" s="9" t="str">
        <f t="shared" si="56"/>
        <v/>
      </c>
      <c r="BN309" s="9" t="str">
        <f t="shared" si="57"/>
        <v/>
      </c>
      <c r="BO309" s="9">
        <f t="shared" si="58"/>
        <v>0</v>
      </c>
      <c r="BR309" s="12" t="str">
        <f t="shared" si="59"/>
        <v/>
      </c>
    </row>
    <row r="310" spans="1:70" ht="14.25" customHeight="1">
      <c r="A310" s="26"/>
      <c r="C310" s="26"/>
      <c r="D310" s="27"/>
      <c r="E310" s="27"/>
      <c r="BE310" s="10" t="str">
        <f t="shared" si="50"/>
        <v/>
      </c>
      <c r="BF310" s="8" t="str">
        <f t="shared" si="51"/>
        <v/>
      </c>
      <c r="BG310" s="11" t="str">
        <f t="shared" si="52"/>
        <v/>
      </c>
      <c r="BH310" s="8" t="str">
        <f t="shared" si="53"/>
        <v/>
      </c>
      <c r="BI310" s="8" t="str">
        <f t="shared" si="54"/>
        <v/>
      </c>
      <c r="BJ310" s="9" t="str">
        <f t="shared" si="55"/>
        <v/>
      </c>
      <c r="BK310" s="9" t="str">
        <f>IF($B310="","",COUNTIFS($B$5:$B310,$B310,$BF$5:$BF310,$BF310))</f>
        <v/>
      </c>
      <c r="BL310" s="9" t="str">
        <f>IF($B310="","",COUNTIFS($B$5:$B310,$B310,$BH$5:$BH310,$BH310))</f>
        <v/>
      </c>
      <c r="BM310" s="9" t="str">
        <f t="shared" si="56"/>
        <v/>
      </c>
      <c r="BN310" s="9" t="str">
        <f t="shared" si="57"/>
        <v/>
      </c>
      <c r="BO310" s="9">
        <f t="shared" si="58"/>
        <v>0</v>
      </c>
      <c r="BR310" s="12" t="str">
        <f t="shared" si="59"/>
        <v/>
      </c>
    </row>
    <row r="311" spans="1:70" ht="14.25" customHeight="1">
      <c r="A311" s="26"/>
      <c r="C311" s="26"/>
      <c r="D311" s="27"/>
      <c r="E311" s="27"/>
      <c r="BE311" s="10" t="str">
        <f t="shared" si="50"/>
        <v/>
      </c>
      <c r="BF311" s="8" t="str">
        <f t="shared" si="51"/>
        <v/>
      </c>
      <c r="BG311" s="11" t="str">
        <f t="shared" si="52"/>
        <v/>
      </c>
      <c r="BH311" s="8" t="str">
        <f t="shared" si="53"/>
        <v/>
      </c>
      <c r="BI311" s="8" t="str">
        <f t="shared" si="54"/>
        <v/>
      </c>
      <c r="BJ311" s="9" t="str">
        <f t="shared" si="55"/>
        <v/>
      </c>
      <c r="BK311" s="9" t="str">
        <f>IF($B311="","",COUNTIFS($B$5:$B311,$B311,$BF$5:$BF311,$BF311))</f>
        <v/>
      </c>
      <c r="BL311" s="9" t="str">
        <f>IF($B311="","",COUNTIFS($B$5:$B311,$B311,$BH$5:$BH311,$BH311))</f>
        <v/>
      </c>
      <c r="BM311" s="9" t="str">
        <f t="shared" si="56"/>
        <v/>
      </c>
      <c r="BN311" s="9" t="str">
        <f t="shared" si="57"/>
        <v/>
      </c>
      <c r="BO311" s="9">
        <f t="shared" si="58"/>
        <v>0</v>
      </c>
      <c r="BR311" s="12" t="str">
        <f t="shared" si="59"/>
        <v/>
      </c>
    </row>
    <row r="312" spans="1:70" ht="14.25" customHeight="1">
      <c r="A312" s="26"/>
      <c r="C312" s="26"/>
      <c r="D312" s="27"/>
      <c r="E312" s="27"/>
      <c r="BE312" s="10" t="str">
        <f t="shared" si="50"/>
        <v/>
      </c>
      <c r="BF312" s="8" t="str">
        <f t="shared" si="51"/>
        <v/>
      </c>
      <c r="BG312" s="11" t="str">
        <f t="shared" si="52"/>
        <v/>
      </c>
      <c r="BH312" s="8" t="str">
        <f t="shared" si="53"/>
        <v/>
      </c>
      <c r="BI312" s="8" t="str">
        <f t="shared" si="54"/>
        <v/>
      </c>
      <c r="BJ312" s="9" t="str">
        <f t="shared" si="55"/>
        <v/>
      </c>
      <c r="BK312" s="9" t="str">
        <f>IF($B312="","",COUNTIFS($B$5:$B312,$B312,$BF$5:$BF312,$BF312))</f>
        <v/>
      </c>
      <c r="BL312" s="9" t="str">
        <f>IF($B312="","",COUNTIFS($B$5:$B312,$B312,$BH$5:$BH312,$BH312))</f>
        <v/>
      </c>
      <c r="BM312" s="9" t="str">
        <f t="shared" si="56"/>
        <v/>
      </c>
      <c r="BN312" s="9" t="str">
        <f t="shared" si="57"/>
        <v/>
      </c>
      <c r="BO312" s="9">
        <f t="shared" si="58"/>
        <v>0</v>
      </c>
      <c r="BR312" s="12" t="str">
        <f t="shared" si="59"/>
        <v/>
      </c>
    </row>
    <row r="313" spans="1:70" ht="14.25" customHeight="1">
      <c r="A313" s="26"/>
      <c r="C313" s="26"/>
      <c r="D313" s="27"/>
      <c r="E313" s="27"/>
      <c r="BE313" s="10" t="str">
        <f t="shared" si="50"/>
        <v/>
      </c>
      <c r="BF313" s="8" t="str">
        <f t="shared" si="51"/>
        <v/>
      </c>
      <c r="BG313" s="11" t="str">
        <f t="shared" si="52"/>
        <v/>
      </c>
      <c r="BH313" s="8" t="str">
        <f t="shared" si="53"/>
        <v/>
      </c>
      <c r="BI313" s="8" t="str">
        <f t="shared" si="54"/>
        <v/>
      </c>
      <c r="BJ313" s="9" t="str">
        <f t="shared" si="55"/>
        <v/>
      </c>
      <c r="BK313" s="9" t="str">
        <f>IF($B313="","",COUNTIFS($B$5:$B313,$B313,$BF$5:$BF313,$BF313))</f>
        <v/>
      </c>
      <c r="BL313" s="9" t="str">
        <f>IF($B313="","",COUNTIFS($B$5:$B313,$B313,$BH$5:$BH313,$BH313))</f>
        <v/>
      </c>
      <c r="BM313" s="9" t="str">
        <f t="shared" si="56"/>
        <v/>
      </c>
      <c r="BN313" s="9" t="str">
        <f t="shared" si="57"/>
        <v/>
      </c>
      <c r="BO313" s="9">
        <f t="shared" si="58"/>
        <v>0</v>
      </c>
      <c r="BR313" s="12" t="str">
        <f t="shared" si="59"/>
        <v/>
      </c>
    </row>
    <row r="314" spans="1:70" ht="14.25" customHeight="1">
      <c r="A314" s="26"/>
      <c r="C314" s="26"/>
      <c r="D314" s="27"/>
      <c r="E314" s="27"/>
      <c r="BE314" s="10" t="str">
        <f t="shared" si="50"/>
        <v/>
      </c>
      <c r="BF314" s="8" t="str">
        <f t="shared" si="51"/>
        <v/>
      </c>
      <c r="BG314" s="11" t="str">
        <f t="shared" si="52"/>
        <v/>
      </c>
      <c r="BH314" s="8" t="str">
        <f t="shared" si="53"/>
        <v/>
      </c>
      <c r="BI314" s="8" t="str">
        <f t="shared" si="54"/>
        <v/>
      </c>
      <c r="BJ314" s="9" t="str">
        <f t="shared" si="55"/>
        <v/>
      </c>
      <c r="BK314" s="9" t="str">
        <f>IF($B314="","",COUNTIFS($B$5:$B314,$B314,$BF$5:$BF314,$BF314))</f>
        <v/>
      </c>
      <c r="BL314" s="9" t="str">
        <f>IF($B314="","",COUNTIFS($B$5:$B314,$B314,$BH$5:$BH314,$BH314))</f>
        <v/>
      </c>
      <c r="BM314" s="9" t="str">
        <f t="shared" si="56"/>
        <v/>
      </c>
      <c r="BN314" s="9" t="str">
        <f t="shared" si="57"/>
        <v/>
      </c>
      <c r="BO314" s="9">
        <f t="shared" si="58"/>
        <v>0</v>
      </c>
      <c r="BR314" s="12" t="str">
        <f t="shared" si="59"/>
        <v/>
      </c>
    </row>
    <row r="315" spans="1:70" ht="14.25" customHeight="1">
      <c r="A315" s="26"/>
      <c r="C315" s="26"/>
      <c r="D315" s="27"/>
      <c r="E315" s="27"/>
      <c r="BE315" s="10" t="str">
        <f t="shared" si="50"/>
        <v/>
      </c>
      <c r="BF315" s="8" t="str">
        <f t="shared" si="51"/>
        <v/>
      </c>
      <c r="BG315" s="11" t="str">
        <f t="shared" si="52"/>
        <v/>
      </c>
      <c r="BH315" s="8" t="str">
        <f t="shared" si="53"/>
        <v/>
      </c>
      <c r="BI315" s="8" t="str">
        <f t="shared" si="54"/>
        <v/>
      </c>
      <c r="BJ315" s="9" t="str">
        <f t="shared" si="55"/>
        <v/>
      </c>
      <c r="BK315" s="9" t="str">
        <f>IF($B315="","",COUNTIFS($B$5:$B315,$B315,$BF$5:$BF315,$BF315))</f>
        <v/>
      </c>
      <c r="BL315" s="9" t="str">
        <f>IF($B315="","",COUNTIFS($B$5:$B315,$B315,$BH$5:$BH315,$BH315))</f>
        <v/>
      </c>
      <c r="BM315" s="9" t="str">
        <f t="shared" si="56"/>
        <v/>
      </c>
      <c r="BN315" s="9" t="str">
        <f t="shared" si="57"/>
        <v/>
      </c>
      <c r="BO315" s="9">
        <f t="shared" si="58"/>
        <v>0</v>
      </c>
      <c r="BR315" s="12" t="str">
        <f t="shared" si="59"/>
        <v/>
      </c>
    </row>
    <row r="316" spans="1:70" ht="14.25" customHeight="1">
      <c r="A316" s="26"/>
      <c r="C316" s="26"/>
      <c r="D316" s="27"/>
      <c r="E316" s="27"/>
      <c r="BE316" s="10" t="str">
        <f t="shared" si="50"/>
        <v/>
      </c>
      <c r="BF316" s="8" t="str">
        <f t="shared" si="51"/>
        <v/>
      </c>
      <c r="BG316" s="11" t="str">
        <f t="shared" si="52"/>
        <v/>
      </c>
      <c r="BH316" s="8" t="str">
        <f t="shared" si="53"/>
        <v/>
      </c>
      <c r="BI316" s="8" t="str">
        <f t="shared" si="54"/>
        <v/>
      </c>
      <c r="BJ316" s="9" t="str">
        <f t="shared" si="55"/>
        <v/>
      </c>
      <c r="BK316" s="9" t="str">
        <f>IF($B316="","",COUNTIFS($B$5:$B316,$B316,$BF$5:$BF316,$BF316))</f>
        <v/>
      </c>
      <c r="BL316" s="9" t="str">
        <f>IF($B316="","",COUNTIFS($B$5:$B316,$B316,$BH$5:$BH316,$BH316))</f>
        <v/>
      </c>
      <c r="BM316" s="9" t="str">
        <f t="shared" si="56"/>
        <v/>
      </c>
      <c r="BN316" s="9" t="str">
        <f t="shared" si="57"/>
        <v/>
      </c>
      <c r="BO316" s="9">
        <f t="shared" si="58"/>
        <v>0</v>
      </c>
      <c r="BR316" s="12" t="str">
        <f t="shared" si="59"/>
        <v/>
      </c>
    </row>
    <row r="317" spans="1:70" ht="14.25" customHeight="1">
      <c r="A317" s="26"/>
      <c r="C317" s="26"/>
      <c r="D317" s="27"/>
      <c r="E317" s="27"/>
      <c r="BE317" s="10" t="str">
        <f t="shared" si="50"/>
        <v/>
      </c>
      <c r="BF317" s="8" t="str">
        <f t="shared" si="51"/>
        <v/>
      </c>
      <c r="BG317" s="11" t="str">
        <f t="shared" si="52"/>
        <v/>
      </c>
      <c r="BH317" s="8" t="str">
        <f t="shared" si="53"/>
        <v/>
      </c>
      <c r="BI317" s="8" t="str">
        <f t="shared" si="54"/>
        <v/>
      </c>
      <c r="BJ317" s="9" t="str">
        <f t="shared" si="55"/>
        <v/>
      </c>
      <c r="BK317" s="9" t="str">
        <f>IF($B317="","",COUNTIFS($B$5:$B317,$B317,$BF$5:$BF317,$BF317))</f>
        <v/>
      </c>
      <c r="BL317" s="9" t="str">
        <f>IF($B317="","",COUNTIFS($B$5:$B317,$B317,$BH$5:$BH317,$BH317))</f>
        <v/>
      </c>
      <c r="BM317" s="9" t="str">
        <f t="shared" si="56"/>
        <v/>
      </c>
      <c r="BN317" s="9" t="str">
        <f t="shared" si="57"/>
        <v/>
      </c>
      <c r="BO317" s="9">
        <f t="shared" si="58"/>
        <v>0</v>
      </c>
      <c r="BR317" s="12" t="str">
        <f t="shared" si="59"/>
        <v/>
      </c>
    </row>
    <row r="318" spans="1:70" ht="14.25" customHeight="1">
      <c r="A318" s="26"/>
      <c r="C318" s="26"/>
      <c r="D318" s="27"/>
      <c r="E318" s="27"/>
      <c r="BE318" s="10" t="str">
        <f t="shared" si="50"/>
        <v/>
      </c>
      <c r="BF318" s="8" t="str">
        <f t="shared" si="51"/>
        <v/>
      </c>
      <c r="BG318" s="11" t="str">
        <f t="shared" si="52"/>
        <v/>
      </c>
      <c r="BH318" s="8" t="str">
        <f t="shared" si="53"/>
        <v/>
      </c>
      <c r="BI318" s="8" t="str">
        <f t="shared" si="54"/>
        <v/>
      </c>
      <c r="BJ318" s="9" t="str">
        <f t="shared" si="55"/>
        <v/>
      </c>
      <c r="BK318" s="9" t="str">
        <f>IF($B318="","",COUNTIFS($B$5:$B318,$B318,$BF$5:$BF318,$BF318))</f>
        <v/>
      </c>
      <c r="BL318" s="9" t="str">
        <f>IF($B318="","",COUNTIFS($B$5:$B318,$B318,$BH$5:$BH318,$BH318))</f>
        <v/>
      </c>
      <c r="BM318" s="9" t="str">
        <f t="shared" si="56"/>
        <v/>
      </c>
      <c r="BN318" s="9" t="str">
        <f t="shared" si="57"/>
        <v/>
      </c>
      <c r="BO318" s="9">
        <f t="shared" si="58"/>
        <v>0</v>
      </c>
      <c r="BR318" s="12" t="str">
        <f t="shared" si="59"/>
        <v/>
      </c>
    </row>
    <row r="319" spans="1:70" ht="14.25" customHeight="1">
      <c r="A319" s="26"/>
      <c r="C319" s="26"/>
      <c r="D319" s="27"/>
      <c r="E319" s="27"/>
      <c r="BE319" s="10" t="str">
        <f t="shared" si="50"/>
        <v/>
      </c>
      <c r="BF319" s="8" t="str">
        <f t="shared" si="51"/>
        <v/>
      </c>
      <c r="BG319" s="11" t="str">
        <f t="shared" si="52"/>
        <v/>
      </c>
      <c r="BH319" s="8" t="str">
        <f t="shared" si="53"/>
        <v/>
      </c>
      <c r="BI319" s="8" t="str">
        <f t="shared" si="54"/>
        <v/>
      </c>
      <c r="BJ319" s="9" t="str">
        <f t="shared" si="55"/>
        <v/>
      </c>
      <c r="BK319" s="9" t="str">
        <f>IF($B319="","",COUNTIFS($B$5:$B319,$B319,$BF$5:$BF319,$BF319))</f>
        <v/>
      </c>
      <c r="BL319" s="9" t="str">
        <f>IF($B319="","",COUNTIFS($B$5:$B319,$B319,$BH$5:$BH319,$BH319))</f>
        <v/>
      </c>
      <c r="BM319" s="9" t="str">
        <f t="shared" si="56"/>
        <v/>
      </c>
      <c r="BN319" s="9" t="str">
        <f t="shared" si="57"/>
        <v/>
      </c>
      <c r="BO319" s="9">
        <f t="shared" si="58"/>
        <v>0</v>
      </c>
      <c r="BR319" s="12" t="str">
        <f t="shared" si="59"/>
        <v/>
      </c>
    </row>
    <row r="320" spans="1:70" ht="14.25" customHeight="1">
      <c r="A320" s="26"/>
      <c r="C320" s="26"/>
      <c r="D320" s="27"/>
      <c r="E320" s="27"/>
      <c r="BE320" s="10" t="str">
        <f t="shared" si="50"/>
        <v/>
      </c>
      <c r="BF320" s="8" t="str">
        <f t="shared" si="51"/>
        <v/>
      </c>
      <c r="BG320" s="11" t="str">
        <f t="shared" si="52"/>
        <v/>
      </c>
      <c r="BH320" s="8" t="str">
        <f t="shared" si="53"/>
        <v/>
      </c>
      <c r="BI320" s="8" t="str">
        <f t="shared" si="54"/>
        <v/>
      </c>
      <c r="BJ320" s="9" t="str">
        <f t="shared" si="55"/>
        <v/>
      </c>
      <c r="BK320" s="9" t="str">
        <f>IF($B320="","",COUNTIFS($B$5:$B320,$B320,$BF$5:$BF320,$BF320))</f>
        <v/>
      </c>
      <c r="BL320" s="9" t="str">
        <f>IF($B320="","",COUNTIFS($B$5:$B320,$B320,$BH$5:$BH320,$BH320))</f>
        <v/>
      </c>
      <c r="BM320" s="9" t="str">
        <f t="shared" si="56"/>
        <v/>
      </c>
      <c r="BN320" s="9" t="str">
        <f t="shared" si="57"/>
        <v/>
      </c>
      <c r="BO320" s="9">
        <f t="shared" si="58"/>
        <v>0</v>
      </c>
      <c r="BR320" s="12" t="str">
        <f t="shared" si="59"/>
        <v/>
      </c>
    </row>
    <row r="321" spans="1:70" ht="14.25" customHeight="1">
      <c r="A321" s="26"/>
      <c r="C321" s="26"/>
      <c r="D321" s="27"/>
      <c r="E321" s="27"/>
      <c r="BE321" s="10" t="str">
        <f t="shared" si="50"/>
        <v/>
      </c>
      <c r="BF321" s="8" t="str">
        <f t="shared" si="51"/>
        <v/>
      </c>
      <c r="BG321" s="11" t="str">
        <f t="shared" si="52"/>
        <v/>
      </c>
      <c r="BH321" s="8" t="str">
        <f t="shared" si="53"/>
        <v/>
      </c>
      <c r="BI321" s="8" t="str">
        <f t="shared" si="54"/>
        <v/>
      </c>
      <c r="BJ321" s="9" t="str">
        <f t="shared" si="55"/>
        <v/>
      </c>
      <c r="BK321" s="9" t="str">
        <f>IF($B321="","",COUNTIFS($B$5:$B321,$B321,$BF$5:$BF321,$BF321))</f>
        <v/>
      </c>
      <c r="BL321" s="9" t="str">
        <f>IF($B321="","",COUNTIFS($B$5:$B321,$B321,$BH$5:$BH321,$BH321))</f>
        <v/>
      </c>
      <c r="BM321" s="9" t="str">
        <f t="shared" si="56"/>
        <v/>
      </c>
      <c r="BN321" s="9" t="str">
        <f t="shared" si="57"/>
        <v/>
      </c>
      <c r="BO321" s="9">
        <f t="shared" si="58"/>
        <v>0</v>
      </c>
      <c r="BR321" s="12" t="str">
        <f t="shared" si="59"/>
        <v/>
      </c>
    </row>
    <row r="322" spans="1:70" ht="14.25" customHeight="1">
      <c r="A322" s="26"/>
      <c r="C322" s="26"/>
      <c r="D322" s="27"/>
      <c r="E322" s="27"/>
      <c r="BE322" s="10" t="str">
        <f t="shared" si="50"/>
        <v/>
      </c>
      <c r="BF322" s="8" t="str">
        <f t="shared" si="51"/>
        <v/>
      </c>
      <c r="BG322" s="11" t="str">
        <f t="shared" si="52"/>
        <v/>
      </c>
      <c r="BH322" s="8" t="str">
        <f t="shared" si="53"/>
        <v/>
      </c>
      <c r="BI322" s="8" t="str">
        <f t="shared" si="54"/>
        <v/>
      </c>
      <c r="BJ322" s="9" t="str">
        <f t="shared" si="55"/>
        <v/>
      </c>
      <c r="BK322" s="9" t="str">
        <f>IF($B322="","",COUNTIFS($B$5:$B322,$B322,$BF$5:$BF322,$BF322))</f>
        <v/>
      </c>
      <c r="BL322" s="9" t="str">
        <f>IF($B322="","",COUNTIFS($B$5:$B322,$B322,$BH$5:$BH322,$BH322))</f>
        <v/>
      </c>
      <c r="BM322" s="9" t="str">
        <f t="shared" si="56"/>
        <v/>
      </c>
      <c r="BN322" s="9" t="str">
        <f t="shared" si="57"/>
        <v/>
      </c>
      <c r="BO322" s="9">
        <f t="shared" si="58"/>
        <v>0</v>
      </c>
      <c r="BR322" s="12" t="str">
        <f t="shared" si="59"/>
        <v/>
      </c>
    </row>
    <row r="323" spans="1:70" ht="14.25" customHeight="1">
      <c r="A323" s="26"/>
      <c r="C323" s="26"/>
      <c r="D323" s="27"/>
      <c r="E323" s="27"/>
      <c r="BE323" s="10" t="str">
        <f t="shared" si="50"/>
        <v/>
      </c>
      <c r="BF323" s="8" t="str">
        <f t="shared" si="51"/>
        <v/>
      </c>
      <c r="BG323" s="11" t="str">
        <f t="shared" si="52"/>
        <v/>
      </c>
      <c r="BH323" s="8" t="str">
        <f t="shared" si="53"/>
        <v/>
      </c>
      <c r="BI323" s="8" t="str">
        <f t="shared" si="54"/>
        <v/>
      </c>
      <c r="BJ323" s="9" t="str">
        <f t="shared" si="55"/>
        <v/>
      </c>
      <c r="BK323" s="9" t="str">
        <f>IF($B323="","",COUNTIFS($B$5:$B323,$B323,$BF$5:$BF323,$BF323))</f>
        <v/>
      </c>
      <c r="BL323" s="9" t="str">
        <f>IF($B323="","",COUNTIFS($B$5:$B323,$B323,$BH$5:$BH323,$BH323))</f>
        <v/>
      </c>
      <c r="BM323" s="9" t="str">
        <f t="shared" si="56"/>
        <v/>
      </c>
      <c r="BN323" s="9" t="str">
        <f t="shared" si="57"/>
        <v/>
      </c>
      <c r="BO323" s="9">
        <f t="shared" si="58"/>
        <v>0</v>
      </c>
      <c r="BR323" s="12" t="str">
        <f t="shared" si="59"/>
        <v/>
      </c>
    </row>
    <row r="324" spans="1:70" ht="14.25" customHeight="1">
      <c r="A324" s="26"/>
      <c r="C324" s="26"/>
      <c r="D324" s="27"/>
      <c r="E324" s="27"/>
      <c r="BE324" s="10" t="str">
        <f t="shared" si="50"/>
        <v/>
      </c>
      <c r="BF324" s="8" t="str">
        <f t="shared" si="51"/>
        <v/>
      </c>
      <c r="BG324" s="11" t="str">
        <f t="shared" si="52"/>
        <v/>
      </c>
      <c r="BH324" s="8" t="str">
        <f t="shared" si="53"/>
        <v/>
      </c>
      <c r="BI324" s="8" t="str">
        <f t="shared" si="54"/>
        <v/>
      </c>
      <c r="BJ324" s="9" t="str">
        <f t="shared" si="55"/>
        <v/>
      </c>
      <c r="BK324" s="9" t="str">
        <f>IF($B324="","",COUNTIFS($B$5:$B324,$B324,$BF$5:$BF324,$BF324))</f>
        <v/>
      </c>
      <c r="BL324" s="9" t="str">
        <f>IF($B324="","",COUNTIFS($B$5:$B324,$B324,$BH$5:$BH324,$BH324))</f>
        <v/>
      </c>
      <c r="BM324" s="9" t="str">
        <f t="shared" si="56"/>
        <v/>
      </c>
      <c r="BN324" s="9" t="str">
        <f t="shared" si="57"/>
        <v/>
      </c>
      <c r="BO324" s="9">
        <f t="shared" si="58"/>
        <v>0</v>
      </c>
      <c r="BR324" s="12" t="str">
        <f t="shared" si="59"/>
        <v/>
      </c>
    </row>
    <row r="325" spans="1:70" ht="14.25" customHeight="1">
      <c r="A325" s="26"/>
      <c r="C325" s="26"/>
      <c r="D325" s="27"/>
      <c r="E325" s="27"/>
      <c r="BE325" s="10" t="str">
        <f t="shared" si="50"/>
        <v/>
      </c>
      <c r="BF325" s="8" t="str">
        <f t="shared" si="51"/>
        <v/>
      </c>
      <c r="BG325" s="11" t="str">
        <f t="shared" si="52"/>
        <v/>
      </c>
      <c r="BH325" s="8" t="str">
        <f t="shared" si="53"/>
        <v/>
      </c>
      <c r="BI325" s="8" t="str">
        <f t="shared" si="54"/>
        <v/>
      </c>
      <c r="BJ325" s="9" t="str">
        <f t="shared" si="55"/>
        <v/>
      </c>
      <c r="BK325" s="9" t="str">
        <f>IF($B325="","",COUNTIFS($B$5:$B325,$B325,$BF$5:$BF325,$BF325))</f>
        <v/>
      </c>
      <c r="BL325" s="9" t="str">
        <f>IF($B325="","",COUNTIFS($B$5:$B325,$B325,$BH$5:$BH325,$BH325))</f>
        <v/>
      </c>
      <c r="BM325" s="9" t="str">
        <f t="shared" si="56"/>
        <v/>
      </c>
      <c r="BN325" s="9" t="str">
        <f t="shared" si="57"/>
        <v/>
      </c>
      <c r="BO325" s="9">
        <f t="shared" si="58"/>
        <v>0</v>
      </c>
      <c r="BR325" s="12" t="str">
        <f t="shared" si="59"/>
        <v/>
      </c>
    </row>
    <row r="326" spans="1:70" ht="14.25" customHeight="1">
      <c r="A326" s="26"/>
      <c r="C326" s="26"/>
      <c r="D326" s="27"/>
      <c r="E326" s="27"/>
      <c r="BE326" s="10" t="str">
        <f t="shared" si="50"/>
        <v/>
      </c>
      <c r="BF326" s="8" t="str">
        <f t="shared" si="51"/>
        <v/>
      </c>
      <c r="BG326" s="11" t="str">
        <f t="shared" si="52"/>
        <v/>
      </c>
      <c r="BH326" s="8" t="str">
        <f t="shared" si="53"/>
        <v/>
      </c>
      <c r="BI326" s="8" t="str">
        <f t="shared" si="54"/>
        <v/>
      </c>
      <c r="BJ326" s="9" t="str">
        <f t="shared" si="55"/>
        <v/>
      </c>
      <c r="BK326" s="9" t="str">
        <f>IF($B326="","",COUNTIFS($B$5:$B326,$B326,$BF$5:$BF326,$BF326))</f>
        <v/>
      </c>
      <c r="BL326" s="9" t="str">
        <f>IF($B326="","",COUNTIFS($B$5:$B326,$B326,$BH$5:$BH326,$BH326))</f>
        <v/>
      </c>
      <c r="BM326" s="9" t="str">
        <f t="shared" si="56"/>
        <v/>
      </c>
      <c r="BN326" s="9" t="str">
        <f t="shared" si="57"/>
        <v/>
      </c>
      <c r="BO326" s="9">
        <f t="shared" si="58"/>
        <v>0</v>
      </c>
      <c r="BR326" s="12" t="str">
        <f t="shared" si="59"/>
        <v/>
      </c>
    </row>
    <row r="327" spans="1:70" ht="14.25" customHeight="1">
      <c r="A327" s="26"/>
      <c r="C327" s="26"/>
      <c r="D327" s="27"/>
      <c r="E327" s="27"/>
      <c r="BE327" s="10" t="str">
        <f t="shared" si="50"/>
        <v/>
      </c>
      <c r="BF327" s="8" t="str">
        <f t="shared" si="51"/>
        <v/>
      </c>
      <c r="BG327" s="11" t="str">
        <f t="shared" si="52"/>
        <v/>
      </c>
      <c r="BH327" s="8" t="str">
        <f t="shared" si="53"/>
        <v/>
      </c>
      <c r="BI327" s="8" t="str">
        <f t="shared" si="54"/>
        <v/>
      </c>
      <c r="BJ327" s="9" t="str">
        <f t="shared" si="55"/>
        <v/>
      </c>
      <c r="BK327" s="9" t="str">
        <f>IF($B327="","",COUNTIFS($B$5:$B327,$B327,$BF$5:$BF327,$BF327))</f>
        <v/>
      </c>
      <c r="BL327" s="9" t="str">
        <f>IF($B327="","",COUNTIFS($B$5:$B327,$B327,$BH$5:$BH327,$BH327))</f>
        <v/>
      </c>
      <c r="BM327" s="9" t="str">
        <f t="shared" si="56"/>
        <v/>
      </c>
      <c r="BN327" s="9" t="str">
        <f t="shared" si="57"/>
        <v/>
      </c>
      <c r="BO327" s="9">
        <f t="shared" si="58"/>
        <v>0</v>
      </c>
      <c r="BR327" s="12" t="str">
        <f t="shared" si="59"/>
        <v/>
      </c>
    </row>
    <row r="328" spans="1:70" ht="14.25" customHeight="1">
      <c r="A328" s="26"/>
      <c r="C328" s="26"/>
      <c r="D328" s="27"/>
      <c r="E328" s="27"/>
      <c r="BE328" s="10" t="str">
        <f t="shared" si="50"/>
        <v/>
      </c>
      <c r="BF328" s="8" t="str">
        <f t="shared" si="51"/>
        <v/>
      </c>
      <c r="BG328" s="11" t="str">
        <f t="shared" si="52"/>
        <v/>
      </c>
      <c r="BH328" s="8" t="str">
        <f t="shared" si="53"/>
        <v/>
      </c>
      <c r="BI328" s="8" t="str">
        <f t="shared" si="54"/>
        <v/>
      </c>
      <c r="BJ328" s="9" t="str">
        <f t="shared" si="55"/>
        <v/>
      </c>
      <c r="BK328" s="9" t="str">
        <f>IF($B328="","",COUNTIFS($B$5:$B328,$B328,$BF$5:$BF328,$BF328))</f>
        <v/>
      </c>
      <c r="BL328" s="9" t="str">
        <f>IF($B328="","",COUNTIFS($B$5:$B328,$B328,$BH$5:$BH328,$BH328))</f>
        <v/>
      </c>
      <c r="BM328" s="9" t="str">
        <f t="shared" si="56"/>
        <v/>
      </c>
      <c r="BN328" s="9" t="str">
        <f t="shared" si="57"/>
        <v/>
      </c>
      <c r="BO328" s="9">
        <f t="shared" si="58"/>
        <v>0</v>
      </c>
      <c r="BR328" s="12" t="str">
        <f t="shared" si="59"/>
        <v/>
      </c>
    </row>
    <row r="329" spans="1:70" ht="14.25" customHeight="1">
      <c r="A329" s="26"/>
      <c r="C329" s="26"/>
      <c r="D329" s="27"/>
      <c r="E329" s="27"/>
      <c r="BE329" s="10" t="str">
        <f t="shared" si="50"/>
        <v/>
      </c>
      <c r="BF329" s="8" t="str">
        <f t="shared" si="51"/>
        <v/>
      </c>
      <c r="BG329" s="11" t="str">
        <f t="shared" si="52"/>
        <v/>
      </c>
      <c r="BH329" s="8" t="str">
        <f t="shared" si="53"/>
        <v/>
      </c>
      <c r="BI329" s="8" t="str">
        <f t="shared" si="54"/>
        <v/>
      </c>
      <c r="BJ329" s="9" t="str">
        <f t="shared" si="55"/>
        <v/>
      </c>
      <c r="BK329" s="9" t="str">
        <f>IF($B329="","",COUNTIFS($B$5:$B329,$B329,$BF$5:$BF329,$BF329))</f>
        <v/>
      </c>
      <c r="BL329" s="9" t="str">
        <f>IF($B329="","",COUNTIFS($B$5:$B329,$B329,$BH$5:$BH329,$BH329))</f>
        <v/>
      </c>
      <c r="BM329" s="9" t="str">
        <f t="shared" si="56"/>
        <v/>
      </c>
      <c r="BN329" s="9" t="str">
        <f t="shared" si="57"/>
        <v/>
      </c>
      <c r="BO329" s="9">
        <f t="shared" si="58"/>
        <v>0</v>
      </c>
      <c r="BR329" s="12" t="str">
        <f t="shared" si="59"/>
        <v/>
      </c>
    </row>
    <row r="330" spans="1:70" ht="14.25" customHeight="1">
      <c r="A330" s="26"/>
      <c r="C330" s="26"/>
      <c r="D330" s="27"/>
      <c r="E330" s="27"/>
      <c r="BE330" s="10" t="str">
        <f t="shared" si="50"/>
        <v/>
      </c>
      <c r="BF330" s="8" t="str">
        <f t="shared" si="51"/>
        <v/>
      </c>
      <c r="BG330" s="11" t="str">
        <f t="shared" si="52"/>
        <v/>
      </c>
      <c r="BH330" s="8" t="str">
        <f t="shared" si="53"/>
        <v/>
      </c>
      <c r="BI330" s="8" t="str">
        <f t="shared" si="54"/>
        <v/>
      </c>
      <c r="BJ330" s="9" t="str">
        <f t="shared" si="55"/>
        <v/>
      </c>
      <c r="BK330" s="9" t="str">
        <f>IF($B330="","",COUNTIFS($B$5:$B330,$B330,$BF$5:$BF330,$BF330))</f>
        <v/>
      </c>
      <c r="BL330" s="9" t="str">
        <f>IF($B330="","",COUNTIFS($B$5:$B330,$B330,$BH$5:$BH330,$BH330))</f>
        <v/>
      </c>
      <c r="BM330" s="9" t="str">
        <f t="shared" si="56"/>
        <v/>
      </c>
      <c r="BN330" s="9" t="str">
        <f t="shared" si="57"/>
        <v/>
      </c>
      <c r="BO330" s="9">
        <f t="shared" si="58"/>
        <v>0</v>
      </c>
      <c r="BR330" s="12" t="str">
        <f t="shared" si="59"/>
        <v/>
      </c>
    </row>
    <row r="331" spans="1:70" ht="14.25" customHeight="1">
      <c r="A331" s="26"/>
      <c r="C331" s="26"/>
      <c r="D331" s="27"/>
      <c r="E331" s="27"/>
      <c r="BE331" s="10" t="str">
        <f t="shared" si="50"/>
        <v/>
      </c>
      <c r="BF331" s="8" t="str">
        <f t="shared" si="51"/>
        <v/>
      </c>
      <c r="BG331" s="11" t="str">
        <f t="shared" si="52"/>
        <v/>
      </c>
      <c r="BH331" s="8" t="str">
        <f t="shared" si="53"/>
        <v/>
      </c>
      <c r="BI331" s="8" t="str">
        <f t="shared" si="54"/>
        <v/>
      </c>
      <c r="BJ331" s="9" t="str">
        <f t="shared" si="55"/>
        <v/>
      </c>
      <c r="BK331" s="9" t="str">
        <f>IF($B331="","",COUNTIFS($B$5:$B331,$B331,$BF$5:$BF331,$BF331))</f>
        <v/>
      </c>
      <c r="BL331" s="9" t="str">
        <f>IF($B331="","",COUNTIFS($B$5:$B331,$B331,$BH$5:$BH331,$BH331))</f>
        <v/>
      </c>
      <c r="BM331" s="9" t="str">
        <f t="shared" si="56"/>
        <v/>
      </c>
      <c r="BN331" s="9" t="str">
        <f t="shared" si="57"/>
        <v/>
      </c>
      <c r="BO331" s="9">
        <f t="shared" si="58"/>
        <v>0</v>
      </c>
      <c r="BR331" s="12" t="str">
        <f t="shared" si="59"/>
        <v/>
      </c>
    </row>
    <row r="332" spans="1:70" ht="14.25" customHeight="1">
      <c r="A332" s="26"/>
      <c r="C332" s="26"/>
      <c r="D332" s="27"/>
      <c r="E332" s="27"/>
      <c r="BE332" s="10" t="str">
        <f t="shared" si="50"/>
        <v/>
      </c>
      <c r="BF332" s="8" t="str">
        <f t="shared" si="51"/>
        <v/>
      </c>
      <c r="BG332" s="11" t="str">
        <f t="shared" si="52"/>
        <v/>
      </c>
      <c r="BH332" s="8" t="str">
        <f t="shared" si="53"/>
        <v/>
      </c>
      <c r="BI332" s="8" t="str">
        <f t="shared" si="54"/>
        <v/>
      </c>
      <c r="BJ332" s="9" t="str">
        <f t="shared" si="55"/>
        <v/>
      </c>
      <c r="BK332" s="9" t="str">
        <f>IF($B332="","",COUNTIFS($B$5:$B332,$B332,$BF$5:$BF332,$BF332))</f>
        <v/>
      </c>
      <c r="BL332" s="9" t="str">
        <f>IF($B332="","",COUNTIFS($B$5:$B332,$B332,$BH$5:$BH332,$BH332))</f>
        <v/>
      </c>
      <c r="BM332" s="9" t="str">
        <f t="shared" si="56"/>
        <v/>
      </c>
      <c r="BN332" s="9" t="str">
        <f t="shared" si="57"/>
        <v/>
      </c>
      <c r="BO332" s="9">
        <f t="shared" si="58"/>
        <v>0</v>
      </c>
      <c r="BR332" s="12" t="str">
        <f t="shared" si="59"/>
        <v/>
      </c>
    </row>
    <row r="333" spans="1:70" ht="14.25" customHeight="1">
      <c r="A333" s="26"/>
      <c r="C333" s="26"/>
      <c r="D333" s="27"/>
      <c r="E333" s="27"/>
      <c r="BE333" s="10" t="str">
        <f t="shared" si="50"/>
        <v/>
      </c>
      <c r="BF333" s="8" t="str">
        <f t="shared" si="51"/>
        <v/>
      </c>
      <c r="BG333" s="11" t="str">
        <f t="shared" si="52"/>
        <v/>
      </c>
      <c r="BH333" s="8" t="str">
        <f t="shared" si="53"/>
        <v/>
      </c>
      <c r="BI333" s="8" t="str">
        <f t="shared" si="54"/>
        <v/>
      </c>
      <c r="BJ333" s="9" t="str">
        <f t="shared" si="55"/>
        <v/>
      </c>
      <c r="BK333" s="9" t="str">
        <f>IF($B333="","",COUNTIFS($B$5:$B333,$B333,$BF$5:$BF333,$BF333))</f>
        <v/>
      </c>
      <c r="BL333" s="9" t="str">
        <f>IF($B333="","",COUNTIFS($B$5:$B333,$B333,$BH$5:$BH333,$BH333))</f>
        <v/>
      </c>
      <c r="BM333" s="9" t="str">
        <f t="shared" si="56"/>
        <v/>
      </c>
      <c r="BN333" s="9" t="str">
        <f t="shared" si="57"/>
        <v/>
      </c>
      <c r="BO333" s="9">
        <f t="shared" si="58"/>
        <v>0</v>
      </c>
      <c r="BR333" s="12" t="str">
        <f t="shared" si="59"/>
        <v/>
      </c>
    </row>
    <row r="334" spans="1:70" ht="14.25" customHeight="1">
      <c r="A334" s="26"/>
      <c r="C334" s="26"/>
      <c r="D334" s="27"/>
      <c r="E334" s="27"/>
      <c r="BE334" s="10" t="str">
        <f t="shared" si="50"/>
        <v/>
      </c>
      <c r="BF334" s="8" t="str">
        <f t="shared" si="51"/>
        <v/>
      </c>
      <c r="BG334" s="11" t="str">
        <f t="shared" si="52"/>
        <v/>
      </c>
      <c r="BH334" s="8" t="str">
        <f t="shared" si="53"/>
        <v/>
      </c>
      <c r="BI334" s="8" t="str">
        <f t="shared" si="54"/>
        <v/>
      </c>
      <c r="BJ334" s="9" t="str">
        <f t="shared" si="55"/>
        <v/>
      </c>
      <c r="BK334" s="9" t="str">
        <f>IF($B334="","",COUNTIFS($B$5:$B334,$B334,$BF$5:$BF334,$BF334))</f>
        <v/>
      </c>
      <c r="BL334" s="9" t="str">
        <f>IF($B334="","",COUNTIFS($B$5:$B334,$B334,$BH$5:$BH334,$BH334))</f>
        <v/>
      </c>
      <c r="BM334" s="9" t="str">
        <f t="shared" si="56"/>
        <v/>
      </c>
      <c r="BN334" s="9" t="str">
        <f t="shared" si="57"/>
        <v/>
      </c>
      <c r="BO334" s="9">
        <f t="shared" si="58"/>
        <v>0</v>
      </c>
      <c r="BR334" s="12" t="str">
        <f t="shared" si="59"/>
        <v/>
      </c>
    </row>
    <row r="335" spans="1:70" ht="14.25" customHeight="1">
      <c r="A335" s="26"/>
      <c r="C335" s="26"/>
      <c r="D335" s="27"/>
      <c r="E335" s="27"/>
      <c r="BE335" s="10" t="str">
        <f t="shared" si="50"/>
        <v/>
      </c>
      <c r="BF335" s="8" t="str">
        <f t="shared" si="51"/>
        <v/>
      </c>
      <c r="BG335" s="11" t="str">
        <f t="shared" si="52"/>
        <v/>
      </c>
      <c r="BH335" s="8" t="str">
        <f t="shared" si="53"/>
        <v/>
      </c>
      <c r="BI335" s="8" t="str">
        <f t="shared" si="54"/>
        <v/>
      </c>
      <c r="BJ335" s="9" t="str">
        <f t="shared" si="55"/>
        <v/>
      </c>
      <c r="BK335" s="9" t="str">
        <f>IF($B335="","",COUNTIFS($B$5:$B335,$B335,$BF$5:$BF335,$BF335))</f>
        <v/>
      </c>
      <c r="BL335" s="9" t="str">
        <f>IF($B335="","",COUNTIFS($B$5:$B335,$B335,$BH$5:$BH335,$BH335))</f>
        <v/>
      </c>
      <c r="BM335" s="9" t="str">
        <f t="shared" si="56"/>
        <v/>
      </c>
      <c r="BN335" s="9" t="str">
        <f t="shared" si="57"/>
        <v/>
      </c>
      <c r="BO335" s="9">
        <f t="shared" si="58"/>
        <v>0</v>
      </c>
      <c r="BR335" s="12" t="str">
        <f t="shared" si="59"/>
        <v/>
      </c>
    </row>
    <row r="336" spans="1:70" ht="14.25" customHeight="1">
      <c r="A336" s="26"/>
      <c r="C336" s="26"/>
      <c r="D336" s="27"/>
      <c r="E336" s="27"/>
      <c r="BE336" s="10" t="str">
        <f t="shared" si="50"/>
        <v/>
      </c>
      <c r="BF336" s="8" t="str">
        <f t="shared" si="51"/>
        <v/>
      </c>
      <c r="BG336" s="11" t="str">
        <f t="shared" si="52"/>
        <v/>
      </c>
      <c r="BH336" s="8" t="str">
        <f t="shared" si="53"/>
        <v/>
      </c>
      <c r="BI336" s="8" t="str">
        <f t="shared" si="54"/>
        <v/>
      </c>
      <c r="BJ336" s="9" t="str">
        <f t="shared" si="55"/>
        <v/>
      </c>
      <c r="BK336" s="9" t="str">
        <f>IF($B336="","",COUNTIFS($B$5:$B336,$B336,$BF$5:$BF336,$BF336))</f>
        <v/>
      </c>
      <c r="BL336" s="9" t="str">
        <f>IF($B336="","",COUNTIFS($B$5:$B336,$B336,$BH$5:$BH336,$BH336))</f>
        <v/>
      </c>
      <c r="BM336" s="9" t="str">
        <f t="shared" si="56"/>
        <v/>
      </c>
      <c r="BN336" s="9" t="str">
        <f t="shared" si="57"/>
        <v/>
      </c>
      <c r="BO336" s="9">
        <f t="shared" si="58"/>
        <v>0</v>
      </c>
      <c r="BR336" s="12" t="str">
        <f t="shared" si="59"/>
        <v/>
      </c>
    </row>
    <row r="337" spans="1:70" ht="14.25" customHeight="1">
      <c r="A337" s="26"/>
      <c r="C337" s="26"/>
      <c r="D337" s="27"/>
      <c r="E337" s="27"/>
      <c r="BE337" s="10" t="str">
        <f t="shared" si="50"/>
        <v/>
      </c>
      <c r="BF337" s="8" t="str">
        <f t="shared" si="51"/>
        <v/>
      </c>
      <c r="BG337" s="11" t="str">
        <f t="shared" si="52"/>
        <v/>
      </c>
      <c r="BH337" s="8" t="str">
        <f t="shared" si="53"/>
        <v/>
      </c>
      <c r="BI337" s="8" t="str">
        <f t="shared" si="54"/>
        <v/>
      </c>
      <c r="BJ337" s="9" t="str">
        <f t="shared" si="55"/>
        <v/>
      </c>
      <c r="BK337" s="9" t="str">
        <f>IF($B337="","",COUNTIFS($B$5:$B337,$B337,$BF$5:$BF337,$BF337))</f>
        <v/>
      </c>
      <c r="BL337" s="9" t="str">
        <f>IF($B337="","",COUNTIFS($B$5:$B337,$B337,$BH$5:$BH337,$BH337))</f>
        <v/>
      </c>
      <c r="BM337" s="9" t="str">
        <f t="shared" si="56"/>
        <v/>
      </c>
      <c r="BN337" s="9" t="str">
        <f t="shared" si="57"/>
        <v/>
      </c>
      <c r="BO337" s="9">
        <f t="shared" si="58"/>
        <v>0</v>
      </c>
      <c r="BR337" s="12" t="str">
        <f t="shared" si="59"/>
        <v/>
      </c>
    </row>
    <row r="338" spans="1:70" ht="14.25" customHeight="1">
      <c r="A338" s="26"/>
      <c r="C338" s="26"/>
      <c r="D338" s="27"/>
      <c r="E338" s="27"/>
      <c r="BE338" s="10" t="str">
        <f t="shared" si="50"/>
        <v/>
      </c>
      <c r="BF338" s="8" t="str">
        <f t="shared" si="51"/>
        <v/>
      </c>
      <c r="BG338" s="11" t="str">
        <f t="shared" si="52"/>
        <v/>
      </c>
      <c r="BH338" s="8" t="str">
        <f t="shared" si="53"/>
        <v/>
      </c>
      <c r="BI338" s="8" t="str">
        <f t="shared" si="54"/>
        <v/>
      </c>
      <c r="BJ338" s="9" t="str">
        <f t="shared" si="55"/>
        <v/>
      </c>
      <c r="BK338" s="9" t="str">
        <f>IF($B338="","",COUNTIFS($B$5:$B338,$B338,$BF$5:$BF338,$BF338))</f>
        <v/>
      </c>
      <c r="BL338" s="9" t="str">
        <f>IF($B338="","",COUNTIFS($B$5:$B338,$B338,$BH$5:$BH338,$BH338))</f>
        <v/>
      </c>
      <c r="BM338" s="9" t="str">
        <f t="shared" si="56"/>
        <v/>
      </c>
      <c r="BN338" s="9" t="str">
        <f t="shared" si="57"/>
        <v/>
      </c>
      <c r="BO338" s="9">
        <f t="shared" si="58"/>
        <v>0</v>
      </c>
      <c r="BR338" s="12" t="str">
        <f t="shared" si="59"/>
        <v/>
      </c>
    </row>
    <row r="339" spans="1:70" ht="14.25" customHeight="1">
      <c r="A339" s="26"/>
      <c r="C339" s="26"/>
      <c r="D339" s="27"/>
      <c r="E339" s="27"/>
      <c r="BE339" s="10" t="str">
        <f t="shared" si="50"/>
        <v/>
      </c>
      <c r="BF339" s="8" t="str">
        <f t="shared" si="51"/>
        <v/>
      </c>
      <c r="BG339" s="11" t="str">
        <f t="shared" si="52"/>
        <v/>
      </c>
      <c r="BH339" s="8" t="str">
        <f t="shared" si="53"/>
        <v/>
      </c>
      <c r="BI339" s="8" t="str">
        <f t="shared" si="54"/>
        <v/>
      </c>
      <c r="BJ339" s="9" t="str">
        <f t="shared" si="55"/>
        <v/>
      </c>
      <c r="BK339" s="9" t="str">
        <f>IF($B339="","",COUNTIFS($B$5:$B339,$B339,$BF$5:$BF339,$BF339))</f>
        <v/>
      </c>
      <c r="BL339" s="9" t="str">
        <f>IF($B339="","",COUNTIFS($B$5:$B339,$B339,$BH$5:$BH339,$BH339))</f>
        <v/>
      </c>
      <c r="BM339" s="9" t="str">
        <f t="shared" si="56"/>
        <v/>
      </c>
      <c r="BN339" s="9" t="str">
        <f t="shared" si="57"/>
        <v/>
      </c>
      <c r="BO339" s="9">
        <f t="shared" si="58"/>
        <v>0</v>
      </c>
      <c r="BR339" s="12" t="str">
        <f t="shared" si="59"/>
        <v/>
      </c>
    </row>
    <row r="340" spans="1:70" ht="14.25" customHeight="1">
      <c r="A340" s="26"/>
      <c r="C340" s="26"/>
      <c r="D340" s="27"/>
      <c r="E340" s="27"/>
      <c r="BE340" s="10" t="str">
        <f t="shared" si="50"/>
        <v/>
      </c>
      <c r="BF340" s="8" t="str">
        <f t="shared" si="51"/>
        <v/>
      </c>
      <c r="BG340" s="11" t="str">
        <f t="shared" si="52"/>
        <v/>
      </c>
      <c r="BH340" s="8" t="str">
        <f t="shared" si="53"/>
        <v/>
      </c>
      <c r="BI340" s="8" t="str">
        <f t="shared" si="54"/>
        <v/>
      </c>
      <c r="BJ340" s="9" t="str">
        <f t="shared" si="55"/>
        <v/>
      </c>
      <c r="BK340" s="9" t="str">
        <f>IF($B340="","",COUNTIFS($B$5:$B340,$B340,$BF$5:$BF340,$BF340))</f>
        <v/>
      </c>
      <c r="BL340" s="9" t="str">
        <f>IF($B340="","",COUNTIFS($B$5:$B340,$B340,$BH$5:$BH340,$BH340))</f>
        <v/>
      </c>
      <c r="BM340" s="9" t="str">
        <f t="shared" si="56"/>
        <v/>
      </c>
      <c r="BN340" s="9" t="str">
        <f t="shared" si="57"/>
        <v/>
      </c>
      <c r="BO340" s="9">
        <f t="shared" si="58"/>
        <v>0</v>
      </c>
      <c r="BR340" s="12" t="str">
        <f t="shared" si="59"/>
        <v/>
      </c>
    </row>
    <row r="341" spans="1:70" ht="14.25" customHeight="1">
      <c r="A341" s="26"/>
      <c r="C341" s="26"/>
      <c r="D341" s="27"/>
      <c r="E341" s="27"/>
      <c r="BE341" s="10" t="str">
        <f t="shared" si="50"/>
        <v/>
      </c>
      <c r="BF341" s="8" t="str">
        <f t="shared" si="51"/>
        <v/>
      </c>
      <c r="BG341" s="11" t="str">
        <f t="shared" si="52"/>
        <v/>
      </c>
      <c r="BH341" s="8" t="str">
        <f t="shared" si="53"/>
        <v/>
      </c>
      <c r="BI341" s="8" t="str">
        <f t="shared" si="54"/>
        <v/>
      </c>
      <c r="BJ341" s="9" t="str">
        <f t="shared" si="55"/>
        <v/>
      </c>
      <c r="BK341" s="9" t="str">
        <f>IF($B341="","",COUNTIFS($B$5:$B341,$B341,$BF$5:$BF341,$BF341))</f>
        <v/>
      </c>
      <c r="BL341" s="9" t="str">
        <f>IF($B341="","",COUNTIFS($B$5:$B341,$B341,$BH$5:$BH341,$BH341))</f>
        <v/>
      </c>
      <c r="BM341" s="9" t="str">
        <f t="shared" si="56"/>
        <v/>
      </c>
      <c r="BN341" s="9" t="str">
        <f t="shared" si="57"/>
        <v/>
      </c>
      <c r="BO341" s="9">
        <f t="shared" si="58"/>
        <v>0</v>
      </c>
      <c r="BR341" s="12" t="str">
        <f t="shared" si="59"/>
        <v/>
      </c>
    </row>
    <row r="342" spans="1:70" ht="14.25" customHeight="1">
      <c r="A342" s="26"/>
      <c r="C342" s="26"/>
      <c r="D342" s="27"/>
      <c r="E342" s="27"/>
      <c r="BE342" s="10" t="str">
        <f t="shared" si="50"/>
        <v/>
      </c>
      <c r="BF342" s="8" t="str">
        <f t="shared" si="51"/>
        <v/>
      </c>
      <c r="BG342" s="11" t="str">
        <f t="shared" si="52"/>
        <v/>
      </c>
      <c r="BH342" s="8" t="str">
        <f t="shared" si="53"/>
        <v/>
      </c>
      <c r="BI342" s="8" t="str">
        <f t="shared" si="54"/>
        <v/>
      </c>
      <c r="BJ342" s="9" t="str">
        <f t="shared" si="55"/>
        <v/>
      </c>
      <c r="BK342" s="9" t="str">
        <f>IF($B342="","",COUNTIFS($B$5:$B342,$B342,$BF$5:$BF342,$BF342))</f>
        <v/>
      </c>
      <c r="BL342" s="9" t="str">
        <f>IF($B342="","",COUNTIFS($B$5:$B342,$B342,$BH$5:$BH342,$BH342))</f>
        <v/>
      </c>
      <c r="BM342" s="9" t="str">
        <f t="shared" si="56"/>
        <v/>
      </c>
      <c r="BN342" s="9" t="str">
        <f t="shared" si="57"/>
        <v/>
      </c>
      <c r="BO342" s="9">
        <f t="shared" si="58"/>
        <v>0</v>
      </c>
      <c r="BR342" s="12" t="str">
        <f t="shared" si="59"/>
        <v/>
      </c>
    </row>
    <row r="343" spans="1:70" ht="14.25" customHeight="1">
      <c r="A343" s="26"/>
      <c r="C343" s="26"/>
      <c r="D343" s="27"/>
      <c r="E343" s="27"/>
      <c r="BE343" s="10" t="str">
        <f t="shared" si="50"/>
        <v/>
      </c>
      <c r="BF343" s="8" t="str">
        <f t="shared" si="51"/>
        <v/>
      </c>
      <c r="BG343" s="11" t="str">
        <f t="shared" si="52"/>
        <v/>
      </c>
      <c r="BH343" s="8" t="str">
        <f t="shared" si="53"/>
        <v/>
      </c>
      <c r="BI343" s="8" t="str">
        <f t="shared" si="54"/>
        <v/>
      </c>
      <c r="BJ343" s="9" t="str">
        <f t="shared" si="55"/>
        <v/>
      </c>
      <c r="BK343" s="9" t="str">
        <f>IF($B343="","",COUNTIFS($B$5:$B343,$B343,$BF$5:$BF343,$BF343))</f>
        <v/>
      </c>
      <c r="BL343" s="9" t="str">
        <f>IF($B343="","",COUNTIFS($B$5:$B343,$B343,$BH$5:$BH343,$BH343))</f>
        <v/>
      </c>
      <c r="BM343" s="9" t="str">
        <f t="shared" si="56"/>
        <v/>
      </c>
      <c r="BN343" s="9" t="str">
        <f t="shared" si="57"/>
        <v/>
      </c>
      <c r="BO343" s="9">
        <f t="shared" si="58"/>
        <v>0</v>
      </c>
      <c r="BR343" s="12" t="str">
        <f t="shared" si="59"/>
        <v/>
      </c>
    </row>
    <row r="344" spans="1:70" ht="14.25" customHeight="1">
      <c r="A344" s="26"/>
      <c r="C344" s="26"/>
      <c r="D344" s="27"/>
      <c r="E344" s="27"/>
      <c r="BE344" s="10" t="str">
        <f t="shared" si="50"/>
        <v/>
      </c>
      <c r="BF344" s="8" t="str">
        <f t="shared" si="51"/>
        <v/>
      </c>
      <c r="BG344" s="11" t="str">
        <f t="shared" si="52"/>
        <v/>
      </c>
      <c r="BH344" s="8" t="str">
        <f t="shared" si="53"/>
        <v/>
      </c>
      <c r="BI344" s="8" t="str">
        <f t="shared" si="54"/>
        <v/>
      </c>
      <c r="BJ344" s="9" t="str">
        <f t="shared" si="55"/>
        <v/>
      </c>
      <c r="BK344" s="9" t="str">
        <f>IF($B344="","",COUNTIFS($B$5:$B344,$B344,$BF$5:$BF344,$BF344))</f>
        <v/>
      </c>
      <c r="BL344" s="9" t="str">
        <f>IF($B344="","",COUNTIFS($B$5:$B344,$B344,$BH$5:$BH344,$BH344))</f>
        <v/>
      </c>
      <c r="BM344" s="9" t="str">
        <f t="shared" si="56"/>
        <v/>
      </c>
      <c r="BN344" s="9" t="str">
        <f t="shared" si="57"/>
        <v/>
      </c>
      <c r="BO344" s="9">
        <f t="shared" si="58"/>
        <v>0</v>
      </c>
      <c r="BR344" s="12" t="str">
        <f t="shared" si="59"/>
        <v/>
      </c>
    </row>
    <row r="345" spans="1:70" ht="14.25" customHeight="1">
      <c r="A345" s="26"/>
      <c r="C345" s="26"/>
      <c r="D345" s="27"/>
      <c r="E345" s="27"/>
      <c r="BE345" s="10" t="str">
        <f t="shared" si="50"/>
        <v/>
      </c>
      <c r="BF345" s="8" t="str">
        <f t="shared" si="51"/>
        <v/>
      </c>
      <c r="BG345" s="11" t="str">
        <f t="shared" si="52"/>
        <v/>
      </c>
      <c r="BH345" s="8" t="str">
        <f t="shared" si="53"/>
        <v/>
      </c>
      <c r="BI345" s="8" t="str">
        <f t="shared" si="54"/>
        <v/>
      </c>
      <c r="BJ345" s="9" t="str">
        <f t="shared" si="55"/>
        <v/>
      </c>
      <c r="BK345" s="9" t="str">
        <f>IF($B345="","",COUNTIFS($B$5:$B345,$B345,$BF$5:$BF345,$BF345))</f>
        <v/>
      </c>
      <c r="BL345" s="9" t="str">
        <f>IF($B345="","",COUNTIFS($B$5:$B345,$B345,$BH$5:$BH345,$BH345))</f>
        <v/>
      </c>
      <c r="BM345" s="9" t="str">
        <f t="shared" si="56"/>
        <v/>
      </c>
      <c r="BN345" s="9" t="str">
        <f t="shared" si="57"/>
        <v/>
      </c>
      <c r="BO345" s="9">
        <f t="shared" si="58"/>
        <v>0</v>
      </c>
      <c r="BR345" s="12" t="str">
        <f t="shared" si="59"/>
        <v/>
      </c>
    </row>
    <row r="346" spans="1:70" ht="14.25" customHeight="1">
      <c r="A346" s="26"/>
      <c r="C346" s="26"/>
      <c r="D346" s="27"/>
      <c r="E346" s="27"/>
      <c r="BE346" s="10" t="str">
        <f t="shared" si="50"/>
        <v/>
      </c>
      <c r="BF346" s="8" t="str">
        <f t="shared" si="51"/>
        <v/>
      </c>
      <c r="BG346" s="11" t="str">
        <f t="shared" si="52"/>
        <v/>
      </c>
      <c r="BH346" s="8" t="str">
        <f t="shared" si="53"/>
        <v/>
      </c>
      <c r="BI346" s="8" t="str">
        <f t="shared" si="54"/>
        <v/>
      </c>
      <c r="BJ346" s="9" t="str">
        <f t="shared" si="55"/>
        <v/>
      </c>
      <c r="BK346" s="9" t="str">
        <f>IF($B346="","",COUNTIFS($B$5:$B346,$B346,$BF$5:$BF346,$BF346))</f>
        <v/>
      </c>
      <c r="BL346" s="9" t="str">
        <f>IF($B346="","",COUNTIFS($B$5:$B346,$B346,$BH$5:$BH346,$BH346))</f>
        <v/>
      </c>
      <c r="BM346" s="9" t="str">
        <f t="shared" si="56"/>
        <v/>
      </c>
      <c r="BN346" s="9" t="str">
        <f t="shared" si="57"/>
        <v/>
      </c>
      <c r="BO346" s="9">
        <f t="shared" si="58"/>
        <v>0</v>
      </c>
      <c r="BR346" s="12" t="str">
        <f t="shared" si="59"/>
        <v/>
      </c>
    </row>
    <row r="347" spans="1:70" ht="14.25" customHeight="1">
      <c r="A347" s="26"/>
      <c r="C347" s="26"/>
      <c r="D347" s="27"/>
      <c r="E347" s="27"/>
      <c r="BE347" s="10" t="str">
        <f t="shared" si="50"/>
        <v/>
      </c>
      <c r="BF347" s="8" t="str">
        <f t="shared" si="51"/>
        <v/>
      </c>
      <c r="BG347" s="11" t="str">
        <f t="shared" si="52"/>
        <v/>
      </c>
      <c r="BH347" s="8" t="str">
        <f t="shared" si="53"/>
        <v/>
      </c>
      <c r="BI347" s="8" t="str">
        <f t="shared" si="54"/>
        <v/>
      </c>
      <c r="BJ347" s="9" t="str">
        <f t="shared" si="55"/>
        <v/>
      </c>
      <c r="BK347" s="9" t="str">
        <f>IF($B347="","",COUNTIFS($B$5:$B347,$B347,$BF$5:$BF347,$BF347))</f>
        <v/>
      </c>
      <c r="BL347" s="9" t="str">
        <f>IF($B347="","",COUNTIFS($B$5:$B347,$B347,$BH$5:$BH347,$BH347))</f>
        <v/>
      </c>
      <c r="BM347" s="9" t="str">
        <f t="shared" si="56"/>
        <v/>
      </c>
      <c r="BN347" s="9" t="str">
        <f t="shared" si="57"/>
        <v/>
      </c>
      <c r="BO347" s="9">
        <f t="shared" si="58"/>
        <v>0</v>
      </c>
      <c r="BR347" s="12" t="str">
        <f t="shared" si="59"/>
        <v/>
      </c>
    </row>
    <row r="348" spans="1:70" ht="14.25" customHeight="1">
      <c r="A348" s="26"/>
      <c r="C348" s="26"/>
      <c r="D348" s="27"/>
      <c r="E348" s="27"/>
      <c r="BE348" s="10" t="str">
        <f t="shared" si="50"/>
        <v/>
      </c>
      <c r="BF348" s="8" t="str">
        <f t="shared" si="51"/>
        <v/>
      </c>
      <c r="BG348" s="11" t="str">
        <f t="shared" si="52"/>
        <v/>
      </c>
      <c r="BH348" s="8" t="str">
        <f t="shared" si="53"/>
        <v/>
      </c>
      <c r="BI348" s="8" t="str">
        <f t="shared" si="54"/>
        <v/>
      </c>
      <c r="BJ348" s="9" t="str">
        <f t="shared" si="55"/>
        <v/>
      </c>
      <c r="BK348" s="9" t="str">
        <f>IF($B348="","",COUNTIFS($B$5:$B348,$B348,$BF$5:$BF348,$BF348))</f>
        <v/>
      </c>
      <c r="BL348" s="9" t="str">
        <f>IF($B348="","",COUNTIFS($B$5:$B348,$B348,$BH$5:$BH348,$BH348))</f>
        <v/>
      </c>
      <c r="BM348" s="9" t="str">
        <f t="shared" si="56"/>
        <v/>
      </c>
      <c r="BN348" s="9" t="str">
        <f t="shared" si="57"/>
        <v/>
      </c>
      <c r="BO348" s="9">
        <f t="shared" si="58"/>
        <v>0</v>
      </c>
      <c r="BR348" s="12" t="str">
        <f t="shared" si="59"/>
        <v/>
      </c>
    </row>
    <row r="349" spans="1:70" ht="14.25" customHeight="1">
      <c r="A349" s="26"/>
      <c r="C349" s="26"/>
      <c r="D349" s="27"/>
      <c r="E349" s="27"/>
      <c r="BE349" s="10" t="str">
        <f t="shared" ref="BE349:BE412" si="60">IF($B349="","",IF(COUNT($H349,$J349,$L349,$N349,$P349,$R349)&gt;0,SUM($H349,$J349,$L349,$N349,$P349,$R349),SUM($T349,$V349,$X349,$Z349,$AB349,$AD349,$AF349,$AH349,$AJ349,$AL349,$AN349,$AP349,$AR349,$AT349,$AV349,$AX349,$AZ349)))</f>
        <v/>
      </c>
      <c r="BF349" s="8" t="str">
        <f t="shared" ref="BF349:BF412" si="61">IF($C349="","",DATE(YEAR($C349),MONTH($C349),1))</f>
        <v/>
      </c>
      <c r="BG349" s="11" t="str">
        <f t="shared" ref="BG349:BG412" si="62">IF($BF349="","",TEXT($BF349,"mmmm yyyy"))</f>
        <v/>
      </c>
      <c r="BH349" s="8" t="str">
        <f t="shared" ref="BH349:BH412" si="63">IF($C349="","",$C349-WEEKDAY($C349,2)+1)</f>
        <v/>
      </c>
      <c r="BI349" s="8" t="str">
        <f t="shared" ref="BI349:BI412" si="64">IF($BH349="","",$BH349+6)</f>
        <v/>
      </c>
      <c r="BJ349" s="9" t="str">
        <f t="shared" ref="BJ349:BJ412" si="65">IF($BH349="","",TEXT($BH349,"dd/mm/yyyy")&amp;" - "&amp;TEXT($BI349,"dd/mm/yyyy"))</f>
        <v/>
      </c>
      <c r="BK349" s="9" t="str">
        <f>IF($B349="","",COUNTIFS($B$5:$B349,$B349,$BF$5:$BF349,$BF349))</f>
        <v/>
      </c>
      <c r="BL349" s="9" t="str">
        <f>IF($B349="","",COUNTIFS($B$5:$B349,$B349,$BH$5:$BH349,$BH349))</f>
        <v/>
      </c>
      <c r="BM349" s="9" t="str">
        <f t="shared" ref="BM349:BM412" si="66">IF($B349="","",TEXT($BK349,"00")&amp;"|"&amp;$B349&amp;"|"&amp;TEXT($BF349,"yyyymmdd"))</f>
        <v/>
      </c>
      <c r="BN349" s="9" t="str">
        <f t="shared" ref="BN349:BN412" si="67">IF($B349="","",TEXT($BL349,"00")&amp;"|"&amp;$B349&amp;"|"&amp;TEXT($BH349,"yyyymmdd"))</f>
        <v/>
      </c>
      <c r="BO349" s="9">
        <f t="shared" ref="BO349:BO412" si="68">IF(OR($BB349="YES",$BB349="Yes",$BB349="Y",$BB349=1),1,0)</f>
        <v>0</v>
      </c>
      <c r="BR349" s="12" t="str">
        <f t="shared" ref="BR349:BR412" si="69">IF($C349="","",IF($C349&gt;=DATE(2026,6,1),"QA-2026-06",IF($C349&gt;=DATE(2026,5,1),"May 2026+",IF($C349&gt;=DATE(2026,4,1),"April 2026",IF($C349&gt;=DATE(2026,3,1),"March 2026","Jan-Feb 2026")))))</f>
        <v/>
      </c>
    </row>
    <row r="350" spans="1:70" ht="14.25" customHeight="1">
      <c r="A350" s="26"/>
      <c r="C350" s="26"/>
      <c r="D350" s="27"/>
      <c r="E350" s="27"/>
      <c r="BE350" s="10" t="str">
        <f t="shared" si="60"/>
        <v/>
      </c>
      <c r="BF350" s="8" t="str">
        <f t="shared" si="61"/>
        <v/>
      </c>
      <c r="BG350" s="11" t="str">
        <f t="shared" si="62"/>
        <v/>
      </c>
      <c r="BH350" s="8" t="str">
        <f t="shared" si="63"/>
        <v/>
      </c>
      <c r="BI350" s="8" t="str">
        <f t="shared" si="64"/>
        <v/>
      </c>
      <c r="BJ350" s="9" t="str">
        <f t="shared" si="65"/>
        <v/>
      </c>
      <c r="BK350" s="9" t="str">
        <f>IF($B350="","",COUNTIFS($B$5:$B350,$B350,$BF$5:$BF350,$BF350))</f>
        <v/>
      </c>
      <c r="BL350" s="9" t="str">
        <f>IF($B350="","",COUNTIFS($B$5:$B350,$B350,$BH$5:$BH350,$BH350))</f>
        <v/>
      </c>
      <c r="BM350" s="9" t="str">
        <f t="shared" si="66"/>
        <v/>
      </c>
      <c r="BN350" s="9" t="str">
        <f t="shared" si="67"/>
        <v/>
      </c>
      <c r="BO350" s="9">
        <f t="shared" si="68"/>
        <v>0</v>
      </c>
      <c r="BR350" s="12" t="str">
        <f t="shared" si="69"/>
        <v/>
      </c>
    </row>
    <row r="351" spans="1:70" ht="14.25" customHeight="1">
      <c r="A351" s="26"/>
      <c r="C351" s="26"/>
      <c r="D351" s="27"/>
      <c r="E351" s="27"/>
      <c r="BE351" s="10" t="str">
        <f t="shared" si="60"/>
        <v/>
      </c>
      <c r="BF351" s="8" t="str">
        <f t="shared" si="61"/>
        <v/>
      </c>
      <c r="BG351" s="11" t="str">
        <f t="shared" si="62"/>
        <v/>
      </c>
      <c r="BH351" s="8" t="str">
        <f t="shared" si="63"/>
        <v/>
      </c>
      <c r="BI351" s="8" t="str">
        <f t="shared" si="64"/>
        <v/>
      </c>
      <c r="BJ351" s="9" t="str">
        <f t="shared" si="65"/>
        <v/>
      </c>
      <c r="BK351" s="9" t="str">
        <f>IF($B351="","",COUNTIFS($B$5:$B351,$B351,$BF$5:$BF351,$BF351))</f>
        <v/>
      </c>
      <c r="BL351" s="9" t="str">
        <f>IF($B351="","",COUNTIFS($B$5:$B351,$B351,$BH$5:$BH351,$BH351))</f>
        <v/>
      </c>
      <c r="BM351" s="9" t="str">
        <f t="shared" si="66"/>
        <v/>
      </c>
      <c r="BN351" s="9" t="str">
        <f t="shared" si="67"/>
        <v/>
      </c>
      <c r="BO351" s="9">
        <f t="shared" si="68"/>
        <v>0</v>
      </c>
      <c r="BR351" s="12" t="str">
        <f t="shared" si="69"/>
        <v/>
      </c>
    </row>
    <row r="352" spans="1:70" ht="14.25" customHeight="1">
      <c r="A352" s="26"/>
      <c r="C352" s="26"/>
      <c r="D352" s="27"/>
      <c r="E352" s="27"/>
      <c r="BE352" s="10" t="str">
        <f t="shared" si="60"/>
        <v/>
      </c>
      <c r="BF352" s="8" t="str">
        <f t="shared" si="61"/>
        <v/>
      </c>
      <c r="BG352" s="11" t="str">
        <f t="shared" si="62"/>
        <v/>
      </c>
      <c r="BH352" s="8" t="str">
        <f t="shared" si="63"/>
        <v/>
      </c>
      <c r="BI352" s="8" t="str">
        <f t="shared" si="64"/>
        <v/>
      </c>
      <c r="BJ352" s="9" t="str">
        <f t="shared" si="65"/>
        <v/>
      </c>
      <c r="BK352" s="9" t="str">
        <f>IF($B352="","",COUNTIFS($B$5:$B352,$B352,$BF$5:$BF352,$BF352))</f>
        <v/>
      </c>
      <c r="BL352" s="9" t="str">
        <f>IF($B352="","",COUNTIFS($B$5:$B352,$B352,$BH$5:$BH352,$BH352))</f>
        <v/>
      </c>
      <c r="BM352" s="9" t="str">
        <f t="shared" si="66"/>
        <v/>
      </c>
      <c r="BN352" s="9" t="str">
        <f t="shared" si="67"/>
        <v/>
      </c>
      <c r="BO352" s="9">
        <f t="shared" si="68"/>
        <v>0</v>
      </c>
      <c r="BR352" s="12" t="str">
        <f t="shared" si="69"/>
        <v/>
      </c>
    </row>
    <row r="353" spans="1:70" ht="14.25" customHeight="1">
      <c r="A353" s="26"/>
      <c r="C353" s="26"/>
      <c r="D353" s="27"/>
      <c r="E353" s="27"/>
      <c r="BE353" s="10" t="str">
        <f t="shared" si="60"/>
        <v/>
      </c>
      <c r="BF353" s="8" t="str">
        <f t="shared" si="61"/>
        <v/>
      </c>
      <c r="BG353" s="11" t="str">
        <f t="shared" si="62"/>
        <v/>
      </c>
      <c r="BH353" s="8" t="str">
        <f t="shared" si="63"/>
        <v/>
      </c>
      <c r="BI353" s="8" t="str">
        <f t="shared" si="64"/>
        <v/>
      </c>
      <c r="BJ353" s="9" t="str">
        <f t="shared" si="65"/>
        <v/>
      </c>
      <c r="BK353" s="9" t="str">
        <f>IF($B353="","",COUNTIFS($B$5:$B353,$B353,$BF$5:$BF353,$BF353))</f>
        <v/>
      </c>
      <c r="BL353" s="9" t="str">
        <f>IF($B353="","",COUNTIFS($B$5:$B353,$B353,$BH$5:$BH353,$BH353))</f>
        <v/>
      </c>
      <c r="BM353" s="9" t="str">
        <f t="shared" si="66"/>
        <v/>
      </c>
      <c r="BN353" s="9" t="str">
        <f t="shared" si="67"/>
        <v/>
      </c>
      <c r="BO353" s="9">
        <f t="shared" si="68"/>
        <v>0</v>
      </c>
      <c r="BR353" s="12" t="str">
        <f t="shared" si="69"/>
        <v/>
      </c>
    </row>
    <row r="354" spans="1:70" ht="14.25" customHeight="1">
      <c r="A354" s="26"/>
      <c r="C354" s="26"/>
      <c r="D354" s="27"/>
      <c r="E354" s="27"/>
      <c r="BE354" s="10" t="str">
        <f t="shared" si="60"/>
        <v/>
      </c>
      <c r="BF354" s="8" t="str">
        <f t="shared" si="61"/>
        <v/>
      </c>
      <c r="BG354" s="11" t="str">
        <f t="shared" si="62"/>
        <v/>
      </c>
      <c r="BH354" s="8" t="str">
        <f t="shared" si="63"/>
        <v/>
      </c>
      <c r="BI354" s="8" t="str">
        <f t="shared" si="64"/>
        <v/>
      </c>
      <c r="BJ354" s="9" t="str">
        <f t="shared" si="65"/>
        <v/>
      </c>
      <c r="BK354" s="9" t="str">
        <f>IF($B354="","",COUNTIFS($B$5:$B354,$B354,$BF$5:$BF354,$BF354))</f>
        <v/>
      </c>
      <c r="BL354" s="9" t="str">
        <f>IF($B354="","",COUNTIFS($B$5:$B354,$B354,$BH$5:$BH354,$BH354))</f>
        <v/>
      </c>
      <c r="BM354" s="9" t="str">
        <f t="shared" si="66"/>
        <v/>
      </c>
      <c r="BN354" s="9" t="str">
        <f t="shared" si="67"/>
        <v/>
      </c>
      <c r="BO354" s="9">
        <f t="shared" si="68"/>
        <v>0</v>
      </c>
      <c r="BR354" s="12" t="str">
        <f t="shared" si="69"/>
        <v/>
      </c>
    </row>
    <row r="355" spans="1:70" ht="14.25" customHeight="1">
      <c r="A355" s="26"/>
      <c r="C355" s="26"/>
      <c r="D355" s="27"/>
      <c r="E355" s="27"/>
      <c r="BE355" s="10" t="str">
        <f t="shared" si="60"/>
        <v/>
      </c>
      <c r="BF355" s="8" t="str">
        <f t="shared" si="61"/>
        <v/>
      </c>
      <c r="BG355" s="11" t="str">
        <f t="shared" si="62"/>
        <v/>
      </c>
      <c r="BH355" s="8" t="str">
        <f t="shared" si="63"/>
        <v/>
      </c>
      <c r="BI355" s="8" t="str">
        <f t="shared" si="64"/>
        <v/>
      </c>
      <c r="BJ355" s="9" t="str">
        <f t="shared" si="65"/>
        <v/>
      </c>
      <c r="BK355" s="9" t="str">
        <f>IF($B355="","",COUNTIFS($B$5:$B355,$B355,$BF$5:$BF355,$BF355))</f>
        <v/>
      </c>
      <c r="BL355" s="9" t="str">
        <f>IF($B355="","",COUNTIFS($B$5:$B355,$B355,$BH$5:$BH355,$BH355))</f>
        <v/>
      </c>
      <c r="BM355" s="9" t="str">
        <f t="shared" si="66"/>
        <v/>
      </c>
      <c r="BN355" s="9" t="str">
        <f t="shared" si="67"/>
        <v/>
      </c>
      <c r="BO355" s="9">
        <f t="shared" si="68"/>
        <v>0</v>
      </c>
      <c r="BR355" s="12" t="str">
        <f t="shared" si="69"/>
        <v/>
      </c>
    </row>
    <row r="356" spans="1:70" ht="14.25" customHeight="1">
      <c r="A356" s="26"/>
      <c r="C356" s="26"/>
      <c r="D356" s="27"/>
      <c r="E356" s="27"/>
      <c r="BE356" s="10" t="str">
        <f t="shared" si="60"/>
        <v/>
      </c>
      <c r="BF356" s="8" t="str">
        <f t="shared" si="61"/>
        <v/>
      </c>
      <c r="BG356" s="11" t="str">
        <f t="shared" si="62"/>
        <v/>
      </c>
      <c r="BH356" s="8" t="str">
        <f t="shared" si="63"/>
        <v/>
      </c>
      <c r="BI356" s="8" t="str">
        <f t="shared" si="64"/>
        <v/>
      </c>
      <c r="BJ356" s="9" t="str">
        <f t="shared" si="65"/>
        <v/>
      </c>
      <c r="BK356" s="9" t="str">
        <f>IF($B356="","",COUNTIFS($B$5:$B356,$B356,$BF$5:$BF356,$BF356))</f>
        <v/>
      </c>
      <c r="BL356" s="9" t="str">
        <f>IF($B356="","",COUNTIFS($B$5:$B356,$B356,$BH$5:$BH356,$BH356))</f>
        <v/>
      </c>
      <c r="BM356" s="9" t="str">
        <f t="shared" si="66"/>
        <v/>
      </c>
      <c r="BN356" s="9" t="str">
        <f t="shared" si="67"/>
        <v/>
      </c>
      <c r="BO356" s="9">
        <f t="shared" si="68"/>
        <v>0</v>
      </c>
      <c r="BR356" s="12" t="str">
        <f t="shared" si="69"/>
        <v/>
      </c>
    </row>
    <row r="357" spans="1:70" ht="14.25" customHeight="1">
      <c r="A357" s="26"/>
      <c r="C357" s="26"/>
      <c r="D357" s="27"/>
      <c r="E357" s="27"/>
      <c r="BE357" s="10" t="str">
        <f t="shared" si="60"/>
        <v/>
      </c>
      <c r="BF357" s="8" t="str">
        <f t="shared" si="61"/>
        <v/>
      </c>
      <c r="BG357" s="11" t="str">
        <f t="shared" si="62"/>
        <v/>
      </c>
      <c r="BH357" s="8" t="str">
        <f t="shared" si="63"/>
        <v/>
      </c>
      <c r="BI357" s="8" t="str">
        <f t="shared" si="64"/>
        <v/>
      </c>
      <c r="BJ357" s="9" t="str">
        <f t="shared" si="65"/>
        <v/>
      </c>
      <c r="BK357" s="9" t="str">
        <f>IF($B357="","",COUNTIFS($B$5:$B357,$B357,$BF$5:$BF357,$BF357))</f>
        <v/>
      </c>
      <c r="BL357" s="9" t="str">
        <f>IF($B357="","",COUNTIFS($B$5:$B357,$B357,$BH$5:$BH357,$BH357))</f>
        <v/>
      </c>
      <c r="BM357" s="9" t="str">
        <f t="shared" si="66"/>
        <v/>
      </c>
      <c r="BN357" s="9" t="str">
        <f t="shared" si="67"/>
        <v/>
      </c>
      <c r="BO357" s="9">
        <f t="shared" si="68"/>
        <v>0</v>
      </c>
      <c r="BR357" s="12" t="str">
        <f t="shared" si="69"/>
        <v/>
      </c>
    </row>
    <row r="358" spans="1:70" ht="14.25" customHeight="1">
      <c r="A358" s="26"/>
      <c r="C358" s="26"/>
      <c r="D358" s="27"/>
      <c r="E358" s="27"/>
      <c r="BE358" s="10" t="str">
        <f t="shared" si="60"/>
        <v/>
      </c>
      <c r="BF358" s="8" t="str">
        <f t="shared" si="61"/>
        <v/>
      </c>
      <c r="BG358" s="11" t="str">
        <f t="shared" si="62"/>
        <v/>
      </c>
      <c r="BH358" s="8" t="str">
        <f t="shared" si="63"/>
        <v/>
      </c>
      <c r="BI358" s="8" t="str">
        <f t="shared" si="64"/>
        <v/>
      </c>
      <c r="BJ358" s="9" t="str">
        <f t="shared" si="65"/>
        <v/>
      </c>
      <c r="BK358" s="9" t="str">
        <f>IF($B358="","",COUNTIFS($B$5:$B358,$B358,$BF$5:$BF358,$BF358))</f>
        <v/>
      </c>
      <c r="BL358" s="9" t="str">
        <f>IF($B358="","",COUNTIFS($B$5:$B358,$B358,$BH$5:$BH358,$BH358))</f>
        <v/>
      </c>
      <c r="BM358" s="9" t="str">
        <f t="shared" si="66"/>
        <v/>
      </c>
      <c r="BN358" s="9" t="str">
        <f t="shared" si="67"/>
        <v/>
      </c>
      <c r="BO358" s="9">
        <f t="shared" si="68"/>
        <v>0</v>
      </c>
      <c r="BR358" s="12" t="str">
        <f t="shared" si="69"/>
        <v/>
      </c>
    </row>
    <row r="359" spans="1:70" ht="14.25" customHeight="1">
      <c r="A359" s="26"/>
      <c r="C359" s="26"/>
      <c r="D359" s="27"/>
      <c r="E359" s="27"/>
      <c r="BE359" s="10" t="str">
        <f t="shared" si="60"/>
        <v/>
      </c>
      <c r="BF359" s="8" t="str">
        <f t="shared" si="61"/>
        <v/>
      </c>
      <c r="BG359" s="11" t="str">
        <f t="shared" si="62"/>
        <v/>
      </c>
      <c r="BH359" s="8" t="str">
        <f t="shared" si="63"/>
        <v/>
      </c>
      <c r="BI359" s="8" t="str">
        <f t="shared" si="64"/>
        <v/>
      </c>
      <c r="BJ359" s="9" t="str">
        <f t="shared" si="65"/>
        <v/>
      </c>
      <c r="BK359" s="9" t="str">
        <f>IF($B359="","",COUNTIFS($B$5:$B359,$B359,$BF$5:$BF359,$BF359))</f>
        <v/>
      </c>
      <c r="BL359" s="9" t="str">
        <f>IF($B359="","",COUNTIFS($B$5:$B359,$B359,$BH$5:$BH359,$BH359))</f>
        <v/>
      </c>
      <c r="BM359" s="9" t="str">
        <f t="shared" si="66"/>
        <v/>
      </c>
      <c r="BN359" s="9" t="str">
        <f t="shared" si="67"/>
        <v/>
      </c>
      <c r="BO359" s="9">
        <f t="shared" si="68"/>
        <v>0</v>
      </c>
      <c r="BR359" s="12" t="str">
        <f t="shared" si="69"/>
        <v/>
      </c>
    </row>
    <row r="360" spans="1:70" ht="14.25" customHeight="1">
      <c r="A360" s="26"/>
      <c r="C360" s="26"/>
      <c r="D360" s="27"/>
      <c r="E360" s="27"/>
      <c r="BE360" s="10" t="str">
        <f t="shared" si="60"/>
        <v/>
      </c>
      <c r="BF360" s="8" t="str">
        <f t="shared" si="61"/>
        <v/>
      </c>
      <c r="BG360" s="11" t="str">
        <f t="shared" si="62"/>
        <v/>
      </c>
      <c r="BH360" s="8" t="str">
        <f t="shared" si="63"/>
        <v/>
      </c>
      <c r="BI360" s="8" t="str">
        <f t="shared" si="64"/>
        <v/>
      </c>
      <c r="BJ360" s="9" t="str">
        <f t="shared" si="65"/>
        <v/>
      </c>
      <c r="BK360" s="9" t="str">
        <f>IF($B360="","",COUNTIFS($B$5:$B360,$B360,$BF$5:$BF360,$BF360))</f>
        <v/>
      </c>
      <c r="BL360" s="9" t="str">
        <f>IF($B360="","",COUNTIFS($B$5:$B360,$B360,$BH$5:$BH360,$BH360))</f>
        <v/>
      </c>
      <c r="BM360" s="9" t="str">
        <f t="shared" si="66"/>
        <v/>
      </c>
      <c r="BN360" s="9" t="str">
        <f t="shared" si="67"/>
        <v/>
      </c>
      <c r="BO360" s="9">
        <f t="shared" si="68"/>
        <v>0</v>
      </c>
      <c r="BR360" s="12" t="str">
        <f t="shared" si="69"/>
        <v/>
      </c>
    </row>
    <row r="361" spans="1:70" ht="14.25" customHeight="1">
      <c r="A361" s="26"/>
      <c r="C361" s="26"/>
      <c r="D361" s="27"/>
      <c r="E361" s="27"/>
      <c r="BE361" s="10" t="str">
        <f t="shared" si="60"/>
        <v/>
      </c>
      <c r="BF361" s="8" t="str">
        <f t="shared" si="61"/>
        <v/>
      </c>
      <c r="BG361" s="11" t="str">
        <f t="shared" si="62"/>
        <v/>
      </c>
      <c r="BH361" s="8" t="str">
        <f t="shared" si="63"/>
        <v/>
      </c>
      <c r="BI361" s="8" t="str">
        <f t="shared" si="64"/>
        <v/>
      </c>
      <c r="BJ361" s="9" t="str">
        <f t="shared" si="65"/>
        <v/>
      </c>
      <c r="BK361" s="9" t="str">
        <f>IF($B361="","",COUNTIFS($B$5:$B361,$B361,$BF$5:$BF361,$BF361))</f>
        <v/>
      </c>
      <c r="BL361" s="9" t="str">
        <f>IF($B361="","",COUNTIFS($B$5:$B361,$B361,$BH$5:$BH361,$BH361))</f>
        <v/>
      </c>
      <c r="BM361" s="9" t="str">
        <f t="shared" si="66"/>
        <v/>
      </c>
      <c r="BN361" s="9" t="str">
        <f t="shared" si="67"/>
        <v/>
      </c>
      <c r="BO361" s="9">
        <f t="shared" si="68"/>
        <v>0</v>
      </c>
      <c r="BR361" s="12" t="str">
        <f t="shared" si="69"/>
        <v/>
      </c>
    </row>
    <row r="362" spans="1:70" ht="14.25" customHeight="1">
      <c r="A362" s="26"/>
      <c r="C362" s="26"/>
      <c r="D362" s="27"/>
      <c r="E362" s="27"/>
      <c r="BE362" s="10" t="str">
        <f t="shared" si="60"/>
        <v/>
      </c>
      <c r="BF362" s="8" t="str">
        <f t="shared" si="61"/>
        <v/>
      </c>
      <c r="BG362" s="11" t="str">
        <f t="shared" si="62"/>
        <v/>
      </c>
      <c r="BH362" s="8" t="str">
        <f t="shared" si="63"/>
        <v/>
      </c>
      <c r="BI362" s="8" t="str">
        <f t="shared" si="64"/>
        <v/>
      </c>
      <c r="BJ362" s="9" t="str">
        <f t="shared" si="65"/>
        <v/>
      </c>
      <c r="BK362" s="9" t="str">
        <f>IF($B362="","",COUNTIFS($B$5:$B362,$B362,$BF$5:$BF362,$BF362))</f>
        <v/>
      </c>
      <c r="BL362" s="9" t="str">
        <f>IF($B362="","",COUNTIFS($B$5:$B362,$B362,$BH$5:$BH362,$BH362))</f>
        <v/>
      </c>
      <c r="BM362" s="9" t="str">
        <f t="shared" si="66"/>
        <v/>
      </c>
      <c r="BN362" s="9" t="str">
        <f t="shared" si="67"/>
        <v/>
      </c>
      <c r="BO362" s="9">
        <f t="shared" si="68"/>
        <v>0</v>
      </c>
      <c r="BR362" s="12" t="str">
        <f t="shared" si="69"/>
        <v/>
      </c>
    </row>
    <row r="363" spans="1:70" ht="14.25" customHeight="1">
      <c r="A363" s="26"/>
      <c r="C363" s="26"/>
      <c r="D363" s="27"/>
      <c r="E363" s="27"/>
      <c r="BE363" s="10" t="str">
        <f t="shared" si="60"/>
        <v/>
      </c>
      <c r="BF363" s="8" t="str">
        <f t="shared" si="61"/>
        <v/>
      </c>
      <c r="BG363" s="11" t="str">
        <f t="shared" si="62"/>
        <v/>
      </c>
      <c r="BH363" s="8" t="str">
        <f t="shared" si="63"/>
        <v/>
      </c>
      <c r="BI363" s="8" t="str">
        <f t="shared" si="64"/>
        <v/>
      </c>
      <c r="BJ363" s="9" t="str">
        <f t="shared" si="65"/>
        <v/>
      </c>
      <c r="BK363" s="9" t="str">
        <f>IF($B363="","",COUNTIFS($B$5:$B363,$B363,$BF$5:$BF363,$BF363))</f>
        <v/>
      </c>
      <c r="BL363" s="9" t="str">
        <f>IF($B363="","",COUNTIFS($B$5:$B363,$B363,$BH$5:$BH363,$BH363))</f>
        <v/>
      </c>
      <c r="BM363" s="9" t="str">
        <f t="shared" si="66"/>
        <v/>
      </c>
      <c r="BN363" s="9" t="str">
        <f t="shared" si="67"/>
        <v/>
      </c>
      <c r="BO363" s="9">
        <f t="shared" si="68"/>
        <v>0</v>
      </c>
      <c r="BR363" s="12" t="str">
        <f t="shared" si="69"/>
        <v/>
      </c>
    </row>
    <row r="364" spans="1:70" ht="14.25" customHeight="1">
      <c r="A364" s="26"/>
      <c r="C364" s="26"/>
      <c r="D364" s="27"/>
      <c r="E364" s="27"/>
      <c r="BE364" s="10" t="str">
        <f t="shared" si="60"/>
        <v/>
      </c>
      <c r="BF364" s="8" t="str">
        <f t="shared" si="61"/>
        <v/>
      </c>
      <c r="BG364" s="11" t="str">
        <f t="shared" si="62"/>
        <v/>
      </c>
      <c r="BH364" s="8" t="str">
        <f t="shared" si="63"/>
        <v/>
      </c>
      <c r="BI364" s="8" t="str">
        <f t="shared" si="64"/>
        <v/>
      </c>
      <c r="BJ364" s="9" t="str">
        <f t="shared" si="65"/>
        <v/>
      </c>
      <c r="BK364" s="9" t="str">
        <f>IF($B364="","",COUNTIFS($B$5:$B364,$B364,$BF$5:$BF364,$BF364))</f>
        <v/>
      </c>
      <c r="BL364" s="9" t="str">
        <f>IF($B364="","",COUNTIFS($B$5:$B364,$B364,$BH$5:$BH364,$BH364))</f>
        <v/>
      </c>
      <c r="BM364" s="9" t="str">
        <f t="shared" si="66"/>
        <v/>
      </c>
      <c r="BN364" s="9" t="str">
        <f t="shared" si="67"/>
        <v/>
      </c>
      <c r="BO364" s="9">
        <f t="shared" si="68"/>
        <v>0</v>
      </c>
      <c r="BR364" s="12" t="str">
        <f t="shared" si="69"/>
        <v/>
      </c>
    </row>
    <row r="365" spans="1:70" ht="14.25" customHeight="1">
      <c r="A365" s="26"/>
      <c r="C365" s="26"/>
      <c r="D365" s="27"/>
      <c r="E365" s="27"/>
      <c r="BE365" s="10" t="str">
        <f t="shared" si="60"/>
        <v/>
      </c>
      <c r="BF365" s="8" t="str">
        <f t="shared" si="61"/>
        <v/>
      </c>
      <c r="BG365" s="11" t="str">
        <f t="shared" si="62"/>
        <v/>
      </c>
      <c r="BH365" s="8" t="str">
        <f t="shared" si="63"/>
        <v/>
      </c>
      <c r="BI365" s="8" t="str">
        <f t="shared" si="64"/>
        <v/>
      </c>
      <c r="BJ365" s="9" t="str">
        <f t="shared" si="65"/>
        <v/>
      </c>
      <c r="BK365" s="9" t="str">
        <f>IF($B365="","",COUNTIFS($B$5:$B365,$B365,$BF$5:$BF365,$BF365))</f>
        <v/>
      </c>
      <c r="BL365" s="9" t="str">
        <f>IF($B365="","",COUNTIFS($B$5:$B365,$B365,$BH$5:$BH365,$BH365))</f>
        <v/>
      </c>
      <c r="BM365" s="9" t="str">
        <f t="shared" si="66"/>
        <v/>
      </c>
      <c r="BN365" s="9" t="str">
        <f t="shared" si="67"/>
        <v/>
      </c>
      <c r="BO365" s="9">
        <f t="shared" si="68"/>
        <v>0</v>
      </c>
      <c r="BR365" s="12" t="str">
        <f t="shared" si="69"/>
        <v/>
      </c>
    </row>
    <row r="366" spans="1:70" ht="14.25" customHeight="1">
      <c r="A366" s="26"/>
      <c r="C366" s="26"/>
      <c r="D366" s="27"/>
      <c r="E366" s="27"/>
      <c r="BE366" s="10" t="str">
        <f t="shared" si="60"/>
        <v/>
      </c>
      <c r="BF366" s="8" t="str">
        <f t="shared" si="61"/>
        <v/>
      </c>
      <c r="BG366" s="11" t="str">
        <f t="shared" si="62"/>
        <v/>
      </c>
      <c r="BH366" s="8" t="str">
        <f t="shared" si="63"/>
        <v/>
      </c>
      <c r="BI366" s="8" t="str">
        <f t="shared" si="64"/>
        <v/>
      </c>
      <c r="BJ366" s="9" t="str">
        <f t="shared" si="65"/>
        <v/>
      </c>
      <c r="BK366" s="9" t="str">
        <f>IF($B366="","",COUNTIFS($B$5:$B366,$B366,$BF$5:$BF366,$BF366))</f>
        <v/>
      </c>
      <c r="BL366" s="9" t="str">
        <f>IF($B366="","",COUNTIFS($B$5:$B366,$B366,$BH$5:$BH366,$BH366))</f>
        <v/>
      </c>
      <c r="BM366" s="9" t="str">
        <f t="shared" si="66"/>
        <v/>
      </c>
      <c r="BN366" s="9" t="str">
        <f t="shared" si="67"/>
        <v/>
      </c>
      <c r="BO366" s="9">
        <f t="shared" si="68"/>
        <v>0</v>
      </c>
      <c r="BR366" s="12" t="str">
        <f t="shared" si="69"/>
        <v/>
      </c>
    </row>
    <row r="367" spans="1:70" ht="14.25" customHeight="1">
      <c r="A367" s="26"/>
      <c r="C367" s="26"/>
      <c r="D367" s="27"/>
      <c r="E367" s="27"/>
      <c r="BE367" s="10" t="str">
        <f t="shared" si="60"/>
        <v/>
      </c>
      <c r="BF367" s="8" t="str">
        <f t="shared" si="61"/>
        <v/>
      </c>
      <c r="BG367" s="11" t="str">
        <f t="shared" si="62"/>
        <v/>
      </c>
      <c r="BH367" s="8" t="str">
        <f t="shared" si="63"/>
        <v/>
      </c>
      <c r="BI367" s="8" t="str">
        <f t="shared" si="64"/>
        <v/>
      </c>
      <c r="BJ367" s="9" t="str">
        <f t="shared" si="65"/>
        <v/>
      </c>
      <c r="BK367" s="9" t="str">
        <f>IF($B367="","",COUNTIFS($B$5:$B367,$B367,$BF$5:$BF367,$BF367))</f>
        <v/>
      </c>
      <c r="BL367" s="9" t="str">
        <f>IF($B367="","",COUNTIFS($B$5:$B367,$B367,$BH$5:$BH367,$BH367))</f>
        <v/>
      </c>
      <c r="BM367" s="9" t="str">
        <f t="shared" si="66"/>
        <v/>
      </c>
      <c r="BN367" s="9" t="str">
        <f t="shared" si="67"/>
        <v/>
      </c>
      <c r="BO367" s="9">
        <f t="shared" si="68"/>
        <v>0</v>
      </c>
      <c r="BR367" s="12" t="str">
        <f t="shared" si="69"/>
        <v/>
      </c>
    </row>
    <row r="368" spans="1:70" ht="14.25" customHeight="1">
      <c r="A368" s="26"/>
      <c r="C368" s="26"/>
      <c r="D368" s="27"/>
      <c r="E368" s="27"/>
      <c r="BE368" s="10" t="str">
        <f t="shared" si="60"/>
        <v/>
      </c>
      <c r="BF368" s="8" t="str">
        <f t="shared" si="61"/>
        <v/>
      </c>
      <c r="BG368" s="11" t="str">
        <f t="shared" si="62"/>
        <v/>
      </c>
      <c r="BH368" s="8" t="str">
        <f t="shared" si="63"/>
        <v/>
      </c>
      <c r="BI368" s="8" t="str">
        <f t="shared" si="64"/>
        <v/>
      </c>
      <c r="BJ368" s="9" t="str">
        <f t="shared" si="65"/>
        <v/>
      </c>
      <c r="BK368" s="9" t="str">
        <f>IF($B368="","",COUNTIFS($B$5:$B368,$B368,$BF$5:$BF368,$BF368))</f>
        <v/>
      </c>
      <c r="BL368" s="9" t="str">
        <f>IF($B368="","",COUNTIFS($B$5:$B368,$B368,$BH$5:$BH368,$BH368))</f>
        <v/>
      </c>
      <c r="BM368" s="9" t="str">
        <f t="shared" si="66"/>
        <v/>
      </c>
      <c r="BN368" s="9" t="str">
        <f t="shared" si="67"/>
        <v/>
      </c>
      <c r="BO368" s="9">
        <f t="shared" si="68"/>
        <v>0</v>
      </c>
      <c r="BR368" s="12" t="str">
        <f t="shared" si="69"/>
        <v/>
      </c>
    </row>
    <row r="369" spans="1:70" ht="14.25" customHeight="1">
      <c r="A369" s="26"/>
      <c r="C369" s="26"/>
      <c r="D369" s="27"/>
      <c r="E369" s="27"/>
      <c r="BE369" s="10" t="str">
        <f t="shared" si="60"/>
        <v/>
      </c>
      <c r="BF369" s="8" t="str">
        <f t="shared" si="61"/>
        <v/>
      </c>
      <c r="BG369" s="11" t="str">
        <f t="shared" si="62"/>
        <v/>
      </c>
      <c r="BH369" s="8" t="str">
        <f t="shared" si="63"/>
        <v/>
      </c>
      <c r="BI369" s="8" t="str">
        <f t="shared" si="64"/>
        <v/>
      </c>
      <c r="BJ369" s="9" t="str">
        <f t="shared" si="65"/>
        <v/>
      </c>
      <c r="BK369" s="9" t="str">
        <f>IF($B369="","",COUNTIFS($B$5:$B369,$B369,$BF$5:$BF369,$BF369))</f>
        <v/>
      </c>
      <c r="BL369" s="9" t="str">
        <f>IF($B369="","",COUNTIFS($B$5:$B369,$B369,$BH$5:$BH369,$BH369))</f>
        <v/>
      </c>
      <c r="BM369" s="9" t="str">
        <f t="shared" si="66"/>
        <v/>
      </c>
      <c r="BN369" s="9" t="str">
        <f t="shared" si="67"/>
        <v/>
      </c>
      <c r="BO369" s="9">
        <f t="shared" si="68"/>
        <v>0</v>
      </c>
      <c r="BR369" s="12" t="str">
        <f t="shared" si="69"/>
        <v/>
      </c>
    </row>
    <row r="370" spans="1:70" ht="14.25" customHeight="1">
      <c r="A370" s="26"/>
      <c r="C370" s="26"/>
      <c r="D370" s="27"/>
      <c r="E370" s="27"/>
      <c r="BE370" s="10" t="str">
        <f t="shared" si="60"/>
        <v/>
      </c>
      <c r="BF370" s="8" t="str">
        <f t="shared" si="61"/>
        <v/>
      </c>
      <c r="BG370" s="11" t="str">
        <f t="shared" si="62"/>
        <v/>
      </c>
      <c r="BH370" s="8" t="str">
        <f t="shared" si="63"/>
        <v/>
      </c>
      <c r="BI370" s="8" t="str">
        <f t="shared" si="64"/>
        <v/>
      </c>
      <c r="BJ370" s="9" t="str">
        <f t="shared" si="65"/>
        <v/>
      </c>
      <c r="BK370" s="9" t="str">
        <f>IF($B370="","",COUNTIFS($B$5:$B370,$B370,$BF$5:$BF370,$BF370))</f>
        <v/>
      </c>
      <c r="BL370" s="9" t="str">
        <f>IF($B370="","",COUNTIFS($B$5:$B370,$B370,$BH$5:$BH370,$BH370))</f>
        <v/>
      </c>
      <c r="BM370" s="9" t="str">
        <f t="shared" si="66"/>
        <v/>
      </c>
      <c r="BN370" s="9" t="str">
        <f t="shared" si="67"/>
        <v/>
      </c>
      <c r="BO370" s="9">
        <f t="shared" si="68"/>
        <v>0</v>
      </c>
      <c r="BR370" s="12" t="str">
        <f t="shared" si="69"/>
        <v/>
      </c>
    </row>
    <row r="371" spans="1:70" ht="14.25" customHeight="1">
      <c r="A371" s="26"/>
      <c r="C371" s="26"/>
      <c r="D371" s="27"/>
      <c r="E371" s="27"/>
      <c r="BE371" s="10" t="str">
        <f t="shared" si="60"/>
        <v/>
      </c>
      <c r="BF371" s="8" t="str">
        <f t="shared" si="61"/>
        <v/>
      </c>
      <c r="BG371" s="11" t="str">
        <f t="shared" si="62"/>
        <v/>
      </c>
      <c r="BH371" s="8" t="str">
        <f t="shared" si="63"/>
        <v/>
      </c>
      <c r="BI371" s="8" t="str">
        <f t="shared" si="64"/>
        <v/>
      </c>
      <c r="BJ371" s="9" t="str">
        <f t="shared" si="65"/>
        <v/>
      </c>
      <c r="BK371" s="9" t="str">
        <f>IF($B371="","",COUNTIFS($B$5:$B371,$B371,$BF$5:$BF371,$BF371))</f>
        <v/>
      </c>
      <c r="BL371" s="9" t="str">
        <f>IF($B371="","",COUNTIFS($B$5:$B371,$B371,$BH$5:$BH371,$BH371))</f>
        <v/>
      </c>
      <c r="BM371" s="9" t="str">
        <f t="shared" si="66"/>
        <v/>
      </c>
      <c r="BN371" s="9" t="str">
        <f t="shared" si="67"/>
        <v/>
      </c>
      <c r="BO371" s="9">
        <f t="shared" si="68"/>
        <v>0</v>
      </c>
      <c r="BR371" s="12" t="str">
        <f t="shared" si="69"/>
        <v/>
      </c>
    </row>
    <row r="372" spans="1:70" ht="14.25" customHeight="1">
      <c r="A372" s="26"/>
      <c r="C372" s="26"/>
      <c r="D372" s="27"/>
      <c r="E372" s="27"/>
      <c r="BE372" s="10" t="str">
        <f t="shared" si="60"/>
        <v/>
      </c>
      <c r="BF372" s="8" t="str">
        <f t="shared" si="61"/>
        <v/>
      </c>
      <c r="BG372" s="11" t="str">
        <f t="shared" si="62"/>
        <v/>
      </c>
      <c r="BH372" s="8" t="str">
        <f t="shared" si="63"/>
        <v/>
      </c>
      <c r="BI372" s="8" t="str">
        <f t="shared" si="64"/>
        <v/>
      </c>
      <c r="BJ372" s="9" t="str">
        <f t="shared" si="65"/>
        <v/>
      </c>
      <c r="BK372" s="9" t="str">
        <f>IF($B372="","",COUNTIFS($B$5:$B372,$B372,$BF$5:$BF372,$BF372))</f>
        <v/>
      </c>
      <c r="BL372" s="9" t="str">
        <f>IF($B372="","",COUNTIFS($B$5:$B372,$B372,$BH$5:$BH372,$BH372))</f>
        <v/>
      </c>
      <c r="BM372" s="9" t="str">
        <f t="shared" si="66"/>
        <v/>
      </c>
      <c r="BN372" s="9" t="str">
        <f t="shared" si="67"/>
        <v/>
      </c>
      <c r="BO372" s="9">
        <f t="shared" si="68"/>
        <v>0</v>
      </c>
      <c r="BR372" s="12" t="str">
        <f t="shared" si="69"/>
        <v/>
      </c>
    </row>
    <row r="373" spans="1:70" ht="14.25" customHeight="1">
      <c r="A373" s="26"/>
      <c r="C373" s="26"/>
      <c r="D373" s="27"/>
      <c r="E373" s="27"/>
      <c r="BE373" s="10" t="str">
        <f t="shared" si="60"/>
        <v/>
      </c>
      <c r="BF373" s="8" t="str">
        <f t="shared" si="61"/>
        <v/>
      </c>
      <c r="BG373" s="11" t="str">
        <f t="shared" si="62"/>
        <v/>
      </c>
      <c r="BH373" s="8" t="str">
        <f t="shared" si="63"/>
        <v/>
      </c>
      <c r="BI373" s="8" t="str">
        <f t="shared" si="64"/>
        <v/>
      </c>
      <c r="BJ373" s="9" t="str">
        <f t="shared" si="65"/>
        <v/>
      </c>
      <c r="BK373" s="9" t="str">
        <f>IF($B373="","",COUNTIFS($B$5:$B373,$B373,$BF$5:$BF373,$BF373))</f>
        <v/>
      </c>
      <c r="BL373" s="9" t="str">
        <f>IF($B373="","",COUNTIFS($B$5:$B373,$B373,$BH$5:$BH373,$BH373))</f>
        <v/>
      </c>
      <c r="BM373" s="9" t="str">
        <f t="shared" si="66"/>
        <v/>
      </c>
      <c r="BN373" s="9" t="str">
        <f t="shared" si="67"/>
        <v/>
      </c>
      <c r="BO373" s="9">
        <f t="shared" si="68"/>
        <v>0</v>
      </c>
      <c r="BR373" s="12" t="str">
        <f t="shared" si="69"/>
        <v/>
      </c>
    </row>
    <row r="374" spans="1:70" ht="14.25" customHeight="1">
      <c r="A374" s="26"/>
      <c r="C374" s="26"/>
      <c r="D374" s="27"/>
      <c r="E374" s="27"/>
      <c r="BE374" s="10" t="str">
        <f t="shared" si="60"/>
        <v/>
      </c>
      <c r="BF374" s="8" t="str">
        <f t="shared" si="61"/>
        <v/>
      </c>
      <c r="BG374" s="11" t="str">
        <f t="shared" si="62"/>
        <v/>
      </c>
      <c r="BH374" s="8" t="str">
        <f t="shared" si="63"/>
        <v/>
      </c>
      <c r="BI374" s="8" t="str">
        <f t="shared" si="64"/>
        <v/>
      </c>
      <c r="BJ374" s="9" t="str">
        <f t="shared" si="65"/>
        <v/>
      </c>
      <c r="BK374" s="9" t="str">
        <f>IF($B374="","",COUNTIFS($B$5:$B374,$B374,$BF$5:$BF374,$BF374))</f>
        <v/>
      </c>
      <c r="BL374" s="9" t="str">
        <f>IF($B374="","",COUNTIFS($B$5:$B374,$B374,$BH$5:$BH374,$BH374))</f>
        <v/>
      </c>
      <c r="BM374" s="9" t="str">
        <f t="shared" si="66"/>
        <v/>
      </c>
      <c r="BN374" s="9" t="str">
        <f t="shared" si="67"/>
        <v/>
      </c>
      <c r="BO374" s="9">
        <f t="shared" si="68"/>
        <v>0</v>
      </c>
      <c r="BR374" s="12" t="str">
        <f t="shared" si="69"/>
        <v/>
      </c>
    </row>
    <row r="375" spans="1:70" ht="14.25" customHeight="1">
      <c r="A375" s="26"/>
      <c r="C375" s="26"/>
      <c r="D375" s="27"/>
      <c r="E375" s="27"/>
      <c r="BE375" s="10" t="str">
        <f t="shared" si="60"/>
        <v/>
      </c>
      <c r="BF375" s="8" t="str">
        <f t="shared" si="61"/>
        <v/>
      </c>
      <c r="BG375" s="11" t="str">
        <f t="shared" si="62"/>
        <v/>
      </c>
      <c r="BH375" s="8" t="str">
        <f t="shared" si="63"/>
        <v/>
      </c>
      <c r="BI375" s="8" t="str">
        <f t="shared" si="64"/>
        <v/>
      </c>
      <c r="BJ375" s="9" t="str">
        <f t="shared" si="65"/>
        <v/>
      </c>
      <c r="BK375" s="9" t="str">
        <f>IF($B375="","",COUNTIFS($B$5:$B375,$B375,$BF$5:$BF375,$BF375))</f>
        <v/>
      </c>
      <c r="BL375" s="9" t="str">
        <f>IF($B375="","",COUNTIFS($B$5:$B375,$B375,$BH$5:$BH375,$BH375))</f>
        <v/>
      </c>
      <c r="BM375" s="9" t="str">
        <f t="shared" si="66"/>
        <v/>
      </c>
      <c r="BN375" s="9" t="str">
        <f t="shared" si="67"/>
        <v/>
      </c>
      <c r="BO375" s="9">
        <f t="shared" si="68"/>
        <v>0</v>
      </c>
      <c r="BR375" s="12" t="str">
        <f t="shared" si="69"/>
        <v/>
      </c>
    </row>
    <row r="376" spans="1:70" ht="14.25" customHeight="1">
      <c r="A376" s="26"/>
      <c r="C376" s="26"/>
      <c r="D376" s="27"/>
      <c r="E376" s="27"/>
      <c r="BE376" s="10" t="str">
        <f t="shared" si="60"/>
        <v/>
      </c>
      <c r="BF376" s="8" t="str">
        <f t="shared" si="61"/>
        <v/>
      </c>
      <c r="BG376" s="11" t="str">
        <f t="shared" si="62"/>
        <v/>
      </c>
      <c r="BH376" s="8" t="str">
        <f t="shared" si="63"/>
        <v/>
      </c>
      <c r="BI376" s="8" t="str">
        <f t="shared" si="64"/>
        <v/>
      </c>
      <c r="BJ376" s="9" t="str">
        <f t="shared" si="65"/>
        <v/>
      </c>
      <c r="BK376" s="9" t="str">
        <f>IF($B376="","",COUNTIFS($B$5:$B376,$B376,$BF$5:$BF376,$BF376))</f>
        <v/>
      </c>
      <c r="BL376" s="9" t="str">
        <f>IF($B376="","",COUNTIFS($B$5:$B376,$B376,$BH$5:$BH376,$BH376))</f>
        <v/>
      </c>
      <c r="BM376" s="9" t="str">
        <f t="shared" si="66"/>
        <v/>
      </c>
      <c r="BN376" s="9" t="str">
        <f t="shared" si="67"/>
        <v/>
      </c>
      <c r="BO376" s="9">
        <f t="shared" si="68"/>
        <v>0</v>
      </c>
      <c r="BR376" s="12" t="str">
        <f t="shared" si="69"/>
        <v/>
      </c>
    </row>
    <row r="377" spans="1:70" ht="14.25" customHeight="1">
      <c r="A377" s="26"/>
      <c r="C377" s="26"/>
      <c r="D377" s="27"/>
      <c r="E377" s="27"/>
      <c r="BE377" s="10" t="str">
        <f t="shared" si="60"/>
        <v/>
      </c>
      <c r="BF377" s="8" t="str">
        <f t="shared" si="61"/>
        <v/>
      </c>
      <c r="BG377" s="11" t="str">
        <f t="shared" si="62"/>
        <v/>
      </c>
      <c r="BH377" s="8" t="str">
        <f t="shared" si="63"/>
        <v/>
      </c>
      <c r="BI377" s="8" t="str">
        <f t="shared" si="64"/>
        <v/>
      </c>
      <c r="BJ377" s="9" t="str">
        <f t="shared" si="65"/>
        <v/>
      </c>
      <c r="BK377" s="9" t="str">
        <f>IF($B377="","",COUNTIFS($B$5:$B377,$B377,$BF$5:$BF377,$BF377))</f>
        <v/>
      </c>
      <c r="BL377" s="9" t="str">
        <f>IF($B377="","",COUNTIFS($B$5:$B377,$B377,$BH$5:$BH377,$BH377))</f>
        <v/>
      </c>
      <c r="BM377" s="9" t="str">
        <f t="shared" si="66"/>
        <v/>
      </c>
      <c r="BN377" s="9" t="str">
        <f t="shared" si="67"/>
        <v/>
      </c>
      <c r="BO377" s="9">
        <f t="shared" si="68"/>
        <v>0</v>
      </c>
      <c r="BR377" s="12" t="str">
        <f t="shared" si="69"/>
        <v/>
      </c>
    </row>
    <row r="378" spans="1:70" ht="14.25" customHeight="1">
      <c r="A378" s="26"/>
      <c r="C378" s="26"/>
      <c r="D378" s="27"/>
      <c r="E378" s="27"/>
      <c r="BE378" s="10" t="str">
        <f t="shared" si="60"/>
        <v/>
      </c>
      <c r="BF378" s="8" t="str">
        <f t="shared" si="61"/>
        <v/>
      </c>
      <c r="BG378" s="11" t="str">
        <f t="shared" si="62"/>
        <v/>
      </c>
      <c r="BH378" s="8" t="str">
        <f t="shared" si="63"/>
        <v/>
      </c>
      <c r="BI378" s="8" t="str">
        <f t="shared" si="64"/>
        <v/>
      </c>
      <c r="BJ378" s="9" t="str">
        <f t="shared" si="65"/>
        <v/>
      </c>
      <c r="BK378" s="9" t="str">
        <f>IF($B378="","",COUNTIFS($B$5:$B378,$B378,$BF$5:$BF378,$BF378))</f>
        <v/>
      </c>
      <c r="BL378" s="9" t="str">
        <f>IF($B378="","",COUNTIFS($B$5:$B378,$B378,$BH$5:$BH378,$BH378))</f>
        <v/>
      </c>
      <c r="BM378" s="9" t="str">
        <f t="shared" si="66"/>
        <v/>
      </c>
      <c r="BN378" s="9" t="str">
        <f t="shared" si="67"/>
        <v/>
      </c>
      <c r="BO378" s="9">
        <f t="shared" si="68"/>
        <v>0</v>
      </c>
      <c r="BR378" s="12" t="str">
        <f t="shared" si="69"/>
        <v/>
      </c>
    </row>
    <row r="379" spans="1:70" ht="14.25" customHeight="1">
      <c r="A379" s="26"/>
      <c r="C379" s="26"/>
      <c r="D379" s="27"/>
      <c r="E379" s="27"/>
      <c r="BE379" s="10" t="str">
        <f t="shared" si="60"/>
        <v/>
      </c>
      <c r="BF379" s="8" t="str">
        <f t="shared" si="61"/>
        <v/>
      </c>
      <c r="BG379" s="11" t="str">
        <f t="shared" si="62"/>
        <v/>
      </c>
      <c r="BH379" s="8" t="str">
        <f t="shared" si="63"/>
        <v/>
      </c>
      <c r="BI379" s="8" t="str">
        <f t="shared" si="64"/>
        <v/>
      </c>
      <c r="BJ379" s="9" t="str">
        <f t="shared" si="65"/>
        <v/>
      </c>
      <c r="BK379" s="9" t="str">
        <f>IF($B379="","",COUNTIFS($B$5:$B379,$B379,$BF$5:$BF379,$BF379))</f>
        <v/>
      </c>
      <c r="BL379" s="9" t="str">
        <f>IF($B379="","",COUNTIFS($B$5:$B379,$B379,$BH$5:$BH379,$BH379))</f>
        <v/>
      </c>
      <c r="BM379" s="9" t="str">
        <f t="shared" si="66"/>
        <v/>
      </c>
      <c r="BN379" s="9" t="str">
        <f t="shared" si="67"/>
        <v/>
      </c>
      <c r="BO379" s="9">
        <f t="shared" si="68"/>
        <v>0</v>
      </c>
      <c r="BR379" s="12" t="str">
        <f t="shared" si="69"/>
        <v/>
      </c>
    </row>
    <row r="380" spans="1:70" ht="14.25" customHeight="1">
      <c r="A380" s="26"/>
      <c r="C380" s="26"/>
      <c r="D380" s="27"/>
      <c r="E380" s="27"/>
      <c r="BE380" s="10" t="str">
        <f t="shared" si="60"/>
        <v/>
      </c>
      <c r="BF380" s="8" t="str">
        <f t="shared" si="61"/>
        <v/>
      </c>
      <c r="BG380" s="11" t="str">
        <f t="shared" si="62"/>
        <v/>
      </c>
      <c r="BH380" s="8" t="str">
        <f t="shared" si="63"/>
        <v/>
      </c>
      <c r="BI380" s="8" t="str">
        <f t="shared" si="64"/>
        <v/>
      </c>
      <c r="BJ380" s="9" t="str">
        <f t="shared" si="65"/>
        <v/>
      </c>
      <c r="BK380" s="9" t="str">
        <f>IF($B380="","",COUNTIFS($B$5:$B380,$B380,$BF$5:$BF380,$BF380))</f>
        <v/>
      </c>
      <c r="BL380" s="9" t="str">
        <f>IF($B380="","",COUNTIFS($B$5:$B380,$B380,$BH$5:$BH380,$BH380))</f>
        <v/>
      </c>
      <c r="BM380" s="9" t="str">
        <f t="shared" si="66"/>
        <v/>
      </c>
      <c r="BN380" s="9" t="str">
        <f t="shared" si="67"/>
        <v/>
      </c>
      <c r="BO380" s="9">
        <f t="shared" si="68"/>
        <v>0</v>
      </c>
      <c r="BR380" s="12" t="str">
        <f t="shared" si="69"/>
        <v/>
      </c>
    </row>
    <row r="381" spans="1:70" ht="14.25" customHeight="1">
      <c r="A381" s="26"/>
      <c r="C381" s="26"/>
      <c r="D381" s="27"/>
      <c r="E381" s="27"/>
      <c r="BE381" s="10" t="str">
        <f t="shared" si="60"/>
        <v/>
      </c>
      <c r="BF381" s="8" t="str">
        <f t="shared" si="61"/>
        <v/>
      </c>
      <c r="BG381" s="11" t="str">
        <f t="shared" si="62"/>
        <v/>
      </c>
      <c r="BH381" s="8" t="str">
        <f t="shared" si="63"/>
        <v/>
      </c>
      <c r="BI381" s="8" t="str">
        <f t="shared" si="64"/>
        <v/>
      </c>
      <c r="BJ381" s="9" t="str">
        <f t="shared" si="65"/>
        <v/>
      </c>
      <c r="BK381" s="9" t="str">
        <f>IF($B381="","",COUNTIFS($B$5:$B381,$B381,$BF$5:$BF381,$BF381))</f>
        <v/>
      </c>
      <c r="BL381" s="9" t="str">
        <f>IF($B381="","",COUNTIFS($B$5:$B381,$B381,$BH$5:$BH381,$BH381))</f>
        <v/>
      </c>
      <c r="BM381" s="9" t="str">
        <f t="shared" si="66"/>
        <v/>
      </c>
      <c r="BN381" s="9" t="str">
        <f t="shared" si="67"/>
        <v/>
      </c>
      <c r="BO381" s="9">
        <f t="shared" si="68"/>
        <v>0</v>
      </c>
      <c r="BR381" s="12" t="str">
        <f t="shared" si="69"/>
        <v/>
      </c>
    </row>
    <row r="382" spans="1:70" ht="14.25" customHeight="1">
      <c r="A382" s="26"/>
      <c r="C382" s="26"/>
      <c r="D382" s="27"/>
      <c r="E382" s="27"/>
      <c r="BE382" s="10" t="str">
        <f t="shared" si="60"/>
        <v/>
      </c>
      <c r="BF382" s="8" t="str">
        <f t="shared" si="61"/>
        <v/>
      </c>
      <c r="BG382" s="11" t="str">
        <f t="shared" si="62"/>
        <v/>
      </c>
      <c r="BH382" s="8" t="str">
        <f t="shared" si="63"/>
        <v/>
      </c>
      <c r="BI382" s="8" t="str">
        <f t="shared" si="64"/>
        <v/>
      </c>
      <c r="BJ382" s="9" t="str">
        <f t="shared" si="65"/>
        <v/>
      </c>
      <c r="BK382" s="9" t="str">
        <f>IF($B382="","",COUNTIFS($B$5:$B382,$B382,$BF$5:$BF382,$BF382))</f>
        <v/>
      </c>
      <c r="BL382" s="9" t="str">
        <f>IF($B382="","",COUNTIFS($B$5:$B382,$B382,$BH$5:$BH382,$BH382))</f>
        <v/>
      </c>
      <c r="BM382" s="9" t="str">
        <f t="shared" si="66"/>
        <v/>
      </c>
      <c r="BN382" s="9" t="str">
        <f t="shared" si="67"/>
        <v/>
      </c>
      <c r="BO382" s="9">
        <f t="shared" si="68"/>
        <v>0</v>
      </c>
      <c r="BR382" s="12" t="str">
        <f t="shared" si="69"/>
        <v/>
      </c>
    </row>
    <row r="383" spans="1:70" ht="14.25" customHeight="1">
      <c r="A383" s="26"/>
      <c r="C383" s="26"/>
      <c r="D383" s="27"/>
      <c r="E383" s="27"/>
      <c r="BE383" s="10" t="str">
        <f t="shared" si="60"/>
        <v/>
      </c>
      <c r="BF383" s="8" t="str">
        <f t="shared" si="61"/>
        <v/>
      </c>
      <c r="BG383" s="11" t="str">
        <f t="shared" si="62"/>
        <v/>
      </c>
      <c r="BH383" s="8" t="str">
        <f t="shared" si="63"/>
        <v/>
      </c>
      <c r="BI383" s="8" t="str">
        <f t="shared" si="64"/>
        <v/>
      </c>
      <c r="BJ383" s="9" t="str">
        <f t="shared" si="65"/>
        <v/>
      </c>
      <c r="BK383" s="9" t="str">
        <f>IF($B383="","",COUNTIFS($B$5:$B383,$B383,$BF$5:$BF383,$BF383))</f>
        <v/>
      </c>
      <c r="BL383" s="9" t="str">
        <f>IF($B383="","",COUNTIFS($B$5:$B383,$B383,$BH$5:$BH383,$BH383))</f>
        <v/>
      </c>
      <c r="BM383" s="9" t="str">
        <f t="shared" si="66"/>
        <v/>
      </c>
      <c r="BN383" s="9" t="str">
        <f t="shared" si="67"/>
        <v/>
      </c>
      <c r="BO383" s="9">
        <f t="shared" si="68"/>
        <v>0</v>
      </c>
      <c r="BR383" s="12" t="str">
        <f t="shared" si="69"/>
        <v/>
      </c>
    </row>
    <row r="384" spans="1:70" ht="14.25" customHeight="1">
      <c r="A384" s="26"/>
      <c r="C384" s="26"/>
      <c r="D384" s="27"/>
      <c r="E384" s="27"/>
      <c r="BE384" s="10" t="str">
        <f t="shared" si="60"/>
        <v/>
      </c>
      <c r="BF384" s="8" t="str">
        <f t="shared" si="61"/>
        <v/>
      </c>
      <c r="BG384" s="11" t="str">
        <f t="shared" si="62"/>
        <v/>
      </c>
      <c r="BH384" s="8" t="str">
        <f t="shared" si="63"/>
        <v/>
      </c>
      <c r="BI384" s="8" t="str">
        <f t="shared" si="64"/>
        <v/>
      </c>
      <c r="BJ384" s="9" t="str">
        <f t="shared" si="65"/>
        <v/>
      </c>
      <c r="BK384" s="9" t="str">
        <f>IF($B384="","",COUNTIFS($B$5:$B384,$B384,$BF$5:$BF384,$BF384))</f>
        <v/>
      </c>
      <c r="BL384" s="9" t="str">
        <f>IF($B384="","",COUNTIFS($B$5:$B384,$B384,$BH$5:$BH384,$BH384))</f>
        <v/>
      </c>
      <c r="BM384" s="9" t="str">
        <f t="shared" si="66"/>
        <v/>
      </c>
      <c r="BN384" s="9" t="str">
        <f t="shared" si="67"/>
        <v/>
      </c>
      <c r="BO384" s="9">
        <f t="shared" si="68"/>
        <v>0</v>
      </c>
      <c r="BR384" s="12" t="str">
        <f t="shared" si="69"/>
        <v/>
      </c>
    </row>
    <row r="385" spans="1:70" ht="14.25" customHeight="1">
      <c r="A385" s="26"/>
      <c r="C385" s="26"/>
      <c r="D385" s="27"/>
      <c r="E385" s="27"/>
      <c r="BE385" s="10" t="str">
        <f t="shared" si="60"/>
        <v/>
      </c>
      <c r="BF385" s="8" t="str">
        <f t="shared" si="61"/>
        <v/>
      </c>
      <c r="BG385" s="11" t="str">
        <f t="shared" si="62"/>
        <v/>
      </c>
      <c r="BH385" s="8" t="str">
        <f t="shared" si="63"/>
        <v/>
      </c>
      <c r="BI385" s="8" t="str">
        <f t="shared" si="64"/>
        <v/>
      </c>
      <c r="BJ385" s="9" t="str">
        <f t="shared" si="65"/>
        <v/>
      </c>
      <c r="BK385" s="9" t="str">
        <f>IF($B385="","",COUNTIFS($B$5:$B385,$B385,$BF$5:$BF385,$BF385))</f>
        <v/>
      </c>
      <c r="BL385" s="9" t="str">
        <f>IF($B385="","",COUNTIFS($B$5:$B385,$B385,$BH$5:$BH385,$BH385))</f>
        <v/>
      </c>
      <c r="BM385" s="9" t="str">
        <f t="shared" si="66"/>
        <v/>
      </c>
      <c r="BN385" s="9" t="str">
        <f t="shared" si="67"/>
        <v/>
      </c>
      <c r="BO385" s="9">
        <f t="shared" si="68"/>
        <v>0</v>
      </c>
      <c r="BR385" s="12" t="str">
        <f t="shared" si="69"/>
        <v/>
      </c>
    </row>
    <row r="386" spans="1:70" ht="14.25" customHeight="1">
      <c r="A386" s="26"/>
      <c r="C386" s="26"/>
      <c r="D386" s="27"/>
      <c r="E386" s="27"/>
      <c r="BE386" s="10" t="str">
        <f t="shared" si="60"/>
        <v/>
      </c>
      <c r="BF386" s="8" t="str">
        <f t="shared" si="61"/>
        <v/>
      </c>
      <c r="BG386" s="11" t="str">
        <f t="shared" si="62"/>
        <v/>
      </c>
      <c r="BH386" s="8" t="str">
        <f t="shared" si="63"/>
        <v/>
      </c>
      <c r="BI386" s="8" t="str">
        <f t="shared" si="64"/>
        <v/>
      </c>
      <c r="BJ386" s="9" t="str">
        <f t="shared" si="65"/>
        <v/>
      </c>
      <c r="BK386" s="9" t="str">
        <f>IF($B386="","",COUNTIFS($B$5:$B386,$B386,$BF$5:$BF386,$BF386))</f>
        <v/>
      </c>
      <c r="BL386" s="9" t="str">
        <f>IF($B386="","",COUNTIFS($B$5:$B386,$B386,$BH$5:$BH386,$BH386))</f>
        <v/>
      </c>
      <c r="BM386" s="9" t="str">
        <f t="shared" si="66"/>
        <v/>
      </c>
      <c r="BN386" s="9" t="str">
        <f t="shared" si="67"/>
        <v/>
      </c>
      <c r="BO386" s="9">
        <f t="shared" si="68"/>
        <v>0</v>
      </c>
      <c r="BR386" s="12" t="str">
        <f t="shared" si="69"/>
        <v/>
      </c>
    </row>
    <row r="387" spans="1:70" ht="14.25" customHeight="1">
      <c r="A387" s="26"/>
      <c r="C387" s="26"/>
      <c r="D387" s="27"/>
      <c r="E387" s="27"/>
      <c r="BE387" s="10" t="str">
        <f t="shared" si="60"/>
        <v/>
      </c>
      <c r="BF387" s="8" t="str">
        <f t="shared" si="61"/>
        <v/>
      </c>
      <c r="BG387" s="11" t="str">
        <f t="shared" si="62"/>
        <v/>
      </c>
      <c r="BH387" s="8" t="str">
        <f t="shared" si="63"/>
        <v/>
      </c>
      <c r="BI387" s="8" t="str">
        <f t="shared" si="64"/>
        <v/>
      </c>
      <c r="BJ387" s="9" t="str">
        <f t="shared" si="65"/>
        <v/>
      </c>
      <c r="BK387" s="9" t="str">
        <f>IF($B387="","",COUNTIFS($B$5:$B387,$B387,$BF$5:$BF387,$BF387))</f>
        <v/>
      </c>
      <c r="BL387" s="9" t="str">
        <f>IF($B387="","",COUNTIFS($B$5:$B387,$B387,$BH$5:$BH387,$BH387))</f>
        <v/>
      </c>
      <c r="BM387" s="9" t="str">
        <f t="shared" si="66"/>
        <v/>
      </c>
      <c r="BN387" s="9" t="str">
        <f t="shared" si="67"/>
        <v/>
      </c>
      <c r="BO387" s="9">
        <f t="shared" si="68"/>
        <v>0</v>
      </c>
      <c r="BR387" s="12" t="str">
        <f t="shared" si="69"/>
        <v/>
      </c>
    </row>
    <row r="388" spans="1:70" ht="14.25" customHeight="1">
      <c r="A388" s="26"/>
      <c r="C388" s="26"/>
      <c r="D388" s="27"/>
      <c r="E388" s="27"/>
      <c r="BE388" s="10" t="str">
        <f t="shared" si="60"/>
        <v/>
      </c>
      <c r="BF388" s="8" t="str">
        <f t="shared" si="61"/>
        <v/>
      </c>
      <c r="BG388" s="11" t="str">
        <f t="shared" si="62"/>
        <v/>
      </c>
      <c r="BH388" s="8" t="str">
        <f t="shared" si="63"/>
        <v/>
      </c>
      <c r="BI388" s="8" t="str">
        <f t="shared" si="64"/>
        <v/>
      </c>
      <c r="BJ388" s="9" t="str">
        <f t="shared" si="65"/>
        <v/>
      </c>
      <c r="BK388" s="9" t="str">
        <f>IF($B388="","",COUNTIFS($B$5:$B388,$B388,$BF$5:$BF388,$BF388))</f>
        <v/>
      </c>
      <c r="BL388" s="9" t="str">
        <f>IF($B388="","",COUNTIFS($B$5:$B388,$B388,$BH$5:$BH388,$BH388))</f>
        <v/>
      </c>
      <c r="BM388" s="9" t="str">
        <f t="shared" si="66"/>
        <v/>
      </c>
      <c r="BN388" s="9" t="str">
        <f t="shared" si="67"/>
        <v/>
      </c>
      <c r="BO388" s="9">
        <f t="shared" si="68"/>
        <v>0</v>
      </c>
      <c r="BR388" s="12" t="str">
        <f t="shared" si="69"/>
        <v/>
      </c>
    </row>
    <row r="389" spans="1:70" ht="14.25" customHeight="1">
      <c r="A389" s="26"/>
      <c r="C389" s="26"/>
      <c r="D389" s="27"/>
      <c r="E389" s="27"/>
      <c r="BE389" s="10" t="str">
        <f t="shared" si="60"/>
        <v/>
      </c>
      <c r="BF389" s="8" t="str">
        <f t="shared" si="61"/>
        <v/>
      </c>
      <c r="BG389" s="11" t="str">
        <f t="shared" si="62"/>
        <v/>
      </c>
      <c r="BH389" s="8" t="str">
        <f t="shared" si="63"/>
        <v/>
      </c>
      <c r="BI389" s="8" t="str">
        <f t="shared" si="64"/>
        <v/>
      </c>
      <c r="BJ389" s="9" t="str">
        <f t="shared" si="65"/>
        <v/>
      </c>
      <c r="BK389" s="9" t="str">
        <f>IF($B389="","",COUNTIFS($B$5:$B389,$B389,$BF$5:$BF389,$BF389))</f>
        <v/>
      </c>
      <c r="BL389" s="9" t="str">
        <f>IF($B389="","",COUNTIFS($B$5:$B389,$B389,$BH$5:$BH389,$BH389))</f>
        <v/>
      </c>
      <c r="BM389" s="9" t="str">
        <f t="shared" si="66"/>
        <v/>
      </c>
      <c r="BN389" s="9" t="str">
        <f t="shared" si="67"/>
        <v/>
      </c>
      <c r="BO389" s="9">
        <f t="shared" si="68"/>
        <v>0</v>
      </c>
      <c r="BR389" s="12" t="str">
        <f t="shared" si="69"/>
        <v/>
      </c>
    </row>
    <row r="390" spans="1:70" ht="14.25" customHeight="1">
      <c r="A390" s="26"/>
      <c r="C390" s="26"/>
      <c r="D390" s="27"/>
      <c r="E390" s="27"/>
      <c r="BE390" s="10" t="str">
        <f t="shared" si="60"/>
        <v/>
      </c>
      <c r="BF390" s="8" t="str">
        <f t="shared" si="61"/>
        <v/>
      </c>
      <c r="BG390" s="11" t="str">
        <f t="shared" si="62"/>
        <v/>
      </c>
      <c r="BH390" s="8" t="str">
        <f t="shared" si="63"/>
        <v/>
      </c>
      <c r="BI390" s="8" t="str">
        <f t="shared" si="64"/>
        <v/>
      </c>
      <c r="BJ390" s="9" t="str">
        <f t="shared" si="65"/>
        <v/>
      </c>
      <c r="BK390" s="9" t="str">
        <f>IF($B390="","",COUNTIFS($B$5:$B390,$B390,$BF$5:$BF390,$BF390))</f>
        <v/>
      </c>
      <c r="BL390" s="9" t="str">
        <f>IF($B390="","",COUNTIFS($B$5:$B390,$B390,$BH$5:$BH390,$BH390))</f>
        <v/>
      </c>
      <c r="BM390" s="9" t="str">
        <f t="shared" si="66"/>
        <v/>
      </c>
      <c r="BN390" s="9" t="str">
        <f t="shared" si="67"/>
        <v/>
      </c>
      <c r="BO390" s="9">
        <f t="shared" si="68"/>
        <v>0</v>
      </c>
      <c r="BR390" s="12" t="str">
        <f t="shared" si="69"/>
        <v/>
      </c>
    </row>
    <row r="391" spans="1:70" ht="14.25" customHeight="1">
      <c r="A391" s="26"/>
      <c r="C391" s="26"/>
      <c r="D391" s="27"/>
      <c r="E391" s="27"/>
      <c r="BE391" s="10" t="str">
        <f t="shared" si="60"/>
        <v/>
      </c>
      <c r="BF391" s="8" t="str">
        <f t="shared" si="61"/>
        <v/>
      </c>
      <c r="BG391" s="11" t="str">
        <f t="shared" si="62"/>
        <v/>
      </c>
      <c r="BH391" s="8" t="str">
        <f t="shared" si="63"/>
        <v/>
      </c>
      <c r="BI391" s="8" t="str">
        <f t="shared" si="64"/>
        <v/>
      </c>
      <c r="BJ391" s="9" t="str">
        <f t="shared" si="65"/>
        <v/>
      </c>
      <c r="BK391" s="9" t="str">
        <f>IF($B391="","",COUNTIFS($B$5:$B391,$B391,$BF$5:$BF391,$BF391))</f>
        <v/>
      </c>
      <c r="BL391" s="9" t="str">
        <f>IF($B391="","",COUNTIFS($B$5:$B391,$B391,$BH$5:$BH391,$BH391))</f>
        <v/>
      </c>
      <c r="BM391" s="9" t="str">
        <f t="shared" si="66"/>
        <v/>
      </c>
      <c r="BN391" s="9" t="str">
        <f t="shared" si="67"/>
        <v/>
      </c>
      <c r="BO391" s="9">
        <f t="shared" si="68"/>
        <v>0</v>
      </c>
      <c r="BR391" s="12" t="str">
        <f t="shared" si="69"/>
        <v/>
      </c>
    </row>
    <row r="392" spans="1:70" ht="14.25" customHeight="1">
      <c r="A392" s="26"/>
      <c r="C392" s="26"/>
      <c r="D392" s="27"/>
      <c r="E392" s="27"/>
      <c r="BE392" s="10" t="str">
        <f t="shared" si="60"/>
        <v/>
      </c>
      <c r="BF392" s="8" t="str">
        <f t="shared" si="61"/>
        <v/>
      </c>
      <c r="BG392" s="11" t="str">
        <f t="shared" si="62"/>
        <v/>
      </c>
      <c r="BH392" s="8" t="str">
        <f t="shared" si="63"/>
        <v/>
      </c>
      <c r="BI392" s="8" t="str">
        <f t="shared" si="64"/>
        <v/>
      </c>
      <c r="BJ392" s="9" t="str">
        <f t="shared" si="65"/>
        <v/>
      </c>
      <c r="BK392" s="9" t="str">
        <f>IF($B392="","",COUNTIFS($B$5:$B392,$B392,$BF$5:$BF392,$BF392))</f>
        <v/>
      </c>
      <c r="BL392" s="9" t="str">
        <f>IF($B392="","",COUNTIFS($B$5:$B392,$B392,$BH$5:$BH392,$BH392))</f>
        <v/>
      </c>
      <c r="BM392" s="9" t="str">
        <f t="shared" si="66"/>
        <v/>
      </c>
      <c r="BN392" s="9" t="str">
        <f t="shared" si="67"/>
        <v/>
      </c>
      <c r="BO392" s="9">
        <f t="shared" si="68"/>
        <v>0</v>
      </c>
      <c r="BR392" s="12" t="str">
        <f t="shared" si="69"/>
        <v/>
      </c>
    </row>
    <row r="393" spans="1:70" ht="14.25" customHeight="1">
      <c r="A393" s="26"/>
      <c r="C393" s="26"/>
      <c r="D393" s="27"/>
      <c r="E393" s="27"/>
      <c r="BE393" s="10" t="str">
        <f t="shared" si="60"/>
        <v/>
      </c>
      <c r="BF393" s="8" t="str">
        <f t="shared" si="61"/>
        <v/>
      </c>
      <c r="BG393" s="11" t="str">
        <f t="shared" si="62"/>
        <v/>
      </c>
      <c r="BH393" s="8" t="str">
        <f t="shared" si="63"/>
        <v/>
      </c>
      <c r="BI393" s="8" t="str">
        <f t="shared" si="64"/>
        <v/>
      </c>
      <c r="BJ393" s="9" t="str">
        <f t="shared" si="65"/>
        <v/>
      </c>
      <c r="BK393" s="9" t="str">
        <f>IF($B393="","",COUNTIFS($B$5:$B393,$B393,$BF$5:$BF393,$BF393))</f>
        <v/>
      </c>
      <c r="BL393" s="9" t="str">
        <f>IF($B393="","",COUNTIFS($B$5:$B393,$B393,$BH$5:$BH393,$BH393))</f>
        <v/>
      </c>
      <c r="BM393" s="9" t="str">
        <f t="shared" si="66"/>
        <v/>
      </c>
      <c r="BN393" s="9" t="str">
        <f t="shared" si="67"/>
        <v/>
      </c>
      <c r="BO393" s="9">
        <f t="shared" si="68"/>
        <v>0</v>
      </c>
      <c r="BR393" s="12" t="str">
        <f t="shared" si="69"/>
        <v/>
      </c>
    </row>
    <row r="394" spans="1:70" ht="14.25" customHeight="1">
      <c r="A394" s="26"/>
      <c r="C394" s="26"/>
      <c r="D394" s="27"/>
      <c r="E394" s="27"/>
      <c r="BE394" s="10" t="str">
        <f t="shared" si="60"/>
        <v/>
      </c>
      <c r="BF394" s="8" t="str">
        <f t="shared" si="61"/>
        <v/>
      </c>
      <c r="BG394" s="11" t="str">
        <f t="shared" si="62"/>
        <v/>
      </c>
      <c r="BH394" s="8" t="str">
        <f t="shared" si="63"/>
        <v/>
      </c>
      <c r="BI394" s="8" t="str">
        <f t="shared" si="64"/>
        <v/>
      </c>
      <c r="BJ394" s="9" t="str">
        <f t="shared" si="65"/>
        <v/>
      </c>
      <c r="BK394" s="9" t="str">
        <f>IF($B394="","",COUNTIFS($B$5:$B394,$B394,$BF$5:$BF394,$BF394))</f>
        <v/>
      </c>
      <c r="BL394" s="9" t="str">
        <f>IF($B394="","",COUNTIFS($B$5:$B394,$B394,$BH$5:$BH394,$BH394))</f>
        <v/>
      </c>
      <c r="BM394" s="9" t="str">
        <f t="shared" si="66"/>
        <v/>
      </c>
      <c r="BN394" s="9" t="str">
        <f t="shared" si="67"/>
        <v/>
      </c>
      <c r="BO394" s="9">
        <f t="shared" si="68"/>
        <v>0</v>
      </c>
      <c r="BR394" s="12" t="str">
        <f t="shared" si="69"/>
        <v/>
      </c>
    </row>
    <row r="395" spans="1:70" ht="14.25" customHeight="1">
      <c r="A395" s="26"/>
      <c r="C395" s="26"/>
      <c r="D395" s="27"/>
      <c r="E395" s="27"/>
      <c r="BE395" s="10" t="str">
        <f t="shared" si="60"/>
        <v/>
      </c>
      <c r="BF395" s="8" t="str">
        <f t="shared" si="61"/>
        <v/>
      </c>
      <c r="BG395" s="11" t="str">
        <f t="shared" si="62"/>
        <v/>
      </c>
      <c r="BH395" s="8" t="str">
        <f t="shared" si="63"/>
        <v/>
      </c>
      <c r="BI395" s="8" t="str">
        <f t="shared" si="64"/>
        <v/>
      </c>
      <c r="BJ395" s="9" t="str">
        <f t="shared" si="65"/>
        <v/>
      </c>
      <c r="BK395" s="9" t="str">
        <f>IF($B395="","",COUNTIFS($B$5:$B395,$B395,$BF$5:$BF395,$BF395))</f>
        <v/>
      </c>
      <c r="BL395" s="9" t="str">
        <f>IF($B395="","",COUNTIFS($B$5:$B395,$B395,$BH$5:$BH395,$BH395))</f>
        <v/>
      </c>
      <c r="BM395" s="9" t="str">
        <f t="shared" si="66"/>
        <v/>
      </c>
      <c r="BN395" s="9" t="str">
        <f t="shared" si="67"/>
        <v/>
      </c>
      <c r="BO395" s="9">
        <f t="shared" si="68"/>
        <v>0</v>
      </c>
      <c r="BR395" s="12" t="str">
        <f t="shared" si="69"/>
        <v/>
      </c>
    </row>
    <row r="396" spans="1:70" ht="14.25" customHeight="1">
      <c r="A396" s="26"/>
      <c r="C396" s="26"/>
      <c r="D396" s="27"/>
      <c r="E396" s="27"/>
      <c r="BE396" s="10" t="str">
        <f t="shared" si="60"/>
        <v/>
      </c>
      <c r="BF396" s="8" t="str">
        <f t="shared" si="61"/>
        <v/>
      </c>
      <c r="BG396" s="11" t="str">
        <f t="shared" si="62"/>
        <v/>
      </c>
      <c r="BH396" s="8" t="str">
        <f t="shared" si="63"/>
        <v/>
      </c>
      <c r="BI396" s="8" t="str">
        <f t="shared" si="64"/>
        <v/>
      </c>
      <c r="BJ396" s="9" t="str">
        <f t="shared" si="65"/>
        <v/>
      </c>
      <c r="BK396" s="9" t="str">
        <f>IF($B396="","",COUNTIFS($B$5:$B396,$B396,$BF$5:$BF396,$BF396))</f>
        <v/>
      </c>
      <c r="BL396" s="9" t="str">
        <f>IF($B396="","",COUNTIFS($B$5:$B396,$B396,$BH$5:$BH396,$BH396))</f>
        <v/>
      </c>
      <c r="BM396" s="9" t="str">
        <f t="shared" si="66"/>
        <v/>
      </c>
      <c r="BN396" s="9" t="str">
        <f t="shared" si="67"/>
        <v/>
      </c>
      <c r="BO396" s="9">
        <f t="shared" si="68"/>
        <v>0</v>
      </c>
      <c r="BR396" s="12" t="str">
        <f t="shared" si="69"/>
        <v/>
      </c>
    </row>
    <row r="397" spans="1:70" ht="14.25" customHeight="1">
      <c r="A397" s="26"/>
      <c r="C397" s="26"/>
      <c r="D397" s="27"/>
      <c r="E397" s="27"/>
      <c r="BE397" s="10" t="str">
        <f t="shared" si="60"/>
        <v/>
      </c>
      <c r="BF397" s="8" t="str">
        <f t="shared" si="61"/>
        <v/>
      </c>
      <c r="BG397" s="11" t="str">
        <f t="shared" si="62"/>
        <v/>
      </c>
      <c r="BH397" s="8" t="str">
        <f t="shared" si="63"/>
        <v/>
      </c>
      <c r="BI397" s="8" t="str">
        <f t="shared" si="64"/>
        <v/>
      </c>
      <c r="BJ397" s="9" t="str">
        <f t="shared" si="65"/>
        <v/>
      </c>
      <c r="BK397" s="9" t="str">
        <f>IF($B397="","",COUNTIFS($B$5:$B397,$B397,$BF$5:$BF397,$BF397))</f>
        <v/>
      </c>
      <c r="BL397" s="9" t="str">
        <f>IF($B397="","",COUNTIFS($B$5:$B397,$B397,$BH$5:$BH397,$BH397))</f>
        <v/>
      </c>
      <c r="BM397" s="9" t="str">
        <f t="shared" si="66"/>
        <v/>
      </c>
      <c r="BN397" s="9" t="str">
        <f t="shared" si="67"/>
        <v/>
      </c>
      <c r="BO397" s="9">
        <f t="shared" si="68"/>
        <v>0</v>
      </c>
      <c r="BR397" s="12" t="str">
        <f t="shared" si="69"/>
        <v/>
      </c>
    </row>
    <row r="398" spans="1:70" ht="14.25" customHeight="1">
      <c r="A398" s="26"/>
      <c r="C398" s="26"/>
      <c r="D398" s="27"/>
      <c r="E398" s="27"/>
      <c r="BE398" s="10" t="str">
        <f t="shared" si="60"/>
        <v/>
      </c>
      <c r="BF398" s="8" t="str">
        <f t="shared" si="61"/>
        <v/>
      </c>
      <c r="BG398" s="11" t="str">
        <f t="shared" si="62"/>
        <v/>
      </c>
      <c r="BH398" s="8" t="str">
        <f t="shared" si="63"/>
        <v/>
      </c>
      <c r="BI398" s="8" t="str">
        <f t="shared" si="64"/>
        <v/>
      </c>
      <c r="BJ398" s="9" t="str">
        <f t="shared" si="65"/>
        <v/>
      </c>
      <c r="BK398" s="9" t="str">
        <f>IF($B398="","",COUNTIFS($B$5:$B398,$B398,$BF$5:$BF398,$BF398))</f>
        <v/>
      </c>
      <c r="BL398" s="9" t="str">
        <f>IF($B398="","",COUNTIFS($B$5:$B398,$B398,$BH$5:$BH398,$BH398))</f>
        <v/>
      </c>
      <c r="BM398" s="9" t="str">
        <f t="shared" si="66"/>
        <v/>
      </c>
      <c r="BN398" s="9" t="str">
        <f t="shared" si="67"/>
        <v/>
      </c>
      <c r="BO398" s="9">
        <f t="shared" si="68"/>
        <v>0</v>
      </c>
      <c r="BR398" s="12" t="str">
        <f t="shared" si="69"/>
        <v/>
      </c>
    </row>
    <row r="399" spans="1:70" ht="14.25" customHeight="1">
      <c r="A399" s="26"/>
      <c r="C399" s="26"/>
      <c r="D399" s="27"/>
      <c r="E399" s="27"/>
      <c r="BE399" s="10" t="str">
        <f t="shared" si="60"/>
        <v/>
      </c>
      <c r="BF399" s="8" t="str">
        <f t="shared" si="61"/>
        <v/>
      </c>
      <c r="BG399" s="11" t="str">
        <f t="shared" si="62"/>
        <v/>
      </c>
      <c r="BH399" s="8" t="str">
        <f t="shared" si="63"/>
        <v/>
      </c>
      <c r="BI399" s="8" t="str">
        <f t="shared" si="64"/>
        <v/>
      </c>
      <c r="BJ399" s="9" t="str">
        <f t="shared" si="65"/>
        <v/>
      </c>
      <c r="BK399" s="9" t="str">
        <f>IF($B399="","",COUNTIFS($B$5:$B399,$B399,$BF$5:$BF399,$BF399))</f>
        <v/>
      </c>
      <c r="BL399" s="9" t="str">
        <f>IF($B399="","",COUNTIFS($B$5:$B399,$B399,$BH$5:$BH399,$BH399))</f>
        <v/>
      </c>
      <c r="BM399" s="9" t="str">
        <f t="shared" si="66"/>
        <v/>
      </c>
      <c r="BN399" s="9" t="str">
        <f t="shared" si="67"/>
        <v/>
      </c>
      <c r="BO399" s="9">
        <f t="shared" si="68"/>
        <v>0</v>
      </c>
      <c r="BR399" s="12" t="str">
        <f t="shared" si="69"/>
        <v/>
      </c>
    </row>
    <row r="400" spans="1:70" ht="14.25" customHeight="1">
      <c r="A400" s="26"/>
      <c r="C400" s="26"/>
      <c r="D400" s="27"/>
      <c r="E400" s="27"/>
      <c r="BE400" s="10" t="str">
        <f t="shared" si="60"/>
        <v/>
      </c>
      <c r="BF400" s="8" t="str">
        <f t="shared" si="61"/>
        <v/>
      </c>
      <c r="BG400" s="11" t="str">
        <f t="shared" si="62"/>
        <v/>
      </c>
      <c r="BH400" s="8" t="str">
        <f t="shared" si="63"/>
        <v/>
      </c>
      <c r="BI400" s="8" t="str">
        <f t="shared" si="64"/>
        <v/>
      </c>
      <c r="BJ400" s="9" t="str">
        <f t="shared" si="65"/>
        <v/>
      </c>
      <c r="BK400" s="9" t="str">
        <f>IF($B400="","",COUNTIFS($B$5:$B400,$B400,$BF$5:$BF400,$BF400))</f>
        <v/>
      </c>
      <c r="BL400" s="9" t="str">
        <f>IF($B400="","",COUNTIFS($B$5:$B400,$B400,$BH$5:$BH400,$BH400))</f>
        <v/>
      </c>
      <c r="BM400" s="9" t="str">
        <f t="shared" si="66"/>
        <v/>
      </c>
      <c r="BN400" s="9" t="str">
        <f t="shared" si="67"/>
        <v/>
      </c>
      <c r="BO400" s="9">
        <f t="shared" si="68"/>
        <v>0</v>
      </c>
      <c r="BR400" s="12" t="str">
        <f t="shared" si="69"/>
        <v/>
      </c>
    </row>
    <row r="401" spans="1:70" ht="14.25" customHeight="1">
      <c r="A401" s="26"/>
      <c r="C401" s="26"/>
      <c r="D401" s="27"/>
      <c r="E401" s="27"/>
      <c r="BE401" s="10" t="str">
        <f t="shared" si="60"/>
        <v/>
      </c>
      <c r="BF401" s="8" t="str">
        <f t="shared" si="61"/>
        <v/>
      </c>
      <c r="BG401" s="11" t="str">
        <f t="shared" si="62"/>
        <v/>
      </c>
      <c r="BH401" s="8" t="str">
        <f t="shared" si="63"/>
        <v/>
      </c>
      <c r="BI401" s="8" t="str">
        <f t="shared" si="64"/>
        <v/>
      </c>
      <c r="BJ401" s="9" t="str">
        <f t="shared" si="65"/>
        <v/>
      </c>
      <c r="BK401" s="9" t="str">
        <f>IF($B401="","",COUNTIFS($B$5:$B401,$B401,$BF$5:$BF401,$BF401))</f>
        <v/>
      </c>
      <c r="BL401" s="9" t="str">
        <f>IF($B401="","",COUNTIFS($B$5:$B401,$B401,$BH$5:$BH401,$BH401))</f>
        <v/>
      </c>
      <c r="BM401" s="9" t="str">
        <f t="shared" si="66"/>
        <v/>
      </c>
      <c r="BN401" s="9" t="str">
        <f t="shared" si="67"/>
        <v/>
      </c>
      <c r="BO401" s="9">
        <f t="shared" si="68"/>
        <v>0</v>
      </c>
      <c r="BR401" s="12" t="str">
        <f t="shared" si="69"/>
        <v/>
      </c>
    </row>
    <row r="402" spans="1:70" ht="14.25" customHeight="1">
      <c r="A402" s="26"/>
      <c r="C402" s="26"/>
      <c r="D402" s="27"/>
      <c r="E402" s="27"/>
      <c r="BE402" s="10" t="str">
        <f t="shared" si="60"/>
        <v/>
      </c>
      <c r="BF402" s="8" t="str">
        <f t="shared" si="61"/>
        <v/>
      </c>
      <c r="BG402" s="11" t="str">
        <f t="shared" si="62"/>
        <v/>
      </c>
      <c r="BH402" s="8" t="str">
        <f t="shared" si="63"/>
        <v/>
      </c>
      <c r="BI402" s="8" t="str">
        <f t="shared" si="64"/>
        <v/>
      </c>
      <c r="BJ402" s="9" t="str">
        <f t="shared" si="65"/>
        <v/>
      </c>
      <c r="BK402" s="9" t="str">
        <f>IF($B402="","",COUNTIFS($B$5:$B402,$B402,$BF$5:$BF402,$BF402))</f>
        <v/>
      </c>
      <c r="BL402" s="9" t="str">
        <f>IF($B402="","",COUNTIFS($B$5:$B402,$B402,$BH$5:$BH402,$BH402))</f>
        <v/>
      </c>
      <c r="BM402" s="9" t="str">
        <f t="shared" si="66"/>
        <v/>
      </c>
      <c r="BN402" s="9" t="str">
        <f t="shared" si="67"/>
        <v/>
      </c>
      <c r="BO402" s="9">
        <f t="shared" si="68"/>
        <v>0</v>
      </c>
      <c r="BR402" s="12" t="str">
        <f t="shared" si="69"/>
        <v/>
      </c>
    </row>
    <row r="403" spans="1:70" ht="14.25" customHeight="1">
      <c r="A403" s="26"/>
      <c r="C403" s="26"/>
      <c r="D403" s="27"/>
      <c r="E403" s="27"/>
      <c r="BE403" s="10" t="str">
        <f t="shared" si="60"/>
        <v/>
      </c>
      <c r="BF403" s="8" t="str">
        <f t="shared" si="61"/>
        <v/>
      </c>
      <c r="BG403" s="11" t="str">
        <f t="shared" si="62"/>
        <v/>
      </c>
      <c r="BH403" s="8" t="str">
        <f t="shared" si="63"/>
        <v/>
      </c>
      <c r="BI403" s="8" t="str">
        <f t="shared" si="64"/>
        <v/>
      </c>
      <c r="BJ403" s="9" t="str">
        <f t="shared" si="65"/>
        <v/>
      </c>
      <c r="BK403" s="9" t="str">
        <f>IF($B403="","",COUNTIFS($B$5:$B403,$B403,$BF$5:$BF403,$BF403))</f>
        <v/>
      </c>
      <c r="BL403" s="9" t="str">
        <f>IF($B403="","",COUNTIFS($B$5:$B403,$B403,$BH$5:$BH403,$BH403))</f>
        <v/>
      </c>
      <c r="BM403" s="9" t="str">
        <f t="shared" si="66"/>
        <v/>
      </c>
      <c r="BN403" s="9" t="str">
        <f t="shared" si="67"/>
        <v/>
      </c>
      <c r="BO403" s="9">
        <f t="shared" si="68"/>
        <v>0</v>
      </c>
      <c r="BR403" s="12" t="str">
        <f t="shared" si="69"/>
        <v/>
      </c>
    </row>
    <row r="404" spans="1:70" ht="14.25" customHeight="1">
      <c r="A404" s="26"/>
      <c r="C404" s="26"/>
      <c r="D404" s="27"/>
      <c r="E404" s="27"/>
      <c r="BE404" s="10" t="str">
        <f t="shared" si="60"/>
        <v/>
      </c>
      <c r="BF404" s="8" t="str">
        <f t="shared" si="61"/>
        <v/>
      </c>
      <c r="BG404" s="11" t="str">
        <f t="shared" si="62"/>
        <v/>
      </c>
      <c r="BH404" s="8" t="str">
        <f t="shared" si="63"/>
        <v/>
      </c>
      <c r="BI404" s="8" t="str">
        <f t="shared" si="64"/>
        <v/>
      </c>
      <c r="BJ404" s="9" t="str">
        <f t="shared" si="65"/>
        <v/>
      </c>
      <c r="BK404" s="9" t="str">
        <f>IF($B404="","",COUNTIFS($B$5:$B404,$B404,$BF$5:$BF404,$BF404))</f>
        <v/>
      </c>
      <c r="BL404" s="9" t="str">
        <f>IF($B404="","",COUNTIFS($B$5:$B404,$B404,$BH$5:$BH404,$BH404))</f>
        <v/>
      </c>
      <c r="BM404" s="9" t="str">
        <f t="shared" si="66"/>
        <v/>
      </c>
      <c r="BN404" s="9" t="str">
        <f t="shared" si="67"/>
        <v/>
      </c>
      <c r="BO404" s="9">
        <f t="shared" si="68"/>
        <v>0</v>
      </c>
      <c r="BR404" s="12" t="str">
        <f t="shared" si="69"/>
        <v/>
      </c>
    </row>
    <row r="405" spans="1:70" ht="14.25" customHeight="1">
      <c r="A405" s="26"/>
      <c r="C405" s="26"/>
      <c r="D405" s="27"/>
      <c r="E405" s="27"/>
      <c r="BE405" s="10" t="str">
        <f t="shared" si="60"/>
        <v/>
      </c>
      <c r="BF405" s="8" t="str">
        <f t="shared" si="61"/>
        <v/>
      </c>
      <c r="BG405" s="11" t="str">
        <f t="shared" si="62"/>
        <v/>
      </c>
      <c r="BH405" s="8" t="str">
        <f t="shared" si="63"/>
        <v/>
      </c>
      <c r="BI405" s="8" t="str">
        <f t="shared" si="64"/>
        <v/>
      </c>
      <c r="BJ405" s="9" t="str">
        <f t="shared" si="65"/>
        <v/>
      </c>
      <c r="BK405" s="9" t="str">
        <f>IF($B405="","",COUNTIFS($B$5:$B405,$B405,$BF$5:$BF405,$BF405))</f>
        <v/>
      </c>
      <c r="BL405" s="9" t="str">
        <f>IF($B405="","",COUNTIFS($B$5:$B405,$B405,$BH$5:$BH405,$BH405))</f>
        <v/>
      </c>
      <c r="BM405" s="9" t="str">
        <f t="shared" si="66"/>
        <v/>
      </c>
      <c r="BN405" s="9" t="str">
        <f t="shared" si="67"/>
        <v/>
      </c>
      <c r="BO405" s="9">
        <f t="shared" si="68"/>
        <v>0</v>
      </c>
      <c r="BR405" s="12" t="str">
        <f t="shared" si="69"/>
        <v/>
      </c>
    </row>
    <row r="406" spans="1:70" ht="14.25" customHeight="1">
      <c r="A406" s="26"/>
      <c r="C406" s="26"/>
      <c r="D406" s="27"/>
      <c r="E406" s="27"/>
      <c r="BE406" s="10" t="str">
        <f t="shared" si="60"/>
        <v/>
      </c>
      <c r="BF406" s="8" t="str">
        <f t="shared" si="61"/>
        <v/>
      </c>
      <c r="BG406" s="11" t="str">
        <f t="shared" si="62"/>
        <v/>
      </c>
      <c r="BH406" s="8" t="str">
        <f t="shared" si="63"/>
        <v/>
      </c>
      <c r="BI406" s="8" t="str">
        <f t="shared" si="64"/>
        <v/>
      </c>
      <c r="BJ406" s="9" t="str">
        <f t="shared" si="65"/>
        <v/>
      </c>
      <c r="BK406" s="9" t="str">
        <f>IF($B406="","",COUNTIFS($B$5:$B406,$B406,$BF$5:$BF406,$BF406))</f>
        <v/>
      </c>
      <c r="BL406" s="9" t="str">
        <f>IF($B406="","",COUNTIFS($B$5:$B406,$B406,$BH$5:$BH406,$BH406))</f>
        <v/>
      </c>
      <c r="BM406" s="9" t="str">
        <f t="shared" si="66"/>
        <v/>
      </c>
      <c r="BN406" s="9" t="str">
        <f t="shared" si="67"/>
        <v/>
      </c>
      <c r="BO406" s="9">
        <f t="shared" si="68"/>
        <v>0</v>
      </c>
      <c r="BR406" s="12" t="str">
        <f t="shared" si="69"/>
        <v/>
      </c>
    </row>
    <row r="407" spans="1:70" ht="14.25" customHeight="1">
      <c r="A407" s="26"/>
      <c r="C407" s="26"/>
      <c r="D407" s="27"/>
      <c r="E407" s="27"/>
      <c r="BE407" s="10" t="str">
        <f t="shared" si="60"/>
        <v/>
      </c>
      <c r="BF407" s="8" t="str">
        <f t="shared" si="61"/>
        <v/>
      </c>
      <c r="BG407" s="11" t="str">
        <f t="shared" si="62"/>
        <v/>
      </c>
      <c r="BH407" s="8" t="str">
        <f t="shared" si="63"/>
        <v/>
      </c>
      <c r="BI407" s="8" t="str">
        <f t="shared" si="64"/>
        <v/>
      </c>
      <c r="BJ407" s="9" t="str">
        <f t="shared" si="65"/>
        <v/>
      </c>
      <c r="BK407" s="9" t="str">
        <f>IF($B407="","",COUNTIFS($B$5:$B407,$B407,$BF$5:$BF407,$BF407))</f>
        <v/>
      </c>
      <c r="BL407" s="9" t="str">
        <f>IF($B407="","",COUNTIFS($B$5:$B407,$B407,$BH$5:$BH407,$BH407))</f>
        <v/>
      </c>
      <c r="BM407" s="9" t="str">
        <f t="shared" si="66"/>
        <v/>
      </c>
      <c r="BN407" s="9" t="str">
        <f t="shared" si="67"/>
        <v/>
      </c>
      <c r="BO407" s="9">
        <f t="shared" si="68"/>
        <v>0</v>
      </c>
      <c r="BR407" s="12" t="str">
        <f t="shared" si="69"/>
        <v/>
      </c>
    </row>
    <row r="408" spans="1:70" ht="14.25" customHeight="1">
      <c r="A408" s="26"/>
      <c r="C408" s="26"/>
      <c r="D408" s="27"/>
      <c r="E408" s="27"/>
      <c r="BE408" s="10" t="str">
        <f t="shared" si="60"/>
        <v/>
      </c>
      <c r="BF408" s="8" t="str">
        <f t="shared" si="61"/>
        <v/>
      </c>
      <c r="BG408" s="11" t="str">
        <f t="shared" si="62"/>
        <v/>
      </c>
      <c r="BH408" s="8" t="str">
        <f t="shared" si="63"/>
        <v/>
      </c>
      <c r="BI408" s="8" t="str">
        <f t="shared" si="64"/>
        <v/>
      </c>
      <c r="BJ408" s="9" t="str">
        <f t="shared" si="65"/>
        <v/>
      </c>
      <c r="BK408" s="9" t="str">
        <f>IF($B408="","",COUNTIFS($B$5:$B408,$B408,$BF$5:$BF408,$BF408))</f>
        <v/>
      </c>
      <c r="BL408" s="9" t="str">
        <f>IF($B408="","",COUNTIFS($B$5:$B408,$B408,$BH$5:$BH408,$BH408))</f>
        <v/>
      </c>
      <c r="BM408" s="9" t="str">
        <f t="shared" si="66"/>
        <v/>
      </c>
      <c r="BN408" s="9" t="str">
        <f t="shared" si="67"/>
        <v/>
      </c>
      <c r="BO408" s="9">
        <f t="shared" si="68"/>
        <v>0</v>
      </c>
      <c r="BR408" s="12" t="str">
        <f t="shared" si="69"/>
        <v/>
      </c>
    </row>
    <row r="409" spans="1:70" ht="14.25" customHeight="1">
      <c r="A409" s="26"/>
      <c r="C409" s="26"/>
      <c r="D409" s="27"/>
      <c r="E409" s="27"/>
      <c r="BE409" s="10" t="str">
        <f t="shared" si="60"/>
        <v/>
      </c>
      <c r="BF409" s="8" t="str">
        <f t="shared" si="61"/>
        <v/>
      </c>
      <c r="BG409" s="11" t="str">
        <f t="shared" si="62"/>
        <v/>
      </c>
      <c r="BH409" s="8" t="str">
        <f t="shared" si="63"/>
        <v/>
      </c>
      <c r="BI409" s="8" t="str">
        <f t="shared" si="64"/>
        <v/>
      </c>
      <c r="BJ409" s="9" t="str">
        <f t="shared" si="65"/>
        <v/>
      </c>
      <c r="BK409" s="9" t="str">
        <f>IF($B409="","",COUNTIFS($B$5:$B409,$B409,$BF$5:$BF409,$BF409))</f>
        <v/>
      </c>
      <c r="BL409" s="9" t="str">
        <f>IF($B409="","",COUNTIFS($B$5:$B409,$B409,$BH$5:$BH409,$BH409))</f>
        <v/>
      </c>
      <c r="BM409" s="9" t="str">
        <f t="shared" si="66"/>
        <v/>
      </c>
      <c r="BN409" s="9" t="str">
        <f t="shared" si="67"/>
        <v/>
      </c>
      <c r="BO409" s="9">
        <f t="shared" si="68"/>
        <v>0</v>
      </c>
      <c r="BR409" s="12" t="str">
        <f t="shared" si="69"/>
        <v/>
      </c>
    </row>
    <row r="410" spans="1:70" ht="14.25" customHeight="1">
      <c r="A410" s="26"/>
      <c r="C410" s="26"/>
      <c r="D410" s="27"/>
      <c r="E410" s="27"/>
      <c r="BE410" s="10" t="str">
        <f t="shared" si="60"/>
        <v/>
      </c>
      <c r="BF410" s="8" t="str">
        <f t="shared" si="61"/>
        <v/>
      </c>
      <c r="BG410" s="11" t="str">
        <f t="shared" si="62"/>
        <v/>
      </c>
      <c r="BH410" s="8" t="str">
        <f t="shared" si="63"/>
        <v/>
      </c>
      <c r="BI410" s="8" t="str">
        <f t="shared" si="64"/>
        <v/>
      </c>
      <c r="BJ410" s="9" t="str">
        <f t="shared" si="65"/>
        <v/>
      </c>
      <c r="BK410" s="9" t="str">
        <f>IF($B410="","",COUNTIFS($B$5:$B410,$B410,$BF$5:$BF410,$BF410))</f>
        <v/>
      </c>
      <c r="BL410" s="9" t="str">
        <f>IF($B410="","",COUNTIFS($B$5:$B410,$B410,$BH$5:$BH410,$BH410))</f>
        <v/>
      </c>
      <c r="BM410" s="9" t="str">
        <f t="shared" si="66"/>
        <v/>
      </c>
      <c r="BN410" s="9" t="str">
        <f t="shared" si="67"/>
        <v/>
      </c>
      <c r="BO410" s="9">
        <f t="shared" si="68"/>
        <v>0</v>
      </c>
      <c r="BR410" s="12" t="str">
        <f t="shared" si="69"/>
        <v/>
      </c>
    </row>
    <row r="411" spans="1:70" ht="14.25" customHeight="1">
      <c r="A411" s="26"/>
      <c r="C411" s="26"/>
      <c r="D411" s="27"/>
      <c r="E411" s="27"/>
      <c r="BE411" s="10" t="str">
        <f t="shared" si="60"/>
        <v/>
      </c>
      <c r="BF411" s="8" t="str">
        <f t="shared" si="61"/>
        <v/>
      </c>
      <c r="BG411" s="11" t="str">
        <f t="shared" si="62"/>
        <v/>
      </c>
      <c r="BH411" s="8" t="str">
        <f t="shared" si="63"/>
        <v/>
      </c>
      <c r="BI411" s="8" t="str">
        <f t="shared" si="64"/>
        <v/>
      </c>
      <c r="BJ411" s="9" t="str">
        <f t="shared" si="65"/>
        <v/>
      </c>
      <c r="BK411" s="9" t="str">
        <f>IF($B411="","",COUNTIFS($B$5:$B411,$B411,$BF$5:$BF411,$BF411))</f>
        <v/>
      </c>
      <c r="BL411" s="9" t="str">
        <f>IF($B411="","",COUNTIFS($B$5:$B411,$B411,$BH$5:$BH411,$BH411))</f>
        <v/>
      </c>
      <c r="BM411" s="9" t="str">
        <f t="shared" si="66"/>
        <v/>
      </c>
      <c r="BN411" s="9" t="str">
        <f t="shared" si="67"/>
        <v/>
      </c>
      <c r="BO411" s="9">
        <f t="shared" si="68"/>
        <v>0</v>
      </c>
      <c r="BR411" s="12" t="str">
        <f t="shared" si="69"/>
        <v/>
      </c>
    </row>
    <row r="412" spans="1:70" ht="14.25" customHeight="1">
      <c r="A412" s="26"/>
      <c r="C412" s="26"/>
      <c r="D412" s="27"/>
      <c r="E412" s="27"/>
      <c r="BE412" s="10" t="str">
        <f t="shared" si="60"/>
        <v/>
      </c>
      <c r="BF412" s="8" t="str">
        <f t="shared" si="61"/>
        <v/>
      </c>
      <c r="BG412" s="11" t="str">
        <f t="shared" si="62"/>
        <v/>
      </c>
      <c r="BH412" s="8" t="str">
        <f t="shared" si="63"/>
        <v/>
      </c>
      <c r="BI412" s="8" t="str">
        <f t="shared" si="64"/>
        <v/>
      </c>
      <c r="BJ412" s="9" t="str">
        <f t="shared" si="65"/>
        <v/>
      </c>
      <c r="BK412" s="9" t="str">
        <f>IF($B412="","",COUNTIFS($B$5:$B412,$B412,$BF$5:$BF412,$BF412))</f>
        <v/>
      </c>
      <c r="BL412" s="9" t="str">
        <f>IF($B412="","",COUNTIFS($B$5:$B412,$B412,$BH$5:$BH412,$BH412))</f>
        <v/>
      </c>
      <c r="BM412" s="9" t="str">
        <f t="shared" si="66"/>
        <v/>
      </c>
      <c r="BN412" s="9" t="str">
        <f t="shared" si="67"/>
        <v/>
      </c>
      <c r="BO412" s="9">
        <f t="shared" si="68"/>
        <v>0</v>
      </c>
      <c r="BR412" s="12" t="str">
        <f t="shared" si="69"/>
        <v/>
      </c>
    </row>
    <row r="413" spans="1:70" ht="14.25" customHeight="1">
      <c r="A413" s="26"/>
      <c r="C413" s="26"/>
      <c r="D413" s="27"/>
      <c r="E413" s="27"/>
      <c r="BE413" s="10" t="str">
        <f t="shared" ref="BE413:BE476" si="70">IF($B413="","",IF(COUNT($H413,$J413,$L413,$N413,$P413,$R413)&gt;0,SUM($H413,$J413,$L413,$N413,$P413,$R413),SUM($T413,$V413,$X413,$Z413,$AB413,$AD413,$AF413,$AH413,$AJ413,$AL413,$AN413,$AP413,$AR413,$AT413,$AV413,$AX413,$AZ413)))</f>
        <v/>
      </c>
      <c r="BF413" s="8" t="str">
        <f t="shared" ref="BF413:BF476" si="71">IF($C413="","",DATE(YEAR($C413),MONTH($C413),1))</f>
        <v/>
      </c>
      <c r="BG413" s="11" t="str">
        <f t="shared" ref="BG413:BG476" si="72">IF($BF413="","",TEXT($BF413,"mmmm yyyy"))</f>
        <v/>
      </c>
      <c r="BH413" s="8" t="str">
        <f t="shared" ref="BH413:BH476" si="73">IF($C413="","",$C413-WEEKDAY($C413,2)+1)</f>
        <v/>
      </c>
      <c r="BI413" s="8" t="str">
        <f t="shared" ref="BI413:BI476" si="74">IF($BH413="","",$BH413+6)</f>
        <v/>
      </c>
      <c r="BJ413" s="9" t="str">
        <f t="shared" ref="BJ413:BJ476" si="75">IF($BH413="","",TEXT($BH413,"dd/mm/yyyy")&amp;" - "&amp;TEXT($BI413,"dd/mm/yyyy"))</f>
        <v/>
      </c>
      <c r="BK413" s="9" t="str">
        <f>IF($B413="","",COUNTIFS($B$5:$B413,$B413,$BF$5:$BF413,$BF413))</f>
        <v/>
      </c>
      <c r="BL413" s="9" t="str">
        <f>IF($B413="","",COUNTIFS($B$5:$B413,$B413,$BH$5:$BH413,$BH413))</f>
        <v/>
      </c>
      <c r="BM413" s="9" t="str">
        <f t="shared" ref="BM413:BM476" si="76">IF($B413="","",TEXT($BK413,"00")&amp;"|"&amp;$B413&amp;"|"&amp;TEXT($BF413,"yyyymmdd"))</f>
        <v/>
      </c>
      <c r="BN413" s="9" t="str">
        <f t="shared" ref="BN413:BN476" si="77">IF($B413="","",TEXT($BL413,"00")&amp;"|"&amp;$B413&amp;"|"&amp;TEXT($BH413,"yyyymmdd"))</f>
        <v/>
      </c>
      <c r="BO413" s="9">
        <f t="shared" ref="BO413:BO476" si="78">IF(OR($BB413="YES",$BB413="Yes",$BB413="Y",$BB413=1),1,0)</f>
        <v>0</v>
      </c>
      <c r="BR413" s="12" t="str">
        <f t="shared" ref="BR413:BR476" si="79">IF($C413="","",IF($C413&gt;=DATE(2026,6,1),"QA-2026-06",IF($C413&gt;=DATE(2026,5,1),"May 2026+",IF($C413&gt;=DATE(2026,4,1),"April 2026",IF($C413&gt;=DATE(2026,3,1),"March 2026","Jan-Feb 2026")))))</f>
        <v/>
      </c>
    </row>
    <row r="414" spans="1:70" ht="14.25" customHeight="1">
      <c r="A414" s="26"/>
      <c r="C414" s="26"/>
      <c r="D414" s="27"/>
      <c r="E414" s="27"/>
      <c r="BE414" s="10" t="str">
        <f t="shared" si="70"/>
        <v/>
      </c>
      <c r="BF414" s="8" t="str">
        <f t="shared" si="71"/>
        <v/>
      </c>
      <c r="BG414" s="11" t="str">
        <f t="shared" si="72"/>
        <v/>
      </c>
      <c r="BH414" s="8" t="str">
        <f t="shared" si="73"/>
        <v/>
      </c>
      <c r="BI414" s="8" t="str">
        <f t="shared" si="74"/>
        <v/>
      </c>
      <c r="BJ414" s="9" t="str">
        <f t="shared" si="75"/>
        <v/>
      </c>
      <c r="BK414" s="9" t="str">
        <f>IF($B414="","",COUNTIFS($B$5:$B414,$B414,$BF$5:$BF414,$BF414))</f>
        <v/>
      </c>
      <c r="BL414" s="9" t="str">
        <f>IF($B414="","",COUNTIFS($B$5:$B414,$B414,$BH$5:$BH414,$BH414))</f>
        <v/>
      </c>
      <c r="BM414" s="9" t="str">
        <f t="shared" si="76"/>
        <v/>
      </c>
      <c r="BN414" s="9" t="str">
        <f t="shared" si="77"/>
        <v/>
      </c>
      <c r="BO414" s="9">
        <f t="shared" si="78"/>
        <v>0</v>
      </c>
      <c r="BR414" s="12" t="str">
        <f t="shared" si="79"/>
        <v/>
      </c>
    </row>
    <row r="415" spans="1:70" ht="14.25" customHeight="1">
      <c r="A415" s="26"/>
      <c r="C415" s="26"/>
      <c r="D415" s="27"/>
      <c r="E415" s="27"/>
      <c r="BE415" s="10" t="str">
        <f t="shared" si="70"/>
        <v/>
      </c>
      <c r="BF415" s="8" t="str">
        <f t="shared" si="71"/>
        <v/>
      </c>
      <c r="BG415" s="11" t="str">
        <f t="shared" si="72"/>
        <v/>
      </c>
      <c r="BH415" s="8" t="str">
        <f t="shared" si="73"/>
        <v/>
      </c>
      <c r="BI415" s="8" t="str">
        <f t="shared" si="74"/>
        <v/>
      </c>
      <c r="BJ415" s="9" t="str">
        <f t="shared" si="75"/>
        <v/>
      </c>
      <c r="BK415" s="9" t="str">
        <f>IF($B415="","",COUNTIFS($B$5:$B415,$B415,$BF$5:$BF415,$BF415))</f>
        <v/>
      </c>
      <c r="BL415" s="9" t="str">
        <f>IF($B415="","",COUNTIFS($B$5:$B415,$B415,$BH$5:$BH415,$BH415))</f>
        <v/>
      </c>
      <c r="BM415" s="9" t="str">
        <f t="shared" si="76"/>
        <v/>
      </c>
      <c r="BN415" s="9" t="str">
        <f t="shared" si="77"/>
        <v/>
      </c>
      <c r="BO415" s="9">
        <f t="shared" si="78"/>
        <v>0</v>
      </c>
      <c r="BR415" s="12" t="str">
        <f t="shared" si="79"/>
        <v/>
      </c>
    </row>
    <row r="416" spans="1:70" ht="14.25" customHeight="1">
      <c r="A416" s="26"/>
      <c r="C416" s="26"/>
      <c r="D416" s="27"/>
      <c r="E416" s="27"/>
      <c r="BE416" s="10" t="str">
        <f t="shared" si="70"/>
        <v/>
      </c>
      <c r="BF416" s="8" t="str">
        <f t="shared" si="71"/>
        <v/>
      </c>
      <c r="BG416" s="11" t="str">
        <f t="shared" si="72"/>
        <v/>
      </c>
      <c r="BH416" s="8" t="str">
        <f t="shared" si="73"/>
        <v/>
      </c>
      <c r="BI416" s="8" t="str">
        <f t="shared" si="74"/>
        <v/>
      </c>
      <c r="BJ416" s="9" t="str">
        <f t="shared" si="75"/>
        <v/>
      </c>
      <c r="BK416" s="9" t="str">
        <f>IF($B416="","",COUNTIFS($B$5:$B416,$B416,$BF$5:$BF416,$BF416))</f>
        <v/>
      </c>
      <c r="BL416" s="9" t="str">
        <f>IF($B416="","",COUNTIFS($B$5:$B416,$B416,$BH$5:$BH416,$BH416))</f>
        <v/>
      </c>
      <c r="BM416" s="9" t="str">
        <f t="shared" si="76"/>
        <v/>
      </c>
      <c r="BN416" s="9" t="str">
        <f t="shared" si="77"/>
        <v/>
      </c>
      <c r="BO416" s="9">
        <f t="shared" si="78"/>
        <v>0</v>
      </c>
      <c r="BR416" s="12" t="str">
        <f t="shared" si="79"/>
        <v/>
      </c>
    </row>
    <row r="417" spans="1:70" ht="14.25" customHeight="1">
      <c r="A417" s="26"/>
      <c r="C417" s="26"/>
      <c r="D417" s="27"/>
      <c r="E417" s="27"/>
      <c r="BE417" s="10" t="str">
        <f t="shared" si="70"/>
        <v/>
      </c>
      <c r="BF417" s="8" t="str">
        <f t="shared" si="71"/>
        <v/>
      </c>
      <c r="BG417" s="11" t="str">
        <f t="shared" si="72"/>
        <v/>
      </c>
      <c r="BH417" s="8" t="str">
        <f t="shared" si="73"/>
        <v/>
      </c>
      <c r="BI417" s="8" t="str">
        <f t="shared" si="74"/>
        <v/>
      </c>
      <c r="BJ417" s="9" t="str">
        <f t="shared" si="75"/>
        <v/>
      </c>
      <c r="BK417" s="9" t="str">
        <f>IF($B417="","",COUNTIFS($B$5:$B417,$B417,$BF$5:$BF417,$BF417))</f>
        <v/>
      </c>
      <c r="BL417" s="9" t="str">
        <f>IF($B417="","",COUNTIFS($B$5:$B417,$B417,$BH$5:$BH417,$BH417))</f>
        <v/>
      </c>
      <c r="BM417" s="9" t="str">
        <f t="shared" si="76"/>
        <v/>
      </c>
      <c r="BN417" s="9" t="str">
        <f t="shared" si="77"/>
        <v/>
      </c>
      <c r="BO417" s="9">
        <f t="shared" si="78"/>
        <v>0</v>
      </c>
      <c r="BR417" s="12" t="str">
        <f t="shared" si="79"/>
        <v/>
      </c>
    </row>
    <row r="418" spans="1:70" ht="14.25" customHeight="1">
      <c r="A418" s="26"/>
      <c r="C418" s="26"/>
      <c r="D418" s="27"/>
      <c r="E418" s="27"/>
      <c r="BE418" s="10" t="str">
        <f t="shared" si="70"/>
        <v/>
      </c>
      <c r="BF418" s="8" t="str">
        <f t="shared" si="71"/>
        <v/>
      </c>
      <c r="BG418" s="11" t="str">
        <f t="shared" si="72"/>
        <v/>
      </c>
      <c r="BH418" s="8" t="str">
        <f t="shared" si="73"/>
        <v/>
      </c>
      <c r="BI418" s="8" t="str">
        <f t="shared" si="74"/>
        <v/>
      </c>
      <c r="BJ418" s="9" t="str">
        <f t="shared" si="75"/>
        <v/>
      </c>
      <c r="BK418" s="9" t="str">
        <f>IF($B418="","",COUNTIFS($B$5:$B418,$B418,$BF$5:$BF418,$BF418))</f>
        <v/>
      </c>
      <c r="BL418" s="9" t="str">
        <f>IF($B418="","",COUNTIFS($B$5:$B418,$B418,$BH$5:$BH418,$BH418))</f>
        <v/>
      </c>
      <c r="BM418" s="9" t="str">
        <f t="shared" si="76"/>
        <v/>
      </c>
      <c r="BN418" s="9" t="str">
        <f t="shared" si="77"/>
        <v/>
      </c>
      <c r="BO418" s="9">
        <f t="shared" si="78"/>
        <v>0</v>
      </c>
      <c r="BR418" s="12" t="str">
        <f t="shared" si="79"/>
        <v/>
      </c>
    </row>
    <row r="419" spans="1:70" ht="14.25" customHeight="1">
      <c r="A419" s="26"/>
      <c r="C419" s="26"/>
      <c r="D419" s="27"/>
      <c r="E419" s="27"/>
      <c r="BE419" s="10" t="str">
        <f t="shared" si="70"/>
        <v/>
      </c>
      <c r="BF419" s="8" t="str">
        <f t="shared" si="71"/>
        <v/>
      </c>
      <c r="BG419" s="11" t="str">
        <f t="shared" si="72"/>
        <v/>
      </c>
      <c r="BH419" s="8" t="str">
        <f t="shared" si="73"/>
        <v/>
      </c>
      <c r="BI419" s="8" t="str">
        <f t="shared" si="74"/>
        <v/>
      </c>
      <c r="BJ419" s="9" t="str">
        <f t="shared" si="75"/>
        <v/>
      </c>
      <c r="BK419" s="9" t="str">
        <f>IF($B419="","",COUNTIFS($B$5:$B419,$B419,$BF$5:$BF419,$BF419))</f>
        <v/>
      </c>
      <c r="BL419" s="9" t="str">
        <f>IF($B419="","",COUNTIFS($B$5:$B419,$B419,$BH$5:$BH419,$BH419))</f>
        <v/>
      </c>
      <c r="BM419" s="9" t="str">
        <f t="shared" si="76"/>
        <v/>
      </c>
      <c r="BN419" s="9" t="str">
        <f t="shared" si="77"/>
        <v/>
      </c>
      <c r="BO419" s="9">
        <f t="shared" si="78"/>
        <v>0</v>
      </c>
      <c r="BR419" s="12" t="str">
        <f t="shared" si="79"/>
        <v/>
      </c>
    </row>
    <row r="420" spans="1:70" ht="14.25" customHeight="1">
      <c r="A420" s="26"/>
      <c r="C420" s="26"/>
      <c r="D420" s="27"/>
      <c r="E420" s="27"/>
      <c r="BE420" s="10" t="str">
        <f t="shared" si="70"/>
        <v/>
      </c>
      <c r="BF420" s="8" t="str">
        <f t="shared" si="71"/>
        <v/>
      </c>
      <c r="BG420" s="11" t="str">
        <f t="shared" si="72"/>
        <v/>
      </c>
      <c r="BH420" s="8" t="str">
        <f t="shared" si="73"/>
        <v/>
      </c>
      <c r="BI420" s="8" t="str">
        <f t="shared" si="74"/>
        <v/>
      </c>
      <c r="BJ420" s="9" t="str">
        <f t="shared" si="75"/>
        <v/>
      </c>
      <c r="BK420" s="9" t="str">
        <f>IF($B420="","",COUNTIFS($B$5:$B420,$B420,$BF$5:$BF420,$BF420))</f>
        <v/>
      </c>
      <c r="BL420" s="9" t="str">
        <f>IF($B420="","",COUNTIFS($B$5:$B420,$B420,$BH$5:$BH420,$BH420))</f>
        <v/>
      </c>
      <c r="BM420" s="9" t="str">
        <f t="shared" si="76"/>
        <v/>
      </c>
      <c r="BN420" s="9" t="str">
        <f t="shared" si="77"/>
        <v/>
      </c>
      <c r="BO420" s="9">
        <f t="shared" si="78"/>
        <v>0</v>
      </c>
      <c r="BR420" s="12" t="str">
        <f t="shared" si="79"/>
        <v/>
      </c>
    </row>
    <row r="421" spans="1:70" ht="14.25" customHeight="1">
      <c r="A421" s="26"/>
      <c r="C421" s="26"/>
      <c r="D421" s="27"/>
      <c r="E421" s="27"/>
      <c r="BE421" s="10" t="str">
        <f t="shared" si="70"/>
        <v/>
      </c>
      <c r="BF421" s="8" t="str">
        <f t="shared" si="71"/>
        <v/>
      </c>
      <c r="BG421" s="11" t="str">
        <f t="shared" si="72"/>
        <v/>
      </c>
      <c r="BH421" s="8" t="str">
        <f t="shared" si="73"/>
        <v/>
      </c>
      <c r="BI421" s="8" t="str">
        <f t="shared" si="74"/>
        <v/>
      </c>
      <c r="BJ421" s="9" t="str">
        <f t="shared" si="75"/>
        <v/>
      </c>
      <c r="BK421" s="9" t="str">
        <f>IF($B421="","",COUNTIFS($B$5:$B421,$B421,$BF$5:$BF421,$BF421))</f>
        <v/>
      </c>
      <c r="BL421" s="9" t="str">
        <f>IF($B421="","",COUNTIFS($B$5:$B421,$B421,$BH$5:$BH421,$BH421))</f>
        <v/>
      </c>
      <c r="BM421" s="9" t="str">
        <f t="shared" si="76"/>
        <v/>
      </c>
      <c r="BN421" s="9" t="str">
        <f t="shared" si="77"/>
        <v/>
      </c>
      <c r="BO421" s="9">
        <f t="shared" si="78"/>
        <v>0</v>
      </c>
      <c r="BR421" s="12" t="str">
        <f t="shared" si="79"/>
        <v/>
      </c>
    </row>
    <row r="422" spans="1:70" ht="14.25" customHeight="1">
      <c r="A422" s="26"/>
      <c r="C422" s="26"/>
      <c r="D422" s="27"/>
      <c r="E422" s="27"/>
      <c r="BE422" s="10" t="str">
        <f t="shared" si="70"/>
        <v/>
      </c>
      <c r="BF422" s="8" t="str">
        <f t="shared" si="71"/>
        <v/>
      </c>
      <c r="BG422" s="11" t="str">
        <f t="shared" si="72"/>
        <v/>
      </c>
      <c r="BH422" s="8" t="str">
        <f t="shared" si="73"/>
        <v/>
      </c>
      <c r="BI422" s="8" t="str">
        <f t="shared" si="74"/>
        <v/>
      </c>
      <c r="BJ422" s="9" t="str">
        <f t="shared" si="75"/>
        <v/>
      </c>
      <c r="BK422" s="9" t="str">
        <f>IF($B422="","",COUNTIFS($B$5:$B422,$B422,$BF$5:$BF422,$BF422))</f>
        <v/>
      </c>
      <c r="BL422" s="9" t="str">
        <f>IF($B422="","",COUNTIFS($B$5:$B422,$B422,$BH$5:$BH422,$BH422))</f>
        <v/>
      </c>
      <c r="BM422" s="9" t="str">
        <f t="shared" si="76"/>
        <v/>
      </c>
      <c r="BN422" s="9" t="str">
        <f t="shared" si="77"/>
        <v/>
      </c>
      <c r="BO422" s="9">
        <f t="shared" si="78"/>
        <v>0</v>
      </c>
      <c r="BR422" s="12" t="str">
        <f t="shared" si="79"/>
        <v/>
      </c>
    </row>
    <row r="423" spans="1:70" ht="14.25" customHeight="1">
      <c r="A423" s="26"/>
      <c r="C423" s="26"/>
      <c r="D423" s="27"/>
      <c r="E423" s="27"/>
      <c r="BE423" s="10" t="str">
        <f t="shared" si="70"/>
        <v/>
      </c>
      <c r="BF423" s="8" t="str">
        <f t="shared" si="71"/>
        <v/>
      </c>
      <c r="BG423" s="11" t="str">
        <f t="shared" si="72"/>
        <v/>
      </c>
      <c r="BH423" s="8" t="str">
        <f t="shared" si="73"/>
        <v/>
      </c>
      <c r="BI423" s="8" t="str">
        <f t="shared" si="74"/>
        <v/>
      </c>
      <c r="BJ423" s="9" t="str">
        <f t="shared" si="75"/>
        <v/>
      </c>
      <c r="BK423" s="9" t="str">
        <f>IF($B423="","",COUNTIFS($B$5:$B423,$B423,$BF$5:$BF423,$BF423))</f>
        <v/>
      </c>
      <c r="BL423" s="9" t="str">
        <f>IF($B423="","",COUNTIFS($B$5:$B423,$B423,$BH$5:$BH423,$BH423))</f>
        <v/>
      </c>
      <c r="BM423" s="9" t="str">
        <f t="shared" si="76"/>
        <v/>
      </c>
      <c r="BN423" s="9" t="str">
        <f t="shared" si="77"/>
        <v/>
      </c>
      <c r="BO423" s="9">
        <f t="shared" si="78"/>
        <v>0</v>
      </c>
      <c r="BR423" s="12" t="str">
        <f t="shared" si="79"/>
        <v/>
      </c>
    </row>
    <row r="424" spans="1:70" ht="14.25" customHeight="1">
      <c r="A424" s="26"/>
      <c r="C424" s="26"/>
      <c r="D424" s="27"/>
      <c r="E424" s="27"/>
      <c r="BE424" s="10" t="str">
        <f t="shared" si="70"/>
        <v/>
      </c>
      <c r="BF424" s="8" t="str">
        <f t="shared" si="71"/>
        <v/>
      </c>
      <c r="BG424" s="11" t="str">
        <f t="shared" si="72"/>
        <v/>
      </c>
      <c r="BH424" s="8" t="str">
        <f t="shared" si="73"/>
        <v/>
      </c>
      <c r="BI424" s="8" t="str">
        <f t="shared" si="74"/>
        <v/>
      </c>
      <c r="BJ424" s="9" t="str">
        <f t="shared" si="75"/>
        <v/>
      </c>
      <c r="BK424" s="9" t="str">
        <f>IF($B424="","",COUNTIFS($B$5:$B424,$B424,$BF$5:$BF424,$BF424))</f>
        <v/>
      </c>
      <c r="BL424" s="9" t="str">
        <f>IF($B424="","",COUNTIFS($B$5:$B424,$B424,$BH$5:$BH424,$BH424))</f>
        <v/>
      </c>
      <c r="BM424" s="9" t="str">
        <f t="shared" si="76"/>
        <v/>
      </c>
      <c r="BN424" s="9" t="str">
        <f t="shared" si="77"/>
        <v/>
      </c>
      <c r="BO424" s="9">
        <f t="shared" si="78"/>
        <v>0</v>
      </c>
      <c r="BR424" s="12" t="str">
        <f t="shared" si="79"/>
        <v/>
      </c>
    </row>
    <row r="425" spans="1:70" ht="14.25" customHeight="1">
      <c r="A425" s="26"/>
      <c r="C425" s="26"/>
      <c r="D425" s="27"/>
      <c r="E425" s="27"/>
      <c r="BE425" s="10" t="str">
        <f t="shared" si="70"/>
        <v/>
      </c>
      <c r="BF425" s="8" t="str">
        <f t="shared" si="71"/>
        <v/>
      </c>
      <c r="BG425" s="11" t="str">
        <f t="shared" si="72"/>
        <v/>
      </c>
      <c r="BH425" s="8" t="str">
        <f t="shared" si="73"/>
        <v/>
      </c>
      <c r="BI425" s="8" t="str">
        <f t="shared" si="74"/>
        <v/>
      </c>
      <c r="BJ425" s="9" t="str">
        <f t="shared" si="75"/>
        <v/>
      </c>
      <c r="BK425" s="9" t="str">
        <f>IF($B425="","",COUNTIFS($B$5:$B425,$B425,$BF$5:$BF425,$BF425))</f>
        <v/>
      </c>
      <c r="BL425" s="9" t="str">
        <f>IF($B425="","",COUNTIFS($B$5:$B425,$B425,$BH$5:$BH425,$BH425))</f>
        <v/>
      </c>
      <c r="BM425" s="9" t="str">
        <f t="shared" si="76"/>
        <v/>
      </c>
      <c r="BN425" s="9" t="str">
        <f t="shared" si="77"/>
        <v/>
      </c>
      <c r="BO425" s="9">
        <f t="shared" si="78"/>
        <v>0</v>
      </c>
      <c r="BR425" s="12" t="str">
        <f t="shared" si="79"/>
        <v/>
      </c>
    </row>
    <row r="426" spans="1:70" ht="14.25" customHeight="1">
      <c r="A426" s="26"/>
      <c r="C426" s="26"/>
      <c r="D426" s="27"/>
      <c r="E426" s="27"/>
      <c r="BE426" s="10" t="str">
        <f t="shared" si="70"/>
        <v/>
      </c>
      <c r="BF426" s="8" t="str">
        <f t="shared" si="71"/>
        <v/>
      </c>
      <c r="BG426" s="11" t="str">
        <f t="shared" si="72"/>
        <v/>
      </c>
      <c r="BH426" s="8" t="str">
        <f t="shared" si="73"/>
        <v/>
      </c>
      <c r="BI426" s="8" t="str">
        <f t="shared" si="74"/>
        <v/>
      </c>
      <c r="BJ426" s="9" t="str">
        <f t="shared" si="75"/>
        <v/>
      </c>
      <c r="BK426" s="9" t="str">
        <f>IF($B426="","",COUNTIFS($B$5:$B426,$B426,$BF$5:$BF426,$BF426))</f>
        <v/>
      </c>
      <c r="BL426" s="9" t="str">
        <f>IF($B426="","",COUNTIFS($B$5:$B426,$B426,$BH$5:$BH426,$BH426))</f>
        <v/>
      </c>
      <c r="BM426" s="9" t="str">
        <f t="shared" si="76"/>
        <v/>
      </c>
      <c r="BN426" s="9" t="str">
        <f t="shared" si="77"/>
        <v/>
      </c>
      <c r="BO426" s="9">
        <f t="shared" si="78"/>
        <v>0</v>
      </c>
      <c r="BR426" s="12" t="str">
        <f t="shared" si="79"/>
        <v/>
      </c>
    </row>
    <row r="427" spans="1:70" ht="14.25" customHeight="1">
      <c r="A427" s="26"/>
      <c r="C427" s="26"/>
      <c r="D427" s="27"/>
      <c r="E427" s="27"/>
      <c r="BE427" s="10" t="str">
        <f t="shared" si="70"/>
        <v/>
      </c>
      <c r="BF427" s="8" t="str">
        <f t="shared" si="71"/>
        <v/>
      </c>
      <c r="BG427" s="11" t="str">
        <f t="shared" si="72"/>
        <v/>
      </c>
      <c r="BH427" s="8" t="str">
        <f t="shared" si="73"/>
        <v/>
      </c>
      <c r="BI427" s="8" t="str">
        <f t="shared" si="74"/>
        <v/>
      </c>
      <c r="BJ427" s="9" t="str">
        <f t="shared" si="75"/>
        <v/>
      </c>
      <c r="BK427" s="9" t="str">
        <f>IF($B427="","",COUNTIFS($B$5:$B427,$B427,$BF$5:$BF427,$BF427))</f>
        <v/>
      </c>
      <c r="BL427" s="9" t="str">
        <f>IF($B427="","",COUNTIFS($B$5:$B427,$B427,$BH$5:$BH427,$BH427))</f>
        <v/>
      </c>
      <c r="BM427" s="9" t="str">
        <f t="shared" si="76"/>
        <v/>
      </c>
      <c r="BN427" s="9" t="str">
        <f t="shared" si="77"/>
        <v/>
      </c>
      <c r="BO427" s="9">
        <f t="shared" si="78"/>
        <v>0</v>
      </c>
      <c r="BR427" s="12" t="str">
        <f t="shared" si="79"/>
        <v/>
      </c>
    </row>
    <row r="428" spans="1:70" ht="14.25" customHeight="1">
      <c r="A428" s="26"/>
      <c r="C428" s="26"/>
      <c r="D428" s="27"/>
      <c r="E428" s="27"/>
      <c r="BE428" s="10" t="str">
        <f t="shared" si="70"/>
        <v/>
      </c>
      <c r="BF428" s="8" t="str">
        <f t="shared" si="71"/>
        <v/>
      </c>
      <c r="BG428" s="11" t="str">
        <f t="shared" si="72"/>
        <v/>
      </c>
      <c r="BH428" s="8" t="str">
        <f t="shared" si="73"/>
        <v/>
      </c>
      <c r="BI428" s="8" t="str">
        <f t="shared" si="74"/>
        <v/>
      </c>
      <c r="BJ428" s="9" t="str">
        <f t="shared" si="75"/>
        <v/>
      </c>
      <c r="BK428" s="9" t="str">
        <f>IF($B428="","",COUNTIFS($B$5:$B428,$B428,$BF$5:$BF428,$BF428))</f>
        <v/>
      </c>
      <c r="BL428" s="9" t="str">
        <f>IF($B428="","",COUNTIFS($B$5:$B428,$B428,$BH$5:$BH428,$BH428))</f>
        <v/>
      </c>
      <c r="BM428" s="9" t="str">
        <f t="shared" si="76"/>
        <v/>
      </c>
      <c r="BN428" s="9" t="str">
        <f t="shared" si="77"/>
        <v/>
      </c>
      <c r="BO428" s="9">
        <f t="shared" si="78"/>
        <v>0</v>
      </c>
      <c r="BR428" s="12" t="str">
        <f t="shared" si="79"/>
        <v/>
      </c>
    </row>
    <row r="429" spans="1:70" ht="14.25" customHeight="1">
      <c r="A429" s="26"/>
      <c r="C429" s="26"/>
      <c r="D429" s="27"/>
      <c r="E429" s="27"/>
      <c r="BE429" s="10" t="str">
        <f t="shared" si="70"/>
        <v/>
      </c>
      <c r="BF429" s="8" t="str">
        <f t="shared" si="71"/>
        <v/>
      </c>
      <c r="BG429" s="11" t="str">
        <f t="shared" si="72"/>
        <v/>
      </c>
      <c r="BH429" s="8" t="str">
        <f t="shared" si="73"/>
        <v/>
      </c>
      <c r="BI429" s="8" t="str">
        <f t="shared" si="74"/>
        <v/>
      </c>
      <c r="BJ429" s="9" t="str">
        <f t="shared" si="75"/>
        <v/>
      </c>
      <c r="BK429" s="9" t="str">
        <f>IF($B429="","",COUNTIFS($B$5:$B429,$B429,$BF$5:$BF429,$BF429))</f>
        <v/>
      </c>
      <c r="BL429" s="9" t="str">
        <f>IF($B429="","",COUNTIFS($B$5:$B429,$B429,$BH$5:$BH429,$BH429))</f>
        <v/>
      </c>
      <c r="BM429" s="9" t="str">
        <f t="shared" si="76"/>
        <v/>
      </c>
      <c r="BN429" s="9" t="str">
        <f t="shared" si="77"/>
        <v/>
      </c>
      <c r="BO429" s="9">
        <f t="shared" si="78"/>
        <v>0</v>
      </c>
      <c r="BR429" s="12" t="str">
        <f t="shared" si="79"/>
        <v/>
      </c>
    </row>
    <row r="430" spans="1:70" ht="14.25" customHeight="1">
      <c r="A430" s="26"/>
      <c r="C430" s="26"/>
      <c r="D430" s="27"/>
      <c r="E430" s="27"/>
      <c r="BE430" s="10" t="str">
        <f t="shared" si="70"/>
        <v/>
      </c>
      <c r="BF430" s="8" t="str">
        <f t="shared" si="71"/>
        <v/>
      </c>
      <c r="BG430" s="11" t="str">
        <f t="shared" si="72"/>
        <v/>
      </c>
      <c r="BH430" s="8" t="str">
        <f t="shared" si="73"/>
        <v/>
      </c>
      <c r="BI430" s="8" t="str">
        <f t="shared" si="74"/>
        <v/>
      </c>
      <c r="BJ430" s="9" t="str">
        <f t="shared" si="75"/>
        <v/>
      </c>
      <c r="BK430" s="9" t="str">
        <f>IF($B430="","",COUNTIFS($B$5:$B430,$B430,$BF$5:$BF430,$BF430))</f>
        <v/>
      </c>
      <c r="BL430" s="9" t="str">
        <f>IF($B430="","",COUNTIFS($B$5:$B430,$B430,$BH$5:$BH430,$BH430))</f>
        <v/>
      </c>
      <c r="BM430" s="9" t="str">
        <f t="shared" si="76"/>
        <v/>
      </c>
      <c r="BN430" s="9" t="str">
        <f t="shared" si="77"/>
        <v/>
      </c>
      <c r="BO430" s="9">
        <f t="shared" si="78"/>
        <v>0</v>
      </c>
      <c r="BR430" s="12" t="str">
        <f t="shared" si="79"/>
        <v/>
      </c>
    </row>
    <row r="431" spans="1:70" ht="14.25" customHeight="1">
      <c r="A431" s="26"/>
      <c r="C431" s="26"/>
      <c r="D431" s="27"/>
      <c r="E431" s="27"/>
      <c r="BE431" s="10" t="str">
        <f t="shared" si="70"/>
        <v/>
      </c>
      <c r="BF431" s="8" t="str">
        <f t="shared" si="71"/>
        <v/>
      </c>
      <c r="BG431" s="11" t="str">
        <f t="shared" si="72"/>
        <v/>
      </c>
      <c r="BH431" s="8" t="str">
        <f t="shared" si="73"/>
        <v/>
      </c>
      <c r="BI431" s="8" t="str">
        <f t="shared" si="74"/>
        <v/>
      </c>
      <c r="BJ431" s="9" t="str">
        <f t="shared" si="75"/>
        <v/>
      </c>
      <c r="BK431" s="9" t="str">
        <f>IF($B431="","",COUNTIFS($B$5:$B431,$B431,$BF$5:$BF431,$BF431))</f>
        <v/>
      </c>
      <c r="BL431" s="9" t="str">
        <f>IF($B431="","",COUNTIFS($B$5:$B431,$B431,$BH$5:$BH431,$BH431))</f>
        <v/>
      </c>
      <c r="BM431" s="9" t="str">
        <f t="shared" si="76"/>
        <v/>
      </c>
      <c r="BN431" s="9" t="str">
        <f t="shared" si="77"/>
        <v/>
      </c>
      <c r="BO431" s="9">
        <f t="shared" si="78"/>
        <v>0</v>
      </c>
      <c r="BR431" s="12" t="str">
        <f t="shared" si="79"/>
        <v/>
      </c>
    </row>
    <row r="432" spans="1:70" ht="14.25" customHeight="1">
      <c r="A432" s="26"/>
      <c r="C432" s="26"/>
      <c r="D432" s="27"/>
      <c r="E432" s="27"/>
      <c r="BE432" s="10" t="str">
        <f t="shared" si="70"/>
        <v/>
      </c>
      <c r="BF432" s="8" t="str">
        <f t="shared" si="71"/>
        <v/>
      </c>
      <c r="BG432" s="11" t="str">
        <f t="shared" si="72"/>
        <v/>
      </c>
      <c r="BH432" s="8" t="str">
        <f t="shared" si="73"/>
        <v/>
      </c>
      <c r="BI432" s="8" t="str">
        <f t="shared" si="74"/>
        <v/>
      </c>
      <c r="BJ432" s="9" t="str">
        <f t="shared" si="75"/>
        <v/>
      </c>
      <c r="BK432" s="9" t="str">
        <f>IF($B432="","",COUNTIFS($B$5:$B432,$B432,$BF$5:$BF432,$BF432))</f>
        <v/>
      </c>
      <c r="BL432" s="9" t="str">
        <f>IF($B432="","",COUNTIFS($B$5:$B432,$B432,$BH$5:$BH432,$BH432))</f>
        <v/>
      </c>
      <c r="BM432" s="9" t="str">
        <f t="shared" si="76"/>
        <v/>
      </c>
      <c r="BN432" s="9" t="str">
        <f t="shared" si="77"/>
        <v/>
      </c>
      <c r="BO432" s="9">
        <f t="shared" si="78"/>
        <v>0</v>
      </c>
      <c r="BR432" s="12" t="str">
        <f t="shared" si="79"/>
        <v/>
      </c>
    </row>
    <row r="433" spans="1:70" ht="14.25" customHeight="1">
      <c r="A433" s="26"/>
      <c r="C433" s="26"/>
      <c r="D433" s="27"/>
      <c r="E433" s="27"/>
      <c r="BE433" s="10" t="str">
        <f t="shared" si="70"/>
        <v/>
      </c>
      <c r="BF433" s="8" t="str">
        <f t="shared" si="71"/>
        <v/>
      </c>
      <c r="BG433" s="11" t="str">
        <f t="shared" si="72"/>
        <v/>
      </c>
      <c r="BH433" s="8" t="str">
        <f t="shared" si="73"/>
        <v/>
      </c>
      <c r="BI433" s="8" t="str">
        <f t="shared" si="74"/>
        <v/>
      </c>
      <c r="BJ433" s="9" t="str">
        <f t="shared" si="75"/>
        <v/>
      </c>
      <c r="BK433" s="9" t="str">
        <f>IF($B433="","",COUNTIFS($B$5:$B433,$B433,$BF$5:$BF433,$BF433))</f>
        <v/>
      </c>
      <c r="BL433" s="9" t="str">
        <f>IF($B433="","",COUNTIFS($B$5:$B433,$B433,$BH$5:$BH433,$BH433))</f>
        <v/>
      </c>
      <c r="BM433" s="9" t="str">
        <f t="shared" si="76"/>
        <v/>
      </c>
      <c r="BN433" s="9" t="str">
        <f t="shared" si="77"/>
        <v/>
      </c>
      <c r="BO433" s="9">
        <f t="shared" si="78"/>
        <v>0</v>
      </c>
      <c r="BR433" s="12" t="str">
        <f t="shared" si="79"/>
        <v/>
      </c>
    </row>
    <row r="434" spans="1:70" ht="14.25" customHeight="1">
      <c r="A434" s="26"/>
      <c r="C434" s="26"/>
      <c r="D434" s="27"/>
      <c r="E434" s="27"/>
      <c r="BE434" s="10" t="str">
        <f t="shared" si="70"/>
        <v/>
      </c>
      <c r="BF434" s="8" t="str">
        <f t="shared" si="71"/>
        <v/>
      </c>
      <c r="BG434" s="11" t="str">
        <f t="shared" si="72"/>
        <v/>
      </c>
      <c r="BH434" s="8" t="str">
        <f t="shared" si="73"/>
        <v/>
      </c>
      <c r="BI434" s="8" t="str">
        <f t="shared" si="74"/>
        <v/>
      </c>
      <c r="BJ434" s="9" t="str">
        <f t="shared" si="75"/>
        <v/>
      </c>
      <c r="BK434" s="9" t="str">
        <f>IF($B434="","",COUNTIFS($B$5:$B434,$B434,$BF$5:$BF434,$BF434))</f>
        <v/>
      </c>
      <c r="BL434" s="9" t="str">
        <f>IF($B434="","",COUNTIFS($B$5:$B434,$B434,$BH$5:$BH434,$BH434))</f>
        <v/>
      </c>
      <c r="BM434" s="9" t="str">
        <f t="shared" si="76"/>
        <v/>
      </c>
      <c r="BN434" s="9" t="str">
        <f t="shared" si="77"/>
        <v/>
      </c>
      <c r="BO434" s="9">
        <f t="shared" si="78"/>
        <v>0</v>
      </c>
      <c r="BR434" s="12" t="str">
        <f t="shared" si="79"/>
        <v/>
      </c>
    </row>
    <row r="435" spans="1:70" ht="14.25" customHeight="1">
      <c r="A435" s="26"/>
      <c r="C435" s="26"/>
      <c r="D435" s="27"/>
      <c r="E435" s="27"/>
      <c r="BE435" s="10" t="str">
        <f t="shared" si="70"/>
        <v/>
      </c>
      <c r="BF435" s="8" t="str">
        <f t="shared" si="71"/>
        <v/>
      </c>
      <c r="BG435" s="11" t="str">
        <f t="shared" si="72"/>
        <v/>
      </c>
      <c r="BH435" s="8" t="str">
        <f t="shared" si="73"/>
        <v/>
      </c>
      <c r="BI435" s="8" t="str">
        <f t="shared" si="74"/>
        <v/>
      </c>
      <c r="BJ435" s="9" t="str">
        <f t="shared" si="75"/>
        <v/>
      </c>
      <c r="BK435" s="9" t="str">
        <f>IF($B435="","",COUNTIFS($B$5:$B435,$B435,$BF$5:$BF435,$BF435))</f>
        <v/>
      </c>
      <c r="BL435" s="9" t="str">
        <f>IF($B435="","",COUNTIFS($B$5:$B435,$B435,$BH$5:$BH435,$BH435))</f>
        <v/>
      </c>
      <c r="BM435" s="9" t="str">
        <f t="shared" si="76"/>
        <v/>
      </c>
      <c r="BN435" s="9" t="str">
        <f t="shared" si="77"/>
        <v/>
      </c>
      <c r="BO435" s="9">
        <f t="shared" si="78"/>
        <v>0</v>
      </c>
      <c r="BR435" s="12" t="str">
        <f t="shared" si="79"/>
        <v/>
      </c>
    </row>
    <row r="436" spans="1:70" ht="14.25" customHeight="1">
      <c r="A436" s="26"/>
      <c r="C436" s="26"/>
      <c r="D436" s="27"/>
      <c r="E436" s="27"/>
      <c r="BE436" s="10" t="str">
        <f t="shared" si="70"/>
        <v/>
      </c>
      <c r="BF436" s="8" t="str">
        <f t="shared" si="71"/>
        <v/>
      </c>
      <c r="BG436" s="11" t="str">
        <f t="shared" si="72"/>
        <v/>
      </c>
      <c r="BH436" s="8" t="str">
        <f t="shared" si="73"/>
        <v/>
      </c>
      <c r="BI436" s="8" t="str">
        <f t="shared" si="74"/>
        <v/>
      </c>
      <c r="BJ436" s="9" t="str">
        <f t="shared" si="75"/>
        <v/>
      </c>
      <c r="BK436" s="9" t="str">
        <f>IF($B436="","",COUNTIFS($B$5:$B436,$B436,$BF$5:$BF436,$BF436))</f>
        <v/>
      </c>
      <c r="BL436" s="9" t="str">
        <f>IF($B436="","",COUNTIFS($B$5:$B436,$B436,$BH$5:$BH436,$BH436))</f>
        <v/>
      </c>
      <c r="BM436" s="9" t="str">
        <f t="shared" si="76"/>
        <v/>
      </c>
      <c r="BN436" s="9" t="str">
        <f t="shared" si="77"/>
        <v/>
      </c>
      <c r="BO436" s="9">
        <f t="shared" si="78"/>
        <v>0</v>
      </c>
      <c r="BR436" s="12" t="str">
        <f t="shared" si="79"/>
        <v/>
      </c>
    </row>
    <row r="437" spans="1:70" ht="14.25" customHeight="1">
      <c r="A437" s="26"/>
      <c r="C437" s="26"/>
      <c r="D437" s="27"/>
      <c r="E437" s="27"/>
      <c r="BE437" s="10" t="str">
        <f t="shared" si="70"/>
        <v/>
      </c>
      <c r="BF437" s="8" t="str">
        <f t="shared" si="71"/>
        <v/>
      </c>
      <c r="BG437" s="11" t="str">
        <f t="shared" si="72"/>
        <v/>
      </c>
      <c r="BH437" s="8" t="str">
        <f t="shared" si="73"/>
        <v/>
      </c>
      <c r="BI437" s="8" t="str">
        <f t="shared" si="74"/>
        <v/>
      </c>
      <c r="BJ437" s="9" t="str">
        <f t="shared" si="75"/>
        <v/>
      </c>
      <c r="BK437" s="9" t="str">
        <f>IF($B437="","",COUNTIFS($B$5:$B437,$B437,$BF$5:$BF437,$BF437))</f>
        <v/>
      </c>
      <c r="BL437" s="9" t="str">
        <f>IF($B437="","",COUNTIFS($B$5:$B437,$B437,$BH$5:$BH437,$BH437))</f>
        <v/>
      </c>
      <c r="BM437" s="9" t="str">
        <f t="shared" si="76"/>
        <v/>
      </c>
      <c r="BN437" s="9" t="str">
        <f t="shared" si="77"/>
        <v/>
      </c>
      <c r="BO437" s="9">
        <f t="shared" si="78"/>
        <v>0</v>
      </c>
      <c r="BR437" s="12" t="str">
        <f t="shared" si="79"/>
        <v/>
      </c>
    </row>
    <row r="438" spans="1:70" ht="14.25" customHeight="1">
      <c r="A438" s="26"/>
      <c r="C438" s="26"/>
      <c r="D438" s="27"/>
      <c r="E438" s="27"/>
      <c r="BE438" s="10" t="str">
        <f t="shared" si="70"/>
        <v/>
      </c>
      <c r="BF438" s="8" t="str">
        <f t="shared" si="71"/>
        <v/>
      </c>
      <c r="BG438" s="11" t="str">
        <f t="shared" si="72"/>
        <v/>
      </c>
      <c r="BH438" s="8" t="str">
        <f t="shared" si="73"/>
        <v/>
      </c>
      <c r="BI438" s="8" t="str">
        <f t="shared" si="74"/>
        <v/>
      </c>
      <c r="BJ438" s="9" t="str">
        <f t="shared" si="75"/>
        <v/>
      </c>
      <c r="BK438" s="9" t="str">
        <f>IF($B438="","",COUNTIFS($B$5:$B438,$B438,$BF$5:$BF438,$BF438))</f>
        <v/>
      </c>
      <c r="BL438" s="9" t="str">
        <f>IF($B438="","",COUNTIFS($B$5:$B438,$B438,$BH$5:$BH438,$BH438))</f>
        <v/>
      </c>
      <c r="BM438" s="9" t="str">
        <f t="shared" si="76"/>
        <v/>
      </c>
      <c r="BN438" s="9" t="str">
        <f t="shared" si="77"/>
        <v/>
      </c>
      <c r="BO438" s="9">
        <f t="shared" si="78"/>
        <v>0</v>
      </c>
      <c r="BR438" s="12" t="str">
        <f t="shared" si="79"/>
        <v/>
      </c>
    </row>
    <row r="439" spans="1:70" ht="14.25" customHeight="1">
      <c r="A439" s="26"/>
      <c r="C439" s="26"/>
      <c r="D439" s="27"/>
      <c r="E439" s="27"/>
      <c r="BE439" s="10" t="str">
        <f t="shared" si="70"/>
        <v/>
      </c>
      <c r="BF439" s="8" t="str">
        <f t="shared" si="71"/>
        <v/>
      </c>
      <c r="BG439" s="11" t="str">
        <f t="shared" si="72"/>
        <v/>
      </c>
      <c r="BH439" s="8" t="str">
        <f t="shared" si="73"/>
        <v/>
      </c>
      <c r="BI439" s="8" t="str">
        <f t="shared" si="74"/>
        <v/>
      </c>
      <c r="BJ439" s="9" t="str">
        <f t="shared" si="75"/>
        <v/>
      </c>
      <c r="BK439" s="9" t="str">
        <f>IF($B439="","",COUNTIFS($B$5:$B439,$B439,$BF$5:$BF439,$BF439))</f>
        <v/>
      </c>
      <c r="BL439" s="9" t="str">
        <f>IF($B439="","",COUNTIFS($B$5:$B439,$B439,$BH$5:$BH439,$BH439))</f>
        <v/>
      </c>
      <c r="BM439" s="9" t="str">
        <f t="shared" si="76"/>
        <v/>
      </c>
      <c r="BN439" s="9" t="str">
        <f t="shared" si="77"/>
        <v/>
      </c>
      <c r="BO439" s="9">
        <f t="shared" si="78"/>
        <v>0</v>
      </c>
      <c r="BR439" s="12" t="str">
        <f t="shared" si="79"/>
        <v/>
      </c>
    </row>
    <row r="440" spans="1:70" ht="14.25" customHeight="1">
      <c r="A440" s="26"/>
      <c r="C440" s="26"/>
      <c r="D440" s="27"/>
      <c r="E440" s="27"/>
      <c r="BE440" s="10" t="str">
        <f t="shared" si="70"/>
        <v/>
      </c>
      <c r="BF440" s="8" t="str">
        <f t="shared" si="71"/>
        <v/>
      </c>
      <c r="BG440" s="11" t="str">
        <f t="shared" si="72"/>
        <v/>
      </c>
      <c r="BH440" s="8" t="str">
        <f t="shared" si="73"/>
        <v/>
      </c>
      <c r="BI440" s="8" t="str">
        <f t="shared" si="74"/>
        <v/>
      </c>
      <c r="BJ440" s="9" t="str">
        <f t="shared" si="75"/>
        <v/>
      </c>
      <c r="BK440" s="9" t="str">
        <f>IF($B440="","",COUNTIFS($B$5:$B440,$B440,$BF$5:$BF440,$BF440))</f>
        <v/>
      </c>
      <c r="BL440" s="9" t="str">
        <f>IF($B440="","",COUNTIFS($B$5:$B440,$B440,$BH$5:$BH440,$BH440))</f>
        <v/>
      </c>
      <c r="BM440" s="9" t="str">
        <f t="shared" si="76"/>
        <v/>
      </c>
      <c r="BN440" s="9" t="str">
        <f t="shared" si="77"/>
        <v/>
      </c>
      <c r="BO440" s="9">
        <f t="shared" si="78"/>
        <v>0</v>
      </c>
      <c r="BR440" s="12" t="str">
        <f t="shared" si="79"/>
        <v/>
      </c>
    </row>
    <row r="441" spans="1:70" ht="14.25" customHeight="1">
      <c r="A441" s="26"/>
      <c r="C441" s="26"/>
      <c r="D441" s="27"/>
      <c r="E441" s="27"/>
      <c r="BE441" s="10" t="str">
        <f t="shared" si="70"/>
        <v/>
      </c>
      <c r="BF441" s="8" t="str">
        <f t="shared" si="71"/>
        <v/>
      </c>
      <c r="BG441" s="11" t="str">
        <f t="shared" si="72"/>
        <v/>
      </c>
      <c r="BH441" s="8" t="str">
        <f t="shared" si="73"/>
        <v/>
      </c>
      <c r="BI441" s="8" t="str">
        <f t="shared" si="74"/>
        <v/>
      </c>
      <c r="BJ441" s="9" t="str">
        <f t="shared" si="75"/>
        <v/>
      </c>
      <c r="BK441" s="9" t="str">
        <f>IF($B441="","",COUNTIFS($B$5:$B441,$B441,$BF$5:$BF441,$BF441))</f>
        <v/>
      </c>
      <c r="BL441" s="9" t="str">
        <f>IF($B441="","",COUNTIFS($B$5:$B441,$B441,$BH$5:$BH441,$BH441))</f>
        <v/>
      </c>
      <c r="BM441" s="9" t="str">
        <f t="shared" si="76"/>
        <v/>
      </c>
      <c r="BN441" s="9" t="str">
        <f t="shared" si="77"/>
        <v/>
      </c>
      <c r="BO441" s="9">
        <f t="shared" si="78"/>
        <v>0</v>
      </c>
      <c r="BR441" s="12" t="str">
        <f t="shared" si="79"/>
        <v/>
      </c>
    </row>
    <row r="442" spans="1:70" ht="14.25" customHeight="1">
      <c r="A442" s="26"/>
      <c r="C442" s="26"/>
      <c r="D442" s="27"/>
      <c r="E442" s="27"/>
      <c r="BE442" s="10" t="str">
        <f t="shared" si="70"/>
        <v/>
      </c>
      <c r="BF442" s="8" t="str">
        <f t="shared" si="71"/>
        <v/>
      </c>
      <c r="BG442" s="11" t="str">
        <f t="shared" si="72"/>
        <v/>
      </c>
      <c r="BH442" s="8" t="str">
        <f t="shared" si="73"/>
        <v/>
      </c>
      <c r="BI442" s="8" t="str">
        <f t="shared" si="74"/>
        <v/>
      </c>
      <c r="BJ442" s="9" t="str">
        <f t="shared" si="75"/>
        <v/>
      </c>
      <c r="BK442" s="9" t="str">
        <f>IF($B442="","",COUNTIFS($B$5:$B442,$B442,$BF$5:$BF442,$BF442))</f>
        <v/>
      </c>
      <c r="BL442" s="9" t="str">
        <f>IF($B442="","",COUNTIFS($B$5:$B442,$B442,$BH$5:$BH442,$BH442))</f>
        <v/>
      </c>
      <c r="BM442" s="9" t="str">
        <f t="shared" si="76"/>
        <v/>
      </c>
      <c r="BN442" s="9" t="str">
        <f t="shared" si="77"/>
        <v/>
      </c>
      <c r="BO442" s="9">
        <f t="shared" si="78"/>
        <v>0</v>
      </c>
      <c r="BR442" s="12" t="str">
        <f t="shared" si="79"/>
        <v/>
      </c>
    </row>
    <row r="443" spans="1:70" ht="14.25" customHeight="1">
      <c r="A443" s="26"/>
      <c r="C443" s="26"/>
      <c r="D443" s="27"/>
      <c r="E443" s="27"/>
      <c r="BE443" s="10" t="str">
        <f t="shared" si="70"/>
        <v/>
      </c>
      <c r="BF443" s="8" t="str">
        <f t="shared" si="71"/>
        <v/>
      </c>
      <c r="BG443" s="11" t="str">
        <f t="shared" si="72"/>
        <v/>
      </c>
      <c r="BH443" s="8" t="str">
        <f t="shared" si="73"/>
        <v/>
      </c>
      <c r="BI443" s="8" t="str">
        <f t="shared" si="74"/>
        <v/>
      </c>
      <c r="BJ443" s="9" t="str">
        <f t="shared" si="75"/>
        <v/>
      </c>
      <c r="BK443" s="9" t="str">
        <f>IF($B443="","",COUNTIFS($B$5:$B443,$B443,$BF$5:$BF443,$BF443))</f>
        <v/>
      </c>
      <c r="BL443" s="9" t="str">
        <f>IF($B443="","",COUNTIFS($B$5:$B443,$B443,$BH$5:$BH443,$BH443))</f>
        <v/>
      </c>
      <c r="BM443" s="9" t="str">
        <f t="shared" si="76"/>
        <v/>
      </c>
      <c r="BN443" s="9" t="str">
        <f t="shared" si="77"/>
        <v/>
      </c>
      <c r="BO443" s="9">
        <f t="shared" si="78"/>
        <v>0</v>
      </c>
      <c r="BR443" s="12" t="str">
        <f t="shared" si="79"/>
        <v/>
      </c>
    </row>
    <row r="444" spans="1:70" ht="14.25" customHeight="1">
      <c r="A444" s="26"/>
      <c r="C444" s="26"/>
      <c r="D444" s="27"/>
      <c r="E444" s="27"/>
      <c r="BE444" s="10" t="str">
        <f t="shared" si="70"/>
        <v/>
      </c>
      <c r="BF444" s="8" t="str">
        <f t="shared" si="71"/>
        <v/>
      </c>
      <c r="BG444" s="11" t="str">
        <f t="shared" si="72"/>
        <v/>
      </c>
      <c r="BH444" s="8" t="str">
        <f t="shared" si="73"/>
        <v/>
      </c>
      <c r="BI444" s="8" t="str">
        <f t="shared" si="74"/>
        <v/>
      </c>
      <c r="BJ444" s="9" t="str">
        <f t="shared" si="75"/>
        <v/>
      </c>
      <c r="BK444" s="9" t="str">
        <f>IF($B444="","",COUNTIFS($B$5:$B444,$B444,$BF$5:$BF444,$BF444))</f>
        <v/>
      </c>
      <c r="BL444" s="9" t="str">
        <f>IF($B444="","",COUNTIFS($B$5:$B444,$B444,$BH$5:$BH444,$BH444))</f>
        <v/>
      </c>
      <c r="BM444" s="9" t="str">
        <f t="shared" si="76"/>
        <v/>
      </c>
      <c r="BN444" s="9" t="str">
        <f t="shared" si="77"/>
        <v/>
      </c>
      <c r="BO444" s="9">
        <f t="shared" si="78"/>
        <v>0</v>
      </c>
      <c r="BR444" s="12" t="str">
        <f t="shared" si="79"/>
        <v/>
      </c>
    </row>
    <row r="445" spans="1:70" ht="14.25" customHeight="1">
      <c r="A445" s="26"/>
      <c r="C445" s="26"/>
      <c r="D445" s="27"/>
      <c r="E445" s="27"/>
      <c r="BE445" s="10" t="str">
        <f t="shared" si="70"/>
        <v/>
      </c>
      <c r="BF445" s="8" t="str">
        <f t="shared" si="71"/>
        <v/>
      </c>
      <c r="BG445" s="11" t="str">
        <f t="shared" si="72"/>
        <v/>
      </c>
      <c r="BH445" s="8" t="str">
        <f t="shared" si="73"/>
        <v/>
      </c>
      <c r="BI445" s="8" t="str">
        <f t="shared" si="74"/>
        <v/>
      </c>
      <c r="BJ445" s="9" t="str">
        <f t="shared" si="75"/>
        <v/>
      </c>
      <c r="BK445" s="9" t="str">
        <f>IF($B445="","",COUNTIFS($B$5:$B445,$B445,$BF$5:$BF445,$BF445))</f>
        <v/>
      </c>
      <c r="BL445" s="9" t="str">
        <f>IF($B445="","",COUNTIFS($B$5:$B445,$B445,$BH$5:$BH445,$BH445))</f>
        <v/>
      </c>
      <c r="BM445" s="9" t="str">
        <f t="shared" si="76"/>
        <v/>
      </c>
      <c r="BN445" s="9" t="str">
        <f t="shared" si="77"/>
        <v/>
      </c>
      <c r="BO445" s="9">
        <f t="shared" si="78"/>
        <v>0</v>
      </c>
      <c r="BR445" s="12" t="str">
        <f t="shared" si="79"/>
        <v/>
      </c>
    </row>
    <row r="446" spans="1:70" ht="14.25" customHeight="1">
      <c r="A446" s="26"/>
      <c r="C446" s="26"/>
      <c r="D446" s="27"/>
      <c r="E446" s="27"/>
      <c r="BE446" s="10" t="str">
        <f t="shared" si="70"/>
        <v/>
      </c>
      <c r="BF446" s="8" t="str">
        <f t="shared" si="71"/>
        <v/>
      </c>
      <c r="BG446" s="11" t="str">
        <f t="shared" si="72"/>
        <v/>
      </c>
      <c r="BH446" s="8" t="str">
        <f t="shared" si="73"/>
        <v/>
      </c>
      <c r="BI446" s="8" t="str">
        <f t="shared" si="74"/>
        <v/>
      </c>
      <c r="BJ446" s="9" t="str">
        <f t="shared" si="75"/>
        <v/>
      </c>
      <c r="BK446" s="9" t="str">
        <f>IF($B446="","",COUNTIFS($B$5:$B446,$B446,$BF$5:$BF446,$BF446))</f>
        <v/>
      </c>
      <c r="BL446" s="9" t="str">
        <f>IF($B446="","",COUNTIFS($B$5:$B446,$B446,$BH$5:$BH446,$BH446))</f>
        <v/>
      </c>
      <c r="BM446" s="9" t="str">
        <f t="shared" si="76"/>
        <v/>
      </c>
      <c r="BN446" s="9" t="str">
        <f t="shared" si="77"/>
        <v/>
      </c>
      <c r="BO446" s="9">
        <f t="shared" si="78"/>
        <v>0</v>
      </c>
      <c r="BR446" s="12" t="str">
        <f t="shared" si="79"/>
        <v/>
      </c>
    </row>
    <row r="447" spans="1:70" ht="14.25" customHeight="1">
      <c r="A447" s="26"/>
      <c r="C447" s="26"/>
      <c r="D447" s="27"/>
      <c r="E447" s="27"/>
      <c r="BE447" s="10" t="str">
        <f t="shared" si="70"/>
        <v/>
      </c>
      <c r="BF447" s="8" t="str">
        <f t="shared" si="71"/>
        <v/>
      </c>
      <c r="BG447" s="11" t="str">
        <f t="shared" si="72"/>
        <v/>
      </c>
      <c r="BH447" s="8" t="str">
        <f t="shared" si="73"/>
        <v/>
      </c>
      <c r="BI447" s="8" t="str">
        <f t="shared" si="74"/>
        <v/>
      </c>
      <c r="BJ447" s="9" t="str">
        <f t="shared" si="75"/>
        <v/>
      </c>
      <c r="BK447" s="9" t="str">
        <f>IF($B447="","",COUNTIFS($B$5:$B447,$B447,$BF$5:$BF447,$BF447))</f>
        <v/>
      </c>
      <c r="BL447" s="9" t="str">
        <f>IF($B447="","",COUNTIFS($B$5:$B447,$B447,$BH$5:$BH447,$BH447))</f>
        <v/>
      </c>
      <c r="BM447" s="9" t="str">
        <f t="shared" si="76"/>
        <v/>
      </c>
      <c r="BN447" s="9" t="str">
        <f t="shared" si="77"/>
        <v/>
      </c>
      <c r="BO447" s="9">
        <f t="shared" si="78"/>
        <v>0</v>
      </c>
      <c r="BR447" s="12" t="str">
        <f t="shared" si="79"/>
        <v/>
      </c>
    </row>
    <row r="448" spans="1:70" ht="14.25" customHeight="1">
      <c r="A448" s="26"/>
      <c r="C448" s="26"/>
      <c r="D448" s="27"/>
      <c r="E448" s="27"/>
      <c r="BE448" s="10" t="str">
        <f t="shared" si="70"/>
        <v/>
      </c>
      <c r="BF448" s="8" t="str">
        <f t="shared" si="71"/>
        <v/>
      </c>
      <c r="BG448" s="11" t="str">
        <f t="shared" si="72"/>
        <v/>
      </c>
      <c r="BH448" s="8" t="str">
        <f t="shared" si="73"/>
        <v/>
      </c>
      <c r="BI448" s="8" t="str">
        <f t="shared" si="74"/>
        <v/>
      </c>
      <c r="BJ448" s="9" t="str">
        <f t="shared" si="75"/>
        <v/>
      </c>
      <c r="BK448" s="9" t="str">
        <f>IF($B448="","",COUNTIFS($B$5:$B448,$B448,$BF$5:$BF448,$BF448))</f>
        <v/>
      </c>
      <c r="BL448" s="9" t="str">
        <f>IF($B448="","",COUNTIFS($B$5:$B448,$B448,$BH$5:$BH448,$BH448))</f>
        <v/>
      </c>
      <c r="BM448" s="9" t="str">
        <f t="shared" si="76"/>
        <v/>
      </c>
      <c r="BN448" s="9" t="str">
        <f t="shared" si="77"/>
        <v/>
      </c>
      <c r="BO448" s="9">
        <f t="shared" si="78"/>
        <v>0</v>
      </c>
      <c r="BR448" s="12" t="str">
        <f t="shared" si="79"/>
        <v/>
      </c>
    </row>
    <row r="449" spans="1:70" ht="14.25" customHeight="1">
      <c r="A449" s="26"/>
      <c r="C449" s="26"/>
      <c r="D449" s="27"/>
      <c r="E449" s="27"/>
      <c r="BE449" s="10" t="str">
        <f t="shared" si="70"/>
        <v/>
      </c>
      <c r="BF449" s="8" t="str">
        <f t="shared" si="71"/>
        <v/>
      </c>
      <c r="BG449" s="11" t="str">
        <f t="shared" si="72"/>
        <v/>
      </c>
      <c r="BH449" s="8" t="str">
        <f t="shared" si="73"/>
        <v/>
      </c>
      <c r="BI449" s="8" t="str">
        <f t="shared" si="74"/>
        <v/>
      </c>
      <c r="BJ449" s="9" t="str">
        <f t="shared" si="75"/>
        <v/>
      </c>
      <c r="BK449" s="9" t="str">
        <f>IF($B449="","",COUNTIFS($B$5:$B449,$B449,$BF$5:$BF449,$BF449))</f>
        <v/>
      </c>
      <c r="BL449" s="9" t="str">
        <f>IF($B449="","",COUNTIFS($B$5:$B449,$B449,$BH$5:$BH449,$BH449))</f>
        <v/>
      </c>
      <c r="BM449" s="9" t="str">
        <f t="shared" si="76"/>
        <v/>
      </c>
      <c r="BN449" s="9" t="str">
        <f t="shared" si="77"/>
        <v/>
      </c>
      <c r="BO449" s="9">
        <f t="shared" si="78"/>
        <v>0</v>
      </c>
      <c r="BR449" s="12" t="str">
        <f t="shared" si="79"/>
        <v/>
      </c>
    </row>
    <row r="450" spans="1:70" ht="14.25" customHeight="1">
      <c r="A450" s="26"/>
      <c r="C450" s="26"/>
      <c r="D450" s="27"/>
      <c r="E450" s="27"/>
      <c r="BE450" s="10" t="str">
        <f t="shared" si="70"/>
        <v/>
      </c>
      <c r="BF450" s="8" t="str">
        <f t="shared" si="71"/>
        <v/>
      </c>
      <c r="BG450" s="11" t="str">
        <f t="shared" si="72"/>
        <v/>
      </c>
      <c r="BH450" s="8" t="str">
        <f t="shared" si="73"/>
        <v/>
      </c>
      <c r="BI450" s="8" t="str">
        <f t="shared" si="74"/>
        <v/>
      </c>
      <c r="BJ450" s="9" t="str">
        <f t="shared" si="75"/>
        <v/>
      </c>
      <c r="BK450" s="9" t="str">
        <f>IF($B450="","",COUNTIFS($B$5:$B450,$B450,$BF$5:$BF450,$BF450))</f>
        <v/>
      </c>
      <c r="BL450" s="9" t="str">
        <f>IF($B450="","",COUNTIFS($B$5:$B450,$B450,$BH$5:$BH450,$BH450))</f>
        <v/>
      </c>
      <c r="BM450" s="9" t="str">
        <f t="shared" si="76"/>
        <v/>
      </c>
      <c r="BN450" s="9" t="str">
        <f t="shared" si="77"/>
        <v/>
      </c>
      <c r="BO450" s="9">
        <f t="shared" si="78"/>
        <v>0</v>
      </c>
      <c r="BR450" s="12" t="str">
        <f t="shared" si="79"/>
        <v/>
      </c>
    </row>
    <row r="451" spans="1:70" ht="14.25" customHeight="1">
      <c r="A451" s="26"/>
      <c r="C451" s="26"/>
      <c r="D451" s="27"/>
      <c r="E451" s="27"/>
      <c r="BE451" s="10" t="str">
        <f t="shared" si="70"/>
        <v/>
      </c>
      <c r="BF451" s="8" t="str">
        <f t="shared" si="71"/>
        <v/>
      </c>
      <c r="BG451" s="11" t="str">
        <f t="shared" si="72"/>
        <v/>
      </c>
      <c r="BH451" s="8" t="str">
        <f t="shared" si="73"/>
        <v/>
      </c>
      <c r="BI451" s="8" t="str">
        <f t="shared" si="74"/>
        <v/>
      </c>
      <c r="BJ451" s="9" t="str">
        <f t="shared" si="75"/>
        <v/>
      </c>
      <c r="BK451" s="9" t="str">
        <f>IF($B451="","",COUNTIFS($B$5:$B451,$B451,$BF$5:$BF451,$BF451))</f>
        <v/>
      </c>
      <c r="BL451" s="9" t="str">
        <f>IF($B451="","",COUNTIFS($B$5:$B451,$B451,$BH$5:$BH451,$BH451))</f>
        <v/>
      </c>
      <c r="BM451" s="9" t="str">
        <f t="shared" si="76"/>
        <v/>
      </c>
      <c r="BN451" s="9" t="str">
        <f t="shared" si="77"/>
        <v/>
      </c>
      <c r="BO451" s="9">
        <f t="shared" si="78"/>
        <v>0</v>
      </c>
      <c r="BR451" s="12" t="str">
        <f t="shared" si="79"/>
        <v/>
      </c>
    </row>
    <row r="452" spans="1:70" ht="14.25" customHeight="1">
      <c r="A452" s="26"/>
      <c r="C452" s="26"/>
      <c r="D452" s="27"/>
      <c r="E452" s="27"/>
      <c r="BE452" s="10" t="str">
        <f t="shared" si="70"/>
        <v/>
      </c>
      <c r="BF452" s="8" t="str">
        <f t="shared" si="71"/>
        <v/>
      </c>
      <c r="BG452" s="11" t="str">
        <f t="shared" si="72"/>
        <v/>
      </c>
      <c r="BH452" s="8" t="str">
        <f t="shared" si="73"/>
        <v/>
      </c>
      <c r="BI452" s="8" t="str">
        <f t="shared" si="74"/>
        <v/>
      </c>
      <c r="BJ452" s="9" t="str">
        <f t="shared" si="75"/>
        <v/>
      </c>
      <c r="BK452" s="9" t="str">
        <f>IF($B452="","",COUNTIFS($B$5:$B452,$B452,$BF$5:$BF452,$BF452))</f>
        <v/>
      </c>
      <c r="BL452" s="9" t="str">
        <f>IF($B452="","",COUNTIFS($B$5:$B452,$B452,$BH$5:$BH452,$BH452))</f>
        <v/>
      </c>
      <c r="BM452" s="9" t="str">
        <f t="shared" si="76"/>
        <v/>
      </c>
      <c r="BN452" s="9" t="str">
        <f t="shared" si="77"/>
        <v/>
      </c>
      <c r="BO452" s="9">
        <f t="shared" si="78"/>
        <v>0</v>
      </c>
      <c r="BR452" s="12" t="str">
        <f t="shared" si="79"/>
        <v/>
      </c>
    </row>
    <row r="453" spans="1:70" ht="14.25" customHeight="1">
      <c r="A453" s="26"/>
      <c r="C453" s="26"/>
      <c r="D453" s="27"/>
      <c r="E453" s="27"/>
      <c r="BE453" s="10" t="str">
        <f t="shared" si="70"/>
        <v/>
      </c>
      <c r="BF453" s="8" t="str">
        <f t="shared" si="71"/>
        <v/>
      </c>
      <c r="BG453" s="11" t="str">
        <f t="shared" si="72"/>
        <v/>
      </c>
      <c r="BH453" s="8" t="str">
        <f t="shared" si="73"/>
        <v/>
      </c>
      <c r="BI453" s="8" t="str">
        <f t="shared" si="74"/>
        <v/>
      </c>
      <c r="BJ453" s="9" t="str">
        <f t="shared" si="75"/>
        <v/>
      </c>
      <c r="BK453" s="9" t="str">
        <f>IF($B453="","",COUNTIFS($B$5:$B453,$B453,$BF$5:$BF453,$BF453))</f>
        <v/>
      </c>
      <c r="BL453" s="9" t="str">
        <f>IF($B453="","",COUNTIFS($B$5:$B453,$B453,$BH$5:$BH453,$BH453))</f>
        <v/>
      </c>
      <c r="BM453" s="9" t="str">
        <f t="shared" si="76"/>
        <v/>
      </c>
      <c r="BN453" s="9" t="str">
        <f t="shared" si="77"/>
        <v/>
      </c>
      <c r="BO453" s="9">
        <f t="shared" si="78"/>
        <v>0</v>
      </c>
      <c r="BR453" s="12" t="str">
        <f t="shared" si="79"/>
        <v/>
      </c>
    </row>
    <row r="454" spans="1:70" ht="14.25" customHeight="1">
      <c r="A454" s="26"/>
      <c r="C454" s="26"/>
      <c r="D454" s="27"/>
      <c r="E454" s="27"/>
      <c r="BE454" s="10" t="str">
        <f t="shared" si="70"/>
        <v/>
      </c>
      <c r="BF454" s="8" t="str">
        <f t="shared" si="71"/>
        <v/>
      </c>
      <c r="BG454" s="11" t="str">
        <f t="shared" si="72"/>
        <v/>
      </c>
      <c r="BH454" s="8" t="str">
        <f t="shared" si="73"/>
        <v/>
      </c>
      <c r="BI454" s="8" t="str">
        <f t="shared" si="74"/>
        <v/>
      </c>
      <c r="BJ454" s="9" t="str">
        <f t="shared" si="75"/>
        <v/>
      </c>
      <c r="BK454" s="9" t="str">
        <f>IF($B454="","",COUNTIFS($B$5:$B454,$B454,$BF$5:$BF454,$BF454))</f>
        <v/>
      </c>
      <c r="BL454" s="9" t="str">
        <f>IF($B454="","",COUNTIFS($B$5:$B454,$B454,$BH$5:$BH454,$BH454))</f>
        <v/>
      </c>
      <c r="BM454" s="9" t="str">
        <f t="shared" si="76"/>
        <v/>
      </c>
      <c r="BN454" s="9" t="str">
        <f t="shared" si="77"/>
        <v/>
      </c>
      <c r="BO454" s="9">
        <f t="shared" si="78"/>
        <v>0</v>
      </c>
      <c r="BR454" s="12" t="str">
        <f t="shared" si="79"/>
        <v/>
      </c>
    </row>
    <row r="455" spans="1:70" ht="14.25" customHeight="1">
      <c r="A455" s="26"/>
      <c r="C455" s="26"/>
      <c r="D455" s="27"/>
      <c r="E455" s="27"/>
      <c r="BE455" s="10" t="str">
        <f t="shared" si="70"/>
        <v/>
      </c>
      <c r="BF455" s="8" t="str">
        <f t="shared" si="71"/>
        <v/>
      </c>
      <c r="BG455" s="11" t="str">
        <f t="shared" si="72"/>
        <v/>
      </c>
      <c r="BH455" s="8" t="str">
        <f t="shared" si="73"/>
        <v/>
      </c>
      <c r="BI455" s="8" t="str">
        <f t="shared" si="74"/>
        <v/>
      </c>
      <c r="BJ455" s="9" t="str">
        <f t="shared" si="75"/>
        <v/>
      </c>
      <c r="BK455" s="9" t="str">
        <f>IF($B455="","",COUNTIFS($B$5:$B455,$B455,$BF$5:$BF455,$BF455))</f>
        <v/>
      </c>
      <c r="BL455" s="9" t="str">
        <f>IF($B455="","",COUNTIFS($B$5:$B455,$B455,$BH$5:$BH455,$BH455))</f>
        <v/>
      </c>
      <c r="BM455" s="9" t="str">
        <f t="shared" si="76"/>
        <v/>
      </c>
      <c r="BN455" s="9" t="str">
        <f t="shared" si="77"/>
        <v/>
      </c>
      <c r="BO455" s="9">
        <f t="shared" si="78"/>
        <v>0</v>
      </c>
      <c r="BR455" s="12" t="str">
        <f t="shared" si="79"/>
        <v/>
      </c>
    </row>
    <row r="456" spans="1:70" ht="14.25" customHeight="1">
      <c r="A456" s="26"/>
      <c r="C456" s="26"/>
      <c r="D456" s="27"/>
      <c r="E456" s="27"/>
      <c r="BE456" s="10" t="str">
        <f t="shared" si="70"/>
        <v/>
      </c>
      <c r="BF456" s="8" t="str">
        <f t="shared" si="71"/>
        <v/>
      </c>
      <c r="BG456" s="11" t="str">
        <f t="shared" si="72"/>
        <v/>
      </c>
      <c r="BH456" s="8" t="str">
        <f t="shared" si="73"/>
        <v/>
      </c>
      <c r="BI456" s="8" t="str">
        <f t="shared" si="74"/>
        <v/>
      </c>
      <c r="BJ456" s="9" t="str">
        <f t="shared" si="75"/>
        <v/>
      </c>
      <c r="BK456" s="9" t="str">
        <f>IF($B456="","",COUNTIFS($B$5:$B456,$B456,$BF$5:$BF456,$BF456))</f>
        <v/>
      </c>
      <c r="BL456" s="9" t="str">
        <f>IF($B456="","",COUNTIFS($B$5:$B456,$B456,$BH$5:$BH456,$BH456))</f>
        <v/>
      </c>
      <c r="BM456" s="9" t="str">
        <f t="shared" si="76"/>
        <v/>
      </c>
      <c r="BN456" s="9" t="str">
        <f t="shared" si="77"/>
        <v/>
      </c>
      <c r="BO456" s="9">
        <f t="shared" si="78"/>
        <v>0</v>
      </c>
      <c r="BR456" s="12" t="str">
        <f t="shared" si="79"/>
        <v/>
      </c>
    </row>
    <row r="457" spans="1:70" ht="14.25" customHeight="1">
      <c r="A457" s="26"/>
      <c r="C457" s="26"/>
      <c r="D457" s="27"/>
      <c r="E457" s="27"/>
      <c r="BE457" s="10" t="str">
        <f t="shared" si="70"/>
        <v/>
      </c>
      <c r="BF457" s="8" t="str">
        <f t="shared" si="71"/>
        <v/>
      </c>
      <c r="BG457" s="11" t="str">
        <f t="shared" si="72"/>
        <v/>
      </c>
      <c r="BH457" s="8" t="str">
        <f t="shared" si="73"/>
        <v/>
      </c>
      <c r="BI457" s="8" t="str">
        <f t="shared" si="74"/>
        <v/>
      </c>
      <c r="BJ457" s="9" t="str">
        <f t="shared" si="75"/>
        <v/>
      </c>
      <c r="BK457" s="9" t="str">
        <f>IF($B457="","",COUNTIFS($B$5:$B457,$B457,$BF$5:$BF457,$BF457))</f>
        <v/>
      </c>
      <c r="BL457" s="9" t="str">
        <f>IF($B457="","",COUNTIFS($B$5:$B457,$B457,$BH$5:$BH457,$BH457))</f>
        <v/>
      </c>
      <c r="BM457" s="9" t="str">
        <f t="shared" si="76"/>
        <v/>
      </c>
      <c r="BN457" s="9" t="str">
        <f t="shared" si="77"/>
        <v/>
      </c>
      <c r="BO457" s="9">
        <f t="shared" si="78"/>
        <v>0</v>
      </c>
      <c r="BR457" s="12" t="str">
        <f t="shared" si="79"/>
        <v/>
      </c>
    </row>
    <row r="458" spans="1:70" ht="14.25" customHeight="1">
      <c r="A458" s="26"/>
      <c r="C458" s="26"/>
      <c r="D458" s="27"/>
      <c r="E458" s="27"/>
      <c r="BE458" s="10" t="str">
        <f t="shared" si="70"/>
        <v/>
      </c>
      <c r="BF458" s="8" t="str">
        <f t="shared" si="71"/>
        <v/>
      </c>
      <c r="BG458" s="11" t="str">
        <f t="shared" si="72"/>
        <v/>
      </c>
      <c r="BH458" s="8" t="str">
        <f t="shared" si="73"/>
        <v/>
      </c>
      <c r="BI458" s="8" t="str">
        <f t="shared" si="74"/>
        <v/>
      </c>
      <c r="BJ458" s="9" t="str">
        <f t="shared" si="75"/>
        <v/>
      </c>
      <c r="BK458" s="9" t="str">
        <f>IF($B458="","",COUNTIFS($B$5:$B458,$B458,$BF$5:$BF458,$BF458))</f>
        <v/>
      </c>
      <c r="BL458" s="9" t="str">
        <f>IF($B458="","",COUNTIFS($B$5:$B458,$B458,$BH$5:$BH458,$BH458))</f>
        <v/>
      </c>
      <c r="BM458" s="9" t="str">
        <f t="shared" si="76"/>
        <v/>
      </c>
      <c r="BN458" s="9" t="str">
        <f t="shared" si="77"/>
        <v/>
      </c>
      <c r="BO458" s="9">
        <f t="shared" si="78"/>
        <v>0</v>
      </c>
      <c r="BR458" s="12" t="str">
        <f t="shared" si="79"/>
        <v/>
      </c>
    </row>
    <row r="459" spans="1:70" ht="14.25" customHeight="1">
      <c r="A459" s="26"/>
      <c r="C459" s="26"/>
      <c r="D459" s="27"/>
      <c r="E459" s="27"/>
      <c r="BE459" s="10" t="str">
        <f t="shared" si="70"/>
        <v/>
      </c>
      <c r="BF459" s="8" t="str">
        <f t="shared" si="71"/>
        <v/>
      </c>
      <c r="BG459" s="11" t="str">
        <f t="shared" si="72"/>
        <v/>
      </c>
      <c r="BH459" s="8" t="str">
        <f t="shared" si="73"/>
        <v/>
      </c>
      <c r="BI459" s="8" t="str">
        <f t="shared" si="74"/>
        <v/>
      </c>
      <c r="BJ459" s="9" t="str">
        <f t="shared" si="75"/>
        <v/>
      </c>
      <c r="BK459" s="9" t="str">
        <f>IF($B459="","",COUNTIFS($B$5:$B459,$B459,$BF$5:$BF459,$BF459))</f>
        <v/>
      </c>
      <c r="BL459" s="9" t="str">
        <f>IF($B459="","",COUNTIFS($B$5:$B459,$B459,$BH$5:$BH459,$BH459))</f>
        <v/>
      </c>
      <c r="BM459" s="9" t="str">
        <f t="shared" si="76"/>
        <v/>
      </c>
      <c r="BN459" s="9" t="str">
        <f t="shared" si="77"/>
        <v/>
      </c>
      <c r="BO459" s="9">
        <f t="shared" si="78"/>
        <v>0</v>
      </c>
      <c r="BR459" s="12" t="str">
        <f t="shared" si="79"/>
        <v/>
      </c>
    </row>
    <row r="460" spans="1:70" ht="14.25" customHeight="1">
      <c r="A460" s="26"/>
      <c r="C460" s="26"/>
      <c r="D460" s="27"/>
      <c r="E460" s="27"/>
      <c r="BE460" s="10" t="str">
        <f t="shared" si="70"/>
        <v/>
      </c>
      <c r="BF460" s="8" t="str">
        <f t="shared" si="71"/>
        <v/>
      </c>
      <c r="BG460" s="11" t="str">
        <f t="shared" si="72"/>
        <v/>
      </c>
      <c r="BH460" s="8" t="str">
        <f t="shared" si="73"/>
        <v/>
      </c>
      <c r="BI460" s="8" t="str">
        <f t="shared" si="74"/>
        <v/>
      </c>
      <c r="BJ460" s="9" t="str">
        <f t="shared" si="75"/>
        <v/>
      </c>
      <c r="BK460" s="9" t="str">
        <f>IF($B460="","",COUNTIFS($B$5:$B460,$B460,$BF$5:$BF460,$BF460))</f>
        <v/>
      </c>
      <c r="BL460" s="9" t="str">
        <f>IF($B460="","",COUNTIFS($B$5:$B460,$B460,$BH$5:$BH460,$BH460))</f>
        <v/>
      </c>
      <c r="BM460" s="9" t="str">
        <f t="shared" si="76"/>
        <v/>
      </c>
      <c r="BN460" s="9" t="str">
        <f t="shared" si="77"/>
        <v/>
      </c>
      <c r="BO460" s="9">
        <f t="shared" si="78"/>
        <v>0</v>
      </c>
      <c r="BR460" s="12" t="str">
        <f t="shared" si="79"/>
        <v/>
      </c>
    </row>
    <row r="461" spans="1:70" ht="14.25" customHeight="1">
      <c r="A461" s="26"/>
      <c r="C461" s="26"/>
      <c r="D461" s="27"/>
      <c r="E461" s="27"/>
      <c r="BE461" s="10" t="str">
        <f t="shared" si="70"/>
        <v/>
      </c>
      <c r="BF461" s="8" t="str">
        <f t="shared" si="71"/>
        <v/>
      </c>
      <c r="BG461" s="11" t="str">
        <f t="shared" si="72"/>
        <v/>
      </c>
      <c r="BH461" s="8" t="str">
        <f t="shared" si="73"/>
        <v/>
      </c>
      <c r="BI461" s="8" t="str">
        <f t="shared" si="74"/>
        <v/>
      </c>
      <c r="BJ461" s="9" t="str">
        <f t="shared" si="75"/>
        <v/>
      </c>
      <c r="BK461" s="9" t="str">
        <f>IF($B461="","",COUNTIFS($B$5:$B461,$B461,$BF$5:$BF461,$BF461))</f>
        <v/>
      </c>
      <c r="BL461" s="9" t="str">
        <f>IF($B461="","",COUNTIFS($B$5:$B461,$B461,$BH$5:$BH461,$BH461))</f>
        <v/>
      </c>
      <c r="BM461" s="9" t="str">
        <f t="shared" si="76"/>
        <v/>
      </c>
      <c r="BN461" s="9" t="str">
        <f t="shared" si="77"/>
        <v/>
      </c>
      <c r="BO461" s="9">
        <f t="shared" si="78"/>
        <v>0</v>
      </c>
      <c r="BR461" s="12" t="str">
        <f t="shared" si="79"/>
        <v/>
      </c>
    </row>
    <row r="462" spans="1:70" ht="14.25" customHeight="1">
      <c r="A462" s="26"/>
      <c r="C462" s="26"/>
      <c r="D462" s="27"/>
      <c r="E462" s="27"/>
      <c r="BE462" s="10" t="str">
        <f t="shared" si="70"/>
        <v/>
      </c>
      <c r="BF462" s="8" t="str">
        <f t="shared" si="71"/>
        <v/>
      </c>
      <c r="BG462" s="11" t="str">
        <f t="shared" si="72"/>
        <v/>
      </c>
      <c r="BH462" s="8" t="str">
        <f t="shared" si="73"/>
        <v/>
      </c>
      <c r="BI462" s="8" t="str">
        <f t="shared" si="74"/>
        <v/>
      </c>
      <c r="BJ462" s="9" t="str">
        <f t="shared" si="75"/>
        <v/>
      </c>
      <c r="BK462" s="9" t="str">
        <f>IF($B462="","",COUNTIFS($B$5:$B462,$B462,$BF$5:$BF462,$BF462))</f>
        <v/>
      </c>
      <c r="BL462" s="9" t="str">
        <f>IF($B462="","",COUNTIFS($B$5:$B462,$B462,$BH$5:$BH462,$BH462))</f>
        <v/>
      </c>
      <c r="BM462" s="9" t="str">
        <f t="shared" si="76"/>
        <v/>
      </c>
      <c r="BN462" s="9" t="str">
        <f t="shared" si="77"/>
        <v/>
      </c>
      <c r="BO462" s="9">
        <f t="shared" si="78"/>
        <v>0</v>
      </c>
      <c r="BR462" s="12" t="str">
        <f t="shared" si="79"/>
        <v/>
      </c>
    </row>
    <row r="463" spans="1:70" ht="14.25" customHeight="1">
      <c r="A463" s="26"/>
      <c r="C463" s="26"/>
      <c r="D463" s="27"/>
      <c r="E463" s="27"/>
      <c r="BE463" s="10" t="str">
        <f t="shared" si="70"/>
        <v/>
      </c>
      <c r="BF463" s="8" t="str">
        <f t="shared" si="71"/>
        <v/>
      </c>
      <c r="BG463" s="11" t="str">
        <f t="shared" si="72"/>
        <v/>
      </c>
      <c r="BH463" s="8" t="str">
        <f t="shared" si="73"/>
        <v/>
      </c>
      <c r="BI463" s="8" t="str">
        <f t="shared" si="74"/>
        <v/>
      </c>
      <c r="BJ463" s="9" t="str">
        <f t="shared" si="75"/>
        <v/>
      </c>
      <c r="BK463" s="9" t="str">
        <f>IF($B463="","",COUNTIFS($B$5:$B463,$B463,$BF$5:$BF463,$BF463))</f>
        <v/>
      </c>
      <c r="BL463" s="9" t="str">
        <f>IF($B463="","",COUNTIFS($B$5:$B463,$B463,$BH$5:$BH463,$BH463))</f>
        <v/>
      </c>
      <c r="BM463" s="9" t="str">
        <f t="shared" si="76"/>
        <v/>
      </c>
      <c r="BN463" s="9" t="str">
        <f t="shared" si="77"/>
        <v/>
      </c>
      <c r="BO463" s="9">
        <f t="shared" si="78"/>
        <v>0</v>
      </c>
      <c r="BR463" s="12" t="str">
        <f t="shared" si="79"/>
        <v/>
      </c>
    </row>
    <row r="464" spans="1:70" ht="14.25" customHeight="1">
      <c r="A464" s="26"/>
      <c r="C464" s="26"/>
      <c r="D464" s="27"/>
      <c r="E464" s="27"/>
      <c r="BE464" s="10" t="str">
        <f t="shared" si="70"/>
        <v/>
      </c>
      <c r="BF464" s="8" t="str">
        <f t="shared" si="71"/>
        <v/>
      </c>
      <c r="BG464" s="11" t="str">
        <f t="shared" si="72"/>
        <v/>
      </c>
      <c r="BH464" s="8" t="str">
        <f t="shared" si="73"/>
        <v/>
      </c>
      <c r="BI464" s="8" t="str">
        <f t="shared" si="74"/>
        <v/>
      </c>
      <c r="BJ464" s="9" t="str">
        <f t="shared" si="75"/>
        <v/>
      </c>
      <c r="BK464" s="9" t="str">
        <f>IF($B464="","",COUNTIFS($B$5:$B464,$B464,$BF$5:$BF464,$BF464))</f>
        <v/>
      </c>
      <c r="BL464" s="9" t="str">
        <f>IF($B464="","",COUNTIFS($B$5:$B464,$B464,$BH$5:$BH464,$BH464))</f>
        <v/>
      </c>
      <c r="BM464" s="9" t="str">
        <f t="shared" si="76"/>
        <v/>
      </c>
      <c r="BN464" s="9" t="str">
        <f t="shared" si="77"/>
        <v/>
      </c>
      <c r="BO464" s="9">
        <f t="shared" si="78"/>
        <v>0</v>
      </c>
      <c r="BR464" s="12" t="str">
        <f t="shared" si="79"/>
        <v/>
      </c>
    </row>
    <row r="465" spans="1:70" ht="14.25" customHeight="1">
      <c r="A465" s="26"/>
      <c r="C465" s="26"/>
      <c r="D465" s="27"/>
      <c r="E465" s="27"/>
      <c r="BE465" s="10" t="str">
        <f t="shared" si="70"/>
        <v/>
      </c>
      <c r="BF465" s="8" t="str">
        <f t="shared" si="71"/>
        <v/>
      </c>
      <c r="BG465" s="11" t="str">
        <f t="shared" si="72"/>
        <v/>
      </c>
      <c r="BH465" s="8" t="str">
        <f t="shared" si="73"/>
        <v/>
      </c>
      <c r="BI465" s="8" t="str">
        <f t="shared" si="74"/>
        <v/>
      </c>
      <c r="BJ465" s="9" t="str">
        <f t="shared" si="75"/>
        <v/>
      </c>
      <c r="BK465" s="9" t="str">
        <f>IF($B465="","",COUNTIFS($B$5:$B465,$B465,$BF$5:$BF465,$BF465))</f>
        <v/>
      </c>
      <c r="BL465" s="9" t="str">
        <f>IF($B465="","",COUNTIFS($B$5:$B465,$B465,$BH$5:$BH465,$BH465))</f>
        <v/>
      </c>
      <c r="BM465" s="9" t="str">
        <f t="shared" si="76"/>
        <v/>
      </c>
      <c r="BN465" s="9" t="str">
        <f t="shared" si="77"/>
        <v/>
      </c>
      <c r="BO465" s="9">
        <f t="shared" si="78"/>
        <v>0</v>
      </c>
      <c r="BR465" s="12" t="str">
        <f t="shared" si="79"/>
        <v/>
      </c>
    </row>
    <row r="466" spans="1:70" ht="14.25" customHeight="1">
      <c r="A466" s="26"/>
      <c r="C466" s="26"/>
      <c r="D466" s="27"/>
      <c r="E466" s="27"/>
      <c r="BE466" s="10" t="str">
        <f t="shared" si="70"/>
        <v/>
      </c>
      <c r="BF466" s="8" t="str">
        <f t="shared" si="71"/>
        <v/>
      </c>
      <c r="BG466" s="11" t="str">
        <f t="shared" si="72"/>
        <v/>
      </c>
      <c r="BH466" s="8" t="str">
        <f t="shared" si="73"/>
        <v/>
      </c>
      <c r="BI466" s="8" t="str">
        <f t="shared" si="74"/>
        <v/>
      </c>
      <c r="BJ466" s="9" t="str">
        <f t="shared" si="75"/>
        <v/>
      </c>
      <c r="BK466" s="9" t="str">
        <f>IF($B466="","",COUNTIFS($B$5:$B466,$B466,$BF$5:$BF466,$BF466))</f>
        <v/>
      </c>
      <c r="BL466" s="9" t="str">
        <f>IF($B466="","",COUNTIFS($B$5:$B466,$B466,$BH$5:$BH466,$BH466))</f>
        <v/>
      </c>
      <c r="BM466" s="9" t="str">
        <f t="shared" si="76"/>
        <v/>
      </c>
      <c r="BN466" s="9" t="str">
        <f t="shared" si="77"/>
        <v/>
      </c>
      <c r="BO466" s="9">
        <f t="shared" si="78"/>
        <v>0</v>
      </c>
      <c r="BR466" s="12" t="str">
        <f t="shared" si="79"/>
        <v/>
      </c>
    </row>
    <row r="467" spans="1:70" ht="14.25" customHeight="1">
      <c r="A467" s="26"/>
      <c r="C467" s="26"/>
      <c r="D467" s="27"/>
      <c r="E467" s="27"/>
      <c r="BE467" s="10" t="str">
        <f t="shared" si="70"/>
        <v/>
      </c>
      <c r="BF467" s="8" t="str">
        <f t="shared" si="71"/>
        <v/>
      </c>
      <c r="BG467" s="11" t="str">
        <f t="shared" si="72"/>
        <v/>
      </c>
      <c r="BH467" s="8" t="str">
        <f t="shared" si="73"/>
        <v/>
      </c>
      <c r="BI467" s="8" t="str">
        <f t="shared" si="74"/>
        <v/>
      </c>
      <c r="BJ467" s="9" t="str">
        <f t="shared" si="75"/>
        <v/>
      </c>
      <c r="BK467" s="9" t="str">
        <f>IF($B467="","",COUNTIFS($B$5:$B467,$B467,$BF$5:$BF467,$BF467))</f>
        <v/>
      </c>
      <c r="BL467" s="9" t="str">
        <f>IF($B467="","",COUNTIFS($B$5:$B467,$B467,$BH$5:$BH467,$BH467))</f>
        <v/>
      </c>
      <c r="BM467" s="9" t="str">
        <f t="shared" si="76"/>
        <v/>
      </c>
      <c r="BN467" s="9" t="str">
        <f t="shared" si="77"/>
        <v/>
      </c>
      <c r="BO467" s="9">
        <f t="shared" si="78"/>
        <v>0</v>
      </c>
      <c r="BR467" s="12" t="str">
        <f t="shared" si="79"/>
        <v/>
      </c>
    </row>
    <row r="468" spans="1:70" ht="14.25" customHeight="1">
      <c r="A468" s="26"/>
      <c r="C468" s="26"/>
      <c r="D468" s="27"/>
      <c r="E468" s="27"/>
      <c r="BE468" s="10" t="str">
        <f t="shared" si="70"/>
        <v/>
      </c>
      <c r="BF468" s="8" t="str">
        <f t="shared" si="71"/>
        <v/>
      </c>
      <c r="BG468" s="11" t="str">
        <f t="shared" si="72"/>
        <v/>
      </c>
      <c r="BH468" s="8" t="str">
        <f t="shared" si="73"/>
        <v/>
      </c>
      <c r="BI468" s="8" t="str">
        <f t="shared" si="74"/>
        <v/>
      </c>
      <c r="BJ468" s="9" t="str">
        <f t="shared" si="75"/>
        <v/>
      </c>
      <c r="BK468" s="9" t="str">
        <f>IF($B468="","",COUNTIFS($B$5:$B468,$B468,$BF$5:$BF468,$BF468))</f>
        <v/>
      </c>
      <c r="BL468" s="9" t="str">
        <f>IF($B468="","",COUNTIFS($B$5:$B468,$B468,$BH$5:$BH468,$BH468))</f>
        <v/>
      </c>
      <c r="BM468" s="9" t="str">
        <f t="shared" si="76"/>
        <v/>
      </c>
      <c r="BN468" s="9" t="str">
        <f t="shared" si="77"/>
        <v/>
      </c>
      <c r="BO468" s="9">
        <f t="shared" si="78"/>
        <v>0</v>
      </c>
      <c r="BR468" s="12" t="str">
        <f t="shared" si="79"/>
        <v/>
      </c>
    </row>
    <row r="469" spans="1:70" ht="14.25" customHeight="1">
      <c r="A469" s="26"/>
      <c r="C469" s="26"/>
      <c r="D469" s="27"/>
      <c r="E469" s="27"/>
      <c r="BE469" s="10" t="str">
        <f t="shared" si="70"/>
        <v/>
      </c>
      <c r="BF469" s="8" t="str">
        <f t="shared" si="71"/>
        <v/>
      </c>
      <c r="BG469" s="11" t="str">
        <f t="shared" si="72"/>
        <v/>
      </c>
      <c r="BH469" s="8" t="str">
        <f t="shared" si="73"/>
        <v/>
      </c>
      <c r="BI469" s="8" t="str">
        <f t="shared" si="74"/>
        <v/>
      </c>
      <c r="BJ469" s="9" t="str">
        <f t="shared" si="75"/>
        <v/>
      </c>
      <c r="BK469" s="9" t="str">
        <f>IF($B469="","",COUNTIFS($B$5:$B469,$B469,$BF$5:$BF469,$BF469))</f>
        <v/>
      </c>
      <c r="BL469" s="9" t="str">
        <f>IF($B469="","",COUNTIFS($B$5:$B469,$B469,$BH$5:$BH469,$BH469))</f>
        <v/>
      </c>
      <c r="BM469" s="9" t="str">
        <f t="shared" si="76"/>
        <v/>
      </c>
      <c r="BN469" s="9" t="str">
        <f t="shared" si="77"/>
        <v/>
      </c>
      <c r="BO469" s="9">
        <f t="shared" si="78"/>
        <v>0</v>
      </c>
      <c r="BR469" s="12" t="str">
        <f t="shared" si="79"/>
        <v/>
      </c>
    </row>
    <row r="470" spans="1:70" ht="14.25" customHeight="1">
      <c r="A470" s="26"/>
      <c r="C470" s="26"/>
      <c r="D470" s="27"/>
      <c r="E470" s="27"/>
      <c r="BE470" s="10" t="str">
        <f t="shared" si="70"/>
        <v/>
      </c>
      <c r="BF470" s="8" t="str">
        <f t="shared" si="71"/>
        <v/>
      </c>
      <c r="BG470" s="11" t="str">
        <f t="shared" si="72"/>
        <v/>
      </c>
      <c r="BH470" s="8" t="str">
        <f t="shared" si="73"/>
        <v/>
      </c>
      <c r="BI470" s="8" t="str">
        <f t="shared" si="74"/>
        <v/>
      </c>
      <c r="BJ470" s="9" t="str">
        <f t="shared" si="75"/>
        <v/>
      </c>
      <c r="BK470" s="9" t="str">
        <f>IF($B470="","",COUNTIFS($B$5:$B470,$B470,$BF$5:$BF470,$BF470))</f>
        <v/>
      </c>
      <c r="BL470" s="9" t="str">
        <f>IF($B470="","",COUNTIFS($B$5:$B470,$B470,$BH$5:$BH470,$BH470))</f>
        <v/>
      </c>
      <c r="BM470" s="9" t="str">
        <f t="shared" si="76"/>
        <v/>
      </c>
      <c r="BN470" s="9" t="str">
        <f t="shared" si="77"/>
        <v/>
      </c>
      <c r="BO470" s="9">
        <f t="shared" si="78"/>
        <v>0</v>
      </c>
      <c r="BR470" s="12" t="str">
        <f t="shared" si="79"/>
        <v/>
      </c>
    </row>
    <row r="471" spans="1:70" ht="14.25" customHeight="1">
      <c r="A471" s="26"/>
      <c r="C471" s="26"/>
      <c r="D471" s="27"/>
      <c r="E471" s="27"/>
      <c r="BE471" s="10" t="str">
        <f t="shared" si="70"/>
        <v/>
      </c>
      <c r="BF471" s="8" t="str">
        <f t="shared" si="71"/>
        <v/>
      </c>
      <c r="BG471" s="11" t="str">
        <f t="shared" si="72"/>
        <v/>
      </c>
      <c r="BH471" s="8" t="str">
        <f t="shared" si="73"/>
        <v/>
      </c>
      <c r="BI471" s="8" t="str">
        <f t="shared" si="74"/>
        <v/>
      </c>
      <c r="BJ471" s="9" t="str">
        <f t="shared" si="75"/>
        <v/>
      </c>
      <c r="BK471" s="9" t="str">
        <f>IF($B471="","",COUNTIFS($B$5:$B471,$B471,$BF$5:$BF471,$BF471))</f>
        <v/>
      </c>
      <c r="BL471" s="9" t="str">
        <f>IF($B471="","",COUNTIFS($B$5:$B471,$B471,$BH$5:$BH471,$BH471))</f>
        <v/>
      </c>
      <c r="BM471" s="9" t="str">
        <f t="shared" si="76"/>
        <v/>
      </c>
      <c r="BN471" s="9" t="str">
        <f t="shared" si="77"/>
        <v/>
      </c>
      <c r="BO471" s="9">
        <f t="shared" si="78"/>
        <v>0</v>
      </c>
      <c r="BR471" s="12" t="str">
        <f t="shared" si="79"/>
        <v/>
      </c>
    </row>
    <row r="472" spans="1:70" ht="14.25" customHeight="1">
      <c r="A472" s="26"/>
      <c r="C472" s="26"/>
      <c r="D472" s="27"/>
      <c r="E472" s="27"/>
      <c r="BE472" s="10" t="str">
        <f t="shared" si="70"/>
        <v/>
      </c>
      <c r="BF472" s="8" t="str">
        <f t="shared" si="71"/>
        <v/>
      </c>
      <c r="BG472" s="11" t="str">
        <f t="shared" si="72"/>
        <v/>
      </c>
      <c r="BH472" s="8" t="str">
        <f t="shared" si="73"/>
        <v/>
      </c>
      <c r="BI472" s="8" t="str">
        <f t="shared" si="74"/>
        <v/>
      </c>
      <c r="BJ472" s="9" t="str">
        <f t="shared" si="75"/>
        <v/>
      </c>
      <c r="BK472" s="9" t="str">
        <f>IF($B472="","",COUNTIFS($B$5:$B472,$B472,$BF$5:$BF472,$BF472))</f>
        <v/>
      </c>
      <c r="BL472" s="9" t="str">
        <f>IF($B472="","",COUNTIFS($B$5:$B472,$B472,$BH$5:$BH472,$BH472))</f>
        <v/>
      </c>
      <c r="BM472" s="9" t="str">
        <f t="shared" si="76"/>
        <v/>
      </c>
      <c r="BN472" s="9" t="str">
        <f t="shared" si="77"/>
        <v/>
      </c>
      <c r="BO472" s="9">
        <f t="shared" si="78"/>
        <v>0</v>
      </c>
      <c r="BR472" s="12" t="str">
        <f t="shared" si="79"/>
        <v/>
      </c>
    </row>
    <row r="473" spans="1:70" ht="14.25" customHeight="1">
      <c r="A473" s="26"/>
      <c r="C473" s="26"/>
      <c r="D473" s="27"/>
      <c r="E473" s="27"/>
      <c r="BE473" s="10" t="str">
        <f t="shared" si="70"/>
        <v/>
      </c>
      <c r="BF473" s="8" t="str">
        <f t="shared" si="71"/>
        <v/>
      </c>
      <c r="BG473" s="11" t="str">
        <f t="shared" si="72"/>
        <v/>
      </c>
      <c r="BH473" s="8" t="str">
        <f t="shared" si="73"/>
        <v/>
      </c>
      <c r="BI473" s="8" t="str">
        <f t="shared" si="74"/>
        <v/>
      </c>
      <c r="BJ473" s="9" t="str">
        <f t="shared" si="75"/>
        <v/>
      </c>
      <c r="BK473" s="9" t="str">
        <f>IF($B473="","",COUNTIFS($B$5:$B473,$B473,$BF$5:$BF473,$BF473))</f>
        <v/>
      </c>
      <c r="BL473" s="9" t="str">
        <f>IF($B473="","",COUNTIFS($B$5:$B473,$B473,$BH$5:$BH473,$BH473))</f>
        <v/>
      </c>
      <c r="BM473" s="9" t="str">
        <f t="shared" si="76"/>
        <v/>
      </c>
      <c r="BN473" s="9" t="str">
        <f t="shared" si="77"/>
        <v/>
      </c>
      <c r="BO473" s="9">
        <f t="shared" si="78"/>
        <v>0</v>
      </c>
      <c r="BR473" s="12" t="str">
        <f t="shared" si="79"/>
        <v/>
      </c>
    </row>
    <row r="474" spans="1:70" ht="14.25" customHeight="1">
      <c r="A474" s="26"/>
      <c r="C474" s="26"/>
      <c r="D474" s="27"/>
      <c r="E474" s="27"/>
      <c r="BE474" s="10" t="str">
        <f t="shared" si="70"/>
        <v/>
      </c>
      <c r="BF474" s="8" t="str">
        <f t="shared" si="71"/>
        <v/>
      </c>
      <c r="BG474" s="11" t="str">
        <f t="shared" si="72"/>
        <v/>
      </c>
      <c r="BH474" s="8" t="str">
        <f t="shared" si="73"/>
        <v/>
      </c>
      <c r="BI474" s="8" t="str">
        <f t="shared" si="74"/>
        <v/>
      </c>
      <c r="BJ474" s="9" t="str">
        <f t="shared" si="75"/>
        <v/>
      </c>
      <c r="BK474" s="9" t="str">
        <f>IF($B474="","",COUNTIFS($B$5:$B474,$B474,$BF$5:$BF474,$BF474))</f>
        <v/>
      </c>
      <c r="BL474" s="9" t="str">
        <f>IF($B474="","",COUNTIFS($B$5:$B474,$B474,$BH$5:$BH474,$BH474))</f>
        <v/>
      </c>
      <c r="BM474" s="9" t="str">
        <f t="shared" si="76"/>
        <v/>
      </c>
      <c r="BN474" s="9" t="str">
        <f t="shared" si="77"/>
        <v/>
      </c>
      <c r="BO474" s="9">
        <f t="shared" si="78"/>
        <v>0</v>
      </c>
      <c r="BR474" s="12" t="str">
        <f t="shared" si="79"/>
        <v/>
      </c>
    </row>
    <row r="475" spans="1:70" ht="14.25" customHeight="1">
      <c r="A475" s="26"/>
      <c r="C475" s="26"/>
      <c r="D475" s="27"/>
      <c r="E475" s="27"/>
      <c r="BE475" s="10" t="str">
        <f t="shared" si="70"/>
        <v/>
      </c>
      <c r="BF475" s="8" t="str">
        <f t="shared" si="71"/>
        <v/>
      </c>
      <c r="BG475" s="11" t="str">
        <f t="shared" si="72"/>
        <v/>
      </c>
      <c r="BH475" s="8" t="str">
        <f t="shared" si="73"/>
        <v/>
      </c>
      <c r="BI475" s="8" t="str">
        <f t="shared" si="74"/>
        <v/>
      </c>
      <c r="BJ475" s="9" t="str">
        <f t="shared" si="75"/>
        <v/>
      </c>
      <c r="BK475" s="9" t="str">
        <f>IF($B475="","",COUNTIFS($B$5:$B475,$B475,$BF$5:$BF475,$BF475))</f>
        <v/>
      </c>
      <c r="BL475" s="9" t="str">
        <f>IF($B475="","",COUNTIFS($B$5:$B475,$B475,$BH$5:$BH475,$BH475))</f>
        <v/>
      </c>
      <c r="BM475" s="9" t="str">
        <f t="shared" si="76"/>
        <v/>
      </c>
      <c r="BN475" s="9" t="str">
        <f t="shared" si="77"/>
        <v/>
      </c>
      <c r="BO475" s="9">
        <f t="shared" si="78"/>
        <v>0</v>
      </c>
      <c r="BR475" s="12" t="str">
        <f t="shared" si="79"/>
        <v/>
      </c>
    </row>
    <row r="476" spans="1:70" ht="14.25" customHeight="1">
      <c r="A476" s="26"/>
      <c r="C476" s="26"/>
      <c r="D476" s="27"/>
      <c r="E476" s="27"/>
      <c r="BE476" s="10" t="str">
        <f t="shared" si="70"/>
        <v/>
      </c>
      <c r="BF476" s="8" t="str">
        <f t="shared" si="71"/>
        <v/>
      </c>
      <c r="BG476" s="11" t="str">
        <f t="shared" si="72"/>
        <v/>
      </c>
      <c r="BH476" s="8" t="str">
        <f t="shared" si="73"/>
        <v/>
      </c>
      <c r="BI476" s="8" t="str">
        <f t="shared" si="74"/>
        <v/>
      </c>
      <c r="BJ476" s="9" t="str">
        <f t="shared" si="75"/>
        <v/>
      </c>
      <c r="BK476" s="9" t="str">
        <f>IF($B476="","",COUNTIFS($B$5:$B476,$B476,$BF$5:$BF476,$BF476))</f>
        <v/>
      </c>
      <c r="BL476" s="9" t="str">
        <f>IF($B476="","",COUNTIFS($B$5:$B476,$B476,$BH$5:$BH476,$BH476))</f>
        <v/>
      </c>
      <c r="BM476" s="9" t="str">
        <f t="shared" si="76"/>
        <v/>
      </c>
      <c r="BN476" s="9" t="str">
        <f t="shared" si="77"/>
        <v/>
      </c>
      <c r="BO476" s="9">
        <f t="shared" si="78"/>
        <v>0</v>
      </c>
      <c r="BR476" s="12" t="str">
        <f t="shared" si="79"/>
        <v/>
      </c>
    </row>
    <row r="477" spans="1:70" ht="14.25" customHeight="1">
      <c r="A477" s="26"/>
      <c r="C477" s="26"/>
      <c r="D477" s="27"/>
      <c r="E477" s="27"/>
      <c r="BE477" s="10" t="str">
        <f t="shared" ref="BE477:BE540" si="80">IF($B477="","",IF(COUNT($H477,$J477,$L477,$N477,$P477,$R477)&gt;0,SUM($H477,$J477,$L477,$N477,$P477,$R477),SUM($T477,$V477,$X477,$Z477,$AB477,$AD477,$AF477,$AH477,$AJ477,$AL477,$AN477,$AP477,$AR477,$AT477,$AV477,$AX477,$AZ477)))</f>
        <v/>
      </c>
      <c r="BF477" s="8" t="str">
        <f t="shared" ref="BF477:BF540" si="81">IF($C477="","",DATE(YEAR($C477),MONTH($C477),1))</f>
        <v/>
      </c>
      <c r="BG477" s="11" t="str">
        <f t="shared" ref="BG477:BG540" si="82">IF($BF477="","",TEXT($BF477,"mmmm yyyy"))</f>
        <v/>
      </c>
      <c r="BH477" s="8" t="str">
        <f t="shared" ref="BH477:BH540" si="83">IF($C477="","",$C477-WEEKDAY($C477,2)+1)</f>
        <v/>
      </c>
      <c r="BI477" s="8" t="str">
        <f t="shared" ref="BI477:BI540" si="84">IF($BH477="","",$BH477+6)</f>
        <v/>
      </c>
      <c r="BJ477" s="9" t="str">
        <f t="shared" ref="BJ477:BJ540" si="85">IF($BH477="","",TEXT($BH477,"dd/mm/yyyy")&amp;" - "&amp;TEXT($BI477,"dd/mm/yyyy"))</f>
        <v/>
      </c>
      <c r="BK477" s="9" t="str">
        <f>IF($B477="","",COUNTIFS($B$5:$B477,$B477,$BF$5:$BF477,$BF477))</f>
        <v/>
      </c>
      <c r="BL477" s="9" t="str">
        <f>IF($B477="","",COUNTIFS($B$5:$B477,$B477,$BH$5:$BH477,$BH477))</f>
        <v/>
      </c>
      <c r="BM477" s="9" t="str">
        <f t="shared" ref="BM477:BM540" si="86">IF($B477="","",TEXT($BK477,"00")&amp;"|"&amp;$B477&amp;"|"&amp;TEXT($BF477,"yyyymmdd"))</f>
        <v/>
      </c>
      <c r="BN477" s="9" t="str">
        <f t="shared" ref="BN477:BN540" si="87">IF($B477="","",TEXT($BL477,"00")&amp;"|"&amp;$B477&amp;"|"&amp;TEXT($BH477,"yyyymmdd"))</f>
        <v/>
      </c>
      <c r="BO477" s="9">
        <f t="shared" ref="BO477:BO540" si="88">IF(OR($BB477="YES",$BB477="Yes",$BB477="Y",$BB477=1),1,0)</f>
        <v>0</v>
      </c>
      <c r="BR477" s="12" t="str">
        <f t="shared" ref="BR477:BR540" si="89">IF($C477="","",IF($C477&gt;=DATE(2026,6,1),"QA-2026-06",IF($C477&gt;=DATE(2026,5,1),"May 2026+",IF($C477&gt;=DATE(2026,4,1),"April 2026",IF($C477&gt;=DATE(2026,3,1),"March 2026","Jan-Feb 2026")))))</f>
        <v/>
      </c>
    </row>
    <row r="478" spans="1:70" ht="14.25" customHeight="1">
      <c r="A478" s="26"/>
      <c r="C478" s="26"/>
      <c r="D478" s="27"/>
      <c r="E478" s="27"/>
      <c r="BE478" s="10" t="str">
        <f t="shared" si="80"/>
        <v/>
      </c>
      <c r="BF478" s="8" t="str">
        <f t="shared" si="81"/>
        <v/>
      </c>
      <c r="BG478" s="11" t="str">
        <f t="shared" si="82"/>
        <v/>
      </c>
      <c r="BH478" s="8" t="str">
        <f t="shared" si="83"/>
        <v/>
      </c>
      <c r="BI478" s="8" t="str">
        <f t="shared" si="84"/>
        <v/>
      </c>
      <c r="BJ478" s="9" t="str">
        <f t="shared" si="85"/>
        <v/>
      </c>
      <c r="BK478" s="9" t="str">
        <f>IF($B478="","",COUNTIFS($B$5:$B478,$B478,$BF$5:$BF478,$BF478))</f>
        <v/>
      </c>
      <c r="BL478" s="9" t="str">
        <f>IF($B478="","",COUNTIFS($B$5:$B478,$B478,$BH$5:$BH478,$BH478))</f>
        <v/>
      </c>
      <c r="BM478" s="9" t="str">
        <f t="shared" si="86"/>
        <v/>
      </c>
      <c r="BN478" s="9" t="str">
        <f t="shared" si="87"/>
        <v/>
      </c>
      <c r="BO478" s="9">
        <f t="shared" si="88"/>
        <v>0</v>
      </c>
      <c r="BR478" s="12" t="str">
        <f t="shared" si="89"/>
        <v/>
      </c>
    </row>
    <row r="479" spans="1:70" ht="14.25" customHeight="1">
      <c r="A479" s="26"/>
      <c r="C479" s="26"/>
      <c r="D479" s="27"/>
      <c r="E479" s="27"/>
      <c r="BE479" s="10" t="str">
        <f t="shared" si="80"/>
        <v/>
      </c>
      <c r="BF479" s="8" t="str">
        <f t="shared" si="81"/>
        <v/>
      </c>
      <c r="BG479" s="11" t="str">
        <f t="shared" si="82"/>
        <v/>
      </c>
      <c r="BH479" s="8" t="str">
        <f t="shared" si="83"/>
        <v/>
      </c>
      <c r="BI479" s="8" t="str">
        <f t="shared" si="84"/>
        <v/>
      </c>
      <c r="BJ479" s="9" t="str">
        <f t="shared" si="85"/>
        <v/>
      </c>
      <c r="BK479" s="9" t="str">
        <f>IF($B479="","",COUNTIFS($B$5:$B479,$B479,$BF$5:$BF479,$BF479))</f>
        <v/>
      </c>
      <c r="BL479" s="9" t="str">
        <f>IF($B479="","",COUNTIFS($B$5:$B479,$B479,$BH$5:$BH479,$BH479))</f>
        <v/>
      </c>
      <c r="BM479" s="9" t="str">
        <f t="shared" si="86"/>
        <v/>
      </c>
      <c r="BN479" s="9" t="str">
        <f t="shared" si="87"/>
        <v/>
      </c>
      <c r="BO479" s="9">
        <f t="shared" si="88"/>
        <v>0</v>
      </c>
      <c r="BR479" s="12" t="str">
        <f t="shared" si="89"/>
        <v/>
      </c>
    </row>
    <row r="480" spans="1:70" ht="14.25" customHeight="1">
      <c r="A480" s="26"/>
      <c r="C480" s="26"/>
      <c r="D480" s="27"/>
      <c r="E480" s="27"/>
      <c r="BE480" s="10" t="str">
        <f t="shared" si="80"/>
        <v/>
      </c>
      <c r="BF480" s="8" t="str">
        <f t="shared" si="81"/>
        <v/>
      </c>
      <c r="BG480" s="11" t="str">
        <f t="shared" si="82"/>
        <v/>
      </c>
      <c r="BH480" s="8" t="str">
        <f t="shared" si="83"/>
        <v/>
      </c>
      <c r="BI480" s="8" t="str">
        <f t="shared" si="84"/>
        <v/>
      </c>
      <c r="BJ480" s="9" t="str">
        <f t="shared" si="85"/>
        <v/>
      </c>
      <c r="BK480" s="9" t="str">
        <f>IF($B480="","",COUNTIFS($B$5:$B480,$B480,$BF$5:$BF480,$BF480))</f>
        <v/>
      </c>
      <c r="BL480" s="9" t="str">
        <f>IF($B480="","",COUNTIFS($B$5:$B480,$B480,$BH$5:$BH480,$BH480))</f>
        <v/>
      </c>
      <c r="BM480" s="9" t="str">
        <f t="shared" si="86"/>
        <v/>
      </c>
      <c r="BN480" s="9" t="str">
        <f t="shared" si="87"/>
        <v/>
      </c>
      <c r="BO480" s="9">
        <f t="shared" si="88"/>
        <v>0</v>
      </c>
      <c r="BR480" s="12" t="str">
        <f t="shared" si="89"/>
        <v/>
      </c>
    </row>
    <row r="481" spans="1:70" ht="14.25" customHeight="1">
      <c r="A481" s="26"/>
      <c r="C481" s="26"/>
      <c r="D481" s="27"/>
      <c r="E481" s="27"/>
      <c r="BE481" s="10" t="str">
        <f t="shared" si="80"/>
        <v/>
      </c>
      <c r="BF481" s="8" t="str">
        <f t="shared" si="81"/>
        <v/>
      </c>
      <c r="BG481" s="11" t="str">
        <f t="shared" si="82"/>
        <v/>
      </c>
      <c r="BH481" s="8" t="str">
        <f t="shared" si="83"/>
        <v/>
      </c>
      <c r="BI481" s="8" t="str">
        <f t="shared" si="84"/>
        <v/>
      </c>
      <c r="BJ481" s="9" t="str">
        <f t="shared" si="85"/>
        <v/>
      </c>
      <c r="BK481" s="9" t="str">
        <f>IF($B481="","",COUNTIFS($B$5:$B481,$B481,$BF$5:$BF481,$BF481))</f>
        <v/>
      </c>
      <c r="BL481" s="9" t="str">
        <f>IF($B481="","",COUNTIFS($B$5:$B481,$B481,$BH$5:$BH481,$BH481))</f>
        <v/>
      </c>
      <c r="BM481" s="9" t="str">
        <f t="shared" si="86"/>
        <v/>
      </c>
      <c r="BN481" s="9" t="str">
        <f t="shared" si="87"/>
        <v/>
      </c>
      <c r="BO481" s="9">
        <f t="shared" si="88"/>
        <v>0</v>
      </c>
      <c r="BR481" s="12" t="str">
        <f t="shared" si="89"/>
        <v/>
      </c>
    </row>
    <row r="482" spans="1:70" ht="14.25" customHeight="1">
      <c r="A482" s="26"/>
      <c r="C482" s="26"/>
      <c r="D482" s="27"/>
      <c r="E482" s="27"/>
      <c r="BE482" s="10" t="str">
        <f t="shared" si="80"/>
        <v/>
      </c>
      <c r="BF482" s="8" t="str">
        <f t="shared" si="81"/>
        <v/>
      </c>
      <c r="BG482" s="11" t="str">
        <f t="shared" si="82"/>
        <v/>
      </c>
      <c r="BH482" s="8" t="str">
        <f t="shared" si="83"/>
        <v/>
      </c>
      <c r="BI482" s="8" t="str">
        <f t="shared" si="84"/>
        <v/>
      </c>
      <c r="BJ482" s="9" t="str">
        <f t="shared" si="85"/>
        <v/>
      </c>
      <c r="BK482" s="9" t="str">
        <f>IF($B482="","",COUNTIFS($B$5:$B482,$B482,$BF$5:$BF482,$BF482))</f>
        <v/>
      </c>
      <c r="BL482" s="9" t="str">
        <f>IF($B482="","",COUNTIFS($B$5:$B482,$B482,$BH$5:$BH482,$BH482))</f>
        <v/>
      </c>
      <c r="BM482" s="9" t="str">
        <f t="shared" si="86"/>
        <v/>
      </c>
      <c r="BN482" s="9" t="str">
        <f t="shared" si="87"/>
        <v/>
      </c>
      <c r="BO482" s="9">
        <f t="shared" si="88"/>
        <v>0</v>
      </c>
      <c r="BR482" s="12" t="str">
        <f t="shared" si="89"/>
        <v/>
      </c>
    </row>
    <row r="483" spans="1:70" ht="14.25" customHeight="1">
      <c r="A483" s="26"/>
      <c r="C483" s="26"/>
      <c r="D483" s="27"/>
      <c r="E483" s="27"/>
      <c r="BE483" s="10" t="str">
        <f t="shared" si="80"/>
        <v/>
      </c>
      <c r="BF483" s="8" t="str">
        <f t="shared" si="81"/>
        <v/>
      </c>
      <c r="BG483" s="11" t="str">
        <f t="shared" si="82"/>
        <v/>
      </c>
      <c r="BH483" s="8" t="str">
        <f t="shared" si="83"/>
        <v/>
      </c>
      <c r="BI483" s="8" t="str">
        <f t="shared" si="84"/>
        <v/>
      </c>
      <c r="BJ483" s="9" t="str">
        <f t="shared" si="85"/>
        <v/>
      </c>
      <c r="BK483" s="9" t="str">
        <f>IF($B483="","",COUNTIFS($B$5:$B483,$B483,$BF$5:$BF483,$BF483))</f>
        <v/>
      </c>
      <c r="BL483" s="9" t="str">
        <f>IF($B483="","",COUNTIFS($B$5:$B483,$B483,$BH$5:$BH483,$BH483))</f>
        <v/>
      </c>
      <c r="BM483" s="9" t="str">
        <f t="shared" si="86"/>
        <v/>
      </c>
      <c r="BN483" s="9" t="str">
        <f t="shared" si="87"/>
        <v/>
      </c>
      <c r="BO483" s="9">
        <f t="shared" si="88"/>
        <v>0</v>
      </c>
      <c r="BR483" s="12" t="str">
        <f t="shared" si="89"/>
        <v/>
      </c>
    </row>
    <row r="484" spans="1:70" ht="14.25" customHeight="1">
      <c r="A484" s="26"/>
      <c r="C484" s="26"/>
      <c r="D484" s="27"/>
      <c r="E484" s="27"/>
      <c r="BE484" s="10" t="str">
        <f t="shared" si="80"/>
        <v/>
      </c>
      <c r="BF484" s="8" t="str">
        <f t="shared" si="81"/>
        <v/>
      </c>
      <c r="BG484" s="11" t="str">
        <f t="shared" si="82"/>
        <v/>
      </c>
      <c r="BH484" s="8" t="str">
        <f t="shared" si="83"/>
        <v/>
      </c>
      <c r="BI484" s="8" t="str">
        <f t="shared" si="84"/>
        <v/>
      </c>
      <c r="BJ484" s="9" t="str">
        <f t="shared" si="85"/>
        <v/>
      </c>
      <c r="BK484" s="9" t="str">
        <f>IF($B484="","",COUNTIFS($B$5:$B484,$B484,$BF$5:$BF484,$BF484))</f>
        <v/>
      </c>
      <c r="BL484" s="9" t="str">
        <f>IF($B484="","",COUNTIFS($B$5:$B484,$B484,$BH$5:$BH484,$BH484))</f>
        <v/>
      </c>
      <c r="BM484" s="9" t="str">
        <f t="shared" si="86"/>
        <v/>
      </c>
      <c r="BN484" s="9" t="str">
        <f t="shared" si="87"/>
        <v/>
      </c>
      <c r="BO484" s="9">
        <f t="shared" si="88"/>
        <v>0</v>
      </c>
      <c r="BR484" s="12" t="str">
        <f t="shared" si="89"/>
        <v/>
      </c>
    </row>
    <row r="485" spans="1:70" ht="14.25" customHeight="1">
      <c r="A485" s="26"/>
      <c r="C485" s="26"/>
      <c r="D485" s="27"/>
      <c r="E485" s="27"/>
      <c r="BE485" s="10" t="str">
        <f t="shared" si="80"/>
        <v/>
      </c>
      <c r="BF485" s="8" t="str">
        <f t="shared" si="81"/>
        <v/>
      </c>
      <c r="BG485" s="11" t="str">
        <f t="shared" si="82"/>
        <v/>
      </c>
      <c r="BH485" s="8" t="str">
        <f t="shared" si="83"/>
        <v/>
      </c>
      <c r="BI485" s="8" t="str">
        <f t="shared" si="84"/>
        <v/>
      </c>
      <c r="BJ485" s="9" t="str">
        <f t="shared" si="85"/>
        <v/>
      </c>
      <c r="BK485" s="9" t="str">
        <f>IF($B485="","",COUNTIFS($B$5:$B485,$B485,$BF$5:$BF485,$BF485))</f>
        <v/>
      </c>
      <c r="BL485" s="9" t="str">
        <f>IF($B485="","",COUNTIFS($B$5:$B485,$B485,$BH$5:$BH485,$BH485))</f>
        <v/>
      </c>
      <c r="BM485" s="9" t="str">
        <f t="shared" si="86"/>
        <v/>
      </c>
      <c r="BN485" s="9" t="str">
        <f t="shared" si="87"/>
        <v/>
      </c>
      <c r="BO485" s="9">
        <f t="shared" si="88"/>
        <v>0</v>
      </c>
      <c r="BR485" s="12" t="str">
        <f t="shared" si="89"/>
        <v/>
      </c>
    </row>
    <row r="486" spans="1:70" ht="14.25" customHeight="1">
      <c r="A486" s="26"/>
      <c r="C486" s="26"/>
      <c r="D486" s="27"/>
      <c r="E486" s="27"/>
      <c r="BE486" s="10" t="str">
        <f t="shared" si="80"/>
        <v/>
      </c>
      <c r="BF486" s="8" t="str">
        <f t="shared" si="81"/>
        <v/>
      </c>
      <c r="BG486" s="11" t="str">
        <f t="shared" si="82"/>
        <v/>
      </c>
      <c r="BH486" s="8" t="str">
        <f t="shared" si="83"/>
        <v/>
      </c>
      <c r="BI486" s="8" t="str">
        <f t="shared" si="84"/>
        <v/>
      </c>
      <c r="BJ486" s="9" t="str">
        <f t="shared" si="85"/>
        <v/>
      </c>
      <c r="BK486" s="9" t="str">
        <f>IF($B486="","",COUNTIFS($B$5:$B486,$B486,$BF$5:$BF486,$BF486))</f>
        <v/>
      </c>
      <c r="BL486" s="9" t="str">
        <f>IF($B486="","",COUNTIFS($B$5:$B486,$B486,$BH$5:$BH486,$BH486))</f>
        <v/>
      </c>
      <c r="BM486" s="9" t="str">
        <f t="shared" si="86"/>
        <v/>
      </c>
      <c r="BN486" s="9" t="str">
        <f t="shared" si="87"/>
        <v/>
      </c>
      <c r="BO486" s="9">
        <f t="shared" si="88"/>
        <v>0</v>
      </c>
      <c r="BR486" s="12" t="str">
        <f t="shared" si="89"/>
        <v/>
      </c>
    </row>
    <row r="487" spans="1:70" ht="14.25" customHeight="1">
      <c r="A487" s="26"/>
      <c r="C487" s="26"/>
      <c r="D487" s="27"/>
      <c r="E487" s="27"/>
      <c r="BE487" s="10" t="str">
        <f t="shared" si="80"/>
        <v/>
      </c>
      <c r="BF487" s="8" t="str">
        <f t="shared" si="81"/>
        <v/>
      </c>
      <c r="BG487" s="11" t="str">
        <f t="shared" si="82"/>
        <v/>
      </c>
      <c r="BH487" s="8" t="str">
        <f t="shared" si="83"/>
        <v/>
      </c>
      <c r="BI487" s="8" t="str">
        <f t="shared" si="84"/>
        <v/>
      </c>
      <c r="BJ487" s="9" t="str">
        <f t="shared" si="85"/>
        <v/>
      </c>
      <c r="BK487" s="9" t="str">
        <f>IF($B487="","",COUNTIFS($B$5:$B487,$B487,$BF$5:$BF487,$BF487))</f>
        <v/>
      </c>
      <c r="BL487" s="9" t="str">
        <f>IF($B487="","",COUNTIFS($B$5:$B487,$B487,$BH$5:$BH487,$BH487))</f>
        <v/>
      </c>
      <c r="BM487" s="9" t="str">
        <f t="shared" si="86"/>
        <v/>
      </c>
      <c r="BN487" s="9" t="str">
        <f t="shared" si="87"/>
        <v/>
      </c>
      <c r="BO487" s="9">
        <f t="shared" si="88"/>
        <v>0</v>
      </c>
      <c r="BR487" s="12" t="str">
        <f t="shared" si="89"/>
        <v/>
      </c>
    </row>
    <row r="488" spans="1:70" ht="14.25" customHeight="1">
      <c r="A488" s="26"/>
      <c r="C488" s="26"/>
      <c r="D488" s="27"/>
      <c r="E488" s="27"/>
      <c r="BE488" s="10" t="str">
        <f t="shared" si="80"/>
        <v/>
      </c>
      <c r="BF488" s="8" t="str">
        <f t="shared" si="81"/>
        <v/>
      </c>
      <c r="BG488" s="11" t="str">
        <f t="shared" si="82"/>
        <v/>
      </c>
      <c r="BH488" s="8" t="str">
        <f t="shared" si="83"/>
        <v/>
      </c>
      <c r="BI488" s="8" t="str">
        <f t="shared" si="84"/>
        <v/>
      </c>
      <c r="BJ488" s="9" t="str">
        <f t="shared" si="85"/>
        <v/>
      </c>
      <c r="BK488" s="9" t="str">
        <f>IF($B488="","",COUNTIFS($B$5:$B488,$B488,$BF$5:$BF488,$BF488))</f>
        <v/>
      </c>
      <c r="BL488" s="9" t="str">
        <f>IF($B488="","",COUNTIFS($B$5:$B488,$B488,$BH$5:$BH488,$BH488))</f>
        <v/>
      </c>
      <c r="BM488" s="9" t="str">
        <f t="shared" si="86"/>
        <v/>
      </c>
      <c r="BN488" s="9" t="str">
        <f t="shared" si="87"/>
        <v/>
      </c>
      <c r="BO488" s="9">
        <f t="shared" si="88"/>
        <v>0</v>
      </c>
      <c r="BR488" s="12" t="str">
        <f t="shared" si="89"/>
        <v/>
      </c>
    </row>
    <row r="489" spans="1:70" ht="14.25" customHeight="1">
      <c r="A489" s="26"/>
      <c r="C489" s="26"/>
      <c r="D489" s="27"/>
      <c r="E489" s="27"/>
      <c r="BE489" s="10" t="str">
        <f t="shared" si="80"/>
        <v/>
      </c>
      <c r="BF489" s="8" t="str">
        <f t="shared" si="81"/>
        <v/>
      </c>
      <c r="BG489" s="11" t="str">
        <f t="shared" si="82"/>
        <v/>
      </c>
      <c r="BH489" s="8" t="str">
        <f t="shared" si="83"/>
        <v/>
      </c>
      <c r="BI489" s="8" t="str">
        <f t="shared" si="84"/>
        <v/>
      </c>
      <c r="BJ489" s="9" t="str">
        <f t="shared" si="85"/>
        <v/>
      </c>
      <c r="BK489" s="9" t="str">
        <f>IF($B489="","",COUNTIFS($B$5:$B489,$B489,$BF$5:$BF489,$BF489))</f>
        <v/>
      </c>
      <c r="BL489" s="9" t="str">
        <f>IF($B489="","",COUNTIFS($B$5:$B489,$B489,$BH$5:$BH489,$BH489))</f>
        <v/>
      </c>
      <c r="BM489" s="9" t="str">
        <f t="shared" si="86"/>
        <v/>
      </c>
      <c r="BN489" s="9" t="str">
        <f t="shared" si="87"/>
        <v/>
      </c>
      <c r="BO489" s="9">
        <f t="shared" si="88"/>
        <v>0</v>
      </c>
      <c r="BR489" s="12" t="str">
        <f t="shared" si="89"/>
        <v/>
      </c>
    </row>
    <row r="490" spans="1:70" ht="14.25" customHeight="1">
      <c r="A490" s="26"/>
      <c r="C490" s="26"/>
      <c r="D490" s="27"/>
      <c r="E490" s="27"/>
      <c r="BE490" s="10" t="str">
        <f t="shared" si="80"/>
        <v/>
      </c>
      <c r="BF490" s="8" t="str">
        <f t="shared" si="81"/>
        <v/>
      </c>
      <c r="BG490" s="11" t="str">
        <f t="shared" si="82"/>
        <v/>
      </c>
      <c r="BH490" s="8" t="str">
        <f t="shared" si="83"/>
        <v/>
      </c>
      <c r="BI490" s="8" t="str">
        <f t="shared" si="84"/>
        <v/>
      </c>
      <c r="BJ490" s="9" t="str">
        <f t="shared" si="85"/>
        <v/>
      </c>
      <c r="BK490" s="9" t="str">
        <f>IF($B490="","",COUNTIFS($B$5:$B490,$B490,$BF$5:$BF490,$BF490))</f>
        <v/>
      </c>
      <c r="BL490" s="9" t="str">
        <f>IF($B490="","",COUNTIFS($B$5:$B490,$B490,$BH$5:$BH490,$BH490))</f>
        <v/>
      </c>
      <c r="BM490" s="9" t="str">
        <f t="shared" si="86"/>
        <v/>
      </c>
      <c r="BN490" s="9" t="str">
        <f t="shared" si="87"/>
        <v/>
      </c>
      <c r="BO490" s="9">
        <f t="shared" si="88"/>
        <v>0</v>
      </c>
      <c r="BR490" s="12" t="str">
        <f t="shared" si="89"/>
        <v/>
      </c>
    </row>
    <row r="491" spans="1:70" ht="14.25" customHeight="1">
      <c r="A491" s="26"/>
      <c r="C491" s="26"/>
      <c r="D491" s="27"/>
      <c r="E491" s="27"/>
      <c r="BE491" s="10" t="str">
        <f t="shared" si="80"/>
        <v/>
      </c>
      <c r="BF491" s="8" t="str">
        <f t="shared" si="81"/>
        <v/>
      </c>
      <c r="BG491" s="11" t="str">
        <f t="shared" si="82"/>
        <v/>
      </c>
      <c r="BH491" s="8" t="str">
        <f t="shared" si="83"/>
        <v/>
      </c>
      <c r="BI491" s="8" t="str">
        <f t="shared" si="84"/>
        <v/>
      </c>
      <c r="BJ491" s="9" t="str">
        <f t="shared" si="85"/>
        <v/>
      </c>
      <c r="BK491" s="9" t="str">
        <f>IF($B491="","",COUNTIFS($B$5:$B491,$B491,$BF$5:$BF491,$BF491))</f>
        <v/>
      </c>
      <c r="BL491" s="9" t="str">
        <f>IF($B491="","",COUNTIFS($B$5:$B491,$B491,$BH$5:$BH491,$BH491))</f>
        <v/>
      </c>
      <c r="BM491" s="9" t="str">
        <f t="shared" si="86"/>
        <v/>
      </c>
      <c r="BN491" s="9" t="str">
        <f t="shared" si="87"/>
        <v/>
      </c>
      <c r="BO491" s="9">
        <f t="shared" si="88"/>
        <v>0</v>
      </c>
      <c r="BR491" s="12" t="str">
        <f t="shared" si="89"/>
        <v/>
      </c>
    </row>
    <row r="492" spans="1:70" ht="14.25" customHeight="1">
      <c r="A492" s="26"/>
      <c r="C492" s="26"/>
      <c r="D492" s="27"/>
      <c r="E492" s="27"/>
      <c r="BE492" s="10" t="str">
        <f t="shared" si="80"/>
        <v/>
      </c>
      <c r="BF492" s="8" t="str">
        <f t="shared" si="81"/>
        <v/>
      </c>
      <c r="BG492" s="11" t="str">
        <f t="shared" si="82"/>
        <v/>
      </c>
      <c r="BH492" s="8" t="str">
        <f t="shared" si="83"/>
        <v/>
      </c>
      <c r="BI492" s="8" t="str">
        <f t="shared" si="84"/>
        <v/>
      </c>
      <c r="BJ492" s="9" t="str">
        <f t="shared" si="85"/>
        <v/>
      </c>
      <c r="BK492" s="9" t="str">
        <f>IF($B492="","",COUNTIFS($B$5:$B492,$B492,$BF$5:$BF492,$BF492))</f>
        <v/>
      </c>
      <c r="BL492" s="9" t="str">
        <f>IF($B492="","",COUNTIFS($B$5:$B492,$B492,$BH$5:$BH492,$BH492))</f>
        <v/>
      </c>
      <c r="BM492" s="9" t="str">
        <f t="shared" si="86"/>
        <v/>
      </c>
      <c r="BN492" s="9" t="str">
        <f t="shared" si="87"/>
        <v/>
      </c>
      <c r="BO492" s="9">
        <f t="shared" si="88"/>
        <v>0</v>
      </c>
      <c r="BR492" s="12" t="str">
        <f t="shared" si="89"/>
        <v/>
      </c>
    </row>
    <row r="493" spans="1:70" ht="14.25" customHeight="1">
      <c r="A493" s="26"/>
      <c r="C493" s="26"/>
      <c r="D493" s="27"/>
      <c r="E493" s="27"/>
      <c r="BE493" s="10" t="str">
        <f t="shared" si="80"/>
        <v/>
      </c>
      <c r="BF493" s="8" t="str">
        <f t="shared" si="81"/>
        <v/>
      </c>
      <c r="BG493" s="11" t="str">
        <f t="shared" si="82"/>
        <v/>
      </c>
      <c r="BH493" s="8" t="str">
        <f t="shared" si="83"/>
        <v/>
      </c>
      <c r="BI493" s="8" t="str">
        <f t="shared" si="84"/>
        <v/>
      </c>
      <c r="BJ493" s="9" t="str">
        <f t="shared" si="85"/>
        <v/>
      </c>
      <c r="BK493" s="9" t="str">
        <f>IF($B493="","",COUNTIFS($B$5:$B493,$B493,$BF$5:$BF493,$BF493))</f>
        <v/>
      </c>
      <c r="BL493" s="9" t="str">
        <f>IF($B493="","",COUNTIFS($B$5:$B493,$B493,$BH$5:$BH493,$BH493))</f>
        <v/>
      </c>
      <c r="BM493" s="9" t="str">
        <f t="shared" si="86"/>
        <v/>
      </c>
      <c r="BN493" s="9" t="str">
        <f t="shared" si="87"/>
        <v/>
      </c>
      <c r="BO493" s="9">
        <f t="shared" si="88"/>
        <v>0</v>
      </c>
      <c r="BR493" s="12" t="str">
        <f t="shared" si="89"/>
        <v/>
      </c>
    </row>
    <row r="494" spans="1:70" ht="14.25" customHeight="1">
      <c r="A494" s="26"/>
      <c r="C494" s="26"/>
      <c r="D494" s="27"/>
      <c r="E494" s="27"/>
      <c r="BE494" s="10" t="str">
        <f t="shared" si="80"/>
        <v/>
      </c>
      <c r="BF494" s="8" t="str">
        <f t="shared" si="81"/>
        <v/>
      </c>
      <c r="BG494" s="11" t="str">
        <f t="shared" si="82"/>
        <v/>
      </c>
      <c r="BH494" s="8" t="str">
        <f t="shared" si="83"/>
        <v/>
      </c>
      <c r="BI494" s="8" t="str">
        <f t="shared" si="84"/>
        <v/>
      </c>
      <c r="BJ494" s="9" t="str">
        <f t="shared" si="85"/>
        <v/>
      </c>
      <c r="BK494" s="9" t="str">
        <f>IF($B494="","",COUNTIFS($B$5:$B494,$B494,$BF$5:$BF494,$BF494))</f>
        <v/>
      </c>
      <c r="BL494" s="9" t="str">
        <f>IF($B494="","",COUNTIFS($B$5:$B494,$B494,$BH$5:$BH494,$BH494))</f>
        <v/>
      </c>
      <c r="BM494" s="9" t="str">
        <f t="shared" si="86"/>
        <v/>
      </c>
      <c r="BN494" s="9" t="str">
        <f t="shared" si="87"/>
        <v/>
      </c>
      <c r="BO494" s="9">
        <f t="shared" si="88"/>
        <v>0</v>
      </c>
      <c r="BR494" s="12" t="str">
        <f t="shared" si="89"/>
        <v/>
      </c>
    </row>
    <row r="495" spans="1:70" ht="14.25" customHeight="1">
      <c r="A495" s="26"/>
      <c r="C495" s="26"/>
      <c r="D495" s="27"/>
      <c r="E495" s="27"/>
      <c r="BE495" s="10" t="str">
        <f t="shared" si="80"/>
        <v/>
      </c>
      <c r="BF495" s="8" t="str">
        <f t="shared" si="81"/>
        <v/>
      </c>
      <c r="BG495" s="11" t="str">
        <f t="shared" si="82"/>
        <v/>
      </c>
      <c r="BH495" s="8" t="str">
        <f t="shared" si="83"/>
        <v/>
      </c>
      <c r="BI495" s="8" t="str">
        <f t="shared" si="84"/>
        <v/>
      </c>
      <c r="BJ495" s="9" t="str">
        <f t="shared" si="85"/>
        <v/>
      </c>
      <c r="BK495" s="9" t="str">
        <f>IF($B495="","",COUNTIFS($B$5:$B495,$B495,$BF$5:$BF495,$BF495))</f>
        <v/>
      </c>
      <c r="BL495" s="9" t="str">
        <f>IF($B495="","",COUNTIFS($B$5:$B495,$B495,$BH$5:$BH495,$BH495))</f>
        <v/>
      </c>
      <c r="BM495" s="9" t="str">
        <f t="shared" si="86"/>
        <v/>
      </c>
      <c r="BN495" s="9" t="str">
        <f t="shared" si="87"/>
        <v/>
      </c>
      <c r="BO495" s="9">
        <f t="shared" si="88"/>
        <v>0</v>
      </c>
      <c r="BR495" s="12" t="str">
        <f t="shared" si="89"/>
        <v/>
      </c>
    </row>
    <row r="496" spans="1:70" ht="14.25" customHeight="1">
      <c r="A496" s="26"/>
      <c r="C496" s="26"/>
      <c r="D496" s="27"/>
      <c r="E496" s="27"/>
      <c r="BE496" s="10" t="str">
        <f t="shared" si="80"/>
        <v/>
      </c>
      <c r="BF496" s="8" t="str">
        <f t="shared" si="81"/>
        <v/>
      </c>
      <c r="BG496" s="11" t="str">
        <f t="shared" si="82"/>
        <v/>
      </c>
      <c r="BH496" s="8" t="str">
        <f t="shared" si="83"/>
        <v/>
      </c>
      <c r="BI496" s="8" t="str">
        <f t="shared" si="84"/>
        <v/>
      </c>
      <c r="BJ496" s="9" t="str">
        <f t="shared" si="85"/>
        <v/>
      </c>
      <c r="BK496" s="9" t="str">
        <f>IF($B496="","",COUNTIFS($B$5:$B496,$B496,$BF$5:$BF496,$BF496))</f>
        <v/>
      </c>
      <c r="BL496" s="9" t="str">
        <f>IF($B496="","",COUNTIFS($B$5:$B496,$B496,$BH$5:$BH496,$BH496))</f>
        <v/>
      </c>
      <c r="BM496" s="9" t="str">
        <f t="shared" si="86"/>
        <v/>
      </c>
      <c r="BN496" s="9" t="str">
        <f t="shared" si="87"/>
        <v/>
      </c>
      <c r="BO496" s="9">
        <f t="shared" si="88"/>
        <v>0</v>
      </c>
      <c r="BR496" s="12" t="str">
        <f t="shared" si="89"/>
        <v/>
      </c>
    </row>
    <row r="497" spans="1:70" ht="14.25" customHeight="1">
      <c r="A497" s="26"/>
      <c r="C497" s="26"/>
      <c r="D497" s="27"/>
      <c r="E497" s="27"/>
      <c r="BE497" s="10" t="str">
        <f t="shared" si="80"/>
        <v/>
      </c>
      <c r="BF497" s="8" t="str">
        <f t="shared" si="81"/>
        <v/>
      </c>
      <c r="BG497" s="11" t="str">
        <f t="shared" si="82"/>
        <v/>
      </c>
      <c r="BH497" s="8" t="str">
        <f t="shared" si="83"/>
        <v/>
      </c>
      <c r="BI497" s="8" t="str">
        <f t="shared" si="84"/>
        <v/>
      </c>
      <c r="BJ497" s="9" t="str">
        <f t="shared" si="85"/>
        <v/>
      </c>
      <c r="BK497" s="9" t="str">
        <f>IF($B497="","",COUNTIFS($B$5:$B497,$B497,$BF$5:$BF497,$BF497))</f>
        <v/>
      </c>
      <c r="BL497" s="9" t="str">
        <f>IF($B497="","",COUNTIFS($B$5:$B497,$B497,$BH$5:$BH497,$BH497))</f>
        <v/>
      </c>
      <c r="BM497" s="9" t="str">
        <f t="shared" si="86"/>
        <v/>
      </c>
      <c r="BN497" s="9" t="str">
        <f t="shared" si="87"/>
        <v/>
      </c>
      <c r="BO497" s="9">
        <f t="shared" si="88"/>
        <v>0</v>
      </c>
      <c r="BR497" s="12" t="str">
        <f t="shared" si="89"/>
        <v/>
      </c>
    </row>
    <row r="498" spans="1:70" ht="14.25" customHeight="1">
      <c r="A498" s="26"/>
      <c r="C498" s="26"/>
      <c r="D498" s="27"/>
      <c r="E498" s="27"/>
      <c r="BE498" s="10" t="str">
        <f t="shared" si="80"/>
        <v/>
      </c>
      <c r="BF498" s="8" t="str">
        <f t="shared" si="81"/>
        <v/>
      </c>
      <c r="BG498" s="11" t="str">
        <f t="shared" si="82"/>
        <v/>
      </c>
      <c r="BH498" s="8" t="str">
        <f t="shared" si="83"/>
        <v/>
      </c>
      <c r="BI498" s="8" t="str">
        <f t="shared" si="84"/>
        <v/>
      </c>
      <c r="BJ498" s="9" t="str">
        <f t="shared" si="85"/>
        <v/>
      </c>
      <c r="BK498" s="9" t="str">
        <f>IF($B498="","",COUNTIFS($B$5:$B498,$B498,$BF$5:$BF498,$BF498))</f>
        <v/>
      </c>
      <c r="BL498" s="9" t="str">
        <f>IF($B498="","",COUNTIFS($B$5:$B498,$B498,$BH$5:$BH498,$BH498))</f>
        <v/>
      </c>
      <c r="BM498" s="9" t="str">
        <f t="shared" si="86"/>
        <v/>
      </c>
      <c r="BN498" s="9" t="str">
        <f t="shared" si="87"/>
        <v/>
      </c>
      <c r="BO498" s="9">
        <f t="shared" si="88"/>
        <v>0</v>
      </c>
      <c r="BR498" s="12" t="str">
        <f t="shared" si="89"/>
        <v/>
      </c>
    </row>
    <row r="499" spans="1:70" ht="14.25" customHeight="1">
      <c r="A499" s="26"/>
      <c r="C499" s="26"/>
      <c r="D499" s="27"/>
      <c r="E499" s="27"/>
      <c r="BE499" s="10" t="str">
        <f t="shared" si="80"/>
        <v/>
      </c>
      <c r="BF499" s="8" t="str">
        <f t="shared" si="81"/>
        <v/>
      </c>
      <c r="BG499" s="11" t="str">
        <f t="shared" si="82"/>
        <v/>
      </c>
      <c r="BH499" s="8" t="str">
        <f t="shared" si="83"/>
        <v/>
      </c>
      <c r="BI499" s="8" t="str">
        <f t="shared" si="84"/>
        <v/>
      </c>
      <c r="BJ499" s="9" t="str">
        <f t="shared" si="85"/>
        <v/>
      </c>
      <c r="BK499" s="9" t="str">
        <f>IF($B499="","",COUNTIFS($B$5:$B499,$B499,$BF$5:$BF499,$BF499))</f>
        <v/>
      </c>
      <c r="BL499" s="9" t="str">
        <f>IF($B499="","",COUNTIFS($B$5:$B499,$B499,$BH$5:$BH499,$BH499))</f>
        <v/>
      </c>
      <c r="BM499" s="9" t="str">
        <f t="shared" si="86"/>
        <v/>
      </c>
      <c r="BN499" s="9" t="str">
        <f t="shared" si="87"/>
        <v/>
      </c>
      <c r="BO499" s="9">
        <f t="shared" si="88"/>
        <v>0</v>
      </c>
      <c r="BR499" s="12" t="str">
        <f t="shared" si="89"/>
        <v/>
      </c>
    </row>
    <row r="500" spans="1:70" ht="14.25" customHeight="1">
      <c r="A500" s="26"/>
      <c r="C500" s="26"/>
      <c r="D500" s="27"/>
      <c r="E500" s="27"/>
      <c r="BE500" s="10" t="str">
        <f t="shared" si="80"/>
        <v/>
      </c>
      <c r="BF500" s="8" t="str">
        <f t="shared" si="81"/>
        <v/>
      </c>
      <c r="BG500" s="11" t="str">
        <f t="shared" si="82"/>
        <v/>
      </c>
      <c r="BH500" s="8" t="str">
        <f t="shared" si="83"/>
        <v/>
      </c>
      <c r="BI500" s="8" t="str">
        <f t="shared" si="84"/>
        <v/>
      </c>
      <c r="BJ500" s="9" t="str">
        <f t="shared" si="85"/>
        <v/>
      </c>
      <c r="BK500" s="9" t="str">
        <f>IF($B500="","",COUNTIFS($B$5:$B500,$B500,$BF$5:$BF500,$BF500))</f>
        <v/>
      </c>
      <c r="BL500" s="9" t="str">
        <f>IF($B500="","",COUNTIFS($B$5:$B500,$B500,$BH$5:$BH500,$BH500))</f>
        <v/>
      </c>
      <c r="BM500" s="9" t="str">
        <f t="shared" si="86"/>
        <v/>
      </c>
      <c r="BN500" s="9" t="str">
        <f t="shared" si="87"/>
        <v/>
      </c>
      <c r="BO500" s="9">
        <f t="shared" si="88"/>
        <v>0</v>
      </c>
      <c r="BR500" s="12" t="str">
        <f t="shared" si="89"/>
        <v/>
      </c>
    </row>
    <row r="501" spans="1:70" ht="14.25" customHeight="1">
      <c r="A501" s="26"/>
      <c r="C501" s="26"/>
      <c r="D501" s="27"/>
      <c r="E501" s="27"/>
      <c r="BE501" s="10" t="str">
        <f t="shared" si="80"/>
        <v/>
      </c>
      <c r="BF501" s="8" t="str">
        <f t="shared" si="81"/>
        <v/>
      </c>
      <c r="BG501" s="11" t="str">
        <f t="shared" si="82"/>
        <v/>
      </c>
      <c r="BH501" s="8" t="str">
        <f t="shared" si="83"/>
        <v/>
      </c>
      <c r="BI501" s="8" t="str">
        <f t="shared" si="84"/>
        <v/>
      </c>
      <c r="BJ501" s="9" t="str">
        <f t="shared" si="85"/>
        <v/>
      </c>
      <c r="BK501" s="9" t="str">
        <f>IF($B501="","",COUNTIFS($B$5:$B501,$B501,$BF$5:$BF501,$BF501))</f>
        <v/>
      </c>
      <c r="BL501" s="9" t="str">
        <f>IF($B501="","",COUNTIFS($B$5:$B501,$B501,$BH$5:$BH501,$BH501))</f>
        <v/>
      </c>
      <c r="BM501" s="9" t="str">
        <f t="shared" si="86"/>
        <v/>
      </c>
      <c r="BN501" s="9" t="str">
        <f t="shared" si="87"/>
        <v/>
      </c>
      <c r="BO501" s="9">
        <f t="shared" si="88"/>
        <v>0</v>
      </c>
      <c r="BR501" s="12" t="str">
        <f t="shared" si="89"/>
        <v/>
      </c>
    </row>
    <row r="502" spans="1:70" ht="14.25" customHeight="1">
      <c r="A502" s="26"/>
      <c r="C502" s="26"/>
      <c r="D502" s="27"/>
      <c r="E502" s="27"/>
      <c r="BE502" s="10" t="str">
        <f t="shared" si="80"/>
        <v/>
      </c>
      <c r="BF502" s="8" t="str">
        <f t="shared" si="81"/>
        <v/>
      </c>
      <c r="BG502" s="11" t="str">
        <f t="shared" si="82"/>
        <v/>
      </c>
      <c r="BH502" s="8" t="str">
        <f t="shared" si="83"/>
        <v/>
      </c>
      <c r="BI502" s="8" t="str">
        <f t="shared" si="84"/>
        <v/>
      </c>
      <c r="BJ502" s="9" t="str">
        <f t="shared" si="85"/>
        <v/>
      </c>
      <c r="BK502" s="9" t="str">
        <f>IF($B502="","",COUNTIFS($B$5:$B502,$B502,$BF$5:$BF502,$BF502))</f>
        <v/>
      </c>
      <c r="BL502" s="9" t="str">
        <f>IF($B502="","",COUNTIFS($B$5:$B502,$B502,$BH$5:$BH502,$BH502))</f>
        <v/>
      </c>
      <c r="BM502" s="9" t="str">
        <f t="shared" si="86"/>
        <v/>
      </c>
      <c r="BN502" s="9" t="str">
        <f t="shared" si="87"/>
        <v/>
      </c>
      <c r="BO502" s="9">
        <f t="shared" si="88"/>
        <v>0</v>
      </c>
      <c r="BR502" s="12" t="str">
        <f t="shared" si="89"/>
        <v/>
      </c>
    </row>
    <row r="503" spans="1:70" ht="14.25" customHeight="1">
      <c r="A503" s="26"/>
      <c r="C503" s="26"/>
      <c r="D503" s="27"/>
      <c r="E503" s="27"/>
      <c r="BE503" s="10" t="str">
        <f t="shared" si="80"/>
        <v/>
      </c>
      <c r="BF503" s="8" t="str">
        <f t="shared" si="81"/>
        <v/>
      </c>
      <c r="BG503" s="11" t="str">
        <f t="shared" si="82"/>
        <v/>
      </c>
      <c r="BH503" s="8" t="str">
        <f t="shared" si="83"/>
        <v/>
      </c>
      <c r="BI503" s="8" t="str">
        <f t="shared" si="84"/>
        <v/>
      </c>
      <c r="BJ503" s="9" t="str">
        <f t="shared" si="85"/>
        <v/>
      </c>
      <c r="BK503" s="9" t="str">
        <f>IF($B503="","",COUNTIFS($B$5:$B503,$B503,$BF$5:$BF503,$BF503))</f>
        <v/>
      </c>
      <c r="BL503" s="9" t="str">
        <f>IF($B503="","",COUNTIFS($B$5:$B503,$B503,$BH$5:$BH503,$BH503))</f>
        <v/>
      </c>
      <c r="BM503" s="9" t="str">
        <f t="shared" si="86"/>
        <v/>
      </c>
      <c r="BN503" s="9" t="str">
        <f t="shared" si="87"/>
        <v/>
      </c>
      <c r="BO503" s="9">
        <f t="shared" si="88"/>
        <v>0</v>
      </c>
      <c r="BR503" s="12" t="str">
        <f t="shared" si="89"/>
        <v/>
      </c>
    </row>
    <row r="504" spans="1:70" ht="14.25" customHeight="1">
      <c r="A504" s="26"/>
      <c r="C504" s="26"/>
      <c r="D504" s="27"/>
      <c r="E504" s="27"/>
      <c r="BE504" s="10" t="str">
        <f t="shared" si="80"/>
        <v/>
      </c>
      <c r="BF504" s="8" t="str">
        <f t="shared" si="81"/>
        <v/>
      </c>
      <c r="BG504" s="11" t="str">
        <f t="shared" si="82"/>
        <v/>
      </c>
      <c r="BH504" s="8" t="str">
        <f t="shared" si="83"/>
        <v/>
      </c>
      <c r="BI504" s="8" t="str">
        <f t="shared" si="84"/>
        <v/>
      </c>
      <c r="BJ504" s="9" t="str">
        <f t="shared" si="85"/>
        <v/>
      </c>
      <c r="BK504" s="9" t="str">
        <f>IF($B504="","",COUNTIFS($B$5:$B504,$B504,$BF$5:$BF504,$BF504))</f>
        <v/>
      </c>
      <c r="BL504" s="9" t="str">
        <f>IF($B504="","",COUNTIFS($B$5:$B504,$B504,$BH$5:$BH504,$BH504))</f>
        <v/>
      </c>
      <c r="BM504" s="9" t="str">
        <f t="shared" si="86"/>
        <v/>
      </c>
      <c r="BN504" s="9" t="str">
        <f t="shared" si="87"/>
        <v/>
      </c>
      <c r="BO504" s="9">
        <f t="shared" si="88"/>
        <v>0</v>
      </c>
      <c r="BR504" s="12" t="str">
        <f t="shared" si="89"/>
        <v/>
      </c>
    </row>
    <row r="505" spans="1:70" ht="14.25" customHeight="1">
      <c r="A505" s="26"/>
      <c r="C505" s="26"/>
      <c r="D505" s="27"/>
      <c r="E505" s="27"/>
      <c r="BE505" s="10" t="str">
        <f t="shared" si="80"/>
        <v/>
      </c>
      <c r="BF505" s="8" t="str">
        <f t="shared" si="81"/>
        <v/>
      </c>
      <c r="BG505" s="11" t="str">
        <f t="shared" si="82"/>
        <v/>
      </c>
      <c r="BH505" s="8" t="str">
        <f t="shared" si="83"/>
        <v/>
      </c>
      <c r="BI505" s="8" t="str">
        <f t="shared" si="84"/>
        <v/>
      </c>
      <c r="BJ505" s="9" t="str">
        <f t="shared" si="85"/>
        <v/>
      </c>
      <c r="BK505" s="9" t="str">
        <f>IF($B505="","",COUNTIFS($B$5:$B505,$B505,$BF$5:$BF505,$BF505))</f>
        <v/>
      </c>
      <c r="BL505" s="9" t="str">
        <f>IF($B505="","",COUNTIFS($B$5:$B505,$B505,$BH$5:$BH505,$BH505))</f>
        <v/>
      </c>
      <c r="BM505" s="9" t="str">
        <f t="shared" si="86"/>
        <v/>
      </c>
      <c r="BN505" s="9" t="str">
        <f t="shared" si="87"/>
        <v/>
      </c>
      <c r="BO505" s="9">
        <f t="shared" si="88"/>
        <v>0</v>
      </c>
      <c r="BR505" s="12" t="str">
        <f t="shared" si="89"/>
        <v/>
      </c>
    </row>
    <row r="506" spans="1:70" ht="14.25" customHeight="1">
      <c r="A506" s="26"/>
      <c r="C506" s="26"/>
      <c r="D506" s="27"/>
      <c r="E506" s="27"/>
      <c r="BE506" s="10" t="str">
        <f t="shared" si="80"/>
        <v/>
      </c>
      <c r="BF506" s="8" t="str">
        <f t="shared" si="81"/>
        <v/>
      </c>
      <c r="BG506" s="11" t="str">
        <f t="shared" si="82"/>
        <v/>
      </c>
      <c r="BH506" s="8" t="str">
        <f t="shared" si="83"/>
        <v/>
      </c>
      <c r="BI506" s="8" t="str">
        <f t="shared" si="84"/>
        <v/>
      </c>
      <c r="BJ506" s="9" t="str">
        <f t="shared" si="85"/>
        <v/>
      </c>
      <c r="BK506" s="9" t="str">
        <f>IF($B506="","",COUNTIFS($B$5:$B506,$B506,$BF$5:$BF506,$BF506))</f>
        <v/>
      </c>
      <c r="BL506" s="9" t="str">
        <f>IF($B506="","",COUNTIFS($B$5:$B506,$B506,$BH$5:$BH506,$BH506))</f>
        <v/>
      </c>
      <c r="BM506" s="9" t="str">
        <f t="shared" si="86"/>
        <v/>
      </c>
      <c r="BN506" s="9" t="str">
        <f t="shared" si="87"/>
        <v/>
      </c>
      <c r="BO506" s="9">
        <f t="shared" si="88"/>
        <v>0</v>
      </c>
      <c r="BR506" s="12" t="str">
        <f t="shared" si="89"/>
        <v/>
      </c>
    </row>
    <row r="507" spans="1:70" ht="14.25" customHeight="1">
      <c r="A507" s="26"/>
      <c r="C507" s="26"/>
      <c r="D507" s="27"/>
      <c r="E507" s="27"/>
      <c r="BE507" s="10" t="str">
        <f t="shared" si="80"/>
        <v/>
      </c>
      <c r="BF507" s="8" t="str">
        <f t="shared" si="81"/>
        <v/>
      </c>
      <c r="BG507" s="11" t="str">
        <f t="shared" si="82"/>
        <v/>
      </c>
      <c r="BH507" s="8" t="str">
        <f t="shared" si="83"/>
        <v/>
      </c>
      <c r="BI507" s="8" t="str">
        <f t="shared" si="84"/>
        <v/>
      </c>
      <c r="BJ507" s="9" t="str">
        <f t="shared" si="85"/>
        <v/>
      </c>
      <c r="BK507" s="9" t="str">
        <f>IF($B507="","",COUNTIFS($B$5:$B507,$B507,$BF$5:$BF507,$BF507))</f>
        <v/>
      </c>
      <c r="BL507" s="9" t="str">
        <f>IF($B507="","",COUNTIFS($B$5:$B507,$B507,$BH$5:$BH507,$BH507))</f>
        <v/>
      </c>
      <c r="BM507" s="9" t="str">
        <f t="shared" si="86"/>
        <v/>
      </c>
      <c r="BN507" s="9" t="str">
        <f t="shared" si="87"/>
        <v/>
      </c>
      <c r="BO507" s="9">
        <f t="shared" si="88"/>
        <v>0</v>
      </c>
      <c r="BR507" s="12" t="str">
        <f t="shared" si="89"/>
        <v/>
      </c>
    </row>
    <row r="508" spans="1:70" ht="14.25" customHeight="1">
      <c r="A508" s="26"/>
      <c r="C508" s="26"/>
      <c r="D508" s="27"/>
      <c r="E508" s="27"/>
      <c r="BE508" s="10" t="str">
        <f t="shared" si="80"/>
        <v/>
      </c>
      <c r="BF508" s="8" t="str">
        <f t="shared" si="81"/>
        <v/>
      </c>
      <c r="BG508" s="11" t="str">
        <f t="shared" si="82"/>
        <v/>
      </c>
      <c r="BH508" s="8" t="str">
        <f t="shared" si="83"/>
        <v/>
      </c>
      <c r="BI508" s="8" t="str">
        <f t="shared" si="84"/>
        <v/>
      </c>
      <c r="BJ508" s="9" t="str">
        <f t="shared" si="85"/>
        <v/>
      </c>
      <c r="BK508" s="9" t="str">
        <f>IF($B508="","",COUNTIFS($B$5:$B508,$B508,$BF$5:$BF508,$BF508))</f>
        <v/>
      </c>
      <c r="BL508" s="9" t="str">
        <f>IF($B508="","",COUNTIFS($B$5:$B508,$B508,$BH$5:$BH508,$BH508))</f>
        <v/>
      </c>
      <c r="BM508" s="9" t="str">
        <f t="shared" si="86"/>
        <v/>
      </c>
      <c r="BN508" s="9" t="str">
        <f t="shared" si="87"/>
        <v/>
      </c>
      <c r="BO508" s="9">
        <f t="shared" si="88"/>
        <v>0</v>
      </c>
      <c r="BR508" s="12" t="str">
        <f t="shared" si="89"/>
        <v/>
      </c>
    </row>
    <row r="509" spans="1:70" ht="14.25" customHeight="1">
      <c r="A509" s="26"/>
      <c r="C509" s="26"/>
      <c r="D509" s="27"/>
      <c r="E509" s="27"/>
      <c r="BE509" s="10" t="str">
        <f t="shared" si="80"/>
        <v/>
      </c>
      <c r="BF509" s="8" t="str">
        <f t="shared" si="81"/>
        <v/>
      </c>
      <c r="BG509" s="11" t="str">
        <f t="shared" si="82"/>
        <v/>
      </c>
      <c r="BH509" s="8" t="str">
        <f t="shared" si="83"/>
        <v/>
      </c>
      <c r="BI509" s="8" t="str">
        <f t="shared" si="84"/>
        <v/>
      </c>
      <c r="BJ509" s="9" t="str">
        <f t="shared" si="85"/>
        <v/>
      </c>
      <c r="BK509" s="9" t="str">
        <f>IF($B509="","",COUNTIFS($B$5:$B509,$B509,$BF$5:$BF509,$BF509))</f>
        <v/>
      </c>
      <c r="BL509" s="9" t="str">
        <f>IF($B509="","",COUNTIFS($B$5:$B509,$B509,$BH$5:$BH509,$BH509))</f>
        <v/>
      </c>
      <c r="BM509" s="9" t="str">
        <f t="shared" si="86"/>
        <v/>
      </c>
      <c r="BN509" s="9" t="str">
        <f t="shared" si="87"/>
        <v/>
      </c>
      <c r="BO509" s="9">
        <f t="shared" si="88"/>
        <v>0</v>
      </c>
      <c r="BR509" s="12" t="str">
        <f t="shared" si="89"/>
        <v/>
      </c>
    </row>
    <row r="510" spans="1:70" ht="14.25" customHeight="1">
      <c r="A510" s="26"/>
      <c r="C510" s="26"/>
      <c r="D510" s="27"/>
      <c r="E510" s="27"/>
      <c r="BE510" s="10" t="str">
        <f t="shared" si="80"/>
        <v/>
      </c>
      <c r="BF510" s="8" t="str">
        <f t="shared" si="81"/>
        <v/>
      </c>
      <c r="BG510" s="11" t="str">
        <f t="shared" si="82"/>
        <v/>
      </c>
      <c r="BH510" s="8" t="str">
        <f t="shared" si="83"/>
        <v/>
      </c>
      <c r="BI510" s="8" t="str">
        <f t="shared" si="84"/>
        <v/>
      </c>
      <c r="BJ510" s="9" t="str">
        <f t="shared" si="85"/>
        <v/>
      </c>
      <c r="BK510" s="9" t="str">
        <f>IF($B510="","",COUNTIFS($B$5:$B510,$B510,$BF$5:$BF510,$BF510))</f>
        <v/>
      </c>
      <c r="BL510" s="9" t="str">
        <f>IF($B510="","",COUNTIFS($B$5:$B510,$B510,$BH$5:$BH510,$BH510))</f>
        <v/>
      </c>
      <c r="BM510" s="9" t="str">
        <f t="shared" si="86"/>
        <v/>
      </c>
      <c r="BN510" s="9" t="str">
        <f t="shared" si="87"/>
        <v/>
      </c>
      <c r="BO510" s="9">
        <f t="shared" si="88"/>
        <v>0</v>
      </c>
      <c r="BR510" s="12" t="str">
        <f t="shared" si="89"/>
        <v/>
      </c>
    </row>
    <row r="511" spans="1:70" ht="14.25" customHeight="1">
      <c r="A511" s="26"/>
      <c r="C511" s="26"/>
      <c r="D511" s="27"/>
      <c r="E511" s="27"/>
      <c r="BE511" s="10" t="str">
        <f t="shared" si="80"/>
        <v/>
      </c>
      <c r="BF511" s="8" t="str">
        <f t="shared" si="81"/>
        <v/>
      </c>
      <c r="BG511" s="11" t="str">
        <f t="shared" si="82"/>
        <v/>
      </c>
      <c r="BH511" s="8" t="str">
        <f t="shared" si="83"/>
        <v/>
      </c>
      <c r="BI511" s="8" t="str">
        <f t="shared" si="84"/>
        <v/>
      </c>
      <c r="BJ511" s="9" t="str">
        <f t="shared" si="85"/>
        <v/>
      </c>
      <c r="BK511" s="9" t="str">
        <f>IF($B511="","",COUNTIFS($B$5:$B511,$B511,$BF$5:$BF511,$BF511))</f>
        <v/>
      </c>
      <c r="BL511" s="9" t="str">
        <f>IF($B511="","",COUNTIFS($B$5:$B511,$B511,$BH$5:$BH511,$BH511))</f>
        <v/>
      </c>
      <c r="BM511" s="9" t="str">
        <f t="shared" si="86"/>
        <v/>
      </c>
      <c r="BN511" s="9" t="str">
        <f t="shared" si="87"/>
        <v/>
      </c>
      <c r="BO511" s="9">
        <f t="shared" si="88"/>
        <v>0</v>
      </c>
      <c r="BR511" s="12" t="str">
        <f t="shared" si="89"/>
        <v/>
      </c>
    </row>
    <row r="512" spans="1:70" ht="14.25" customHeight="1">
      <c r="A512" s="26"/>
      <c r="C512" s="26"/>
      <c r="D512" s="27"/>
      <c r="E512" s="27"/>
      <c r="BE512" s="10" t="str">
        <f t="shared" si="80"/>
        <v/>
      </c>
      <c r="BF512" s="8" t="str">
        <f t="shared" si="81"/>
        <v/>
      </c>
      <c r="BG512" s="11" t="str">
        <f t="shared" si="82"/>
        <v/>
      </c>
      <c r="BH512" s="8" t="str">
        <f t="shared" si="83"/>
        <v/>
      </c>
      <c r="BI512" s="8" t="str">
        <f t="shared" si="84"/>
        <v/>
      </c>
      <c r="BJ512" s="9" t="str">
        <f t="shared" si="85"/>
        <v/>
      </c>
      <c r="BK512" s="9" t="str">
        <f>IF($B512="","",COUNTIFS($B$5:$B512,$B512,$BF$5:$BF512,$BF512))</f>
        <v/>
      </c>
      <c r="BL512" s="9" t="str">
        <f>IF($B512="","",COUNTIFS($B$5:$B512,$B512,$BH$5:$BH512,$BH512))</f>
        <v/>
      </c>
      <c r="BM512" s="9" t="str">
        <f t="shared" si="86"/>
        <v/>
      </c>
      <c r="BN512" s="9" t="str">
        <f t="shared" si="87"/>
        <v/>
      </c>
      <c r="BO512" s="9">
        <f t="shared" si="88"/>
        <v>0</v>
      </c>
      <c r="BR512" s="12" t="str">
        <f t="shared" si="89"/>
        <v/>
      </c>
    </row>
    <row r="513" spans="1:70" ht="14.25" customHeight="1">
      <c r="A513" s="26"/>
      <c r="C513" s="26"/>
      <c r="D513" s="27"/>
      <c r="E513" s="27"/>
      <c r="BE513" s="10" t="str">
        <f t="shared" si="80"/>
        <v/>
      </c>
      <c r="BF513" s="8" t="str">
        <f t="shared" si="81"/>
        <v/>
      </c>
      <c r="BG513" s="11" t="str">
        <f t="shared" si="82"/>
        <v/>
      </c>
      <c r="BH513" s="8" t="str">
        <f t="shared" si="83"/>
        <v/>
      </c>
      <c r="BI513" s="8" t="str">
        <f t="shared" si="84"/>
        <v/>
      </c>
      <c r="BJ513" s="9" t="str">
        <f t="shared" si="85"/>
        <v/>
      </c>
      <c r="BK513" s="9" t="str">
        <f>IF($B513="","",COUNTIFS($B$5:$B513,$B513,$BF$5:$BF513,$BF513))</f>
        <v/>
      </c>
      <c r="BL513" s="9" t="str">
        <f>IF($B513="","",COUNTIFS($B$5:$B513,$B513,$BH$5:$BH513,$BH513))</f>
        <v/>
      </c>
      <c r="BM513" s="9" t="str">
        <f t="shared" si="86"/>
        <v/>
      </c>
      <c r="BN513" s="9" t="str">
        <f t="shared" si="87"/>
        <v/>
      </c>
      <c r="BO513" s="9">
        <f t="shared" si="88"/>
        <v>0</v>
      </c>
      <c r="BR513" s="12" t="str">
        <f t="shared" si="89"/>
        <v/>
      </c>
    </row>
    <row r="514" spans="1:70" ht="14.25" customHeight="1">
      <c r="A514" s="26"/>
      <c r="C514" s="26"/>
      <c r="D514" s="27"/>
      <c r="E514" s="27"/>
      <c r="BE514" s="10" t="str">
        <f t="shared" si="80"/>
        <v/>
      </c>
      <c r="BF514" s="8" t="str">
        <f t="shared" si="81"/>
        <v/>
      </c>
      <c r="BG514" s="11" t="str">
        <f t="shared" si="82"/>
        <v/>
      </c>
      <c r="BH514" s="8" t="str">
        <f t="shared" si="83"/>
        <v/>
      </c>
      <c r="BI514" s="8" t="str">
        <f t="shared" si="84"/>
        <v/>
      </c>
      <c r="BJ514" s="9" t="str">
        <f t="shared" si="85"/>
        <v/>
      </c>
      <c r="BK514" s="9" t="str">
        <f>IF($B514="","",COUNTIFS($B$5:$B514,$B514,$BF$5:$BF514,$BF514))</f>
        <v/>
      </c>
      <c r="BL514" s="9" t="str">
        <f>IF($B514="","",COUNTIFS($B$5:$B514,$B514,$BH$5:$BH514,$BH514))</f>
        <v/>
      </c>
      <c r="BM514" s="9" t="str">
        <f t="shared" si="86"/>
        <v/>
      </c>
      <c r="BN514" s="9" t="str">
        <f t="shared" si="87"/>
        <v/>
      </c>
      <c r="BO514" s="9">
        <f t="shared" si="88"/>
        <v>0</v>
      </c>
      <c r="BR514" s="12" t="str">
        <f t="shared" si="89"/>
        <v/>
      </c>
    </row>
    <row r="515" spans="1:70" ht="14.25" customHeight="1">
      <c r="A515" s="26"/>
      <c r="C515" s="26"/>
      <c r="D515" s="27"/>
      <c r="E515" s="27"/>
      <c r="BE515" s="10" t="str">
        <f t="shared" si="80"/>
        <v/>
      </c>
      <c r="BF515" s="8" t="str">
        <f t="shared" si="81"/>
        <v/>
      </c>
      <c r="BG515" s="11" t="str">
        <f t="shared" si="82"/>
        <v/>
      </c>
      <c r="BH515" s="8" t="str">
        <f t="shared" si="83"/>
        <v/>
      </c>
      <c r="BI515" s="8" t="str">
        <f t="shared" si="84"/>
        <v/>
      </c>
      <c r="BJ515" s="9" t="str">
        <f t="shared" si="85"/>
        <v/>
      </c>
      <c r="BK515" s="9" t="str">
        <f>IF($B515="","",COUNTIFS($B$5:$B515,$B515,$BF$5:$BF515,$BF515))</f>
        <v/>
      </c>
      <c r="BL515" s="9" t="str">
        <f>IF($B515="","",COUNTIFS($B$5:$B515,$B515,$BH$5:$BH515,$BH515))</f>
        <v/>
      </c>
      <c r="BM515" s="9" t="str">
        <f t="shared" si="86"/>
        <v/>
      </c>
      <c r="BN515" s="9" t="str">
        <f t="shared" si="87"/>
        <v/>
      </c>
      <c r="BO515" s="9">
        <f t="shared" si="88"/>
        <v>0</v>
      </c>
      <c r="BR515" s="12" t="str">
        <f t="shared" si="89"/>
        <v/>
      </c>
    </row>
    <row r="516" spans="1:70" ht="14.25" customHeight="1">
      <c r="A516" s="26"/>
      <c r="C516" s="26"/>
      <c r="D516" s="27"/>
      <c r="E516" s="27"/>
      <c r="BE516" s="10" t="str">
        <f t="shared" si="80"/>
        <v/>
      </c>
      <c r="BF516" s="8" t="str">
        <f t="shared" si="81"/>
        <v/>
      </c>
      <c r="BG516" s="11" t="str">
        <f t="shared" si="82"/>
        <v/>
      </c>
      <c r="BH516" s="8" t="str">
        <f t="shared" si="83"/>
        <v/>
      </c>
      <c r="BI516" s="8" t="str">
        <f t="shared" si="84"/>
        <v/>
      </c>
      <c r="BJ516" s="9" t="str">
        <f t="shared" si="85"/>
        <v/>
      </c>
      <c r="BK516" s="9" t="str">
        <f>IF($B516="","",COUNTIFS($B$5:$B516,$B516,$BF$5:$BF516,$BF516))</f>
        <v/>
      </c>
      <c r="BL516" s="9" t="str">
        <f>IF($B516="","",COUNTIFS($B$5:$B516,$B516,$BH$5:$BH516,$BH516))</f>
        <v/>
      </c>
      <c r="BM516" s="9" t="str">
        <f t="shared" si="86"/>
        <v/>
      </c>
      <c r="BN516" s="9" t="str">
        <f t="shared" si="87"/>
        <v/>
      </c>
      <c r="BO516" s="9">
        <f t="shared" si="88"/>
        <v>0</v>
      </c>
      <c r="BR516" s="12" t="str">
        <f t="shared" si="89"/>
        <v/>
      </c>
    </row>
    <row r="517" spans="1:70" ht="14.25" customHeight="1">
      <c r="A517" s="26"/>
      <c r="C517" s="26"/>
      <c r="D517" s="27"/>
      <c r="E517" s="27"/>
      <c r="BE517" s="10" t="str">
        <f t="shared" si="80"/>
        <v/>
      </c>
      <c r="BF517" s="8" t="str">
        <f t="shared" si="81"/>
        <v/>
      </c>
      <c r="BG517" s="11" t="str">
        <f t="shared" si="82"/>
        <v/>
      </c>
      <c r="BH517" s="8" t="str">
        <f t="shared" si="83"/>
        <v/>
      </c>
      <c r="BI517" s="8" t="str">
        <f t="shared" si="84"/>
        <v/>
      </c>
      <c r="BJ517" s="9" t="str">
        <f t="shared" si="85"/>
        <v/>
      </c>
      <c r="BK517" s="9" t="str">
        <f>IF($B517="","",COUNTIFS($B$5:$B517,$B517,$BF$5:$BF517,$BF517))</f>
        <v/>
      </c>
      <c r="BL517" s="9" t="str">
        <f>IF($B517="","",COUNTIFS($B$5:$B517,$B517,$BH$5:$BH517,$BH517))</f>
        <v/>
      </c>
      <c r="BM517" s="9" t="str">
        <f t="shared" si="86"/>
        <v/>
      </c>
      <c r="BN517" s="9" t="str">
        <f t="shared" si="87"/>
        <v/>
      </c>
      <c r="BO517" s="9">
        <f t="shared" si="88"/>
        <v>0</v>
      </c>
      <c r="BR517" s="12" t="str">
        <f t="shared" si="89"/>
        <v/>
      </c>
    </row>
    <row r="518" spans="1:70" ht="14.25" customHeight="1">
      <c r="A518" s="26"/>
      <c r="C518" s="26"/>
      <c r="D518" s="27"/>
      <c r="E518" s="27"/>
      <c r="BE518" s="10" t="str">
        <f t="shared" si="80"/>
        <v/>
      </c>
      <c r="BF518" s="8" t="str">
        <f t="shared" si="81"/>
        <v/>
      </c>
      <c r="BG518" s="11" t="str">
        <f t="shared" si="82"/>
        <v/>
      </c>
      <c r="BH518" s="8" t="str">
        <f t="shared" si="83"/>
        <v/>
      </c>
      <c r="BI518" s="8" t="str">
        <f t="shared" si="84"/>
        <v/>
      </c>
      <c r="BJ518" s="9" t="str">
        <f t="shared" si="85"/>
        <v/>
      </c>
      <c r="BK518" s="9" t="str">
        <f>IF($B518="","",COUNTIFS($B$5:$B518,$B518,$BF$5:$BF518,$BF518))</f>
        <v/>
      </c>
      <c r="BL518" s="9" t="str">
        <f>IF($B518="","",COUNTIFS($B$5:$B518,$B518,$BH$5:$BH518,$BH518))</f>
        <v/>
      </c>
      <c r="BM518" s="9" t="str">
        <f t="shared" si="86"/>
        <v/>
      </c>
      <c r="BN518" s="9" t="str">
        <f t="shared" si="87"/>
        <v/>
      </c>
      <c r="BO518" s="9">
        <f t="shared" si="88"/>
        <v>0</v>
      </c>
      <c r="BR518" s="12" t="str">
        <f t="shared" si="89"/>
        <v/>
      </c>
    </row>
    <row r="519" spans="1:70" ht="14.25" customHeight="1">
      <c r="A519" s="26"/>
      <c r="C519" s="26"/>
      <c r="D519" s="27"/>
      <c r="E519" s="27"/>
      <c r="BE519" s="10" t="str">
        <f t="shared" si="80"/>
        <v/>
      </c>
      <c r="BF519" s="8" t="str">
        <f t="shared" si="81"/>
        <v/>
      </c>
      <c r="BG519" s="11" t="str">
        <f t="shared" si="82"/>
        <v/>
      </c>
      <c r="BH519" s="8" t="str">
        <f t="shared" si="83"/>
        <v/>
      </c>
      <c r="BI519" s="8" t="str">
        <f t="shared" si="84"/>
        <v/>
      </c>
      <c r="BJ519" s="9" t="str">
        <f t="shared" si="85"/>
        <v/>
      </c>
      <c r="BK519" s="9" t="str">
        <f>IF($B519="","",COUNTIFS($B$5:$B519,$B519,$BF$5:$BF519,$BF519))</f>
        <v/>
      </c>
      <c r="BL519" s="9" t="str">
        <f>IF($B519="","",COUNTIFS($B$5:$B519,$B519,$BH$5:$BH519,$BH519))</f>
        <v/>
      </c>
      <c r="BM519" s="9" t="str">
        <f t="shared" si="86"/>
        <v/>
      </c>
      <c r="BN519" s="9" t="str">
        <f t="shared" si="87"/>
        <v/>
      </c>
      <c r="BO519" s="9">
        <f t="shared" si="88"/>
        <v>0</v>
      </c>
      <c r="BR519" s="12" t="str">
        <f t="shared" si="89"/>
        <v/>
      </c>
    </row>
    <row r="520" spans="1:70" ht="14.25" customHeight="1">
      <c r="A520" s="26"/>
      <c r="C520" s="26"/>
      <c r="D520" s="27"/>
      <c r="E520" s="27"/>
      <c r="BE520" s="10" t="str">
        <f t="shared" si="80"/>
        <v/>
      </c>
      <c r="BF520" s="8" t="str">
        <f t="shared" si="81"/>
        <v/>
      </c>
      <c r="BG520" s="11" t="str">
        <f t="shared" si="82"/>
        <v/>
      </c>
      <c r="BH520" s="8" t="str">
        <f t="shared" si="83"/>
        <v/>
      </c>
      <c r="BI520" s="8" t="str">
        <f t="shared" si="84"/>
        <v/>
      </c>
      <c r="BJ520" s="9" t="str">
        <f t="shared" si="85"/>
        <v/>
      </c>
      <c r="BK520" s="9" t="str">
        <f>IF($B520="","",COUNTIFS($B$5:$B520,$B520,$BF$5:$BF520,$BF520))</f>
        <v/>
      </c>
      <c r="BL520" s="9" t="str">
        <f>IF($B520="","",COUNTIFS($B$5:$B520,$B520,$BH$5:$BH520,$BH520))</f>
        <v/>
      </c>
      <c r="BM520" s="9" t="str">
        <f t="shared" si="86"/>
        <v/>
      </c>
      <c r="BN520" s="9" t="str">
        <f t="shared" si="87"/>
        <v/>
      </c>
      <c r="BO520" s="9">
        <f t="shared" si="88"/>
        <v>0</v>
      </c>
      <c r="BR520" s="12" t="str">
        <f t="shared" si="89"/>
        <v/>
      </c>
    </row>
    <row r="521" spans="1:70" ht="14.25" customHeight="1">
      <c r="A521" s="26"/>
      <c r="C521" s="26"/>
      <c r="D521" s="27"/>
      <c r="E521" s="27"/>
      <c r="BE521" s="10" t="str">
        <f t="shared" si="80"/>
        <v/>
      </c>
      <c r="BF521" s="8" t="str">
        <f t="shared" si="81"/>
        <v/>
      </c>
      <c r="BG521" s="11" t="str">
        <f t="shared" si="82"/>
        <v/>
      </c>
      <c r="BH521" s="8" t="str">
        <f t="shared" si="83"/>
        <v/>
      </c>
      <c r="BI521" s="8" t="str">
        <f t="shared" si="84"/>
        <v/>
      </c>
      <c r="BJ521" s="9" t="str">
        <f t="shared" si="85"/>
        <v/>
      </c>
      <c r="BK521" s="9" t="str">
        <f>IF($B521="","",COUNTIFS($B$5:$B521,$B521,$BF$5:$BF521,$BF521))</f>
        <v/>
      </c>
      <c r="BL521" s="9" t="str">
        <f>IF($B521="","",COUNTIFS($B$5:$B521,$B521,$BH$5:$BH521,$BH521))</f>
        <v/>
      </c>
      <c r="BM521" s="9" t="str">
        <f t="shared" si="86"/>
        <v/>
      </c>
      <c r="BN521" s="9" t="str">
        <f t="shared" si="87"/>
        <v/>
      </c>
      <c r="BO521" s="9">
        <f t="shared" si="88"/>
        <v>0</v>
      </c>
      <c r="BR521" s="12" t="str">
        <f t="shared" si="89"/>
        <v/>
      </c>
    </row>
    <row r="522" spans="1:70" ht="14.25" customHeight="1">
      <c r="A522" s="26"/>
      <c r="C522" s="26"/>
      <c r="D522" s="27"/>
      <c r="E522" s="27"/>
      <c r="BE522" s="10" t="str">
        <f t="shared" si="80"/>
        <v/>
      </c>
      <c r="BF522" s="8" t="str">
        <f t="shared" si="81"/>
        <v/>
      </c>
      <c r="BG522" s="11" t="str">
        <f t="shared" si="82"/>
        <v/>
      </c>
      <c r="BH522" s="8" t="str">
        <f t="shared" si="83"/>
        <v/>
      </c>
      <c r="BI522" s="8" t="str">
        <f t="shared" si="84"/>
        <v/>
      </c>
      <c r="BJ522" s="9" t="str">
        <f t="shared" si="85"/>
        <v/>
      </c>
      <c r="BK522" s="9" t="str">
        <f>IF($B522="","",COUNTIFS($B$5:$B522,$B522,$BF$5:$BF522,$BF522))</f>
        <v/>
      </c>
      <c r="BL522" s="9" t="str">
        <f>IF($B522="","",COUNTIFS($B$5:$B522,$B522,$BH$5:$BH522,$BH522))</f>
        <v/>
      </c>
      <c r="BM522" s="9" t="str">
        <f t="shared" si="86"/>
        <v/>
      </c>
      <c r="BN522" s="9" t="str">
        <f t="shared" si="87"/>
        <v/>
      </c>
      <c r="BO522" s="9">
        <f t="shared" si="88"/>
        <v>0</v>
      </c>
      <c r="BR522" s="12" t="str">
        <f t="shared" si="89"/>
        <v/>
      </c>
    </row>
    <row r="523" spans="1:70" ht="14.25" customHeight="1">
      <c r="A523" s="26"/>
      <c r="C523" s="26"/>
      <c r="D523" s="27"/>
      <c r="E523" s="27"/>
      <c r="BE523" s="10" t="str">
        <f t="shared" si="80"/>
        <v/>
      </c>
      <c r="BF523" s="8" t="str">
        <f t="shared" si="81"/>
        <v/>
      </c>
      <c r="BG523" s="11" t="str">
        <f t="shared" si="82"/>
        <v/>
      </c>
      <c r="BH523" s="8" t="str">
        <f t="shared" si="83"/>
        <v/>
      </c>
      <c r="BI523" s="8" t="str">
        <f t="shared" si="84"/>
        <v/>
      </c>
      <c r="BJ523" s="9" t="str">
        <f t="shared" si="85"/>
        <v/>
      </c>
      <c r="BK523" s="9" t="str">
        <f>IF($B523="","",COUNTIFS($B$5:$B523,$B523,$BF$5:$BF523,$BF523))</f>
        <v/>
      </c>
      <c r="BL523" s="9" t="str">
        <f>IF($B523="","",COUNTIFS($B$5:$B523,$B523,$BH$5:$BH523,$BH523))</f>
        <v/>
      </c>
      <c r="BM523" s="9" t="str">
        <f t="shared" si="86"/>
        <v/>
      </c>
      <c r="BN523" s="9" t="str">
        <f t="shared" si="87"/>
        <v/>
      </c>
      <c r="BO523" s="9">
        <f t="shared" si="88"/>
        <v>0</v>
      </c>
      <c r="BR523" s="12" t="str">
        <f t="shared" si="89"/>
        <v/>
      </c>
    </row>
    <row r="524" spans="1:70" ht="14.25" customHeight="1">
      <c r="A524" s="26"/>
      <c r="C524" s="26"/>
      <c r="D524" s="27"/>
      <c r="E524" s="27"/>
      <c r="BE524" s="10" t="str">
        <f t="shared" si="80"/>
        <v/>
      </c>
      <c r="BF524" s="8" t="str">
        <f t="shared" si="81"/>
        <v/>
      </c>
      <c r="BG524" s="11" t="str">
        <f t="shared" si="82"/>
        <v/>
      </c>
      <c r="BH524" s="8" t="str">
        <f t="shared" si="83"/>
        <v/>
      </c>
      <c r="BI524" s="8" t="str">
        <f t="shared" si="84"/>
        <v/>
      </c>
      <c r="BJ524" s="9" t="str">
        <f t="shared" si="85"/>
        <v/>
      </c>
      <c r="BK524" s="9" t="str">
        <f>IF($B524="","",COUNTIFS($B$5:$B524,$B524,$BF$5:$BF524,$BF524))</f>
        <v/>
      </c>
      <c r="BL524" s="9" t="str">
        <f>IF($B524="","",COUNTIFS($B$5:$B524,$B524,$BH$5:$BH524,$BH524))</f>
        <v/>
      </c>
      <c r="BM524" s="9" t="str">
        <f t="shared" si="86"/>
        <v/>
      </c>
      <c r="BN524" s="9" t="str">
        <f t="shared" si="87"/>
        <v/>
      </c>
      <c r="BO524" s="9">
        <f t="shared" si="88"/>
        <v>0</v>
      </c>
      <c r="BR524" s="12" t="str">
        <f t="shared" si="89"/>
        <v/>
      </c>
    </row>
    <row r="525" spans="1:70" ht="14.25" customHeight="1">
      <c r="A525" s="26"/>
      <c r="C525" s="26"/>
      <c r="D525" s="27"/>
      <c r="E525" s="27"/>
      <c r="BE525" s="10" t="str">
        <f t="shared" si="80"/>
        <v/>
      </c>
      <c r="BF525" s="8" t="str">
        <f t="shared" si="81"/>
        <v/>
      </c>
      <c r="BG525" s="11" t="str">
        <f t="shared" si="82"/>
        <v/>
      </c>
      <c r="BH525" s="8" t="str">
        <f t="shared" si="83"/>
        <v/>
      </c>
      <c r="BI525" s="8" t="str">
        <f t="shared" si="84"/>
        <v/>
      </c>
      <c r="BJ525" s="9" t="str">
        <f t="shared" si="85"/>
        <v/>
      </c>
      <c r="BK525" s="9" t="str">
        <f>IF($B525="","",COUNTIFS($B$5:$B525,$B525,$BF$5:$BF525,$BF525))</f>
        <v/>
      </c>
      <c r="BL525" s="9" t="str">
        <f>IF($B525="","",COUNTIFS($B$5:$B525,$B525,$BH$5:$BH525,$BH525))</f>
        <v/>
      </c>
      <c r="BM525" s="9" t="str">
        <f t="shared" si="86"/>
        <v/>
      </c>
      <c r="BN525" s="9" t="str">
        <f t="shared" si="87"/>
        <v/>
      </c>
      <c r="BO525" s="9">
        <f t="shared" si="88"/>
        <v>0</v>
      </c>
      <c r="BR525" s="12" t="str">
        <f t="shared" si="89"/>
        <v/>
      </c>
    </row>
    <row r="526" spans="1:70" ht="14.25" customHeight="1">
      <c r="A526" s="26"/>
      <c r="C526" s="26"/>
      <c r="D526" s="27"/>
      <c r="E526" s="27"/>
      <c r="BE526" s="10" t="str">
        <f t="shared" si="80"/>
        <v/>
      </c>
      <c r="BF526" s="8" t="str">
        <f t="shared" si="81"/>
        <v/>
      </c>
      <c r="BG526" s="11" t="str">
        <f t="shared" si="82"/>
        <v/>
      </c>
      <c r="BH526" s="8" t="str">
        <f t="shared" si="83"/>
        <v/>
      </c>
      <c r="BI526" s="8" t="str">
        <f t="shared" si="84"/>
        <v/>
      </c>
      <c r="BJ526" s="9" t="str">
        <f t="shared" si="85"/>
        <v/>
      </c>
      <c r="BK526" s="9" t="str">
        <f>IF($B526="","",COUNTIFS($B$5:$B526,$B526,$BF$5:$BF526,$BF526))</f>
        <v/>
      </c>
      <c r="BL526" s="9" t="str">
        <f>IF($B526="","",COUNTIFS($B$5:$B526,$B526,$BH$5:$BH526,$BH526))</f>
        <v/>
      </c>
      <c r="BM526" s="9" t="str">
        <f t="shared" si="86"/>
        <v/>
      </c>
      <c r="BN526" s="9" t="str">
        <f t="shared" si="87"/>
        <v/>
      </c>
      <c r="BO526" s="9">
        <f t="shared" si="88"/>
        <v>0</v>
      </c>
      <c r="BR526" s="12" t="str">
        <f t="shared" si="89"/>
        <v/>
      </c>
    </row>
    <row r="527" spans="1:70" ht="14.25" customHeight="1">
      <c r="A527" s="26"/>
      <c r="C527" s="26"/>
      <c r="D527" s="27"/>
      <c r="E527" s="27"/>
      <c r="BE527" s="10" t="str">
        <f t="shared" si="80"/>
        <v/>
      </c>
      <c r="BF527" s="8" t="str">
        <f t="shared" si="81"/>
        <v/>
      </c>
      <c r="BG527" s="11" t="str">
        <f t="shared" si="82"/>
        <v/>
      </c>
      <c r="BH527" s="8" t="str">
        <f t="shared" si="83"/>
        <v/>
      </c>
      <c r="BI527" s="8" t="str">
        <f t="shared" si="84"/>
        <v/>
      </c>
      <c r="BJ527" s="9" t="str">
        <f t="shared" si="85"/>
        <v/>
      </c>
      <c r="BK527" s="9" t="str">
        <f>IF($B527="","",COUNTIFS($B$5:$B527,$B527,$BF$5:$BF527,$BF527))</f>
        <v/>
      </c>
      <c r="BL527" s="9" t="str">
        <f>IF($B527="","",COUNTIFS($B$5:$B527,$B527,$BH$5:$BH527,$BH527))</f>
        <v/>
      </c>
      <c r="BM527" s="9" t="str">
        <f t="shared" si="86"/>
        <v/>
      </c>
      <c r="BN527" s="9" t="str">
        <f t="shared" si="87"/>
        <v/>
      </c>
      <c r="BO527" s="9">
        <f t="shared" si="88"/>
        <v>0</v>
      </c>
      <c r="BR527" s="12" t="str">
        <f t="shared" si="89"/>
        <v/>
      </c>
    </row>
    <row r="528" spans="1:70" ht="14.25" customHeight="1">
      <c r="A528" s="26"/>
      <c r="C528" s="26"/>
      <c r="D528" s="27"/>
      <c r="E528" s="27"/>
      <c r="BE528" s="10" t="str">
        <f t="shared" si="80"/>
        <v/>
      </c>
      <c r="BF528" s="8" t="str">
        <f t="shared" si="81"/>
        <v/>
      </c>
      <c r="BG528" s="11" t="str">
        <f t="shared" si="82"/>
        <v/>
      </c>
      <c r="BH528" s="8" t="str">
        <f t="shared" si="83"/>
        <v/>
      </c>
      <c r="BI528" s="8" t="str">
        <f t="shared" si="84"/>
        <v/>
      </c>
      <c r="BJ528" s="9" t="str">
        <f t="shared" si="85"/>
        <v/>
      </c>
      <c r="BK528" s="9" t="str">
        <f>IF($B528="","",COUNTIFS($B$5:$B528,$B528,$BF$5:$BF528,$BF528))</f>
        <v/>
      </c>
      <c r="BL528" s="9" t="str">
        <f>IF($B528="","",COUNTIFS($B$5:$B528,$B528,$BH$5:$BH528,$BH528))</f>
        <v/>
      </c>
      <c r="BM528" s="9" t="str">
        <f t="shared" si="86"/>
        <v/>
      </c>
      <c r="BN528" s="9" t="str">
        <f t="shared" si="87"/>
        <v/>
      </c>
      <c r="BO528" s="9">
        <f t="shared" si="88"/>
        <v>0</v>
      </c>
      <c r="BR528" s="12" t="str">
        <f t="shared" si="89"/>
        <v/>
      </c>
    </row>
    <row r="529" spans="1:70" ht="14.25" customHeight="1">
      <c r="A529" s="26"/>
      <c r="C529" s="26"/>
      <c r="D529" s="27"/>
      <c r="E529" s="27"/>
      <c r="BE529" s="10" t="str">
        <f t="shared" si="80"/>
        <v/>
      </c>
      <c r="BF529" s="8" t="str">
        <f t="shared" si="81"/>
        <v/>
      </c>
      <c r="BG529" s="11" t="str">
        <f t="shared" si="82"/>
        <v/>
      </c>
      <c r="BH529" s="8" t="str">
        <f t="shared" si="83"/>
        <v/>
      </c>
      <c r="BI529" s="8" t="str">
        <f t="shared" si="84"/>
        <v/>
      </c>
      <c r="BJ529" s="9" t="str">
        <f t="shared" si="85"/>
        <v/>
      </c>
      <c r="BK529" s="9" t="str">
        <f>IF($B529="","",COUNTIFS($B$5:$B529,$B529,$BF$5:$BF529,$BF529))</f>
        <v/>
      </c>
      <c r="BL529" s="9" t="str">
        <f>IF($B529="","",COUNTIFS($B$5:$B529,$B529,$BH$5:$BH529,$BH529))</f>
        <v/>
      </c>
      <c r="BM529" s="9" t="str">
        <f t="shared" si="86"/>
        <v/>
      </c>
      <c r="BN529" s="9" t="str">
        <f t="shared" si="87"/>
        <v/>
      </c>
      <c r="BO529" s="9">
        <f t="shared" si="88"/>
        <v>0</v>
      </c>
      <c r="BR529" s="12" t="str">
        <f t="shared" si="89"/>
        <v/>
      </c>
    </row>
    <row r="530" spans="1:70" ht="14.25" customHeight="1">
      <c r="A530" s="26"/>
      <c r="C530" s="26"/>
      <c r="D530" s="27"/>
      <c r="E530" s="27"/>
      <c r="BE530" s="10" t="str">
        <f t="shared" si="80"/>
        <v/>
      </c>
      <c r="BF530" s="8" t="str">
        <f t="shared" si="81"/>
        <v/>
      </c>
      <c r="BG530" s="11" t="str">
        <f t="shared" si="82"/>
        <v/>
      </c>
      <c r="BH530" s="8" t="str">
        <f t="shared" si="83"/>
        <v/>
      </c>
      <c r="BI530" s="8" t="str">
        <f t="shared" si="84"/>
        <v/>
      </c>
      <c r="BJ530" s="9" t="str">
        <f t="shared" si="85"/>
        <v/>
      </c>
      <c r="BK530" s="9" t="str">
        <f>IF($B530="","",COUNTIFS($B$5:$B530,$B530,$BF$5:$BF530,$BF530))</f>
        <v/>
      </c>
      <c r="BL530" s="9" t="str">
        <f>IF($B530="","",COUNTIFS($B$5:$B530,$B530,$BH$5:$BH530,$BH530))</f>
        <v/>
      </c>
      <c r="BM530" s="9" t="str">
        <f t="shared" si="86"/>
        <v/>
      </c>
      <c r="BN530" s="9" t="str">
        <f t="shared" si="87"/>
        <v/>
      </c>
      <c r="BO530" s="9">
        <f t="shared" si="88"/>
        <v>0</v>
      </c>
      <c r="BR530" s="12" t="str">
        <f t="shared" si="89"/>
        <v/>
      </c>
    </row>
    <row r="531" spans="1:70" ht="14.25" customHeight="1">
      <c r="A531" s="26"/>
      <c r="C531" s="26"/>
      <c r="D531" s="27"/>
      <c r="E531" s="27"/>
      <c r="BE531" s="10" t="str">
        <f t="shared" si="80"/>
        <v/>
      </c>
      <c r="BF531" s="8" t="str">
        <f t="shared" si="81"/>
        <v/>
      </c>
      <c r="BG531" s="11" t="str">
        <f t="shared" si="82"/>
        <v/>
      </c>
      <c r="BH531" s="8" t="str">
        <f t="shared" si="83"/>
        <v/>
      </c>
      <c r="BI531" s="8" t="str">
        <f t="shared" si="84"/>
        <v/>
      </c>
      <c r="BJ531" s="9" t="str">
        <f t="shared" si="85"/>
        <v/>
      </c>
      <c r="BK531" s="9" t="str">
        <f>IF($B531="","",COUNTIFS($B$5:$B531,$B531,$BF$5:$BF531,$BF531))</f>
        <v/>
      </c>
      <c r="BL531" s="9" t="str">
        <f>IF($B531="","",COUNTIFS($B$5:$B531,$B531,$BH$5:$BH531,$BH531))</f>
        <v/>
      </c>
      <c r="BM531" s="9" t="str">
        <f t="shared" si="86"/>
        <v/>
      </c>
      <c r="BN531" s="9" t="str">
        <f t="shared" si="87"/>
        <v/>
      </c>
      <c r="BO531" s="9">
        <f t="shared" si="88"/>
        <v>0</v>
      </c>
      <c r="BR531" s="12" t="str">
        <f t="shared" si="89"/>
        <v/>
      </c>
    </row>
    <row r="532" spans="1:70" ht="14.25" customHeight="1">
      <c r="A532" s="26"/>
      <c r="C532" s="26"/>
      <c r="D532" s="27"/>
      <c r="E532" s="27"/>
      <c r="BE532" s="10" t="str">
        <f t="shared" si="80"/>
        <v/>
      </c>
      <c r="BF532" s="8" t="str">
        <f t="shared" si="81"/>
        <v/>
      </c>
      <c r="BG532" s="11" t="str">
        <f t="shared" si="82"/>
        <v/>
      </c>
      <c r="BH532" s="8" t="str">
        <f t="shared" si="83"/>
        <v/>
      </c>
      <c r="BI532" s="8" t="str">
        <f t="shared" si="84"/>
        <v/>
      </c>
      <c r="BJ532" s="9" t="str">
        <f t="shared" si="85"/>
        <v/>
      </c>
      <c r="BK532" s="9" t="str">
        <f>IF($B532="","",COUNTIFS($B$5:$B532,$B532,$BF$5:$BF532,$BF532))</f>
        <v/>
      </c>
      <c r="BL532" s="9" t="str">
        <f>IF($B532="","",COUNTIFS($B$5:$B532,$B532,$BH$5:$BH532,$BH532))</f>
        <v/>
      </c>
      <c r="BM532" s="9" t="str">
        <f t="shared" si="86"/>
        <v/>
      </c>
      <c r="BN532" s="9" t="str">
        <f t="shared" si="87"/>
        <v/>
      </c>
      <c r="BO532" s="9">
        <f t="shared" si="88"/>
        <v>0</v>
      </c>
      <c r="BR532" s="12" t="str">
        <f t="shared" si="89"/>
        <v/>
      </c>
    </row>
    <row r="533" spans="1:70" ht="14.25" customHeight="1">
      <c r="A533" s="26"/>
      <c r="C533" s="26"/>
      <c r="D533" s="27"/>
      <c r="E533" s="27"/>
      <c r="BE533" s="10" t="str">
        <f t="shared" si="80"/>
        <v/>
      </c>
      <c r="BF533" s="8" t="str">
        <f t="shared" si="81"/>
        <v/>
      </c>
      <c r="BG533" s="11" t="str">
        <f t="shared" si="82"/>
        <v/>
      </c>
      <c r="BH533" s="8" t="str">
        <f t="shared" si="83"/>
        <v/>
      </c>
      <c r="BI533" s="8" t="str">
        <f t="shared" si="84"/>
        <v/>
      </c>
      <c r="BJ533" s="9" t="str">
        <f t="shared" si="85"/>
        <v/>
      </c>
      <c r="BK533" s="9" t="str">
        <f>IF($B533="","",COUNTIFS($B$5:$B533,$B533,$BF$5:$BF533,$BF533))</f>
        <v/>
      </c>
      <c r="BL533" s="9" t="str">
        <f>IF($B533="","",COUNTIFS($B$5:$B533,$B533,$BH$5:$BH533,$BH533))</f>
        <v/>
      </c>
      <c r="BM533" s="9" t="str">
        <f t="shared" si="86"/>
        <v/>
      </c>
      <c r="BN533" s="9" t="str">
        <f t="shared" si="87"/>
        <v/>
      </c>
      <c r="BO533" s="9">
        <f t="shared" si="88"/>
        <v>0</v>
      </c>
      <c r="BR533" s="12" t="str">
        <f t="shared" si="89"/>
        <v/>
      </c>
    </row>
    <row r="534" spans="1:70" ht="14.25" customHeight="1">
      <c r="A534" s="26"/>
      <c r="C534" s="26"/>
      <c r="D534" s="27"/>
      <c r="E534" s="27"/>
      <c r="BE534" s="10" t="str">
        <f t="shared" si="80"/>
        <v/>
      </c>
      <c r="BF534" s="8" t="str">
        <f t="shared" si="81"/>
        <v/>
      </c>
      <c r="BG534" s="11" t="str">
        <f t="shared" si="82"/>
        <v/>
      </c>
      <c r="BH534" s="8" t="str">
        <f t="shared" si="83"/>
        <v/>
      </c>
      <c r="BI534" s="8" t="str">
        <f t="shared" si="84"/>
        <v/>
      </c>
      <c r="BJ534" s="9" t="str">
        <f t="shared" si="85"/>
        <v/>
      </c>
      <c r="BK534" s="9" t="str">
        <f>IF($B534="","",COUNTIFS($B$5:$B534,$B534,$BF$5:$BF534,$BF534))</f>
        <v/>
      </c>
      <c r="BL534" s="9" t="str">
        <f>IF($B534="","",COUNTIFS($B$5:$B534,$B534,$BH$5:$BH534,$BH534))</f>
        <v/>
      </c>
      <c r="BM534" s="9" t="str">
        <f t="shared" si="86"/>
        <v/>
      </c>
      <c r="BN534" s="9" t="str">
        <f t="shared" si="87"/>
        <v/>
      </c>
      <c r="BO534" s="9">
        <f t="shared" si="88"/>
        <v>0</v>
      </c>
      <c r="BR534" s="12" t="str">
        <f t="shared" si="89"/>
        <v/>
      </c>
    </row>
    <row r="535" spans="1:70" ht="14.25" customHeight="1">
      <c r="A535" s="26"/>
      <c r="C535" s="26"/>
      <c r="D535" s="27"/>
      <c r="E535" s="27"/>
      <c r="BE535" s="10" t="str">
        <f t="shared" si="80"/>
        <v/>
      </c>
      <c r="BF535" s="8" t="str">
        <f t="shared" si="81"/>
        <v/>
      </c>
      <c r="BG535" s="11" t="str">
        <f t="shared" si="82"/>
        <v/>
      </c>
      <c r="BH535" s="8" t="str">
        <f t="shared" si="83"/>
        <v/>
      </c>
      <c r="BI535" s="8" t="str">
        <f t="shared" si="84"/>
        <v/>
      </c>
      <c r="BJ535" s="9" t="str">
        <f t="shared" si="85"/>
        <v/>
      </c>
      <c r="BK535" s="9" t="str">
        <f>IF($B535="","",COUNTIFS($B$5:$B535,$B535,$BF$5:$BF535,$BF535))</f>
        <v/>
      </c>
      <c r="BL535" s="9" t="str">
        <f>IF($B535="","",COUNTIFS($B$5:$B535,$B535,$BH$5:$BH535,$BH535))</f>
        <v/>
      </c>
      <c r="BM535" s="9" t="str">
        <f t="shared" si="86"/>
        <v/>
      </c>
      <c r="BN535" s="9" t="str">
        <f t="shared" si="87"/>
        <v/>
      </c>
      <c r="BO535" s="9">
        <f t="shared" si="88"/>
        <v>0</v>
      </c>
      <c r="BR535" s="12" t="str">
        <f t="shared" si="89"/>
        <v/>
      </c>
    </row>
    <row r="536" spans="1:70" ht="14.25" customHeight="1">
      <c r="A536" s="26"/>
      <c r="C536" s="26"/>
      <c r="D536" s="27"/>
      <c r="E536" s="27"/>
      <c r="BE536" s="10" t="str">
        <f t="shared" si="80"/>
        <v/>
      </c>
      <c r="BF536" s="8" t="str">
        <f t="shared" si="81"/>
        <v/>
      </c>
      <c r="BG536" s="11" t="str">
        <f t="shared" si="82"/>
        <v/>
      </c>
      <c r="BH536" s="8" t="str">
        <f t="shared" si="83"/>
        <v/>
      </c>
      <c r="BI536" s="8" t="str">
        <f t="shared" si="84"/>
        <v/>
      </c>
      <c r="BJ536" s="9" t="str">
        <f t="shared" si="85"/>
        <v/>
      </c>
      <c r="BK536" s="9" t="str">
        <f>IF($B536="","",COUNTIFS($B$5:$B536,$B536,$BF$5:$BF536,$BF536))</f>
        <v/>
      </c>
      <c r="BL536" s="9" t="str">
        <f>IF($B536="","",COUNTIFS($B$5:$B536,$B536,$BH$5:$BH536,$BH536))</f>
        <v/>
      </c>
      <c r="BM536" s="9" t="str">
        <f t="shared" si="86"/>
        <v/>
      </c>
      <c r="BN536" s="9" t="str">
        <f t="shared" si="87"/>
        <v/>
      </c>
      <c r="BO536" s="9">
        <f t="shared" si="88"/>
        <v>0</v>
      </c>
      <c r="BR536" s="12" t="str">
        <f t="shared" si="89"/>
        <v/>
      </c>
    </row>
    <row r="537" spans="1:70" ht="14.25" customHeight="1">
      <c r="A537" s="26"/>
      <c r="C537" s="26"/>
      <c r="D537" s="27"/>
      <c r="E537" s="27"/>
      <c r="BE537" s="10" t="str">
        <f t="shared" si="80"/>
        <v/>
      </c>
      <c r="BF537" s="8" t="str">
        <f t="shared" si="81"/>
        <v/>
      </c>
      <c r="BG537" s="11" t="str">
        <f t="shared" si="82"/>
        <v/>
      </c>
      <c r="BH537" s="8" t="str">
        <f t="shared" si="83"/>
        <v/>
      </c>
      <c r="BI537" s="8" t="str">
        <f t="shared" si="84"/>
        <v/>
      </c>
      <c r="BJ537" s="9" t="str">
        <f t="shared" si="85"/>
        <v/>
      </c>
      <c r="BK537" s="9" t="str">
        <f>IF($B537="","",COUNTIFS($B$5:$B537,$B537,$BF$5:$BF537,$BF537))</f>
        <v/>
      </c>
      <c r="BL537" s="9" t="str">
        <f>IF($B537="","",COUNTIFS($B$5:$B537,$B537,$BH$5:$BH537,$BH537))</f>
        <v/>
      </c>
      <c r="BM537" s="9" t="str">
        <f t="shared" si="86"/>
        <v/>
      </c>
      <c r="BN537" s="9" t="str">
        <f t="shared" si="87"/>
        <v/>
      </c>
      <c r="BO537" s="9">
        <f t="shared" si="88"/>
        <v>0</v>
      </c>
      <c r="BR537" s="12" t="str">
        <f t="shared" si="89"/>
        <v/>
      </c>
    </row>
    <row r="538" spans="1:70" ht="14.25" customHeight="1">
      <c r="A538" s="26"/>
      <c r="C538" s="26"/>
      <c r="D538" s="27"/>
      <c r="E538" s="27"/>
      <c r="BE538" s="10" t="str">
        <f t="shared" si="80"/>
        <v/>
      </c>
      <c r="BF538" s="8" t="str">
        <f t="shared" si="81"/>
        <v/>
      </c>
      <c r="BG538" s="11" t="str">
        <f t="shared" si="82"/>
        <v/>
      </c>
      <c r="BH538" s="8" t="str">
        <f t="shared" si="83"/>
        <v/>
      </c>
      <c r="BI538" s="8" t="str">
        <f t="shared" si="84"/>
        <v/>
      </c>
      <c r="BJ538" s="9" t="str">
        <f t="shared" si="85"/>
        <v/>
      </c>
      <c r="BK538" s="9" t="str">
        <f>IF($B538="","",COUNTIFS($B$5:$B538,$B538,$BF$5:$BF538,$BF538))</f>
        <v/>
      </c>
      <c r="BL538" s="9" t="str">
        <f>IF($B538="","",COUNTIFS($B$5:$B538,$B538,$BH$5:$BH538,$BH538))</f>
        <v/>
      </c>
      <c r="BM538" s="9" t="str">
        <f t="shared" si="86"/>
        <v/>
      </c>
      <c r="BN538" s="9" t="str">
        <f t="shared" si="87"/>
        <v/>
      </c>
      <c r="BO538" s="9">
        <f t="shared" si="88"/>
        <v>0</v>
      </c>
      <c r="BR538" s="12" t="str">
        <f t="shared" si="89"/>
        <v/>
      </c>
    </row>
    <row r="539" spans="1:70" ht="14.25" customHeight="1">
      <c r="A539" s="26"/>
      <c r="C539" s="26"/>
      <c r="D539" s="27"/>
      <c r="E539" s="27"/>
      <c r="BE539" s="10" t="str">
        <f t="shared" si="80"/>
        <v/>
      </c>
      <c r="BF539" s="8" t="str">
        <f t="shared" si="81"/>
        <v/>
      </c>
      <c r="BG539" s="11" t="str">
        <f t="shared" si="82"/>
        <v/>
      </c>
      <c r="BH539" s="8" t="str">
        <f t="shared" si="83"/>
        <v/>
      </c>
      <c r="BI539" s="8" t="str">
        <f t="shared" si="84"/>
        <v/>
      </c>
      <c r="BJ539" s="9" t="str">
        <f t="shared" si="85"/>
        <v/>
      </c>
      <c r="BK539" s="9" t="str">
        <f>IF($B539="","",COUNTIFS($B$5:$B539,$B539,$BF$5:$BF539,$BF539))</f>
        <v/>
      </c>
      <c r="BL539" s="9" t="str">
        <f>IF($B539="","",COUNTIFS($B$5:$B539,$B539,$BH$5:$BH539,$BH539))</f>
        <v/>
      </c>
      <c r="BM539" s="9" t="str">
        <f t="shared" si="86"/>
        <v/>
      </c>
      <c r="BN539" s="9" t="str">
        <f t="shared" si="87"/>
        <v/>
      </c>
      <c r="BO539" s="9">
        <f t="shared" si="88"/>
        <v>0</v>
      </c>
      <c r="BR539" s="12" t="str">
        <f t="shared" si="89"/>
        <v/>
      </c>
    </row>
    <row r="540" spans="1:70" ht="14.25" customHeight="1">
      <c r="A540" s="26"/>
      <c r="C540" s="26"/>
      <c r="D540" s="27"/>
      <c r="E540" s="27"/>
      <c r="BE540" s="10" t="str">
        <f t="shared" si="80"/>
        <v/>
      </c>
      <c r="BF540" s="8" t="str">
        <f t="shared" si="81"/>
        <v/>
      </c>
      <c r="BG540" s="11" t="str">
        <f t="shared" si="82"/>
        <v/>
      </c>
      <c r="BH540" s="8" t="str">
        <f t="shared" si="83"/>
        <v/>
      </c>
      <c r="BI540" s="8" t="str">
        <f t="shared" si="84"/>
        <v/>
      </c>
      <c r="BJ540" s="9" t="str">
        <f t="shared" si="85"/>
        <v/>
      </c>
      <c r="BK540" s="9" t="str">
        <f>IF($B540="","",COUNTIFS($B$5:$B540,$B540,$BF$5:$BF540,$BF540))</f>
        <v/>
      </c>
      <c r="BL540" s="9" t="str">
        <f>IF($B540="","",COUNTIFS($B$5:$B540,$B540,$BH$5:$BH540,$BH540))</f>
        <v/>
      </c>
      <c r="BM540" s="9" t="str">
        <f t="shared" si="86"/>
        <v/>
      </c>
      <c r="BN540" s="9" t="str">
        <f t="shared" si="87"/>
        <v/>
      </c>
      <c r="BO540" s="9">
        <f t="shared" si="88"/>
        <v>0</v>
      </c>
      <c r="BR540" s="12" t="str">
        <f t="shared" si="89"/>
        <v/>
      </c>
    </row>
    <row r="541" spans="1:70" ht="14.25" customHeight="1">
      <c r="A541" s="26"/>
      <c r="C541" s="26"/>
      <c r="D541" s="27"/>
      <c r="E541" s="27"/>
      <c r="BE541" s="10" t="str">
        <f t="shared" ref="BE541:BE604" si="90">IF($B541="","",IF(COUNT($H541,$J541,$L541,$N541,$P541,$R541)&gt;0,SUM($H541,$J541,$L541,$N541,$P541,$R541),SUM($T541,$V541,$X541,$Z541,$AB541,$AD541,$AF541,$AH541,$AJ541,$AL541,$AN541,$AP541,$AR541,$AT541,$AV541,$AX541,$AZ541)))</f>
        <v/>
      </c>
      <c r="BF541" s="8" t="str">
        <f t="shared" ref="BF541:BF604" si="91">IF($C541="","",DATE(YEAR($C541),MONTH($C541),1))</f>
        <v/>
      </c>
      <c r="BG541" s="11" t="str">
        <f t="shared" ref="BG541:BG604" si="92">IF($BF541="","",TEXT($BF541,"mmmm yyyy"))</f>
        <v/>
      </c>
      <c r="BH541" s="8" t="str">
        <f t="shared" ref="BH541:BH604" si="93">IF($C541="","",$C541-WEEKDAY($C541,2)+1)</f>
        <v/>
      </c>
      <c r="BI541" s="8" t="str">
        <f t="shared" ref="BI541:BI604" si="94">IF($BH541="","",$BH541+6)</f>
        <v/>
      </c>
      <c r="BJ541" s="9" t="str">
        <f t="shared" ref="BJ541:BJ604" si="95">IF($BH541="","",TEXT($BH541,"dd/mm/yyyy")&amp;" - "&amp;TEXT($BI541,"dd/mm/yyyy"))</f>
        <v/>
      </c>
      <c r="BK541" s="9" t="str">
        <f>IF($B541="","",COUNTIFS($B$5:$B541,$B541,$BF$5:$BF541,$BF541))</f>
        <v/>
      </c>
      <c r="BL541" s="9" t="str">
        <f>IF($B541="","",COUNTIFS($B$5:$B541,$B541,$BH$5:$BH541,$BH541))</f>
        <v/>
      </c>
      <c r="BM541" s="9" t="str">
        <f t="shared" ref="BM541:BM604" si="96">IF($B541="","",TEXT($BK541,"00")&amp;"|"&amp;$B541&amp;"|"&amp;TEXT($BF541,"yyyymmdd"))</f>
        <v/>
      </c>
      <c r="BN541" s="9" t="str">
        <f t="shared" ref="BN541:BN604" si="97">IF($B541="","",TEXT($BL541,"00")&amp;"|"&amp;$B541&amp;"|"&amp;TEXT($BH541,"yyyymmdd"))</f>
        <v/>
      </c>
      <c r="BO541" s="9">
        <f t="shared" ref="BO541:BO604" si="98">IF(OR($BB541="YES",$BB541="Yes",$BB541="Y",$BB541=1),1,0)</f>
        <v>0</v>
      </c>
      <c r="BR541" s="12" t="str">
        <f t="shared" ref="BR541:BR604" si="99">IF($C541="","",IF($C541&gt;=DATE(2026,6,1),"QA-2026-06",IF($C541&gt;=DATE(2026,5,1),"May 2026+",IF($C541&gt;=DATE(2026,4,1),"April 2026",IF($C541&gt;=DATE(2026,3,1),"March 2026","Jan-Feb 2026")))))</f>
        <v/>
      </c>
    </row>
    <row r="542" spans="1:70" ht="14.25" customHeight="1">
      <c r="A542" s="26"/>
      <c r="C542" s="26"/>
      <c r="D542" s="27"/>
      <c r="E542" s="27"/>
      <c r="BE542" s="10" t="str">
        <f t="shared" si="90"/>
        <v/>
      </c>
      <c r="BF542" s="8" t="str">
        <f t="shared" si="91"/>
        <v/>
      </c>
      <c r="BG542" s="11" t="str">
        <f t="shared" si="92"/>
        <v/>
      </c>
      <c r="BH542" s="8" t="str">
        <f t="shared" si="93"/>
        <v/>
      </c>
      <c r="BI542" s="8" t="str">
        <f t="shared" si="94"/>
        <v/>
      </c>
      <c r="BJ542" s="9" t="str">
        <f t="shared" si="95"/>
        <v/>
      </c>
      <c r="BK542" s="9" t="str">
        <f>IF($B542="","",COUNTIFS($B$5:$B542,$B542,$BF$5:$BF542,$BF542))</f>
        <v/>
      </c>
      <c r="BL542" s="9" t="str">
        <f>IF($B542="","",COUNTIFS($B$5:$B542,$B542,$BH$5:$BH542,$BH542))</f>
        <v/>
      </c>
      <c r="BM542" s="9" t="str">
        <f t="shared" si="96"/>
        <v/>
      </c>
      <c r="BN542" s="9" t="str">
        <f t="shared" si="97"/>
        <v/>
      </c>
      <c r="BO542" s="9">
        <f t="shared" si="98"/>
        <v>0</v>
      </c>
      <c r="BR542" s="12" t="str">
        <f t="shared" si="99"/>
        <v/>
      </c>
    </row>
    <row r="543" spans="1:70" ht="14.25" customHeight="1">
      <c r="A543" s="26"/>
      <c r="C543" s="26"/>
      <c r="D543" s="27"/>
      <c r="E543" s="27"/>
      <c r="BE543" s="10" t="str">
        <f t="shared" si="90"/>
        <v/>
      </c>
      <c r="BF543" s="8" t="str">
        <f t="shared" si="91"/>
        <v/>
      </c>
      <c r="BG543" s="11" t="str">
        <f t="shared" si="92"/>
        <v/>
      </c>
      <c r="BH543" s="8" t="str">
        <f t="shared" si="93"/>
        <v/>
      </c>
      <c r="BI543" s="8" t="str">
        <f t="shared" si="94"/>
        <v/>
      </c>
      <c r="BJ543" s="9" t="str">
        <f t="shared" si="95"/>
        <v/>
      </c>
      <c r="BK543" s="9" t="str">
        <f>IF($B543="","",COUNTIFS($B$5:$B543,$B543,$BF$5:$BF543,$BF543))</f>
        <v/>
      </c>
      <c r="BL543" s="9" t="str">
        <f>IF($B543="","",COUNTIFS($B$5:$B543,$B543,$BH$5:$BH543,$BH543))</f>
        <v/>
      </c>
      <c r="BM543" s="9" t="str">
        <f t="shared" si="96"/>
        <v/>
      </c>
      <c r="BN543" s="9" t="str">
        <f t="shared" si="97"/>
        <v/>
      </c>
      <c r="BO543" s="9">
        <f t="shared" si="98"/>
        <v>0</v>
      </c>
      <c r="BR543" s="12" t="str">
        <f t="shared" si="99"/>
        <v/>
      </c>
    </row>
    <row r="544" spans="1:70" ht="14.25" customHeight="1">
      <c r="A544" s="26"/>
      <c r="C544" s="26"/>
      <c r="D544" s="27"/>
      <c r="E544" s="27"/>
      <c r="BE544" s="10" t="str">
        <f t="shared" si="90"/>
        <v/>
      </c>
      <c r="BF544" s="8" t="str">
        <f t="shared" si="91"/>
        <v/>
      </c>
      <c r="BG544" s="11" t="str">
        <f t="shared" si="92"/>
        <v/>
      </c>
      <c r="BH544" s="8" t="str">
        <f t="shared" si="93"/>
        <v/>
      </c>
      <c r="BI544" s="8" t="str">
        <f t="shared" si="94"/>
        <v/>
      </c>
      <c r="BJ544" s="9" t="str">
        <f t="shared" si="95"/>
        <v/>
      </c>
      <c r="BK544" s="9" t="str">
        <f>IF($B544="","",COUNTIFS($B$5:$B544,$B544,$BF$5:$BF544,$BF544))</f>
        <v/>
      </c>
      <c r="BL544" s="9" t="str">
        <f>IF($B544="","",COUNTIFS($B$5:$B544,$B544,$BH$5:$BH544,$BH544))</f>
        <v/>
      </c>
      <c r="BM544" s="9" t="str">
        <f t="shared" si="96"/>
        <v/>
      </c>
      <c r="BN544" s="9" t="str">
        <f t="shared" si="97"/>
        <v/>
      </c>
      <c r="BO544" s="9">
        <f t="shared" si="98"/>
        <v>0</v>
      </c>
      <c r="BR544" s="12" t="str">
        <f t="shared" si="99"/>
        <v/>
      </c>
    </row>
    <row r="545" spans="1:70" ht="14.25" customHeight="1">
      <c r="A545" s="26"/>
      <c r="C545" s="26"/>
      <c r="D545" s="27"/>
      <c r="E545" s="27"/>
      <c r="BE545" s="10" t="str">
        <f t="shared" si="90"/>
        <v/>
      </c>
      <c r="BF545" s="8" t="str">
        <f t="shared" si="91"/>
        <v/>
      </c>
      <c r="BG545" s="11" t="str">
        <f t="shared" si="92"/>
        <v/>
      </c>
      <c r="BH545" s="8" t="str">
        <f t="shared" si="93"/>
        <v/>
      </c>
      <c r="BI545" s="8" t="str">
        <f t="shared" si="94"/>
        <v/>
      </c>
      <c r="BJ545" s="9" t="str">
        <f t="shared" si="95"/>
        <v/>
      </c>
      <c r="BK545" s="9" t="str">
        <f>IF($B545="","",COUNTIFS($B$5:$B545,$B545,$BF$5:$BF545,$BF545))</f>
        <v/>
      </c>
      <c r="BL545" s="9" t="str">
        <f>IF($B545="","",COUNTIFS($B$5:$B545,$B545,$BH$5:$BH545,$BH545))</f>
        <v/>
      </c>
      <c r="BM545" s="9" t="str">
        <f t="shared" si="96"/>
        <v/>
      </c>
      <c r="BN545" s="9" t="str">
        <f t="shared" si="97"/>
        <v/>
      </c>
      <c r="BO545" s="9">
        <f t="shared" si="98"/>
        <v>0</v>
      </c>
      <c r="BR545" s="12" t="str">
        <f t="shared" si="99"/>
        <v/>
      </c>
    </row>
    <row r="546" spans="1:70" ht="14.25" customHeight="1">
      <c r="A546" s="26"/>
      <c r="C546" s="26"/>
      <c r="D546" s="27"/>
      <c r="E546" s="27"/>
      <c r="BE546" s="10" t="str">
        <f t="shared" si="90"/>
        <v/>
      </c>
      <c r="BF546" s="8" t="str">
        <f t="shared" si="91"/>
        <v/>
      </c>
      <c r="BG546" s="11" t="str">
        <f t="shared" si="92"/>
        <v/>
      </c>
      <c r="BH546" s="8" t="str">
        <f t="shared" si="93"/>
        <v/>
      </c>
      <c r="BI546" s="8" t="str">
        <f t="shared" si="94"/>
        <v/>
      </c>
      <c r="BJ546" s="9" t="str">
        <f t="shared" si="95"/>
        <v/>
      </c>
      <c r="BK546" s="9" t="str">
        <f>IF($B546="","",COUNTIFS($B$5:$B546,$B546,$BF$5:$BF546,$BF546))</f>
        <v/>
      </c>
      <c r="BL546" s="9" t="str">
        <f>IF($B546="","",COUNTIFS($B$5:$B546,$B546,$BH$5:$BH546,$BH546))</f>
        <v/>
      </c>
      <c r="BM546" s="9" t="str">
        <f t="shared" si="96"/>
        <v/>
      </c>
      <c r="BN546" s="9" t="str">
        <f t="shared" si="97"/>
        <v/>
      </c>
      <c r="BO546" s="9">
        <f t="shared" si="98"/>
        <v>0</v>
      </c>
      <c r="BR546" s="12" t="str">
        <f t="shared" si="99"/>
        <v/>
      </c>
    </row>
    <row r="547" spans="1:70" ht="14.25" customHeight="1">
      <c r="A547" s="26"/>
      <c r="C547" s="26"/>
      <c r="D547" s="27"/>
      <c r="E547" s="27"/>
      <c r="BE547" s="10" t="str">
        <f t="shared" si="90"/>
        <v/>
      </c>
      <c r="BF547" s="8" t="str">
        <f t="shared" si="91"/>
        <v/>
      </c>
      <c r="BG547" s="11" t="str">
        <f t="shared" si="92"/>
        <v/>
      </c>
      <c r="BH547" s="8" t="str">
        <f t="shared" si="93"/>
        <v/>
      </c>
      <c r="BI547" s="8" t="str">
        <f t="shared" si="94"/>
        <v/>
      </c>
      <c r="BJ547" s="9" t="str">
        <f t="shared" si="95"/>
        <v/>
      </c>
      <c r="BK547" s="9" t="str">
        <f>IF($B547="","",COUNTIFS($B$5:$B547,$B547,$BF$5:$BF547,$BF547))</f>
        <v/>
      </c>
      <c r="BL547" s="9" t="str">
        <f>IF($B547="","",COUNTIFS($B$5:$B547,$B547,$BH$5:$BH547,$BH547))</f>
        <v/>
      </c>
      <c r="BM547" s="9" t="str">
        <f t="shared" si="96"/>
        <v/>
      </c>
      <c r="BN547" s="9" t="str">
        <f t="shared" si="97"/>
        <v/>
      </c>
      <c r="BO547" s="9">
        <f t="shared" si="98"/>
        <v>0</v>
      </c>
      <c r="BR547" s="12" t="str">
        <f t="shared" si="99"/>
        <v/>
      </c>
    </row>
    <row r="548" spans="1:70" ht="14.25" customHeight="1">
      <c r="A548" s="26"/>
      <c r="C548" s="26"/>
      <c r="D548" s="27"/>
      <c r="E548" s="27"/>
      <c r="BE548" s="10" t="str">
        <f t="shared" si="90"/>
        <v/>
      </c>
      <c r="BF548" s="8" t="str">
        <f t="shared" si="91"/>
        <v/>
      </c>
      <c r="BG548" s="11" t="str">
        <f t="shared" si="92"/>
        <v/>
      </c>
      <c r="BH548" s="8" t="str">
        <f t="shared" si="93"/>
        <v/>
      </c>
      <c r="BI548" s="8" t="str">
        <f t="shared" si="94"/>
        <v/>
      </c>
      <c r="BJ548" s="9" t="str">
        <f t="shared" si="95"/>
        <v/>
      </c>
      <c r="BK548" s="9" t="str">
        <f>IF($B548="","",COUNTIFS($B$5:$B548,$B548,$BF$5:$BF548,$BF548))</f>
        <v/>
      </c>
      <c r="BL548" s="9" t="str">
        <f>IF($B548="","",COUNTIFS($B$5:$B548,$B548,$BH$5:$BH548,$BH548))</f>
        <v/>
      </c>
      <c r="BM548" s="9" t="str">
        <f t="shared" si="96"/>
        <v/>
      </c>
      <c r="BN548" s="9" t="str">
        <f t="shared" si="97"/>
        <v/>
      </c>
      <c r="BO548" s="9">
        <f t="shared" si="98"/>
        <v>0</v>
      </c>
      <c r="BR548" s="12" t="str">
        <f t="shared" si="99"/>
        <v/>
      </c>
    </row>
    <row r="549" spans="1:70" ht="14.25" customHeight="1">
      <c r="A549" s="26"/>
      <c r="C549" s="26"/>
      <c r="D549" s="27"/>
      <c r="E549" s="27"/>
      <c r="BE549" s="10" t="str">
        <f t="shared" si="90"/>
        <v/>
      </c>
      <c r="BF549" s="8" t="str">
        <f t="shared" si="91"/>
        <v/>
      </c>
      <c r="BG549" s="11" t="str">
        <f t="shared" si="92"/>
        <v/>
      </c>
      <c r="BH549" s="8" t="str">
        <f t="shared" si="93"/>
        <v/>
      </c>
      <c r="BI549" s="8" t="str">
        <f t="shared" si="94"/>
        <v/>
      </c>
      <c r="BJ549" s="9" t="str">
        <f t="shared" si="95"/>
        <v/>
      </c>
      <c r="BK549" s="9" t="str">
        <f>IF($B549="","",COUNTIFS($B$5:$B549,$B549,$BF$5:$BF549,$BF549))</f>
        <v/>
      </c>
      <c r="BL549" s="9" t="str">
        <f>IF($B549="","",COUNTIFS($B$5:$B549,$B549,$BH$5:$BH549,$BH549))</f>
        <v/>
      </c>
      <c r="BM549" s="9" t="str">
        <f t="shared" si="96"/>
        <v/>
      </c>
      <c r="BN549" s="9" t="str">
        <f t="shared" si="97"/>
        <v/>
      </c>
      <c r="BO549" s="9">
        <f t="shared" si="98"/>
        <v>0</v>
      </c>
      <c r="BR549" s="12" t="str">
        <f t="shared" si="99"/>
        <v/>
      </c>
    </row>
    <row r="550" spans="1:70" ht="14.25" customHeight="1">
      <c r="A550" s="26"/>
      <c r="C550" s="26"/>
      <c r="D550" s="27"/>
      <c r="E550" s="27"/>
      <c r="BE550" s="10" t="str">
        <f t="shared" si="90"/>
        <v/>
      </c>
      <c r="BF550" s="8" t="str">
        <f t="shared" si="91"/>
        <v/>
      </c>
      <c r="BG550" s="11" t="str">
        <f t="shared" si="92"/>
        <v/>
      </c>
      <c r="BH550" s="8" t="str">
        <f t="shared" si="93"/>
        <v/>
      </c>
      <c r="BI550" s="8" t="str">
        <f t="shared" si="94"/>
        <v/>
      </c>
      <c r="BJ550" s="9" t="str">
        <f t="shared" si="95"/>
        <v/>
      </c>
      <c r="BK550" s="9" t="str">
        <f>IF($B550="","",COUNTIFS($B$5:$B550,$B550,$BF$5:$BF550,$BF550))</f>
        <v/>
      </c>
      <c r="BL550" s="9" t="str">
        <f>IF($B550="","",COUNTIFS($B$5:$B550,$B550,$BH$5:$BH550,$BH550))</f>
        <v/>
      </c>
      <c r="BM550" s="9" t="str">
        <f t="shared" si="96"/>
        <v/>
      </c>
      <c r="BN550" s="9" t="str">
        <f t="shared" si="97"/>
        <v/>
      </c>
      <c r="BO550" s="9">
        <f t="shared" si="98"/>
        <v>0</v>
      </c>
      <c r="BR550" s="12" t="str">
        <f t="shared" si="99"/>
        <v/>
      </c>
    </row>
    <row r="551" spans="1:70" ht="14.25" customHeight="1">
      <c r="A551" s="26"/>
      <c r="C551" s="26"/>
      <c r="D551" s="27"/>
      <c r="E551" s="27"/>
      <c r="BE551" s="10" t="str">
        <f t="shared" si="90"/>
        <v/>
      </c>
      <c r="BF551" s="8" t="str">
        <f t="shared" si="91"/>
        <v/>
      </c>
      <c r="BG551" s="11" t="str">
        <f t="shared" si="92"/>
        <v/>
      </c>
      <c r="BH551" s="8" t="str">
        <f t="shared" si="93"/>
        <v/>
      </c>
      <c r="BI551" s="8" t="str">
        <f t="shared" si="94"/>
        <v/>
      </c>
      <c r="BJ551" s="9" t="str">
        <f t="shared" si="95"/>
        <v/>
      </c>
      <c r="BK551" s="9" t="str">
        <f>IF($B551="","",COUNTIFS($B$5:$B551,$B551,$BF$5:$BF551,$BF551))</f>
        <v/>
      </c>
      <c r="BL551" s="9" t="str">
        <f>IF($B551="","",COUNTIFS($B$5:$B551,$B551,$BH$5:$BH551,$BH551))</f>
        <v/>
      </c>
      <c r="BM551" s="9" t="str">
        <f t="shared" si="96"/>
        <v/>
      </c>
      <c r="BN551" s="9" t="str">
        <f t="shared" si="97"/>
        <v/>
      </c>
      <c r="BO551" s="9">
        <f t="shared" si="98"/>
        <v>0</v>
      </c>
      <c r="BR551" s="12" t="str">
        <f t="shared" si="99"/>
        <v/>
      </c>
    </row>
    <row r="552" spans="1:70" ht="14.25" customHeight="1">
      <c r="A552" s="26"/>
      <c r="C552" s="26"/>
      <c r="D552" s="27"/>
      <c r="E552" s="27"/>
      <c r="BE552" s="10" t="str">
        <f t="shared" si="90"/>
        <v/>
      </c>
      <c r="BF552" s="8" t="str">
        <f t="shared" si="91"/>
        <v/>
      </c>
      <c r="BG552" s="11" t="str">
        <f t="shared" si="92"/>
        <v/>
      </c>
      <c r="BH552" s="8" t="str">
        <f t="shared" si="93"/>
        <v/>
      </c>
      <c r="BI552" s="8" t="str">
        <f t="shared" si="94"/>
        <v/>
      </c>
      <c r="BJ552" s="9" t="str">
        <f t="shared" si="95"/>
        <v/>
      </c>
      <c r="BK552" s="9" t="str">
        <f>IF($B552="","",COUNTIFS($B$5:$B552,$B552,$BF$5:$BF552,$BF552))</f>
        <v/>
      </c>
      <c r="BL552" s="9" t="str">
        <f>IF($B552="","",COUNTIFS($B$5:$B552,$B552,$BH$5:$BH552,$BH552))</f>
        <v/>
      </c>
      <c r="BM552" s="9" t="str">
        <f t="shared" si="96"/>
        <v/>
      </c>
      <c r="BN552" s="9" t="str">
        <f t="shared" si="97"/>
        <v/>
      </c>
      <c r="BO552" s="9">
        <f t="shared" si="98"/>
        <v>0</v>
      </c>
      <c r="BR552" s="12" t="str">
        <f t="shared" si="99"/>
        <v/>
      </c>
    </row>
    <row r="553" spans="1:70" ht="14.25" customHeight="1">
      <c r="A553" s="26"/>
      <c r="C553" s="26"/>
      <c r="D553" s="27"/>
      <c r="E553" s="27"/>
      <c r="BE553" s="10" t="str">
        <f t="shared" si="90"/>
        <v/>
      </c>
      <c r="BF553" s="8" t="str">
        <f t="shared" si="91"/>
        <v/>
      </c>
      <c r="BG553" s="11" t="str">
        <f t="shared" si="92"/>
        <v/>
      </c>
      <c r="BH553" s="8" t="str">
        <f t="shared" si="93"/>
        <v/>
      </c>
      <c r="BI553" s="8" t="str">
        <f t="shared" si="94"/>
        <v/>
      </c>
      <c r="BJ553" s="9" t="str">
        <f t="shared" si="95"/>
        <v/>
      </c>
      <c r="BK553" s="9" t="str">
        <f>IF($B553="","",COUNTIFS($B$5:$B553,$B553,$BF$5:$BF553,$BF553))</f>
        <v/>
      </c>
      <c r="BL553" s="9" t="str">
        <f>IF($B553="","",COUNTIFS($B$5:$B553,$B553,$BH$5:$BH553,$BH553))</f>
        <v/>
      </c>
      <c r="BM553" s="9" t="str">
        <f t="shared" si="96"/>
        <v/>
      </c>
      <c r="BN553" s="9" t="str">
        <f t="shared" si="97"/>
        <v/>
      </c>
      <c r="BO553" s="9">
        <f t="shared" si="98"/>
        <v>0</v>
      </c>
      <c r="BR553" s="12" t="str">
        <f t="shared" si="99"/>
        <v/>
      </c>
    </row>
    <row r="554" spans="1:70" ht="14.25" customHeight="1">
      <c r="A554" s="26"/>
      <c r="C554" s="26"/>
      <c r="D554" s="27"/>
      <c r="E554" s="27"/>
      <c r="BE554" s="10" t="str">
        <f t="shared" si="90"/>
        <v/>
      </c>
      <c r="BF554" s="8" t="str">
        <f t="shared" si="91"/>
        <v/>
      </c>
      <c r="BG554" s="11" t="str">
        <f t="shared" si="92"/>
        <v/>
      </c>
      <c r="BH554" s="8" t="str">
        <f t="shared" si="93"/>
        <v/>
      </c>
      <c r="BI554" s="8" t="str">
        <f t="shared" si="94"/>
        <v/>
      </c>
      <c r="BJ554" s="9" t="str">
        <f t="shared" si="95"/>
        <v/>
      </c>
      <c r="BK554" s="9" t="str">
        <f>IF($B554="","",COUNTIFS($B$5:$B554,$B554,$BF$5:$BF554,$BF554))</f>
        <v/>
      </c>
      <c r="BL554" s="9" t="str">
        <f>IF($B554="","",COUNTIFS($B$5:$B554,$B554,$BH$5:$BH554,$BH554))</f>
        <v/>
      </c>
      <c r="BM554" s="9" t="str">
        <f t="shared" si="96"/>
        <v/>
      </c>
      <c r="BN554" s="9" t="str">
        <f t="shared" si="97"/>
        <v/>
      </c>
      <c r="BO554" s="9">
        <f t="shared" si="98"/>
        <v>0</v>
      </c>
      <c r="BR554" s="12" t="str">
        <f t="shared" si="99"/>
        <v/>
      </c>
    </row>
    <row r="555" spans="1:70" ht="14.25" customHeight="1">
      <c r="A555" s="26"/>
      <c r="C555" s="26"/>
      <c r="D555" s="27"/>
      <c r="E555" s="27"/>
      <c r="BE555" s="10" t="str">
        <f t="shared" si="90"/>
        <v/>
      </c>
      <c r="BF555" s="8" t="str">
        <f t="shared" si="91"/>
        <v/>
      </c>
      <c r="BG555" s="11" t="str">
        <f t="shared" si="92"/>
        <v/>
      </c>
      <c r="BH555" s="8" t="str">
        <f t="shared" si="93"/>
        <v/>
      </c>
      <c r="BI555" s="8" t="str">
        <f t="shared" si="94"/>
        <v/>
      </c>
      <c r="BJ555" s="9" t="str">
        <f t="shared" si="95"/>
        <v/>
      </c>
      <c r="BK555" s="9" t="str">
        <f>IF($B555="","",COUNTIFS($B$5:$B555,$B555,$BF$5:$BF555,$BF555))</f>
        <v/>
      </c>
      <c r="BL555" s="9" t="str">
        <f>IF($B555="","",COUNTIFS($B$5:$B555,$B555,$BH$5:$BH555,$BH555))</f>
        <v/>
      </c>
      <c r="BM555" s="9" t="str">
        <f t="shared" si="96"/>
        <v/>
      </c>
      <c r="BN555" s="9" t="str">
        <f t="shared" si="97"/>
        <v/>
      </c>
      <c r="BO555" s="9">
        <f t="shared" si="98"/>
        <v>0</v>
      </c>
      <c r="BR555" s="12" t="str">
        <f t="shared" si="99"/>
        <v/>
      </c>
    </row>
    <row r="556" spans="1:70" ht="14.25" customHeight="1">
      <c r="A556" s="26"/>
      <c r="C556" s="26"/>
      <c r="D556" s="27"/>
      <c r="E556" s="27"/>
      <c r="BE556" s="10" t="str">
        <f t="shared" si="90"/>
        <v/>
      </c>
      <c r="BF556" s="8" t="str">
        <f t="shared" si="91"/>
        <v/>
      </c>
      <c r="BG556" s="11" t="str">
        <f t="shared" si="92"/>
        <v/>
      </c>
      <c r="BH556" s="8" t="str">
        <f t="shared" si="93"/>
        <v/>
      </c>
      <c r="BI556" s="8" t="str">
        <f t="shared" si="94"/>
        <v/>
      </c>
      <c r="BJ556" s="9" t="str">
        <f t="shared" si="95"/>
        <v/>
      </c>
      <c r="BK556" s="9" t="str">
        <f>IF($B556="","",COUNTIFS($B$5:$B556,$B556,$BF$5:$BF556,$BF556))</f>
        <v/>
      </c>
      <c r="BL556" s="9" t="str">
        <f>IF($B556="","",COUNTIFS($B$5:$B556,$B556,$BH$5:$BH556,$BH556))</f>
        <v/>
      </c>
      <c r="BM556" s="9" t="str">
        <f t="shared" si="96"/>
        <v/>
      </c>
      <c r="BN556" s="9" t="str">
        <f t="shared" si="97"/>
        <v/>
      </c>
      <c r="BO556" s="9">
        <f t="shared" si="98"/>
        <v>0</v>
      </c>
      <c r="BR556" s="12" t="str">
        <f t="shared" si="99"/>
        <v/>
      </c>
    </row>
    <row r="557" spans="1:70" ht="14.25" customHeight="1">
      <c r="A557" s="26"/>
      <c r="C557" s="26"/>
      <c r="D557" s="27"/>
      <c r="E557" s="27"/>
      <c r="BE557" s="10" t="str">
        <f t="shared" si="90"/>
        <v/>
      </c>
      <c r="BF557" s="8" t="str">
        <f t="shared" si="91"/>
        <v/>
      </c>
      <c r="BG557" s="11" t="str">
        <f t="shared" si="92"/>
        <v/>
      </c>
      <c r="BH557" s="8" t="str">
        <f t="shared" si="93"/>
        <v/>
      </c>
      <c r="BI557" s="8" t="str">
        <f t="shared" si="94"/>
        <v/>
      </c>
      <c r="BJ557" s="9" t="str">
        <f t="shared" si="95"/>
        <v/>
      </c>
      <c r="BK557" s="9" t="str">
        <f>IF($B557="","",COUNTIFS($B$5:$B557,$B557,$BF$5:$BF557,$BF557))</f>
        <v/>
      </c>
      <c r="BL557" s="9" t="str">
        <f>IF($B557="","",COUNTIFS($B$5:$B557,$B557,$BH$5:$BH557,$BH557))</f>
        <v/>
      </c>
      <c r="BM557" s="9" t="str">
        <f t="shared" si="96"/>
        <v/>
      </c>
      <c r="BN557" s="9" t="str">
        <f t="shared" si="97"/>
        <v/>
      </c>
      <c r="BO557" s="9">
        <f t="shared" si="98"/>
        <v>0</v>
      </c>
      <c r="BR557" s="12" t="str">
        <f t="shared" si="99"/>
        <v/>
      </c>
    </row>
    <row r="558" spans="1:70" ht="14.25" customHeight="1">
      <c r="A558" s="26"/>
      <c r="C558" s="26"/>
      <c r="D558" s="27"/>
      <c r="E558" s="27"/>
      <c r="BE558" s="10" t="str">
        <f t="shared" si="90"/>
        <v/>
      </c>
      <c r="BF558" s="8" t="str">
        <f t="shared" si="91"/>
        <v/>
      </c>
      <c r="BG558" s="11" t="str">
        <f t="shared" si="92"/>
        <v/>
      </c>
      <c r="BH558" s="8" t="str">
        <f t="shared" si="93"/>
        <v/>
      </c>
      <c r="BI558" s="8" t="str">
        <f t="shared" si="94"/>
        <v/>
      </c>
      <c r="BJ558" s="9" t="str">
        <f t="shared" si="95"/>
        <v/>
      </c>
      <c r="BK558" s="9" t="str">
        <f>IF($B558="","",COUNTIFS($B$5:$B558,$B558,$BF$5:$BF558,$BF558))</f>
        <v/>
      </c>
      <c r="BL558" s="9" t="str">
        <f>IF($B558="","",COUNTIFS($B$5:$B558,$B558,$BH$5:$BH558,$BH558))</f>
        <v/>
      </c>
      <c r="BM558" s="9" t="str">
        <f t="shared" si="96"/>
        <v/>
      </c>
      <c r="BN558" s="9" t="str">
        <f t="shared" si="97"/>
        <v/>
      </c>
      <c r="BO558" s="9">
        <f t="shared" si="98"/>
        <v>0</v>
      </c>
      <c r="BR558" s="12" t="str">
        <f t="shared" si="99"/>
        <v/>
      </c>
    </row>
    <row r="559" spans="1:70" ht="14.25" customHeight="1">
      <c r="A559" s="26"/>
      <c r="C559" s="26"/>
      <c r="D559" s="27"/>
      <c r="E559" s="27"/>
      <c r="BE559" s="10" t="str">
        <f t="shared" si="90"/>
        <v/>
      </c>
      <c r="BF559" s="8" t="str">
        <f t="shared" si="91"/>
        <v/>
      </c>
      <c r="BG559" s="11" t="str">
        <f t="shared" si="92"/>
        <v/>
      </c>
      <c r="BH559" s="8" t="str">
        <f t="shared" si="93"/>
        <v/>
      </c>
      <c r="BI559" s="8" t="str">
        <f t="shared" si="94"/>
        <v/>
      </c>
      <c r="BJ559" s="9" t="str">
        <f t="shared" si="95"/>
        <v/>
      </c>
      <c r="BK559" s="9" t="str">
        <f>IF($B559="","",COUNTIFS($B$5:$B559,$B559,$BF$5:$BF559,$BF559))</f>
        <v/>
      </c>
      <c r="BL559" s="9" t="str">
        <f>IF($B559="","",COUNTIFS($B$5:$B559,$B559,$BH$5:$BH559,$BH559))</f>
        <v/>
      </c>
      <c r="BM559" s="9" t="str">
        <f t="shared" si="96"/>
        <v/>
      </c>
      <c r="BN559" s="9" t="str">
        <f t="shared" si="97"/>
        <v/>
      </c>
      <c r="BO559" s="9">
        <f t="shared" si="98"/>
        <v>0</v>
      </c>
      <c r="BR559" s="12" t="str">
        <f t="shared" si="99"/>
        <v/>
      </c>
    </row>
    <row r="560" spans="1:70" ht="14.25" customHeight="1">
      <c r="A560" s="26"/>
      <c r="C560" s="26"/>
      <c r="D560" s="27"/>
      <c r="E560" s="27"/>
      <c r="BE560" s="10" t="str">
        <f t="shared" si="90"/>
        <v/>
      </c>
      <c r="BF560" s="8" t="str">
        <f t="shared" si="91"/>
        <v/>
      </c>
      <c r="BG560" s="11" t="str">
        <f t="shared" si="92"/>
        <v/>
      </c>
      <c r="BH560" s="8" t="str">
        <f t="shared" si="93"/>
        <v/>
      </c>
      <c r="BI560" s="8" t="str">
        <f t="shared" si="94"/>
        <v/>
      </c>
      <c r="BJ560" s="9" t="str">
        <f t="shared" si="95"/>
        <v/>
      </c>
      <c r="BK560" s="9" t="str">
        <f>IF($B560="","",COUNTIFS($B$5:$B560,$B560,$BF$5:$BF560,$BF560))</f>
        <v/>
      </c>
      <c r="BL560" s="9" t="str">
        <f>IF($B560="","",COUNTIFS($B$5:$B560,$B560,$BH$5:$BH560,$BH560))</f>
        <v/>
      </c>
      <c r="BM560" s="9" t="str">
        <f t="shared" si="96"/>
        <v/>
      </c>
      <c r="BN560" s="9" t="str">
        <f t="shared" si="97"/>
        <v/>
      </c>
      <c r="BO560" s="9">
        <f t="shared" si="98"/>
        <v>0</v>
      </c>
      <c r="BR560" s="12" t="str">
        <f t="shared" si="99"/>
        <v/>
      </c>
    </row>
    <row r="561" spans="1:70" ht="14.25" customHeight="1">
      <c r="A561" s="26"/>
      <c r="C561" s="26"/>
      <c r="D561" s="27"/>
      <c r="E561" s="27"/>
      <c r="BE561" s="10" t="str">
        <f t="shared" si="90"/>
        <v/>
      </c>
      <c r="BF561" s="8" t="str">
        <f t="shared" si="91"/>
        <v/>
      </c>
      <c r="BG561" s="11" t="str">
        <f t="shared" si="92"/>
        <v/>
      </c>
      <c r="BH561" s="8" t="str">
        <f t="shared" si="93"/>
        <v/>
      </c>
      <c r="BI561" s="8" t="str">
        <f t="shared" si="94"/>
        <v/>
      </c>
      <c r="BJ561" s="9" t="str">
        <f t="shared" si="95"/>
        <v/>
      </c>
      <c r="BK561" s="9" t="str">
        <f>IF($B561="","",COUNTIFS($B$5:$B561,$B561,$BF$5:$BF561,$BF561))</f>
        <v/>
      </c>
      <c r="BL561" s="9" t="str">
        <f>IF($B561="","",COUNTIFS($B$5:$B561,$B561,$BH$5:$BH561,$BH561))</f>
        <v/>
      </c>
      <c r="BM561" s="9" t="str">
        <f t="shared" si="96"/>
        <v/>
      </c>
      <c r="BN561" s="9" t="str">
        <f t="shared" si="97"/>
        <v/>
      </c>
      <c r="BO561" s="9">
        <f t="shared" si="98"/>
        <v>0</v>
      </c>
      <c r="BR561" s="12" t="str">
        <f t="shared" si="99"/>
        <v/>
      </c>
    </row>
    <row r="562" spans="1:70" ht="14.25" customHeight="1">
      <c r="A562" s="26"/>
      <c r="C562" s="26"/>
      <c r="D562" s="27"/>
      <c r="E562" s="27"/>
      <c r="BE562" s="10" t="str">
        <f t="shared" si="90"/>
        <v/>
      </c>
      <c r="BF562" s="8" t="str">
        <f t="shared" si="91"/>
        <v/>
      </c>
      <c r="BG562" s="11" t="str">
        <f t="shared" si="92"/>
        <v/>
      </c>
      <c r="BH562" s="8" t="str">
        <f t="shared" si="93"/>
        <v/>
      </c>
      <c r="BI562" s="8" t="str">
        <f t="shared" si="94"/>
        <v/>
      </c>
      <c r="BJ562" s="9" t="str">
        <f t="shared" si="95"/>
        <v/>
      </c>
      <c r="BK562" s="9" t="str">
        <f>IF($B562="","",COUNTIFS($B$5:$B562,$B562,$BF$5:$BF562,$BF562))</f>
        <v/>
      </c>
      <c r="BL562" s="9" t="str">
        <f>IF($B562="","",COUNTIFS($B$5:$B562,$B562,$BH$5:$BH562,$BH562))</f>
        <v/>
      </c>
      <c r="BM562" s="9" t="str">
        <f t="shared" si="96"/>
        <v/>
      </c>
      <c r="BN562" s="9" t="str">
        <f t="shared" si="97"/>
        <v/>
      </c>
      <c r="BO562" s="9">
        <f t="shared" si="98"/>
        <v>0</v>
      </c>
      <c r="BR562" s="12" t="str">
        <f t="shared" si="99"/>
        <v/>
      </c>
    </row>
    <row r="563" spans="1:70" ht="14.25" customHeight="1">
      <c r="A563" s="26"/>
      <c r="C563" s="26"/>
      <c r="D563" s="27"/>
      <c r="E563" s="27"/>
      <c r="BE563" s="10" t="str">
        <f t="shared" si="90"/>
        <v/>
      </c>
      <c r="BF563" s="8" t="str">
        <f t="shared" si="91"/>
        <v/>
      </c>
      <c r="BG563" s="11" t="str">
        <f t="shared" si="92"/>
        <v/>
      </c>
      <c r="BH563" s="8" t="str">
        <f t="shared" si="93"/>
        <v/>
      </c>
      <c r="BI563" s="8" t="str">
        <f t="shared" si="94"/>
        <v/>
      </c>
      <c r="BJ563" s="9" t="str">
        <f t="shared" si="95"/>
        <v/>
      </c>
      <c r="BK563" s="9" t="str">
        <f>IF($B563="","",COUNTIFS($B$5:$B563,$B563,$BF$5:$BF563,$BF563))</f>
        <v/>
      </c>
      <c r="BL563" s="9" t="str">
        <f>IF($B563="","",COUNTIFS($B$5:$B563,$B563,$BH$5:$BH563,$BH563))</f>
        <v/>
      </c>
      <c r="BM563" s="9" t="str">
        <f t="shared" si="96"/>
        <v/>
      </c>
      <c r="BN563" s="9" t="str">
        <f t="shared" si="97"/>
        <v/>
      </c>
      <c r="BO563" s="9">
        <f t="shared" si="98"/>
        <v>0</v>
      </c>
      <c r="BR563" s="12" t="str">
        <f t="shared" si="99"/>
        <v/>
      </c>
    </row>
    <row r="564" spans="1:70" ht="14.25" customHeight="1">
      <c r="A564" s="26"/>
      <c r="C564" s="26"/>
      <c r="D564" s="27"/>
      <c r="E564" s="27"/>
      <c r="BE564" s="10" t="str">
        <f t="shared" si="90"/>
        <v/>
      </c>
      <c r="BF564" s="8" t="str">
        <f t="shared" si="91"/>
        <v/>
      </c>
      <c r="BG564" s="11" t="str">
        <f t="shared" si="92"/>
        <v/>
      </c>
      <c r="BH564" s="8" t="str">
        <f t="shared" si="93"/>
        <v/>
      </c>
      <c r="BI564" s="8" t="str">
        <f t="shared" si="94"/>
        <v/>
      </c>
      <c r="BJ564" s="9" t="str">
        <f t="shared" si="95"/>
        <v/>
      </c>
      <c r="BK564" s="9" t="str">
        <f>IF($B564="","",COUNTIFS($B$5:$B564,$B564,$BF$5:$BF564,$BF564))</f>
        <v/>
      </c>
      <c r="BL564" s="9" t="str">
        <f>IF($B564="","",COUNTIFS($B$5:$B564,$B564,$BH$5:$BH564,$BH564))</f>
        <v/>
      </c>
      <c r="BM564" s="9" t="str">
        <f t="shared" si="96"/>
        <v/>
      </c>
      <c r="BN564" s="9" t="str">
        <f t="shared" si="97"/>
        <v/>
      </c>
      <c r="BO564" s="9">
        <f t="shared" si="98"/>
        <v>0</v>
      </c>
      <c r="BR564" s="12" t="str">
        <f t="shared" si="99"/>
        <v/>
      </c>
    </row>
    <row r="565" spans="1:70" ht="14.25" customHeight="1">
      <c r="A565" s="26"/>
      <c r="C565" s="26"/>
      <c r="D565" s="27"/>
      <c r="E565" s="27"/>
      <c r="BE565" s="10" t="str">
        <f t="shared" si="90"/>
        <v/>
      </c>
      <c r="BF565" s="8" t="str">
        <f t="shared" si="91"/>
        <v/>
      </c>
      <c r="BG565" s="11" t="str">
        <f t="shared" si="92"/>
        <v/>
      </c>
      <c r="BH565" s="8" t="str">
        <f t="shared" si="93"/>
        <v/>
      </c>
      <c r="BI565" s="8" t="str">
        <f t="shared" si="94"/>
        <v/>
      </c>
      <c r="BJ565" s="9" t="str">
        <f t="shared" si="95"/>
        <v/>
      </c>
      <c r="BK565" s="9" t="str">
        <f>IF($B565="","",COUNTIFS($B$5:$B565,$B565,$BF$5:$BF565,$BF565))</f>
        <v/>
      </c>
      <c r="BL565" s="9" t="str">
        <f>IF($B565="","",COUNTIFS($B$5:$B565,$B565,$BH$5:$BH565,$BH565))</f>
        <v/>
      </c>
      <c r="BM565" s="9" t="str">
        <f t="shared" si="96"/>
        <v/>
      </c>
      <c r="BN565" s="9" t="str">
        <f t="shared" si="97"/>
        <v/>
      </c>
      <c r="BO565" s="9">
        <f t="shared" si="98"/>
        <v>0</v>
      </c>
      <c r="BR565" s="12" t="str">
        <f t="shared" si="99"/>
        <v/>
      </c>
    </row>
    <row r="566" spans="1:70" ht="14.25" customHeight="1">
      <c r="A566" s="26"/>
      <c r="C566" s="26"/>
      <c r="D566" s="27"/>
      <c r="E566" s="27"/>
      <c r="BE566" s="10" t="str">
        <f t="shared" si="90"/>
        <v/>
      </c>
      <c r="BF566" s="8" t="str">
        <f t="shared" si="91"/>
        <v/>
      </c>
      <c r="BG566" s="11" t="str">
        <f t="shared" si="92"/>
        <v/>
      </c>
      <c r="BH566" s="8" t="str">
        <f t="shared" si="93"/>
        <v/>
      </c>
      <c r="BI566" s="8" t="str">
        <f t="shared" si="94"/>
        <v/>
      </c>
      <c r="BJ566" s="9" t="str">
        <f t="shared" si="95"/>
        <v/>
      </c>
      <c r="BK566" s="9" t="str">
        <f>IF($B566="","",COUNTIFS($B$5:$B566,$B566,$BF$5:$BF566,$BF566))</f>
        <v/>
      </c>
      <c r="BL566" s="9" t="str">
        <f>IF($B566="","",COUNTIFS($B$5:$B566,$B566,$BH$5:$BH566,$BH566))</f>
        <v/>
      </c>
      <c r="BM566" s="9" t="str">
        <f t="shared" si="96"/>
        <v/>
      </c>
      <c r="BN566" s="9" t="str">
        <f t="shared" si="97"/>
        <v/>
      </c>
      <c r="BO566" s="9">
        <f t="shared" si="98"/>
        <v>0</v>
      </c>
      <c r="BR566" s="12" t="str">
        <f t="shared" si="99"/>
        <v/>
      </c>
    </row>
    <row r="567" spans="1:70" ht="14.25" customHeight="1">
      <c r="A567" s="26"/>
      <c r="C567" s="26"/>
      <c r="D567" s="27"/>
      <c r="E567" s="27"/>
      <c r="BE567" s="10" t="str">
        <f t="shared" si="90"/>
        <v/>
      </c>
      <c r="BF567" s="8" t="str">
        <f t="shared" si="91"/>
        <v/>
      </c>
      <c r="BG567" s="11" t="str">
        <f t="shared" si="92"/>
        <v/>
      </c>
      <c r="BH567" s="8" t="str">
        <f t="shared" si="93"/>
        <v/>
      </c>
      <c r="BI567" s="8" t="str">
        <f t="shared" si="94"/>
        <v/>
      </c>
      <c r="BJ567" s="9" t="str">
        <f t="shared" si="95"/>
        <v/>
      </c>
      <c r="BK567" s="9" t="str">
        <f>IF($B567="","",COUNTIFS($B$5:$B567,$B567,$BF$5:$BF567,$BF567))</f>
        <v/>
      </c>
      <c r="BL567" s="9" t="str">
        <f>IF($B567="","",COUNTIFS($B$5:$B567,$B567,$BH$5:$BH567,$BH567))</f>
        <v/>
      </c>
      <c r="BM567" s="9" t="str">
        <f t="shared" si="96"/>
        <v/>
      </c>
      <c r="BN567" s="9" t="str">
        <f t="shared" si="97"/>
        <v/>
      </c>
      <c r="BO567" s="9">
        <f t="shared" si="98"/>
        <v>0</v>
      </c>
      <c r="BR567" s="12" t="str">
        <f t="shared" si="99"/>
        <v/>
      </c>
    </row>
    <row r="568" spans="1:70" ht="14.25" customHeight="1">
      <c r="A568" s="26"/>
      <c r="C568" s="26"/>
      <c r="D568" s="27"/>
      <c r="E568" s="27"/>
      <c r="BE568" s="10" t="str">
        <f t="shared" si="90"/>
        <v/>
      </c>
      <c r="BF568" s="8" t="str">
        <f t="shared" si="91"/>
        <v/>
      </c>
      <c r="BG568" s="11" t="str">
        <f t="shared" si="92"/>
        <v/>
      </c>
      <c r="BH568" s="8" t="str">
        <f t="shared" si="93"/>
        <v/>
      </c>
      <c r="BI568" s="8" t="str">
        <f t="shared" si="94"/>
        <v/>
      </c>
      <c r="BJ568" s="9" t="str">
        <f t="shared" si="95"/>
        <v/>
      </c>
      <c r="BK568" s="9" t="str">
        <f>IF($B568="","",COUNTIFS($B$5:$B568,$B568,$BF$5:$BF568,$BF568))</f>
        <v/>
      </c>
      <c r="BL568" s="9" t="str">
        <f>IF($B568="","",COUNTIFS($B$5:$B568,$B568,$BH$5:$BH568,$BH568))</f>
        <v/>
      </c>
      <c r="BM568" s="9" t="str">
        <f t="shared" si="96"/>
        <v/>
      </c>
      <c r="BN568" s="9" t="str">
        <f t="shared" si="97"/>
        <v/>
      </c>
      <c r="BO568" s="9">
        <f t="shared" si="98"/>
        <v>0</v>
      </c>
      <c r="BR568" s="12" t="str">
        <f t="shared" si="99"/>
        <v/>
      </c>
    </row>
    <row r="569" spans="1:70" ht="14.25" customHeight="1">
      <c r="A569" s="26"/>
      <c r="C569" s="26"/>
      <c r="D569" s="27"/>
      <c r="E569" s="27"/>
      <c r="BE569" s="10" t="str">
        <f t="shared" si="90"/>
        <v/>
      </c>
      <c r="BF569" s="8" t="str">
        <f t="shared" si="91"/>
        <v/>
      </c>
      <c r="BG569" s="11" t="str">
        <f t="shared" si="92"/>
        <v/>
      </c>
      <c r="BH569" s="8" t="str">
        <f t="shared" si="93"/>
        <v/>
      </c>
      <c r="BI569" s="8" t="str">
        <f t="shared" si="94"/>
        <v/>
      </c>
      <c r="BJ569" s="9" t="str">
        <f t="shared" si="95"/>
        <v/>
      </c>
      <c r="BK569" s="9" t="str">
        <f>IF($B569="","",COUNTIFS($B$5:$B569,$B569,$BF$5:$BF569,$BF569))</f>
        <v/>
      </c>
      <c r="BL569" s="9" t="str">
        <f>IF($B569="","",COUNTIFS($B$5:$B569,$B569,$BH$5:$BH569,$BH569))</f>
        <v/>
      </c>
      <c r="BM569" s="9" t="str">
        <f t="shared" si="96"/>
        <v/>
      </c>
      <c r="BN569" s="9" t="str">
        <f t="shared" si="97"/>
        <v/>
      </c>
      <c r="BO569" s="9">
        <f t="shared" si="98"/>
        <v>0</v>
      </c>
      <c r="BR569" s="12" t="str">
        <f t="shared" si="99"/>
        <v/>
      </c>
    </row>
    <row r="570" spans="1:70" ht="14.25" customHeight="1">
      <c r="A570" s="26"/>
      <c r="C570" s="26"/>
      <c r="D570" s="27"/>
      <c r="E570" s="27"/>
      <c r="BE570" s="10" t="str">
        <f t="shared" si="90"/>
        <v/>
      </c>
      <c r="BF570" s="8" t="str">
        <f t="shared" si="91"/>
        <v/>
      </c>
      <c r="BG570" s="11" t="str">
        <f t="shared" si="92"/>
        <v/>
      </c>
      <c r="BH570" s="8" t="str">
        <f t="shared" si="93"/>
        <v/>
      </c>
      <c r="BI570" s="8" t="str">
        <f t="shared" si="94"/>
        <v/>
      </c>
      <c r="BJ570" s="9" t="str">
        <f t="shared" si="95"/>
        <v/>
      </c>
      <c r="BK570" s="9" t="str">
        <f>IF($B570="","",COUNTIFS($B$5:$B570,$B570,$BF$5:$BF570,$BF570))</f>
        <v/>
      </c>
      <c r="BL570" s="9" t="str">
        <f>IF($B570="","",COUNTIFS($B$5:$B570,$B570,$BH$5:$BH570,$BH570))</f>
        <v/>
      </c>
      <c r="BM570" s="9" t="str">
        <f t="shared" si="96"/>
        <v/>
      </c>
      <c r="BN570" s="9" t="str">
        <f t="shared" si="97"/>
        <v/>
      </c>
      <c r="BO570" s="9">
        <f t="shared" si="98"/>
        <v>0</v>
      </c>
      <c r="BR570" s="12" t="str">
        <f t="shared" si="99"/>
        <v/>
      </c>
    </row>
    <row r="571" spans="1:70" ht="14.25" customHeight="1">
      <c r="A571" s="26"/>
      <c r="C571" s="26"/>
      <c r="D571" s="27"/>
      <c r="E571" s="27"/>
      <c r="BE571" s="10" t="str">
        <f t="shared" si="90"/>
        <v/>
      </c>
      <c r="BF571" s="8" t="str">
        <f t="shared" si="91"/>
        <v/>
      </c>
      <c r="BG571" s="11" t="str">
        <f t="shared" si="92"/>
        <v/>
      </c>
      <c r="BH571" s="8" t="str">
        <f t="shared" si="93"/>
        <v/>
      </c>
      <c r="BI571" s="8" t="str">
        <f t="shared" si="94"/>
        <v/>
      </c>
      <c r="BJ571" s="9" t="str">
        <f t="shared" si="95"/>
        <v/>
      </c>
      <c r="BK571" s="9" t="str">
        <f>IF($B571="","",COUNTIFS($B$5:$B571,$B571,$BF$5:$BF571,$BF571))</f>
        <v/>
      </c>
      <c r="BL571" s="9" t="str">
        <f>IF($B571="","",COUNTIFS($B$5:$B571,$B571,$BH$5:$BH571,$BH571))</f>
        <v/>
      </c>
      <c r="BM571" s="9" t="str">
        <f t="shared" si="96"/>
        <v/>
      </c>
      <c r="BN571" s="9" t="str">
        <f t="shared" si="97"/>
        <v/>
      </c>
      <c r="BO571" s="9">
        <f t="shared" si="98"/>
        <v>0</v>
      </c>
      <c r="BR571" s="12" t="str">
        <f t="shared" si="99"/>
        <v/>
      </c>
    </row>
    <row r="572" spans="1:70" ht="14.25" customHeight="1">
      <c r="A572" s="26"/>
      <c r="C572" s="26"/>
      <c r="D572" s="27"/>
      <c r="E572" s="27"/>
      <c r="BE572" s="10" t="str">
        <f t="shared" si="90"/>
        <v/>
      </c>
      <c r="BF572" s="8" t="str">
        <f t="shared" si="91"/>
        <v/>
      </c>
      <c r="BG572" s="11" t="str">
        <f t="shared" si="92"/>
        <v/>
      </c>
      <c r="BH572" s="8" t="str">
        <f t="shared" si="93"/>
        <v/>
      </c>
      <c r="BI572" s="8" t="str">
        <f t="shared" si="94"/>
        <v/>
      </c>
      <c r="BJ572" s="9" t="str">
        <f t="shared" si="95"/>
        <v/>
      </c>
      <c r="BK572" s="9" t="str">
        <f>IF($B572="","",COUNTIFS($B$5:$B572,$B572,$BF$5:$BF572,$BF572))</f>
        <v/>
      </c>
      <c r="BL572" s="9" t="str">
        <f>IF($B572="","",COUNTIFS($B$5:$B572,$B572,$BH$5:$BH572,$BH572))</f>
        <v/>
      </c>
      <c r="BM572" s="9" t="str">
        <f t="shared" si="96"/>
        <v/>
      </c>
      <c r="BN572" s="9" t="str">
        <f t="shared" si="97"/>
        <v/>
      </c>
      <c r="BO572" s="9">
        <f t="shared" si="98"/>
        <v>0</v>
      </c>
      <c r="BR572" s="12" t="str">
        <f t="shared" si="99"/>
        <v/>
      </c>
    </row>
    <row r="573" spans="1:70" ht="14.25" customHeight="1">
      <c r="A573" s="26"/>
      <c r="C573" s="26"/>
      <c r="D573" s="27"/>
      <c r="E573" s="27"/>
      <c r="BE573" s="10" t="str">
        <f t="shared" si="90"/>
        <v/>
      </c>
      <c r="BF573" s="8" t="str">
        <f t="shared" si="91"/>
        <v/>
      </c>
      <c r="BG573" s="11" t="str">
        <f t="shared" si="92"/>
        <v/>
      </c>
      <c r="BH573" s="8" t="str">
        <f t="shared" si="93"/>
        <v/>
      </c>
      <c r="BI573" s="8" t="str">
        <f t="shared" si="94"/>
        <v/>
      </c>
      <c r="BJ573" s="9" t="str">
        <f t="shared" si="95"/>
        <v/>
      </c>
      <c r="BK573" s="9" t="str">
        <f>IF($B573="","",COUNTIFS($B$5:$B573,$B573,$BF$5:$BF573,$BF573))</f>
        <v/>
      </c>
      <c r="BL573" s="9" t="str">
        <f>IF($B573="","",COUNTIFS($B$5:$B573,$B573,$BH$5:$BH573,$BH573))</f>
        <v/>
      </c>
      <c r="BM573" s="9" t="str">
        <f t="shared" si="96"/>
        <v/>
      </c>
      <c r="BN573" s="9" t="str">
        <f t="shared" si="97"/>
        <v/>
      </c>
      <c r="BO573" s="9">
        <f t="shared" si="98"/>
        <v>0</v>
      </c>
      <c r="BR573" s="12" t="str">
        <f t="shared" si="99"/>
        <v/>
      </c>
    </row>
    <row r="574" spans="1:70" ht="14.25" customHeight="1">
      <c r="A574" s="26"/>
      <c r="C574" s="26"/>
      <c r="D574" s="27"/>
      <c r="E574" s="27"/>
      <c r="BE574" s="10" t="str">
        <f t="shared" si="90"/>
        <v/>
      </c>
      <c r="BF574" s="8" t="str">
        <f t="shared" si="91"/>
        <v/>
      </c>
      <c r="BG574" s="11" t="str">
        <f t="shared" si="92"/>
        <v/>
      </c>
      <c r="BH574" s="8" t="str">
        <f t="shared" si="93"/>
        <v/>
      </c>
      <c r="BI574" s="8" t="str">
        <f t="shared" si="94"/>
        <v/>
      </c>
      <c r="BJ574" s="9" t="str">
        <f t="shared" si="95"/>
        <v/>
      </c>
      <c r="BK574" s="9" t="str">
        <f>IF($B574="","",COUNTIFS($B$5:$B574,$B574,$BF$5:$BF574,$BF574))</f>
        <v/>
      </c>
      <c r="BL574" s="9" t="str">
        <f>IF($B574="","",COUNTIFS($B$5:$B574,$B574,$BH$5:$BH574,$BH574))</f>
        <v/>
      </c>
      <c r="BM574" s="9" t="str">
        <f t="shared" si="96"/>
        <v/>
      </c>
      <c r="BN574" s="9" t="str">
        <f t="shared" si="97"/>
        <v/>
      </c>
      <c r="BO574" s="9">
        <f t="shared" si="98"/>
        <v>0</v>
      </c>
      <c r="BR574" s="12" t="str">
        <f t="shared" si="99"/>
        <v/>
      </c>
    </row>
    <row r="575" spans="1:70" ht="14.25" customHeight="1">
      <c r="A575" s="26"/>
      <c r="C575" s="26"/>
      <c r="D575" s="27"/>
      <c r="E575" s="27"/>
      <c r="BE575" s="10" t="str">
        <f t="shared" si="90"/>
        <v/>
      </c>
      <c r="BF575" s="8" t="str">
        <f t="shared" si="91"/>
        <v/>
      </c>
      <c r="BG575" s="11" t="str">
        <f t="shared" si="92"/>
        <v/>
      </c>
      <c r="BH575" s="8" t="str">
        <f t="shared" si="93"/>
        <v/>
      </c>
      <c r="BI575" s="8" t="str">
        <f t="shared" si="94"/>
        <v/>
      </c>
      <c r="BJ575" s="9" t="str">
        <f t="shared" si="95"/>
        <v/>
      </c>
      <c r="BK575" s="9" t="str">
        <f>IF($B575="","",COUNTIFS($B$5:$B575,$B575,$BF$5:$BF575,$BF575))</f>
        <v/>
      </c>
      <c r="BL575" s="9" t="str">
        <f>IF($B575="","",COUNTIFS($B$5:$B575,$B575,$BH$5:$BH575,$BH575))</f>
        <v/>
      </c>
      <c r="BM575" s="9" t="str">
        <f t="shared" si="96"/>
        <v/>
      </c>
      <c r="BN575" s="9" t="str">
        <f t="shared" si="97"/>
        <v/>
      </c>
      <c r="BO575" s="9">
        <f t="shared" si="98"/>
        <v>0</v>
      </c>
      <c r="BR575" s="12" t="str">
        <f t="shared" si="99"/>
        <v/>
      </c>
    </row>
    <row r="576" spans="1:70" ht="14.25" customHeight="1">
      <c r="A576" s="26"/>
      <c r="C576" s="26"/>
      <c r="D576" s="27"/>
      <c r="E576" s="27"/>
      <c r="BE576" s="10" t="str">
        <f t="shared" si="90"/>
        <v/>
      </c>
      <c r="BF576" s="8" t="str">
        <f t="shared" si="91"/>
        <v/>
      </c>
      <c r="BG576" s="11" t="str">
        <f t="shared" si="92"/>
        <v/>
      </c>
      <c r="BH576" s="8" t="str">
        <f t="shared" si="93"/>
        <v/>
      </c>
      <c r="BI576" s="8" t="str">
        <f t="shared" si="94"/>
        <v/>
      </c>
      <c r="BJ576" s="9" t="str">
        <f t="shared" si="95"/>
        <v/>
      </c>
      <c r="BK576" s="9" t="str">
        <f>IF($B576="","",COUNTIFS($B$5:$B576,$B576,$BF$5:$BF576,$BF576))</f>
        <v/>
      </c>
      <c r="BL576" s="9" t="str">
        <f>IF($B576="","",COUNTIFS($B$5:$B576,$B576,$BH$5:$BH576,$BH576))</f>
        <v/>
      </c>
      <c r="BM576" s="9" t="str">
        <f t="shared" si="96"/>
        <v/>
      </c>
      <c r="BN576" s="9" t="str">
        <f t="shared" si="97"/>
        <v/>
      </c>
      <c r="BO576" s="9">
        <f t="shared" si="98"/>
        <v>0</v>
      </c>
      <c r="BR576" s="12" t="str">
        <f t="shared" si="99"/>
        <v/>
      </c>
    </row>
    <row r="577" spans="1:70" ht="14.25" customHeight="1">
      <c r="A577" s="26"/>
      <c r="C577" s="26"/>
      <c r="D577" s="27"/>
      <c r="E577" s="27"/>
      <c r="BE577" s="10" t="str">
        <f t="shared" si="90"/>
        <v/>
      </c>
      <c r="BF577" s="8" t="str">
        <f t="shared" si="91"/>
        <v/>
      </c>
      <c r="BG577" s="11" t="str">
        <f t="shared" si="92"/>
        <v/>
      </c>
      <c r="BH577" s="8" t="str">
        <f t="shared" si="93"/>
        <v/>
      </c>
      <c r="BI577" s="8" t="str">
        <f t="shared" si="94"/>
        <v/>
      </c>
      <c r="BJ577" s="9" t="str">
        <f t="shared" si="95"/>
        <v/>
      </c>
      <c r="BK577" s="9" t="str">
        <f>IF($B577="","",COUNTIFS($B$5:$B577,$B577,$BF$5:$BF577,$BF577))</f>
        <v/>
      </c>
      <c r="BL577" s="9" t="str">
        <f>IF($B577="","",COUNTIFS($B$5:$B577,$B577,$BH$5:$BH577,$BH577))</f>
        <v/>
      </c>
      <c r="BM577" s="9" t="str">
        <f t="shared" si="96"/>
        <v/>
      </c>
      <c r="BN577" s="9" t="str">
        <f t="shared" si="97"/>
        <v/>
      </c>
      <c r="BO577" s="9">
        <f t="shared" si="98"/>
        <v>0</v>
      </c>
      <c r="BR577" s="12" t="str">
        <f t="shared" si="99"/>
        <v/>
      </c>
    </row>
    <row r="578" spans="1:70" ht="14.25" customHeight="1">
      <c r="A578" s="26"/>
      <c r="C578" s="26"/>
      <c r="D578" s="27"/>
      <c r="E578" s="27"/>
      <c r="BE578" s="10" t="str">
        <f t="shared" si="90"/>
        <v/>
      </c>
      <c r="BF578" s="8" t="str">
        <f t="shared" si="91"/>
        <v/>
      </c>
      <c r="BG578" s="11" t="str">
        <f t="shared" si="92"/>
        <v/>
      </c>
      <c r="BH578" s="8" t="str">
        <f t="shared" si="93"/>
        <v/>
      </c>
      <c r="BI578" s="8" t="str">
        <f t="shared" si="94"/>
        <v/>
      </c>
      <c r="BJ578" s="9" t="str">
        <f t="shared" si="95"/>
        <v/>
      </c>
      <c r="BK578" s="9" t="str">
        <f>IF($B578="","",COUNTIFS($B$5:$B578,$B578,$BF$5:$BF578,$BF578))</f>
        <v/>
      </c>
      <c r="BL578" s="9" t="str">
        <f>IF($B578="","",COUNTIFS($B$5:$B578,$B578,$BH$5:$BH578,$BH578))</f>
        <v/>
      </c>
      <c r="BM578" s="9" t="str">
        <f t="shared" si="96"/>
        <v/>
      </c>
      <c r="BN578" s="9" t="str">
        <f t="shared" si="97"/>
        <v/>
      </c>
      <c r="BO578" s="9">
        <f t="shared" si="98"/>
        <v>0</v>
      </c>
      <c r="BR578" s="12" t="str">
        <f t="shared" si="99"/>
        <v/>
      </c>
    </row>
    <row r="579" spans="1:70" ht="14.25" customHeight="1">
      <c r="A579" s="26"/>
      <c r="C579" s="26"/>
      <c r="D579" s="27"/>
      <c r="E579" s="27"/>
      <c r="BE579" s="10" t="str">
        <f t="shared" si="90"/>
        <v/>
      </c>
      <c r="BF579" s="8" t="str">
        <f t="shared" si="91"/>
        <v/>
      </c>
      <c r="BG579" s="11" t="str">
        <f t="shared" si="92"/>
        <v/>
      </c>
      <c r="BH579" s="8" t="str">
        <f t="shared" si="93"/>
        <v/>
      </c>
      <c r="BI579" s="8" t="str">
        <f t="shared" si="94"/>
        <v/>
      </c>
      <c r="BJ579" s="9" t="str">
        <f t="shared" si="95"/>
        <v/>
      </c>
      <c r="BK579" s="9" t="str">
        <f>IF($B579="","",COUNTIFS($B$5:$B579,$B579,$BF$5:$BF579,$BF579))</f>
        <v/>
      </c>
      <c r="BL579" s="9" t="str">
        <f>IF($B579="","",COUNTIFS($B$5:$B579,$B579,$BH$5:$BH579,$BH579))</f>
        <v/>
      </c>
      <c r="BM579" s="9" t="str">
        <f t="shared" si="96"/>
        <v/>
      </c>
      <c r="BN579" s="9" t="str">
        <f t="shared" si="97"/>
        <v/>
      </c>
      <c r="BO579" s="9">
        <f t="shared" si="98"/>
        <v>0</v>
      </c>
      <c r="BR579" s="12" t="str">
        <f t="shared" si="99"/>
        <v/>
      </c>
    </row>
    <row r="580" spans="1:70" ht="14.25" customHeight="1">
      <c r="A580" s="26"/>
      <c r="C580" s="26"/>
      <c r="D580" s="27"/>
      <c r="E580" s="27"/>
      <c r="BE580" s="10" t="str">
        <f t="shared" si="90"/>
        <v/>
      </c>
      <c r="BF580" s="8" t="str">
        <f t="shared" si="91"/>
        <v/>
      </c>
      <c r="BG580" s="11" t="str">
        <f t="shared" si="92"/>
        <v/>
      </c>
      <c r="BH580" s="8" t="str">
        <f t="shared" si="93"/>
        <v/>
      </c>
      <c r="BI580" s="8" t="str">
        <f t="shared" si="94"/>
        <v/>
      </c>
      <c r="BJ580" s="9" t="str">
        <f t="shared" si="95"/>
        <v/>
      </c>
      <c r="BK580" s="9" t="str">
        <f>IF($B580="","",COUNTIFS($B$5:$B580,$B580,$BF$5:$BF580,$BF580))</f>
        <v/>
      </c>
      <c r="BL580" s="9" t="str">
        <f>IF($B580="","",COUNTIFS($B$5:$B580,$B580,$BH$5:$BH580,$BH580))</f>
        <v/>
      </c>
      <c r="BM580" s="9" t="str">
        <f t="shared" si="96"/>
        <v/>
      </c>
      <c r="BN580" s="9" t="str">
        <f t="shared" si="97"/>
        <v/>
      </c>
      <c r="BO580" s="9">
        <f t="shared" si="98"/>
        <v>0</v>
      </c>
      <c r="BR580" s="12" t="str">
        <f t="shared" si="99"/>
        <v/>
      </c>
    </row>
    <row r="581" spans="1:70" ht="14.25" customHeight="1">
      <c r="A581" s="26"/>
      <c r="C581" s="26"/>
      <c r="D581" s="27"/>
      <c r="E581" s="27"/>
      <c r="BE581" s="10" t="str">
        <f t="shared" si="90"/>
        <v/>
      </c>
      <c r="BF581" s="8" t="str">
        <f t="shared" si="91"/>
        <v/>
      </c>
      <c r="BG581" s="11" t="str">
        <f t="shared" si="92"/>
        <v/>
      </c>
      <c r="BH581" s="8" t="str">
        <f t="shared" si="93"/>
        <v/>
      </c>
      <c r="BI581" s="8" t="str">
        <f t="shared" si="94"/>
        <v/>
      </c>
      <c r="BJ581" s="9" t="str">
        <f t="shared" si="95"/>
        <v/>
      </c>
      <c r="BK581" s="9" t="str">
        <f>IF($B581="","",COUNTIFS($B$5:$B581,$B581,$BF$5:$BF581,$BF581))</f>
        <v/>
      </c>
      <c r="BL581" s="9" t="str">
        <f>IF($B581="","",COUNTIFS($B$5:$B581,$B581,$BH$5:$BH581,$BH581))</f>
        <v/>
      </c>
      <c r="BM581" s="9" t="str">
        <f t="shared" si="96"/>
        <v/>
      </c>
      <c r="BN581" s="9" t="str">
        <f t="shared" si="97"/>
        <v/>
      </c>
      <c r="BO581" s="9">
        <f t="shared" si="98"/>
        <v>0</v>
      </c>
      <c r="BR581" s="12" t="str">
        <f t="shared" si="99"/>
        <v/>
      </c>
    </row>
    <row r="582" spans="1:70" ht="14.25" customHeight="1">
      <c r="A582" s="26"/>
      <c r="C582" s="26"/>
      <c r="D582" s="27"/>
      <c r="E582" s="27"/>
      <c r="BE582" s="10" t="str">
        <f t="shared" si="90"/>
        <v/>
      </c>
      <c r="BF582" s="8" t="str">
        <f t="shared" si="91"/>
        <v/>
      </c>
      <c r="BG582" s="11" t="str">
        <f t="shared" si="92"/>
        <v/>
      </c>
      <c r="BH582" s="8" t="str">
        <f t="shared" si="93"/>
        <v/>
      </c>
      <c r="BI582" s="8" t="str">
        <f t="shared" si="94"/>
        <v/>
      </c>
      <c r="BJ582" s="9" t="str">
        <f t="shared" si="95"/>
        <v/>
      </c>
      <c r="BK582" s="9" t="str">
        <f>IF($B582="","",COUNTIFS($B$5:$B582,$B582,$BF$5:$BF582,$BF582))</f>
        <v/>
      </c>
      <c r="BL582" s="9" t="str">
        <f>IF($B582="","",COUNTIFS($B$5:$B582,$B582,$BH$5:$BH582,$BH582))</f>
        <v/>
      </c>
      <c r="BM582" s="9" t="str">
        <f t="shared" si="96"/>
        <v/>
      </c>
      <c r="BN582" s="9" t="str">
        <f t="shared" si="97"/>
        <v/>
      </c>
      <c r="BO582" s="9">
        <f t="shared" si="98"/>
        <v>0</v>
      </c>
      <c r="BR582" s="12" t="str">
        <f t="shared" si="99"/>
        <v/>
      </c>
    </row>
    <row r="583" spans="1:70" ht="14.25" customHeight="1">
      <c r="A583" s="26"/>
      <c r="C583" s="26"/>
      <c r="D583" s="27"/>
      <c r="E583" s="27"/>
      <c r="BE583" s="10" t="str">
        <f t="shared" si="90"/>
        <v/>
      </c>
      <c r="BF583" s="8" t="str">
        <f t="shared" si="91"/>
        <v/>
      </c>
      <c r="BG583" s="11" t="str">
        <f t="shared" si="92"/>
        <v/>
      </c>
      <c r="BH583" s="8" t="str">
        <f t="shared" si="93"/>
        <v/>
      </c>
      <c r="BI583" s="8" t="str">
        <f t="shared" si="94"/>
        <v/>
      </c>
      <c r="BJ583" s="9" t="str">
        <f t="shared" si="95"/>
        <v/>
      </c>
      <c r="BK583" s="9" t="str">
        <f>IF($B583="","",COUNTIFS($B$5:$B583,$B583,$BF$5:$BF583,$BF583))</f>
        <v/>
      </c>
      <c r="BL583" s="9" t="str">
        <f>IF($B583="","",COUNTIFS($B$5:$B583,$B583,$BH$5:$BH583,$BH583))</f>
        <v/>
      </c>
      <c r="BM583" s="9" t="str">
        <f t="shared" si="96"/>
        <v/>
      </c>
      <c r="BN583" s="9" t="str">
        <f t="shared" si="97"/>
        <v/>
      </c>
      <c r="BO583" s="9">
        <f t="shared" si="98"/>
        <v>0</v>
      </c>
      <c r="BR583" s="12" t="str">
        <f t="shared" si="99"/>
        <v/>
      </c>
    </row>
    <row r="584" spans="1:70" ht="14.25" customHeight="1">
      <c r="A584" s="26"/>
      <c r="C584" s="26"/>
      <c r="D584" s="27"/>
      <c r="E584" s="27"/>
      <c r="BE584" s="10" t="str">
        <f t="shared" si="90"/>
        <v/>
      </c>
      <c r="BF584" s="8" t="str">
        <f t="shared" si="91"/>
        <v/>
      </c>
      <c r="BG584" s="11" t="str">
        <f t="shared" si="92"/>
        <v/>
      </c>
      <c r="BH584" s="8" t="str">
        <f t="shared" si="93"/>
        <v/>
      </c>
      <c r="BI584" s="8" t="str">
        <f t="shared" si="94"/>
        <v/>
      </c>
      <c r="BJ584" s="9" t="str">
        <f t="shared" si="95"/>
        <v/>
      </c>
      <c r="BK584" s="9" t="str">
        <f>IF($B584="","",COUNTIFS($B$5:$B584,$B584,$BF$5:$BF584,$BF584))</f>
        <v/>
      </c>
      <c r="BL584" s="9" t="str">
        <f>IF($B584="","",COUNTIFS($B$5:$B584,$B584,$BH$5:$BH584,$BH584))</f>
        <v/>
      </c>
      <c r="BM584" s="9" t="str">
        <f t="shared" si="96"/>
        <v/>
      </c>
      <c r="BN584" s="9" t="str">
        <f t="shared" si="97"/>
        <v/>
      </c>
      <c r="BO584" s="9">
        <f t="shared" si="98"/>
        <v>0</v>
      </c>
      <c r="BR584" s="12" t="str">
        <f t="shared" si="99"/>
        <v/>
      </c>
    </row>
    <row r="585" spans="1:70" ht="14.25" customHeight="1">
      <c r="A585" s="26"/>
      <c r="C585" s="26"/>
      <c r="D585" s="27"/>
      <c r="E585" s="27"/>
      <c r="BE585" s="10" t="str">
        <f t="shared" si="90"/>
        <v/>
      </c>
      <c r="BF585" s="8" t="str">
        <f t="shared" si="91"/>
        <v/>
      </c>
      <c r="BG585" s="11" t="str">
        <f t="shared" si="92"/>
        <v/>
      </c>
      <c r="BH585" s="8" t="str">
        <f t="shared" si="93"/>
        <v/>
      </c>
      <c r="BI585" s="8" t="str">
        <f t="shared" si="94"/>
        <v/>
      </c>
      <c r="BJ585" s="9" t="str">
        <f t="shared" si="95"/>
        <v/>
      </c>
      <c r="BK585" s="9" t="str">
        <f>IF($B585="","",COUNTIFS($B$5:$B585,$B585,$BF$5:$BF585,$BF585))</f>
        <v/>
      </c>
      <c r="BL585" s="9" t="str">
        <f>IF($B585="","",COUNTIFS($B$5:$B585,$B585,$BH$5:$BH585,$BH585))</f>
        <v/>
      </c>
      <c r="BM585" s="9" t="str">
        <f t="shared" si="96"/>
        <v/>
      </c>
      <c r="BN585" s="9" t="str">
        <f t="shared" si="97"/>
        <v/>
      </c>
      <c r="BO585" s="9">
        <f t="shared" si="98"/>
        <v>0</v>
      </c>
      <c r="BR585" s="12" t="str">
        <f t="shared" si="99"/>
        <v/>
      </c>
    </row>
    <row r="586" spans="1:70" ht="14.25" customHeight="1">
      <c r="A586" s="26"/>
      <c r="C586" s="26"/>
      <c r="D586" s="27"/>
      <c r="E586" s="27"/>
      <c r="BE586" s="10" t="str">
        <f t="shared" si="90"/>
        <v/>
      </c>
      <c r="BF586" s="8" t="str">
        <f t="shared" si="91"/>
        <v/>
      </c>
      <c r="BG586" s="11" t="str">
        <f t="shared" si="92"/>
        <v/>
      </c>
      <c r="BH586" s="8" t="str">
        <f t="shared" si="93"/>
        <v/>
      </c>
      <c r="BI586" s="8" t="str">
        <f t="shared" si="94"/>
        <v/>
      </c>
      <c r="BJ586" s="9" t="str">
        <f t="shared" si="95"/>
        <v/>
      </c>
      <c r="BK586" s="9" t="str">
        <f>IF($B586="","",COUNTIFS($B$5:$B586,$B586,$BF$5:$BF586,$BF586))</f>
        <v/>
      </c>
      <c r="BL586" s="9" t="str">
        <f>IF($B586="","",COUNTIFS($B$5:$B586,$B586,$BH$5:$BH586,$BH586))</f>
        <v/>
      </c>
      <c r="BM586" s="9" t="str">
        <f t="shared" si="96"/>
        <v/>
      </c>
      <c r="BN586" s="9" t="str">
        <f t="shared" si="97"/>
        <v/>
      </c>
      <c r="BO586" s="9">
        <f t="shared" si="98"/>
        <v>0</v>
      </c>
      <c r="BR586" s="12" t="str">
        <f t="shared" si="99"/>
        <v/>
      </c>
    </row>
    <row r="587" spans="1:70" ht="14.25" customHeight="1">
      <c r="A587" s="26"/>
      <c r="C587" s="26"/>
      <c r="D587" s="27"/>
      <c r="E587" s="27"/>
      <c r="BE587" s="10" t="str">
        <f t="shared" si="90"/>
        <v/>
      </c>
      <c r="BF587" s="8" t="str">
        <f t="shared" si="91"/>
        <v/>
      </c>
      <c r="BG587" s="11" t="str">
        <f t="shared" si="92"/>
        <v/>
      </c>
      <c r="BH587" s="8" t="str">
        <f t="shared" si="93"/>
        <v/>
      </c>
      <c r="BI587" s="8" t="str">
        <f t="shared" si="94"/>
        <v/>
      </c>
      <c r="BJ587" s="9" t="str">
        <f t="shared" si="95"/>
        <v/>
      </c>
      <c r="BK587" s="9" t="str">
        <f>IF($B587="","",COUNTIFS($B$5:$B587,$B587,$BF$5:$BF587,$BF587))</f>
        <v/>
      </c>
      <c r="BL587" s="9" t="str">
        <f>IF($B587="","",COUNTIFS($B$5:$B587,$B587,$BH$5:$BH587,$BH587))</f>
        <v/>
      </c>
      <c r="BM587" s="9" t="str">
        <f t="shared" si="96"/>
        <v/>
      </c>
      <c r="BN587" s="9" t="str">
        <f t="shared" si="97"/>
        <v/>
      </c>
      <c r="BO587" s="9">
        <f t="shared" si="98"/>
        <v>0</v>
      </c>
      <c r="BR587" s="12" t="str">
        <f t="shared" si="99"/>
        <v/>
      </c>
    </row>
    <row r="588" spans="1:70" ht="14.25" customHeight="1">
      <c r="A588" s="26"/>
      <c r="C588" s="26"/>
      <c r="D588" s="27"/>
      <c r="E588" s="27"/>
      <c r="BE588" s="10" t="str">
        <f t="shared" si="90"/>
        <v/>
      </c>
      <c r="BF588" s="8" t="str">
        <f t="shared" si="91"/>
        <v/>
      </c>
      <c r="BG588" s="11" t="str">
        <f t="shared" si="92"/>
        <v/>
      </c>
      <c r="BH588" s="8" t="str">
        <f t="shared" si="93"/>
        <v/>
      </c>
      <c r="BI588" s="8" t="str">
        <f t="shared" si="94"/>
        <v/>
      </c>
      <c r="BJ588" s="9" t="str">
        <f t="shared" si="95"/>
        <v/>
      </c>
      <c r="BK588" s="9" t="str">
        <f>IF($B588="","",COUNTIFS($B$5:$B588,$B588,$BF$5:$BF588,$BF588))</f>
        <v/>
      </c>
      <c r="BL588" s="9" t="str">
        <f>IF($B588="","",COUNTIFS($B$5:$B588,$B588,$BH$5:$BH588,$BH588))</f>
        <v/>
      </c>
      <c r="BM588" s="9" t="str">
        <f t="shared" si="96"/>
        <v/>
      </c>
      <c r="BN588" s="9" t="str">
        <f t="shared" si="97"/>
        <v/>
      </c>
      <c r="BO588" s="9">
        <f t="shared" si="98"/>
        <v>0</v>
      </c>
      <c r="BR588" s="12" t="str">
        <f t="shared" si="99"/>
        <v/>
      </c>
    </row>
    <row r="589" spans="1:70" ht="14.25" customHeight="1">
      <c r="A589" s="26"/>
      <c r="C589" s="26"/>
      <c r="D589" s="27"/>
      <c r="E589" s="27"/>
      <c r="BE589" s="10" t="str">
        <f t="shared" si="90"/>
        <v/>
      </c>
      <c r="BF589" s="8" t="str">
        <f t="shared" si="91"/>
        <v/>
      </c>
      <c r="BG589" s="11" t="str">
        <f t="shared" si="92"/>
        <v/>
      </c>
      <c r="BH589" s="8" t="str">
        <f t="shared" si="93"/>
        <v/>
      </c>
      <c r="BI589" s="8" t="str">
        <f t="shared" si="94"/>
        <v/>
      </c>
      <c r="BJ589" s="9" t="str">
        <f t="shared" si="95"/>
        <v/>
      </c>
      <c r="BK589" s="9" t="str">
        <f>IF($B589="","",COUNTIFS($B$5:$B589,$B589,$BF$5:$BF589,$BF589))</f>
        <v/>
      </c>
      <c r="BL589" s="9" t="str">
        <f>IF($B589="","",COUNTIFS($B$5:$B589,$B589,$BH$5:$BH589,$BH589))</f>
        <v/>
      </c>
      <c r="BM589" s="9" t="str">
        <f t="shared" si="96"/>
        <v/>
      </c>
      <c r="BN589" s="9" t="str">
        <f t="shared" si="97"/>
        <v/>
      </c>
      <c r="BO589" s="9">
        <f t="shared" si="98"/>
        <v>0</v>
      </c>
      <c r="BR589" s="12" t="str">
        <f t="shared" si="99"/>
        <v/>
      </c>
    </row>
    <row r="590" spans="1:70" ht="14.25" customHeight="1">
      <c r="A590" s="26"/>
      <c r="C590" s="26"/>
      <c r="D590" s="27"/>
      <c r="E590" s="27"/>
      <c r="BE590" s="10" t="str">
        <f t="shared" si="90"/>
        <v/>
      </c>
      <c r="BF590" s="8" t="str">
        <f t="shared" si="91"/>
        <v/>
      </c>
      <c r="BG590" s="11" t="str">
        <f t="shared" si="92"/>
        <v/>
      </c>
      <c r="BH590" s="8" t="str">
        <f t="shared" si="93"/>
        <v/>
      </c>
      <c r="BI590" s="8" t="str">
        <f t="shared" si="94"/>
        <v/>
      </c>
      <c r="BJ590" s="9" t="str">
        <f t="shared" si="95"/>
        <v/>
      </c>
      <c r="BK590" s="9" t="str">
        <f>IF($B590="","",COUNTIFS($B$5:$B590,$B590,$BF$5:$BF590,$BF590))</f>
        <v/>
      </c>
      <c r="BL590" s="9" t="str">
        <f>IF($B590="","",COUNTIFS($B$5:$B590,$B590,$BH$5:$BH590,$BH590))</f>
        <v/>
      </c>
      <c r="BM590" s="9" t="str">
        <f t="shared" si="96"/>
        <v/>
      </c>
      <c r="BN590" s="9" t="str">
        <f t="shared" si="97"/>
        <v/>
      </c>
      <c r="BO590" s="9">
        <f t="shared" si="98"/>
        <v>0</v>
      </c>
      <c r="BR590" s="12" t="str">
        <f t="shared" si="99"/>
        <v/>
      </c>
    </row>
    <row r="591" spans="1:70" ht="14.25" customHeight="1">
      <c r="A591" s="26"/>
      <c r="C591" s="26"/>
      <c r="D591" s="27"/>
      <c r="E591" s="27"/>
      <c r="BE591" s="10" t="str">
        <f t="shared" si="90"/>
        <v/>
      </c>
      <c r="BF591" s="8" t="str">
        <f t="shared" si="91"/>
        <v/>
      </c>
      <c r="BG591" s="11" t="str">
        <f t="shared" si="92"/>
        <v/>
      </c>
      <c r="BH591" s="8" t="str">
        <f t="shared" si="93"/>
        <v/>
      </c>
      <c r="BI591" s="8" t="str">
        <f t="shared" si="94"/>
        <v/>
      </c>
      <c r="BJ591" s="9" t="str">
        <f t="shared" si="95"/>
        <v/>
      </c>
      <c r="BK591" s="9" t="str">
        <f>IF($B591="","",COUNTIFS($B$5:$B591,$B591,$BF$5:$BF591,$BF591))</f>
        <v/>
      </c>
      <c r="BL591" s="9" t="str">
        <f>IF($B591="","",COUNTIFS($B$5:$B591,$B591,$BH$5:$BH591,$BH591))</f>
        <v/>
      </c>
      <c r="BM591" s="9" t="str">
        <f t="shared" si="96"/>
        <v/>
      </c>
      <c r="BN591" s="9" t="str">
        <f t="shared" si="97"/>
        <v/>
      </c>
      <c r="BO591" s="9">
        <f t="shared" si="98"/>
        <v>0</v>
      </c>
      <c r="BR591" s="12" t="str">
        <f t="shared" si="99"/>
        <v/>
      </c>
    </row>
    <row r="592" spans="1:70" ht="14.25" customHeight="1">
      <c r="A592" s="26"/>
      <c r="C592" s="26"/>
      <c r="D592" s="27"/>
      <c r="E592" s="27"/>
      <c r="BE592" s="10" t="str">
        <f t="shared" si="90"/>
        <v/>
      </c>
      <c r="BF592" s="8" t="str">
        <f t="shared" si="91"/>
        <v/>
      </c>
      <c r="BG592" s="11" t="str">
        <f t="shared" si="92"/>
        <v/>
      </c>
      <c r="BH592" s="8" t="str">
        <f t="shared" si="93"/>
        <v/>
      </c>
      <c r="BI592" s="8" t="str">
        <f t="shared" si="94"/>
        <v/>
      </c>
      <c r="BJ592" s="9" t="str">
        <f t="shared" si="95"/>
        <v/>
      </c>
      <c r="BK592" s="9" t="str">
        <f>IF($B592="","",COUNTIFS($B$5:$B592,$B592,$BF$5:$BF592,$BF592))</f>
        <v/>
      </c>
      <c r="BL592" s="9" t="str">
        <f>IF($B592="","",COUNTIFS($B$5:$B592,$B592,$BH$5:$BH592,$BH592))</f>
        <v/>
      </c>
      <c r="BM592" s="9" t="str">
        <f t="shared" si="96"/>
        <v/>
      </c>
      <c r="BN592" s="9" t="str">
        <f t="shared" si="97"/>
        <v/>
      </c>
      <c r="BO592" s="9">
        <f t="shared" si="98"/>
        <v>0</v>
      </c>
      <c r="BR592" s="12" t="str">
        <f t="shared" si="99"/>
        <v/>
      </c>
    </row>
    <row r="593" spans="1:70" ht="14.25" customHeight="1">
      <c r="A593" s="26"/>
      <c r="C593" s="26"/>
      <c r="D593" s="27"/>
      <c r="E593" s="27"/>
      <c r="BE593" s="10" t="str">
        <f t="shared" si="90"/>
        <v/>
      </c>
      <c r="BF593" s="8" t="str">
        <f t="shared" si="91"/>
        <v/>
      </c>
      <c r="BG593" s="11" t="str">
        <f t="shared" si="92"/>
        <v/>
      </c>
      <c r="BH593" s="8" t="str">
        <f t="shared" si="93"/>
        <v/>
      </c>
      <c r="BI593" s="8" t="str">
        <f t="shared" si="94"/>
        <v/>
      </c>
      <c r="BJ593" s="9" t="str">
        <f t="shared" si="95"/>
        <v/>
      </c>
      <c r="BK593" s="9" t="str">
        <f>IF($B593="","",COUNTIFS($B$5:$B593,$B593,$BF$5:$BF593,$BF593))</f>
        <v/>
      </c>
      <c r="BL593" s="9" t="str">
        <f>IF($B593="","",COUNTIFS($B$5:$B593,$B593,$BH$5:$BH593,$BH593))</f>
        <v/>
      </c>
      <c r="BM593" s="9" t="str">
        <f t="shared" si="96"/>
        <v/>
      </c>
      <c r="BN593" s="9" t="str">
        <f t="shared" si="97"/>
        <v/>
      </c>
      <c r="BO593" s="9">
        <f t="shared" si="98"/>
        <v>0</v>
      </c>
      <c r="BR593" s="12" t="str">
        <f t="shared" si="99"/>
        <v/>
      </c>
    </row>
    <row r="594" spans="1:70" ht="14.25" customHeight="1">
      <c r="A594" s="26"/>
      <c r="C594" s="26"/>
      <c r="D594" s="27"/>
      <c r="E594" s="27"/>
      <c r="BE594" s="10" t="str">
        <f t="shared" si="90"/>
        <v/>
      </c>
      <c r="BF594" s="8" t="str">
        <f t="shared" si="91"/>
        <v/>
      </c>
      <c r="BG594" s="11" t="str">
        <f t="shared" si="92"/>
        <v/>
      </c>
      <c r="BH594" s="8" t="str">
        <f t="shared" si="93"/>
        <v/>
      </c>
      <c r="BI594" s="8" t="str">
        <f t="shared" si="94"/>
        <v/>
      </c>
      <c r="BJ594" s="9" t="str">
        <f t="shared" si="95"/>
        <v/>
      </c>
      <c r="BK594" s="9" t="str">
        <f>IF($B594="","",COUNTIFS($B$5:$B594,$B594,$BF$5:$BF594,$BF594))</f>
        <v/>
      </c>
      <c r="BL594" s="9" t="str">
        <f>IF($B594="","",COUNTIFS($B$5:$B594,$B594,$BH$5:$BH594,$BH594))</f>
        <v/>
      </c>
      <c r="BM594" s="9" t="str">
        <f t="shared" si="96"/>
        <v/>
      </c>
      <c r="BN594" s="9" t="str">
        <f t="shared" si="97"/>
        <v/>
      </c>
      <c r="BO594" s="9">
        <f t="shared" si="98"/>
        <v>0</v>
      </c>
      <c r="BR594" s="12" t="str">
        <f t="shared" si="99"/>
        <v/>
      </c>
    </row>
    <row r="595" spans="1:70" ht="14.25" customHeight="1">
      <c r="A595" s="26"/>
      <c r="C595" s="26"/>
      <c r="D595" s="27"/>
      <c r="E595" s="27"/>
      <c r="BE595" s="10" t="str">
        <f t="shared" si="90"/>
        <v/>
      </c>
      <c r="BF595" s="8" t="str">
        <f t="shared" si="91"/>
        <v/>
      </c>
      <c r="BG595" s="11" t="str">
        <f t="shared" si="92"/>
        <v/>
      </c>
      <c r="BH595" s="8" t="str">
        <f t="shared" si="93"/>
        <v/>
      </c>
      <c r="BI595" s="8" t="str">
        <f t="shared" si="94"/>
        <v/>
      </c>
      <c r="BJ595" s="9" t="str">
        <f t="shared" si="95"/>
        <v/>
      </c>
      <c r="BK595" s="9" t="str">
        <f>IF($B595="","",COUNTIFS($B$5:$B595,$B595,$BF$5:$BF595,$BF595))</f>
        <v/>
      </c>
      <c r="BL595" s="9" t="str">
        <f>IF($B595="","",COUNTIFS($B$5:$B595,$B595,$BH$5:$BH595,$BH595))</f>
        <v/>
      </c>
      <c r="BM595" s="9" t="str">
        <f t="shared" si="96"/>
        <v/>
      </c>
      <c r="BN595" s="9" t="str">
        <f t="shared" si="97"/>
        <v/>
      </c>
      <c r="BO595" s="9">
        <f t="shared" si="98"/>
        <v>0</v>
      </c>
      <c r="BR595" s="12" t="str">
        <f t="shared" si="99"/>
        <v/>
      </c>
    </row>
    <row r="596" spans="1:70" ht="14.25" customHeight="1">
      <c r="A596" s="26"/>
      <c r="C596" s="26"/>
      <c r="D596" s="27"/>
      <c r="E596" s="27"/>
      <c r="BE596" s="10" t="str">
        <f t="shared" si="90"/>
        <v/>
      </c>
      <c r="BF596" s="8" t="str">
        <f t="shared" si="91"/>
        <v/>
      </c>
      <c r="BG596" s="11" t="str">
        <f t="shared" si="92"/>
        <v/>
      </c>
      <c r="BH596" s="8" t="str">
        <f t="shared" si="93"/>
        <v/>
      </c>
      <c r="BI596" s="8" t="str">
        <f t="shared" si="94"/>
        <v/>
      </c>
      <c r="BJ596" s="9" t="str">
        <f t="shared" si="95"/>
        <v/>
      </c>
      <c r="BK596" s="9" t="str">
        <f>IF($B596="","",COUNTIFS($B$5:$B596,$B596,$BF$5:$BF596,$BF596))</f>
        <v/>
      </c>
      <c r="BL596" s="9" t="str">
        <f>IF($B596="","",COUNTIFS($B$5:$B596,$B596,$BH$5:$BH596,$BH596))</f>
        <v/>
      </c>
      <c r="BM596" s="9" t="str">
        <f t="shared" si="96"/>
        <v/>
      </c>
      <c r="BN596" s="9" t="str">
        <f t="shared" si="97"/>
        <v/>
      </c>
      <c r="BO596" s="9">
        <f t="shared" si="98"/>
        <v>0</v>
      </c>
      <c r="BR596" s="12" t="str">
        <f t="shared" si="99"/>
        <v/>
      </c>
    </row>
    <row r="597" spans="1:70" ht="14.25" customHeight="1">
      <c r="A597" s="26"/>
      <c r="C597" s="26"/>
      <c r="D597" s="27"/>
      <c r="E597" s="27"/>
      <c r="BE597" s="10" t="str">
        <f t="shared" si="90"/>
        <v/>
      </c>
      <c r="BF597" s="8" t="str">
        <f t="shared" si="91"/>
        <v/>
      </c>
      <c r="BG597" s="11" t="str">
        <f t="shared" si="92"/>
        <v/>
      </c>
      <c r="BH597" s="8" t="str">
        <f t="shared" si="93"/>
        <v/>
      </c>
      <c r="BI597" s="8" t="str">
        <f t="shared" si="94"/>
        <v/>
      </c>
      <c r="BJ597" s="9" t="str">
        <f t="shared" si="95"/>
        <v/>
      </c>
      <c r="BK597" s="9" t="str">
        <f>IF($B597="","",COUNTIFS($B$5:$B597,$B597,$BF$5:$BF597,$BF597))</f>
        <v/>
      </c>
      <c r="BL597" s="9" t="str">
        <f>IF($B597="","",COUNTIFS($B$5:$B597,$B597,$BH$5:$BH597,$BH597))</f>
        <v/>
      </c>
      <c r="BM597" s="9" t="str">
        <f t="shared" si="96"/>
        <v/>
      </c>
      <c r="BN597" s="9" t="str">
        <f t="shared" si="97"/>
        <v/>
      </c>
      <c r="BO597" s="9">
        <f t="shared" si="98"/>
        <v>0</v>
      </c>
      <c r="BR597" s="12" t="str">
        <f t="shared" si="99"/>
        <v/>
      </c>
    </row>
    <row r="598" spans="1:70" ht="14.25" customHeight="1">
      <c r="A598" s="26"/>
      <c r="C598" s="26"/>
      <c r="D598" s="27"/>
      <c r="E598" s="27"/>
      <c r="BE598" s="10" t="str">
        <f t="shared" si="90"/>
        <v/>
      </c>
      <c r="BF598" s="8" t="str">
        <f t="shared" si="91"/>
        <v/>
      </c>
      <c r="BG598" s="11" t="str">
        <f t="shared" si="92"/>
        <v/>
      </c>
      <c r="BH598" s="8" t="str">
        <f t="shared" si="93"/>
        <v/>
      </c>
      <c r="BI598" s="8" t="str">
        <f t="shared" si="94"/>
        <v/>
      </c>
      <c r="BJ598" s="9" t="str">
        <f t="shared" si="95"/>
        <v/>
      </c>
      <c r="BK598" s="9" t="str">
        <f>IF($B598="","",COUNTIFS($B$5:$B598,$B598,$BF$5:$BF598,$BF598))</f>
        <v/>
      </c>
      <c r="BL598" s="9" t="str">
        <f>IF($B598="","",COUNTIFS($B$5:$B598,$B598,$BH$5:$BH598,$BH598))</f>
        <v/>
      </c>
      <c r="BM598" s="9" t="str">
        <f t="shared" si="96"/>
        <v/>
      </c>
      <c r="BN598" s="9" t="str">
        <f t="shared" si="97"/>
        <v/>
      </c>
      <c r="BO598" s="9">
        <f t="shared" si="98"/>
        <v>0</v>
      </c>
      <c r="BR598" s="12" t="str">
        <f t="shared" si="99"/>
        <v/>
      </c>
    </row>
    <row r="599" spans="1:70" ht="14.25" customHeight="1">
      <c r="A599" s="26"/>
      <c r="C599" s="26"/>
      <c r="D599" s="27"/>
      <c r="E599" s="27"/>
      <c r="BE599" s="10" t="str">
        <f t="shared" si="90"/>
        <v/>
      </c>
      <c r="BF599" s="8" t="str">
        <f t="shared" si="91"/>
        <v/>
      </c>
      <c r="BG599" s="11" t="str">
        <f t="shared" si="92"/>
        <v/>
      </c>
      <c r="BH599" s="8" t="str">
        <f t="shared" si="93"/>
        <v/>
      </c>
      <c r="BI599" s="8" t="str">
        <f t="shared" si="94"/>
        <v/>
      </c>
      <c r="BJ599" s="9" t="str">
        <f t="shared" si="95"/>
        <v/>
      </c>
      <c r="BK599" s="9" t="str">
        <f>IF($B599="","",COUNTIFS($B$5:$B599,$B599,$BF$5:$BF599,$BF599))</f>
        <v/>
      </c>
      <c r="BL599" s="9" t="str">
        <f>IF($B599="","",COUNTIFS($B$5:$B599,$B599,$BH$5:$BH599,$BH599))</f>
        <v/>
      </c>
      <c r="BM599" s="9" t="str">
        <f t="shared" si="96"/>
        <v/>
      </c>
      <c r="BN599" s="9" t="str">
        <f t="shared" si="97"/>
        <v/>
      </c>
      <c r="BO599" s="9">
        <f t="shared" si="98"/>
        <v>0</v>
      </c>
      <c r="BR599" s="12" t="str">
        <f t="shared" si="99"/>
        <v/>
      </c>
    </row>
    <row r="600" spans="1:70" ht="14.25" customHeight="1">
      <c r="A600" s="26"/>
      <c r="C600" s="26"/>
      <c r="D600" s="27"/>
      <c r="E600" s="27"/>
      <c r="BE600" s="10" t="str">
        <f t="shared" si="90"/>
        <v/>
      </c>
      <c r="BF600" s="8" t="str">
        <f t="shared" si="91"/>
        <v/>
      </c>
      <c r="BG600" s="11" t="str">
        <f t="shared" si="92"/>
        <v/>
      </c>
      <c r="BH600" s="8" t="str">
        <f t="shared" si="93"/>
        <v/>
      </c>
      <c r="BI600" s="8" t="str">
        <f t="shared" si="94"/>
        <v/>
      </c>
      <c r="BJ600" s="9" t="str">
        <f t="shared" si="95"/>
        <v/>
      </c>
      <c r="BK600" s="9" t="str">
        <f>IF($B600="","",COUNTIFS($B$5:$B600,$B600,$BF$5:$BF600,$BF600))</f>
        <v/>
      </c>
      <c r="BL600" s="9" t="str">
        <f>IF($B600="","",COUNTIFS($B$5:$B600,$B600,$BH$5:$BH600,$BH600))</f>
        <v/>
      </c>
      <c r="BM600" s="9" t="str">
        <f t="shared" si="96"/>
        <v/>
      </c>
      <c r="BN600" s="9" t="str">
        <f t="shared" si="97"/>
        <v/>
      </c>
      <c r="BO600" s="9">
        <f t="shared" si="98"/>
        <v>0</v>
      </c>
      <c r="BR600" s="12" t="str">
        <f t="shared" si="99"/>
        <v/>
      </c>
    </row>
    <row r="601" spans="1:70" ht="14.25" customHeight="1">
      <c r="A601" s="26"/>
      <c r="C601" s="26"/>
      <c r="D601" s="27"/>
      <c r="E601" s="27"/>
      <c r="BE601" s="10" t="str">
        <f t="shared" si="90"/>
        <v/>
      </c>
      <c r="BF601" s="8" t="str">
        <f t="shared" si="91"/>
        <v/>
      </c>
      <c r="BG601" s="11" t="str">
        <f t="shared" si="92"/>
        <v/>
      </c>
      <c r="BH601" s="8" t="str">
        <f t="shared" si="93"/>
        <v/>
      </c>
      <c r="BI601" s="8" t="str">
        <f t="shared" si="94"/>
        <v/>
      </c>
      <c r="BJ601" s="9" t="str">
        <f t="shared" si="95"/>
        <v/>
      </c>
      <c r="BK601" s="9" t="str">
        <f>IF($B601="","",COUNTIFS($B$5:$B601,$B601,$BF$5:$BF601,$BF601))</f>
        <v/>
      </c>
      <c r="BL601" s="9" t="str">
        <f>IF($B601="","",COUNTIFS($B$5:$B601,$B601,$BH$5:$BH601,$BH601))</f>
        <v/>
      </c>
      <c r="BM601" s="9" t="str">
        <f t="shared" si="96"/>
        <v/>
      </c>
      <c r="BN601" s="9" t="str">
        <f t="shared" si="97"/>
        <v/>
      </c>
      <c r="BO601" s="9">
        <f t="shared" si="98"/>
        <v>0</v>
      </c>
      <c r="BR601" s="12" t="str">
        <f t="shared" si="99"/>
        <v/>
      </c>
    </row>
    <row r="602" spans="1:70" ht="14.25" customHeight="1">
      <c r="A602" s="26"/>
      <c r="C602" s="26"/>
      <c r="D602" s="27"/>
      <c r="E602" s="27"/>
      <c r="BE602" s="10" t="str">
        <f t="shared" si="90"/>
        <v/>
      </c>
      <c r="BF602" s="8" t="str">
        <f t="shared" si="91"/>
        <v/>
      </c>
      <c r="BG602" s="11" t="str">
        <f t="shared" si="92"/>
        <v/>
      </c>
      <c r="BH602" s="8" t="str">
        <f t="shared" si="93"/>
        <v/>
      </c>
      <c r="BI602" s="8" t="str">
        <f t="shared" si="94"/>
        <v/>
      </c>
      <c r="BJ602" s="9" t="str">
        <f t="shared" si="95"/>
        <v/>
      </c>
      <c r="BK602" s="9" t="str">
        <f>IF($B602="","",COUNTIFS($B$5:$B602,$B602,$BF$5:$BF602,$BF602))</f>
        <v/>
      </c>
      <c r="BL602" s="9" t="str">
        <f>IF($B602="","",COUNTIFS($B$5:$B602,$B602,$BH$5:$BH602,$BH602))</f>
        <v/>
      </c>
      <c r="BM602" s="9" t="str">
        <f t="shared" si="96"/>
        <v/>
      </c>
      <c r="BN602" s="9" t="str">
        <f t="shared" si="97"/>
        <v/>
      </c>
      <c r="BO602" s="9">
        <f t="shared" si="98"/>
        <v>0</v>
      </c>
      <c r="BR602" s="12" t="str">
        <f t="shared" si="99"/>
        <v/>
      </c>
    </row>
    <row r="603" spans="1:70" ht="14.25" customHeight="1">
      <c r="A603" s="26"/>
      <c r="C603" s="26"/>
      <c r="D603" s="27"/>
      <c r="E603" s="27"/>
      <c r="BE603" s="10" t="str">
        <f t="shared" si="90"/>
        <v/>
      </c>
      <c r="BF603" s="8" t="str">
        <f t="shared" si="91"/>
        <v/>
      </c>
      <c r="BG603" s="11" t="str">
        <f t="shared" si="92"/>
        <v/>
      </c>
      <c r="BH603" s="8" t="str">
        <f t="shared" si="93"/>
        <v/>
      </c>
      <c r="BI603" s="8" t="str">
        <f t="shared" si="94"/>
        <v/>
      </c>
      <c r="BJ603" s="9" t="str">
        <f t="shared" si="95"/>
        <v/>
      </c>
      <c r="BK603" s="9" t="str">
        <f>IF($B603="","",COUNTIFS($B$5:$B603,$B603,$BF$5:$BF603,$BF603))</f>
        <v/>
      </c>
      <c r="BL603" s="9" t="str">
        <f>IF($B603="","",COUNTIFS($B$5:$B603,$B603,$BH$5:$BH603,$BH603))</f>
        <v/>
      </c>
      <c r="BM603" s="9" t="str">
        <f t="shared" si="96"/>
        <v/>
      </c>
      <c r="BN603" s="9" t="str">
        <f t="shared" si="97"/>
        <v/>
      </c>
      <c r="BO603" s="9">
        <f t="shared" si="98"/>
        <v>0</v>
      </c>
      <c r="BR603" s="12" t="str">
        <f t="shared" si="99"/>
        <v/>
      </c>
    </row>
    <row r="604" spans="1:70" ht="14.25" customHeight="1">
      <c r="A604" s="26"/>
      <c r="C604" s="26"/>
      <c r="D604" s="27"/>
      <c r="E604" s="27"/>
      <c r="BE604" s="10" t="str">
        <f t="shared" si="90"/>
        <v/>
      </c>
      <c r="BF604" s="8" t="str">
        <f t="shared" si="91"/>
        <v/>
      </c>
      <c r="BG604" s="11" t="str">
        <f t="shared" si="92"/>
        <v/>
      </c>
      <c r="BH604" s="8" t="str">
        <f t="shared" si="93"/>
        <v/>
      </c>
      <c r="BI604" s="8" t="str">
        <f t="shared" si="94"/>
        <v/>
      </c>
      <c r="BJ604" s="9" t="str">
        <f t="shared" si="95"/>
        <v/>
      </c>
      <c r="BK604" s="9" t="str">
        <f>IF($B604="","",COUNTIFS($B$5:$B604,$B604,$BF$5:$BF604,$BF604))</f>
        <v/>
      </c>
      <c r="BL604" s="9" t="str">
        <f>IF($B604="","",COUNTIFS($B$5:$B604,$B604,$BH$5:$BH604,$BH604))</f>
        <v/>
      </c>
      <c r="BM604" s="9" t="str">
        <f t="shared" si="96"/>
        <v/>
      </c>
      <c r="BN604" s="9" t="str">
        <f t="shared" si="97"/>
        <v/>
      </c>
      <c r="BO604" s="9">
        <f t="shared" si="98"/>
        <v>0</v>
      </c>
      <c r="BR604" s="12" t="str">
        <f t="shared" si="99"/>
        <v/>
      </c>
    </row>
    <row r="605" spans="1:70" ht="14.25" customHeight="1">
      <c r="A605" s="26"/>
      <c r="C605" s="26"/>
      <c r="D605" s="27"/>
      <c r="E605" s="27"/>
      <c r="BE605" s="10" t="str">
        <f t="shared" ref="BE605:BE668" si="100">IF($B605="","",IF(COUNT($H605,$J605,$L605,$N605,$P605,$R605)&gt;0,SUM($H605,$J605,$L605,$N605,$P605,$R605),SUM($T605,$V605,$X605,$Z605,$AB605,$AD605,$AF605,$AH605,$AJ605,$AL605,$AN605,$AP605,$AR605,$AT605,$AV605,$AX605,$AZ605)))</f>
        <v/>
      </c>
      <c r="BF605" s="8" t="str">
        <f t="shared" ref="BF605:BF668" si="101">IF($C605="","",DATE(YEAR($C605),MONTH($C605),1))</f>
        <v/>
      </c>
      <c r="BG605" s="11" t="str">
        <f t="shared" ref="BG605:BG668" si="102">IF($BF605="","",TEXT($BF605,"mmmm yyyy"))</f>
        <v/>
      </c>
      <c r="BH605" s="8" t="str">
        <f t="shared" ref="BH605:BH668" si="103">IF($C605="","",$C605-WEEKDAY($C605,2)+1)</f>
        <v/>
      </c>
      <c r="BI605" s="8" t="str">
        <f t="shared" ref="BI605:BI668" si="104">IF($BH605="","",$BH605+6)</f>
        <v/>
      </c>
      <c r="BJ605" s="9" t="str">
        <f t="shared" ref="BJ605:BJ668" si="105">IF($BH605="","",TEXT($BH605,"dd/mm/yyyy")&amp;" - "&amp;TEXT($BI605,"dd/mm/yyyy"))</f>
        <v/>
      </c>
      <c r="BK605" s="9" t="str">
        <f>IF($B605="","",COUNTIFS($B$5:$B605,$B605,$BF$5:$BF605,$BF605))</f>
        <v/>
      </c>
      <c r="BL605" s="9" t="str">
        <f>IF($B605="","",COUNTIFS($B$5:$B605,$B605,$BH$5:$BH605,$BH605))</f>
        <v/>
      </c>
      <c r="BM605" s="9" t="str">
        <f t="shared" ref="BM605:BM668" si="106">IF($B605="","",TEXT($BK605,"00")&amp;"|"&amp;$B605&amp;"|"&amp;TEXT($BF605,"yyyymmdd"))</f>
        <v/>
      </c>
      <c r="BN605" s="9" t="str">
        <f t="shared" ref="BN605:BN668" si="107">IF($B605="","",TEXT($BL605,"00")&amp;"|"&amp;$B605&amp;"|"&amp;TEXT($BH605,"yyyymmdd"))</f>
        <v/>
      </c>
      <c r="BO605" s="9">
        <f t="shared" ref="BO605:BO668" si="108">IF(OR($BB605="YES",$BB605="Yes",$BB605="Y",$BB605=1),1,0)</f>
        <v>0</v>
      </c>
      <c r="BR605" s="12" t="str">
        <f t="shared" ref="BR605:BR668" si="109">IF($C605="","",IF($C605&gt;=DATE(2026,6,1),"QA-2026-06",IF($C605&gt;=DATE(2026,5,1),"May 2026+",IF($C605&gt;=DATE(2026,4,1),"April 2026",IF($C605&gt;=DATE(2026,3,1),"March 2026","Jan-Feb 2026")))))</f>
        <v/>
      </c>
    </row>
    <row r="606" spans="1:70" ht="14.25" customHeight="1">
      <c r="A606" s="26"/>
      <c r="C606" s="26"/>
      <c r="D606" s="27"/>
      <c r="E606" s="27"/>
      <c r="BE606" s="10" t="str">
        <f t="shared" si="100"/>
        <v/>
      </c>
      <c r="BF606" s="8" t="str">
        <f t="shared" si="101"/>
        <v/>
      </c>
      <c r="BG606" s="11" t="str">
        <f t="shared" si="102"/>
        <v/>
      </c>
      <c r="BH606" s="8" t="str">
        <f t="shared" si="103"/>
        <v/>
      </c>
      <c r="BI606" s="8" t="str">
        <f t="shared" si="104"/>
        <v/>
      </c>
      <c r="BJ606" s="9" t="str">
        <f t="shared" si="105"/>
        <v/>
      </c>
      <c r="BK606" s="9" t="str">
        <f>IF($B606="","",COUNTIFS($B$5:$B606,$B606,$BF$5:$BF606,$BF606))</f>
        <v/>
      </c>
      <c r="BL606" s="9" t="str">
        <f>IF($B606="","",COUNTIFS($B$5:$B606,$B606,$BH$5:$BH606,$BH606))</f>
        <v/>
      </c>
      <c r="BM606" s="9" t="str">
        <f t="shared" si="106"/>
        <v/>
      </c>
      <c r="BN606" s="9" t="str">
        <f t="shared" si="107"/>
        <v/>
      </c>
      <c r="BO606" s="9">
        <f t="shared" si="108"/>
        <v>0</v>
      </c>
      <c r="BR606" s="12" t="str">
        <f t="shared" si="109"/>
        <v/>
      </c>
    </row>
    <row r="607" spans="1:70" ht="14.25" customHeight="1">
      <c r="A607" s="26"/>
      <c r="C607" s="26"/>
      <c r="D607" s="27"/>
      <c r="E607" s="27"/>
      <c r="BE607" s="10" t="str">
        <f t="shared" si="100"/>
        <v/>
      </c>
      <c r="BF607" s="8" t="str">
        <f t="shared" si="101"/>
        <v/>
      </c>
      <c r="BG607" s="11" t="str">
        <f t="shared" si="102"/>
        <v/>
      </c>
      <c r="BH607" s="8" t="str">
        <f t="shared" si="103"/>
        <v/>
      </c>
      <c r="BI607" s="8" t="str">
        <f t="shared" si="104"/>
        <v/>
      </c>
      <c r="BJ607" s="9" t="str">
        <f t="shared" si="105"/>
        <v/>
      </c>
      <c r="BK607" s="9" t="str">
        <f>IF($B607="","",COUNTIFS($B$5:$B607,$B607,$BF$5:$BF607,$BF607))</f>
        <v/>
      </c>
      <c r="BL607" s="9" t="str">
        <f>IF($B607="","",COUNTIFS($B$5:$B607,$B607,$BH$5:$BH607,$BH607))</f>
        <v/>
      </c>
      <c r="BM607" s="9" t="str">
        <f t="shared" si="106"/>
        <v/>
      </c>
      <c r="BN607" s="9" t="str">
        <f t="shared" si="107"/>
        <v/>
      </c>
      <c r="BO607" s="9">
        <f t="shared" si="108"/>
        <v>0</v>
      </c>
      <c r="BR607" s="12" t="str">
        <f t="shared" si="109"/>
        <v/>
      </c>
    </row>
    <row r="608" spans="1:70" ht="14.25" customHeight="1">
      <c r="A608" s="26"/>
      <c r="C608" s="26"/>
      <c r="D608" s="27"/>
      <c r="E608" s="27"/>
      <c r="BE608" s="10" t="str">
        <f t="shared" si="100"/>
        <v/>
      </c>
      <c r="BF608" s="8" t="str">
        <f t="shared" si="101"/>
        <v/>
      </c>
      <c r="BG608" s="11" t="str">
        <f t="shared" si="102"/>
        <v/>
      </c>
      <c r="BH608" s="8" t="str">
        <f t="shared" si="103"/>
        <v/>
      </c>
      <c r="BI608" s="8" t="str">
        <f t="shared" si="104"/>
        <v/>
      </c>
      <c r="BJ608" s="9" t="str">
        <f t="shared" si="105"/>
        <v/>
      </c>
      <c r="BK608" s="9" t="str">
        <f>IF($B608="","",COUNTIFS($B$5:$B608,$B608,$BF$5:$BF608,$BF608))</f>
        <v/>
      </c>
      <c r="BL608" s="9" t="str">
        <f>IF($B608="","",COUNTIFS($B$5:$B608,$B608,$BH$5:$BH608,$BH608))</f>
        <v/>
      </c>
      <c r="BM608" s="9" t="str">
        <f t="shared" si="106"/>
        <v/>
      </c>
      <c r="BN608" s="9" t="str">
        <f t="shared" si="107"/>
        <v/>
      </c>
      <c r="BO608" s="9">
        <f t="shared" si="108"/>
        <v>0</v>
      </c>
      <c r="BR608" s="12" t="str">
        <f t="shared" si="109"/>
        <v/>
      </c>
    </row>
    <row r="609" spans="1:70" ht="14.25" customHeight="1">
      <c r="A609" s="26"/>
      <c r="C609" s="26"/>
      <c r="D609" s="27"/>
      <c r="E609" s="27"/>
      <c r="BE609" s="10" t="str">
        <f t="shared" si="100"/>
        <v/>
      </c>
      <c r="BF609" s="8" t="str">
        <f t="shared" si="101"/>
        <v/>
      </c>
      <c r="BG609" s="11" t="str">
        <f t="shared" si="102"/>
        <v/>
      </c>
      <c r="BH609" s="8" t="str">
        <f t="shared" si="103"/>
        <v/>
      </c>
      <c r="BI609" s="8" t="str">
        <f t="shared" si="104"/>
        <v/>
      </c>
      <c r="BJ609" s="9" t="str">
        <f t="shared" si="105"/>
        <v/>
      </c>
      <c r="BK609" s="9" t="str">
        <f>IF($B609="","",COUNTIFS($B$5:$B609,$B609,$BF$5:$BF609,$BF609))</f>
        <v/>
      </c>
      <c r="BL609" s="9" t="str">
        <f>IF($B609="","",COUNTIFS($B$5:$B609,$B609,$BH$5:$BH609,$BH609))</f>
        <v/>
      </c>
      <c r="BM609" s="9" t="str">
        <f t="shared" si="106"/>
        <v/>
      </c>
      <c r="BN609" s="9" t="str">
        <f t="shared" si="107"/>
        <v/>
      </c>
      <c r="BO609" s="9">
        <f t="shared" si="108"/>
        <v>0</v>
      </c>
      <c r="BR609" s="12" t="str">
        <f t="shared" si="109"/>
        <v/>
      </c>
    </row>
    <row r="610" spans="1:70" ht="14.25" customHeight="1">
      <c r="A610" s="26"/>
      <c r="C610" s="26"/>
      <c r="D610" s="27"/>
      <c r="E610" s="27"/>
      <c r="BE610" s="10" t="str">
        <f t="shared" si="100"/>
        <v/>
      </c>
      <c r="BF610" s="8" t="str">
        <f t="shared" si="101"/>
        <v/>
      </c>
      <c r="BG610" s="11" t="str">
        <f t="shared" si="102"/>
        <v/>
      </c>
      <c r="BH610" s="8" t="str">
        <f t="shared" si="103"/>
        <v/>
      </c>
      <c r="BI610" s="8" t="str">
        <f t="shared" si="104"/>
        <v/>
      </c>
      <c r="BJ610" s="9" t="str">
        <f t="shared" si="105"/>
        <v/>
      </c>
      <c r="BK610" s="9" t="str">
        <f>IF($B610="","",COUNTIFS($B$5:$B610,$B610,$BF$5:$BF610,$BF610))</f>
        <v/>
      </c>
      <c r="BL610" s="9" t="str">
        <f>IF($B610="","",COUNTIFS($B$5:$B610,$B610,$BH$5:$BH610,$BH610))</f>
        <v/>
      </c>
      <c r="BM610" s="9" t="str">
        <f t="shared" si="106"/>
        <v/>
      </c>
      <c r="BN610" s="9" t="str">
        <f t="shared" si="107"/>
        <v/>
      </c>
      <c r="BO610" s="9">
        <f t="shared" si="108"/>
        <v>0</v>
      </c>
      <c r="BR610" s="12" t="str">
        <f t="shared" si="109"/>
        <v/>
      </c>
    </row>
    <row r="611" spans="1:70" ht="14.25" customHeight="1">
      <c r="A611" s="26"/>
      <c r="C611" s="26"/>
      <c r="D611" s="27"/>
      <c r="E611" s="27"/>
      <c r="BE611" s="10" t="str">
        <f t="shared" si="100"/>
        <v/>
      </c>
      <c r="BF611" s="8" t="str">
        <f t="shared" si="101"/>
        <v/>
      </c>
      <c r="BG611" s="11" t="str">
        <f t="shared" si="102"/>
        <v/>
      </c>
      <c r="BH611" s="8" t="str">
        <f t="shared" si="103"/>
        <v/>
      </c>
      <c r="BI611" s="8" t="str">
        <f t="shared" si="104"/>
        <v/>
      </c>
      <c r="BJ611" s="9" t="str">
        <f t="shared" si="105"/>
        <v/>
      </c>
      <c r="BK611" s="9" t="str">
        <f>IF($B611="","",COUNTIFS($B$5:$B611,$B611,$BF$5:$BF611,$BF611))</f>
        <v/>
      </c>
      <c r="BL611" s="9" t="str">
        <f>IF($B611="","",COUNTIFS($B$5:$B611,$B611,$BH$5:$BH611,$BH611))</f>
        <v/>
      </c>
      <c r="BM611" s="9" t="str">
        <f t="shared" si="106"/>
        <v/>
      </c>
      <c r="BN611" s="9" t="str">
        <f t="shared" si="107"/>
        <v/>
      </c>
      <c r="BO611" s="9">
        <f t="shared" si="108"/>
        <v>0</v>
      </c>
      <c r="BR611" s="12" t="str">
        <f t="shared" si="109"/>
        <v/>
      </c>
    </row>
    <row r="612" spans="1:70" ht="14.25" customHeight="1">
      <c r="A612" s="26"/>
      <c r="C612" s="26"/>
      <c r="D612" s="27"/>
      <c r="E612" s="27"/>
      <c r="BE612" s="10" t="str">
        <f t="shared" si="100"/>
        <v/>
      </c>
      <c r="BF612" s="8" t="str">
        <f t="shared" si="101"/>
        <v/>
      </c>
      <c r="BG612" s="11" t="str">
        <f t="shared" si="102"/>
        <v/>
      </c>
      <c r="BH612" s="8" t="str">
        <f t="shared" si="103"/>
        <v/>
      </c>
      <c r="BI612" s="8" t="str">
        <f t="shared" si="104"/>
        <v/>
      </c>
      <c r="BJ612" s="9" t="str">
        <f t="shared" si="105"/>
        <v/>
      </c>
      <c r="BK612" s="9" t="str">
        <f>IF($B612="","",COUNTIFS($B$5:$B612,$B612,$BF$5:$BF612,$BF612))</f>
        <v/>
      </c>
      <c r="BL612" s="9" t="str">
        <f>IF($B612="","",COUNTIFS($B$5:$B612,$B612,$BH$5:$BH612,$BH612))</f>
        <v/>
      </c>
      <c r="BM612" s="9" t="str">
        <f t="shared" si="106"/>
        <v/>
      </c>
      <c r="BN612" s="9" t="str">
        <f t="shared" si="107"/>
        <v/>
      </c>
      <c r="BO612" s="9">
        <f t="shared" si="108"/>
        <v>0</v>
      </c>
      <c r="BR612" s="12" t="str">
        <f t="shared" si="109"/>
        <v/>
      </c>
    </row>
    <row r="613" spans="1:70" ht="14.25" customHeight="1">
      <c r="A613" s="26"/>
      <c r="C613" s="26"/>
      <c r="D613" s="27"/>
      <c r="E613" s="27"/>
      <c r="BE613" s="10" t="str">
        <f t="shared" si="100"/>
        <v/>
      </c>
      <c r="BF613" s="8" t="str">
        <f t="shared" si="101"/>
        <v/>
      </c>
      <c r="BG613" s="11" t="str">
        <f t="shared" si="102"/>
        <v/>
      </c>
      <c r="BH613" s="8" t="str">
        <f t="shared" si="103"/>
        <v/>
      </c>
      <c r="BI613" s="8" t="str">
        <f t="shared" si="104"/>
        <v/>
      </c>
      <c r="BJ613" s="9" t="str">
        <f t="shared" si="105"/>
        <v/>
      </c>
      <c r="BK613" s="9" t="str">
        <f>IF($B613="","",COUNTIFS($B$5:$B613,$B613,$BF$5:$BF613,$BF613))</f>
        <v/>
      </c>
      <c r="BL613" s="9" t="str">
        <f>IF($B613="","",COUNTIFS($B$5:$B613,$B613,$BH$5:$BH613,$BH613))</f>
        <v/>
      </c>
      <c r="BM613" s="9" t="str">
        <f t="shared" si="106"/>
        <v/>
      </c>
      <c r="BN613" s="9" t="str">
        <f t="shared" si="107"/>
        <v/>
      </c>
      <c r="BO613" s="9">
        <f t="shared" si="108"/>
        <v>0</v>
      </c>
      <c r="BR613" s="12" t="str">
        <f t="shared" si="109"/>
        <v/>
      </c>
    </row>
    <row r="614" spans="1:70" ht="14.25" customHeight="1">
      <c r="A614" s="26"/>
      <c r="C614" s="26"/>
      <c r="D614" s="27"/>
      <c r="E614" s="27"/>
      <c r="BE614" s="10" t="str">
        <f t="shared" si="100"/>
        <v/>
      </c>
      <c r="BF614" s="8" t="str">
        <f t="shared" si="101"/>
        <v/>
      </c>
      <c r="BG614" s="11" t="str">
        <f t="shared" si="102"/>
        <v/>
      </c>
      <c r="BH614" s="8" t="str">
        <f t="shared" si="103"/>
        <v/>
      </c>
      <c r="BI614" s="8" t="str">
        <f t="shared" si="104"/>
        <v/>
      </c>
      <c r="BJ614" s="9" t="str">
        <f t="shared" si="105"/>
        <v/>
      </c>
      <c r="BK614" s="9" t="str">
        <f>IF($B614="","",COUNTIFS($B$5:$B614,$B614,$BF$5:$BF614,$BF614))</f>
        <v/>
      </c>
      <c r="BL614" s="9" t="str">
        <f>IF($B614="","",COUNTIFS($B$5:$B614,$B614,$BH$5:$BH614,$BH614))</f>
        <v/>
      </c>
      <c r="BM614" s="9" t="str">
        <f t="shared" si="106"/>
        <v/>
      </c>
      <c r="BN614" s="9" t="str">
        <f t="shared" si="107"/>
        <v/>
      </c>
      <c r="BO614" s="9">
        <f t="shared" si="108"/>
        <v>0</v>
      </c>
      <c r="BR614" s="12" t="str">
        <f t="shared" si="109"/>
        <v/>
      </c>
    </row>
    <row r="615" spans="1:70" ht="14.25" customHeight="1">
      <c r="A615" s="26"/>
      <c r="C615" s="26"/>
      <c r="D615" s="27"/>
      <c r="E615" s="27"/>
      <c r="BE615" s="10" t="str">
        <f t="shared" si="100"/>
        <v/>
      </c>
      <c r="BF615" s="8" t="str">
        <f t="shared" si="101"/>
        <v/>
      </c>
      <c r="BG615" s="11" t="str">
        <f t="shared" si="102"/>
        <v/>
      </c>
      <c r="BH615" s="8" t="str">
        <f t="shared" si="103"/>
        <v/>
      </c>
      <c r="BI615" s="8" t="str">
        <f t="shared" si="104"/>
        <v/>
      </c>
      <c r="BJ615" s="9" t="str">
        <f t="shared" si="105"/>
        <v/>
      </c>
      <c r="BK615" s="9" t="str">
        <f>IF($B615="","",COUNTIFS($B$5:$B615,$B615,$BF$5:$BF615,$BF615))</f>
        <v/>
      </c>
      <c r="BL615" s="9" t="str">
        <f>IF($B615="","",COUNTIFS($B$5:$B615,$B615,$BH$5:$BH615,$BH615))</f>
        <v/>
      </c>
      <c r="BM615" s="9" t="str">
        <f t="shared" si="106"/>
        <v/>
      </c>
      <c r="BN615" s="9" t="str">
        <f t="shared" si="107"/>
        <v/>
      </c>
      <c r="BO615" s="9">
        <f t="shared" si="108"/>
        <v>0</v>
      </c>
      <c r="BR615" s="12" t="str">
        <f t="shared" si="109"/>
        <v/>
      </c>
    </row>
    <row r="616" spans="1:70" ht="14.25" customHeight="1">
      <c r="A616" s="26"/>
      <c r="C616" s="26"/>
      <c r="D616" s="27"/>
      <c r="E616" s="27"/>
      <c r="BE616" s="10" t="str">
        <f t="shared" si="100"/>
        <v/>
      </c>
      <c r="BF616" s="8" t="str">
        <f t="shared" si="101"/>
        <v/>
      </c>
      <c r="BG616" s="11" t="str">
        <f t="shared" si="102"/>
        <v/>
      </c>
      <c r="BH616" s="8" t="str">
        <f t="shared" si="103"/>
        <v/>
      </c>
      <c r="BI616" s="8" t="str">
        <f t="shared" si="104"/>
        <v/>
      </c>
      <c r="BJ616" s="9" t="str">
        <f t="shared" si="105"/>
        <v/>
      </c>
      <c r="BK616" s="9" t="str">
        <f>IF($B616="","",COUNTIFS($B$5:$B616,$B616,$BF$5:$BF616,$BF616))</f>
        <v/>
      </c>
      <c r="BL616" s="9" t="str">
        <f>IF($B616="","",COUNTIFS($B$5:$B616,$B616,$BH$5:$BH616,$BH616))</f>
        <v/>
      </c>
      <c r="BM616" s="9" t="str">
        <f t="shared" si="106"/>
        <v/>
      </c>
      <c r="BN616" s="9" t="str">
        <f t="shared" si="107"/>
        <v/>
      </c>
      <c r="BO616" s="9">
        <f t="shared" si="108"/>
        <v>0</v>
      </c>
      <c r="BR616" s="12" t="str">
        <f t="shared" si="109"/>
        <v/>
      </c>
    </row>
    <row r="617" spans="1:70" ht="14.25" customHeight="1">
      <c r="A617" s="26"/>
      <c r="C617" s="26"/>
      <c r="D617" s="27"/>
      <c r="E617" s="27"/>
      <c r="BE617" s="10" t="str">
        <f t="shared" si="100"/>
        <v/>
      </c>
      <c r="BF617" s="8" t="str">
        <f t="shared" si="101"/>
        <v/>
      </c>
      <c r="BG617" s="11" t="str">
        <f t="shared" si="102"/>
        <v/>
      </c>
      <c r="BH617" s="8" t="str">
        <f t="shared" si="103"/>
        <v/>
      </c>
      <c r="BI617" s="8" t="str">
        <f t="shared" si="104"/>
        <v/>
      </c>
      <c r="BJ617" s="9" t="str">
        <f t="shared" si="105"/>
        <v/>
      </c>
      <c r="BK617" s="9" t="str">
        <f>IF($B617="","",COUNTIFS($B$5:$B617,$B617,$BF$5:$BF617,$BF617))</f>
        <v/>
      </c>
      <c r="BL617" s="9" t="str">
        <f>IF($B617="","",COUNTIFS($B$5:$B617,$B617,$BH$5:$BH617,$BH617))</f>
        <v/>
      </c>
      <c r="BM617" s="9" t="str">
        <f t="shared" si="106"/>
        <v/>
      </c>
      <c r="BN617" s="9" t="str">
        <f t="shared" si="107"/>
        <v/>
      </c>
      <c r="BO617" s="9">
        <f t="shared" si="108"/>
        <v>0</v>
      </c>
      <c r="BR617" s="12" t="str">
        <f t="shared" si="109"/>
        <v/>
      </c>
    </row>
    <row r="618" spans="1:70" ht="14.25" customHeight="1">
      <c r="A618" s="26"/>
      <c r="C618" s="26"/>
      <c r="D618" s="27"/>
      <c r="E618" s="27"/>
      <c r="BE618" s="10" t="str">
        <f t="shared" si="100"/>
        <v/>
      </c>
      <c r="BF618" s="8" t="str">
        <f t="shared" si="101"/>
        <v/>
      </c>
      <c r="BG618" s="11" t="str">
        <f t="shared" si="102"/>
        <v/>
      </c>
      <c r="BH618" s="8" t="str">
        <f t="shared" si="103"/>
        <v/>
      </c>
      <c r="BI618" s="8" t="str">
        <f t="shared" si="104"/>
        <v/>
      </c>
      <c r="BJ618" s="9" t="str">
        <f t="shared" si="105"/>
        <v/>
      </c>
      <c r="BK618" s="9" t="str">
        <f>IF($B618="","",COUNTIFS($B$5:$B618,$B618,$BF$5:$BF618,$BF618))</f>
        <v/>
      </c>
      <c r="BL618" s="9" t="str">
        <f>IF($B618="","",COUNTIFS($B$5:$B618,$B618,$BH$5:$BH618,$BH618))</f>
        <v/>
      </c>
      <c r="BM618" s="9" t="str">
        <f t="shared" si="106"/>
        <v/>
      </c>
      <c r="BN618" s="9" t="str">
        <f t="shared" si="107"/>
        <v/>
      </c>
      <c r="BO618" s="9">
        <f t="shared" si="108"/>
        <v>0</v>
      </c>
      <c r="BR618" s="12" t="str">
        <f t="shared" si="109"/>
        <v/>
      </c>
    </row>
    <row r="619" spans="1:70" ht="14.25" customHeight="1">
      <c r="A619" s="26"/>
      <c r="C619" s="26"/>
      <c r="D619" s="27"/>
      <c r="E619" s="27"/>
      <c r="BE619" s="10" t="str">
        <f t="shared" si="100"/>
        <v/>
      </c>
      <c r="BF619" s="8" t="str">
        <f t="shared" si="101"/>
        <v/>
      </c>
      <c r="BG619" s="11" t="str">
        <f t="shared" si="102"/>
        <v/>
      </c>
      <c r="BH619" s="8" t="str">
        <f t="shared" si="103"/>
        <v/>
      </c>
      <c r="BI619" s="8" t="str">
        <f t="shared" si="104"/>
        <v/>
      </c>
      <c r="BJ619" s="9" t="str">
        <f t="shared" si="105"/>
        <v/>
      </c>
      <c r="BK619" s="9" t="str">
        <f>IF($B619="","",COUNTIFS($B$5:$B619,$B619,$BF$5:$BF619,$BF619))</f>
        <v/>
      </c>
      <c r="BL619" s="9" t="str">
        <f>IF($B619="","",COUNTIFS($B$5:$B619,$B619,$BH$5:$BH619,$BH619))</f>
        <v/>
      </c>
      <c r="BM619" s="9" t="str">
        <f t="shared" si="106"/>
        <v/>
      </c>
      <c r="BN619" s="9" t="str">
        <f t="shared" si="107"/>
        <v/>
      </c>
      <c r="BO619" s="9">
        <f t="shared" si="108"/>
        <v>0</v>
      </c>
      <c r="BR619" s="12" t="str">
        <f t="shared" si="109"/>
        <v/>
      </c>
    </row>
    <row r="620" spans="1:70" ht="14.25" customHeight="1">
      <c r="A620" s="26"/>
      <c r="C620" s="26"/>
      <c r="D620" s="27"/>
      <c r="E620" s="27"/>
      <c r="BE620" s="10" t="str">
        <f t="shared" si="100"/>
        <v/>
      </c>
      <c r="BF620" s="8" t="str">
        <f t="shared" si="101"/>
        <v/>
      </c>
      <c r="BG620" s="11" t="str">
        <f t="shared" si="102"/>
        <v/>
      </c>
      <c r="BH620" s="8" t="str">
        <f t="shared" si="103"/>
        <v/>
      </c>
      <c r="BI620" s="8" t="str">
        <f t="shared" si="104"/>
        <v/>
      </c>
      <c r="BJ620" s="9" t="str">
        <f t="shared" si="105"/>
        <v/>
      </c>
      <c r="BK620" s="9" t="str">
        <f>IF($B620="","",COUNTIFS($B$5:$B620,$B620,$BF$5:$BF620,$BF620))</f>
        <v/>
      </c>
      <c r="BL620" s="9" t="str">
        <f>IF($B620="","",COUNTIFS($B$5:$B620,$B620,$BH$5:$BH620,$BH620))</f>
        <v/>
      </c>
      <c r="BM620" s="9" t="str">
        <f t="shared" si="106"/>
        <v/>
      </c>
      <c r="BN620" s="9" t="str">
        <f t="shared" si="107"/>
        <v/>
      </c>
      <c r="BO620" s="9">
        <f t="shared" si="108"/>
        <v>0</v>
      </c>
      <c r="BR620" s="12" t="str">
        <f t="shared" si="109"/>
        <v/>
      </c>
    </row>
    <row r="621" spans="1:70" ht="14.25" customHeight="1">
      <c r="A621" s="26"/>
      <c r="C621" s="26"/>
      <c r="D621" s="27"/>
      <c r="E621" s="27"/>
      <c r="BE621" s="10" t="str">
        <f t="shared" si="100"/>
        <v/>
      </c>
      <c r="BF621" s="8" t="str">
        <f t="shared" si="101"/>
        <v/>
      </c>
      <c r="BG621" s="11" t="str">
        <f t="shared" si="102"/>
        <v/>
      </c>
      <c r="BH621" s="8" t="str">
        <f t="shared" si="103"/>
        <v/>
      </c>
      <c r="BI621" s="8" t="str">
        <f t="shared" si="104"/>
        <v/>
      </c>
      <c r="BJ621" s="9" t="str">
        <f t="shared" si="105"/>
        <v/>
      </c>
      <c r="BK621" s="9" t="str">
        <f>IF($B621="","",COUNTIFS($B$5:$B621,$B621,$BF$5:$BF621,$BF621))</f>
        <v/>
      </c>
      <c r="BL621" s="9" t="str">
        <f>IF($B621="","",COUNTIFS($B$5:$B621,$B621,$BH$5:$BH621,$BH621))</f>
        <v/>
      </c>
      <c r="BM621" s="9" t="str">
        <f t="shared" si="106"/>
        <v/>
      </c>
      <c r="BN621" s="9" t="str">
        <f t="shared" si="107"/>
        <v/>
      </c>
      <c r="BO621" s="9">
        <f t="shared" si="108"/>
        <v>0</v>
      </c>
      <c r="BR621" s="12" t="str">
        <f t="shared" si="109"/>
        <v/>
      </c>
    </row>
    <row r="622" spans="1:70" ht="14.25" customHeight="1">
      <c r="A622" s="26"/>
      <c r="C622" s="26"/>
      <c r="D622" s="27"/>
      <c r="E622" s="27"/>
      <c r="BE622" s="10" t="str">
        <f t="shared" si="100"/>
        <v/>
      </c>
      <c r="BF622" s="8" t="str">
        <f t="shared" si="101"/>
        <v/>
      </c>
      <c r="BG622" s="11" t="str">
        <f t="shared" si="102"/>
        <v/>
      </c>
      <c r="BH622" s="8" t="str">
        <f t="shared" si="103"/>
        <v/>
      </c>
      <c r="BI622" s="8" t="str">
        <f t="shared" si="104"/>
        <v/>
      </c>
      <c r="BJ622" s="9" t="str">
        <f t="shared" si="105"/>
        <v/>
      </c>
      <c r="BK622" s="9" t="str">
        <f>IF($B622="","",COUNTIFS($B$5:$B622,$B622,$BF$5:$BF622,$BF622))</f>
        <v/>
      </c>
      <c r="BL622" s="9" t="str">
        <f>IF($B622="","",COUNTIFS($B$5:$B622,$B622,$BH$5:$BH622,$BH622))</f>
        <v/>
      </c>
      <c r="BM622" s="9" t="str">
        <f t="shared" si="106"/>
        <v/>
      </c>
      <c r="BN622" s="9" t="str">
        <f t="shared" si="107"/>
        <v/>
      </c>
      <c r="BO622" s="9">
        <f t="shared" si="108"/>
        <v>0</v>
      </c>
      <c r="BR622" s="12" t="str">
        <f t="shared" si="109"/>
        <v/>
      </c>
    </row>
    <row r="623" spans="1:70" ht="14.25" customHeight="1">
      <c r="A623" s="26"/>
      <c r="C623" s="26"/>
      <c r="D623" s="27"/>
      <c r="E623" s="27"/>
      <c r="BE623" s="10" t="str">
        <f t="shared" si="100"/>
        <v/>
      </c>
      <c r="BF623" s="8" t="str">
        <f t="shared" si="101"/>
        <v/>
      </c>
      <c r="BG623" s="11" t="str">
        <f t="shared" si="102"/>
        <v/>
      </c>
      <c r="BH623" s="8" t="str">
        <f t="shared" si="103"/>
        <v/>
      </c>
      <c r="BI623" s="8" t="str">
        <f t="shared" si="104"/>
        <v/>
      </c>
      <c r="BJ623" s="9" t="str">
        <f t="shared" si="105"/>
        <v/>
      </c>
      <c r="BK623" s="9" t="str">
        <f>IF($B623="","",COUNTIFS($B$5:$B623,$B623,$BF$5:$BF623,$BF623))</f>
        <v/>
      </c>
      <c r="BL623" s="9" t="str">
        <f>IF($B623="","",COUNTIFS($B$5:$B623,$B623,$BH$5:$BH623,$BH623))</f>
        <v/>
      </c>
      <c r="BM623" s="9" t="str">
        <f t="shared" si="106"/>
        <v/>
      </c>
      <c r="BN623" s="9" t="str">
        <f t="shared" si="107"/>
        <v/>
      </c>
      <c r="BO623" s="9">
        <f t="shared" si="108"/>
        <v>0</v>
      </c>
      <c r="BR623" s="12" t="str">
        <f t="shared" si="109"/>
        <v/>
      </c>
    </row>
    <row r="624" spans="1:70" ht="14.25" customHeight="1">
      <c r="A624" s="26"/>
      <c r="C624" s="26"/>
      <c r="D624" s="27"/>
      <c r="E624" s="27"/>
      <c r="BE624" s="10" t="str">
        <f t="shared" si="100"/>
        <v/>
      </c>
      <c r="BF624" s="8" t="str">
        <f t="shared" si="101"/>
        <v/>
      </c>
      <c r="BG624" s="11" t="str">
        <f t="shared" si="102"/>
        <v/>
      </c>
      <c r="BH624" s="8" t="str">
        <f t="shared" si="103"/>
        <v/>
      </c>
      <c r="BI624" s="8" t="str">
        <f t="shared" si="104"/>
        <v/>
      </c>
      <c r="BJ624" s="9" t="str">
        <f t="shared" si="105"/>
        <v/>
      </c>
      <c r="BK624" s="9" t="str">
        <f>IF($B624="","",COUNTIFS($B$5:$B624,$B624,$BF$5:$BF624,$BF624))</f>
        <v/>
      </c>
      <c r="BL624" s="9" t="str">
        <f>IF($B624="","",COUNTIFS($B$5:$B624,$B624,$BH$5:$BH624,$BH624))</f>
        <v/>
      </c>
      <c r="BM624" s="9" t="str">
        <f t="shared" si="106"/>
        <v/>
      </c>
      <c r="BN624" s="9" t="str">
        <f t="shared" si="107"/>
        <v/>
      </c>
      <c r="BO624" s="9">
        <f t="shared" si="108"/>
        <v>0</v>
      </c>
      <c r="BR624" s="12" t="str">
        <f t="shared" si="109"/>
        <v/>
      </c>
    </row>
    <row r="625" spans="1:70" ht="14.25" customHeight="1">
      <c r="A625" s="26"/>
      <c r="C625" s="26"/>
      <c r="D625" s="27"/>
      <c r="E625" s="27"/>
      <c r="BE625" s="10" t="str">
        <f t="shared" si="100"/>
        <v/>
      </c>
      <c r="BF625" s="8" t="str">
        <f t="shared" si="101"/>
        <v/>
      </c>
      <c r="BG625" s="11" t="str">
        <f t="shared" si="102"/>
        <v/>
      </c>
      <c r="BH625" s="8" t="str">
        <f t="shared" si="103"/>
        <v/>
      </c>
      <c r="BI625" s="8" t="str">
        <f t="shared" si="104"/>
        <v/>
      </c>
      <c r="BJ625" s="9" t="str">
        <f t="shared" si="105"/>
        <v/>
      </c>
      <c r="BK625" s="9" t="str">
        <f>IF($B625="","",COUNTIFS($B$5:$B625,$B625,$BF$5:$BF625,$BF625))</f>
        <v/>
      </c>
      <c r="BL625" s="9" t="str">
        <f>IF($B625="","",COUNTIFS($B$5:$B625,$B625,$BH$5:$BH625,$BH625))</f>
        <v/>
      </c>
      <c r="BM625" s="9" t="str">
        <f t="shared" si="106"/>
        <v/>
      </c>
      <c r="BN625" s="9" t="str">
        <f t="shared" si="107"/>
        <v/>
      </c>
      <c r="BO625" s="9">
        <f t="shared" si="108"/>
        <v>0</v>
      </c>
      <c r="BR625" s="12" t="str">
        <f t="shared" si="109"/>
        <v/>
      </c>
    </row>
    <row r="626" spans="1:70" ht="14.25" customHeight="1">
      <c r="A626" s="26"/>
      <c r="C626" s="26"/>
      <c r="D626" s="27"/>
      <c r="E626" s="27"/>
      <c r="BE626" s="10" t="str">
        <f t="shared" si="100"/>
        <v/>
      </c>
      <c r="BF626" s="8" t="str">
        <f t="shared" si="101"/>
        <v/>
      </c>
      <c r="BG626" s="11" t="str">
        <f t="shared" si="102"/>
        <v/>
      </c>
      <c r="BH626" s="8" t="str">
        <f t="shared" si="103"/>
        <v/>
      </c>
      <c r="BI626" s="8" t="str">
        <f t="shared" si="104"/>
        <v/>
      </c>
      <c r="BJ626" s="9" t="str">
        <f t="shared" si="105"/>
        <v/>
      </c>
      <c r="BK626" s="9" t="str">
        <f>IF($B626="","",COUNTIFS($B$5:$B626,$B626,$BF$5:$BF626,$BF626))</f>
        <v/>
      </c>
      <c r="BL626" s="9" t="str">
        <f>IF($B626="","",COUNTIFS($B$5:$B626,$B626,$BH$5:$BH626,$BH626))</f>
        <v/>
      </c>
      <c r="BM626" s="9" t="str">
        <f t="shared" si="106"/>
        <v/>
      </c>
      <c r="BN626" s="9" t="str">
        <f t="shared" si="107"/>
        <v/>
      </c>
      <c r="BO626" s="9">
        <f t="shared" si="108"/>
        <v>0</v>
      </c>
      <c r="BR626" s="12" t="str">
        <f t="shared" si="109"/>
        <v/>
      </c>
    </row>
    <row r="627" spans="1:70" ht="14.25" customHeight="1">
      <c r="A627" s="26"/>
      <c r="C627" s="26"/>
      <c r="D627" s="27"/>
      <c r="E627" s="27"/>
      <c r="BE627" s="10" t="str">
        <f t="shared" si="100"/>
        <v/>
      </c>
      <c r="BF627" s="8" t="str">
        <f t="shared" si="101"/>
        <v/>
      </c>
      <c r="BG627" s="11" t="str">
        <f t="shared" si="102"/>
        <v/>
      </c>
      <c r="BH627" s="8" t="str">
        <f t="shared" si="103"/>
        <v/>
      </c>
      <c r="BI627" s="8" t="str">
        <f t="shared" si="104"/>
        <v/>
      </c>
      <c r="BJ627" s="9" t="str">
        <f t="shared" si="105"/>
        <v/>
      </c>
      <c r="BK627" s="9" t="str">
        <f>IF($B627="","",COUNTIFS($B$5:$B627,$B627,$BF$5:$BF627,$BF627))</f>
        <v/>
      </c>
      <c r="BL627" s="9" t="str">
        <f>IF($B627="","",COUNTIFS($B$5:$B627,$B627,$BH$5:$BH627,$BH627))</f>
        <v/>
      </c>
      <c r="BM627" s="9" t="str">
        <f t="shared" si="106"/>
        <v/>
      </c>
      <c r="BN627" s="9" t="str">
        <f t="shared" si="107"/>
        <v/>
      </c>
      <c r="BO627" s="9">
        <f t="shared" si="108"/>
        <v>0</v>
      </c>
      <c r="BR627" s="12" t="str">
        <f t="shared" si="109"/>
        <v/>
      </c>
    </row>
    <row r="628" spans="1:70" ht="14.25" customHeight="1">
      <c r="A628" s="26"/>
      <c r="C628" s="26"/>
      <c r="D628" s="27"/>
      <c r="E628" s="27"/>
      <c r="BE628" s="10" t="str">
        <f t="shared" si="100"/>
        <v/>
      </c>
      <c r="BF628" s="8" t="str">
        <f t="shared" si="101"/>
        <v/>
      </c>
      <c r="BG628" s="11" t="str">
        <f t="shared" si="102"/>
        <v/>
      </c>
      <c r="BH628" s="8" t="str">
        <f t="shared" si="103"/>
        <v/>
      </c>
      <c r="BI628" s="8" t="str">
        <f t="shared" si="104"/>
        <v/>
      </c>
      <c r="BJ628" s="9" t="str">
        <f t="shared" si="105"/>
        <v/>
      </c>
      <c r="BK628" s="9" t="str">
        <f>IF($B628="","",COUNTIFS($B$5:$B628,$B628,$BF$5:$BF628,$BF628))</f>
        <v/>
      </c>
      <c r="BL628" s="9" t="str">
        <f>IF($B628="","",COUNTIFS($B$5:$B628,$B628,$BH$5:$BH628,$BH628))</f>
        <v/>
      </c>
      <c r="BM628" s="9" t="str">
        <f t="shared" si="106"/>
        <v/>
      </c>
      <c r="BN628" s="9" t="str">
        <f t="shared" si="107"/>
        <v/>
      </c>
      <c r="BO628" s="9">
        <f t="shared" si="108"/>
        <v>0</v>
      </c>
      <c r="BR628" s="12" t="str">
        <f t="shared" si="109"/>
        <v/>
      </c>
    </row>
    <row r="629" spans="1:70" ht="14.25" customHeight="1">
      <c r="A629" s="26"/>
      <c r="C629" s="26"/>
      <c r="D629" s="27"/>
      <c r="E629" s="27"/>
      <c r="BE629" s="10" t="str">
        <f t="shared" si="100"/>
        <v/>
      </c>
      <c r="BF629" s="8" t="str">
        <f t="shared" si="101"/>
        <v/>
      </c>
      <c r="BG629" s="11" t="str">
        <f t="shared" si="102"/>
        <v/>
      </c>
      <c r="BH629" s="8" t="str">
        <f t="shared" si="103"/>
        <v/>
      </c>
      <c r="BI629" s="8" t="str">
        <f t="shared" si="104"/>
        <v/>
      </c>
      <c r="BJ629" s="9" t="str">
        <f t="shared" si="105"/>
        <v/>
      </c>
      <c r="BK629" s="9" t="str">
        <f>IF($B629="","",COUNTIFS($B$5:$B629,$B629,$BF$5:$BF629,$BF629))</f>
        <v/>
      </c>
      <c r="BL629" s="9" t="str">
        <f>IF($B629="","",COUNTIFS($B$5:$B629,$B629,$BH$5:$BH629,$BH629))</f>
        <v/>
      </c>
      <c r="BM629" s="9" t="str">
        <f t="shared" si="106"/>
        <v/>
      </c>
      <c r="BN629" s="9" t="str">
        <f t="shared" si="107"/>
        <v/>
      </c>
      <c r="BO629" s="9">
        <f t="shared" si="108"/>
        <v>0</v>
      </c>
      <c r="BR629" s="12" t="str">
        <f t="shared" si="109"/>
        <v/>
      </c>
    </row>
    <row r="630" spans="1:70" ht="14.25" customHeight="1">
      <c r="A630" s="26"/>
      <c r="C630" s="26"/>
      <c r="D630" s="27"/>
      <c r="E630" s="27"/>
      <c r="BE630" s="10" t="str">
        <f t="shared" si="100"/>
        <v/>
      </c>
      <c r="BF630" s="8" t="str">
        <f t="shared" si="101"/>
        <v/>
      </c>
      <c r="BG630" s="11" t="str">
        <f t="shared" si="102"/>
        <v/>
      </c>
      <c r="BH630" s="8" t="str">
        <f t="shared" si="103"/>
        <v/>
      </c>
      <c r="BI630" s="8" t="str">
        <f t="shared" si="104"/>
        <v/>
      </c>
      <c r="BJ630" s="9" t="str">
        <f t="shared" si="105"/>
        <v/>
      </c>
      <c r="BK630" s="9" t="str">
        <f>IF($B630="","",COUNTIFS($B$5:$B630,$B630,$BF$5:$BF630,$BF630))</f>
        <v/>
      </c>
      <c r="BL630" s="9" t="str">
        <f>IF($B630="","",COUNTIFS($B$5:$B630,$B630,$BH$5:$BH630,$BH630))</f>
        <v/>
      </c>
      <c r="BM630" s="9" t="str">
        <f t="shared" si="106"/>
        <v/>
      </c>
      <c r="BN630" s="9" t="str">
        <f t="shared" si="107"/>
        <v/>
      </c>
      <c r="BO630" s="9">
        <f t="shared" si="108"/>
        <v>0</v>
      </c>
      <c r="BR630" s="12" t="str">
        <f t="shared" si="109"/>
        <v/>
      </c>
    </row>
    <row r="631" spans="1:70" ht="14.25" customHeight="1">
      <c r="A631" s="26"/>
      <c r="C631" s="26"/>
      <c r="D631" s="27"/>
      <c r="E631" s="27"/>
      <c r="BE631" s="10" t="str">
        <f t="shared" si="100"/>
        <v/>
      </c>
      <c r="BF631" s="8" t="str">
        <f t="shared" si="101"/>
        <v/>
      </c>
      <c r="BG631" s="11" t="str">
        <f t="shared" si="102"/>
        <v/>
      </c>
      <c r="BH631" s="8" t="str">
        <f t="shared" si="103"/>
        <v/>
      </c>
      <c r="BI631" s="8" t="str">
        <f t="shared" si="104"/>
        <v/>
      </c>
      <c r="BJ631" s="9" t="str">
        <f t="shared" si="105"/>
        <v/>
      </c>
      <c r="BK631" s="9" t="str">
        <f>IF($B631="","",COUNTIFS($B$5:$B631,$B631,$BF$5:$BF631,$BF631))</f>
        <v/>
      </c>
      <c r="BL631" s="9" t="str">
        <f>IF($B631="","",COUNTIFS($B$5:$B631,$B631,$BH$5:$BH631,$BH631))</f>
        <v/>
      </c>
      <c r="BM631" s="9" t="str">
        <f t="shared" si="106"/>
        <v/>
      </c>
      <c r="BN631" s="9" t="str">
        <f t="shared" si="107"/>
        <v/>
      </c>
      <c r="BO631" s="9">
        <f t="shared" si="108"/>
        <v>0</v>
      </c>
      <c r="BR631" s="12" t="str">
        <f t="shared" si="109"/>
        <v/>
      </c>
    </row>
    <row r="632" spans="1:70" ht="14.25" customHeight="1">
      <c r="A632" s="26"/>
      <c r="C632" s="26"/>
      <c r="D632" s="27"/>
      <c r="E632" s="27"/>
      <c r="BE632" s="10" t="str">
        <f t="shared" si="100"/>
        <v/>
      </c>
      <c r="BF632" s="8" t="str">
        <f t="shared" si="101"/>
        <v/>
      </c>
      <c r="BG632" s="11" t="str">
        <f t="shared" si="102"/>
        <v/>
      </c>
      <c r="BH632" s="8" t="str">
        <f t="shared" si="103"/>
        <v/>
      </c>
      <c r="BI632" s="8" t="str">
        <f t="shared" si="104"/>
        <v/>
      </c>
      <c r="BJ632" s="9" t="str">
        <f t="shared" si="105"/>
        <v/>
      </c>
      <c r="BK632" s="9" t="str">
        <f>IF($B632="","",COUNTIFS($B$5:$B632,$B632,$BF$5:$BF632,$BF632))</f>
        <v/>
      </c>
      <c r="BL632" s="9" t="str">
        <f>IF($B632="","",COUNTIFS($B$5:$B632,$B632,$BH$5:$BH632,$BH632))</f>
        <v/>
      </c>
      <c r="BM632" s="9" t="str">
        <f t="shared" si="106"/>
        <v/>
      </c>
      <c r="BN632" s="9" t="str">
        <f t="shared" si="107"/>
        <v/>
      </c>
      <c r="BO632" s="9">
        <f t="shared" si="108"/>
        <v>0</v>
      </c>
      <c r="BR632" s="12" t="str">
        <f t="shared" si="109"/>
        <v/>
      </c>
    </row>
    <row r="633" spans="1:70" ht="14.25" customHeight="1">
      <c r="A633" s="26"/>
      <c r="C633" s="26"/>
      <c r="D633" s="27"/>
      <c r="E633" s="27"/>
      <c r="BE633" s="10" t="str">
        <f t="shared" si="100"/>
        <v/>
      </c>
      <c r="BF633" s="8" t="str">
        <f t="shared" si="101"/>
        <v/>
      </c>
      <c r="BG633" s="11" t="str">
        <f t="shared" si="102"/>
        <v/>
      </c>
      <c r="BH633" s="8" t="str">
        <f t="shared" si="103"/>
        <v/>
      </c>
      <c r="BI633" s="8" t="str">
        <f t="shared" si="104"/>
        <v/>
      </c>
      <c r="BJ633" s="9" t="str">
        <f t="shared" si="105"/>
        <v/>
      </c>
      <c r="BK633" s="9" t="str">
        <f>IF($B633="","",COUNTIFS($B$5:$B633,$B633,$BF$5:$BF633,$BF633))</f>
        <v/>
      </c>
      <c r="BL633" s="9" t="str">
        <f>IF($B633="","",COUNTIFS($B$5:$B633,$B633,$BH$5:$BH633,$BH633))</f>
        <v/>
      </c>
      <c r="BM633" s="9" t="str">
        <f t="shared" si="106"/>
        <v/>
      </c>
      <c r="BN633" s="9" t="str">
        <f t="shared" si="107"/>
        <v/>
      </c>
      <c r="BO633" s="9">
        <f t="shared" si="108"/>
        <v>0</v>
      </c>
      <c r="BR633" s="12" t="str">
        <f t="shared" si="109"/>
        <v/>
      </c>
    </row>
    <row r="634" spans="1:70" ht="14.25" customHeight="1">
      <c r="A634" s="26"/>
      <c r="C634" s="26"/>
      <c r="D634" s="27"/>
      <c r="E634" s="27"/>
      <c r="BE634" s="10" t="str">
        <f t="shared" si="100"/>
        <v/>
      </c>
      <c r="BF634" s="8" t="str">
        <f t="shared" si="101"/>
        <v/>
      </c>
      <c r="BG634" s="11" t="str">
        <f t="shared" si="102"/>
        <v/>
      </c>
      <c r="BH634" s="8" t="str">
        <f t="shared" si="103"/>
        <v/>
      </c>
      <c r="BI634" s="8" t="str">
        <f t="shared" si="104"/>
        <v/>
      </c>
      <c r="BJ634" s="9" t="str">
        <f t="shared" si="105"/>
        <v/>
      </c>
      <c r="BK634" s="9" t="str">
        <f>IF($B634="","",COUNTIFS($B$5:$B634,$B634,$BF$5:$BF634,$BF634))</f>
        <v/>
      </c>
      <c r="BL634" s="9" t="str">
        <f>IF($B634="","",COUNTIFS($B$5:$B634,$B634,$BH$5:$BH634,$BH634))</f>
        <v/>
      </c>
      <c r="BM634" s="9" t="str">
        <f t="shared" si="106"/>
        <v/>
      </c>
      <c r="BN634" s="9" t="str">
        <f t="shared" si="107"/>
        <v/>
      </c>
      <c r="BO634" s="9">
        <f t="shared" si="108"/>
        <v>0</v>
      </c>
      <c r="BR634" s="12" t="str">
        <f t="shared" si="109"/>
        <v/>
      </c>
    </row>
    <row r="635" spans="1:70" ht="14.25" customHeight="1">
      <c r="A635" s="26"/>
      <c r="C635" s="26"/>
      <c r="D635" s="27"/>
      <c r="E635" s="27"/>
      <c r="BE635" s="10" t="str">
        <f t="shared" si="100"/>
        <v/>
      </c>
      <c r="BF635" s="8" t="str">
        <f t="shared" si="101"/>
        <v/>
      </c>
      <c r="BG635" s="11" t="str">
        <f t="shared" si="102"/>
        <v/>
      </c>
      <c r="BH635" s="8" t="str">
        <f t="shared" si="103"/>
        <v/>
      </c>
      <c r="BI635" s="8" t="str">
        <f t="shared" si="104"/>
        <v/>
      </c>
      <c r="BJ635" s="9" t="str">
        <f t="shared" si="105"/>
        <v/>
      </c>
      <c r="BK635" s="9" t="str">
        <f>IF($B635="","",COUNTIFS($B$5:$B635,$B635,$BF$5:$BF635,$BF635))</f>
        <v/>
      </c>
      <c r="BL635" s="9" t="str">
        <f>IF($B635="","",COUNTIFS($B$5:$B635,$B635,$BH$5:$BH635,$BH635))</f>
        <v/>
      </c>
      <c r="BM635" s="9" t="str">
        <f t="shared" si="106"/>
        <v/>
      </c>
      <c r="BN635" s="9" t="str">
        <f t="shared" si="107"/>
        <v/>
      </c>
      <c r="BO635" s="9">
        <f t="shared" si="108"/>
        <v>0</v>
      </c>
      <c r="BR635" s="12" t="str">
        <f t="shared" si="109"/>
        <v/>
      </c>
    </row>
    <row r="636" spans="1:70" ht="14.25" customHeight="1">
      <c r="A636" s="26"/>
      <c r="C636" s="26"/>
      <c r="D636" s="27"/>
      <c r="E636" s="27"/>
      <c r="BE636" s="10" t="str">
        <f t="shared" si="100"/>
        <v/>
      </c>
      <c r="BF636" s="8" t="str">
        <f t="shared" si="101"/>
        <v/>
      </c>
      <c r="BG636" s="11" t="str">
        <f t="shared" si="102"/>
        <v/>
      </c>
      <c r="BH636" s="8" t="str">
        <f t="shared" si="103"/>
        <v/>
      </c>
      <c r="BI636" s="8" t="str">
        <f t="shared" si="104"/>
        <v/>
      </c>
      <c r="BJ636" s="9" t="str">
        <f t="shared" si="105"/>
        <v/>
      </c>
      <c r="BK636" s="9" t="str">
        <f>IF($B636="","",COUNTIFS($B$5:$B636,$B636,$BF$5:$BF636,$BF636))</f>
        <v/>
      </c>
      <c r="BL636" s="9" t="str">
        <f>IF($B636="","",COUNTIFS($B$5:$B636,$B636,$BH$5:$BH636,$BH636))</f>
        <v/>
      </c>
      <c r="BM636" s="9" t="str">
        <f t="shared" si="106"/>
        <v/>
      </c>
      <c r="BN636" s="9" t="str">
        <f t="shared" si="107"/>
        <v/>
      </c>
      <c r="BO636" s="9">
        <f t="shared" si="108"/>
        <v>0</v>
      </c>
      <c r="BR636" s="12" t="str">
        <f t="shared" si="109"/>
        <v/>
      </c>
    </row>
    <row r="637" spans="1:70" ht="14.25" customHeight="1">
      <c r="A637" s="26"/>
      <c r="C637" s="26"/>
      <c r="D637" s="27"/>
      <c r="E637" s="27"/>
      <c r="BE637" s="10" t="str">
        <f t="shared" si="100"/>
        <v/>
      </c>
      <c r="BF637" s="8" t="str">
        <f t="shared" si="101"/>
        <v/>
      </c>
      <c r="BG637" s="11" t="str">
        <f t="shared" si="102"/>
        <v/>
      </c>
      <c r="BH637" s="8" t="str">
        <f t="shared" si="103"/>
        <v/>
      </c>
      <c r="BI637" s="8" t="str">
        <f t="shared" si="104"/>
        <v/>
      </c>
      <c r="BJ637" s="9" t="str">
        <f t="shared" si="105"/>
        <v/>
      </c>
      <c r="BK637" s="9" t="str">
        <f>IF($B637="","",COUNTIFS($B$5:$B637,$B637,$BF$5:$BF637,$BF637))</f>
        <v/>
      </c>
      <c r="BL637" s="9" t="str">
        <f>IF($B637="","",COUNTIFS($B$5:$B637,$B637,$BH$5:$BH637,$BH637))</f>
        <v/>
      </c>
      <c r="BM637" s="9" t="str">
        <f t="shared" si="106"/>
        <v/>
      </c>
      <c r="BN637" s="9" t="str">
        <f t="shared" si="107"/>
        <v/>
      </c>
      <c r="BO637" s="9">
        <f t="shared" si="108"/>
        <v>0</v>
      </c>
      <c r="BR637" s="12" t="str">
        <f t="shared" si="109"/>
        <v/>
      </c>
    </row>
    <row r="638" spans="1:70" ht="14.25" customHeight="1">
      <c r="A638" s="26"/>
      <c r="C638" s="26"/>
      <c r="D638" s="27"/>
      <c r="E638" s="27"/>
      <c r="BE638" s="10" t="str">
        <f t="shared" si="100"/>
        <v/>
      </c>
      <c r="BF638" s="8" t="str">
        <f t="shared" si="101"/>
        <v/>
      </c>
      <c r="BG638" s="11" t="str">
        <f t="shared" si="102"/>
        <v/>
      </c>
      <c r="BH638" s="8" t="str">
        <f t="shared" si="103"/>
        <v/>
      </c>
      <c r="BI638" s="8" t="str">
        <f t="shared" si="104"/>
        <v/>
      </c>
      <c r="BJ638" s="9" t="str">
        <f t="shared" si="105"/>
        <v/>
      </c>
      <c r="BK638" s="9" t="str">
        <f>IF($B638="","",COUNTIFS($B$5:$B638,$B638,$BF$5:$BF638,$BF638))</f>
        <v/>
      </c>
      <c r="BL638" s="9" t="str">
        <f>IF($B638="","",COUNTIFS($B$5:$B638,$B638,$BH$5:$BH638,$BH638))</f>
        <v/>
      </c>
      <c r="BM638" s="9" t="str">
        <f t="shared" si="106"/>
        <v/>
      </c>
      <c r="BN638" s="9" t="str">
        <f t="shared" si="107"/>
        <v/>
      </c>
      <c r="BO638" s="9">
        <f t="shared" si="108"/>
        <v>0</v>
      </c>
      <c r="BR638" s="12" t="str">
        <f t="shared" si="109"/>
        <v/>
      </c>
    </row>
    <row r="639" spans="1:70" ht="14.25" customHeight="1">
      <c r="A639" s="26"/>
      <c r="C639" s="26"/>
      <c r="D639" s="27"/>
      <c r="E639" s="27"/>
      <c r="BE639" s="10" t="str">
        <f t="shared" si="100"/>
        <v/>
      </c>
      <c r="BF639" s="8" t="str">
        <f t="shared" si="101"/>
        <v/>
      </c>
      <c r="BG639" s="11" t="str">
        <f t="shared" si="102"/>
        <v/>
      </c>
      <c r="BH639" s="8" t="str">
        <f t="shared" si="103"/>
        <v/>
      </c>
      <c r="BI639" s="8" t="str">
        <f t="shared" si="104"/>
        <v/>
      </c>
      <c r="BJ639" s="9" t="str">
        <f t="shared" si="105"/>
        <v/>
      </c>
      <c r="BK639" s="9" t="str">
        <f>IF($B639="","",COUNTIFS($B$5:$B639,$B639,$BF$5:$BF639,$BF639))</f>
        <v/>
      </c>
      <c r="BL639" s="9" t="str">
        <f>IF($B639="","",COUNTIFS($B$5:$B639,$B639,$BH$5:$BH639,$BH639))</f>
        <v/>
      </c>
      <c r="BM639" s="9" t="str">
        <f t="shared" si="106"/>
        <v/>
      </c>
      <c r="BN639" s="9" t="str">
        <f t="shared" si="107"/>
        <v/>
      </c>
      <c r="BO639" s="9">
        <f t="shared" si="108"/>
        <v>0</v>
      </c>
      <c r="BR639" s="12" t="str">
        <f t="shared" si="109"/>
        <v/>
      </c>
    </row>
    <row r="640" spans="1:70" ht="14.25" customHeight="1">
      <c r="A640" s="26"/>
      <c r="C640" s="26"/>
      <c r="D640" s="27"/>
      <c r="E640" s="27"/>
      <c r="BE640" s="10" t="str">
        <f t="shared" si="100"/>
        <v/>
      </c>
      <c r="BF640" s="8" t="str">
        <f t="shared" si="101"/>
        <v/>
      </c>
      <c r="BG640" s="11" t="str">
        <f t="shared" si="102"/>
        <v/>
      </c>
      <c r="BH640" s="8" t="str">
        <f t="shared" si="103"/>
        <v/>
      </c>
      <c r="BI640" s="8" t="str">
        <f t="shared" si="104"/>
        <v/>
      </c>
      <c r="BJ640" s="9" t="str">
        <f t="shared" si="105"/>
        <v/>
      </c>
      <c r="BK640" s="9" t="str">
        <f>IF($B640="","",COUNTIFS($B$5:$B640,$B640,$BF$5:$BF640,$BF640))</f>
        <v/>
      </c>
      <c r="BL640" s="9" t="str">
        <f>IF($B640="","",COUNTIFS($B$5:$B640,$B640,$BH$5:$BH640,$BH640))</f>
        <v/>
      </c>
      <c r="BM640" s="9" t="str">
        <f t="shared" si="106"/>
        <v/>
      </c>
      <c r="BN640" s="9" t="str">
        <f t="shared" si="107"/>
        <v/>
      </c>
      <c r="BO640" s="9">
        <f t="shared" si="108"/>
        <v>0</v>
      </c>
      <c r="BR640" s="12" t="str">
        <f t="shared" si="109"/>
        <v/>
      </c>
    </row>
    <row r="641" spans="1:70" ht="14.25" customHeight="1">
      <c r="A641" s="26"/>
      <c r="C641" s="26"/>
      <c r="D641" s="27"/>
      <c r="E641" s="27"/>
      <c r="BE641" s="10" t="str">
        <f t="shared" si="100"/>
        <v/>
      </c>
      <c r="BF641" s="8" t="str">
        <f t="shared" si="101"/>
        <v/>
      </c>
      <c r="BG641" s="11" t="str">
        <f t="shared" si="102"/>
        <v/>
      </c>
      <c r="BH641" s="8" t="str">
        <f t="shared" si="103"/>
        <v/>
      </c>
      <c r="BI641" s="8" t="str">
        <f t="shared" si="104"/>
        <v/>
      </c>
      <c r="BJ641" s="9" t="str">
        <f t="shared" si="105"/>
        <v/>
      </c>
      <c r="BK641" s="9" t="str">
        <f>IF($B641="","",COUNTIFS($B$5:$B641,$B641,$BF$5:$BF641,$BF641))</f>
        <v/>
      </c>
      <c r="BL641" s="9" t="str">
        <f>IF($B641="","",COUNTIFS($B$5:$B641,$B641,$BH$5:$BH641,$BH641))</f>
        <v/>
      </c>
      <c r="BM641" s="9" t="str">
        <f t="shared" si="106"/>
        <v/>
      </c>
      <c r="BN641" s="9" t="str">
        <f t="shared" si="107"/>
        <v/>
      </c>
      <c r="BO641" s="9">
        <f t="shared" si="108"/>
        <v>0</v>
      </c>
      <c r="BR641" s="12" t="str">
        <f t="shared" si="109"/>
        <v/>
      </c>
    </row>
    <row r="642" spans="1:70" ht="14.25" customHeight="1">
      <c r="A642" s="26"/>
      <c r="C642" s="26"/>
      <c r="D642" s="27"/>
      <c r="E642" s="27"/>
      <c r="BE642" s="10" t="str">
        <f t="shared" si="100"/>
        <v/>
      </c>
      <c r="BF642" s="8" t="str">
        <f t="shared" si="101"/>
        <v/>
      </c>
      <c r="BG642" s="11" t="str">
        <f t="shared" si="102"/>
        <v/>
      </c>
      <c r="BH642" s="8" t="str">
        <f t="shared" si="103"/>
        <v/>
      </c>
      <c r="BI642" s="8" t="str">
        <f t="shared" si="104"/>
        <v/>
      </c>
      <c r="BJ642" s="9" t="str">
        <f t="shared" si="105"/>
        <v/>
      </c>
      <c r="BK642" s="9" t="str">
        <f>IF($B642="","",COUNTIFS($B$5:$B642,$B642,$BF$5:$BF642,$BF642))</f>
        <v/>
      </c>
      <c r="BL642" s="9" t="str">
        <f>IF($B642="","",COUNTIFS($B$5:$B642,$B642,$BH$5:$BH642,$BH642))</f>
        <v/>
      </c>
      <c r="BM642" s="9" t="str">
        <f t="shared" si="106"/>
        <v/>
      </c>
      <c r="BN642" s="9" t="str">
        <f t="shared" si="107"/>
        <v/>
      </c>
      <c r="BO642" s="9">
        <f t="shared" si="108"/>
        <v>0</v>
      </c>
      <c r="BR642" s="12" t="str">
        <f t="shared" si="109"/>
        <v/>
      </c>
    </row>
    <row r="643" spans="1:70" ht="14.25" customHeight="1">
      <c r="A643" s="26"/>
      <c r="C643" s="26"/>
      <c r="D643" s="27"/>
      <c r="E643" s="27"/>
      <c r="BE643" s="10" t="str">
        <f t="shared" si="100"/>
        <v/>
      </c>
      <c r="BF643" s="8" t="str">
        <f t="shared" si="101"/>
        <v/>
      </c>
      <c r="BG643" s="11" t="str">
        <f t="shared" si="102"/>
        <v/>
      </c>
      <c r="BH643" s="8" t="str">
        <f t="shared" si="103"/>
        <v/>
      </c>
      <c r="BI643" s="8" t="str">
        <f t="shared" si="104"/>
        <v/>
      </c>
      <c r="BJ643" s="9" t="str">
        <f t="shared" si="105"/>
        <v/>
      </c>
      <c r="BK643" s="9" t="str">
        <f>IF($B643="","",COUNTIFS($B$5:$B643,$B643,$BF$5:$BF643,$BF643))</f>
        <v/>
      </c>
      <c r="BL643" s="9" t="str">
        <f>IF($B643="","",COUNTIFS($B$5:$B643,$B643,$BH$5:$BH643,$BH643))</f>
        <v/>
      </c>
      <c r="BM643" s="9" t="str">
        <f t="shared" si="106"/>
        <v/>
      </c>
      <c r="BN643" s="9" t="str">
        <f t="shared" si="107"/>
        <v/>
      </c>
      <c r="BO643" s="9">
        <f t="shared" si="108"/>
        <v>0</v>
      </c>
      <c r="BR643" s="12" t="str">
        <f t="shared" si="109"/>
        <v/>
      </c>
    </row>
    <row r="644" spans="1:70" ht="14.25" customHeight="1">
      <c r="A644" s="26"/>
      <c r="C644" s="26"/>
      <c r="D644" s="27"/>
      <c r="E644" s="27"/>
      <c r="BE644" s="10" t="str">
        <f t="shared" si="100"/>
        <v/>
      </c>
      <c r="BF644" s="8" t="str">
        <f t="shared" si="101"/>
        <v/>
      </c>
      <c r="BG644" s="11" t="str">
        <f t="shared" si="102"/>
        <v/>
      </c>
      <c r="BH644" s="8" t="str">
        <f t="shared" si="103"/>
        <v/>
      </c>
      <c r="BI644" s="8" t="str">
        <f t="shared" si="104"/>
        <v/>
      </c>
      <c r="BJ644" s="9" t="str">
        <f t="shared" si="105"/>
        <v/>
      </c>
      <c r="BK644" s="9" t="str">
        <f>IF($B644="","",COUNTIFS($B$5:$B644,$B644,$BF$5:$BF644,$BF644))</f>
        <v/>
      </c>
      <c r="BL644" s="9" t="str">
        <f>IF($B644="","",COUNTIFS($B$5:$B644,$B644,$BH$5:$BH644,$BH644))</f>
        <v/>
      </c>
      <c r="BM644" s="9" t="str">
        <f t="shared" si="106"/>
        <v/>
      </c>
      <c r="BN644" s="9" t="str">
        <f t="shared" si="107"/>
        <v/>
      </c>
      <c r="BO644" s="9">
        <f t="shared" si="108"/>
        <v>0</v>
      </c>
      <c r="BR644" s="12" t="str">
        <f t="shared" si="109"/>
        <v/>
      </c>
    </row>
    <row r="645" spans="1:70" ht="14.25" customHeight="1">
      <c r="A645" s="26"/>
      <c r="C645" s="26"/>
      <c r="D645" s="27"/>
      <c r="E645" s="27"/>
      <c r="BE645" s="10" t="str">
        <f t="shared" si="100"/>
        <v/>
      </c>
      <c r="BF645" s="8" t="str">
        <f t="shared" si="101"/>
        <v/>
      </c>
      <c r="BG645" s="11" t="str">
        <f t="shared" si="102"/>
        <v/>
      </c>
      <c r="BH645" s="8" t="str">
        <f t="shared" si="103"/>
        <v/>
      </c>
      <c r="BI645" s="8" t="str">
        <f t="shared" si="104"/>
        <v/>
      </c>
      <c r="BJ645" s="9" t="str">
        <f t="shared" si="105"/>
        <v/>
      </c>
      <c r="BK645" s="9" t="str">
        <f>IF($B645="","",COUNTIFS($B$5:$B645,$B645,$BF$5:$BF645,$BF645))</f>
        <v/>
      </c>
      <c r="BL645" s="9" t="str">
        <f>IF($B645="","",COUNTIFS($B$5:$B645,$B645,$BH$5:$BH645,$BH645))</f>
        <v/>
      </c>
      <c r="BM645" s="9" t="str">
        <f t="shared" si="106"/>
        <v/>
      </c>
      <c r="BN645" s="9" t="str">
        <f t="shared" si="107"/>
        <v/>
      </c>
      <c r="BO645" s="9">
        <f t="shared" si="108"/>
        <v>0</v>
      </c>
      <c r="BR645" s="12" t="str">
        <f t="shared" si="109"/>
        <v/>
      </c>
    </row>
    <row r="646" spans="1:70" ht="14.25" customHeight="1">
      <c r="A646" s="26"/>
      <c r="C646" s="26"/>
      <c r="D646" s="27"/>
      <c r="E646" s="27"/>
      <c r="BE646" s="10" t="str">
        <f t="shared" si="100"/>
        <v/>
      </c>
      <c r="BF646" s="8" t="str">
        <f t="shared" si="101"/>
        <v/>
      </c>
      <c r="BG646" s="11" t="str">
        <f t="shared" si="102"/>
        <v/>
      </c>
      <c r="BH646" s="8" t="str">
        <f t="shared" si="103"/>
        <v/>
      </c>
      <c r="BI646" s="8" t="str">
        <f t="shared" si="104"/>
        <v/>
      </c>
      <c r="BJ646" s="9" t="str">
        <f t="shared" si="105"/>
        <v/>
      </c>
      <c r="BK646" s="9" t="str">
        <f>IF($B646="","",COUNTIFS($B$5:$B646,$B646,$BF$5:$BF646,$BF646))</f>
        <v/>
      </c>
      <c r="BL646" s="9" t="str">
        <f>IF($B646="","",COUNTIFS($B$5:$B646,$B646,$BH$5:$BH646,$BH646))</f>
        <v/>
      </c>
      <c r="BM646" s="9" t="str">
        <f t="shared" si="106"/>
        <v/>
      </c>
      <c r="BN646" s="9" t="str">
        <f t="shared" si="107"/>
        <v/>
      </c>
      <c r="BO646" s="9">
        <f t="shared" si="108"/>
        <v>0</v>
      </c>
      <c r="BR646" s="12" t="str">
        <f t="shared" si="109"/>
        <v/>
      </c>
    </row>
    <row r="647" spans="1:70" ht="14.25" customHeight="1">
      <c r="A647" s="26"/>
      <c r="C647" s="26"/>
      <c r="D647" s="27"/>
      <c r="E647" s="27"/>
      <c r="BE647" s="10" t="str">
        <f t="shared" si="100"/>
        <v/>
      </c>
      <c r="BF647" s="8" t="str">
        <f t="shared" si="101"/>
        <v/>
      </c>
      <c r="BG647" s="11" t="str">
        <f t="shared" si="102"/>
        <v/>
      </c>
      <c r="BH647" s="8" t="str">
        <f t="shared" si="103"/>
        <v/>
      </c>
      <c r="BI647" s="8" t="str">
        <f t="shared" si="104"/>
        <v/>
      </c>
      <c r="BJ647" s="9" t="str">
        <f t="shared" si="105"/>
        <v/>
      </c>
      <c r="BK647" s="9" t="str">
        <f>IF($B647="","",COUNTIFS($B$5:$B647,$B647,$BF$5:$BF647,$BF647))</f>
        <v/>
      </c>
      <c r="BL647" s="9" t="str">
        <f>IF($B647="","",COUNTIFS($B$5:$B647,$B647,$BH$5:$BH647,$BH647))</f>
        <v/>
      </c>
      <c r="BM647" s="9" t="str">
        <f t="shared" si="106"/>
        <v/>
      </c>
      <c r="BN647" s="9" t="str">
        <f t="shared" si="107"/>
        <v/>
      </c>
      <c r="BO647" s="9">
        <f t="shared" si="108"/>
        <v>0</v>
      </c>
      <c r="BR647" s="12" t="str">
        <f t="shared" si="109"/>
        <v/>
      </c>
    </row>
    <row r="648" spans="1:70" ht="14.25" customHeight="1">
      <c r="A648" s="26"/>
      <c r="C648" s="26"/>
      <c r="D648" s="27"/>
      <c r="E648" s="27"/>
      <c r="BE648" s="10" t="str">
        <f t="shared" si="100"/>
        <v/>
      </c>
      <c r="BF648" s="8" t="str">
        <f t="shared" si="101"/>
        <v/>
      </c>
      <c r="BG648" s="11" t="str">
        <f t="shared" si="102"/>
        <v/>
      </c>
      <c r="BH648" s="8" t="str">
        <f t="shared" si="103"/>
        <v/>
      </c>
      <c r="BI648" s="8" t="str">
        <f t="shared" si="104"/>
        <v/>
      </c>
      <c r="BJ648" s="9" t="str">
        <f t="shared" si="105"/>
        <v/>
      </c>
      <c r="BK648" s="9" t="str">
        <f>IF($B648="","",COUNTIFS($B$5:$B648,$B648,$BF$5:$BF648,$BF648))</f>
        <v/>
      </c>
      <c r="BL648" s="9" t="str">
        <f>IF($B648="","",COUNTIFS($B$5:$B648,$B648,$BH$5:$BH648,$BH648))</f>
        <v/>
      </c>
      <c r="BM648" s="9" t="str">
        <f t="shared" si="106"/>
        <v/>
      </c>
      <c r="BN648" s="9" t="str">
        <f t="shared" si="107"/>
        <v/>
      </c>
      <c r="BO648" s="9">
        <f t="shared" si="108"/>
        <v>0</v>
      </c>
      <c r="BR648" s="12" t="str">
        <f t="shared" si="109"/>
        <v/>
      </c>
    </row>
    <row r="649" spans="1:70" ht="14.25" customHeight="1">
      <c r="A649" s="26"/>
      <c r="C649" s="26"/>
      <c r="D649" s="27"/>
      <c r="E649" s="27"/>
      <c r="BE649" s="10" t="str">
        <f t="shared" si="100"/>
        <v/>
      </c>
      <c r="BF649" s="8" t="str">
        <f t="shared" si="101"/>
        <v/>
      </c>
      <c r="BG649" s="11" t="str">
        <f t="shared" si="102"/>
        <v/>
      </c>
      <c r="BH649" s="8" t="str">
        <f t="shared" si="103"/>
        <v/>
      </c>
      <c r="BI649" s="8" t="str">
        <f t="shared" si="104"/>
        <v/>
      </c>
      <c r="BJ649" s="9" t="str">
        <f t="shared" si="105"/>
        <v/>
      </c>
      <c r="BK649" s="9" t="str">
        <f>IF($B649="","",COUNTIFS($B$5:$B649,$B649,$BF$5:$BF649,$BF649))</f>
        <v/>
      </c>
      <c r="BL649" s="9" t="str">
        <f>IF($B649="","",COUNTIFS($B$5:$B649,$B649,$BH$5:$BH649,$BH649))</f>
        <v/>
      </c>
      <c r="BM649" s="9" t="str">
        <f t="shared" si="106"/>
        <v/>
      </c>
      <c r="BN649" s="9" t="str">
        <f t="shared" si="107"/>
        <v/>
      </c>
      <c r="BO649" s="9">
        <f t="shared" si="108"/>
        <v>0</v>
      </c>
      <c r="BR649" s="12" t="str">
        <f t="shared" si="109"/>
        <v/>
      </c>
    </row>
    <row r="650" spans="1:70" ht="14.25" customHeight="1">
      <c r="A650" s="26"/>
      <c r="C650" s="26"/>
      <c r="D650" s="27"/>
      <c r="E650" s="27"/>
      <c r="BE650" s="10" t="str">
        <f t="shared" si="100"/>
        <v/>
      </c>
      <c r="BF650" s="8" t="str">
        <f t="shared" si="101"/>
        <v/>
      </c>
      <c r="BG650" s="11" t="str">
        <f t="shared" si="102"/>
        <v/>
      </c>
      <c r="BH650" s="8" t="str">
        <f t="shared" si="103"/>
        <v/>
      </c>
      <c r="BI650" s="8" t="str">
        <f t="shared" si="104"/>
        <v/>
      </c>
      <c r="BJ650" s="9" t="str">
        <f t="shared" si="105"/>
        <v/>
      </c>
      <c r="BK650" s="9" t="str">
        <f>IF($B650="","",COUNTIFS($B$5:$B650,$B650,$BF$5:$BF650,$BF650))</f>
        <v/>
      </c>
      <c r="BL650" s="9" t="str">
        <f>IF($B650="","",COUNTIFS($B$5:$B650,$B650,$BH$5:$BH650,$BH650))</f>
        <v/>
      </c>
      <c r="BM650" s="9" t="str">
        <f t="shared" si="106"/>
        <v/>
      </c>
      <c r="BN650" s="9" t="str">
        <f t="shared" si="107"/>
        <v/>
      </c>
      <c r="BO650" s="9">
        <f t="shared" si="108"/>
        <v>0</v>
      </c>
      <c r="BR650" s="12" t="str">
        <f t="shared" si="109"/>
        <v/>
      </c>
    </row>
    <row r="651" spans="1:70" ht="14.25" customHeight="1">
      <c r="A651" s="26"/>
      <c r="C651" s="26"/>
      <c r="D651" s="27"/>
      <c r="E651" s="27"/>
      <c r="BE651" s="10" t="str">
        <f t="shared" si="100"/>
        <v/>
      </c>
      <c r="BF651" s="8" t="str">
        <f t="shared" si="101"/>
        <v/>
      </c>
      <c r="BG651" s="11" t="str">
        <f t="shared" si="102"/>
        <v/>
      </c>
      <c r="BH651" s="8" t="str">
        <f t="shared" si="103"/>
        <v/>
      </c>
      <c r="BI651" s="8" t="str">
        <f t="shared" si="104"/>
        <v/>
      </c>
      <c r="BJ651" s="9" t="str">
        <f t="shared" si="105"/>
        <v/>
      </c>
      <c r="BK651" s="9" t="str">
        <f>IF($B651="","",COUNTIFS($B$5:$B651,$B651,$BF$5:$BF651,$BF651))</f>
        <v/>
      </c>
      <c r="BL651" s="9" t="str">
        <f>IF($B651="","",COUNTIFS($B$5:$B651,$B651,$BH$5:$BH651,$BH651))</f>
        <v/>
      </c>
      <c r="BM651" s="9" t="str">
        <f t="shared" si="106"/>
        <v/>
      </c>
      <c r="BN651" s="9" t="str">
        <f t="shared" si="107"/>
        <v/>
      </c>
      <c r="BO651" s="9">
        <f t="shared" si="108"/>
        <v>0</v>
      </c>
      <c r="BR651" s="12" t="str">
        <f t="shared" si="109"/>
        <v/>
      </c>
    </row>
    <row r="652" spans="1:70" ht="14.25" customHeight="1">
      <c r="A652" s="26"/>
      <c r="C652" s="26"/>
      <c r="D652" s="27"/>
      <c r="E652" s="27"/>
      <c r="BE652" s="10" t="str">
        <f t="shared" si="100"/>
        <v/>
      </c>
      <c r="BF652" s="8" t="str">
        <f t="shared" si="101"/>
        <v/>
      </c>
      <c r="BG652" s="11" t="str">
        <f t="shared" si="102"/>
        <v/>
      </c>
      <c r="BH652" s="8" t="str">
        <f t="shared" si="103"/>
        <v/>
      </c>
      <c r="BI652" s="8" t="str">
        <f t="shared" si="104"/>
        <v/>
      </c>
      <c r="BJ652" s="9" t="str">
        <f t="shared" si="105"/>
        <v/>
      </c>
      <c r="BK652" s="9" t="str">
        <f>IF($B652="","",COUNTIFS($B$5:$B652,$B652,$BF$5:$BF652,$BF652))</f>
        <v/>
      </c>
      <c r="BL652" s="9" t="str">
        <f>IF($B652="","",COUNTIFS($B$5:$B652,$B652,$BH$5:$BH652,$BH652))</f>
        <v/>
      </c>
      <c r="BM652" s="9" t="str">
        <f t="shared" si="106"/>
        <v/>
      </c>
      <c r="BN652" s="9" t="str">
        <f t="shared" si="107"/>
        <v/>
      </c>
      <c r="BO652" s="9">
        <f t="shared" si="108"/>
        <v>0</v>
      </c>
      <c r="BR652" s="12" t="str">
        <f t="shared" si="109"/>
        <v/>
      </c>
    </row>
    <row r="653" spans="1:70" ht="14.25" customHeight="1">
      <c r="A653" s="26"/>
      <c r="C653" s="26"/>
      <c r="D653" s="27"/>
      <c r="E653" s="27"/>
      <c r="BE653" s="10" t="str">
        <f t="shared" si="100"/>
        <v/>
      </c>
      <c r="BF653" s="8" t="str">
        <f t="shared" si="101"/>
        <v/>
      </c>
      <c r="BG653" s="11" t="str">
        <f t="shared" si="102"/>
        <v/>
      </c>
      <c r="BH653" s="8" t="str">
        <f t="shared" si="103"/>
        <v/>
      </c>
      <c r="BI653" s="8" t="str">
        <f t="shared" si="104"/>
        <v/>
      </c>
      <c r="BJ653" s="9" t="str">
        <f t="shared" si="105"/>
        <v/>
      </c>
      <c r="BK653" s="9" t="str">
        <f>IF($B653="","",COUNTIFS($B$5:$B653,$B653,$BF$5:$BF653,$BF653))</f>
        <v/>
      </c>
      <c r="BL653" s="9" t="str">
        <f>IF($B653="","",COUNTIFS($B$5:$B653,$B653,$BH$5:$BH653,$BH653))</f>
        <v/>
      </c>
      <c r="BM653" s="9" t="str">
        <f t="shared" si="106"/>
        <v/>
      </c>
      <c r="BN653" s="9" t="str">
        <f t="shared" si="107"/>
        <v/>
      </c>
      <c r="BO653" s="9">
        <f t="shared" si="108"/>
        <v>0</v>
      </c>
      <c r="BR653" s="12" t="str">
        <f t="shared" si="109"/>
        <v/>
      </c>
    </row>
    <row r="654" spans="1:70" ht="14.25" customHeight="1">
      <c r="A654" s="26"/>
      <c r="C654" s="26"/>
      <c r="D654" s="27"/>
      <c r="E654" s="27"/>
      <c r="BE654" s="10" t="str">
        <f t="shared" si="100"/>
        <v/>
      </c>
      <c r="BF654" s="8" t="str">
        <f t="shared" si="101"/>
        <v/>
      </c>
      <c r="BG654" s="11" t="str">
        <f t="shared" si="102"/>
        <v/>
      </c>
      <c r="BH654" s="8" t="str">
        <f t="shared" si="103"/>
        <v/>
      </c>
      <c r="BI654" s="8" t="str">
        <f t="shared" si="104"/>
        <v/>
      </c>
      <c r="BJ654" s="9" t="str">
        <f t="shared" si="105"/>
        <v/>
      </c>
      <c r="BK654" s="9" t="str">
        <f>IF($B654="","",COUNTIFS($B$5:$B654,$B654,$BF$5:$BF654,$BF654))</f>
        <v/>
      </c>
      <c r="BL654" s="9" t="str">
        <f>IF($B654="","",COUNTIFS($B$5:$B654,$B654,$BH$5:$BH654,$BH654))</f>
        <v/>
      </c>
      <c r="BM654" s="9" t="str">
        <f t="shared" si="106"/>
        <v/>
      </c>
      <c r="BN654" s="9" t="str">
        <f t="shared" si="107"/>
        <v/>
      </c>
      <c r="BO654" s="9">
        <f t="shared" si="108"/>
        <v>0</v>
      </c>
      <c r="BR654" s="12" t="str">
        <f t="shared" si="109"/>
        <v/>
      </c>
    </row>
    <row r="655" spans="1:70" ht="14.25" customHeight="1">
      <c r="A655" s="26"/>
      <c r="C655" s="26"/>
      <c r="D655" s="27"/>
      <c r="E655" s="27"/>
      <c r="BE655" s="10" t="str">
        <f t="shared" si="100"/>
        <v/>
      </c>
      <c r="BF655" s="8" t="str">
        <f t="shared" si="101"/>
        <v/>
      </c>
      <c r="BG655" s="11" t="str">
        <f t="shared" si="102"/>
        <v/>
      </c>
      <c r="BH655" s="8" t="str">
        <f t="shared" si="103"/>
        <v/>
      </c>
      <c r="BI655" s="8" t="str">
        <f t="shared" si="104"/>
        <v/>
      </c>
      <c r="BJ655" s="9" t="str">
        <f t="shared" si="105"/>
        <v/>
      </c>
      <c r="BK655" s="9" t="str">
        <f>IF($B655="","",COUNTIFS($B$5:$B655,$B655,$BF$5:$BF655,$BF655))</f>
        <v/>
      </c>
      <c r="BL655" s="9" t="str">
        <f>IF($B655="","",COUNTIFS($B$5:$B655,$B655,$BH$5:$BH655,$BH655))</f>
        <v/>
      </c>
      <c r="BM655" s="9" t="str">
        <f t="shared" si="106"/>
        <v/>
      </c>
      <c r="BN655" s="9" t="str">
        <f t="shared" si="107"/>
        <v/>
      </c>
      <c r="BO655" s="9">
        <f t="shared" si="108"/>
        <v>0</v>
      </c>
      <c r="BR655" s="12" t="str">
        <f t="shared" si="109"/>
        <v/>
      </c>
    </row>
    <row r="656" spans="1:70" ht="14.25" customHeight="1">
      <c r="A656" s="26"/>
      <c r="C656" s="26"/>
      <c r="D656" s="27"/>
      <c r="E656" s="27"/>
      <c r="BE656" s="10" t="str">
        <f t="shared" si="100"/>
        <v/>
      </c>
      <c r="BF656" s="8" t="str">
        <f t="shared" si="101"/>
        <v/>
      </c>
      <c r="BG656" s="11" t="str">
        <f t="shared" si="102"/>
        <v/>
      </c>
      <c r="BH656" s="8" t="str">
        <f t="shared" si="103"/>
        <v/>
      </c>
      <c r="BI656" s="8" t="str">
        <f t="shared" si="104"/>
        <v/>
      </c>
      <c r="BJ656" s="9" t="str">
        <f t="shared" si="105"/>
        <v/>
      </c>
      <c r="BK656" s="9" t="str">
        <f>IF($B656="","",COUNTIFS($B$5:$B656,$B656,$BF$5:$BF656,$BF656))</f>
        <v/>
      </c>
      <c r="BL656" s="9" t="str">
        <f>IF($B656="","",COUNTIFS($B$5:$B656,$B656,$BH$5:$BH656,$BH656))</f>
        <v/>
      </c>
      <c r="BM656" s="9" t="str">
        <f t="shared" si="106"/>
        <v/>
      </c>
      <c r="BN656" s="9" t="str">
        <f t="shared" si="107"/>
        <v/>
      </c>
      <c r="BO656" s="9">
        <f t="shared" si="108"/>
        <v>0</v>
      </c>
      <c r="BR656" s="12" t="str">
        <f t="shared" si="109"/>
        <v/>
      </c>
    </row>
    <row r="657" spans="1:70" ht="14.25" customHeight="1">
      <c r="A657" s="26"/>
      <c r="C657" s="26"/>
      <c r="D657" s="27"/>
      <c r="E657" s="27"/>
      <c r="BE657" s="10" t="str">
        <f t="shared" si="100"/>
        <v/>
      </c>
      <c r="BF657" s="8" t="str">
        <f t="shared" si="101"/>
        <v/>
      </c>
      <c r="BG657" s="11" t="str">
        <f t="shared" si="102"/>
        <v/>
      </c>
      <c r="BH657" s="8" t="str">
        <f t="shared" si="103"/>
        <v/>
      </c>
      <c r="BI657" s="8" t="str">
        <f t="shared" si="104"/>
        <v/>
      </c>
      <c r="BJ657" s="9" t="str">
        <f t="shared" si="105"/>
        <v/>
      </c>
      <c r="BK657" s="9" t="str">
        <f>IF($B657="","",COUNTIFS($B$5:$B657,$B657,$BF$5:$BF657,$BF657))</f>
        <v/>
      </c>
      <c r="BL657" s="9" t="str">
        <f>IF($B657="","",COUNTIFS($B$5:$B657,$B657,$BH$5:$BH657,$BH657))</f>
        <v/>
      </c>
      <c r="BM657" s="9" t="str">
        <f t="shared" si="106"/>
        <v/>
      </c>
      <c r="BN657" s="9" t="str">
        <f t="shared" si="107"/>
        <v/>
      </c>
      <c r="BO657" s="9">
        <f t="shared" si="108"/>
        <v>0</v>
      </c>
      <c r="BR657" s="12" t="str">
        <f t="shared" si="109"/>
        <v/>
      </c>
    </row>
    <row r="658" spans="1:70" ht="14.25" customHeight="1">
      <c r="A658" s="26"/>
      <c r="C658" s="26"/>
      <c r="D658" s="27"/>
      <c r="E658" s="27"/>
      <c r="BE658" s="10" t="str">
        <f t="shared" si="100"/>
        <v/>
      </c>
      <c r="BF658" s="8" t="str">
        <f t="shared" si="101"/>
        <v/>
      </c>
      <c r="BG658" s="11" t="str">
        <f t="shared" si="102"/>
        <v/>
      </c>
      <c r="BH658" s="8" t="str">
        <f t="shared" si="103"/>
        <v/>
      </c>
      <c r="BI658" s="8" t="str">
        <f t="shared" si="104"/>
        <v/>
      </c>
      <c r="BJ658" s="9" t="str">
        <f t="shared" si="105"/>
        <v/>
      </c>
      <c r="BK658" s="9" t="str">
        <f>IF($B658="","",COUNTIFS($B$5:$B658,$B658,$BF$5:$BF658,$BF658))</f>
        <v/>
      </c>
      <c r="BL658" s="9" t="str">
        <f>IF($B658="","",COUNTIFS($B$5:$B658,$B658,$BH$5:$BH658,$BH658))</f>
        <v/>
      </c>
      <c r="BM658" s="9" t="str">
        <f t="shared" si="106"/>
        <v/>
      </c>
      <c r="BN658" s="9" t="str">
        <f t="shared" si="107"/>
        <v/>
      </c>
      <c r="BO658" s="9">
        <f t="shared" si="108"/>
        <v>0</v>
      </c>
      <c r="BR658" s="12" t="str">
        <f t="shared" si="109"/>
        <v/>
      </c>
    </row>
    <row r="659" spans="1:70" ht="14.25" customHeight="1">
      <c r="A659" s="26"/>
      <c r="C659" s="26"/>
      <c r="D659" s="27"/>
      <c r="E659" s="27"/>
      <c r="BE659" s="10" t="str">
        <f t="shared" si="100"/>
        <v/>
      </c>
      <c r="BF659" s="8" t="str">
        <f t="shared" si="101"/>
        <v/>
      </c>
      <c r="BG659" s="11" t="str">
        <f t="shared" si="102"/>
        <v/>
      </c>
      <c r="BH659" s="8" t="str">
        <f t="shared" si="103"/>
        <v/>
      </c>
      <c r="BI659" s="8" t="str">
        <f t="shared" si="104"/>
        <v/>
      </c>
      <c r="BJ659" s="9" t="str">
        <f t="shared" si="105"/>
        <v/>
      </c>
      <c r="BK659" s="9" t="str">
        <f>IF($B659="","",COUNTIFS($B$5:$B659,$B659,$BF$5:$BF659,$BF659))</f>
        <v/>
      </c>
      <c r="BL659" s="9" t="str">
        <f>IF($B659="","",COUNTIFS($B$5:$B659,$B659,$BH$5:$BH659,$BH659))</f>
        <v/>
      </c>
      <c r="BM659" s="9" t="str">
        <f t="shared" si="106"/>
        <v/>
      </c>
      <c r="BN659" s="9" t="str">
        <f t="shared" si="107"/>
        <v/>
      </c>
      <c r="BO659" s="9">
        <f t="shared" si="108"/>
        <v>0</v>
      </c>
      <c r="BR659" s="12" t="str">
        <f t="shared" si="109"/>
        <v/>
      </c>
    </row>
    <row r="660" spans="1:70" ht="14.25" customHeight="1">
      <c r="A660" s="26"/>
      <c r="C660" s="26"/>
      <c r="D660" s="27"/>
      <c r="E660" s="27"/>
      <c r="BE660" s="10" t="str">
        <f t="shared" si="100"/>
        <v/>
      </c>
      <c r="BF660" s="8" t="str">
        <f t="shared" si="101"/>
        <v/>
      </c>
      <c r="BG660" s="11" t="str">
        <f t="shared" si="102"/>
        <v/>
      </c>
      <c r="BH660" s="8" t="str">
        <f t="shared" si="103"/>
        <v/>
      </c>
      <c r="BI660" s="8" t="str">
        <f t="shared" si="104"/>
        <v/>
      </c>
      <c r="BJ660" s="9" t="str">
        <f t="shared" si="105"/>
        <v/>
      </c>
      <c r="BK660" s="9" t="str">
        <f>IF($B660="","",COUNTIFS($B$5:$B660,$B660,$BF$5:$BF660,$BF660))</f>
        <v/>
      </c>
      <c r="BL660" s="9" t="str">
        <f>IF($B660="","",COUNTIFS($B$5:$B660,$B660,$BH$5:$BH660,$BH660))</f>
        <v/>
      </c>
      <c r="BM660" s="9" t="str">
        <f t="shared" si="106"/>
        <v/>
      </c>
      <c r="BN660" s="9" t="str">
        <f t="shared" si="107"/>
        <v/>
      </c>
      <c r="BO660" s="9">
        <f t="shared" si="108"/>
        <v>0</v>
      </c>
      <c r="BR660" s="12" t="str">
        <f t="shared" si="109"/>
        <v/>
      </c>
    </row>
    <row r="661" spans="1:70" ht="14.25" customHeight="1">
      <c r="A661" s="26"/>
      <c r="C661" s="26"/>
      <c r="D661" s="27"/>
      <c r="E661" s="27"/>
      <c r="BE661" s="10" t="str">
        <f t="shared" si="100"/>
        <v/>
      </c>
      <c r="BF661" s="8" t="str">
        <f t="shared" si="101"/>
        <v/>
      </c>
      <c r="BG661" s="11" t="str">
        <f t="shared" si="102"/>
        <v/>
      </c>
      <c r="BH661" s="8" t="str">
        <f t="shared" si="103"/>
        <v/>
      </c>
      <c r="BI661" s="8" t="str">
        <f t="shared" si="104"/>
        <v/>
      </c>
      <c r="BJ661" s="9" t="str">
        <f t="shared" si="105"/>
        <v/>
      </c>
      <c r="BK661" s="9" t="str">
        <f>IF($B661="","",COUNTIFS($B$5:$B661,$B661,$BF$5:$BF661,$BF661))</f>
        <v/>
      </c>
      <c r="BL661" s="9" t="str">
        <f>IF($B661="","",COUNTIFS($B$5:$B661,$B661,$BH$5:$BH661,$BH661))</f>
        <v/>
      </c>
      <c r="BM661" s="9" t="str">
        <f t="shared" si="106"/>
        <v/>
      </c>
      <c r="BN661" s="9" t="str">
        <f t="shared" si="107"/>
        <v/>
      </c>
      <c r="BO661" s="9">
        <f t="shared" si="108"/>
        <v>0</v>
      </c>
      <c r="BR661" s="12" t="str">
        <f t="shared" si="109"/>
        <v/>
      </c>
    </row>
    <row r="662" spans="1:70" ht="14.25" customHeight="1">
      <c r="A662" s="26"/>
      <c r="C662" s="26"/>
      <c r="D662" s="27"/>
      <c r="E662" s="27"/>
      <c r="BE662" s="10" t="str">
        <f t="shared" si="100"/>
        <v/>
      </c>
      <c r="BF662" s="8" t="str">
        <f t="shared" si="101"/>
        <v/>
      </c>
      <c r="BG662" s="11" t="str">
        <f t="shared" si="102"/>
        <v/>
      </c>
      <c r="BH662" s="8" t="str">
        <f t="shared" si="103"/>
        <v/>
      </c>
      <c r="BI662" s="8" t="str">
        <f t="shared" si="104"/>
        <v/>
      </c>
      <c r="BJ662" s="9" t="str">
        <f t="shared" si="105"/>
        <v/>
      </c>
      <c r="BK662" s="9" t="str">
        <f>IF($B662="","",COUNTIFS($B$5:$B662,$B662,$BF$5:$BF662,$BF662))</f>
        <v/>
      </c>
      <c r="BL662" s="9" t="str">
        <f>IF($B662="","",COUNTIFS($B$5:$B662,$B662,$BH$5:$BH662,$BH662))</f>
        <v/>
      </c>
      <c r="BM662" s="9" t="str">
        <f t="shared" si="106"/>
        <v/>
      </c>
      <c r="BN662" s="9" t="str">
        <f t="shared" si="107"/>
        <v/>
      </c>
      <c r="BO662" s="9">
        <f t="shared" si="108"/>
        <v>0</v>
      </c>
      <c r="BR662" s="12" t="str">
        <f t="shared" si="109"/>
        <v/>
      </c>
    </row>
    <row r="663" spans="1:70" ht="14.25" customHeight="1">
      <c r="A663" s="26"/>
      <c r="C663" s="26"/>
      <c r="D663" s="27"/>
      <c r="E663" s="27"/>
      <c r="BE663" s="10" t="str">
        <f t="shared" si="100"/>
        <v/>
      </c>
      <c r="BF663" s="8" t="str">
        <f t="shared" si="101"/>
        <v/>
      </c>
      <c r="BG663" s="11" t="str">
        <f t="shared" si="102"/>
        <v/>
      </c>
      <c r="BH663" s="8" t="str">
        <f t="shared" si="103"/>
        <v/>
      </c>
      <c r="BI663" s="8" t="str">
        <f t="shared" si="104"/>
        <v/>
      </c>
      <c r="BJ663" s="9" t="str">
        <f t="shared" si="105"/>
        <v/>
      </c>
      <c r="BK663" s="9" t="str">
        <f>IF($B663="","",COUNTIFS($B$5:$B663,$B663,$BF$5:$BF663,$BF663))</f>
        <v/>
      </c>
      <c r="BL663" s="9" t="str">
        <f>IF($B663="","",COUNTIFS($B$5:$B663,$B663,$BH$5:$BH663,$BH663))</f>
        <v/>
      </c>
      <c r="BM663" s="9" t="str">
        <f t="shared" si="106"/>
        <v/>
      </c>
      <c r="BN663" s="9" t="str">
        <f t="shared" si="107"/>
        <v/>
      </c>
      <c r="BO663" s="9">
        <f t="shared" si="108"/>
        <v>0</v>
      </c>
      <c r="BR663" s="12" t="str">
        <f t="shared" si="109"/>
        <v/>
      </c>
    </row>
    <row r="664" spans="1:70" ht="14.25" customHeight="1">
      <c r="A664" s="26"/>
      <c r="C664" s="26"/>
      <c r="D664" s="27"/>
      <c r="E664" s="27"/>
      <c r="BE664" s="10" t="str">
        <f t="shared" si="100"/>
        <v/>
      </c>
      <c r="BF664" s="8" t="str">
        <f t="shared" si="101"/>
        <v/>
      </c>
      <c r="BG664" s="11" t="str">
        <f t="shared" si="102"/>
        <v/>
      </c>
      <c r="BH664" s="8" t="str">
        <f t="shared" si="103"/>
        <v/>
      </c>
      <c r="BI664" s="8" t="str">
        <f t="shared" si="104"/>
        <v/>
      </c>
      <c r="BJ664" s="9" t="str">
        <f t="shared" si="105"/>
        <v/>
      </c>
      <c r="BK664" s="9" t="str">
        <f>IF($B664="","",COUNTIFS($B$5:$B664,$B664,$BF$5:$BF664,$BF664))</f>
        <v/>
      </c>
      <c r="BL664" s="9" t="str">
        <f>IF($B664="","",COUNTIFS($B$5:$B664,$B664,$BH$5:$BH664,$BH664))</f>
        <v/>
      </c>
      <c r="BM664" s="9" t="str">
        <f t="shared" si="106"/>
        <v/>
      </c>
      <c r="BN664" s="9" t="str">
        <f t="shared" si="107"/>
        <v/>
      </c>
      <c r="BO664" s="9">
        <f t="shared" si="108"/>
        <v>0</v>
      </c>
      <c r="BR664" s="12" t="str">
        <f t="shared" si="109"/>
        <v/>
      </c>
    </row>
    <row r="665" spans="1:70" ht="14.25" customHeight="1">
      <c r="A665" s="26"/>
      <c r="C665" s="26"/>
      <c r="D665" s="27"/>
      <c r="E665" s="27"/>
      <c r="BE665" s="10" t="str">
        <f t="shared" si="100"/>
        <v/>
      </c>
      <c r="BF665" s="8" t="str">
        <f t="shared" si="101"/>
        <v/>
      </c>
      <c r="BG665" s="11" t="str">
        <f t="shared" si="102"/>
        <v/>
      </c>
      <c r="BH665" s="8" t="str">
        <f t="shared" si="103"/>
        <v/>
      </c>
      <c r="BI665" s="8" t="str">
        <f t="shared" si="104"/>
        <v/>
      </c>
      <c r="BJ665" s="9" t="str">
        <f t="shared" si="105"/>
        <v/>
      </c>
      <c r="BK665" s="9" t="str">
        <f>IF($B665="","",COUNTIFS($B$5:$B665,$B665,$BF$5:$BF665,$BF665))</f>
        <v/>
      </c>
      <c r="BL665" s="9" t="str">
        <f>IF($B665="","",COUNTIFS($B$5:$B665,$B665,$BH$5:$BH665,$BH665))</f>
        <v/>
      </c>
      <c r="BM665" s="9" t="str">
        <f t="shared" si="106"/>
        <v/>
      </c>
      <c r="BN665" s="9" t="str">
        <f t="shared" si="107"/>
        <v/>
      </c>
      <c r="BO665" s="9">
        <f t="shared" si="108"/>
        <v>0</v>
      </c>
      <c r="BR665" s="12" t="str">
        <f t="shared" si="109"/>
        <v/>
      </c>
    </row>
    <row r="666" spans="1:70" ht="14.25" customHeight="1">
      <c r="A666" s="26"/>
      <c r="C666" s="26"/>
      <c r="D666" s="27"/>
      <c r="E666" s="27"/>
      <c r="BE666" s="10" t="str">
        <f t="shared" si="100"/>
        <v/>
      </c>
      <c r="BF666" s="8" t="str">
        <f t="shared" si="101"/>
        <v/>
      </c>
      <c r="BG666" s="11" t="str">
        <f t="shared" si="102"/>
        <v/>
      </c>
      <c r="BH666" s="8" t="str">
        <f t="shared" si="103"/>
        <v/>
      </c>
      <c r="BI666" s="8" t="str">
        <f t="shared" si="104"/>
        <v/>
      </c>
      <c r="BJ666" s="9" t="str">
        <f t="shared" si="105"/>
        <v/>
      </c>
      <c r="BK666" s="9" t="str">
        <f>IF($B666="","",COUNTIFS($B$5:$B666,$B666,$BF$5:$BF666,$BF666))</f>
        <v/>
      </c>
      <c r="BL666" s="9" t="str">
        <f>IF($B666="","",COUNTIFS($B$5:$B666,$B666,$BH$5:$BH666,$BH666))</f>
        <v/>
      </c>
      <c r="BM666" s="9" t="str">
        <f t="shared" si="106"/>
        <v/>
      </c>
      <c r="BN666" s="9" t="str">
        <f t="shared" si="107"/>
        <v/>
      </c>
      <c r="BO666" s="9">
        <f t="shared" si="108"/>
        <v>0</v>
      </c>
      <c r="BR666" s="12" t="str">
        <f t="shared" si="109"/>
        <v/>
      </c>
    </row>
    <row r="667" spans="1:70" ht="14.25" customHeight="1">
      <c r="A667" s="26"/>
      <c r="C667" s="26"/>
      <c r="D667" s="27"/>
      <c r="E667" s="27"/>
      <c r="BE667" s="10" t="str">
        <f t="shared" si="100"/>
        <v/>
      </c>
      <c r="BF667" s="8" t="str">
        <f t="shared" si="101"/>
        <v/>
      </c>
      <c r="BG667" s="11" t="str">
        <f t="shared" si="102"/>
        <v/>
      </c>
      <c r="BH667" s="8" t="str">
        <f t="shared" si="103"/>
        <v/>
      </c>
      <c r="BI667" s="8" t="str">
        <f t="shared" si="104"/>
        <v/>
      </c>
      <c r="BJ667" s="9" t="str">
        <f t="shared" si="105"/>
        <v/>
      </c>
      <c r="BK667" s="9" t="str">
        <f>IF($B667="","",COUNTIFS($B$5:$B667,$B667,$BF$5:$BF667,$BF667))</f>
        <v/>
      </c>
      <c r="BL667" s="9" t="str">
        <f>IF($B667="","",COUNTIFS($B$5:$B667,$B667,$BH$5:$BH667,$BH667))</f>
        <v/>
      </c>
      <c r="BM667" s="9" t="str">
        <f t="shared" si="106"/>
        <v/>
      </c>
      <c r="BN667" s="9" t="str">
        <f t="shared" si="107"/>
        <v/>
      </c>
      <c r="BO667" s="9">
        <f t="shared" si="108"/>
        <v>0</v>
      </c>
      <c r="BR667" s="12" t="str">
        <f t="shared" si="109"/>
        <v/>
      </c>
    </row>
    <row r="668" spans="1:70" ht="14.25" customHeight="1">
      <c r="A668" s="26"/>
      <c r="C668" s="26"/>
      <c r="D668" s="27"/>
      <c r="E668" s="27"/>
      <c r="BE668" s="10" t="str">
        <f t="shared" si="100"/>
        <v/>
      </c>
      <c r="BF668" s="8" t="str">
        <f t="shared" si="101"/>
        <v/>
      </c>
      <c r="BG668" s="11" t="str">
        <f t="shared" si="102"/>
        <v/>
      </c>
      <c r="BH668" s="8" t="str">
        <f t="shared" si="103"/>
        <v/>
      </c>
      <c r="BI668" s="8" t="str">
        <f t="shared" si="104"/>
        <v/>
      </c>
      <c r="BJ668" s="9" t="str">
        <f t="shared" si="105"/>
        <v/>
      </c>
      <c r="BK668" s="9" t="str">
        <f>IF($B668="","",COUNTIFS($B$5:$B668,$B668,$BF$5:$BF668,$BF668))</f>
        <v/>
      </c>
      <c r="BL668" s="9" t="str">
        <f>IF($B668="","",COUNTIFS($B$5:$B668,$B668,$BH$5:$BH668,$BH668))</f>
        <v/>
      </c>
      <c r="BM668" s="9" t="str">
        <f t="shared" si="106"/>
        <v/>
      </c>
      <c r="BN668" s="9" t="str">
        <f t="shared" si="107"/>
        <v/>
      </c>
      <c r="BO668" s="9">
        <f t="shared" si="108"/>
        <v>0</v>
      </c>
      <c r="BR668" s="12" t="str">
        <f t="shared" si="109"/>
        <v/>
      </c>
    </row>
    <row r="669" spans="1:70" ht="14.25" customHeight="1">
      <c r="A669" s="26"/>
      <c r="C669" s="26"/>
      <c r="D669" s="27"/>
      <c r="E669" s="27"/>
      <c r="BE669" s="10" t="str">
        <f t="shared" ref="BE669:BE732" si="110">IF($B669="","",IF(COUNT($H669,$J669,$L669,$N669,$P669,$R669)&gt;0,SUM($H669,$J669,$L669,$N669,$P669,$R669),SUM($T669,$V669,$X669,$Z669,$AB669,$AD669,$AF669,$AH669,$AJ669,$AL669,$AN669,$AP669,$AR669,$AT669,$AV669,$AX669,$AZ669)))</f>
        <v/>
      </c>
      <c r="BF669" s="8" t="str">
        <f t="shared" ref="BF669:BF732" si="111">IF($C669="","",DATE(YEAR($C669),MONTH($C669),1))</f>
        <v/>
      </c>
      <c r="BG669" s="11" t="str">
        <f t="shared" ref="BG669:BG732" si="112">IF($BF669="","",TEXT($BF669,"mmmm yyyy"))</f>
        <v/>
      </c>
      <c r="BH669" s="8" t="str">
        <f t="shared" ref="BH669:BH732" si="113">IF($C669="","",$C669-WEEKDAY($C669,2)+1)</f>
        <v/>
      </c>
      <c r="BI669" s="8" t="str">
        <f t="shared" ref="BI669:BI732" si="114">IF($BH669="","",$BH669+6)</f>
        <v/>
      </c>
      <c r="BJ669" s="9" t="str">
        <f t="shared" ref="BJ669:BJ732" si="115">IF($BH669="","",TEXT($BH669,"dd/mm/yyyy")&amp;" - "&amp;TEXT($BI669,"dd/mm/yyyy"))</f>
        <v/>
      </c>
      <c r="BK669" s="9" t="str">
        <f>IF($B669="","",COUNTIFS($B$5:$B669,$B669,$BF$5:$BF669,$BF669))</f>
        <v/>
      </c>
      <c r="BL669" s="9" t="str">
        <f>IF($B669="","",COUNTIFS($B$5:$B669,$B669,$BH$5:$BH669,$BH669))</f>
        <v/>
      </c>
      <c r="BM669" s="9" t="str">
        <f t="shared" ref="BM669:BM732" si="116">IF($B669="","",TEXT($BK669,"00")&amp;"|"&amp;$B669&amp;"|"&amp;TEXT($BF669,"yyyymmdd"))</f>
        <v/>
      </c>
      <c r="BN669" s="9" t="str">
        <f t="shared" ref="BN669:BN732" si="117">IF($B669="","",TEXT($BL669,"00")&amp;"|"&amp;$B669&amp;"|"&amp;TEXT($BH669,"yyyymmdd"))</f>
        <v/>
      </c>
      <c r="BO669" s="9">
        <f t="shared" ref="BO669:BO732" si="118">IF(OR($BB669="YES",$BB669="Yes",$BB669="Y",$BB669=1),1,0)</f>
        <v>0</v>
      </c>
      <c r="BR669" s="12" t="str">
        <f t="shared" ref="BR669:BR732" si="119">IF($C669="","",IF($C669&gt;=DATE(2026,6,1),"QA-2026-06",IF($C669&gt;=DATE(2026,5,1),"May 2026+",IF($C669&gt;=DATE(2026,4,1),"April 2026",IF($C669&gt;=DATE(2026,3,1),"March 2026","Jan-Feb 2026")))))</f>
        <v/>
      </c>
    </row>
    <row r="670" spans="1:70" ht="14.25" customHeight="1">
      <c r="A670" s="26"/>
      <c r="C670" s="26"/>
      <c r="D670" s="27"/>
      <c r="E670" s="27"/>
      <c r="BE670" s="10" t="str">
        <f t="shared" si="110"/>
        <v/>
      </c>
      <c r="BF670" s="8" t="str">
        <f t="shared" si="111"/>
        <v/>
      </c>
      <c r="BG670" s="11" t="str">
        <f t="shared" si="112"/>
        <v/>
      </c>
      <c r="BH670" s="8" t="str">
        <f t="shared" si="113"/>
        <v/>
      </c>
      <c r="BI670" s="8" t="str">
        <f t="shared" si="114"/>
        <v/>
      </c>
      <c r="BJ670" s="9" t="str">
        <f t="shared" si="115"/>
        <v/>
      </c>
      <c r="BK670" s="9" t="str">
        <f>IF($B670="","",COUNTIFS($B$5:$B670,$B670,$BF$5:$BF670,$BF670))</f>
        <v/>
      </c>
      <c r="BL670" s="9" t="str">
        <f>IF($B670="","",COUNTIFS($B$5:$B670,$B670,$BH$5:$BH670,$BH670))</f>
        <v/>
      </c>
      <c r="BM670" s="9" t="str">
        <f t="shared" si="116"/>
        <v/>
      </c>
      <c r="BN670" s="9" t="str">
        <f t="shared" si="117"/>
        <v/>
      </c>
      <c r="BO670" s="9">
        <f t="shared" si="118"/>
        <v>0</v>
      </c>
      <c r="BR670" s="12" t="str">
        <f t="shared" si="119"/>
        <v/>
      </c>
    </row>
    <row r="671" spans="1:70" ht="14.25" customHeight="1">
      <c r="A671" s="26"/>
      <c r="C671" s="26"/>
      <c r="D671" s="27"/>
      <c r="E671" s="27"/>
      <c r="BE671" s="10" t="str">
        <f t="shared" si="110"/>
        <v/>
      </c>
      <c r="BF671" s="8" t="str">
        <f t="shared" si="111"/>
        <v/>
      </c>
      <c r="BG671" s="11" t="str">
        <f t="shared" si="112"/>
        <v/>
      </c>
      <c r="BH671" s="8" t="str">
        <f t="shared" si="113"/>
        <v/>
      </c>
      <c r="BI671" s="8" t="str">
        <f t="shared" si="114"/>
        <v/>
      </c>
      <c r="BJ671" s="9" t="str">
        <f t="shared" si="115"/>
        <v/>
      </c>
      <c r="BK671" s="9" t="str">
        <f>IF($B671="","",COUNTIFS($B$5:$B671,$B671,$BF$5:$BF671,$BF671))</f>
        <v/>
      </c>
      <c r="BL671" s="9" t="str">
        <f>IF($B671="","",COUNTIFS($B$5:$B671,$B671,$BH$5:$BH671,$BH671))</f>
        <v/>
      </c>
      <c r="BM671" s="9" t="str">
        <f t="shared" si="116"/>
        <v/>
      </c>
      <c r="BN671" s="9" t="str">
        <f t="shared" si="117"/>
        <v/>
      </c>
      <c r="BO671" s="9">
        <f t="shared" si="118"/>
        <v>0</v>
      </c>
      <c r="BR671" s="12" t="str">
        <f t="shared" si="119"/>
        <v/>
      </c>
    </row>
    <row r="672" spans="1:70" ht="14.25" customHeight="1">
      <c r="A672" s="26"/>
      <c r="C672" s="26"/>
      <c r="D672" s="27"/>
      <c r="E672" s="27"/>
      <c r="BE672" s="10" t="str">
        <f t="shared" si="110"/>
        <v/>
      </c>
      <c r="BF672" s="8" t="str">
        <f t="shared" si="111"/>
        <v/>
      </c>
      <c r="BG672" s="11" t="str">
        <f t="shared" si="112"/>
        <v/>
      </c>
      <c r="BH672" s="8" t="str">
        <f t="shared" si="113"/>
        <v/>
      </c>
      <c r="BI672" s="8" t="str">
        <f t="shared" si="114"/>
        <v/>
      </c>
      <c r="BJ672" s="9" t="str">
        <f t="shared" si="115"/>
        <v/>
      </c>
      <c r="BK672" s="9" t="str">
        <f>IF($B672="","",COUNTIFS($B$5:$B672,$B672,$BF$5:$BF672,$BF672))</f>
        <v/>
      </c>
      <c r="BL672" s="9" t="str">
        <f>IF($B672="","",COUNTIFS($B$5:$B672,$B672,$BH$5:$BH672,$BH672))</f>
        <v/>
      </c>
      <c r="BM672" s="9" t="str">
        <f t="shared" si="116"/>
        <v/>
      </c>
      <c r="BN672" s="9" t="str">
        <f t="shared" si="117"/>
        <v/>
      </c>
      <c r="BO672" s="9">
        <f t="shared" si="118"/>
        <v>0</v>
      </c>
      <c r="BR672" s="12" t="str">
        <f t="shared" si="119"/>
        <v/>
      </c>
    </row>
    <row r="673" spans="1:70" ht="14.25" customHeight="1">
      <c r="A673" s="26"/>
      <c r="C673" s="26"/>
      <c r="D673" s="27"/>
      <c r="E673" s="27"/>
      <c r="BE673" s="10" t="str">
        <f t="shared" si="110"/>
        <v/>
      </c>
      <c r="BF673" s="8" t="str">
        <f t="shared" si="111"/>
        <v/>
      </c>
      <c r="BG673" s="11" t="str">
        <f t="shared" si="112"/>
        <v/>
      </c>
      <c r="BH673" s="8" t="str">
        <f t="shared" si="113"/>
        <v/>
      </c>
      <c r="BI673" s="8" t="str">
        <f t="shared" si="114"/>
        <v/>
      </c>
      <c r="BJ673" s="9" t="str">
        <f t="shared" si="115"/>
        <v/>
      </c>
      <c r="BK673" s="9" t="str">
        <f>IF($B673="","",COUNTIFS($B$5:$B673,$B673,$BF$5:$BF673,$BF673))</f>
        <v/>
      </c>
      <c r="BL673" s="9" t="str">
        <f>IF($B673="","",COUNTIFS($B$5:$B673,$B673,$BH$5:$BH673,$BH673))</f>
        <v/>
      </c>
      <c r="BM673" s="9" t="str">
        <f t="shared" si="116"/>
        <v/>
      </c>
      <c r="BN673" s="9" t="str">
        <f t="shared" si="117"/>
        <v/>
      </c>
      <c r="BO673" s="9">
        <f t="shared" si="118"/>
        <v>0</v>
      </c>
      <c r="BR673" s="12" t="str">
        <f t="shared" si="119"/>
        <v/>
      </c>
    </row>
    <row r="674" spans="1:70" ht="14.25" customHeight="1">
      <c r="A674" s="26"/>
      <c r="C674" s="26"/>
      <c r="D674" s="27"/>
      <c r="E674" s="27"/>
      <c r="BE674" s="10" t="str">
        <f t="shared" si="110"/>
        <v/>
      </c>
      <c r="BF674" s="8" t="str">
        <f t="shared" si="111"/>
        <v/>
      </c>
      <c r="BG674" s="11" t="str">
        <f t="shared" si="112"/>
        <v/>
      </c>
      <c r="BH674" s="8" t="str">
        <f t="shared" si="113"/>
        <v/>
      </c>
      <c r="BI674" s="8" t="str">
        <f t="shared" si="114"/>
        <v/>
      </c>
      <c r="BJ674" s="9" t="str">
        <f t="shared" si="115"/>
        <v/>
      </c>
      <c r="BK674" s="9" t="str">
        <f>IF($B674="","",COUNTIFS($B$5:$B674,$B674,$BF$5:$BF674,$BF674))</f>
        <v/>
      </c>
      <c r="BL674" s="9" t="str">
        <f>IF($B674="","",COUNTIFS($B$5:$B674,$B674,$BH$5:$BH674,$BH674))</f>
        <v/>
      </c>
      <c r="BM674" s="9" t="str">
        <f t="shared" si="116"/>
        <v/>
      </c>
      <c r="BN674" s="9" t="str">
        <f t="shared" si="117"/>
        <v/>
      </c>
      <c r="BO674" s="9">
        <f t="shared" si="118"/>
        <v>0</v>
      </c>
      <c r="BR674" s="12" t="str">
        <f t="shared" si="119"/>
        <v/>
      </c>
    </row>
    <row r="675" spans="1:70" ht="14.25" customHeight="1">
      <c r="A675" s="26"/>
      <c r="C675" s="26"/>
      <c r="D675" s="27"/>
      <c r="E675" s="27"/>
      <c r="BE675" s="10" t="str">
        <f t="shared" si="110"/>
        <v/>
      </c>
      <c r="BF675" s="8" t="str">
        <f t="shared" si="111"/>
        <v/>
      </c>
      <c r="BG675" s="11" t="str">
        <f t="shared" si="112"/>
        <v/>
      </c>
      <c r="BH675" s="8" t="str">
        <f t="shared" si="113"/>
        <v/>
      </c>
      <c r="BI675" s="8" t="str">
        <f t="shared" si="114"/>
        <v/>
      </c>
      <c r="BJ675" s="9" t="str">
        <f t="shared" si="115"/>
        <v/>
      </c>
      <c r="BK675" s="9" t="str">
        <f>IF($B675="","",COUNTIFS($B$5:$B675,$B675,$BF$5:$BF675,$BF675))</f>
        <v/>
      </c>
      <c r="BL675" s="9" t="str">
        <f>IF($B675="","",COUNTIFS($B$5:$B675,$B675,$BH$5:$BH675,$BH675))</f>
        <v/>
      </c>
      <c r="BM675" s="9" t="str">
        <f t="shared" si="116"/>
        <v/>
      </c>
      <c r="BN675" s="9" t="str">
        <f t="shared" si="117"/>
        <v/>
      </c>
      <c r="BO675" s="9">
        <f t="shared" si="118"/>
        <v>0</v>
      </c>
      <c r="BR675" s="12" t="str">
        <f t="shared" si="119"/>
        <v/>
      </c>
    </row>
    <row r="676" spans="1:70" ht="14.25" customHeight="1">
      <c r="A676" s="26"/>
      <c r="C676" s="26"/>
      <c r="D676" s="27"/>
      <c r="E676" s="27"/>
      <c r="BE676" s="10" t="str">
        <f t="shared" si="110"/>
        <v/>
      </c>
      <c r="BF676" s="8" t="str">
        <f t="shared" si="111"/>
        <v/>
      </c>
      <c r="BG676" s="11" t="str">
        <f t="shared" si="112"/>
        <v/>
      </c>
      <c r="BH676" s="8" t="str">
        <f t="shared" si="113"/>
        <v/>
      </c>
      <c r="BI676" s="8" t="str">
        <f t="shared" si="114"/>
        <v/>
      </c>
      <c r="BJ676" s="9" t="str">
        <f t="shared" si="115"/>
        <v/>
      </c>
      <c r="BK676" s="9" t="str">
        <f>IF($B676="","",COUNTIFS($B$5:$B676,$B676,$BF$5:$BF676,$BF676))</f>
        <v/>
      </c>
      <c r="BL676" s="9" t="str">
        <f>IF($B676="","",COUNTIFS($B$5:$B676,$B676,$BH$5:$BH676,$BH676))</f>
        <v/>
      </c>
      <c r="BM676" s="9" t="str">
        <f t="shared" si="116"/>
        <v/>
      </c>
      <c r="BN676" s="9" t="str">
        <f t="shared" si="117"/>
        <v/>
      </c>
      <c r="BO676" s="9">
        <f t="shared" si="118"/>
        <v>0</v>
      </c>
      <c r="BR676" s="12" t="str">
        <f t="shared" si="119"/>
        <v/>
      </c>
    </row>
    <row r="677" spans="1:70" ht="14.25" customHeight="1">
      <c r="A677" s="26"/>
      <c r="C677" s="26"/>
      <c r="D677" s="27"/>
      <c r="E677" s="27"/>
      <c r="BE677" s="10" t="str">
        <f t="shared" si="110"/>
        <v/>
      </c>
      <c r="BF677" s="8" t="str">
        <f t="shared" si="111"/>
        <v/>
      </c>
      <c r="BG677" s="11" t="str">
        <f t="shared" si="112"/>
        <v/>
      </c>
      <c r="BH677" s="8" t="str">
        <f t="shared" si="113"/>
        <v/>
      </c>
      <c r="BI677" s="8" t="str">
        <f t="shared" si="114"/>
        <v/>
      </c>
      <c r="BJ677" s="9" t="str">
        <f t="shared" si="115"/>
        <v/>
      </c>
      <c r="BK677" s="9" t="str">
        <f>IF($B677="","",COUNTIFS($B$5:$B677,$B677,$BF$5:$BF677,$BF677))</f>
        <v/>
      </c>
      <c r="BL677" s="9" t="str">
        <f>IF($B677="","",COUNTIFS($B$5:$B677,$B677,$BH$5:$BH677,$BH677))</f>
        <v/>
      </c>
      <c r="BM677" s="9" t="str">
        <f t="shared" si="116"/>
        <v/>
      </c>
      <c r="BN677" s="9" t="str">
        <f t="shared" si="117"/>
        <v/>
      </c>
      <c r="BO677" s="9">
        <f t="shared" si="118"/>
        <v>0</v>
      </c>
      <c r="BR677" s="12" t="str">
        <f t="shared" si="119"/>
        <v/>
      </c>
    </row>
    <row r="678" spans="1:70" ht="14.25" customHeight="1">
      <c r="A678" s="26"/>
      <c r="C678" s="26"/>
      <c r="D678" s="27"/>
      <c r="E678" s="27"/>
      <c r="BE678" s="10" t="str">
        <f t="shared" si="110"/>
        <v/>
      </c>
      <c r="BF678" s="8" t="str">
        <f t="shared" si="111"/>
        <v/>
      </c>
      <c r="BG678" s="11" t="str">
        <f t="shared" si="112"/>
        <v/>
      </c>
      <c r="BH678" s="8" t="str">
        <f t="shared" si="113"/>
        <v/>
      </c>
      <c r="BI678" s="8" t="str">
        <f t="shared" si="114"/>
        <v/>
      </c>
      <c r="BJ678" s="9" t="str">
        <f t="shared" si="115"/>
        <v/>
      </c>
      <c r="BK678" s="9" t="str">
        <f>IF($B678="","",COUNTIFS($B$5:$B678,$B678,$BF$5:$BF678,$BF678))</f>
        <v/>
      </c>
      <c r="BL678" s="9" t="str">
        <f>IF($B678="","",COUNTIFS($B$5:$B678,$B678,$BH$5:$BH678,$BH678))</f>
        <v/>
      </c>
      <c r="BM678" s="9" t="str">
        <f t="shared" si="116"/>
        <v/>
      </c>
      <c r="BN678" s="9" t="str">
        <f t="shared" si="117"/>
        <v/>
      </c>
      <c r="BO678" s="9">
        <f t="shared" si="118"/>
        <v>0</v>
      </c>
      <c r="BR678" s="12" t="str">
        <f t="shared" si="119"/>
        <v/>
      </c>
    </row>
    <row r="679" spans="1:70" ht="14.25" customHeight="1">
      <c r="A679" s="26"/>
      <c r="C679" s="26"/>
      <c r="D679" s="27"/>
      <c r="E679" s="27"/>
      <c r="BE679" s="10" t="str">
        <f t="shared" si="110"/>
        <v/>
      </c>
      <c r="BF679" s="8" t="str">
        <f t="shared" si="111"/>
        <v/>
      </c>
      <c r="BG679" s="11" t="str">
        <f t="shared" si="112"/>
        <v/>
      </c>
      <c r="BH679" s="8" t="str">
        <f t="shared" si="113"/>
        <v/>
      </c>
      <c r="BI679" s="8" t="str">
        <f t="shared" si="114"/>
        <v/>
      </c>
      <c r="BJ679" s="9" t="str">
        <f t="shared" si="115"/>
        <v/>
      </c>
      <c r="BK679" s="9" t="str">
        <f>IF($B679="","",COUNTIFS($B$5:$B679,$B679,$BF$5:$BF679,$BF679))</f>
        <v/>
      </c>
      <c r="BL679" s="9" t="str">
        <f>IF($B679="","",COUNTIFS($B$5:$B679,$B679,$BH$5:$BH679,$BH679))</f>
        <v/>
      </c>
      <c r="BM679" s="9" t="str">
        <f t="shared" si="116"/>
        <v/>
      </c>
      <c r="BN679" s="9" t="str">
        <f t="shared" si="117"/>
        <v/>
      </c>
      <c r="BO679" s="9">
        <f t="shared" si="118"/>
        <v>0</v>
      </c>
      <c r="BR679" s="12" t="str">
        <f t="shared" si="119"/>
        <v/>
      </c>
    </row>
    <row r="680" spans="1:70" ht="14.25" customHeight="1">
      <c r="A680" s="26"/>
      <c r="C680" s="26"/>
      <c r="D680" s="27"/>
      <c r="E680" s="27"/>
      <c r="BE680" s="10" t="str">
        <f t="shared" si="110"/>
        <v/>
      </c>
      <c r="BF680" s="8" t="str">
        <f t="shared" si="111"/>
        <v/>
      </c>
      <c r="BG680" s="11" t="str">
        <f t="shared" si="112"/>
        <v/>
      </c>
      <c r="BH680" s="8" t="str">
        <f t="shared" si="113"/>
        <v/>
      </c>
      <c r="BI680" s="8" t="str">
        <f t="shared" si="114"/>
        <v/>
      </c>
      <c r="BJ680" s="9" t="str">
        <f t="shared" si="115"/>
        <v/>
      </c>
      <c r="BK680" s="9" t="str">
        <f>IF($B680="","",COUNTIFS($B$5:$B680,$B680,$BF$5:$BF680,$BF680))</f>
        <v/>
      </c>
      <c r="BL680" s="9" t="str">
        <f>IF($B680="","",COUNTIFS($B$5:$B680,$B680,$BH$5:$BH680,$BH680))</f>
        <v/>
      </c>
      <c r="BM680" s="9" t="str">
        <f t="shared" si="116"/>
        <v/>
      </c>
      <c r="BN680" s="9" t="str">
        <f t="shared" si="117"/>
        <v/>
      </c>
      <c r="BO680" s="9">
        <f t="shared" si="118"/>
        <v>0</v>
      </c>
      <c r="BR680" s="12" t="str">
        <f t="shared" si="119"/>
        <v/>
      </c>
    </row>
    <row r="681" spans="1:70" ht="14.25" customHeight="1">
      <c r="A681" s="26"/>
      <c r="C681" s="26"/>
      <c r="D681" s="27"/>
      <c r="E681" s="27"/>
      <c r="BE681" s="10" t="str">
        <f t="shared" si="110"/>
        <v/>
      </c>
      <c r="BF681" s="8" t="str">
        <f t="shared" si="111"/>
        <v/>
      </c>
      <c r="BG681" s="11" t="str">
        <f t="shared" si="112"/>
        <v/>
      </c>
      <c r="BH681" s="8" t="str">
        <f t="shared" si="113"/>
        <v/>
      </c>
      <c r="BI681" s="8" t="str">
        <f t="shared" si="114"/>
        <v/>
      </c>
      <c r="BJ681" s="9" t="str">
        <f t="shared" si="115"/>
        <v/>
      </c>
      <c r="BK681" s="9" t="str">
        <f>IF($B681="","",COUNTIFS($B$5:$B681,$B681,$BF$5:$BF681,$BF681))</f>
        <v/>
      </c>
      <c r="BL681" s="9" t="str">
        <f>IF($B681="","",COUNTIFS($B$5:$B681,$B681,$BH$5:$BH681,$BH681))</f>
        <v/>
      </c>
      <c r="BM681" s="9" t="str">
        <f t="shared" si="116"/>
        <v/>
      </c>
      <c r="BN681" s="9" t="str">
        <f t="shared" si="117"/>
        <v/>
      </c>
      <c r="BO681" s="9">
        <f t="shared" si="118"/>
        <v>0</v>
      </c>
      <c r="BR681" s="12" t="str">
        <f t="shared" si="119"/>
        <v/>
      </c>
    </row>
    <row r="682" spans="1:70" ht="14.25" customHeight="1">
      <c r="A682" s="26"/>
      <c r="C682" s="26"/>
      <c r="D682" s="27"/>
      <c r="E682" s="27"/>
      <c r="BE682" s="10" t="str">
        <f t="shared" si="110"/>
        <v/>
      </c>
      <c r="BF682" s="8" t="str">
        <f t="shared" si="111"/>
        <v/>
      </c>
      <c r="BG682" s="11" t="str">
        <f t="shared" si="112"/>
        <v/>
      </c>
      <c r="BH682" s="8" t="str">
        <f t="shared" si="113"/>
        <v/>
      </c>
      <c r="BI682" s="8" t="str">
        <f t="shared" si="114"/>
        <v/>
      </c>
      <c r="BJ682" s="9" t="str">
        <f t="shared" si="115"/>
        <v/>
      </c>
      <c r="BK682" s="9" t="str">
        <f>IF($B682="","",COUNTIFS($B$5:$B682,$B682,$BF$5:$BF682,$BF682))</f>
        <v/>
      </c>
      <c r="BL682" s="9" t="str">
        <f>IF($B682="","",COUNTIFS($B$5:$B682,$B682,$BH$5:$BH682,$BH682))</f>
        <v/>
      </c>
      <c r="BM682" s="9" t="str">
        <f t="shared" si="116"/>
        <v/>
      </c>
      <c r="BN682" s="9" t="str">
        <f t="shared" si="117"/>
        <v/>
      </c>
      <c r="BO682" s="9">
        <f t="shared" si="118"/>
        <v>0</v>
      </c>
      <c r="BR682" s="12" t="str">
        <f t="shared" si="119"/>
        <v/>
      </c>
    </row>
    <row r="683" spans="1:70" ht="14.25" customHeight="1">
      <c r="A683" s="26"/>
      <c r="C683" s="26"/>
      <c r="D683" s="27"/>
      <c r="E683" s="27"/>
      <c r="BE683" s="10" t="str">
        <f t="shared" si="110"/>
        <v/>
      </c>
      <c r="BF683" s="8" t="str">
        <f t="shared" si="111"/>
        <v/>
      </c>
      <c r="BG683" s="11" t="str">
        <f t="shared" si="112"/>
        <v/>
      </c>
      <c r="BH683" s="8" t="str">
        <f t="shared" si="113"/>
        <v/>
      </c>
      <c r="BI683" s="8" t="str">
        <f t="shared" si="114"/>
        <v/>
      </c>
      <c r="BJ683" s="9" t="str">
        <f t="shared" si="115"/>
        <v/>
      </c>
      <c r="BK683" s="9" t="str">
        <f>IF($B683="","",COUNTIFS($B$5:$B683,$B683,$BF$5:$BF683,$BF683))</f>
        <v/>
      </c>
      <c r="BL683" s="9" t="str">
        <f>IF($B683="","",COUNTIFS($B$5:$B683,$B683,$BH$5:$BH683,$BH683))</f>
        <v/>
      </c>
      <c r="BM683" s="9" t="str">
        <f t="shared" si="116"/>
        <v/>
      </c>
      <c r="BN683" s="9" t="str">
        <f t="shared" si="117"/>
        <v/>
      </c>
      <c r="BO683" s="9">
        <f t="shared" si="118"/>
        <v>0</v>
      </c>
      <c r="BR683" s="12" t="str">
        <f t="shared" si="119"/>
        <v/>
      </c>
    </row>
    <row r="684" spans="1:70" ht="14.25" customHeight="1">
      <c r="A684" s="26"/>
      <c r="C684" s="26"/>
      <c r="D684" s="27"/>
      <c r="E684" s="27"/>
      <c r="BE684" s="10" t="str">
        <f t="shared" si="110"/>
        <v/>
      </c>
      <c r="BF684" s="8" t="str">
        <f t="shared" si="111"/>
        <v/>
      </c>
      <c r="BG684" s="11" t="str">
        <f t="shared" si="112"/>
        <v/>
      </c>
      <c r="BH684" s="8" t="str">
        <f t="shared" si="113"/>
        <v/>
      </c>
      <c r="BI684" s="8" t="str">
        <f t="shared" si="114"/>
        <v/>
      </c>
      <c r="BJ684" s="9" t="str">
        <f t="shared" si="115"/>
        <v/>
      </c>
      <c r="BK684" s="9" t="str">
        <f>IF($B684="","",COUNTIFS($B$5:$B684,$B684,$BF$5:$BF684,$BF684))</f>
        <v/>
      </c>
      <c r="BL684" s="9" t="str">
        <f>IF($B684="","",COUNTIFS($B$5:$B684,$B684,$BH$5:$BH684,$BH684))</f>
        <v/>
      </c>
      <c r="BM684" s="9" t="str">
        <f t="shared" si="116"/>
        <v/>
      </c>
      <c r="BN684" s="9" t="str">
        <f t="shared" si="117"/>
        <v/>
      </c>
      <c r="BO684" s="9">
        <f t="shared" si="118"/>
        <v>0</v>
      </c>
      <c r="BR684" s="12" t="str">
        <f t="shared" si="119"/>
        <v/>
      </c>
    </row>
    <row r="685" spans="1:70" ht="14.25" customHeight="1">
      <c r="A685" s="26"/>
      <c r="C685" s="26"/>
      <c r="D685" s="27"/>
      <c r="E685" s="27"/>
      <c r="BE685" s="10" t="str">
        <f t="shared" si="110"/>
        <v/>
      </c>
      <c r="BF685" s="8" t="str">
        <f t="shared" si="111"/>
        <v/>
      </c>
      <c r="BG685" s="11" t="str">
        <f t="shared" si="112"/>
        <v/>
      </c>
      <c r="BH685" s="8" t="str">
        <f t="shared" si="113"/>
        <v/>
      </c>
      <c r="BI685" s="8" t="str">
        <f t="shared" si="114"/>
        <v/>
      </c>
      <c r="BJ685" s="9" t="str">
        <f t="shared" si="115"/>
        <v/>
      </c>
      <c r="BK685" s="9" t="str">
        <f>IF($B685="","",COUNTIFS($B$5:$B685,$B685,$BF$5:$BF685,$BF685))</f>
        <v/>
      </c>
      <c r="BL685" s="9" t="str">
        <f>IF($B685="","",COUNTIFS($B$5:$B685,$B685,$BH$5:$BH685,$BH685))</f>
        <v/>
      </c>
      <c r="BM685" s="9" t="str">
        <f t="shared" si="116"/>
        <v/>
      </c>
      <c r="BN685" s="9" t="str">
        <f t="shared" si="117"/>
        <v/>
      </c>
      <c r="BO685" s="9">
        <f t="shared" si="118"/>
        <v>0</v>
      </c>
      <c r="BR685" s="12" t="str">
        <f t="shared" si="119"/>
        <v/>
      </c>
    </row>
    <row r="686" spans="1:70" ht="14.25" customHeight="1">
      <c r="A686" s="26"/>
      <c r="C686" s="26"/>
      <c r="D686" s="27"/>
      <c r="E686" s="27"/>
      <c r="BE686" s="10" t="str">
        <f t="shared" si="110"/>
        <v/>
      </c>
      <c r="BF686" s="8" t="str">
        <f t="shared" si="111"/>
        <v/>
      </c>
      <c r="BG686" s="11" t="str">
        <f t="shared" si="112"/>
        <v/>
      </c>
      <c r="BH686" s="8" t="str">
        <f t="shared" si="113"/>
        <v/>
      </c>
      <c r="BI686" s="8" t="str">
        <f t="shared" si="114"/>
        <v/>
      </c>
      <c r="BJ686" s="9" t="str">
        <f t="shared" si="115"/>
        <v/>
      </c>
      <c r="BK686" s="9" t="str">
        <f>IF($B686="","",COUNTIFS($B$5:$B686,$B686,$BF$5:$BF686,$BF686))</f>
        <v/>
      </c>
      <c r="BL686" s="9" t="str">
        <f>IF($B686="","",COUNTIFS($B$5:$B686,$B686,$BH$5:$BH686,$BH686))</f>
        <v/>
      </c>
      <c r="BM686" s="9" t="str">
        <f t="shared" si="116"/>
        <v/>
      </c>
      <c r="BN686" s="9" t="str">
        <f t="shared" si="117"/>
        <v/>
      </c>
      <c r="BO686" s="9">
        <f t="shared" si="118"/>
        <v>0</v>
      </c>
      <c r="BR686" s="12" t="str">
        <f t="shared" si="119"/>
        <v/>
      </c>
    </row>
    <row r="687" spans="1:70" ht="14.25" customHeight="1">
      <c r="A687" s="26"/>
      <c r="C687" s="26"/>
      <c r="D687" s="27"/>
      <c r="E687" s="27"/>
      <c r="BE687" s="10" t="str">
        <f t="shared" si="110"/>
        <v/>
      </c>
      <c r="BF687" s="8" t="str">
        <f t="shared" si="111"/>
        <v/>
      </c>
      <c r="BG687" s="11" t="str">
        <f t="shared" si="112"/>
        <v/>
      </c>
      <c r="BH687" s="8" t="str">
        <f t="shared" si="113"/>
        <v/>
      </c>
      <c r="BI687" s="8" t="str">
        <f t="shared" si="114"/>
        <v/>
      </c>
      <c r="BJ687" s="9" t="str">
        <f t="shared" si="115"/>
        <v/>
      </c>
      <c r="BK687" s="9" t="str">
        <f>IF($B687="","",COUNTIFS($B$5:$B687,$B687,$BF$5:$BF687,$BF687))</f>
        <v/>
      </c>
      <c r="BL687" s="9" t="str">
        <f>IF($B687="","",COUNTIFS($B$5:$B687,$B687,$BH$5:$BH687,$BH687))</f>
        <v/>
      </c>
      <c r="BM687" s="9" t="str">
        <f t="shared" si="116"/>
        <v/>
      </c>
      <c r="BN687" s="9" t="str">
        <f t="shared" si="117"/>
        <v/>
      </c>
      <c r="BO687" s="9">
        <f t="shared" si="118"/>
        <v>0</v>
      </c>
      <c r="BR687" s="12" t="str">
        <f t="shared" si="119"/>
        <v/>
      </c>
    </row>
    <row r="688" spans="1:70" ht="14.25" customHeight="1">
      <c r="A688" s="26"/>
      <c r="C688" s="26"/>
      <c r="D688" s="27"/>
      <c r="E688" s="27"/>
      <c r="BE688" s="10" t="str">
        <f t="shared" si="110"/>
        <v/>
      </c>
      <c r="BF688" s="8" t="str">
        <f t="shared" si="111"/>
        <v/>
      </c>
      <c r="BG688" s="11" t="str">
        <f t="shared" si="112"/>
        <v/>
      </c>
      <c r="BH688" s="8" t="str">
        <f t="shared" si="113"/>
        <v/>
      </c>
      <c r="BI688" s="8" t="str">
        <f t="shared" si="114"/>
        <v/>
      </c>
      <c r="BJ688" s="9" t="str">
        <f t="shared" si="115"/>
        <v/>
      </c>
      <c r="BK688" s="9" t="str">
        <f>IF($B688="","",COUNTIFS($B$5:$B688,$B688,$BF$5:$BF688,$BF688))</f>
        <v/>
      </c>
      <c r="BL688" s="9" t="str">
        <f>IF($B688="","",COUNTIFS($B$5:$B688,$B688,$BH$5:$BH688,$BH688))</f>
        <v/>
      </c>
      <c r="BM688" s="9" t="str">
        <f t="shared" si="116"/>
        <v/>
      </c>
      <c r="BN688" s="9" t="str">
        <f t="shared" si="117"/>
        <v/>
      </c>
      <c r="BO688" s="9">
        <f t="shared" si="118"/>
        <v>0</v>
      </c>
      <c r="BR688" s="12" t="str">
        <f t="shared" si="119"/>
        <v/>
      </c>
    </row>
    <row r="689" spans="1:70" ht="14.25" customHeight="1">
      <c r="A689" s="26"/>
      <c r="C689" s="26"/>
      <c r="D689" s="27"/>
      <c r="E689" s="27"/>
      <c r="BE689" s="10" t="str">
        <f t="shared" si="110"/>
        <v/>
      </c>
      <c r="BF689" s="8" t="str">
        <f t="shared" si="111"/>
        <v/>
      </c>
      <c r="BG689" s="11" t="str">
        <f t="shared" si="112"/>
        <v/>
      </c>
      <c r="BH689" s="8" t="str">
        <f t="shared" si="113"/>
        <v/>
      </c>
      <c r="BI689" s="8" t="str">
        <f t="shared" si="114"/>
        <v/>
      </c>
      <c r="BJ689" s="9" t="str">
        <f t="shared" si="115"/>
        <v/>
      </c>
      <c r="BK689" s="9" t="str">
        <f>IF($B689="","",COUNTIFS($B$5:$B689,$B689,$BF$5:$BF689,$BF689))</f>
        <v/>
      </c>
      <c r="BL689" s="9" t="str">
        <f>IF($B689="","",COUNTIFS($B$5:$B689,$B689,$BH$5:$BH689,$BH689))</f>
        <v/>
      </c>
      <c r="BM689" s="9" t="str">
        <f t="shared" si="116"/>
        <v/>
      </c>
      <c r="BN689" s="9" t="str">
        <f t="shared" si="117"/>
        <v/>
      </c>
      <c r="BO689" s="9">
        <f t="shared" si="118"/>
        <v>0</v>
      </c>
      <c r="BR689" s="12" t="str">
        <f t="shared" si="119"/>
        <v/>
      </c>
    </row>
    <row r="690" spans="1:70" ht="14.25" customHeight="1">
      <c r="A690" s="26"/>
      <c r="C690" s="26"/>
      <c r="D690" s="27"/>
      <c r="E690" s="27"/>
      <c r="BE690" s="10" t="str">
        <f t="shared" si="110"/>
        <v/>
      </c>
      <c r="BF690" s="8" t="str">
        <f t="shared" si="111"/>
        <v/>
      </c>
      <c r="BG690" s="11" t="str">
        <f t="shared" si="112"/>
        <v/>
      </c>
      <c r="BH690" s="8" t="str">
        <f t="shared" si="113"/>
        <v/>
      </c>
      <c r="BI690" s="8" t="str">
        <f t="shared" si="114"/>
        <v/>
      </c>
      <c r="BJ690" s="9" t="str">
        <f t="shared" si="115"/>
        <v/>
      </c>
      <c r="BK690" s="9" t="str">
        <f>IF($B690="","",COUNTIFS($B$5:$B690,$B690,$BF$5:$BF690,$BF690))</f>
        <v/>
      </c>
      <c r="BL690" s="9" t="str">
        <f>IF($B690="","",COUNTIFS($B$5:$B690,$B690,$BH$5:$BH690,$BH690))</f>
        <v/>
      </c>
      <c r="BM690" s="9" t="str">
        <f t="shared" si="116"/>
        <v/>
      </c>
      <c r="BN690" s="9" t="str">
        <f t="shared" si="117"/>
        <v/>
      </c>
      <c r="BO690" s="9">
        <f t="shared" si="118"/>
        <v>0</v>
      </c>
      <c r="BR690" s="12" t="str">
        <f t="shared" si="119"/>
        <v/>
      </c>
    </row>
    <row r="691" spans="1:70" ht="14.25" customHeight="1">
      <c r="A691" s="26"/>
      <c r="C691" s="26"/>
      <c r="D691" s="27"/>
      <c r="E691" s="27"/>
      <c r="BE691" s="10" t="str">
        <f t="shared" si="110"/>
        <v/>
      </c>
      <c r="BF691" s="8" t="str">
        <f t="shared" si="111"/>
        <v/>
      </c>
      <c r="BG691" s="11" t="str">
        <f t="shared" si="112"/>
        <v/>
      </c>
      <c r="BH691" s="8" t="str">
        <f t="shared" si="113"/>
        <v/>
      </c>
      <c r="BI691" s="8" t="str">
        <f t="shared" si="114"/>
        <v/>
      </c>
      <c r="BJ691" s="9" t="str">
        <f t="shared" si="115"/>
        <v/>
      </c>
      <c r="BK691" s="9" t="str">
        <f>IF($B691="","",COUNTIFS($B$5:$B691,$B691,$BF$5:$BF691,$BF691))</f>
        <v/>
      </c>
      <c r="BL691" s="9" t="str">
        <f>IF($B691="","",COUNTIFS($B$5:$B691,$B691,$BH$5:$BH691,$BH691))</f>
        <v/>
      </c>
      <c r="BM691" s="9" t="str">
        <f t="shared" si="116"/>
        <v/>
      </c>
      <c r="BN691" s="9" t="str">
        <f t="shared" si="117"/>
        <v/>
      </c>
      <c r="BO691" s="9">
        <f t="shared" si="118"/>
        <v>0</v>
      </c>
      <c r="BR691" s="12" t="str">
        <f t="shared" si="119"/>
        <v/>
      </c>
    </row>
    <row r="692" spans="1:70" ht="14.25" customHeight="1">
      <c r="A692" s="26"/>
      <c r="C692" s="26"/>
      <c r="D692" s="27"/>
      <c r="E692" s="27"/>
      <c r="BE692" s="10" t="str">
        <f t="shared" si="110"/>
        <v/>
      </c>
      <c r="BF692" s="8" t="str">
        <f t="shared" si="111"/>
        <v/>
      </c>
      <c r="BG692" s="11" t="str">
        <f t="shared" si="112"/>
        <v/>
      </c>
      <c r="BH692" s="8" t="str">
        <f t="shared" si="113"/>
        <v/>
      </c>
      <c r="BI692" s="8" t="str">
        <f t="shared" si="114"/>
        <v/>
      </c>
      <c r="BJ692" s="9" t="str">
        <f t="shared" si="115"/>
        <v/>
      </c>
      <c r="BK692" s="9" t="str">
        <f>IF($B692="","",COUNTIFS($B$5:$B692,$B692,$BF$5:$BF692,$BF692))</f>
        <v/>
      </c>
      <c r="BL692" s="9" t="str">
        <f>IF($B692="","",COUNTIFS($B$5:$B692,$B692,$BH$5:$BH692,$BH692))</f>
        <v/>
      </c>
      <c r="BM692" s="9" t="str">
        <f t="shared" si="116"/>
        <v/>
      </c>
      <c r="BN692" s="9" t="str">
        <f t="shared" si="117"/>
        <v/>
      </c>
      <c r="BO692" s="9">
        <f t="shared" si="118"/>
        <v>0</v>
      </c>
      <c r="BR692" s="12" t="str">
        <f t="shared" si="119"/>
        <v/>
      </c>
    </row>
    <row r="693" spans="1:70" ht="14.25" customHeight="1">
      <c r="A693" s="26"/>
      <c r="C693" s="26"/>
      <c r="D693" s="27"/>
      <c r="E693" s="27"/>
      <c r="BE693" s="10" t="str">
        <f t="shared" si="110"/>
        <v/>
      </c>
      <c r="BF693" s="8" t="str">
        <f t="shared" si="111"/>
        <v/>
      </c>
      <c r="BG693" s="11" t="str">
        <f t="shared" si="112"/>
        <v/>
      </c>
      <c r="BH693" s="8" t="str">
        <f t="shared" si="113"/>
        <v/>
      </c>
      <c r="BI693" s="8" t="str">
        <f t="shared" si="114"/>
        <v/>
      </c>
      <c r="BJ693" s="9" t="str">
        <f t="shared" si="115"/>
        <v/>
      </c>
      <c r="BK693" s="9" t="str">
        <f>IF($B693="","",COUNTIFS($B$5:$B693,$B693,$BF$5:$BF693,$BF693))</f>
        <v/>
      </c>
      <c r="BL693" s="9" t="str">
        <f>IF($B693="","",COUNTIFS($B$5:$B693,$B693,$BH$5:$BH693,$BH693))</f>
        <v/>
      </c>
      <c r="BM693" s="9" t="str">
        <f t="shared" si="116"/>
        <v/>
      </c>
      <c r="BN693" s="9" t="str">
        <f t="shared" si="117"/>
        <v/>
      </c>
      <c r="BO693" s="9">
        <f t="shared" si="118"/>
        <v>0</v>
      </c>
      <c r="BR693" s="12" t="str">
        <f t="shared" si="119"/>
        <v/>
      </c>
    </row>
    <row r="694" spans="1:70" ht="14.25" customHeight="1">
      <c r="A694" s="26"/>
      <c r="C694" s="26"/>
      <c r="D694" s="27"/>
      <c r="E694" s="27"/>
      <c r="BE694" s="10" t="str">
        <f t="shared" si="110"/>
        <v/>
      </c>
      <c r="BF694" s="8" t="str">
        <f t="shared" si="111"/>
        <v/>
      </c>
      <c r="BG694" s="11" t="str">
        <f t="shared" si="112"/>
        <v/>
      </c>
      <c r="BH694" s="8" t="str">
        <f t="shared" si="113"/>
        <v/>
      </c>
      <c r="BI694" s="8" t="str">
        <f t="shared" si="114"/>
        <v/>
      </c>
      <c r="BJ694" s="9" t="str">
        <f t="shared" si="115"/>
        <v/>
      </c>
      <c r="BK694" s="9" t="str">
        <f>IF($B694="","",COUNTIFS($B$5:$B694,$B694,$BF$5:$BF694,$BF694))</f>
        <v/>
      </c>
      <c r="BL694" s="9" t="str">
        <f>IF($B694="","",COUNTIFS($B$5:$B694,$B694,$BH$5:$BH694,$BH694))</f>
        <v/>
      </c>
      <c r="BM694" s="9" t="str">
        <f t="shared" si="116"/>
        <v/>
      </c>
      <c r="BN694" s="9" t="str">
        <f t="shared" si="117"/>
        <v/>
      </c>
      <c r="BO694" s="9">
        <f t="shared" si="118"/>
        <v>0</v>
      </c>
      <c r="BR694" s="12" t="str">
        <f t="shared" si="119"/>
        <v/>
      </c>
    </row>
    <row r="695" spans="1:70" ht="14.25" customHeight="1">
      <c r="A695" s="26"/>
      <c r="C695" s="26"/>
      <c r="D695" s="27"/>
      <c r="E695" s="27"/>
      <c r="BE695" s="10" t="str">
        <f t="shared" si="110"/>
        <v/>
      </c>
      <c r="BF695" s="8" t="str">
        <f t="shared" si="111"/>
        <v/>
      </c>
      <c r="BG695" s="11" t="str">
        <f t="shared" si="112"/>
        <v/>
      </c>
      <c r="BH695" s="8" t="str">
        <f t="shared" si="113"/>
        <v/>
      </c>
      <c r="BI695" s="8" t="str">
        <f t="shared" si="114"/>
        <v/>
      </c>
      <c r="BJ695" s="9" t="str">
        <f t="shared" si="115"/>
        <v/>
      </c>
      <c r="BK695" s="9" t="str">
        <f>IF($B695="","",COUNTIFS($B$5:$B695,$B695,$BF$5:$BF695,$BF695))</f>
        <v/>
      </c>
      <c r="BL695" s="9" t="str">
        <f>IF($B695="","",COUNTIFS($B$5:$B695,$B695,$BH$5:$BH695,$BH695))</f>
        <v/>
      </c>
      <c r="BM695" s="9" t="str">
        <f t="shared" si="116"/>
        <v/>
      </c>
      <c r="BN695" s="9" t="str">
        <f t="shared" si="117"/>
        <v/>
      </c>
      <c r="BO695" s="9">
        <f t="shared" si="118"/>
        <v>0</v>
      </c>
      <c r="BR695" s="12" t="str">
        <f t="shared" si="119"/>
        <v/>
      </c>
    </row>
    <row r="696" spans="1:70" ht="14.25" customHeight="1">
      <c r="A696" s="26"/>
      <c r="C696" s="26"/>
      <c r="D696" s="27"/>
      <c r="E696" s="27"/>
      <c r="BE696" s="10" t="str">
        <f t="shared" si="110"/>
        <v/>
      </c>
      <c r="BF696" s="8" t="str">
        <f t="shared" si="111"/>
        <v/>
      </c>
      <c r="BG696" s="11" t="str">
        <f t="shared" si="112"/>
        <v/>
      </c>
      <c r="BH696" s="8" t="str">
        <f t="shared" si="113"/>
        <v/>
      </c>
      <c r="BI696" s="8" t="str">
        <f t="shared" si="114"/>
        <v/>
      </c>
      <c r="BJ696" s="9" t="str">
        <f t="shared" si="115"/>
        <v/>
      </c>
      <c r="BK696" s="9" t="str">
        <f>IF($B696="","",COUNTIFS($B$5:$B696,$B696,$BF$5:$BF696,$BF696))</f>
        <v/>
      </c>
      <c r="BL696" s="9" t="str">
        <f>IF($B696="","",COUNTIFS($B$5:$B696,$B696,$BH$5:$BH696,$BH696))</f>
        <v/>
      </c>
      <c r="BM696" s="9" t="str">
        <f t="shared" si="116"/>
        <v/>
      </c>
      <c r="BN696" s="9" t="str">
        <f t="shared" si="117"/>
        <v/>
      </c>
      <c r="BO696" s="9">
        <f t="shared" si="118"/>
        <v>0</v>
      </c>
      <c r="BR696" s="12" t="str">
        <f t="shared" si="119"/>
        <v/>
      </c>
    </row>
    <row r="697" spans="1:70" ht="14.25" customHeight="1">
      <c r="A697" s="26"/>
      <c r="C697" s="26"/>
      <c r="D697" s="27"/>
      <c r="E697" s="27"/>
      <c r="BE697" s="10" t="str">
        <f t="shared" si="110"/>
        <v/>
      </c>
      <c r="BF697" s="8" t="str">
        <f t="shared" si="111"/>
        <v/>
      </c>
      <c r="BG697" s="11" t="str">
        <f t="shared" si="112"/>
        <v/>
      </c>
      <c r="BH697" s="8" t="str">
        <f t="shared" si="113"/>
        <v/>
      </c>
      <c r="BI697" s="8" t="str">
        <f t="shared" si="114"/>
        <v/>
      </c>
      <c r="BJ697" s="9" t="str">
        <f t="shared" si="115"/>
        <v/>
      </c>
      <c r="BK697" s="9" t="str">
        <f>IF($B697="","",COUNTIFS($B$5:$B697,$B697,$BF$5:$BF697,$BF697))</f>
        <v/>
      </c>
      <c r="BL697" s="9" t="str">
        <f>IF($B697="","",COUNTIFS($B$5:$B697,$B697,$BH$5:$BH697,$BH697))</f>
        <v/>
      </c>
      <c r="BM697" s="9" t="str">
        <f t="shared" si="116"/>
        <v/>
      </c>
      <c r="BN697" s="9" t="str">
        <f t="shared" si="117"/>
        <v/>
      </c>
      <c r="BO697" s="9">
        <f t="shared" si="118"/>
        <v>0</v>
      </c>
      <c r="BR697" s="12" t="str">
        <f t="shared" si="119"/>
        <v/>
      </c>
    </row>
    <row r="698" spans="1:70" ht="14.25" customHeight="1">
      <c r="A698" s="26"/>
      <c r="C698" s="26"/>
      <c r="D698" s="27"/>
      <c r="E698" s="27"/>
      <c r="BE698" s="10" t="str">
        <f t="shared" si="110"/>
        <v/>
      </c>
      <c r="BF698" s="8" t="str">
        <f t="shared" si="111"/>
        <v/>
      </c>
      <c r="BG698" s="11" t="str">
        <f t="shared" si="112"/>
        <v/>
      </c>
      <c r="BH698" s="8" t="str">
        <f t="shared" si="113"/>
        <v/>
      </c>
      <c r="BI698" s="8" t="str">
        <f t="shared" si="114"/>
        <v/>
      </c>
      <c r="BJ698" s="9" t="str">
        <f t="shared" si="115"/>
        <v/>
      </c>
      <c r="BK698" s="9" t="str">
        <f>IF($B698="","",COUNTIFS($B$5:$B698,$B698,$BF$5:$BF698,$BF698))</f>
        <v/>
      </c>
      <c r="BL698" s="9" t="str">
        <f>IF($B698="","",COUNTIFS($B$5:$B698,$B698,$BH$5:$BH698,$BH698))</f>
        <v/>
      </c>
      <c r="BM698" s="9" t="str">
        <f t="shared" si="116"/>
        <v/>
      </c>
      <c r="BN698" s="9" t="str">
        <f t="shared" si="117"/>
        <v/>
      </c>
      <c r="BO698" s="9">
        <f t="shared" si="118"/>
        <v>0</v>
      </c>
      <c r="BR698" s="12" t="str">
        <f t="shared" si="119"/>
        <v/>
      </c>
    </row>
    <row r="699" spans="1:70" ht="14.25" customHeight="1">
      <c r="A699" s="26"/>
      <c r="C699" s="26"/>
      <c r="D699" s="27"/>
      <c r="E699" s="27"/>
      <c r="BE699" s="10" t="str">
        <f t="shared" si="110"/>
        <v/>
      </c>
      <c r="BF699" s="8" t="str">
        <f t="shared" si="111"/>
        <v/>
      </c>
      <c r="BG699" s="11" t="str">
        <f t="shared" si="112"/>
        <v/>
      </c>
      <c r="BH699" s="8" t="str">
        <f t="shared" si="113"/>
        <v/>
      </c>
      <c r="BI699" s="8" t="str">
        <f t="shared" si="114"/>
        <v/>
      </c>
      <c r="BJ699" s="9" t="str">
        <f t="shared" si="115"/>
        <v/>
      </c>
      <c r="BK699" s="9" t="str">
        <f>IF($B699="","",COUNTIFS($B$5:$B699,$B699,$BF$5:$BF699,$BF699))</f>
        <v/>
      </c>
      <c r="BL699" s="9" t="str">
        <f>IF($B699="","",COUNTIFS($B$5:$B699,$B699,$BH$5:$BH699,$BH699))</f>
        <v/>
      </c>
      <c r="BM699" s="9" t="str">
        <f t="shared" si="116"/>
        <v/>
      </c>
      <c r="BN699" s="9" t="str">
        <f t="shared" si="117"/>
        <v/>
      </c>
      <c r="BO699" s="9">
        <f t="shared" si="118"/>
        <v>0</v>
      </c>
      <c r="BR699" s="12" t="str">
        <f t="shared" si="119"/>
        <v/>
      </c>
    </row>
    <row r="700" spans="1:70" ht="14.25" customHeight="1">
      <c r="A700" s="26"/>
      <c r="C700" s="26"/>
      <c r="D700" s="27"/>
      <c r="E700" s="27"/>
      <c r="BE700" s="10" t="str">
        <f t="shared" si="110"/>
        <v/>
      </c>
      <c r="BF700" s="8" t="str">
        <f t="shared" si="111"/>
        <v/>
      </c>
      <c r="BG700" s="11" t="str">
        <f t="shared" si="112"/>
        <v/>
      </c>
      <c r="BH700" s="8" t="str">
        <f t="shared" si="113"/>
        <v/>
      </c>
      <c r="BI700" s="8" t="str">
        <f t="shared" si="114"/>
        <v/>
      </c>
      <c r="BJ700" s="9" t="str">
        <f t="shared" si="115"/>
        <v/>
      </c>
      <c r="BK700" s="9" t="str">
        <f>IF($B700="","",COUNTIFS($B$5:$B700,$B700,$BF$5:$BF700,$BF700))</f>
        <v/>
      </c>
      <c r="BL700" s="9" t="str">
        <f>IF($B700="","",COUNTIFS($B$5:$B700,$B700,$BH$5:$BH700,$BH700))</f>
        <v/>
      </c>
      <c r="BM700" s="9" t="str">
        <f t="shared" si="116"/>
        <v/>
      </c>
      <c r="BN700" s="9" t="str">
        <f t="shared" si="117"/>
        <v/>
      </c>
      <c r="BO700" s="9">
        <f t="shared" si="118"/>
        <v>0</v>
      </c>
      <c r="BR700" s="12" t="str">
        <f t="shared" si="119"/>
        <v/>
      </c>
    </row>
    <row r="701" spans="1:70" ht="14.25" customHeight="1">
      <c r="A701" s="26"/>
      <c r="C701" s="26"/>
      <c r="D701" s="27"/>
      <c r="E701" s="27"/>
      <c r="BE701" s="10" t="str">
        <f t="shared" si="110"/>
        <v/>
      </c>
      <c r="BF701" s="8" t="str">
        <f t="shared" si="111"/>
        <v/>
      </c>
      <c r="BG701" s="11" t="str">
        <f t="shared" si="112"/>
        <v/>
      </c>
      <c r="BH701" s="8" t="str">
        <f t="shared" si="113"/>
        <v/>
      </c>
      <c r="BI701" s="8" t="str">
        <f t="shared" si="114"/>
        <v/>
      </c>
      <c r="BJ701" s="9" t="str">
        <f t="shared" si="115"/>
        <v/>
      </c>
      <c r="BK701" s="9" t="str">
        <f>IF($B701="","",COUNTIFS($B$5:$B701,$B701,$BF$5:$BF701,$BF701))</f>
        <v/>
      </c>
      <c r="BL701" s="9" t="str">
        <f>IF($B701="","",COUNTIFS($B$5:$B701,$B701,$BH$5:$BH701,$BH701))</f>
        <v/>
      </c>
      <c r="BM701" s="9" t="str">
        <f t="shared" si="116"/>
        <v/>
      </c>
      <c r="BN701" s="9" t="str">
        <f t="shared" si="117"/>
        <v/>
      </c>
      <c r="BO701" s="9">
        <f t="shared" si="118"/>
        <v>0</v>
      </c>
      <c r="BR701" s="12" t="str">
        <f t="shared" si="119"/>
        <v/>
      </c>
    </row>
    <row r="702" spans="1:70" ht="14.25" customHeight="1">
      <c r="A702" s="26"/>
      <c r="C702" s="26"/>
      <c r="D702" s="27"/>
      <c r="E702" s="27"/>
      <c r="BE702" s="10" t="str">
        <f t="shared" si="110"/>
        <v/>
      </c>
      <c r="BF702" s="8" t="str">
        <f t="shared" si="111"/>
        <v/>
      </c>
      <c r="BG702" s="11" t="str">
        <f t="shared" si="112"/>
        <v/>
      </c>
      <c r="BH702" s="8" t="str">
        <f t="shared" si="113"/>
        <v/>
      </c>
      <c r="BI702" s="8" t="str">
        <f t="shared" si="114"/>
        <v/>
      </c>
      <c r="BJ702" s="9" t="str">
        <f t="shared" si="115"/>
        <v/>
      </c>
      <c r="BK702" s="9" t="str">
        <f>IF($B702="","",COUNTIFS($B$5:$B702,$B702,$BF$5:$BF702,$BF702))</f>
        <v/>
      </c>
      <c r="BL702" s="9" t="str">
        <f>IF($B702="","",COUNTIFS($B$5:$B702,$B702,$BH$5:$BH702,$BH702))</f>
        <v/>
      </c>
      <c r="BM702" s="9" t="str">
        <f t="shared" si="116"/>
        <v/>
      </c>
      <c r="BN702" s="9" t="str">
        <f t="shared" si="117"/>
        <v/>
      </c>
      <c r="BO702" s="9">
        <f t="shared" si="118"/>
        <v>0</v>
      </c>
      <c r="BR702" s="12" t="str">
        <f t="shared" si="119"/>
        <v/>
      </c>
    </row>
    <row r="703" spans="1:70" ht="14.25" customHeight="1">
      <c r="A703" s="26"/>
      <c r="C703" s="26"/>
      <c r="D703" s="27"/>
      <c r="E703" s="27"/>
      <c r="BE703" s="10" t="str">
        <f t="shared" si="110"/>
        <v/>
      </c>
      <c r="BF703" s="8" t="str">
        <f t="shared" si="111"/>
        <v/>
      </c>
      <c r="BG703" s="11" t="str">
        <f t="shared" si="112"/>
        <v/>
      </c>
      <c r="BH703" s="8" t="str">
        <f t="shared" si="113"/>
        <v/>
      </c>
      <c r="BI703" s="8" t="str">
        <f t="shared" si="114"/>
        <v/>
      </c>
      <c r="BJ703" s="9" t="str">
        <f t="shared" si="115"/>
        <v/>
      </c>
      <c r="BK703" s="9" t="str">
        <f>IF($B703="","",COUNTIFS($B$5:$B703,$B703,$BF$5:$BF703,$BF703))</f>
        <v/>
      </c>
      <c r="BL703" s="9" t="str">
        <f>IF($B703="","",COUNTIFS($B$5:$B703,$B703,$BH$5:$BH703,$BH703))</f>
        <v/>
      </c>
      <c r="BM703" s="9" t="str">
        <f t="shared" si="116"/>
        <v/>
      </c>
      <c r="BN703" s="9" t="str">
        <f t="shared" si="117"/>
        <v/>
      </c>
      <c r="BO703" s="9">
        <f t="shared" si="118"/>
        <v>0</v>
      </c>
      <c r="BR703" s="12" t="str">
        <f t="shared" si="119"/>
        <v/>
      </c>
    </row>
    <row r="704" spans="1:70" ht="14.25" customHeight="1">
      <c r="A704" s="26"/>
      <c r="C704" s="26"/>
      <c r="D704" s="27"/>
      <c r="E704" s="27"/>
      <c r="BE704" s="10" t="str">
        <f t="shared" si="110"/>
        <v/>
      </c>
      <c r="BF704" s="8" t="str">
        <f t="shared" si="111"/>
        <v/>
      </c>
      <c r="BG704" s="11" t="str">
        <f t="shared" si="112"/>
        <v/>
      </c>
      <c r="BH704" s="8" t="str">
        <f t="shared" si="113"/>
        <v/>
      </c>
      <c r="BI704" s="8" t="str">
        <f t="shared" si="114"/>
        <v/>
      </c>
      <c r="BJ704" s="9" t="str">
        <f t="shared" si="115"/>
        <v/>
      </c>
      <c r="BK704" s="9" t="str">
        <f>IF($B704="","",COUNTIFS($B$5:$B704,$B704,$BF$5:$BF704,$BF704))</f>
        <v/>
      </c>
      <c r="BL704" s="9" t="str">
        <f>IF($B704="","",COUNTIFS($B$5:$B704,$B704,$BH$5:$BH704,$BH704))</f>
        <v/>
      </c>
      <c r="BM704" s="9" t="str">
        <f t="shared" si="116"/>
        <v/>
      </c>
      <c r="BN704" s="9" t="str">
        <f t="shared" si="117"/>
        <v/>
      </c>
      <c r="BO704" s="9">
        <f t="shared" si="118"/>
        <v>0</v>
      </c>
      <c r="BR704" s="12" t="str">
        <f t="shared" si="119"/>
        <v/>
      </c>
    </row>
    <row r="705" spans="1:70" ht="14.25" customHeight="1">
      <c r="A705" s="26"/>
      <c r="C705" s="26"/>
      <c r="D705" s="27"/>
      <c r="E705" s="27"/>
      <c r="BE705" s="10" t="str">
        <f t="shared" si="110"/>
        <v/>
      </c>
      <c r="BF705" s="8" t="str">
        <f t="shared" si="111"/>
        <v/>
      </c>
      <c r="BG705" s="11" t="str">
        <f t="shared" si="112"/>
        <v/>
      </c>
      <c r="BH705" s="8" t="str">
        <f t="shared" si="113"/>
        <v/>
      </c>
      <c r="BI705" s="8" t="str">
        <f t="shared" si="114"/>
        <v/>
      </c>
      <c r="BJ705" s="9" t="str">
        <f t="shared" si="115"/>
        <v/>
      </c>
      <c r="BK705" s="9" t="str">
        <f>IF($B705="","",COUNTIFS($B$5:$B705,$B705,$BF$5:$BF705,$BF705))</f>
        <v/>
      </c>
      <c r="BL705" s="9" t="str">
        <f>IF($B705="","",COUNTIFS($B$5:$B705,$B705,$BH$5:$BH705,$BH705))</f>
        <v/>
      </c>
      <c r="BM705" s="9" t="str">
        <f t="shared" si="116"/>
        <v/>
      </c>
      <c r="BN705" s="9" t="str">
        <f t="shared" si="117"/>
        <v/>
      </c>
      <c r="BO705" s="9">
        <f t="shared" si="118"/>
        <v>0</v>
      </c>
      <c r="BR705" s="12" t="str">
        <f t="shared" si="119"/>
        <v/>
      </c>
    </row>
    <row r="706" spans="1:70" ht="14.25" customHeight="1">
      <c r="A706" s="26"/>
      <c r="C706" s="26"/>
      <c r="D706" s="27"/>
      <c r="E706" s="27"/>
      <c r="BE706" s="10" t="str">
        <f t="shared" si="110"/>
        <v/>
      </c>
      <c r="BF706" s="8" t="str">
        <f t="shared" si="111"/>
        <v/>
      </c>
      <c r="BG706" s="11" t="str">
        <f t="shared" si="112"/>
        <v/>
      </c>
      <c r="BH706" s="8" t="str">
        <f t="shared" si="113"/>
        <v/>
      </c>
      <c r="BI706" s="8" t="str">
        <f t="shared" si="114"/>
        <v/>
      </c>
      <c r="BJ706" s="9" t="str">
        <f t="shared" si="115"/>
        <v/>
      </c>
      <c r="BK706" s="9" t="str">
        <f>IF($B706="","",COUNTIFS($B$5:$B706,$B706,$BF$5:$BF706,$BF706))</f>
        <v/>
      </c>
      <c r="BL706" s="9" t="str">
        <f>IF($B706="","",COUNTIFS($B$5:$B706,$B706,$BH$5:$BH706,$BH706))</f>
        <v/>
      </c>
      <c r="BM706" s="9" t="str">
        <f t="shared" si="116"/>
        <v/>
      </c>
      <c r="BN706" s="9" t="str">
        <f t="shared" si="117"/>
        <v/>
      </c>
      <c r="BO706" s="9">
        <f t="shared" si="118"/>
        <v>0</v>
      </c>
      <c r="BR706" s="12" t="str">
        <f t="shared" si="119"/>
        <v/>
      </c>
    </row>
    <row r="707" spans="1:70" ht="14.25" customHeight="1">
      <c r="A707" s="26"/>
      <c r="C707" s="26"/>
      <c r="D707" s="27"/>
      <c r="E707" s="27"/>
      <c r="BE707" s="10" t="str">
        <f t="shared" si="110"/>
        <v/>
      </c>
      <c r="BF707" s="8" t="str">
        <f t="shared" si="111"/>
        <v/>
      </c>
      <c r="BG707" s="11" t="str">
        <f t="shared" si="112"/>
        <v/>
      </c>
      <c r="BH707" s="8" t="str">
        <f t="shared" si="113"/>
        <v/>
      </c>
      <c r="BI707" s="8" t="str">
        <f t="shared" si="114"/>
        <v/>
      </c>
      <c r="BJ707" s="9" t="str">
        <f t="shared" si="115"/>
        <v/>
      </c>
      <c r="BK707" s="9" t="str">
        <f>IF($B707="","",COUNTIFS($B$5:$B707,$B707,$BF$5:$BF707,$BF707))</f>
        <v/>
      </c>
      <c r="BL707" s="9" t="str">
        <f>IF($B707="","",COUNTIFS($B$5:$B707,$B707,$BH$5:$BH707,$BH707))</f>
        <v/>
      </c>
      <c r="BM707" s="9" t="str">
        <f t="shared" si="116"/>
        <v/>
      </c>
      <c r="BN707" s="9" t="str">
        <f t="shared" si="117"/>
        <v/>
      </c>
      <c r="BO707" s="9">
        <f t="shared" si="118"/>
        <v>0</v>
      </c>
      <c r="BR707" s="12" t="str">
        <f t="shared" si="119"/>
        <v/>
      </c>
    </row>
    <row r="708" spans="1:70" ht="14.25" customHeight="1">
      <c r="A708" s="26"/>
      <c r="C708" s="26"/>
      <c r="D708" s="27"/>
      <c r="E708" s="27"/>
      <c r="BE708" s="10" t="str">
        <f t="shared" si="110"/>
        <v/>
      </c>
      <c r="BF708" s="8" t="str">
        <f t="shared" si="111"/>
        <v/>
      </c>
      <c r="BG708" s="11" t="str">
        <f t="shared" si="112"/>
        <v/>
      </c>
      <c r="BH708" s="8" t="str">
        <f t="shared" si="113"/>
        <v/>
      </c>
      <c r="BI708" s="8" t="str">
        <f t="shared" si="114"/>
        <v/>
      </c>
      <c r="BJ708" s="9" t="str">
        <f t="shared" si="115"/>
        <v/>
      </c>
      <c r="BK708" s="9" t="str">
        <f>IF($B708="","",COUNTIFS($B$5:$B708,$B708,$BF$5:$BF708,$BF708))</f>
        <v/>
      </c>
      <c r="BL708" s="9" t="str">
        <f>IF($B708="","",COUNTIFS($B$5:$B708,$B708,$BH$5:$BH708,$BH708))</f>
        <v/>
      </c>
      <c r="BM708" s="9" t="str">
        <f t="shared" si="116"/>
        <v/>
      </c>
      <c r="BN708" s="9" t="str">
        <f t="shared" si="117"/>
        <v/>
      </c>
      <c r="BO708" s="9">
        <f t="shared" si="118"/>
        <v>0</v>
      </c>
      <c r="BR708" s="12" t="str">
        <f t="shared" si="119"/>
        <v/>
      </c>
    </row>
    <row r="709" spans="1:70" ht="14.25" customHeight="1">
      <c r="A709" s="26"/>
      <c r="C709" s="26"/>
      <c r="D709" s="27"/>
      <c r="E709" s="27"/>
      <c r="BE709" s="10" t="str">
        <f t="shared" si="110"/>
        <v/>
      </c>
      <c r="BF709" s="8" t="str">
        <f t="shared" si="111"/>
        <v/>
      </c>
      <c r="BG709" s="11" t="str">
        <f t="shared" si="112"/>
        <v/>
      </c>
      <c r="BH709" s="8" t="str">
        <f t="shared" si="113"/>
        <v/>
      </c>
      <c r="BI709" s="8" t="str">
        <f t="shared" si="114"/>
        <v/>
      </c>
      <c r="BJ709" s="9" t="str">
        <f t="shared" si="115"/>
        <v/>
      </c>
      <c r="BK709" s="9" t="str">
        <f>IF($B709="","",COUNTIFS($B$5:$B709,$B709,$BF$5:$BF709,$BF709))</f>
        <v/>
      </c>
      <c r="BL709" s="9" t="str">
        <f>IF($B709="","",COUNTIFS($B$5:$B709,$B709,$BH$5:$BH709,$BH709))</f>
        <v/>
      </c>
      <c r="BM709" s="9" t="str">
        <f t="shared" si="116"/>
        <v/>
      </c>
      <c r="BN709" s="9" t="str">
        <f t="shared" si="117"/>
        <v/>
      </c>
      <c r="BO709" s="9">
        <f t="shared" si="118"/>
        <v>0</v>
      </c>
      <c r="BR709" s="12" t="str">
        <f t="shared" si="119"/>
        <v/>
      </c>
    </row>
    <row r="710" spans="1:70" ht="14.25" customHeight="1">
      <c r="A710" s="26"/>
      <c r="C710" s="26"/>
      <c r="D710" s="27"/>
      <c r="E710" s="27"/>
      <c r="BE710" s="10" t="str">
        <f t="shared" si="110"/>
        <v/>
      </c>
      <c r="BF710" s="8" t="str">
        <f t="shared" si="111"/>
        <v/>
      </c>
      <c r="BG710" s="11" t="str">
        <f t="shared" si="112"/>
        <v/>
      </c>
      <c r="BH710" s="8" t="str">
        <f t="shared" si="113"/>
        <v/>
      </c>
      <c r="BI710" s="8" t="str">
        <f t="shared" si="114"/>
        <v/>
      </c>
      <c r="BJ710" s="9" t="str">
        <f t="shared" si="115"/>
        <v/>
      </c>
      <c r="BK710" s="9" t="str">
        <f>IF($B710="","",COUNTIFS($B$5:$B710,$B710,$BF$5:$BF710,$BF710))</f>
        <v/>
      </c>
      <c r="BL710" s="9" t="str">
        <f>IF($B710="","",COUNTIFS($B$5:$B710,$B710,$BH$5:$BH710,$BH710))</f>
        <v/>
      </c>
      <c r="BM710" s="9" t="str">
        <f t="shared" si="116"/>
        <v/>
      </c>
      <c r="BN710" s="9" t="str">
        <f t="shared" si="117"/>
        <v/>
      </c>
      <c r="BO710" s="9">
        <f t="shared" si="118"/>
        <v>0</v>
      </c>
      <c r="BR710" s="12" t="str">
        <f t="shared" si="119"/>
        <v/>
      </c>
    </row>
    <row r="711" spans="1:70" ht="14.25" customHeight="1">
      <c r="A711" s="26"/>
      <c r="C711" s="26"/>
      <c r="D711" s="27"/>
      <c r="E711" s="27"/>
      <c r="BE711" s="10" t="str">
        <f t="shared" si="110"/>
        <v/>
      </c>
      <c r="BF711" s="8" t="str">
        <f t="shared" si="111"/>
        <v/>
      </c>
      <c r="BG711" s="11" t="str">
        <f t="shared" si="112"/>
        <v/>
      </c>
      <c r="BH711" s="8" t="str">
        <f t="shared" si="113"/>
        <v/>
      </c>
      <c r="BI711" s="8" t="str">
        <f t="shared" si="114"/>
        <v/>
      </c>
      <c r="BJ711" s="9" t="str">
        <f t="shared" si="115"/>
        <v/>
      </c>
      <c r="BK711" s="9" t="str">
        <f>IF($B711="","",COUNTIFS($B$5:$B711,$B711,$BF$5:$BF711,$BF711))</f>
        <v/>
      </c>
      <c r="BL711" s="9" t="str">
        <f>IF($B711="","",COUNTIFS($B$5:$B711,$B711,$BH$5:$BH711,$BH711))</f>
        <v/>
      </c>
      <c r="BM711" s="9" t="str">
        <f t="shared" si="116"/>
        <v/>
      </c>
      <c r="BN711" s="9" t="str">
        <f t="shared" si="117"/>
        <v/>
      </c>
      <c r="BO711" s="9">
        <f t="shared" si="118"/>
        <v>0</v>
      </c>
      <c r="BR711" s="12" t="str">
        <f t="shared" si="119"/>
        <v/>
      </c>
    </row>
    <row r="712" spans="1:70" ht="14.25" customHeight="1">
      <c r="A712" s="26"/>
      <c r="C712" s="26"/>
      <c r="D712" s="27"/>
      <c r="E712" s="27"/>
      <c r="BE712" s="10" t="str">
        <f t="shared" si="110"/>
        <v/>
      </c>
      <c r="BF712" s="8" t="str">
        <f t="shared" si="111"/>
        <v/>
      </c>
      <c r="BG712" s="11" t="str">
        <f t="shared" si="112"/>
        <v/>
      </c>
      <c r="BH712" s="8" t="str">
        <f t="shared" si="113"/>
        <v/>
      </c>
      <c r="BI712" s="8" t="str">
        <f t="shared" si="114"/>
        <v/>
      </c>
      <c r="BJ712" s="9" t="str">
        <f t="shared" si="115"/>
        <v/>
      </c>
      <c r="BK712" s="9" t="str">
        <f>IF($B712="","",COUNTIFS($B$5:$B712,$B712,$BF$5:$BF712,$BF712))</f>
        <v/>
      </c>
      <c r="BL712" s="9" t="str">
        <f>IF($B712="","",COUNTIFS($B$5:$B712,$B712,$BH$5:$BH712,$BH712))</f>
        <v/>
      </c>
      <c r="BM712" s="9" t="str">
        <f t="shared" si="116"/>
        <v/>
      </c>
      <c r="BN712" s="9" t="str">
        <f t="shared" si="117"/>
        <v/>
      </c>
      <c r="BO712" s="9">
        <f t="shared" si="118"/>
        <v>0</v>
      </c>
      <c r="BR712" s="12" t="str">
        <f t="shared" si="119"/>
        <v/>
      </c>
    </row>
    <row r="713" spans="1:70" ht="14.25" customHeight="1">
      <c r="A713" s="26"/>
      <c r="C713" s="26"/>
      <c r="D713" s="27"/>
      <c r="E713" s="27"/>
      <c r="BE713" s="10" t="str">
        <f t="shared" si="110"/>
        <v/>
      </c>
      <c r="BF713" s="8" t="str">
        <f t="shared" si="111"/>
        <v/>
      </c>
      <c r="BG713" s="11" t="str">
        <f t="shared" si="112"/>
        <v/>
      </c>
      <c r="BH713" s="8" t="str">
        <f t="shared" si="113"/>
        <v/>
      </c>
      <c r="BI713" s="8" t="str">
        <f t="shared" si="114"/>
        <v/>
      </c>
      <c r="BJ713" s="9" t="str">
        <f t="shared" si="115"/>
        <v/>
      </c>
      <c r="BK713" s="9" t="str">
        <f>IF($B713="","",COUNTIFS($B$5:$B713,$B713,$BF$5:$BF713,$BF713))</f>
        <v/>
      </c>
      <c r="BL713" s="9" t="str">
        <f>IF($B713="","",COUNTIFS($B$5:$B713,$B713,$BH$5:$BH713,$BH713))</f>
        <v/>
      </c>
      <c r="BM713" s="9" t="str">
        <f t="shared" si="116"/>
        <v/>
      </c>
      <c r="BN713" s="9" t="str">
        <f t="shared" si="117"/>
        <v/>
      </c>
      <c r="BO713" s="9">
        <f t="shared" si="118"/>
        <v>0</v>
      </c>
      <c r="BR713" s="12" t="str">
        <f t="shared" si="119"/>
        <v/>
      </c>
    </row>
    <row r="714" spans="1:70" ht="14.25" customHeight="1">
      <c r="A714" s="26"/>
      <c r="C714" s="26"/>
      <c r="D714" s="27"/>
      <c r="E714" s="27"/>
      <c r="BE714" s="10" t="str">
        <f t="shared" si="110"/>
        <v/>
      </c>
      <c r="BF714" s="8" t="str">
        <f t="shared" si="111"/>
        <v/>
      </c>
      <c r="BG714" s="11" t="str">
        <f t="shared" si="112"/>
        <v/>
      </c>
      <c r="BH714" s="8" t="str">
        <f t="shared" si="113"/>
        <v/>
      </c>
      <c r="BI714" s="8" t="str">
        <f t="shared" si="114"/>
        <v/>
      </c>
      <c r="BJ714" s="9" t="str">
        <f t="shared" si="115"/>
        <v/>
      </c>
      <c r="BK714" s="9" t="str">
        <f>IF($B714="","",COUNTIFS($B$5:$B714,$B714,$BF$5:$BF714,$BF714))</f>
        <v/>
      </c>
      <c r="BL714" s="9" t="str">
        <f>IF($B714="","",COUNTIFS($B$5:$B714,$B714,$BH$5:$BH714,$BH714))</f>
        <v/>
      </c>
      <c r="BM714" s="9" t="str">
        <f t="shared" si="116"/>
        <v/>
      </c>
      <c r="BN714" s="9" t="str">
        <f t="shared" si="117"/>
        <v/>
      </c>
      <c r="BO714" s="9">
        <f t="shared" si="118"/>
        <v>0</v>
      </c>
      <c r="BR714" s="12" t="str">
        <f t="shared" si="119"/>
        <v/>
      </c>
    </row>
    <row r="715" spans="1:70" ht="14.25" customHeight="1">
      <c r="A715" s="26"/>
      <c r="C715" s="26"/>
      <c r="D715" s="27"/>
      <c r="E715" s="27"/>
      <c r="BE715" s="10" t="str">
        <f t="shared" si="110"/>
        <v/>
      </c>
      <c r="BF715" s="8" t="str">
        <f t="shared" si="111"/>
        <v/>
      </c>
      <c r="BG715" s="11" t="str">
        <f t="shared" si="112"/>
        <v/>
      </c>
      <c r="BH715" s="8" t="str">
        <f t="shared" si="113"/>
        <v/>
      </c>
      <c r="BI715" s="8" t="str">
        <f t="shared" si="114"/>
        <v/>
      </c>
      <c r="BJ715" s="9" t="str">
        <f t="shared" si="115"/>
        <v/>
      </c>
      <c r="BK715" s="9" t="str">
        <f>IF($B715="","",COUNTIFS($B$5:$B715,$B715,$BF$5:$BF715,$BF715))</f>
        <v/>
      </c>
      <c r="BL715" s="9" t="str">
        <f>IF($B715="","",COUNTIFS($B$5:$B715,$B715,$BH$5:$BH715,$BH715))</f>
        <v/>
      </c>
      <c r="BM715" s="9" t="str">
        <f t="shared" si="116"/>
        <v/>
      </c>
      <c r="BN715" s="9" t="str">
        <f t="shared" si="117"/>
        <v/>
      </c>
      <c r="BO715" s="9">
        <f t="shared" si="118"/>
        <v>0</v>
      </c>
      <c r="BR715" s="12" t="str">
        <f t="shared" si="119"/>
        <v/>
      </c>
    </row>
    <row r="716" spans="1:70" ht="14.25" customHeight="1">
      <c r="A716" s="26"/>
      <c r="C716" s="26"/>
      <c r="D716" s="27"/>
      <c r="E716" s="27"/>
      <c r="BE716" s="10" t="str">
        <f t="shared" si="110"/>
        <v/>
      </c>
      <c r="BF716" s="8" t="str">
        <f t="shared" si="111"/>
        <v/>
      </c>
      <c r="BG716" s="11" t="str">
        <f t="shared" si="112"/>
        <v/>
      </c>
      <c r="BH716" s="8" t="str">
        <f t="shared" si="113"/>
        <v/>
      </c>
      <c r="BI716" s="8" t="str">
        <f t="shared" si="114"/>
        <v/>
      </c>
      <c r="BJ716" s="9" t="str">
        <f t="shared" si="115"/>
        <v/>
      </c>
      <c r="BK716" s="9" t="str">
        <f>IF($B716="","",COUNTIFS($B$5:$B716,$B716,$BF$5:$BF716,$BF716))</f>
        <v/>
      </c>
      <c r="BL716" s="9" t="str">
        <f>IF($B716="","",COUNTIFS($B$5:$B716,$B716,$BH$5:$BH716,$BH716))</f>
        <v/>
      </c>
      <c r="BM716" s="9" t="str">
        <f t="shared" si="116"/>
        <v/>
      </c>
      <c r="BN716" s="9" t="str">
        <f t="shared" si="117"/>
        <v/>
      </c>
      <c r="BO716" s="9">
        <f t="shared" si="118"/>
        <v>0</v>
      </c>
      <c r="BR716" s="12" t="str">
        <f t="shared" si="119"/>
        <v/>
      </c>
    </row>
    <row r="717" spans="1:70" ht="14.25" customHeight="1">
      <c r="A717" s="26"/>
      <c r="C717" s="26"/>
      <c r="D717" s="27"/>
      <c r="E717" s="27"/>
      <c r="BE717" s="10" t="str">
        <f t="shared" si="110"/>
        <v/>
      </c>
      <c r="BF717" s="8" t="str">
        <f t="shared" si="111"/>
        <v/>
      </c>
      <c r="BG717" s="11" t="str">
        <f t="shared" si="112"/>
        <v/>
      </c>
      <c r="BH717" s="8" t="str">
        <f t="shared" si="113"/>
        <v/>
      </c>
      <c r="BI717" s="8" t="str">
        <f t="shared" si="114"/>
        <v/>
      </c>
      <c r="BJ717" s="9" t="str">
        <f t="shared" si="115"/>
        <v/>
      </c>
      <c r="BK717" s="9" t="str">
        <f>IF($B717="","",COUNTIFS($B$5:$B717,$B717,$BF$5:$BF717,$BF717))</f>
        <v/>
      </c>
      <c r="BL717" s="9" t="str">
        <f>IF($B717="","",COUNTIFS($B$5:$B717,$B717,$BH$5:$BH717,$BH717))</f>
        <v/>
      </c>
      <c r="BM717" s="9" t="str">
        <f t="shared" si="116"/>
        <v/>
      </c>
      <c r="BN717" s="9" t="str">
        <f t="shared" si="117"/>
        <v/>
      </c>
      <c r="BO717" s="9">
        <f t="shared" si="118"/>
        <v>0</v>
      </c>
      <c r="BR717" s="12" t="str">
        <f t="shared" si="119"/>
        <v/>
      </c>
    </row>
    <row r="718" spans="1:70" ht="14.25" customHeight="1">
      <c r="A718" s="26"/>
      <c r="C718" s="26"/>
      <c r="D718" s="27"/>
      <c r="E718" s="27"/>
      <c r="BE718" s="10" t="str">
        <f t="shared" si="110"/>
        <v/>
      </c>
      <c r="BF718" s="8" t="str">
        <f t="shared" si="111"/>
        <v/>
      </c>
      <c r="BG718" s="11" t="str">
        <f t="shared" si="112"/>
        <v/>
      </c>
      <c r="BH718" s="8" t="str">
        <f t="shared" si="113"/>
        <v/>
      </c>
      <c r="BI718" s="8" t="str">
        <f t="shared" si="114"/>
        <v/>
      </c>
      <c r="BJ718" s="9" t="str">
        <f t="shared" si="115"/>
        <v/>
      </c>
      <c r="BK718" s="9" t="str">
        <f>IF($B718="","",COUNTIFS($B$5:$B718,$B718,$BF$5:$BF718,$BF718))</f>
        <v/>
      </c>
      <c r="BL718" s="9" t="str">
        <f>IF($B718="","",COUNTIFS($B$5:$B718,$B718,$BH$5:$BH718,$BH718))</f>
        <v/>
      </c>
      <c r="BM718" s="9" t="str">
        <f t="shared" si="116"/>
        <v/>
      </c>
      <c r="BN718" s="9" t="str">
        <f t="shared" si="117"/>
        <v/>
      </c>
      <c r="BO718" s="9">
        <f t="shared" si="118"/>
        <v>0</v>
      </c>
      <c r="BR718" s="12" t="str">
        <f t="shared" si="119"/>
        <v/>
      </c>
    </row>
    <row r="719" spans="1:70" ht="14.25" customHeight="1">
      <c r="A719" s="26"/>
      <c r="C719" s="26"/>
      <c r="D719" s="27"/>
      <c r="E719" s="27"/>
      <c r="BE719" s="10" t="str">
        <f t="shared" si="110"/>
        <v/>
      </c>
      <c r="BF719" s="8" t="str">
        <f t="shared" si="111"/>
        <v/>
      </c>
      <c r="BG719" s="11" t="str">
        <f t="shared" si="112"/>
        <v/>
      </c>
      <c r="BH719" s="8" t="str">
        <f t="shared" si="113"/>
        <v/>
      </c>
      <c r="BI719" s="8" t="str">
        <f t="shared" si="114"/>
        <v/>
      </c>
      <c r="BJ719" s="9" t="str">
        <f t="shared" si="115"/>
        <v/>
      </c>
      <c r="BK719" s="9" t="str">
        <f>IF($B719="","",COUNTIFS($B$5:$B719,$B719,$BF$5:$BF719,$BF719))</f>
        <v/>
      </c>
      <c r="BL719" s="9" t="str">
        <f>IF($B719="","",COUNTIFS($B$5:$B719,$B719,$BH$5:$BH719,$BH719))</f>
        <v/>
      </c>
      <c r="BM719" s="9" t="str">
        <f t="shared" si="116"/>
        <v/>
      </c>
      <c r="BN719" s="9" t="str">
        <f t="shared" si="117"/>
        <v/>
      </c>
      <c r="BO719" s="9">
        <f t="shared" si="118"/>
        <v>0</v>
      </c>
      <c r="BR719" s="12" t="str">
        <f t="shared" si="119"/>
        <v/>
      </c>
    </row>
    <row r="720" spans="1:70" ht="14.25" customHeight="1">
      <c r="A720" s="26"/>
      <c r="C720" s="26"/>
      <c r="D720" s="27"/>
      <c r="E720" s="27"/>
      <c r="BE720" s="10" t="str">
        <f t="shared" si="110"/>
        <v/>
      </c>
      <c r="BF720" s="8" t="str">
        <f t="shared" si="111"/>
        <v/>
      </c>
      <c r="BG720" s="11" t="str">
        <f t="shared" si="112"/>
        <v/>
      </c>
      <c r="BH720" s="8" t="str">
        <f t="shared" si="113"/>
        <v/>
      </c>
      <c r="BI720" s="8" t="str">
        <f t="shared" si="114"/>
        <v/>
      </c>
      <c r="BJ720" s="9" t="str">
        <f t="shared" si="115"/>
        <v/>
      </c>
      <c r="BK720" s="9" t="str">
        <f>IF($B720="","",COUNTIFS($B$5:$B720,$B720,$BF$5:$BF720,$BF720))</f>
        <v/>
      </c>
      <c r="BL720" s="9" t="str">
        <f>IF($B720="","",COUNTIFS($B$5:$B720,$B720,$BH$5:$BH720,$BH720))</f>
        <v/>
      </c>
      <c r="BM720" s="9" t="str">
        <f t="shared" si="116"/>
        <v/>
      </c>
      <c r="BN720" s="9" t="str">
        <f t="shared" si="117"/>
        <v/>
      </c>
      <c r="BO720" s="9">
        <f t="shared" si="118"/>
        <v>0</v>
      </c>
      <c r="BR720" s="12" t="str">
        <f t="shared" si="119"/>
        <v/>
      </c>
    </row>
    <row r="721" spans="1:70" ht="14.25" customHeight="1">
      <c r="A721" s="26"/>
      <c r="C721" s="26"/>
      <c r="D721" s="27"/>
      <c r="E721" s="27"/>
      <c r="BE721" s="10" t="str">
        <f t="shared" si="110"/>
        <v/>
      </c>
      <c r="BF721" s="8" t="str">
        <f t="shared" si="111"/>
        <v/>
      </c>
      <c r="BG721" s="11" t="str">
        <f t="shared" si="112"/>
        <v/>
      </c>
      <c r="BH721" s="8" t="str">
        <f t="shared" si="113"/>
        <v/>
      </c>
      <c r="BI721" s="8" t="str">
        <f t="shared" si="114"/>
        <v/>
      </c>
      <c r="BJ721" s="9" t="str">
        <f t="shared" si="115"/>
        <v/>
      </c>
      <c r="BK721" s="9" t="str">
        <f>IF($B721="","",COUNTIFS($B$5:$B721,$B721,$BF$5:$BF721,$BF721))</f>
        <v/>
      </c>
      <c r="BL721" s="9" t="str">
        <f>IF($B721="","",COUNTIFS($B$5:$B721,$B721,$BH$5:$BH721,$BH721))</f>
        <v/>
      </c>
      <c r="BM721" s="9" t="str">
        <f t="shared" si="116"/>
        <v/>
      </c>
      <c r="BN721" s="9" t="str">
        <f t="shared" si="117"/>
        <v/>
      </c>
      <c r="BO721" s="9">
        <f t="shared" si="118"/>
        <v>0</v>
      </c>
      <c r="BR721" s="12" t="str">
        <f t="shared" si="119"/>
        <v/>
      </c>
    </row>
    <row r="722" spans="1:70" ht="14.25" customHeight="1">
      <c r="A722" s="26"/>
      <c r="C722" s="26"/>
      <c r="D722" s="27"/>
      <c r="E722" s="27"/>
      <c r="BE722" s="10" t="str">
        <f t="shared" si="110"/>
        <v/>
      </c>
      <c r="BF722" s="8" t="str">
        <f t="shared" si="111"/>
        <v/>
      </c>
      <c r="BG722" s="11" t="str">
        <f t="shared" si="112"/>
        <v/>
      </c>
      <c r="BH722" s="8" t="str">
        <f t="shared" si="113"/>
        <v/>
      </c>
      <c r="BI722" s="8" t="str">
        <f t="shared" si="114"/>
        <v/>
      </c>
      <c r="BJ722" s="9" t="str">
        <f t="shared" si="115"/>
        <v/>
      </c>
      <c r="BK722" s="9" t="str">
        <f>IF($B722="","",COUNTIFS($B$5:$B722,$B722,$BF$5:$BF722,$BF722))</f>
        <v/>
      </c>
      <c r="BL722" s="9" t="str">
        <f>IF($B722="","",COUNTIFS($B$5:$B722,$B722,$BH$5:$BH722,$BH722))</f>
        <v/>
      </c>
      <c r="BM722" s="9" t="str">
        <f t="shared" si="116"/>
        <v/>
      </c>
      <c r="BN722" s="9" t="str">
        <f t="shared" si="117"/>
        <v/>
      </c>
      <c r="BO722" s="9">
        <f t="shared" si="118"/>
        <v>0</v>
      </c>
      <c r="BR722" s="12" t="str">
        <f t="shared" si="119"/>
        <v/>
      </c>
    </row>
    <row r="723" spans="1:70" ht="14.25" customHeight="1">
      <c r="A723" s="26"/>
      <c r="C723" s="26"/>
      <c r="D723" s="27"/>
      <c r="E723" s="27"/>
      <c r="BE723" s="10" t="str">
        <f t="shared" si="110"/>
        <v/>
      </c>
      <c r="BF723" s="8" t="str">
        <f t="shared" si="111"/>
        <v/>
      </c>
      <c r="BG723" s="11" t="str">
        <f t="shared" si="112"/>
        <v/>
      </c>
      <c r="BH723" s="8" t="str">
        <f t="shared" si="113"/>
        <v/>
      </c>
      <c r="BI723" s="8" t="str">
        <f t="shared" si="114"/>
        <v/>
      </c>
      <c r="BJ723" s="9" t="str">
        <f t="shared" si="115"/>
        <v/>
      </c>
      <c r="BK723" s="9" t="str">
        <f>IF($B723="","",COUNTIFS($B$5:$B723,$B723,$BF$5:$BF723,$BF723))</f>
        <v/>
      </c>
      <c r="BL723" s="9" t="str">
        <f>IF($B723="","",COUNTIFS($B$5:$B723,$B723,$BH$5:$BH723,$BH723))</f>
        <v/>
      </c>
      <c r="BM723" s="9" t="str">
        <f t="shared" si="116"/>
        <v/>
      </c>
      <c r="BN723" s="9" t="str">
        <f t="shared" si="117"/>
        <v/>
      </c>
      <c r="BO723" s="9">
        <f t="shared" si="118"/>
        <v>0</v>
      </c>
      <c r="BR723" s="12" t="str">
        <f t="shared" si="119"/>
        <v/>
      </c>
    </row>
    <row r="724" spans="1:70" ht="14.25" customHeight="1">
      <c r="A724" s="26"/>
      <c r="C724" s="26"/>
      <c r="D724" s="27"/>
      <c r="E724" s="27"/>
      <c r="BE724" s="10" t="str">
        <f t="shared" si="110"/>
        <v/>
      </c>
      <c r="BF724" s="8" t="str">
        <f t="shared" si="111"/>
        <v/>
      </c>
      <c r="BG724" s="11" t="str">
        <f t="shared" si="112"/>
        <v/>
      </c>
      <c r="BH724" s="8" t="str">
        <f t="shared" si="113"/>
        <v/>
      </c>
      <c r="BI724" s="8" t="str">
        <f t="shared" si="114"/>
        <v/>
      </c>
      <c r="BJ724" s="9" t="str">
        <f t="shared" si="115"/>
        <v/>
      </c>
      <c r="BK724" s="9" t="str">
        <f>IF($B724="","",COUNTIFS($B$5:$B724,$B724,$BF$5:$BF724,$BF724))</f>
        <v/>
      </c>
      <c r="BL724" s="9" t="str">
        <f>IF($B724="","",COUNTIFS($B$5:$B724,$B724,$BH$5:$BH724,$BH724))</f>
        <v/>
      </c>
      <c r="BM724" s="9" t="str">
        <f t="shared" si="116"/>
        <v/>
      </c>
      <c r="BN724" s="9" t="str">
        <f t="shared" si="117"/>
        <v/>
      </c>
      <c r="BO724" s="9">
        <f t="shared" si="118"/>
        <v>0</v>
      </c>
      <c r="BR724" s="12" t="str">
        <f t="shared" si="119"/>
        <v/>
      </c>
    </row>
    <row r="725" spans="1:70" ht="14.25" customHeight="1">
      <c r="A725" s="26"/>
      <c r="C725" s="26"/>
      <c r="D725" s="27"/>
      <c r="E725" s="27"/>
      <c r="BE725" s="10" t="str">
        <f t="shared" si="110"/>
        <v/>
      </c>
      <c r="BF725" s="8" t="str">
        <f t="shared" si="111"/>
        <v/>
      </c>
      <c r="BG725" s="11" t="str">
        <f t="shared" si="112"/>
        <v/>
      </c>
      <c r="BH725" s="8" t="str">
        <f t="shared" si="113"/>
        <v/>
      </c>
      <c r="BI725" s="8" t="str">
        <f t="shared" si="114"/>
        <v/>
      </c>
      <c r="BJ725" s="9" t="str">
        <f t="shared" si="115"/>
        <v/>
      </c>
      <c r="BK725" s="9" t="str">
        <f>IF($B725="","",COUNTIFS($B$5:$B725,$B725,$BF$5:$BF725,$BF725))</f>
        <v/>
      </c>
      <c r="BL725" s="9" t="str">
        <f>IF($B725="","",COUNTIFS($B$5:$B725,$B725,$BH$5:$BH725,$BH725))</f>
        <v/>
      </c>
      <c r="BM725" s="9" t="str">
        <f t="shared" si="116"/>
        <v/>
      </c>
      <c r="BN725" s="9" t="str">
        <f t="shared" si="117"/>
        <v/>
      </c>
      <c r="BO725" s="9">
        <f t="shared" si="118"/>
        <v>0</v>
      </c>
      <c r="BR725" s="12" t="str">
        <f t="shared" si="119"/>
        <v/>
      </c>
    </row>
    <row r="726" spans="1:70" ht="14.25" customHeight="1">
      <c r="A726" s="26"/>
      <c r="C726" s="26"/>
      <c r="D726" s="27"/>
      <c r="E726" s="27"/>
      <c r="BE726" s="10" t="str">
        <f t="shared" si="110"/>
        <v/>
      </c>
      <c r="BF726" s="8" t="str">
        <f t="shared" si="111"/>
        <v/>
      </c>
      <c r="BG726" s="11" t="str">
        <f t="shared" si="112"/>
        <v/>
      </c>
      <c r="BH726" s="8" t="str">
        <f t="shared" si="113"/>
        <v/>
      </c>
      <c r="BI726" s="8" t="str">
        <f t="shared" si="114"/>
        <v/>
      </c>
      <c r="BJ726" s="9" t="str">
        <f t="shared" si="115"/>
        <v/>
      </c>
      <c r="BK726" s="9" t="str">
        <f>IF($B726="","",COUNTIFS($B$5:$B726,$B726,$BF$5:$BF726,$BF726))</f>
        <v/>
      </c>
      <c r="BL726" s="9" t="str">
        <f>IF($B726="","",COUNTIFS($B$5:$B726,$B726,$BH$5:$BH726,$BH726))</f>
        <v/>
      </c>
      <c r="BM726" s="9" t="str">
        <f t="shared" si="116"/>
        <v/>
      </c>
      <c r="BN726" s="9" t="str">
        <f t="shared" si="117"/>
        <v/>
      </c>
      <c r="BO726" s="9">
        <f t="shared" si="118"/>
        <v>0</v>
      </c>
      <c r="BR726" s="12" t="str">
        <f t="shared" si="119"/>
        <v/>
      </c>
    </row>
    <row r="727" spans="1:70" ht="14.25" customHeight="1">
      <c r="A727" s="26"/>
      <c r="C727" s="26"/>
      <c r="D727" s="27"/>
      <c r="E727" s="27"/>
      <c r="BE727" s="10" t="str">
        <f t="shared" si="110"/>
        <v/>
      </c>
      <c r="BF727" s="8" t="str">
        <f t="shared" si="111"/>
        <v/>
      </c>
      <c r="BG727" s="11" t="str">
        <f t="shared" si="112"/>
        <v/>
      </c>
      <c r="BH727" s="8" t="str">
        <f t="shared" si="113"/>
        <v/>
      </c>
      <c r="BI727" s="8" t="str">
        <f t="shared" si="114"/>
        <v/>
      </c>
      <c r="BJ727" s="9" t="str">
        <f t="shared" si="115"/>
        <v/>
      </c>
      <c r="BK727" s="9" t="str">
        <f>IF($B727="","",COUNTIFS($B$5:$B727,$B727,$BF$5:$BF727,$BF727))</f>
        <v/>
      </c>
      <c r="BL727" s="9" t="str">
        <f>IF($B727="","",COUNTIFS($B$5:$B727,$B727,$BH$5:$BH727,$BH727))</f>
        <v/>
      </c>
      <c r="BM727" s="9" t="str">
        <f t="shared" si="116"/>
        <v/>
      </c>
      <c r="BN727" s="9" t="str">
        <f t="shared" si="117"/>
        <v/>
      </c>
      <c r="BO727" s="9">
        <f t="shared" si="118"/>
        <v>0</v>
      </c>
      <c r="BR727" s="12" t="str">
        <f t="shared" si="119"/>
        <v/>
      </c>
    </row>
    <row r="728" spans="1:70" ht="14.25" customHeight="1">
      <c r="A728" s="26"/>
      <c r="C728" s="26"/>
      <c r="D728" s="27"/>
      <c r="E728" s="27"/>
      <c r="BE728" s="10" t="str">
        <f t="shared" si="110"/>
        <v/>
      </c>
      <c r="BF728" s="8" t="str">
        <f t="shared" si="111"/>
        <v/>
      </c>
      <c r="BG728" s="11" t="str">
        <f t="shared" si="112"/>
        <v/>
      </c>
      <c r="BH728" s="8" t="str">
        <f t="shared" si="113"/>
        <v/>
      </c>
      <c r="BI728" s="8" t="str">
        <f t="shared" si="114"/>
        <v/>
      </c>
      <c r="BJ728" s="9" t="str">
        <f t="shared" si="115"/>
        <v/>
      </c>
      <c r="BK728" s="9" t="str">
        <f>IF($B728="","",COUNTIFS($B$5:$B728,$B728,$BF$5:$BF728,$BF728))</f>
        <v/>
      </c>
      <c r="BL728" s="9" t="str">
        <f>IF($B728="","",COUNTIFS($B$5:$B728,$B728,$BH$5:$BH728,$BH728))</f>
        <v/>
      </c>
      <c r="BM728" s="9" t="str">
        <f t="shared" si="116"/>
        <v/>
      </c>
      <c r="BN728" s="9" t="str">
        <f t="shared" si="117"/>
        <v/>
      </c>
      <c r="BO728" s="9">
        <f t="shared" si="118"/>
        <v>0</v>
      </c>
      <c r="BR728" s="12" t="str">
        <f t="shared" si="119"/>
        <v/>
      </c>
    </row>
    <row r="729" spans="1:70" ht="14.25" customHeight="1">
      <c r="A729" s="26"/>
      <c r="C729" s="26"/>
      <c r="D729" s="27"/>
      <c r="E729" s="27"/>
      <c r="BE729" s="10" t="str">
        <f t="shared" si="110"/>
        <v/>
      </c>
      <c r="BF729" s="8" t="str">
        <f t="shared" si="111"/>
        <v/>
      </c>
      <c r="BG729" s="11" t="str">
        <f t="shared" si="112"/>
        <v/>
      </c>
      <c r="BH729" s="8" t="str">
        <f t="shared" si="113"/>
        <v/>
      </c>
      <c r="BI729" s="8" t="str">
        <f t="shared" si="114"/>
        <v/>
      </c>
      <c r="BJ729" s="9" t="str">
        <f t="shared" si="115"/>
        <v/>
      </c>
      <c r="BK729" s="9" t="str">
        <f>IF($B729="","",COUNTIFS($B$5:$B729,$B729,$BF$5:$BF729,$BF729))</f>
        <v/>
      </c>
      <c r="BL729" s="9" t="str">
        <f>IF($B729="","",COUNTIFS($B$5:$B729,$B729,$BH$5:$BH729,$BH729))</f>
        <v/>
      </c>
      <c r="BM729" s="9" t="str">
        <f t="shared" si="116"/>
        <v/>
      </c>
      <c r="BN729" s="9" t="str">
        <f t="shared" si="117"/>
        <v/>
      </c>
      <c r="BO729" s="9">
        <f t="shared" si="118"/>
        <v>0</v>
      </c>
      <c r="BR729" s="12" t="str">
        <f t="shared" si="119"/>
        <v/>
      </c>
    </row>
    <row r="730" spans="1:70" ht="14.25" customHeight="1">
      <c r="A730" s="26"/>
      <c r="C730" s="26"/>
      <c r="D730" s="27"/>
      <c r="E730" s="27"/>
      <c r="BE730" s="10" t="str">
        <f t="shared" si="110"/>
        <v/>
      </c>
      <c r="BF730" s="8" t="str">
        <f t="shared" si="111"/>
        <v/>
      </c>
      <c r="BG730" s="11" t="str">
        <f t="shared" si="112"/>
        <v/>
      </c>
      <c r="BH730" s="8" t="str">
        <f t="shared" si="113"/>
        <v/>
      </c>
      <c r="BI730" s="8" t="str">
        <f t="shared" si="114"/>
        <v/>
      </c>
      <c r="BJ730" s="9" t="str">
        <f t="shared" si="115"/>
        <v/>
      </c>
      <c r="BK730" s="9" t="str">
        <f>IF($B730="","",COUNTIFS($B$5:$B730,$B730,$BF$5:$BF730,$BF730))</f>
        <v/>
      </c>
      <c r="BL730" s="9" t="str">
        <f>IF($B730="","",COUNTIFS($B$5:$B730,$B730,$BH$5:$BH730,$BH730))</f>
        <v/>
      </c>
      <c r="BM730" s="9" t="str">
        <f t="shared" si="116"/>
        <v/>
      </c>
      <c r="BN730" s="9" t="str">
        <f t="shared" si="117"/>
        <v/>
      </c>
      <c r="BO730" s="9">
        <f t="shared" si="118"/>
        <v>0</v>
      </c>
      <c r="BR730" s="12" t="str">
        <f t="shared" si="119"/>
        <v/>
      </c>
    </row>
    <row r="731" spans="1:70" ht="14.25" customHeight="1">
      <c r="A731" s="26"/>
      <c r="C731" s="26"/>
      <c r="D731" s="27"/>
      <c r="E731" s="27"/>
      <c r="BE731" s="10" t="str">
        <f t="shared" si="110"/>
        <v/>
      </c>
      <c r="BF731" s="8" t="str">
        <f t="shared" si="111"/>
        <v/>
      </c>
      <c r="BG731" s="11" t="str">
        <f t="shared" si="112"/>
        <v/>
      </c>
      <c r="BH731" s="8" t="str">
        <f t="shared" si="113"/>
        <v/>
      </c>
      <c r="BI731" s="8" t="str">
        <f t="shared" si="114"/>
        <v/>
      </c>
      <c r="BJ731" s="9" t="str">
        <f t="shared" si="115"/>
        <v/>
      </c>
      <c r="BK731" s="9" t="str">
        <f>IF($B731="","",COUNTIFS($B$5:$B731,$B731,$BF$5:$BF731,$BF731))</f>
        <v/>
      </c>
      <c r="BL731" s="9" t="str">
        <f>IF($B731="","",COUNTIFS($B$5:$B731,$B731,$BH$5:$BH731,$BH731))</f>
        <v/>
      </c>
      <c r="BM731" s="9" t="str">
        <f t="shared" si="116"/>
        <v/>
      </c>
      <c r="BN731" s="9" t="str">
        <f t="shared" si="117"/>
        <v/>
      </c>
      <c r="BO731" s="9">
        <f t="shared" si="118"/>
        <v>0</v>
      </c>
      <c r="BR731" s="12" t="str">
        <f t="shared" si="119"/>
        <v/>
      </c>
    </row>
    <row r="732" spans="1:70" ht="14.25" customHeight="1">
      <c r="A732" s="26"/>
      <c r="C732" s="26"/>
      <c r="D732" s="27"/>
      <c r="E732" s="27"/>
      <c r="BE732" s="10" t="str">
        <f t="shared" si="110"/>
        <v/>
      </c>
      <c r="BF732" s="8" t="str">
        <f t="shared" si="111"/>
        <v/>
      </c>
      <c r="BG732" s="11" t="str">
        <f t="shared" si="112"/>
        <v/>
      </c>
      <c r="BH732" s="8" t="str">
        <f t="shared" si="113"/>
        <v/>
      </c>
      <c r="BI732" s="8" t="str">
        <f t="shared" si="114"/>
        <v/>
      </c>
      <c r="BJ732" s="9" t="str">
        <f t="shared" si="115"/>
        <v/>
      </c>
      <c r="BK732" s="9" t="str">
        <f>IF($B732="","",COUNTIFS($B$5:$B732,$B732,$BF$5:$BF732,$BF732))</f>
        <v/>
      </c>
      <c r="BL732" s="9" t="str">
        <f>IF($B732="","",COUNTIFS($B$5:$B732,$B732,$BH$5:$BH732,$BH732))</f>
        <v/>
      </c>
      <c r="BM732" s="9" t="str">
        <f t="shared" si="116"/>
        <v/>
      </c>
      <c r="BN732" s="9" t="str">
        <f t="shared" si="117"/>
        <v/>
      </c>
      <c r="BO732" s="9">
        <f t="shared" si="118"/>
        <v>0</v>
      </c>
      <c r="BR732" s="12" t="str">
        <f t="shared" si="119"/>
        <v/>
      </c>
    </row>
    <row r="733" spans="1:70" ht="14.25" customHeight="1">
      <c r="A733" s="26"/>
      <c r="C733" s="26"/>
      <c r="D733" s="27"/>
      <c r="E733" s="27"/>
      <c r="BE733" s="10" t="str">
        <f t="shared" ref="BE733:BE796" si="120">IF($B733="","",IF(COUNT($H733,$J733,$L733,$N733,$P733,$R733)&gt;0,SUM($H733,$J733,$L733,$N733,$P733,$R733),SUM($T733,$V733,$X733,$Z733,$AB733,$AD733,$AF733,$AH733,$AJ733,$AL733,$AN733,$AP733,$AR733,$AT733,$AV733,$AX733,$AZ733)))</f>
        <v/>
      </c>
      <c r="BF733" s="8" t="str">
        <f t="shared" ref="BF733:BF796" si="121">IF($C733="","",DATE(YEAR($C733),MONTH($C733),1))</f>
        <v/>
      </c>
      <c r="BG733" s="11" t="str">
        <f t="shared" ref="BG733:BG796" si="122">IF($BF733="","",TEXT($BF733,"mmmm yyyy"))</f>
        <v/>
      </c>
      <c r="BH733" s="8" t="str">
        <f t="shared" ref="BH733:BH796" si="123">IF($C733="","",$C733-WEEKDAY($C733,2)+1)</f>
        <v/>
      </c>
      <c r="BI733" s="8" t="str">
        <f t="shared" ref="BI733:BI796" si="124">IF($BH733="","",$BH733+6)</f>
        <v/>
      </c>
      <c r="BJ733" s="9" t="str">
        <f t="shared" ref="BJ733:BJ796" si="125">IF($BH733="","",TEXT($BH733,"dd/mm/yyyy")&amp;" - "&amp;TEXT($BI733,"dd/mm/yyyy"))</f>
        <v/>
      </c>
      <c r="BK733" s="9" t="str">
        <f>IF($B733="","",COUNTIFS($B$5:$B733,$B733,$BF$5:$BF733,$BF733))</f>
        <v/>
      </c>
      <c r="BL733" s="9" t="str">
        <f>IF($B733="","",COUNTIFS($B$5:$B733,$B733,$BH$5:$BH733,$BH733))</f>
        <v/>
      </c>
      <c r="BM733" s="9" t="str">
        <f t="shared" ref="BM733:BM796" si="126">IF($B733="","",TEXT($BK733,"00")&amp;"|"&amp;$B733&amp;"|"&amp;TEXT($BF733,"yyyymmdd"))</f>
        <v/>
      </c>
      <c r="BN733" s="9" t="str">
        <f t="shared" ref="BN733:BN796" si="127">IF($B733="","",TEXT($BL733,"00")&amp;"|"&amp;$B733&amp;"|"&amp;TEXT($BH733,"yyyymmdd"))</f>
        <v/>
      </c>
      <c r="BO733" s="9">
        <f t="shared" ref="BO733:BO796" si="128">IF(OR($BB733="YES",$BB733="Yes",$BB733="Y",$BB733=1),1,0)</f>
        <v>0</v>
      </c>
      <c r="BR733" s="12" t="str">
        <f t="shared" ref="BR733:BR796" si="129">IF($C733="","",IF($C733&gt;=DATE(2026,6,1),"QA-2026-06",IF($C733&gt;=DATE(2026,5,1),"May 2026+",IF($C733&gt;=DATE(2026,4,1),"April 2026",IF($C733&gt;=DATE(2026,3,1),"March 2026","Jan-Feb 2026")))))</f>
        <v/>
      </c>
    </row>
    <row r="734" spans="1:70" ht="14.25" customHeight="1">
      <c r="A734" s="26"/>
      <c r="C734" s="26"/>
      <c r="D734" s="27"/>
      <c r="E734" s="27"/>
      <c r="BE734" s="10" t="str">
        <f t="shared" si="120"/>
        <v/>
      </c>
      <c r="BF734" s="8" t="str">
        <f t="shared" si="121"/>
        <v/>
      </c>
      <c r="BG734" s="11" t="str">
        <f t="shared" si="122"/>
        <v/>
      </c>
      <c r="BH734" s="8" t="str">
        <f t="shared" si="123"/>
        <v/>
      </c>
      <c r="BI734" s="8" t="str">
        <f t="shared" si="124"/>
        <v/>
      </c>
      <c r="BJ734" s="9" t="str">
        <f t="shared" si="125"/>
        <v/>
      </c>
      <c r="BK734" s="9" t="str">
        <f>IF($B734="","",COUNTIFS($B$5:$B734,$B734,$BF$5:$BF734,$BF734))</f>
        <v/>
      </c>
      <c r="BL734" s="9" t="str">
        <f>IF($B734="","",COUNTIFS($B$5:$B734,$B734,$BH$5:$BH734,$BH734))</f>
        <v/>
      </c>
      <c r="BM734" s="9" t="str">
        <f t="shared" si="126"/>
        <v/>
      </c>
      <c r="BN734" s="9" t="str">
        <f t="shared" si="127"/>
        <v/>
      </c>
      <c r="BO734" s="9">
        <f t="shared" si="128"/>
        <v>0</v>
      </c>
      <c r="BR734" s="12" t="str">
        <f t="shared" si="129"/>
        <v/>
      </c>
    </row>
    <row r="735" spans="1:70" ht="14.25" customHeight="1">
      <c r="A735" s="26"/>
      <c r="C735" s="26"/>
      <c r="D735" s="27"/>
      <c r="E735" s="27"/>
      <c r="BE735" s="10" t="str">
        <f t="shared" si="120"/>
        <v/>
      </c>
      <c r="BF735" s="8" t="str">
        <f t="shared" si="121"/>
        <v/>
      </c>
      <c r="BG735" s="11" t="str">
        <f t="shared" si="122"/>
        <v/>
      </c>
      <c r="BH735" s="8" t="str">
        <f t="shared" si="123"/>
        <v/>
      </c>
      <c r="BI735" s="8" t="str">
        <f t="shared" si="124"/>
        <v/>
      </c>
      <c r="BJ735" s="9" t="str">
        <f t="shared" si="125"/>
        <v/>
      </c>
      <c r="BK735" s="9" t="str">
        <f>IF($B735="","",COUNTIFS($B$5:$B735,$B735,$BF$5:$BF735,$BF735))</f>
        <v/>
      </c>
      <c r="BL735" s="9" t="str">
        <f>IF($B735="","",COUNTIFS($B$5:$B735,$B735,$BH$5:$BH735,$BH735))</f>
        <v/>
      </c>
      <c r="BM735" s="9" t="str">
        <f t="shared" si="126"/>
        <v/>
      </c>
      <c r="BN735" s="9" t="str">
        <f t="shared" si="127"/>
        <v/>
      </c>
      <c r="BO735" s="9">
        <f t="shared" si="128"/>
        <v>0</v>
      </c>
      <c r="BR735" s="12" t="str">
        <f t="shared" si="129"/>
        <v/>
      </c>
    </row>
    <row r="736" spans="1:70" ht="14.25" customHeight="1">
      <c r="A736" s="26"/>
      <c r="C736" s="26"/>
      <c r="D736" s="27"/>
      <c r="E736" s="27"/>
      <c r="BE736" s="10" t="str">
        <f t="shared" si="120"/>
        <v/>
      </c>
      <c r="BF736" s="8" t="str">
        <f t="shared" si="121"/>
        <v/>
      </c>
      <c r="BG736" s="11" t="str">
        <f t="shared" si="122"/>
        <v/>
      </c>
      <c r="BH736" s="8" t="str">
        <f t="shared" si="123"/>
        <v/>
      </c>
      <c r="BI736" s="8" t="str">
        <f t="shared" si="124"/>
        <v/>
      </c>
      <c r="BJ736" s="9" t="str">
        <f t="shared" si="125"/>
        <v/>
      </c>
      <c r="BK736" s="9" t="str">
        <f>IF($B736="","",COUNTIFS($B$5:$B736,$B736,$BF$5:$BF736,$BF736))</f>
        <v/>
      </c>
      <c r="BL736" s="9" t="str">
        <f>IF($B736="","",COUNTIFS($B$5:$B736,$B736,$BH$5:$BH736,$BH736))</f>
        <v/>
      </c>
      <c r="BM736" s="9" t="str">
        <f t="shared" si="126"/>
        <v/>
      </c>
      <c r="BN736" s="9" t="str">
        <f t="shared" si="127"/>
        <v/>
      </c>
      <c r="BO736" s="9">
        <f t="shared" si="128"/>
        <v>0</v>
      </c>
      <c r="BR736" s="12" t="str">
        <f t="shared" si="129"/>
        <v/>
      </c>
    </row>
    <row r="737" spans="1:70" ht="14.25" customHeight="1">
      <c r="A737" s="26"/>
      <c r="C737" s="26"/>
      <c r="D737" s="27"/>
      <c r="E737" s="27"/>
      <c r="BE737" s="10" t="str">
        <f t="shared" si="120"/>
        <v/>
      </c>
      <c r="BF737" s="8" t="str">
        <f t="shared" si="121"/>
        <v/>
      </c>
      <c r="BG737" s="11" t="str">
        <f t="shared" si="122"/>
        <v/>
      </c>
      <c r="BH737" s="8" t="str">
        <f t="shared" si="123"/>
        <v/>
      </c>
      <c r="BI737" s="8" t="str">
        <f t="shared" si="124"/>
        <v/>
      </c>
      <c r="BJ737" s="9" t="str">
        <f t="shared" si="125"/>
        <v/>
      </c>
      <c r="BK737" s="9" t="str">
        <f>IF($B737="","",COUNTIFS($B$5:$B737,$B737,$BF$5:$BF737,$BF737))</f>
        <v/>
      </c>
      <c r="BL737" s="9" t="str">
        <f>IF($B737="","",COUNTIFS($B$5:$B737,$B737,$BH$5:$BH737,$BH737))</f>
        <v/>
      </c>
      <c r="BM737" s="9" t="str">
        <f t="shared" si="126"/>
        <v/>
      </c>
      <c r="BN737" s="9" t="str">
        <f t="shared" si="127"/>
        <v/>
      </c>
      <c r="BO737" s="9">
        <f t="shared" si="128"/>
        <v>0</v>
      </c>
      <c r="BR737" s="12" t="str">
        <f t="shared" si="129"/>
        <v/>
      </c>
    </row>
    <row r="738" spans="1:70" ht="14.25" customHeight="1">
      <c r="A738" s="26"/>
      <c r="C738" s="26"/>
      <c r="D738" s="27"/>
      <c r="E738" s="27"/>
      <c r="BE738" s="10" t="str">
        <f t="shared" si="120"/>
        <v/>
      </c>
      <c r="BF738" s="8" t="str">
        <f t="shared" si="121"/>
        <v/>
      </c>
      <c r="BG738" s="11" t="str">
        <f t="shared" si="122"/>
        <v/>
      </c>
      <c r="BH738" s="8" t="str">
        <f t="shared" si="123"/>
        <v/>
      </c>
      <c r="BI738" s="8" t="str">
        <f t="shared" si="124"/>
        <v/>
      </c>
      <c r="BJ738" s="9" t="str">
        <f t="shared" si="125"/>
        <v/>
      </c>
      <c r="BK738" s="9" t="str">
        <f>IF($B738="","",COUNTIFS($B$5:$B738,$B738,$BF$5:$BF738,$BF738))</f>
        <v/>
      </c>
      <c r="BL738" s="9" t="str">
        <f>IF($B738="","",COUNTIFS($B$5:$B738,$B738,$BH$5:$BH738,$BH738))</f>
        <v/>
      </c>
      <c r="BM738" s="9" t="str">
        <f t="shared" si="126"/>
        <v/>
      </c>
      <c r="BN738" s="9" t="str">
        <f t="shared" si="127"/>
        <v/>
      </c>
      <c r="BO738" s="9">
        <f t="shared" si="128"/>
        <v>0</v>
      </c>
      <c r="BR738" s="12" t="str">
        <f t="shared" si="129"/>
        <v/>
      </c>
    </row>
    <row r="739" spans="1:70" ht="14.25" customHeight="1">
      <c r="A739" s="26"/>
      <c r="C739" s="26"/>
      <c r="D739" s="27"/>
      <c r="E739" s="27"/>
      <c r="BE739" s="10" t="str">
        <f t="shared" si="120"/>
        <v/>
      </c>
      <c r="BF739" s="8" t="str">
        <f t="shared" si="121"/>
        <v/>
      </c>
      <c r="BG739" s="11" t="str">
        <f t="shared" si="122"/>
        <v/>
      </c>
      <c r="BH739" s="8" t="str">
        <f t="shared" si="123"/>
        <v/>
      </c>
      <c r="BI739" s="8" t="str">
        <f t="shared" si="124"/>
        <v/>
      </c>
      <c r="BJ739" s="9" t="str">
        <f t="shared" si="125"/>
        <v/>
      </c>
      <c r="BK739" s="9" t="str">
        <f>IF($B739="","",COUNTIFS($B$5:$B739,$B739,$BF$5:$BF739,$BF739))</f>
        <v/>
      </c>
      <c r="BL739" s="9" t="str">
        <f>IF($B739="","",COUNTIFS($B$5:$B739,$B739,$BH$5:$BH739,$BH739))</f>
        <v/>
      </c>
      <c r="BM739" s="9" t="str">
        <f t="shared" si="126"/>
        <v/>
      </c>
      <c r="BN739" s="9" t="str">
        <f t="shared" si="127"/>
        <v/>
      </c>
      <c r="BO739" s="9">
        <f t="shared" si="128"/>
        <v>0</v>
      </c>
      <c r="BR739" s="12" t="str">
        <f t="shared" si="129"/>
        <v/>
      </c>
    </row>
    <row r="740" spans="1:70" ht="14.25" customHeight="1">
      <c r="A740" s="26"/>
      <c r="C740" s="26"/>
      <c r="D740" s="27"/>
      <c r="E740" s="27"/>
      <c r="BE740" s="10" t="str">
        <f t="shared" si="120"/>
        <v/>
      </c>
      <c r="BF740" s="8" t="str">
        <f t="shared" si="121"/>
        <v/>
      </c>
      <c r="BG740" s="11" t="str">
        <f t="shared" si="122"/>
        <v/>
      </c>
      <c r="BH740" s="8" t="str">
        <f t="shared" si="123"/>
        <v/>
      </c>
      <c r="BI740" s="8" t="str">
        <f t="shared" si="124"/>
        <v/>
      </c>
      <c r="BJ740" s="9" t="str">
        <f t="shared" si="125"/>
        <v/>
      </c>
      <c r="BK740" s="9" t="str">
        <f>IF($B740="","",COUNTIFS($B$5:$B740,$B740,$BF$5:$BF740,$BF740))</f>
        <v/>
      </c>
      <c r="BL740" s="9" t="str">
        <f>IF($B740="","",COUNTIFS($B$5:$B740,$B740,$BH$5:$BH740,$BH740))</f>
        <v/>
      </c>
      <c r="BM740" s="9" t="str">
        <f t="shared" si="126"/>
        <v/>
      </c>
      <c r="BN740" s="9" t="str">
        <f t="shared" si="127"/>
        <v/>
      </c>
      <c r="BO740" s="9">
        <f t="shared" si="128"/>
        <v>0</v>
      </c>
      <c r="BR740" s="12" t="str">
        <f t="shared" si="129"/>
        <v/>
      </c>
    </row>
    <row r="741" spans="1:70" ht="14.25" customHeight="1">
      <c r="A741" s="26"/>
      <c r="C741" s="26"/>
      <c r="D741" s="27"/>
      <c r="E741" s="27"/>
      <c r="BE741" s="10" t="str">
        <f t="shared" si="120"/>
        <v/>
      </c>
      <c r="BF741" s="8" t="str">
        <f t="shared" si="121"/>
        <v/>
      </c>
      <c r="BG741" s="11" t="str">
        <f t="shared" si="122"/>
        <v/>
      </c>
      <c r="BH741" s="8" t="str">
        <f t="shared" si="123"/>
        <v/>
      </c>
      <c r="BI741" s="8" t="str">
        <f t="shared" si="124"/>
        <v/>
      </c>
      <c r="BJ741" s="9" t="str">
        <f t="shared" si="125"/>
        <v/>
      </c>
      <c r="BK741" s="9" t="str">
        <f>IF($B741="","",COUNTIFS($B$5:$B741,$B741,$BF$5:$BF741,$BF741))</f>
        <v/>
      </c>
      <c r="BL741" s="9" t="str">
        <f>IF($B741="","",COUNTIFS($B$5:$B741,$B741,$BH$5:$BH741,$BH741))</f>
        <v/>
      </c>
      <c r="BM741" s="9" t="str">
        <f t="shared" si="126"/>
        <v/>
      </c>
      <c r="BN741" s="9" t="str">
        <f t="shared" si="127"/>
        <v/>
      </c>
      <c r="BO741" s="9">
        <f t="shared" si="128"/>
        <v>0</v>
      </c>
      <c r="BR741" s="12" t="str">
        <f t="shared" si="129"/>
        <v/>
      </c>
    </row>
    <row r="742" spans="1:70" ht="14.25" customHeight="1">
      <c r="A742" s="26"/>
      <c r="C742" s="26"/>
      <c r="D742" s="27"/>
      <c r="E742" s="27"/>
      <c r="BE742" s="10" t="str">
        <f t="shared" si="120"/>
        <v/>
      </c>
      <c r="BF742" s="8" t="str">
        <f t="shared" si="121"/>
        <v/>
      </c>
      <c r="BG742" s="11" t="str">
        <f t="shared" si="122"/>
        <v/>
      </c>
      <c r="BH742" s="8" t="str">
        <f t="shared" si="123"/>
        <v/>
      </c>
      <c r="BI742" s="8" t="str">
        <f t="shared" si="124"/>
        <v/>
      </c>
      <c r="BJ742" s="9" t="str">
        <f t="shared" si="125"/>
        <v/>
      </c>
      <c r="BK742" s="9" t="str">
        <f>IF($B742="","",COUNTIFS($B$5:$B742,$B742,$BF$5:$BF742,$BF742))</f>
        <v/>
      </c>
      <c r="BL742" s="9" t="str">
        <f>IF($B742="","",COUNTIFS($B$5:$B742,$B742,$BH$5:$BH742,$BH742))</f>
        <v/>
      </c>
      <c r="BM742" s="9" t="str">
        <f t="shared" si="126"/>
        <v/>
      </c>
      <c r="BN742" s="9" t="str">
        <f t="shared" si="127"/>
        <v/>
      </c>
      <c r="BO742" s="9">
        <f t="shared" si="128"/>
        <v>0</v>
      </c>
      <c r="BR742" s="12" t="str">
        <f t="shared" si="129"/>
        <v/>
      </c>
    </row>
    <row r="743" spans="1:70" ht="14.25" customHeight="1">
      <c r="A743" s="26"/>
      <c r="C743" s="26"/>
      <c r="D743" s="27"/>
      <c r="E743" s="27"/>
      <c r="BE743" s="10" t="str">
        <f t="shared" si="120"/>
        <v/>
      </c>
      <c r="BF743" s="8" t="str">
        <f t="shared" si="121"/>
        <v/>
      </c>
      <c r="BG743" s="11" t="str">
        <f t="shared" si="122"/>
        <v/>
      </c>
      <c r="BH743" s="8" t="str">
        <f t="shared" si="123"/>
        <v/>
      </c>
      <c r="BI743" s="8" t="str">
        <f t="shared" si="124"/>
        <v/>
      </c>
      <c r="BJ743" s="9" t="str">
        <f t="shared" si="125"/>
        <v/>
      </c>
      <c r="BK743" s="9" t="str">
        <f>IF($B743="","",COUNTIFS($B$5:$B743,$B743,$BF$5:$BF743,$BF743))</f>
        <v/>
      </c>
      <c r="BL743" s="9" t="str">
        <f>IF($B743="","",COUNTIFS($B$5:$B743,$B743,$BH$5:$BH743,$BH743))</f>
        <v/>
      </c>
      <c r="BM743" s="9" t="str">
        <f t="shared" si="126"/>
        <v/>
      </c>
      <c r="BN743" s="9" t="str">
        <f t="shared" si="127"/>
        <v/>
      </c>
      <c r="BO743" s="9">
        <f t="shared" si="128"/>
        <v>0</v>
      </c>
      <c r="BR743" s="12" t="str">
        <f t="shared" si="129"/>
        <v/>
      </c>
    </row>
    <row r="744" spans="1:70" ht="14.25" customHeight="1">
      <c r="A744" s="26"/>
      <c r="C744" s="26"/>
      <c r="D744" s="27"/>
      <c r="E744" s="27"/>
      <c r="BE744" s="10" t="str">
        <f t="shared" si="120"/>
        <v/>
      </c>
      <c r="BF744" s="8" t="str">
        <f t="shared" si="121"/>
        <v/>
      </c>
      <c r="BG744" s="11" t="str">
        <f t="shared" si="122"/>
        <v/>
      </c>
      <c r="BH744" s="8" t="str">
        <f t="shared" si="123"/>
        <v/>
      </c>
      <c r="BI744" s="8" t="str">
        <f t="shared" si="124"/>
        <v/>
      </c>
      <c r="BJ744" s="9" t="str">
        <f t="shared" si="125"/>
        <v/>
      </c>
      <c r="BK744" s="9" t="str">
        <f>IF($B744="","",COUNTIFS($B$5:$B744,$B744,$BF$5:$BF744,$BF744))</f>
        <v/>
      </c>
      <c r="BL744" s="9" t="str">
        <f>IF($B744="","",COUNTIFS($B$5:$B744,$B744,$BH$5:$BH744,$BH744))</f>
        <v/>
      </c>
      <c r="BM744" s="9" t="str">
        <f t="shared" si="126"/>
        <v/>
      </c>
      <c r="BN744" s="9" t="str">
        <f t="shared" si="127"/>
        <v/>
      </c>
      <c r="BO744" s="9">
        <f t="shared" si="128"/>
        <v>0</v>
      </c>
      <c r="BR744" s="12" t="str">
        <f t="shared" si="129"/>
        <v/>
      </c>
    </row>
    <row r="745" spans="1:70" ht="14.25" customHeight="1">
      <c r="A745" s="26"/>
      <c r="C745" s="26"/>
      <c r="D745" s="27"/>
      <c r="E745" s="27"/>
      <c r="BE745" s="10" t="str">
        <f t="shared" si="120"/>
        <v/>
      </c>
      <c r="BF745" s="8" t="str">
        <f t="shared" si="121"/>
        <v/>
      </c>
      <c r="BG745" s="11" t="str">
        <f t="shared" si="122"/>
        <v/>
      </c>
      <c r="BH745" s="8" t="str">
        <f t="shared" si="123"/>
        <v/>
      </c>
      <c r="BI745" s="8" t="str">
        <f t="shared" si="124"/>
        <v/>
      </c>
      <c r="BJ745" s="9" t="str">
        <f t="shared" si="125"/>
        <v/>
      </c>
      <c r="BK745" s="9" t="str">
        <f>IF($B745="","",COUNTIFS($B$5:$B745,$B745,$BF$5:$BF745,$BF745))</f>
        <v/>
      </c>
      <c r="BL745" s="9" t="str">
        <f>IF($B745="","",COUNTIFS($B$5:$B745,$B745,$BH$5:$BH745,$BH745))</f>
        <v/>
      </c>
      <c r="BM745" s="9" t="str">
        <f t="shared" si="126"/>
        <v/>
      </c>
      <c r="BN745" s="9" t="str">
        <f t="shared" si="127"/>
        <v/>
      </c>
      <c r="BO745" s="9">
        <f t="shared" si="128"/>
        <v>0</v>
      </c>
      <c r="BR745" s="12" t="str">
        <f t="shared" si="129"/>
        <v/>
      </c>
    </row>
    <row r="746" spans="1:70" ht="14.25" customHeight="1">
      <c r="A746" s="26"/>
      <c r="C746" s="26"/>
      <c r="D746" s="27"/>
      <c r="E746" s="27"/>
      <c r="BE746" s="10" t="str">
        <f t="shared" si="120"/>
        <v/>
      </c>
      <c r="BF746" s="8" t="str">
        <f t="shared" si="121"/>
        <v/>
      </c>
      <c r="BG746" s="11" t="str">
        <f t="shared" si="122"/>
        <v/>
      </c>
      <c r="BH746" s="8" t="str">
        <f t="shared" si="123"/>
        <v/>
      </c>
      <c r="BI746" s="8" t="str">
        <f t="shared" si="124"/>
        <v/>
      </c>
      <c r="BJ746" s="9" t="str">
        <f t="shared" si="125"/>
        <v/>
      </c>
      <c r="BK746" s="9" t="str">
        <f>IF($B746="","",COUNTIFS($B$5:$B746,$B746,$BF$5:$BF746,$BF746))</f>
        <v/>
      </c>
      <c r="BL746" s="9" t="str">
        <f>IF($B746="","",COUNTIFS($B$5:$B746,$B746,$BH$5:$BH746,$BH746))</f>
        <v/>
      </c>
      <c r="BM746" s="9" t="str">
        <f t="shared" si="126"/>
        <v/>
      </c>
      <c r="BN746" s="9" t="str">
        <f t="shared" si="127"/>
        <v/>
      </c>
      <c r="BO746" s="9">
        <f t="shared" si="128"/>
        <v>0</v>
      </c>
      <c r="BR746" s="12" t="str">
        <f t="shared" si="129"/>
        <v/>
      </c>
    </row>
    <row r="747" spans="1:70" ht="14.25" customHeight="1">
      <c r="A747" s="26"/>
      <c r="C747" s="26"/>
      <c r="D747" s="27"/>
      <c r="E747" s="27"/>
      <c r="BE747" s="10" t="str">
        <f t="shared" si="120"/>
        <v/>
      </c>
      <c r="BF747" s="8" t="str">
        <f t="shared" si="121"/>
        <v/>
      </c>
      <c r="BG747" s="11" t="str">
        <f t="shared" si="122"/>
        <v/>
      </c>
      <c r="BH747" s="8" t="str">
        <f t="shared" si="123"/>
        <v/>
      </c>
      <c r="BI747" s="8" t="str">
        <f t="shared" si="124"/>
        <v/>
      </c>
      <c r="BJ747" s="9" t="str">
        <f t="shared" si="125"/>
        <v/>
      </c>
      <c r="BK747" s="9" t="str">
        <f>IF($B747="","",COUNTIFS($B$5:$B747,$B747,$BF$5:$BF747,$BF747))</f>
        <v/>
      </c>
      <c r="BL747" s="9" t="str">
        <f>IF($B747="","",COUNTIFS($B$5:$B747,$B747,$BH$5:$BH747,$BH747))</f>
        <v/>
      </c>
      <c r="BM747" s="9" t="str">
        <f t="shared" si="126"/>
        <v/>
      </c>
      <c r="BN747" s="9" t="str">
        <f t="shared" si="127"/>
        <v/>
      </c>
      <c r="BO747" s="9">
        <f t="shared" si="128"/>
        <v>0</v>
      </c>
      <c r="BR747" s="12" t="str">
        <f t="shared" si="129"/>
        <v/>
      </c>
    </row>
    <row r="748" spans="1:70" ht="14.25" customHeight="1">
      <c r="A748" s="26"/>
      <c r="C748" s="26"/>
      <c r="D748" s="27"/>
      <c r="E748" s="27"/>
      <c r="BE748" s="10" t="str">
        <f t="shared" si="120"/>
        <v/>
      </c>
      <c r="BF748" s="8" t="str">
        <f t="shared" si="121"/>
        <v/>
      </c>
      <c r="BG748" s="11" t="str">
        <f t="shared" si="122"/>
        <v/>
      </c>
      <c r="BH748" s="8" t="str">
        <f t="shared" si="123"/>
        <v/>
      </c>
      <c r="BI748" s="8" t="str">
        <f t="shared" si="124"/>
        <v/>
      </c>
      <c r="BJ748" s="9" t="str">
        <f t="shared" si="125"/>
        <v/>
      </c>
      <c r="BK748" s="9" t="str">
        <f>IF($B748="","",COUNTIFS($B$5:$B748,$B748,$BF$5:$BF748,$BF748))</f>
        <v/>
      </c>
      <c r="BL748" s="9" t="str">
        <f>IF($B748="","",COUNTIFS($B$5:$B748,$B748,$BH$5:$BH748,$BH748))</f>
        <v/>
      </c>
      <c r="BM748" s="9" t="str">
        <f t="shared" si="126"/>
        <v/>
      </c>
      <c r="BN748" s="9" t="str">
        <f t="shared" si="127"/>
        <v/>
      </c>
      <c r="BO748" s="9">
        <f t="shared" si="128"/>
        <v>0</v>
      </c>
      <c r="BR748" s="12" t="str">
        <f t="shared" si="129"/>
        <v/>
      </c>
    </row>
    <row r="749" spans="1:70" ht="14.25" customHeight="1">
      <c r="A749" s="26"/>
      <c r="C749" s="26"/>
      <c r="D749" s="27"/>
      <c r="E749" s="27"/>
      <c r="BE749" s="10" t="str">
        <f t="shared" si="120"/>
        <v/>
      </c>
      <c r="BF749" s="8" t="str">
        <f t="shared" si="121"/>
        <v/>
      </c>
      <c r="BG749" s="11" t="str">
        <f t="shared" si="122"/>
        <v/>
      </c>
      <c r="BH749" s="8" t="str">
        <f t="shared" si="123"/>
        <v/>
      </c>
      <c r="BI749" s="8" t="str">
        <f t="shared" si="124"/>
        <v/>
      </c>
      <c r="BJ749" s="9" t="str">
        <f t="shared" si="125"/>
        <v/>
      </c>
      <c r="BK749" s="9" t="str">
        <f>IF($B749="","",COUNTIFS($B$5:$B749,$B749,$BF$5:$BF749,$BF749))</f>
        <v/>
      </c>
      <c r="BL749" s="9" t="str">
        <f>IF($B749="","",COUNTIFS($B$5:$B749,$B749,$BH$5:$BH749,$BH749))</f>
        <v/>
      </c>
      <c r="BM749" s="9" t="str">
        <f t="shared" si="126"/>
        <v/>
      </c>
      <c r="BN749" s="9" t="str">
        <f t="shared" si="127"/>
        <v/>
      </c>
      <c r="BO749" s="9">
        <f t="shared" si="128"/>
        <v>0</v>
      </c>
      <c r="BR749" s="12" t="str">
        <f t="shared" si="129"/>
        <v/>
      </c>
    </row>
    <row r="750" spans="1:70" ht="14.25" customHeight="1">
      <c r="A750" s="26"/>
      <c r="C750" s="26"/>
      <c r="D750" s="27"/>
      <c r="E750" s="27"/>
      <c r="BE750" s="10" t="str">
        <f t="shared" si="120"/>
        <v/>
      </c>
      <c r="BF750" s="8" t="str">
        <f t="shared" si="121"/>
        <v/>
      </c>
      <c r="BG750" s="11" t="str">
        <f t="shared" si="122"/>
        <v/>
      </c>
      <c r="BH750" s="8" t="str">
        <f t="shared" si="123"/>
        <v/>
      </c>
      <c r="BI750" s="8" t="str">
        <f t="shared" si="124"/>
        <v/>
      </c>
      <c r="BJ750" s="9" t="str">
        <f t="shared" si="125"/>
        <v/>
      </c>
      <c r="BK750" s="9" t="str">
        <f>IF($B750="","",COUNTIFS($B$5:$B750,$B750,$BF$5:$BF750,$BF750))</f>
        <v/>
      </c>
      <c r="BL750" s="9" t="str">
        <f>IF($B750="","",COUNTIFS($B$5:$B750,$B750,$BH$5:$BH750,$BH750))</f>
        <v/>
      </c>
      <c r="BM750" s="9" t="str">
        <f t="shared" si="126"/>
        <v/>
      </c>
      <c r="BN750" s="9" t="str">
        <f t="shared" si="127"/>
        <v/>
      </c>
      <c r="BO750" s="9">
        <f t="shared" si="128"/>
        <v>0</v>
      </c>
      <c r="BR750" s="12" t="str">
        <f t="shared" si="129"/>
        <v/>
      </c>
    </row>
    <row r="751" spans="1:70" ht="14.25" customHeight="1">
      <c r="A751" s="26"/>
      <c r="C751" s="26"/>
      <c r="D751" s="27"/>
      <c r="E751" s="27"/>
      <c r="BE751" s="10" t="str">
        <f t="shared" si="120"/>
        <v/>
      </c>
      <c r="BF751" s="8" t="str">
        <f t="shared" si="121"/>
        <v/>
      </c>
      <c r="BG751" s="11" t="str">
        <f t="shared" si="122"/>
        <v/>
      </c>
      <c r="BH751" s="8" t="str">
        <f t="shared" si="123"/>
        <v/>
      </c>
      <c r="BI751" s="8" t="str">
        <f t="shared" si="124"/>
        <v/>
      </c>
      <c r="BJ751" s="9" t="str">
        <f t="shared" si="125"/>
        <v/>
      </c>
      <c r="BK751" s="9" t="str">
        <f>IF($B751="","",COUNTIFS($B$5:$B751,$B751,$BF$5:$BF751,$BF751))</f>
        <v/>
      </c>
      <c r="BL751" s="9" t="str">
        <f>IF($B751="","",COUNTIFS($B$5:$B751,$B751,$BH$5:$BH751,$BH751))</f>
        <v/>
      </c>
      <c r="BM751" s="9" t="str">
        <f t="shared" si="126"/>
        <v/>
      </c>
      <c r="BN751" s="9" t="str">
        <f t="shared" si="127"/>
        <v/>
      </c>
      <c r="BO751" s="9">
        <f t="shared" si="128"/>
        <v>0</v>
      </c>
      <c r="BR751" s="12" t="str">
        <f t="shared" si="129"/>
        <v/>
      </c>
    </row>
    <row r="752" spans="1:70" ht="14.25" customHeight="1">
      <c r="A752" s="26"/>
      <c r="C752" s="26"/>
      <c r="D752" s="27"/>
      <c r="E752" s="27"/>
      <c r="BE752" s="10" t="str">
        <f t="shared" si="120"/>
        <v/>
      </c>
      <c r="BF752" s="8" t="str">
        <f t="shared" si="121"/>
        <v/>
      </c>
      <c r="BG752" s="11" t="str">
        <f t="shared" si="122"/>
        <v/>
      </c>
      <c r="BH752" s="8" t="str">
        <f t="shared" si="123"/>
        <v/>
      </c>
      <c r="BI752" s="8" t="str">
        <f t="shared" si="124"/>
        <v/>
      </c>
      <c r="BJ752" s="9" t="str">
        <f t="shared" si="125"/>
        <v/>
      </c>
      <c r="BK752" s="9" t="str">
        <f>IF($B752="","",COUNTIFS($B$5:$B752,$B752,$BF$5:$BF752,$BF752))</f>
        <v/>
      </c>
      <c r="BL752" s="9" t="str">
        <f>IF($B752="","",COUNTIFS($B$5:$B752,$B752,$BH$5:$BH752,$BH752))</f>
        <v/>
      </c>
      <c r="BM752" s="9" t="str">
        <f t="shared" si="126"/>
        <v/>
      </c>
      <c r="BN752" s="9" t="str">
        <f t="shared" si="127"/>
        <v/>
      </c>
      <c r="BO752" s="9">
        <f t="shared" si="128"/>
        <v>0</v>
      </c>
      <c r="BR752" s="12" t="str">
        <f t="shared" si="129"/>
        <v/>
      </c>
    </row>
    <row r="753" spans="1:70" ht="14.25" customHeight="1">
      <c r="A753" s="26"/>
      <c r="C753" s="26"/>
      <c r="D753" s="27"/>
      <c r="E753" s="27"/>
      <c r="BE753" s="10" t="str">
        <f t="shared" si="120"/>
        <v/>
      </c>
      <c r="BF753" s="8" t="str">
        <f t="shared" si="121"/>
        <v/>
      </c>
      <c r="BG753" s="11" t="str">
        <f t="shared" si="122"/>
        <v/>
      </c>
      <c r="BH753" s="8" t="str">
        <f t="shared" si="123"/>
        <v/>
      </c>
      <c r="BI753" s="8" t="str">
        <f t="shared" si="124"/>
        <v/>
      </c>
      <c r="BJ753" s="9" t="str">
        <f t="shared" si="125"/>
        <v/>
      </c>
      <c r="BK753" s="9" t="str">
        <f>IF($B753="","",COUNTIFS($B$5:$B753,$B753,$BF$5:$BF753,$BF753))</f>
        <v/>
      </c>
      <c r="BL753" s="9" t="str">
        <f>IF($B753="","",COUNTIFS($B$5:$B753,$B753,$BH$5:$BH753,$BH753))</f>
        <v/>
      </c>
      <c r="BM753" s="9" t="str">
        <f t="shared" si="126"/>
        <v/>
      </c>
      <c r="BN753" s="9" t="str">
        <f t="shared" si="127"/>
        <v/>
      </c>
      <c r="BO753" s="9">
        <f t="shared" si="128"/>
        <v>0</v>
      </c>
      <c r="BR753" s="12" t="str">
        <f t="shared" si="129"/>
        <v/>
      </c>
    </row>
    <row r="754" spans="1:70" ht="14.25" customHeight="1">
      <c r="A754" s="26"/>
      <c r="C754" s="26"/>
      <c r="D754" s="27"/>
      <c r="E754" s="27"/>
      <c r="BE754" s="10" t="str">
        <f t="shared" si="120"/>
        <v/>
      </c>
      <c r="BF754" s="8" t="str">
        <f t="shared" si="121"/>
        <v/>
      </c>
      <c r="BG754" s="11" t="str">
        <f t="shared" si="122"/>
        <v/>
      </c>
      <c r="BH754" s="8" t="str">
        <f t="shared" si="123"/>
        <v/>
      </c>
      <c r="BI754" s="8" t="str">
        <f t="shared" si="124"/>
        <v/>
      </c>
      <c r="BJ754" s="9" t="str">
        <f t="shared" si="125"/>
        <v/>
      </c>
      <c r="BK754" s="9" t="str">
        <f>IF($B754="","",COUNTIFS($B$5:$B754,$B754,$BF$5:$BF754,$BF754))</f>
        <v/>
      </c>
      <c r="BL754" s="9" t="str">
        <f>IF($B754="","",COUNTIFS($B$5:$B754,$B754,$BH$5:$BH754,$BH754))</f>
        <v/>
      </c>
      <c r="BM754" s="9" t="str">
        <f t="shared" si="126"/>
        <v/>
      </c>
      <c r="BN754" s="9" t="str">
        <f t="shared" si="127"/>
        <v/>
      </c>
      <c r="BO754" s="9">
        <f t="shared" si="128"/>
        <v>0</v>
      </c>
      <c r="BR754" s="12" t="str">
        <f t="shared" si="129"/>
        <v/>
      </c>
    </row>
    <row r="755" spans="1:70" ht="14.25" customHeight="1">
      <c r="A755" s="26"/>
      <c r="C755" s="26"/>
      <c r="D755" s="27"/>
      <c r="E755" s="27"/>
      <c r="BE755" s="10" t="str">
        <f t="shared" si="120"/>
        <v/>
      </c>
      <c r="BF755" s="8" t="str">
        <f t="shared" si="121"/>
        <v/>
      </c>
      <c r="BG755" s="11" t="str">
        <f t="shared" si="122"/>
        <v/>
      </c>
      <c r="BH755" s="8" t="str">
        <f t="shared" si="123"/>
        <v/>
      </c>
      <c r="BI755" s="8" t="str">
        <f t="shared" si="124"/>
        <v/>
      </c>
      <c r="BJ755" s="9" t="str">
        <f t="shared" si="125"/>
        <v/>
      </c>
      <c r="BK755" s="9" t="str">
        <f>IF($B755="","",COUNTIFS($B$5:$B755,$B755,$BF$5:$BF755,$BF755))</f>
        <v/>
      </c>
      <c r="BL755" s="9" t="str">
        <f>IF($B755="","",COUNTIFS($B$5:$B755,$B755,$BH$5:$BH755,$BH755))</f>
        <v/>
      </c>
      <c r="BM755" s="9" t="str">
        <f t="shared" si="126"/>
        <v/>
      </c>
      <c r="BN755" s="9" t="str">
        <f t="shared" si="127"/>
        <v/>
      </c>
      <c r="BO755" s="9">
        <f t="shared" si="128"/>
        <v>0</v>
      </c>
      <c r="BR755" s="12" t="str">
        <f t="shared" si="129"/>
        <v/>
      </c>
    </row>
    <row r="756" spans="1:70" ht="14.25" customHeight="1">
      <c r="A756" s="26"/>
      <c r="C756" s="26"/>
      <c r="D756" s="27"/>
      <c r="E756" s="27"/>
      <c r="BE756" s="10" t="str">
        <f t="shared" si="120"/>
        <v/>
      </c>
      <c r="BF756" s="8" t="str">
        <f t="shared" si="121"/>
        <v/>
      </c>
      <c r="BG756" s="11" t="str">
        <f t="shared" si="122"/>
        <v/>
      </c>
      <c r="BH756" s="8" t="str">
        <f t="shared" si="123"/>
        <v/>
      </c>
      <c r="BI756" s="8" t="str">
        <f t="shared" si="124"/>
        <v/>
      </c>
      <c r="BJ756" s="9" t="str">
        <f t="shared" si="125"/>
        <v/>
      </c>
      <c r="BK756" s="9" t="str">
        <f>IF($B756="","",COUNTIFS($B$5:$B756,$B756,$BF$5:$BF756,$BF756))</f>
        <v/>
      </c>
      <c r="BL756" s="9" t="str">
        <f>IF($B756="","",COUNTIFS($B$5:$B756,$B756,$BH$5:$BH756,$BH756))</f>
        <v/>
      </c>
      <c r="BM756" s="9" t="str">
        <f t="shared" si="126"/>
        <v/>
      </c>
      <c r="BN756" s="9" t="str">
        <f t="shared" si="127"/>
        <v/>
      </c>
      <c r="BO756" s="9">
        <f t="shared" si="128"/>
        <v>0</v>
      </c>
      <c r="BR756" s="12" t="str">
        <f t="shared" si="129"/>
        <v/>
      </c>
    </row>
    <row r="757" spans="1:70" ht="14.25" customHeight="1">
      <c r="A757" s="26"/>
      <c r="C757" s="26"/>
      <c r="D757" s="27"/>
      <c r="E757" s="27"/>
      <c r="BE757" s="10" t="str">
        <f t="shared" si="120"/>
        <v/>
      </c>
      <c r="BF757" s="8" t="str">
        <f t="shared" si="121"/>
        <v/>
      </c>
      <c r="BG757" s="11" t="str">
        <f t="shared" si="122"/>
        <v/>
      </c>
      <c r="BH757" s="8" t="str">
        <f t="shared" si="123"/>
        <v/>
      </c>
      <c r="BI757" s="8" t="str">
        <f t="shared" si="124"/>
        <v/>
      </c>
      <c r="BJ757" s="9" t="str">
        <f t="shared" si="125"/>
        <v/>
      </c>
      <c r="BK757" s="9" t="str">
        <f>IF($B757="","",COUNTIFS($B$5:$B757,$B757,$BF$5:$BF757,$BF757))</f>
        <v/>
      </c>
      <c r="BL757" s="9" t="str">
        <f>IF($B757="","",COUNTIFS($B$5:$B757,$B757,$BH$5:$BH757,$BH757))</f>
        <v/>
      </c>
      <c r="BM757" s="9" t="str">
        <f t="shared" si="126"/>
        <v/>
      </c>
      <c r="BN757" s="9" t="str">
        <f t="shared" si="127"/>
        <v/>
      </c>
      <c r="BO757" s="9">
        <f t="shared" si="128"/>
        <v>0</v>
      </c>
      <c r="BR757" s="12" t="str">
        <f t="shared" si="129"/>
        <v/>
      </c>
    </row>
    <row r="758" spans="1:70" ht="14.25" customHeight="1">
      <c r="A758" s="26"/>
      <c r="C758" s="26"/>
      <c r="D758" s="27"/>
      <c r="E758" s="27"/>
      <c r="BE758" s="10" t="str">
        <f t="shared" si="120"/>
        <v/>
      </c>
      <c r="BF758" s="8" t="str">
        <f t="shared" si="121"/>
        <v/>
      </c>
      <c r="BG758" s="11" t="str">
        <f t="shared" si="122"/>
        <v/>
      </c>
      <c r="BH758" s="8" t="str">
        <f t="shared" si="123"/>
        <v/>
      </c>
      <c r="BI758" s="8" t="str">
        <f t="shared" si="124"/>
        <v/>
      </c>
      <c r="BJ758" s="9" t="str">
        <f t="shared" si="125"/>
        <v/>
      </c>
      <c r="BK758" s="9" t="str">
        <f>IF($B758="","",COUNTIFS($B$5:$B758,$B758,$BF$5:$BF758,$BF758))</f>
        <v/>
      </c>
      <c r="BL758" s="9" t="str">
        <f>IF($B758="","",COUNTIFS($B$5:$B758,$B758,$BH$5:$BH758,$BH758))</f>
        <v/>
      </c>
      <c r="BM758" s="9" t="str">
        <f t="shared" si="126"/>
        <v/>
      </c>
      <c r="BN758" s="9" t="str">
        <f t="shared" si="127"/>
        <v/>
      </c>
      <c r="BO758" s="9">
        <f t="shared" si="128"/>
        <v>0</v>
      </c>
      <c r="BR758" s="12" t="str">
        <f t="shared" si="129"/>
        <v/>
      </c>
    </row>
    <row r="759" spans="1:70" ht="14.25" customHeight="1">
      <c r="A759" s="26"/>
      <c r="C759" s="26"/>
      <c r="D759" s="27"/>
      <c r="E759" s="27"/>
      <c r="BE759" s="10" t="str">
        <f t="shared" si="120"/>
        <v/>
      </c>
      <c r="BF759" s="8" t="str">
        <f t="shared" si="121"/>
        <v/>
      </c>
      <c r="BG759" s="11" t="str">
        <f t="shared" si="122"/>
        <v/>
      </c>
      <c r="BH759" s="8" t="str">
        <f t="shared" si="123"/>
        <v/>
      </c>
      <c r="BI759" s="8" t="str">
        <f t="shared" si="124"/>
        <v/>
      </c>
      <c r="BJ759" s="9" t="str">
        <f t="shared" si="125"/>
        <v/>
      </c>
      <c r="BK759" s="9" t="str">
        <f>IF($B759="","",COUNTIFS($B$5:$B759,$B759,$BF$5:$BF759,$BF759))</f>
        <v/>
      </c>
      <c r="BL759" s="9" t="str">
        <f>IF($B759="","",COUNTIFS($B$5:$B759,$B759,$BH$5:$BH759,$BH759))</f>
        <v/>
      </c>
      <c r="BM759" s="9" t="str">
        <f t="shared" si="126"/>
        <v/>
      </c>
      <c r="BN759" s="9" t="str">
        <f t="shared" si="127"/>
        <v/>
      </c>
      <c r="BO759" s="9">
        <f t="shared" si="128"/>
        <v>0</v>
      </c>
      <c r="BR759" s="12" t="str">
        <f t="shared" si="129"/>
        <v/>
      </c>
    </row>
    <row r="760" spans="1:70" ht="14.25" customHeight="1">
      <c r="A760" s="26"/>
      <c r="C760" s="26"/>
      <c r="D760" s="27"/>
      <c r="E760" s="27"/>
      <c r="BE760" s="10" t="str">
        <f t="shared" si="120"/>
        <v/>
      </c>
      <c r="BF760" s="8" t="str">
        <f t="shared" si="121"/>
        <v/>
      </c>
      <c r="BG760" s="11" t="str">
        <f t="shared" si="122"/>
        <v/>
      </c>
      <c r="BH760" s="8" t="str">
        <f t="shared" si="123"/>
        <v/>
      </c>
      <c r="BI760" s="8" t="str">
        <f t="shared" si="124"/>
        <v/>
      </c>
      <c r="BJ760" s="9" t="str">
        <f t="shared" si="125"/>
        <v/>
      </c>
      <c r="BK760" s="9" t="str">
        <f>IF($B760="","",COUNTIFS($B$5:$B760,$B760,$BF$5:$BF760,$BF760))</f>
        <v/>
      </c>
      <c r="BL760" s="9" t="str">
        <f>IF($B760="","",COUNTIFS($B$5:$B760,$B760,$BH$5:$BH760,$BH760))</f>
        <v/>
      </c>
      <c r="BM760" s="9" t="str">
        <f t="shared" si="126"/>
        <v/>
      </c>
      <c r="BN760" s="9" t="str">
        <f t="shared" si="127"/>
        <v/>
      </c>
      <c r="BO760" s="9">
        <f t="shared" si="128"/>
        <v>0</v>
      </c>
      <c r="BR760" s="12" t="str">
        <f t="shared" si="129"/>
        <v/>
      </c>
    </row>
    <row r="761" spans="1:70" ht="14.25" customHeight="1">
      <c r="A761" s="26"/>
      <c r="C761" s="26"/>
      <c r="D761" s="27"/>
      <c r="E761" s="27"/>
      <c r="BE761" s="10" t="str">
        <f t="shared" si="120"/>
        <v/>
      </c>
      <c r="BF761" s="8" t="str">
        <f t="shared" si="121"/>
        <v/>
      </c>
      <c r="BG761" s="11" t="str">
        <f t="shared" si="122"/>
        <v/>
      </c>
      <c r="BH761" s="8" t="str">
        <f t="shared" si="123"/>
        <v/>
      </c>
      <c r="BI761" s="8" t="str">
        <f t="shared" si="124"/>
        <v/>
      </c>
      <c r="BJ761" s="9" t="str">
        <f t="shared" si="125"/>
        <v/>
      </c>
      <c r="BK761" s="9" t="str">
        <f>IF($B761="","",COUNTIFS($B$5:$B761,$B761,$BF$5:$BF761,$BF761))</f>
        <v/>
      </c>
      <c r="BL761" s="9" t="str">
        <f>IF($B761="","",COUNTIFS($B$5:$B761,$B761,$BH$5:$BH761,$BH761))</f>
        <v/>
      </c>
      <c r="BM761" s="9" t="str">
        <f t="shared" si="126"/>
        <v/>
      </c>
      <c r="BN761" s="9" t="str">
        <f t="shared" si="127"/>
        <v/>
      </c>
      <c r="BO761" s="9">
        <f t="shared" si="128"/>
        <v>0</v>
      </c>
      <c r="BR761" s="12" t="str">
        <f t="shared" si="129"/>
        <v/>
      </c>
    </row>
    <row r="762" spans="1:70" ht="14.25" customHeight="1">
      <c r="A762" s="26"/>
      <c r="C762" s="26"/>
      <c r="D762" s="27"/>
      <c r="E762" s="27"/>
      <c r="BE762" s="10" t="str">
        <f t="shared" si="120"/>
        <v/>
      </c>
      <c r="BF762" s="8" t="str">
        <f t="shared" si="121"/>
        <v/>
      </c>
      <c r="BG762" s="11" t="str">
        <f t="shared" si="122"/>
        <v/>
      </c>
      <c r="BH762" s="8" t="str">
        <f t="shared" si="123"/>
        <v/>
      </c>
      <c r="BI762" s="8" t="str">
        <f t="shared" si="124"/>
        <v/>
      </c>
      <c r="BJ762" s="9" t="str">
        <f t="shared" si="125"/>
        <v/>
      </c>
      <c r="BK762" s="9" t="str">
        <f>IF($B762="","",COUNTIFS($B$5:$B762,$B762,$BF$5:$BF762,$BF762))</f>
        <v/>
      </c>
      <c r="BL762" s="9" t="str">
        <f>IF($B762="","",COUNTIFS($B$5:$B762,$B762,$BH$5:$BH762,$BH762))</f>
        <v/>
      </c>
      <c r="BM762" s="9" t="str">
        <f t="shared" si="126"/>
        <v/>
      </c>
      <c r="BN762" s="9" t="str">
        <f t="shared" si="127"/>
        <v/>
      </c>
      <c r="BO762" s="9">
        <f t="shared" si="128"/>
        <v>0</v>
      </c>
      <c r="BR762" s="12" t="str">
        <f t="shared" si="129"/>
        <v/>
      </c>
    </row>
    <row r="763" spans="1:70" ht="14.25" customHeight="1">
      <c r="A763" s="26"/>
      <c r="C763" s="26"/>
      <c r="D763" s="27"/>
      <c r="E763" s="27"/>
      <c r="BE763" s="10" t="str">
        <f t="shared" si="120"/>
        <v/>
      </c>
      <c r="BF763" s="8" t="str">
        <f t="shared" si="121"/>
        <v/>
      </c>
      <c r="BG763" s="11" t="str">
        <f t="shared" si="122"/>
        <v/>
      </c>
      <c r="BH763" s="8" t="str">
        <f t="shared" si="123"/>
        <v/>
      </c>
      <c r="BI763" s="8" t="str">
        <f t="shared" si="124"/>
        <v/>
      </c>
      <c r="BJ763" s="9" t="str">
        <f t="shared" si="125"/>
        <v/>
      </c>
      <c r="BK763" s="9" t="str">
        <f>IF($B763="","",COUNTIFS($B$5:$B763,$B763,$BF$5:$BF763,$BF763))</f>
        <v/>
      </c>
      <c r="BL763" s="9" t="str">
        <f>IF($B763="","",COUNTIFS($B$5:$B763,$B763,$BH$5:$BH763,$BH763))</f>
        <v/>
      </c>
      <c r="BM763" s="9" t="str">
        <f t="shared" si="126"/>
        <v/>
      </c>
      <c r="BN763" s="9" t="str">
        <f t="shared" si="127"/>
        <v/>
      </c>
      <c r="BO763" s="9">
        <f t="shared" si="128"/>
        <v>0</v>
      </c>
      <c r="BR763" s="12" t="str">
        <f t="shared" si="129"/>
        <v/>
      </c>
    </row>
    <row r="764" spans="1:70" ht="14.25" customHeight="1">
      <c r="A764" s="26"/>
      <c r="C764" s="26"/>
      <c r="D764" s="27"/>
      <c r="E764" s="27"/>
      <c r="BE764" s="10" t="str">
        <f t="shared" si="120"/>
        <v/>
      </c>
      <c r="BF764" s="8" t="str">
        <f t="shared" si="121"/>
        <v/>
      </c>
      <c r="BG764" s="11" t="str">
        <f t="shared" si="122"/>
        <v/>
      </c>
      <c r="BH764" s="8" t="str">
        <f t="shared" si="123"/>
        <v/>
      </c>
      <c r="BI764" s="8" t="str">
        <f t="shared" si="124"/>
        <v/>
      </c>
      <c r="BJ764" s="9" t="str">
        <f t="shared" si="125"/>
        <v/>
      </c>
      <c r="BK764" s="9" t="str">
        <f>IF($B764="","",COUNTIFS($B$5:$B764,$B764,$BF$5:$BF764,$BF764))</f>
        <v/>
      </c>
      <c r="BL764" s="9" t="str">
        <f>IF($B764="","",COUNTIFS($B$5:$B764,$B764,$BH$5:$BH764,$BH764))</f>
        <v/>
      </c>
      <c r="BM764" s="9" t="str">
        <f t="shared" si="126"/>
        <v/>
      </c>
      <c r="BN764" s="9" t="str">
        <f t="shared" si="127"/>
        <v/>
      </c>
      <c r="BO764" s="9">
        <f t="shared" si="128"/>
        <v>0</v>
      </c>
      <c r="BR764" s="12" t="str">
        <f t="shared" si="129"/>
        <v/>
      </c>
    </row>
    <row r="765" spans="1:70" ht="14.25" customHeight="1">
      <c r="A765" s="26"/>
      <c r="C765" s="26"/>
      <c r="D765" s="27"/>
      <c r="E765" s="27"/>
      <c r="BE765" s="10" t="str">
        <f t="shared" si="120"/>
        <v/>
      </c>
      <c r="BF765" s="8" t="str">
        <f t="shared" si="121"/>
        <v/>
      </c>
      <c r="BG765" s="11" t="str">
        <f t="shared" si="122"/>
        <v/>
      </c>
      <c r="BH765" s="8" t="str">
        <f t="shared" si="123"/>
        <v/>
      </c>
      <c r="BI765" s="8" t="str">
        <f t="shared" si="124"/>
        <v/>
      </c>
      <c r="BJ765" s="9" t="str">
        <f t="shared" si="125"/>
        <v/>
      </c>
      <c r="BK765" s="9" t="str">
        <f>IF($B765="","",COUNTIFS($B$5:$B765,$B765,$BF$5:$BF765,$BF765))</f>
        <v/>
      </c>
      <c r="BL765" s="9" t="str">
        <f>IF($B765="","",COUNTIFS($B$5:$B765,$B765,$BH$5:$BH765,$BH765))</f>
        <v/>
      </c>
      <c r="BM765" s="9" t="str">
        <f t="shared" si="126"/>
        <v/>
      </c>
      <c r="BN765" s="9" t="str">
        <f t="shared" si="127"/>
        <v/>
      </c>
      <c r="BO765" s="9">
        <f t="shared" si="128"/>
        <v>0</v>
      </c>
      <c r="BR765" s="12" t="str">
        <f t="shared" si="129"/>
        <v/>
      </c>
    </row>
    <row r="766" spans="1:70" ht="14.25" customHeight="1">
      <c r="A766" s="26"/>
      <c r="C766" s="26"/>
      <c r="D766" s="27"/>
      <c r="E766" s="27"/>
      <c r="BE766" s="10" t="str">
        <f t="shared" si="120"/>
        <v/>
      </c>
      <c r="BF766" s="8" t="str">
        <f t="shared" si="121"/>
        <v/>
      </c>
      <c r="BG766" s="11" t="str">
        <f t="shared" si="122"/>
        <v/>
      </c>
      <c r="BH766" s="8" t="str">
        <f t="shared" si="123"/>
        <v/>
      </c>
      <c r="BI766" s="8" t="str">
        <f t="shared" si="124"/>
        <v/>
      </c>
      <c r="BJ766" s="9" t="str">
        <f t="shared" si="125"/>
        <v/>
      </c>
      <c r="BK766" s="9" t="str">
        <f>IF($B766="","",COUNTIFS($B$5:$B766,$B766,$BF$5:$BF766,$BF766))</f>
        <v/>
      </c>
      <c r="BL766" s="9" t="str">
        <f>IF($B766="","",COUNTIFS($B$5:$B766,$B766,$BH$5:$BH766,$BH766))</f>
        <v/>
      </c>
      <c r="BM766" s="9" t="str">
        <f t="shared" si="126"/>
        <v/>
      </c>
      <c r="BN766" s="9" t="str">
        <f t="shared" si="127"/>
        <v/>
      </c>
      <c r="BO766" s="9">
        <f t="shared" si="128"/>
        <v>0</v>
      </c>
      <c r="BR766" s="12" t="str">
        <f t="shared" si="129"/>
        <v/>
      </c>
    </row>
    <row r="767" spans="1:70" ht="14.25" customHeight="1">
      <c r="A767" s="26"/>
      <c r="C767" s="26"/>
      <c r="D767" s="27"/>
      <c r="E767" s="27"/>
      <c r="BE767" s="10" t="str">
        <f t="shared" si="120"/>
        <v/>
      </c>
      <c r="BF767" s="8" t="str">
        <f t="shared" si="121"/>
        <v/>
      </c>
      <c r="BG767" s="11" t="str">
        <f t="shared" si="122"/>
        <v/>
      </c>
      <c r="BH767" s="8" t="str">
        <f t="shared" si="123"/>
        <v/>
      </c>
      <c r="BI767" s="8" t="str">
        <f t="shared" si="124"/>
        <v/>
      </c>
      <c r="BJ767" s="9" t="str">
        <f t="shared" si="125"/>
        <v/>
      </c>
      <c r="BK767" s="9" t="str">
        <f>IF($B767="","",COUNTIFS($B$5:$B767,$B767,$BF$5:$BF767,$BF767))</f>
        <v/>
      </c>
      <c r="BL767" s="9" t="str">
        <f>IF($B767="","",COUNTIFS($B$5:$B767,$B767,$BH$5:$BH767,$BH767))</f>
        <v/>
      </c>
      <c r="BM767" s="9" t="str">
        <f t="shared" si="126"/>
        <v/>
      </c>
      <c r="BN767" s="9" t="str">
        <f t="shared" si="127"/>
        <v/>
      </c>
      <c r="BO767" s="9">
        <f t="shared" si="128"/>
        <v>0</v>
      </c>
      <c r="BR767" s="12" t="str">
        <f t="shared" si="129"/>
        <v/>
      </c>
    </row>
    <row r="768" spans="1:70" ht="14.25" customHeight="1">
      <c r="A768" s="26"/>
      <c r="C768" s="26"/>
      <c r="D768" s="27"/>
      <c r="E768" s="27"/>
      <c r="BE768" s="10" t="str">
        <f t="shared" si="120"/>
        <v/>
      </c>
      <c r="BF768" s="8" t="str">
        <f t="shared" si="121"/>
        <v/>
      </c>
      <c r="BG768" s="11" t="str">
        <f t="shared" si="122"/>
        <v/>
      </c>
      <c r="BH768" s="8" t="str">
        <f t="shared" si="123"/>
        <v/>
      </c>
      <c r="BI768" s="8" t="str">
        <f t="shared" si="124"/>
        <v/>
      </c>
      <c r="BJ768" s="9" t="str">
        <f t="shared" si="125"/>
        <v/>
      </c>
      <c r="BK768" s="9" t="str">
        <f>IF($B768="","",COUNTIFS($B$5:$B768,$B768,$BF$5:$BF768,$BF768))</f>
        <v/>
      </c>
      <c r="BL768" s="9" t="str">
        <f>IF($B768="","",COUNTIFS($B$5:$B768,$B768,$BH$5:$BH768,$BH768))</f>
        <v/>
      </c>
      <c r="BM768" s="9" t="str">
        <f t="shared" si="126"/>
        <v/>
      </c>
      <c r="BN768" s="9" t="str">
        <f t="shared" si="127"/>
        <v/>
      </c>
      <c r="BO768" s="9">
        <f t="shared" si="128"/>
        <v>0</v>
      </c>
      <c r="BR768" s="12" t="str">
        <f t="shared" si="129"/>
        <v/>
      </c>
    </row>
    <row r="769" spans="1:70" ht="14.25" customHeight="1">
      <c r="A769" s="26"/>
      <c r="C769" s="26"/>
      <c r="D769" s="27"/>
      <c r="E769" s="27"/>
      <c r="BE769" s="10" t="str">
        <f t="shared" si="120"/>
        <v/>
      </c>
      <c r="BF769" s="8" t="str">
        <f t="shared" si="121"/>
        <v/>
      </c>
      <c r="BG769" s="11" t="str">
        <f t="shared" si="122"/>
        <v/>
      </c>
      <c r="BH769" s="8" t="str">
        <f t="shared" si="123"/>
        <v/>
      </c>
      <c r="BI769" s="8" t="str">
        <f t="shared" si="124"/>
        <v/>
      </c>
      <c r="BJ769" s="9" t="str">
        <f t="shared" si="125"/>
        <v/>
      </c>
      <c r="BK769" s="9" t="str">
        <f>IF($B769="","",COUNTIFS($B$5:$B769,$B769,$BF$5:$BF769,$BF769))</f>
        <v/>
      </c>
      <c r="BL769" s="9" t="str">
        <f>IF($B769="","",COUNTIFS($B$5:$B769,$B769,$BH$5:$BH769,$BH769))</f>
        <v/>
      </c>
      <c r="BM769" s="9" t="str">
        <f t="shared" si="126"/>
        <v/>
      </c>
      <c r="BN769" s="9" t="str">
        <f t="shared" si="127"/>
        <v/>
      </c>
      <c r="BO769" s="9">
        <f t="shared" si="128"/>
        <v>0</v>
      </c>
      <c r="BR769" s="12" t="str">
        <f t="shared" si="129"/>
        <v/>
      </c>
    </row>
    <row r="770" spans="1:70" ht="14.25" customHeight="1">
      <c r="A770" s="26"/>
      <c r="C770" s="26"/>
      <c r="D770" s="27"/>
      <c r="E770" s="27"/>
      <c r="BE770" s="10" t="str">
        <f t="shared" si="120"/>
        <v/>
      </c>
      <c r="BF770" s="8" t="str">
        <f t="shared" si="121"/>
        <v/>
      </c>
      <c r="BG770" s="11" t="str">
        <f t="shared" si="122"/>
        <v/>
      </c>
      <c r="BH770" s="8" t="str">
        <f t="shared" si="123"/>
        <v/>
      </c>
      <c r="BI770" s="8" t="str">
        <f t="shared" si="124"/>
        <v/>
      </c>
      <c r="BJ770" s="9" t="str">
        <f t="shared" si="125"/>
        <v/>
      </c>
      <c r="BK770" s="9" t="str">
        <f>IF($B770="","",COUNTIFS($B$5:$B770,$B770,$BF$5:$BF770,$BF770))</f>
        <v/>
      </c>
      <c r="BL770" s="9" t="str">
        <f>IF($B770="","",COUNTIFS($B$5:$B770,$B770,$BH$5:$BH770,$BH770))</f>
        <v/>
      </c>
      <c r="BM770" s="9" t="str">
        <f t="shared" si="126"/>
        <v/>
      </c>
      <c r="BN770" s="9" t="str">
        <f t="shared" si="127"/>
        <v/>
      </c>
      <c r="BO770" s="9">
        <f t="shared" si="128"/>
        <v>0</v>
      </c>
      <c r="BR770" s="12" t="str">
        <f t="shared" si="129"/>
        <v/>
      </c>
    </row>
    <row r="771" spans="1:70" ht="14.25" customHeight="1">
      <c r="A771" s="26"/>
      <c r="C771" s="26"/>
      <c r="D771" s="27"/>
      <c r="E771" s="27"/>
      <c r="BE771" s="10" t="str">
        <f t="shared" si="120"/>
        <v/>
      </c>
      <c r="BF771" s="8" t="str">
        <f t="shared" si="121"/>
        <v/>
      </c>
      <c r="BG771" s="11" t="str">
        <f t="shared" si="122"/>
        <v/>
      </c>
      <c r="BH771" s="8" t="str">
        <f t="shared" si="123"/>
        <v/>
      </c>
      <c r="BI771" s="8" t="str">
        <f t="shared" si="124"/>
        <v/>
      </c>
      <c r="BJ771" s="9" t="str">
        <f t="shared" si="125"/>
        <v/>
      </c>
      <c r="BK771" s="9" t="str">
        <f>IF($B771="","",COUNTIFS($B$5:$B771,$B771,$BF$5:$BF771,$BF771))</f>
        <v/>
      </c>
      <c r="BL771" s="9" t="str">
        <f>IF($B771="","",COUNTIFS($B$5:$B771,$B771,$BH$5:$BH771,$BH771))</f>
        <v/>
      </c>
      <c r="BM771" s="9" t="str">
        <f t="shared" si="126"/>
        <v/>
      </c>
      <c r="BN771" s="9" t="str">
        <f t="shared" si="127"/>
        <v/>
      </c>
      <c r="BO771" s="9">
        <f t="shared" si="128"/>
        <v>0</v>
      </c>
      <c r="BR771" s="12" t="str">
        <f t="shared" si="129"/>
        <v/>
      </c>
    </row>
    <row r="772" spans="1:70" ht="14.25" customHeight="1">
      <c r="A772" s="26"/>
      <c r="C772" s="26"/>
      <c r="D772" s="27"/>
      <c r="E772" s="27"/>
      <c r="BE772" s="10" t="str">
        <f t="shared" si="120"/>
        <v/>
      </c>
      <c r="BF772" s="8" t="str">
        <f t="shared" si="121"/>
        <v/>
      </c>
      <c r="BG772" s="11" t="str">
        <f t="shared" si="122"/>
        <v/>
      </c>
      <c r="BH772" s="8" t="str">
        <f t="shared" si="123"/>
        <v/>
      </c>
      <c r="BI772" s="8" t="str">
        <f t="shared" si="124"/>
        <v/>
      </c>
      <c r="BJ772" s="9" t="str">
        <f t="shared" si="125"/>
        <v/>
      </c>
      <c r="BK772" s="9" t="str">
        <f>IF($B772="","",COUNTIFS($B$5:$B772,$B772,$BF$5:$BF772,$BF772))</f>
        <v/>
      </c>
      <c r="BL772" s="9" t="str">
        <f>IF($B772="","",COUNTIFS($B$5:$B772,$B772,$BH$5:$BH772,$BH772))</f>
        <v/>
      </c>
      <c r="BM772" s="9" t="str">
        <f t="shared" si="126"/>
        <v/>
      </c>
      <c r="BN772" s="9" t="str">
        <f t="shared" si="127"/>
        <v/>
      </c>
      <c r="BO772" s="9">
        <f t="shared" si="128"/>
        <v>0</v>
      </c>
      <c r="BR772" s="12" t="str">
        <f t="shared" si="129"/>
        <v/>
      </c>
    </row>
    <row r="773" spans="1:70" ht="14.25" customHeight="1">
      <c r="A773" s="26"/>
      <c r="C773" s="26"/>
      <c r="D773" s="27"/>
      <c r="E773" s="27"/>
      <c r="BE773" s="10" t="str">
        <f t="shared" si="120"/>
        <v/>
      </c>
      <c r="BF773" s="8" t="str">
        <f t="shared" si="121"/>
        <v/>
      </c>
      <c r="BG773" s="11" t="str">
        <f t="shared" si="122"/>
        <v/>
      </c>
      <c r="BH773" s="8" t="str">
        <f t="shared" si="123"/>
        <v/>
      </c>
      <c r="BI773" s="8" t="str">
        <f t="shared" si="124"/>
        <v/>
      </c>
      <c r="BJ773" s="9" t="str">
        <f t="shared" si="125"/>
        <v/>
      </c>
      <c r="BK773" s="9" t="str">
        <f>IF($B773="","",COUNTIFS($B$5:$B773,$B773,$BF$5:$BF773,$BF773))</f>
        <v/>
      </c>
      <c r="BL773" s="9" t="str">
        <f>IF($B773="","",COUNTIFS($B$5:$B773,$B773,$BH$5:$BH773,$BH773))</f>
        <v/>
      </c>
      <c r="BM773" s="9" t="str">
        <f t="shared" si="126"/>
        <v/>
      </c>
      <c r="BN773" s="9" t="str">
        <f t="shared" si="127"/>
        <v/>
      </c>
      <c r="BO773" s="9">
        <f t="shared" si="128"/>
        <v>0</v>
      </c>
      <c r="BR773" s="12" t="str">
        <f t="shared" si="129"/>
        <v/>
      </c>
    </row>
    <row r="774" spans="1:70" ht="14.25" customHeight="1">
      <c r="A774" s="26"/>
      <c r="C774" s="26"/>
      <c r="D774" s="27"/>
      <c r="E774" s="27"/>
      <c r="BE774" s="10" t="str">
        <f t="shared" si="120"/>
        <v/>
      </c>
      <c r="BF774" s="8" t="str">
        <f t="shared" si="121"/>
        <v/>
      </c>
      <c r="BG774" s="11" t="str">
        <f t="shared" si="122"/>
        <v/>
      </c>
      <c r="BH774" s="8" t="str">
        <f t="shared" si="123"/>
        <v/>
      </c>
      <c r="BI774" s="8" t="str">
        <f t="shared" si="124"/>
        <v/>
      </c>
      <c r="BJ774" s="9" t="str">
        <f t="shared" si="125"/>
        <v/>
      </c>
      <c r="BK774" s="9" t="str">
        <f>IF($B774="","",COUNTIFS($B$5:$B774,$B774,$BF$5:$BF774,$BF774))</f>
        <v/>
      </c>
      <c r="BL774" s="9" t="str">
        <f>IF($B774="","",COUNTIFS($B$5:$B774,$B774,$BH$5:$BH774,$BH774))</f>
        <v/>
      </c>
      <c r="BM774" s="9" t="str">
        <f t="shared" si="126"/>
        <v/>
      </c>
      <c r="BN774" s="9" t="str">
        <f t="shared" si="127"/>
        <v/>
      </c>
      <c r="BO774" s="9">
        <f t="shared" si="128"/>
        <v>0</v>
      </c>
      <c r="BR774" s="12" t="str">
        <f t="shared" si="129"/>
        <v/>
      </c>
    </row>
    <row r="775" spans="1:70" ht="14.25" customHeight="1">
      <c r="A775" s="26"/>
      <c r="C775" s="26"/>
      <c r="D775" s="27"/>
      <c r="E775" s="27"/>
      <c r="BE775" s="10" t="str">
        <f t="shared" si="120"/>
        <v/>
      </c>
      <c r="BF775" s="8" t="str">
        <f t="shared" si="121"/>
        <v/>
      </c>
      <c r="BG775" s="11" t="str">
        <f t="shared" si="122"/>
        <v/>
      </c>
      <c r="BH775" s="8" t="str">
        <f t="shared" si="123"/>
        <v/>
      </c>
      <c r="BI775" s="8" t="str">
        <f t="shared" si="124"/>
        <v/>
      </c>
      <c r="BJ775" s="9" t="str">
        <f t="shared" si="125"/>
        <v/>
      </c>
      <c r="BK775" s="9" t="str">
        <f>IF($B775="","",COUNTIFS($B$5:$B775,$B775,$BF$5:$BF775,$BF775))</f>
        <v/>
      </c>
      <c r="BL775" s="9" t="str">
        <f>IF($B775="","",COUNTIFS($B$5:$B775,$B775,$BH$5:$BH775,$BH775))</f>
        <v/>
      </c>
      <c r="BM775" s="9" t="str">
        <f t="shared" si="126"/>
        <v/>
      </c>
      <c r="BN775" s="9" t="str">
        <f t="shared" si="127"/>
        <v/>
      </c>
      <c r="BO775" s="9">
        <f t="shared" si="128"/>
        <v>0</v>
      </c>
      <c r="BR775" s="12" t="str">
        <f t="shared" si="129"/>
        <v/>
      </c>
    </row>
    <row r="776" spans="1:70" ht="14.25" customHeight="1">
      <c r="A776" s="26"/>
      <c r="C776" s="26"/>
      <c r="D776" s="27"/>
      <c r="E776" s="27"/>
      <c r="BE776" s="10" t="str">
        <f t="shared" si="120"/>
        <v/>
      </c>
      <c r="BF776" s="8" t="str">
        <f t="shared" si="121"/>
        <v/>
      </c>
      <c r="BG776" s="11" t="str">
        <f t="shared" si="122"/>
        <v/>
      </c>
      <c r="BH776" s="8" t="str">
        <f t="shared" si="123"/>
        <v/>
      </c>
      <c r="BI776" s="8" t="str">
        <f t="shared" si="124"/>
        <v/>
      </c>
      <c r="BJ776" s="9" t="str">
        <f t="shared" si="125"/>
        <v/>
      </c>
      <c r="BK776" s="9" t="str">
        <f>IF($B776="","",COUNTIFS($B$5:$B776,$B776,$BF$5:$BF776,$BF776))</f>
        <v/>
      </c>
      <c r="BL776" s="9" t="str">
        <f>IF($B776="","",COUNTIFS($B$5:$B776,$B776,$BH$5:$BH776,$BH776))</f>
        <v/>
      </c>
      <c r="BM776" s="9" t="str">
        <f t="shared" si="126"/>
        <v/>
      </c>
      <c r="BN776" s="9" t="str">
        <f t="shared" si="127"/>
        <v/>
      </c>
      <c r="BO776" s="9">
        <f t="shared" si="128"/>
        <v>0</v>
      </c>
      <c r="BR776" s="12" t="str">
        <f t="shared" si="129"/>
        <v/>
      </c>
    </row>
    <row r="777" spans="1:70" ht="14.25" customHeight="1">
      <c r="A777" s="26"/>
      <c r="C777" s="26"/>
      <c r="D777" s="27"/>
      <c r="E777" s="27"/>
      <c r="BE777" s="10" t="str">
        <f t="shared" si="120"/>
        <v/>
      </c>
      <c r="BF777" s="8" t="str">
        <f t="shared" si="121"/>
        <v/>
      </c>
      <c r="BG777" s="11" t="str">
        <f t="shared" si="122"/>
        <v/>
      </c>
      <c r="BH777" s="8" t="str">
        <f t="shared" si="123"/>
        <v/>
      </c>
      <c r="BI777" s="8" t="str">
        <f t="shared" si="124"/>
        <v/>
      </c>
      <c r="BJ777" s="9" t="str">
        <f t="shared" si="125"/>
        <v/>
      </c>
      <c r="BK777" s="9" t="str">
        <f>IF($B777="","",COUNTIFS($B$5:$B777,$B777,$BF$5:$BF777,$BF777))</f>
        <v/>
      </c>
      <c r="BL777" s="9" t="str">
        <f>IF($B777="","",COUNTIFS($B$5:$B777,$B777,$BH$5:$BH777,$BH777))</f>
        <v/>
      </c>
      <c r="BM777" s="9" t="str">
        <f t="shared" si="126"/>
        <v/>
      </c>
      <c r="BN777" s="9" t="str">
        <f t="shared" si="127"/>
        <v/>
      </c>
      <c r="BO777" s="9">
        <f t="shared" si="128"/>
        <v>0</v>
      </c>
      <c r="BR777" s="12" t="str">
        <f t="shared" si="129"/>
        <v/>
      </c>
    </row>
    <row r="778" spans="1:70" ht="14.25" customHeight="1">
      <c r="A778" s="26"/>
      <c r="C778" s="26"/>
      <c r="D778" s="27"/>
      <c r="E778" s="27"/>
      <c r="BE778" s="10" t="str">
        <f t="shared" si="120"/>
        <v/>
      </c>
      <c r="BF778" s="8" t="str">
        <f t="shared" si="121"/>
        <v/>
      </c>
      <c r="BG778" s="11" t="str">
        <f t="shared" si="122"/>
        <v/>
      </c>
      <c r="BH778" s="8" t="str">
        <f t="shared" si="123"/>
        <v/>
      </c>
      <c r="BI778" s="8" t="str">
        <f t="shared" si="124"/>
        <v/>
      </c>
      <c r="BJ778" s="9" t="str">
        <f t="shared" si="125"/>
        <v/>
      </c>
      <c r="BK778" s="9" t="str">
        <f>IF($B778="","",COUNTIFS($B$5:$B778,$B778,$BF$5:$BF778,$BF778))</f>
        <v/>
      </c>
      <c r="BL778" s="9" t="str">
        <f>IF($B778="","",COUNTIFS($B$5:$B778,$B778,$BH$5:$BH778,$BH778))</f>
        <v/>
      </c>
      <c r="BM778" s="9" t="str">
        <f t="shared" si="126"/>
        <v/>
      </c>
      <c r="BN778" s="9" t="str">
        <f t="shared" si="127"/>
        <v/>
      </c>
      <c r="BO778" s="9">
        <f t="shared" si="128"/>
        <v>0</v>
      </c>
      <c r="BR778" s="12" t="str">
        <f t="shared" si="129"/>
        <v/>
      </c>
    </row>
    <row r="779" spans="1:70" ht="14.25" customHeight="1">
      <c r="A779" s="26"/>
      <c r="C779" s="26"/>
      <c r="D779" s="27"/>
      <c r="E779" s="27"/>
      <c r="BE779" s="10" t="str">
        <f t="shared" si="120"/>
        <v/>
      </c>
      <c r="BF779" s="8" t="str">
        <f t="shared" si="121"/>
        <v/>
      </c>
      <c r="BG779" s="11" t="str">
        <f t="shared" si="122"/>
        <v/>
      </c>
      <c r="BH779" s="8" t="str">
        <f t="shared" si="123"/>
        <v/>
      </c>
      <c r="BI779" s="8" t="str">
        <f t="shared" si="124"/>
        <v/>
      </c>
      <c r="BJ779" s="9" t="str">
        <f t="shared" si="125"/>
        <v/>
      </c>
      <c r="BK779" s="9" t="str">
        <f>IF($B779="","",COUNTIFS($B$5:$B779,$B779,$BF$5:$BF779,$BF779))</f>
        <v/>
      </c>
      <c r="BL779" s="9" t="str">
        <f>IF($B779="","",COUNTIFS($B$5:$B779,$B779,$BH$5:$BH779,$BH779))</f>
        <v/>
      </c>
      <c r="BM779" s="9" t="str">
        <f t="shared" si="126"/>
        <v/>
      </c>
      <c r="BN779" s="9" t="str">
        <f t="shared" si="127"/>
        <v/>
      </c>
      <c r="BO779" s="9">
        <f t="shared" si="128"/>
        <v>0</v>
      </c>
      <c r="BR779" s="12" t="str">
        <f t="shared" si="129"/>
        <v/>
      </c>
    </row>
    <row r="780" spans="1:70" ht="14.25" customHeight="1">
      <c r="A780" s="26"/>
      <c r="C780" s="26"/>
      <c r="D780" s="27"/>
      <c r="E780" s="27"/>
      <c r="BE780" s="10" t="str">
        <f t="shared" si="120"/>
        <v/>
      </c>
      <c r="BF780" s="8" t="str">
        <f t="shared" si="121"/>
        <v/>
      </c>
      <c r="BG780" s="11" t="str">
        <f t="shared" si="122"/>
        <v/>
      </c>
      <c r="BH780" s="8" t="str">
        <f t="shared" si="123"/>
        <v/>
      </c>
      <c r="BI780" s="8" t="str">
        <f t="shared" si="124"/>
        <v/>
      </c>
      <c r="BJ780" s="9" t="str">
        <f t="shared" si="125"/>
        <v/>
      </c>
      <c r="BK780" s="9" t="str">
        <f>IF($B780="","",COUNTIFS($B$5:$B780,$B780,$BF$5:$BF780,$BF780))</f>
        <v/>
      </c>
      <c r="BL780" s="9" t="str">
        <f>IF($B780="","",COUNTIFS($B$5:$B780,$B780,$BH$5:$BH780,$BH780))</f>
        <v/>
      </c>
      <c r="BM780" s="9" t="str">
        <f t="shared" si="126"/>
        <v/>
      </c>
      <c r="BN780" s="9" t="str">
        <f t="shared" si="127"/>
        <v/>
      </c>
      <c r="BO780" s="9">
        <f t="shared" si="128"/>
        <v>0</v>
      </c>
      <c r="BR780" s="12" t="str">
        <f t="shared" si="129"/>
        <v/>
      </c>
    </row>
    <row r="781" spans="1:70" ht="14.25" customHeight="1">
      <c r="A781" s="26"/>
      <c r="C781" s="26"/>
      <c r="D781" s="27"/>
      <c r="E781" s="27"/>
      <c r="BE781" s="10" t="str">
        <f t="shared" si="120"/>
        <v/>
      </c>
      <c r="BF781" s="8" t="str">
        <f t="shared" si="121"/>
        <v/>
      </c>
      <c r="BG781" s="11" t="str">
        <f t="shared" si="122"/>
        <v/>
      </c>
      <c r="BH781" s="8" t="str">
        <f t="shared" si="123"/>
        <v/>
      </c>
      <c r="BI781" s="8" t="str">
        <f t="shared" si="124"/>
        <v/>
      </c>
      <c r="BJ781" s="9" t="str">
        <f t="shared" si="125"/>
        <v/>
      </c>
      <c r="BK781" s="9" t="str">
        <f>IF($B781="","",COUNTIFS($B$5:$B781,$B781,$BF$5:$BF781,$BF781))</f>
        <v/>
      </c>
      <c r="BL781" s="9" t="str">
        <f>IF($B781="","",COUNTIFS($B$5:$B781,$B781,$BH$5:$BH781,$BH781))</f>
        <v/>
      </c>
      <c r="BM781" s="9" t="str">
        <f t="shared" si="126"/>
        <v/>
      </c>
      <c r="BN781" s="9" t="str">
        <f t="shared" si="127"/>
        <v/>
      </c>
      <c r="BO781" s="9">
        <f t="shared" si="128"/>
        <v>0</v>
      </c>
      <c r="BR781" s="12" t="str">
        <f t="shared" si="129"/>
        <v/>
      </c>
    </row>
    <row r="782" spans="1:70" ht="14.25" customHeight="1">
      <c r="A782" s="26"/>
      <c r="C782" s="26"/>
      <c r="D782" s="27"/>
      <c r="E782" s="27"/>
      <c r="BE782" s="10" t="str">
        <f t="shared" si="120"/>
        <v/>
      </c>
      <c r="BF782" s="8" t="str">
        <f t="shared" si="121"/>
        <v/>
      </c>
      <c r="BG782" s="11" t="str">
        <f t="shared" si="122"/>
        <v/>
      </c>
      <c r="BH782" s="8" t="str">
        <f t="shared" si="123"/>
        <v/>
      </c>
      <c r="BI782" s="8" t="str">
        <f t="shared" si="124"/>
        <v/>
      </c>
      <c r="BJ782" s="9" t="str">
        <f t="shared" si="125"/>
        <v/>
      </c>
      <c r="BK782" s="9" t="str">
        <f>IF($B782="","",COUNTIFS($B$5:$B782,$B782,$BF$5:$BF782,$BF782))</f>
        <v/>
      </c>
      <c r="BL782" s="9" t="str">
        <f>IF($B782="","",COUNTIFS($B$5:$B782,$B782,$BH$5:$BH782,$BH782))</f>
        <v/>
      </c>
      <c r="BM782" s="9" t="str">
        <f t="shared" si="126"/>
        <v/>
      </c>
      <c r="BN782" s="9" t="str">
        <f t="shared" si="127"/>
        <v/>
      </c>
      <c r="BO782" s="9">
        <f t="shared" si="128"/>
        <v>0</v>
      </c>
      <c r="BR782" s="12" t="str">
        <f t="shared" si="129"/>
        <v/>
      </c>
    </row>
    <row r="783" spans="1:70" ht="14.25" customHeight="1">
      <c r="A783" s="26"/>
      <c r="C783" s="26"/>
      <c r="D783" s="27"/>
      <c r="E783" s="27"/>
      <c r="BE783" s="10" t="str">
        <f t="shared" si="120"/>
        <v/>
      </c>
      <c r="BF783" s="8" t="str">
        <f t="shared" si="121"/>
        <v/>
      </c>
      <c r="BG783" s="11" t="str">
        <f t="shared" si="122"/>
        <v/>
      </c>
      <c r="BH783" s="8" t="str">
        <f t="shared" si="123"/>
        <v/>
      </c>
      <c r="BI783" s="8" t="str">
        <f t="shared" si="124"/>
        <v/>
      </c>
      <c r="BJ783" s="9" t="str">
        <f t="shared" si="125"/>
        <v/>
      </c>
      <c r="BK783" s="9" t="str">
        <f>IF($B783="","",COUNTIFS($B$5:$B783,$B783,$BF$5:$BF783,$BF783))</f>
        <v/>
      </c>
      <c r="BL783" s="9" t="str">
        <f>IF($B783="","",COUNTIFS($B$5:$B783,$B783,$BH$5:$BH783,$BH783))</f>
        <v/>
      </c>
      <c r="BM783" s="9" t="str">
        <f t="shared" si="126"/>
        <v/>
      </c>
      <c r="BN783" s="9" t="str">
        <f t="shared" si="127"/>
        <v/>
      </c>
      <c r="BO783" s="9">
        <f t="shared" si="128"/>
        <v>0</v>
      </c>
      <c r="BR783" s="12" t="str">
        <f t="shared" si="129"/>
        <v/>
      </c>
    </row>
    <row r="784" spans="1:70" ht="14.25" customHeight="1">
      <c r="A784" s="26"/>
      <c r="C784" s="26"/>
      <c r="D784" s="27"/>
      <c r="E784" s="27"/>
      <c r="BE784" s="10" t="str">
        <f t="shared" si="120"/>
        <v/>
      </c>
      <c r="BF784" s="8" t="str">
        <f t="shared" si="121"/>
        <v/>
      </c>
      <c r="BG784" s="11" t="str">
        <f t="shared" si="122"/>
        <v/>
      </c>
      <c r="BH784" s="8" t="str">
        <f t="shared" si="123"/>
        <v/>
      </c>
      <c r="BI784" s="8" t="str">
        <f t="shared" si="124"/>
        <v/>
      </c>
      <c r="BJ784" s="9" t="str">
        <f t="shared" si="125"/>
        <v/>
      </c>
      <c r="BK784" s="9" t="str">
        <f>IF($B784="","",COUNTIFS($B$5:$B784,$B784,$BF$5:$BF784,$BF784))</f>
        <v/>
      </c>
      <c r="BL784" s="9" t="str">
        <f>IF($B784="","",COUNTIFS($B$5:$B784,$B784,$BH$5:$BH784,$BH784))</f>
        <v/>
      </c>
      <c r="BM784" s="9" t="str">
        <f t="shared" si="126"/>
        <v/>
      </c>
      <c r="BN784" s="9" t="str">
        <f t="shared" si="127"/>
        <v/>
      </c>
      <c r="BO784" s="9">
        <f t="shared" si="128"/>
        <v>0</v>
      </c>
      <c r="BR784" s="12" t="str">
        <f t="shared" si="129"/>
        <v/>
      </c>
    </row>
    <row r="785" spans="1:70" ht="14.25" customHeight="1">
      <c r="A785" s="26"/>
      <c r="C785" s="26"/>
      <c r="D785" s="27"/>
      <c r="E785" s="27"/>
      <c r="BE785" s="10" t="str">
        <f t="shared" si="120"/>
        <v/>
      </c>
      <c r="BF785" s="8" t="str">
        <f t="shared" si="121"/>
        <v/>
      </c>
      <c r="BG785" s="11" t="str">
        <f t="shared" si="122"/>
        <v/>
      </c>
      <c r="BH785" s="8" t="str">
        <f t="shared" si="123"/>
        <v/>
      </c>
      <c r="BI785" s="8" t="str">
        <f t="shared" si="124"/>
        <v/>
      </c>
      <c r="BJ785" s="9" t="str">
        <f t="shared" si="125"/>
        <v/>
      </c>
      <c r="BK785" s="9" t="str">
        <f>IF($B785="","",COUNTIFS($B$5:$B785,$B785,$BF$5:$BF785,$BF785))</f>
        <v/>
      </c>
      <c r="BL785" s="9" t="str">
        <f>IF($B785="","",COUNTIFS($B$5:$B785,$B785,$BH$5:$BH785,$BH785))</f>
        <v/>
      </c>
      <c r="BM785" s="9" t="str">
        <f t="shared" si="126"/>
        <v/>
      </c>
      <c r="BN785" s="9" t="str">
        <f t="shared" si="127"/>
        <v/>
      </c>
      <c r="BO785" s="9">
        <f t="shared" si="128"/>
        <v>0</v>
      </c>
      <c r="BR785" s="12" t="str">
        <f t="shared" si="129"/>
        <v/>
      </c>
    </row>
    <row r="786" spans="1:70" ht="14.25" customHeight="1">
      <c r="A786" s="26"/>
      <c r="C786" s="26"/>
      <c r="D786" s="27"/>
      <c r="E786" s="27"/>
      <c r="BE786" s="10" t="str">
        <f t="shared" si="120"/>
        <v/>
      </c>
      <c r="BF786" s="8" t="str">
        <f t="shared" si="121"/>
        <v/>
      </c>
      <c r="BG786" s="11" t="str">
        <f t="shared" si="122"/>
        <v/>
      </c>
      <c r="BH786" s="8" t="str">
        <f t="shared" si="123"/>
        <v/>
      </c>
      <c r="BI786" s="8" t="str">
        <f t="shared" si="124"/>
        <v/>
      </c>
      <c r="BJ786" s="9" t="str">
        <f t="shared" si="125"/>
        <v/>
      </c>
      <c r="BK786" s="9" t="str">
        <f>IF($B786="","",COUNTIFS($B$5:$B786,$B786,$BF$5:$BF786,$BF786))</f>
        <v/>
      </c>
      <c r="BL786" s="9" t="str">
        <f>IF($B786="","",COUNTIFS($B$5:$B786,$B786,$BH$5:$BH786,$BH786))</f>
        <v/>
      </c>
      <c r="BM786" s="9" t="str">
        <f t="shared" si="126"/>
        <v/>
      </c>
      <c r="BN786" s="9" t="str">
        <f t="shared" si="127"/>
        <v/>
      </c>
      <c r="BO786" s="9">
        <f t="shared" si="128"/>
        <v>0</v>
      </c>
      <c r="BR786" s="12" t="str">
        <f t="shared" si="129"/>
        <v/>
      </c>
    </row>
    <row r="787" spans="1:70" ht="14.25" customHeight="1">
      <c r="A787" s="26"/>
      <c r="C787" s="26"/>
      <c r="D787" s="27"/>
      <c r="E787" s="27"/>
      <c r="BE787" s="10" t="str">
        <f t="shared" si="120"/>
        <v/>
      </c>
      <c r="BF787" s="8" t="str">
        <f t="shared" si="121"/>
        <v/>
      </c>
      <c r="BG787" s="11" t="str">
        <f t="shared" si="122"/>
        <v/>
      </c>
      <c r="BH787" s="8" t="str">
        <f t="shared" si="123"/>
        <v/>
      </c>
      <c r="BI787" s="8" t="str">
        <f t="shared" si="124"/>
        <v/>
      </c>
      <c r="BJ787" s="9" t="str">
        <f t="shared" si="125"/>
        <v/>
      </c>
      <c r="BK787" s="9" t="str">
        <f>IF($B787="","",COUNTIFS($B$5:$B787,$B787,$BF$5:$BF787,$BF787))</f>
        <v/>
      </c>
      <c r="BL787" s="9" t="str">
        <f>IF($B787="","",COUNTIFS($B$5:$B787,$B787,$BH$5:$BH787,$BH787))</f>
        <v/>
      </c>
      <c r="BM787" s="9" t="str">
        <f t="shared" si="126"/>
        <v/>
      </c>
      <c r="BN787" s="9" t="str">
        <f t="shared" si="127"/>
        <v/>
      </c>
      <c r="BO787" s="9">
        <f t="shared" si="128"/>
        <v>0</v>
      </c>
      <c r="BR787" s="12" t="str">
        <f t="shared" si="129"/>
        <v/>
      </c>
    </row>
    <row r="788" spans="1:70" ht="14.25" customHeight="1">
      <c r="A788" s="26"/>
      <c r="C788" s="26"/>
      <c r="D788" s="27"/>
      <c r="E788" s="27"/>
      <c r="BE788" s="10" t="str">
        <f t="shared" si="120"/>
        <v/>
      </c>
      <c r="BF788" s="8" t="str">
        <f t="shared" si="121"/>
        <v/>
      </c>
      <c r="BG788" s="11" t="str">
        <f t="shared" si="122"/>
        <v/>
      </c>
      <c r="BH788" s="8" t="str">
        <f t="shared" si="123"/>
        <v/>
      </c>
      <c r="BI788" s="8" t="str">
        <f t="shared" si="124"/>
        <v/>
      </c>
      <c r="BJ788" s="9" t="str">
        <f t="shared" si="125"/>
        <v/>
      </c>
      <c r="BK788" s="9" t="str">
        <f>IF($B788="","",COUNTIFS($B$5:$B788,$B788,$BF$5:$BF788,$BF788))</f>
        <v/>
      </c>
      <c r="BL788" s="9" t="str">
        <f>IF($B788="","",COUNTIFS($B$5:$B788,$B788,$BH$5:$BH788,$BH788))</f>
        <v/>
      </c>
      <c r="BM788" s="9" t="str">
        <f t="shared" si="126"/>
        <v/>
      </c>
      <c r="BN788" s="9" t="str">
        <f t="shared" si="127"/>
        <v/>
      </c>
      <c r="BO788" s="9">
        <f t="shared" si="128"/>
        <v>0</v>
      </c>
      <c r="BR788" s="12" t="str">
        <f t="shared" si="129"/>
        <v/>
      </c>
    </row>
    <row r="789" spans="1:70" ht="14.25" customHeight="1">
      <c r="A789" s="26"/>
      <c r="C789" s="26"/>
      <c r="D789" s="27"/>
      <c r="E789" s="27"/>
      <c r="BE789" s="10" t="str">
        <f t="shared" si="120"/>
        <v/>
      </c>
      <c r="BF789" s="8" t="str">
        <f t="shared" si="121"/>
        <v/>
      </c>
      <c r="BG789" s="11" t="str">
        <f t="shared" si="122"/>
        <v/>
      </c>
      <c r="BH789" s="8" t="str">
        <f t="shared" si="123"/>
        <v/>
      </c>
      <c r="BI789" s="8" t="str">
        <f t="shared" si="124"/>
        <v/>
      </c>
      <c r="BJ789" s="9" t="str">
        <f t="shared" si="125"/>
        <v/>
      </c>
      <c r="BK789" s="9" t="str">
        <f>IF($B789="","",COUNTIFS($B$5:$B789,$B789,$BF$5:$BF789,$BF789))</f>
        <v/>
      </c>
      <c r="BL789" s="9" t="str">
        <f>IF($B789="","",COUNTIFS($B$5:$B789,$B789,$BH$5:$BH789,$BH789))</f>
        <v/>
      </c>
      <c r="BM789" s="9" t="str">
        <f t="shared" si="126"/>
        <v/>
      </c>
      <c r="BN789" s="9" t="str">
        <f t="shared" si="127"/>
        <v/>
      </c>
      <c r="BO789" s="9">
        <f t="shared" si="128"/>
        <v>0</v>
      </c>
      <c r="BR789" s="12" t="str">
        <f t="shared" si="129"/>
        <v/>
      </c>
    </row>
    <row r="790" spans="1:70" ht="14.25" customHeight="1">
      <c r="A790" s="26"/>
      <c r="C790" s="26"/>
      <c r="D790" s="27"/>
      <c r="E790" s="27"/>
      <c r="BE790" s="10" t="str">
        <f t="shared" si="120"/>
        <v/>
      </c>
      <c r="BF790" s="8" t="str">
        <f t="shared" si="121"/>
        <v/>
      </c>
      <c r="BG790" s="11" t="str">
        <f t="shared" si="122"/>
        <v/>
      </c>
      <c r="BH790" s="8" t="str">
        <f t="shared" si="123"/>
        <v/>
      </c>
      <c r="BI790" s="8" t="str">
        <f t="shared" si="124"/>
        <v/>
      </c>
      <c r="BJ790" s="9" t="str">
        <f t="shared" si="125"/>
        <v/>
      </c>
      <c r="BK790" s="9" t="str">
        <f>IF($B790="","",COUNTIFS($B$5:$B790,$B790,$BF$5:$BF790,$BF790))</f>
        <v/>
      </c>
      <c r="BL790" s="9" t="str">
        <f>IF($B790="","",COUNTIFS($B$5:$B790,$B790,$BH$5:$BH790,$BH790))</f>
        <v/>
      </c>
      <c r="BM790" s="9" t="str">
        <f t="shared" si="126"/>
        <v/>
      </c>
      <c r="BN790" s="9" t="str">
        <f t="shared" si="127"/>
        <v/>
      </c>
      <c r="BO790" s="9">
        <f t="shared" si="128"/>
        <v>0</v>
      </c>
      <c r="BR790" s="12" t="str">
        <f t="shared" si="129"/>
        <v/>
      </c>
    </row>
    <row r="791" spans="1:70" ht="14.25" customHeight="1">
      <c r="A791" s="26"/>
      <c r="C791" s="26"/>
      <c r="D791" s="27"/>
      <c r="E791" s="27"/>
      <c r="BE791" s="10" t="str">
        <f t="shared" si="120"/>
        <v/>
      </c>
      <c r="BF791" s="8" t="str">
        <f t="shared" si="121"/>
        <v/>
      </c>
      <c r="BG791" s="11" t="str">
        <f t="shared" si="122"/>
        <v/>
      </c>
      <c r="BH791" s="8" t="str">
        <f t="shared" si="123"/>
        <v/>
      </c>
      <c r="BI791" s="8" t="str">
        <f t="shared" si="124"/>
        <v/>
      </c>
      <c r="BJ791" s="9" t="str">
        <f t="shared" si="125"/>
        <v/>
      </c>
      <c r="BK791" s="9" t="str">
        <f>IF($B791="","",COUNTIFS($B$5:$B791,$B791,$BF$5:$BF791,$BF791))</f>
        <v/>
      </c>
      <c r="BL791" s="9" t="str">
        <f>IF($B791="","",COUNTIFS($B$5:$B791,$B791,$BH$5:$BH791,$BH791))</f>
        <v/>
      </c>
      <c r="BM791" s="9" t="str">
        <f t="shared" si="126"/>
        <v/>
      </c>
      <c r="BN791" s="9" t="str">
        <f t="shared" si="127"/>
        <v/>
      </c>
      <c r="BO791" s="9">
        <f t="shared" si="128"/>
        <v>0</v>
      </c>
      <c r="BR791" s="12" t="str">
        <f t="shared" si="129"/>
        <v/>
      </c>
    </row>
    <row r="792" spans="1:70" ht="14.25" customHeight="1">
      <c r="A792" s="26"/>
      <c r="C792" s="26"/>
      <c r="D792" s="27"/>
      <c r="E792" s="27"/>
      <c r="BE792" s="10" t="str">
        <f t="shared" si="120"/>
        <v/>
      </c>
      <c r="BF792" s="8" t="str">
        <f t="shared" si="121"/>
        <v/>
      </c>
      <c r="BG792" s="11" t="str">
        <f t="shared" si="122"/>
        <v/>
      </c>
      <c r="BH792" s="8" t="str">
        <f t="shared" si="123"/>
        <v/>
      </c>
      <c r="BI792" s="8" t="str">
        <f t="shared" si="124"/>
        <v/>
      </c>
      <c r="BJ792" s="9" t="str">
        <f t="shared" si="125"/>
        <v/>
      </c>
      <c r="BK792" s="9" t="str">
        <f>IF($B792="","",COUNTIFS($B$5:$B792,$B792,$BF$5:$BF792,$BF792))</f>
        <v/>
      </c>
      <c r="BL792" s="9" t="str">
        <f>IF($B792="","",COUNTIFS($B$5:$B792,$B792,$BH$5:$BH792,$BH792))</f>
        <v/>
      </c>
      <c r="BM792" s="9" t="str">
        <f t="shared" si="126"/>
        <v/>
      </c>
      <c r="BN792" s="9" t="str">
        <f t="shared" si="127"/>
        <v/>
      </c>
      <c r="BO792" s="9">
        <f t="shared" si="128"/>
        <v>0</v>
      </c>
      <c r="BR792" s="12" t="str">
        <f t="shared" si="129"/>
        <v/>
      </c>
    </row>
    <row r="793" spans="1:70" ht="14.25" customHeight="1">
      <c r="A793" s="26"/>
      <c r="C793" s="26"/>
      <c r="D793" s="27"/>
      <c r="E793" s="27"/>
      <c r="BE793" s="10" t="str">
        <f t="shared" si="120"/>
        <v/>
      </c>
      <c r="BF793" s="8" t="str">
        <f t="shared" si="121"/>
        <v/>
      </c>
      <c r="BG793" s="11" t="str">
        <f t="shared" si="122"/>
        <v/>
      </c>
      <c r="BH793" s="8" t="str">
        <f t="shared" si="123"/>
        <v/>
      </c>
      <c r="BI793" s="8" t="str">
        <f t="shared" si="124"/>
        <v/>
      </c>
      <c r="BJ793" s="9" t="str">
        <f t="shared" si="125"/>
        <v/>
      </c>
      <c r="BK793" s="9" t="str">
        <f>IF($B793="","",COUNTIFS($B$5:$B793,$B793,$BF$5:$BF793,$BF793))</f>
        <v/>
      </c>
      <c r="BL793" s="9" t="str">
        <f>IF($B793="","",COUNTIFS($B$5:$B793,$B793,$BH$5:$BH793,$BH793))</f>
        <v/>
      </c>
      <c r="BM793" s="9" t="str">
        <f t="shared" si="126"/>
        <v/>
      </c>
      <c r="BN793" s="9" t="str">
        <f t="shared" si="127"/>
        <v/>
      </c>
      <c r="BO793" s="9">
        <f t="shared" si="128"/>
        <v>0</v>
      </c>
      <c r="BR793" s="12" t="str">
        <f t="shared" si="129"/>
        <v/>
      </c>
    </row>
    <row r="794" spans="1:70" ht="14.25" customHeight="1">
      <c r="A794" s="26"/>
      <c r="C794" s="26"/>
      <c r="D794" s="27"/>
      <c r="E794" s="27"/>
      <c r="BE794" s="10" t="str">
        <f t="shared" si="120"/>
        <v/>
      </c>
      <c r="BF794" s="8" t="str">
        <f t="shared" si="121"/>
        <v/>
      </c>
      <c r="BG794" s="11" t="str">
        <f t="shared" si="122"/>
        <v/>
      </c>
      <c r="BH794" s="8" t="str">
        <f t="shared" si="123"/>
        <v/>
      </c>
      <c r="BI794" s="8" t="str">
        <f t="shared" si="124"/>
        <v/>
      </c>
      <c r="BJ794" s="9" t="str">
        <f t="shared" si="125"/>
        <v/>
      </c>
      <c r="BK794" s="9" t="str">
        <f>IF($B794="","",COUNTIFS($B$5:$B794,$B794,$BF$5:$BF794,$BF794))</f>
        <v/>
      </c>
      <c r="BL794" s="9" t="str">
        <f>IF($B794="","",COUNTIFS($B$5:$B794,$B794,$BH$5:$BH794,$BH794))</f>
        <v/>
      </c>
      <c r="BM794" s="9" t="str">
        <f t="shared" si="126"/>
        <v/>
      </c>
      <c r="BN794" s="9" t="str">
        <f t="shared" si="127"/>
        <v/>
      </c>
      <c r="BO794" s="9">
        <f t="shared" si="128"/>
        <v>0</v>
      </c>
      <c r="BR794" s="12" t="str">
        <f t="shared" si="129"/>
        <v/>
      </c>
    </row>
    <row r="795" spans="1:70" ht="14.25" customHeight="1">
      <c r="A795" s="26"/>
      <c r="C795" s="26"/>
      <c r="D795" s="27"/>
      <c r="E795" s="27"/>
      <c r="BE795" s="10" t="str">
        <f t="shared" si="120"/>
        <v/>
      </c>
      <c r="BF795" s="8" t="str">
        <f t="shared" si="121"/>
        <v/>
      </c>
      <c r="BG795" s="11" t="str">
        <f t="shared" si="122"/>
        <v/>
      </c>
      <c r="BH795" s="8" t="str">
        <f t="shared" si="123"/>
        <v/>
      </c>
      <c r="BI795" s="8" t="str">
        <f t="shared" si="124"/>
        <v/>
      </c>
      <c r="BJ795" s="9" t="str">
        <f t="shared" si="125"/>
        <v/>
      </c>
      <c r="BK795" s="9" t="str">
        <f>IF($B795="","",COUNTIFS($B$5:$B795,$B795,$BF$5:$BF795,$BF795))</f>
        <v/>
      </c>
      <c r="BL795" s="9" t="str">
        <f>IF($B795="","",COUNTIFS($B$5:$B795,$B795,$BH$5:$BH795,$BH795))</f>
        <v/>
      </c>
      <c r="BM795" s="9" t="str">
        <f t="shared" si="126"/>
        <v/>
      </c>
      <c r="BN795" s="9" t="str">
        <f t="shared" si="127"/>
        <v/>
      </c>
      <c r="BO795" s="9">
        <f t="shared" si="128"/>
        <v>0</v>
      </c>
      <c r="BR795" s="12" t="str">
        <f t="shared" si="129"/>
        <v/>
      </c>
    </row>
    <row r="796" spans="1:70" ht="14.25" customHeight="1">
      <c r="A796" s="26"/>
      <c r="C796" s="26"/>
      <c r="D796" s="27"/>
      <c r="E796" s="27"/>
      <c r="BE796" s="10" t="str">
        <f t="shared" si="120"/>
        <v/>
      </c>
      <c r="BF796" s="8" t="str">
        <f t="shared" si="121"/>
        <v/>
      </c>
      <c r="BG796" s="11" t="str">
        <f t="shared" si="122"/>
        <v/>
      </c>
      <c r="BH796" s="8" t="str">
        <f t="shared" si="123"/>
        <v/>
      </c>
      <c r="BI796" s="8" t="str">
        <f t="shared" si="124"/>
        <v/>
      </c>
      <c r="BJ796" s="9" t="str">
        <f t="shared" si="125"/>
        <v/>
      </c>
      <c r="BK796" s="9" t="str">
        <f>IF($B796="","",COUNTIFS($B$5:$B796,$B796,$BF$5:$BF796,$BF796))</f>
        <v/>
      </c>
      <c r="BL796" s="9" t="str">
        <f>IF($B796="","",COUNTIFS($B$5:$B796,$B796,$BH$5:$BH796,$BH796))</f>
        <v/>
      </c>
      <c r="BM796" s="9" t="str">
        <f t="shared" si="126"/>
        <v/>
      </c>
      <c r="BN796" s="9" t="str">
        <f t="shared" si="127"/>
        <v/>
      </c>
      <c r="BO796" s="9">
        <f t="shared" si="128"/>
        <v>0</v>
      </c>
      <c r="BR796" s="12" t="str">
        <f t="shared" si="129"/>
        <v/>
      </c>
    </row>
    <row r="797" spans="1:70" ht="14.25" customHeight="1">
      <c r="A797" s="26"/>
      <c r="C797" s="26"/>
      <c r="D797" s="27"/>
      <c r="E797" s="27"/>
      <c r="BE797" s="10" t="str">
        <f t="shared" ref="BE797:BE860" si="130">IF($B797="","",IF(COUNT($H797,$J797,$L797,$N797,$P797,$R797)&gt;0,SUM($H797,$J797,$L797,$N797,$P797,$R797),SUM($T797,$V797,$X797,$Z797,$AB797,$AD797,$AF797,$AH797,$AJ797,$AL797,$AN797,$AP797,$AR797,$AT797,$AV797,$AX797,$AZ797)))</f>
        <v/>
      </c>
      <c r="BF797" s="8" t="str">
        <f t="shared" ref="BF797:BF860" si="131">IF($C797="","",DATE(YEAR($C797),MONTH($C797),1))</f>
        <v/>
      </c>
      <c r="BG797" s="11" t="str">
        <f t="shared" ref="BG797:BG860" si="132">IF($BF797="","",TEXT($BF797,"mmmm yyyy"))</f>
        <v/>
      </c>
      <c r="BH797" s="8" t="str">
        <f t="shared" ref="BH797:BH860" si="133">IF($C797="","",$C797-WEEKDAY($C797,2)+1)</f>
        <v/>
      </c>
      <c r="BI797" s="8" t="str">
        <f t="shared" ref="BI797:BI860" si="134">IF($BH797="","",$BH797+6)</f>
        <v/>
      </c>
      <c r="BJ797" s="9" t="str">
        <f t="shared" ref="BJ797:BJ860" si="135">IF($BH797="","",TEXT($BH797,"dd/mm/yyyy")&amp;" - "&amp;TEXT($BI797,"dd/mm/yyyy"))</f>
        <v/>
      </c>
      <c r="BK797" s="9" t="str">
        <f>IF($B797="","",COUNTIFS($B$5:$B797,$B797,$BF$5:$BF797,$BF797))</f>
        <v/>
      </c>
      <c r="BL797" s="9" t="str">
        <f>IF($B797="","",COUNTIFS($B$5:$B797,$B797,$BH$5:$BH797,$BH797))</f>
        <v/>
      </c>
      <c r="BM797" s="9" t="str">
        <f t="shared" ref="BM797:BM860" si="136">IF($B797="","",TEXT($BK797,"00")&amp;"|"&amp;$B797&amp;"|"&amp;TEXT($BF797,"yyyymmdd"))</f>
        <v/>
      </c>
      <c r="BN797" s="9" t="str">
        <f t="shared" ref="BN797:BN860" si="137">IF($B797="","",TEXT($BL797,"00")&amp;"|"&amp;$B797&amp;"|"&amp;TEXT($BH797,"yyyymmdd"))</f>
        <v/>
      </c>
      <c r="BO797" s="9">
        <f t="shared" ref="BO797:BO860" si="138">IF(OR($BB797="YES",$BB797="Yes",$BB797="Y",$BB797=1),1,0)</f>
        <v>0</v>
      </c>
      <c r="BR797" s="12" t="str">
        <f t="shared" ref="BR797:BR860" si="139">IF($C797="","",IF($C797&gt;=DATE(2026,6,1),"QA-2026-06",IF($C797&gt;=DATE(2026,5,1),"May 2026+",IF($C797&gt;=DATE(2026,4,1),"April 2026",IF($C797&gt;=DATE(2026,3,1),"March 2026","Jan-Feb 2026")))))</f>
        <v/>
      </c>
    </row>
    <row r="798" spans="1:70" ht="14.25" customHeight="1">
      <c r="A798" s="26"/>
      <c r="C798" s="26"/>
      <c r="D798" s="27"/>
      <c r="E798" s="27"/>
      <c r="BE798" s="10" t="str">
        <f t="shared" si="130"/>
        <v/>
      </c>
      <c r="BF798" s="8" t="str">
        <f t="shared" si="131"/>
        <v/>
      </c>
      <c r="BG798" s="11" t="str">
        <f t="shared" si="132"/>
        <v/>
      </c>
      <c r="BH798" s="8" t="str">
        <f t="shared" si="133"/>
        <v/>
      </c>
      <c r="BI798" s="8" t="str">
        <f t="shared" si="134"/>
        <v/>
      </c>
      <c r="BJ798" s="9" t="str">
        <f t="shared" si="135"/>
        <v/>
      </c>
      <c r="BK798" s="9" t="str">
        <f>IF($B798="","",COUNTIFS($B$5:$B798,$B798,$BF$5:$BF798,$BF798))</f>
        <v/>
      </c>
      <c r="BL798" s="9" t="str">
        <f>IF($B798="","",COUNTIFS($B$5:$B798,$B798,$BH$5:$BH798,$BH798))</f>
        <v/>
      </c>
      <c r="BM798" s="9" t="str">
        <f t="shared" si="136"/>
        <v/>
      </c>
      <c r="BN798" s="9" t="str">
        <f t="shared" si="137"/>
        <v/>
      </c>
      <c r="BO798" s="9">
        <f t="shared" si="138"/>
        <v>0</v>
      </c>
      <c r="BR798" s="12" t="str">
        <f t="shared" si="139"/>
        <v/>
      </c>
    </row>
    <row r="799" spans="1:70" ht="14.25" customHeight="1">
      <c r="A799" s="26"/>
      <c r="C799" s="26"/>
      <c r="D799" s="27"/>
      <c r="E799" s="27"/>
      <c r="BE799" s="10" t="str">
        <f t="shared" si="130"/>
        <v/>
      </c>
      <c r="BF799" s="8" t="str">
        <f t="shared" si="131"/>
        <v/>
      </c>
      <c r="BG799" s="11" t="str">
        <f t="shared" si="132"/>
        <v/>
      </c>
      <c r="BH799" s="8" t="str">
        <f t="shared" si="133"/>
        <v/>
      </c>
      <c r="BI799" s="8" t="str">
        <f t="shared" si="134"/>
        <v/>
      </c>
      <c r="BJ799" s="9" t="str">
        <f t="shared" si="135"/>
        <v/>
      </c>
      <c r="BK799" s="9" t="str">
        <f>IF($B799="","",COUNTIFS($B$5:$B799,$B799,$BF$5:$BF799,$BF799))</f>
        <v/>
      </c>
      <c r="BL799" s="9" t="str">
        <f>IF($B799="","",COUNTIFS($B$5:$B799,$B799,$BH$5:$BH799,$BH799))</f>
        <v/>
      </c>
      <c r="BM799" s="9" t="str">
        <f t="shared" si="136"/>
        <v/>
      </c>
      <c r="BN799" s="9" t="str">
        <f t="shared" si="137"/>
        <v/>
      </c>
      <c r="BO799" s="9">
        <f t="shared" si="138"/>
        <v>0</v>
      </c>
      <c r="BR799" s="12" t="str">
        <f t="shared" si="139"/>
        <v/>
      </c>
    </row>
    <row r="800" spans="1:70" ht="14.25" customHeight="1">
      <c r="A800" s="26"/>
      <c r="C800" s="26"/>
      <c r="D800" s="27"/>
      <c r="E800" s="27"/>
      <c r="BE800" s="10" t="str">
        <f t="shared" si="130"/>
        <v/>
      </c>
      <c r="BF800" s="8" t="str">
        <f t="shared" si="131"/>
        <v/>
      </c>
      <c r="BG800" s="11" t="str">
        <f t="shared" si="132"/>
        <v/>
      </c>
      <c r="BH800" s="8" t="str">
        <f t="shared" si="133"/>
        <v/>
      </c>
      <c r="BI800" s="8" t="str">
        <f t="shared" si="134"/>
        <v/>
      </c>
      <c r="BJ800" s="9" t="str">
        <f t="shared" si="135"/>
        <v/>
      </c>
      <c r="BK800" s="9" t="str">
        <f>IF($B800="","",COUNTIFS($B$5:$B800,$B800,$BF$5:$BF800,$BF800))</f>
        <v/>
      </c>
      <c r="BL800" s="9" t="str">
        <f>IF($B800="","",COUNTIFS($B$5:$B800,$B800,$BH$5:$BH800,$BH800))</f>
        <v/>
      </c>
      <c r="BM800" s="9" t="str">
        <f t="shared" si="136"/>
        <v/>
      </c>
      <c r="BN800" s="9" t="str">
        <f t="shared" si="137"/>
        <v/>
      </c>
      <c r="BO800" s="9">
        <f t="shared" si="138"/>
        <v>0</v>
      </c>
      <c r="BR800" s="12" t="str">
        <f t="shared" si="139"/>
        <v/>
      </c>
    </row>
    <row r="801" spans="1:70" ht="14.25" customHeight="1">
      <c r="A801" s="26"/>
      <c r="C801" s="26"/>
      <c r="D801" s="27"/>
      <c r="E801" s="27"/>
      <c r="BE801" s="10" t="str">
        <f t="shared" si="130"/>
        <v/>
      </c>
      <c r="BF801" s="8" t="str">
        <f t="shared" si="131"/>
        <v/>
      </c>
      <c r="BG801" s="11" t="str">
        <f t="shared" si="132"/>
        <v/>
      </c>
      <c r="BH801" s="8" t="str">
        <f t="shared" si="133"/>
        <v/>
      </c>
      <c r="BI801" s="8" t="str">
        <f t="shared" si="134"/>
        <v/>
      </c>
      <c r="BJ801" s="9" t="str">
        <f t="shared" si="135"/>
        <v/>
      </c>
      <c r="BK801" s="9" t="str">
        <f>IF($B801="","",COUNTIFS($B$5:$B801,$B801,$BF$5:$BF801,$BF801))</f>
        <v/>
      </c>
      <c r="BL801" s="9" t="str">
        <f>IF($B801="","",COUNTIFS($B$5:$B801,$B801,$BH$5:$BH801,$BH801))</f>
        <v/>
      </c>
      <c r="BM801" s="9" t="str">
        <f t="shared" si="136"/>
        <v/>
      </c>
      <c r="BN801" s="9" t="str">
        <f t="shared" si="137"/>
        <v/>
      </c>
      <c r="BO801" s="9">
        <f t="shared" si="138"/>
        <v>0</v>
      </c>
      <c r="BR801" s="12" t="str">
        <f t="shared" si="139"/>
        <v/>
      </c>
    </row>
    <row r="802" spans="1:70" ht="14.25" customHeight="1">
      <c r="A802" s="26"/>
      <c r="C802" s="26"/>
      <c r="D802" s="27"/>
      <c r="E802" s="27"/>
      <c r="BE802" s="10" t="str">
        <f t="shared" si="130"/>
        <v/>
      </c>
      <c r="BF802" s="8" t="str">
        <f t="shared" si="131"/>
        <v/>
      </c>
      <c r="BG802" s="11" t="str">
        <f t="shared" si="132"/>
        <v/>
      </c>
      <c r="BH802" s="8" t="str">
        <f t="shared" si="133"/>
        <v/>
      </c>
      <c r="BI802" s="8" t="str">
        <f t="shared" si="134"/>
        <v/>
      </c>
      <c r="BJ802" s="9" t="str">
        <f t="shared" si="135"/>
        <v/>
      </c>
      <c r="BK802" s="9" t="str">
        <f>IF($B802="","",COUNTIFS($B$5:$B802,$B802,$BF$5:$BF802,$BF802))</f>
        <v/>
      </c>
      <c r="BL802" s="9" t="str">
        <f>IF($B802="","",COUNTIFS($B$5:$B802,$B802,$BH$5:$BH802,$BH802))</f>
        <v/>
      </c>
      <c r="BM802" s="9" t="str">
        <f t="shared" si="136"/>
        <v/>
      </c>
      <c r="BN802" s="9" t="str">
        <f t="shared" si="137"/>
        <v/>
      </c>
      <c r="BO802" s="9">
        <f t="shared" si="138"/>
        <v>0</v>
      </c>
      <c r="BR802" s="12" t="str">
        <f t="shared" si="139"/>
        <v/>
      </c>
    </row>
    <row r="803" spans="1:70" ht="14.25" customHeight="1">
      <c r="A803" s="26"/>
      <c r="C803" s="26"/>
      <c r="D803" s="27"/>
      <c r="E803" s="27"/>
      <c r="BE803" s="10" t="str">
        <f t="shared" si="130"/>
        <v/>
      </c>
      <c r="BF803" s="8" t="str">
        <f t="shared" si="131"/>
        <v/>
      </c>
      <c r="BG803" s="11" t="str">
        <f t="shared" si="132"/>
        <v/>
      </c>
      <c r="BH803" s="8" t="str">
        <f t="shared" si="133"/>
        <v/>
      </c>
      <c r="BI803" s="8" t="str">
        <f t="shared" si="134"/>
        <v/>
      </c>
      <c r="BJ803" s="9" t="str">
        <f t="shared" si="135"/>
        <v/>
      </c>
      <c r="BK803" s="9" t="str">
        <f>IF($B803="","",COUNTIFS($B$5:$B803,$B803,$BF$5:$BF803,$BF803))</f>
        <v/>
      </c>
      <c r="BL803" s="9" t="str">
        <f>IF($B803="","",COUNTIFS($B$5:$B803,$B803,$BH$5:$BH803,$BH803))</f>
        <v/>
      </c>
      <c r="BM803" s="9" t="str">
        <f t="shared" si="136"/>
        <v/>
      </c>
      <c r="BN803" s="9" t="str">
        <f t="shared" si="137"/>
        <v/>
      </c>
      <c r="BO803" s="9">
        <f t="shared" si="138"/>
        <v>0</v>
      </c>
      <c r="BR803" s="12" t="str">
        <f t="shared" si="139"/>
        <v/>
      </c>
    </row>
    <row r="804" spans="1:70" ht="14.25" customHeight="1">
      <c r="A804" s="26"/>
      <c r="C804" s="26"/>
      <c r="D804" s="27"/>
      <c r="E804" s="27"/>
      <c r="BE804" s="10" t="str">
        <f t="shared" si="130"/>
        <v/>
      </c>
      <c r="BF804" s="8" t="str">
        <f t="shared" si="131"/>
        <v/>
      </c>
      <c r="BG804" s="11" t="str">
        <f t="shared" si="132"/>
        <v/>
      </c>
      <c r="BH804" s="8" t="str">
        <f t="shared" si="133"/>
        <v/>
      </c>
      <c r="BI804" s="8" t="str">
        <f t="shared" si="134"/>
        <v/>
      </c>
      <c r="BJ804" s="9" t="str">
        <f t="shared" si="135"/>
        <v/>
      </c>
      <c r="BK804" s="9" t="str">
        <f>IF($B804="","",COUNTIFS($B$5:$B804,$B804,$BF$5:$BF804,$BF804))</f>
        <v/>
      </c>
      <c r="BL804" s="9" t="str">
        <f>IF($B804="","",COUNTIFS($B$5:$B804,$B804,$BH$5:$BH804,$BH804))</f>
        <v/>
      </c>
      <c r="BM804" s="9" t="str">
        <f t="shared" si="136"/>
        <v/>
      </c>
      <c r="BN804" s="9" t="str">
        <f t="shared" si="137"/>
        <v/>
      </c>
      <c r="BO804" s="9">
        <f t="shared" si="138"/>
        <v>0</v>
      </c>
      <c r="BR804" s="12" t="str">
        <f t="shared" si="139"/>
        <v/>
      </c>
    </row>
    <row r="805" spans="1:70" ht="14.25" customHeight="1">
      <c r="A805" s="26"/>
      <c r="C805" s="26"/>
      <c r="D805" s="27"/>
      <c r="E805" s="27"/>
      <c r="BE805" s="10" t="str">
        <f t="shared" si="130"/>
        <v/>
      </c>
      <c r="BF805" s="8" t="str">
        <f t="shared" si="131"/>
        <v/>
      </c>
      <c r="BG805" s="11" t="str">
        <f t="shared" si="132"/>
        <v/>
      </c>
      <c r="BH805" s="8" t="str">
        <f t="shared" si="133"/>
        <v/>
      </c>
      <c r="BI805" s="8" t="str">
        <f t="shared" si="134"/>
        <v/>
      </c>
      <c r="BJ805" s="9" t="str">
        <f t="shared" si="135"/>
        <v/>
      </c>
      <c r="BK805" s="9" t="str">
        <f>IF($B805="","",COUNTIFS($B$5:$B805,$B805,$BF$5:$BF805,$BF805))</f>
        <v/>
      </c>
      <c r="BL805" s="9" t="str">
        <f>IF($B805="","",COUNTIFS($B$5:$B805,$B805,$BH$5:$BH805,$BH805))</f>
        <v/>
      </c>
      <c r="BM805" s="9" t="str">
        <f t="shared" si="136"/>
        <v/>
      </c>
      <c r="BN805" s="9" t="str">
        <f t="shared" si="137"/>
        <v/>
      </c>
      <c r="BO805" s="9">
        <f t="shared" si="138"/>
        <v>0</v>
      </c>
      <c r="BR805" s="12" t="str">
        <f t="shared" si="139"/>
        <v/>
      </c>
    </row>
    <row r="806" spans="1:70" ht="14.25" customHeight="1">
      <c r="A806" s="26"/>
      <c r="C806" s="26"/>
      <c r="D806" s="27"/>
      <c r="E806" s="27"/>
      <c r="BE806" s="10" t="str">
        <f t="shared" si="130"/>
        <v/>
      </c>
      <c r="BF806" s="8" t="str">
        <f t="shared" si="131"/>
        <v/>
      </c>
      <c r="BG806" s="11" t="str">
        <f t="shared" si="132"/>
        <v/>
      </c>
      <c r="BH806" s="8" t="str">
        <f t="shared" si="133"/>
        <v/>
      </c>
      <c r="BI806" s="8" t="str">
        <f t="shared" si="134"/>
        <v/>
      </c>
      <c r="BJ806" s="9" t="str">
        <f t="shared" si="135"/>
        <v/>
      </c>
      <c r="BK806" s="9" t="str">
        <f>IF($B806="","",COUNTIFS($B$5:$B806,$B806,$BF$5:$BF806,$BF806))</f>
        <v/>
      </c>
      <c r="BL806" s="9" t="str">
        <f>IF($B806="","",COUNTIFS($B$5:$B806,$B806,$BH$5:$BH806,$BH806))</f>
        <v/>
      </c>
      <c r="BM806" s="9" t="str">
        <f t="shared" si="136"/>
        <v/>
      </c>
      <c r="BN806" s="9" t="str">
        <f t="shared" si="137"/>
        <v/>
      </c>
      <c r="BO806" s="9">
        <f t="shared" si="138"/>
        <v>0</v>
      </c>
      <c r="BR806" s="12" t="str">
        <f t="shared" si="139"/>
        <v/>
      </c>
    </row>
    <row r="807" spans="1:70" ht="14.25" customHeight="1">
      <c r="A807" s="26"/>
      <c r="C807" s="26"/>
      <c r="D807" s="27"/>
      <c r="E807" s="27"/>
      <c r="BE807" s="10" t="str">
        <f t="shared" si="130"/>
        <v/>
      </c>
      <c r="BF807" s="8" t="str">
        <f t="shared" si="131"/>
        <v/>
      </c>
      <c r="BG807" s="11" t="str">
        <f t="shared" si="132"/>
        <v/>
      </c>
      <c r="BH807" s="8" t="str">
        <f t="shared" si="133"/>
        <v/>
      </c>
      <c r="BI807" s="8" t="str">
        <f t="shared" si="134"/>
        <v/>
      </c>
      <c r="BJ807" s="9" t="str">
        <f t="shared" si="135"/>
        <v/>
      </c>
      <c r="BK807" s="9" t="str">
        <f>IF($B807="","",COUNTIFS($B$5:$B807,$B807,$BF$5:$BF807,$BF807))</f>
        <v/>
      </c>
      <c r="BL807" s="9" t="str">
        <f>IF($B807="","",COUNTIFS($B$5:$B807,$B807,$BH$5:$BH807,$BH807))</f>
        <v/>
      </c>
      <c r="BM807" s="9" t="str">
        <f t="shared" si="136"/>
        <v/>
      </c>
      <c r="BN807" s="9" t="str">
        <f t="shared" si="137"/>
        <v/>
      </c>
      <c r="BO807" s="9">
        <f t="shared" si="138"/>
        <v>0</v>
      </c>
      <c r="BR807" s="12" t="str">
        <f t="shared" si="139"/>
        <v/>
      </c>
    </row>
    <row r="808" spans="1:70" ht="14.25" customHeight="1">
      <c r="A808" s="26"/>
      <c r="C808" s="26"/>
      <c r="D808" s="27"/>
      <c r="E808" s="27"/>
      <c r="BE808" s="10" t="str">
        <f t="shared" si="130"/>
        <v/>
      </c>
      <c r="BF808" s="8" t="str">
        <f t="shared" si="131"/>
        <v/>
      </c>
      <c r="BG808" s="11" t="str">
        <f t="shared" si="132"/>
        <v/>
      </c>
      <c r="BH808" s="8" t="str">
        <f t="shared" si="133"/>
        <v/>
      </c>
      <c r="BI808" s="8" t="str">
        <f t="shared" si="134"/>
        <v/>
      </c>
      <c r="BJ808" s="9" t="str">
        <f t="shared" si="135"/>
        <v/>
      </c>
      <c r="BK808" s="9" t="str">
        <f>IF($B808="","",COUNTIFS($B$5:$B808,$B808,$BF$5:$BF808,$BF808))</f>
        <v/>
      </c>
      <c r="BL808" s="9" t="str">
        <f>IF($B808="","",COUNTIFS($B$5:$B808,$B808,$BH$5:$BH808,$BH808))</f>
        <v/>
      </c>
      <c r="BM808" s="9" t="str">
        <f t="shared" si="136"/>
        <v/>
      </c>
      <c r="BN808" s="9" t="str">
        <f t="shared" si="137"/>
        <v/>
      </c>
      <c r="BO808" s="9">
        <f t="shared" si="138"/>
        <v>0</v>
      </c>
      <c r="BR808" s="12" t="str">
        <f t="shared" si="139"/>
        <v/>
      </c>
    </row>
    <row r="809" spans="1:70" ht="14.25" customHeight="1">
      <c r="A809" s="26"/>
      <c r="C809" s="26"/>
      <c r="D809" s="27"/>
      <c r="E809" s="27"/>
      <c r="BE809" s="10" t="str">
        <f t="shared" si="130"/>
        <v/>
      </c>
      <c r="BF809" s="8" t="str">
        <f t="shared" si="131"/>
        <v/>
      </c>
      <c r="BG809" s="11" t="str">
        <f t="shared" si="132"/>
        <v/>
      </c>
      <c r="BH809" s="8" t="str">
        <f t="shared" si="133"/>
        <v/>
      </c>
      <c r="BI809" s="8" t="str">
        <f t="shared" si="134"/>
        <v/>
      </c>
      <c r="BJ809" s="9" t="str">
        <f t="shared" si="135"/>
        <v/>
      </c>
      <c r="BK809" s="9" t="str">
        <f>IF($B809="","",COUNTIFS($B$5:$B809,$B809,$BF$5:$BF809,$BF809))</f>
        <v/>
      </c>
      <c r="BL809" s="9" t="str">
        <f>IF($B809="","",COUNTIFS($B$5:$B809,$B809,$BH$5:$BH809,$BH809))</f>
        <v/>
      </c>
      <c r="BM809" s="9" t="str">
        <f t="shared" si="136"/>
        <v/>
      </c>
      <c r="BN809" s="9" t="str">
        <f t="shared" si="137"/>
        <v/>
      </c>
      <c r="BO809" s="9">
        <f t="shared" si="138"/>
        <v>0</v>
      </c>
      <c r="BR809" s="12" t="str">
        <f t="shared" si="139"/>
        <v/>
      </c>
    </row>
    <row r="810" spans="1:70" ht="14.25" customHeight="1">
      <c r="A810" s="26"/>
      <c r="C810" s="26"/>
      <c r="D810" s="27"/>
      <c r="E810" s="27"/>
      <c r="BE810" s="10" t="str">
        <f t="shared" si="130"/>
        <v/>
      </c>
      <c r="BF810" s="8" t="str">
        <f t="shared" si="131"/>
        <v/>
      </c>
      <c r="BG810" s="11" t="str">
        <f t="shared" si="132"/>
        <v/>
      </c>
      <c r="BH810" s="8" t="str">
        <f t="shared" si="133"/>
        <v/>
      </c>
      <c r="BI810" s="8" t="str">
        <f t="shared" si="134"/>
        <v/>
      </c>
      <c r="BJ810" s="9" t="str">
        <f t="shared" si="135"/>
        <v/>
      </c>
      <c r="BK810" s="9" t="str">
        <f>IF($B810="","",COUNTIFS($B$5:$B810,$B810,$BF$5:$BF810,$BF810))</f>
        <v/>
      </c>
      <c r="BL810" s="9" t="str">
        <f>IF($B810="","",COUNTIFS($B$5:$B810,$B810,$BH$5:$BH810,$BH810))</f>
        <v/>
      </c>
      <c r="BM810" s="9" t="str">
        <f t="shared" si="136"/>
        <v/>
      </c>
      <c r="BN810" s="9" t="str">
        <f t="shared" si="137"/>
        <v/>
      </c>
      <c r="BO810" s="9">
        <f t="shared" si="138"/>
        <v>0</v>
      </c>
      <c r="BR810" s="12" t="str">
        <f t="shared" si="139"/>
        <v/>
      </c>
    </row>
    <row r="811" spans="1:70" ht="14.25" customHeight="1">
      <c r="A811" s="26"/>
      <c r="C811" s="26"/>
      <c r="D811" s="27"/>
      <c r="E811" s="27"/>
      <c r="BE811" s="10" t="str">
        <f t="shared" si="130"/>
        <v/>
      </c>
      <c r="BF811" s="8" t="str">
        <f t="shared" si="131"/>
        <v/>
      </c>
      <c r="BG811" s="11" t="str">
        <f t="shared" si="132"/>
        <v/>
      </c>
      <c r="BH811" s="8" t="str">
        <f t="shared" si="133"/>
        <v/>
      </c>
      <c r="BI811" s="8" t="str">
        <f t="shared" si="134"/>
        <v/>
      </c>
      <c r="BJ811" s="9" t="str">
        <f t="shared" si="135"/>
        <v/>
      </c>
      <c r="BK811" s="9" t="str">
        <f>IF($B811="","",COUNTIFS($B$5:$B811,$B811,$BF$5:$BF811,$BF811))</f>
        <v/>
      </c>
      <c r="BL811" s="9" t="str">
        <f>IF($B811="","",COUNTIFS($B$5:$B811,$B811,$BH$5:$BH811,$BH811))</f>
        <v/>
      </c>
      <c r="BM811" s="9" t="str">
        <f t="shared" si="136"/>
        <v/>
      </c>
      <c r="BN811" s="9" t="str">
        <f t="shared" si="137"/>
        <v/>
      </c>
      <c r="BO811" s="9">
        <f t="shared" si="138"/>
        <v>0</v>
      </c>
      <c r="BR811" s="12" t="str">
        <f t="shared" si="139"/>
        <v/>
      </c>
    </row>
    <row r="812" spans="1:70" ht="14.25" customHeight="1">
      <c r="A812" s="26"/>
      <c r="C812" s="26"/>
      <c r="D812" s="27"/>
      <c r="E812" s="27"/>
      <c r="BE812" s="10" t="str">
        <f t="shared" si="130"/>
        <v/>
      </c>
      <c r="BF812" s="8" t="str">
        <f t="shared" si="131"/>
        <v/>
      </c>
      <c r="BG812" s="11" t="str">
        <f t="shared" si="132"/>
        <v/>
      </c>
      <c r="BH812" s="8" t="str">
        <f t="shared" si="133"/>
        <v/>
      </c>
      <c r="BI812" s="8" t="str">
        <f t="shared" si="134"/>
        <v/>
      </c>
      <c r="BJ812" s="9" t="str">
        <f t="shared" si="135"/>
        <v/>
      </c>
      <c r="BK812" s="9" t="str">
        <f>IF($B812="","",COUNTIFS($B$5:$B812,$B812,$BF$5:$BF812,$BF812))</f>
        <v/>
      </c>
      <c r="BL812" s="9" t="str">
        <f>IF($B812="","",COUNTIFS($B$5:$B812,$B812,$BH$5:$BH812,$BH812))</f>
        <v/>
      </c>
      <c r="BM812" s="9" t="str">
        <f t="shared" si="136"/>
        <v/>
      </c>
      <c r="BN812" s="9" t="str">
        <f t="shared" si="137"/>
        <v/>
      </c>
      <c r="BO812" s="9">
        <f t="shared" si="138"/>
        <v>0</v>
      </c>
      <c r="BR812" s="12" t="str">
        <f t="shared" si="139"/>
        <v/>
      </c>
    </row>
    <row r="813" spans="1:70" ht="14.25" customHeight="1">
      <c r="A813" s="26"/>
      <c r="C813" s="26"/>
      <c r="D813" s="27"/>
      <c r="E813" s="27"/>
      <c r="BE813" s="10" t="str">
        <f t="shared" si="130"/>
        <v/>
      </c>
      <c r="BF813" s="8" t="str">
        <f t="shared" si="131"/>
        <v/>
      </c>
      <c r="BG813" s="11" t="str">
        <f t="shared" si="132"/>
        <v/>
      </c>
      <c r="BH813" s="8" t="str">
        <f t="shared" si="133"/>
        <v/>
      </c>
      <c r="BI813" s="8" t="str">
        <f t="shared" si="134"/>
        <v/>
      </c>
      <c r="BJ813" s="9" t="str">
        <f t="shared" si="135"/>
        <v/>
      </c>
      <c r="BK813" s="9" t="str">
        <f>IF($B813="","",COUNTIFS($B$5:$B813,$B813,$BF$5:$BF813,$BF813))</f>
        <v/>
      </c>
      <c r="BL813" s="9" t="str">
        <f>IF($B813="","",COUNTIFS($B$5:$B813,$B813,$BH$5:$BH813,$BH813))</f>
        <v/>
      </c>
      <c r="BM813" s="9" t="str">
        <f t="shared" si="136"/>
        <v/>
      </c>
      <c r="BN813" s="9" t="str">
        <f t="shared" si="137"/>
        <v/>
      </c>
      <c r="BO813" s="9">
        <f t="shared" si="138"/>
        <v>0</v>
      </c>
      <c r="BR813" s="12" t="str">
        <f t="shared" si="139"/>
        <v/>
      </c>
    </row>
    <row r="814" spans="1:70" ht="14.25" customHeight="1">
      <c r="A814" s="26"/>
      <c r="C814" s="26"/>
      <c r="D814" s="27"/>
      <c r="E814" s="27"/>
      <c r="BE814" s="10" t="str">
        <f t="shared" si="130"/>
        <v/>
      </c>
      <c r="BF814" s="8" t="str">
        <f t="shared" si="131"/>
        <v/>
      </c>
      <c r="BG814" s="11" t="str">
        <f t="shared" si="132"/>
        <v/>
      </c>
      <c r="BH814" s="8" t="str">
        <f t="shared" si="133"/>
        <v/>
      </c>
      <c r="BI814" s="8" t="str">
        <f t="shared" si="134"/>
        <v/>
      </c>
      <c r="BJ814" s="9" t="str">
        <f t="shared" si="135"/>
        <v/>
      </c>
      <c r="BK814" s="9" t="str">
        <f>IF($B814="","",COUNTIFS($B$5:$B814,$B814,$BF$5:$BF814,$BF814))</f>
        <v/>
      </c>
      <c r="BL814" s="9" t="str">
        <f>IF($B814="","",COUNTIFS($B$5:$B814,$B814,$BH$5:$BH814,$BH814))</f>
        <v/>
      </c>
      <c r="BM814" s="9" t="str">
        <f t="shared" si="136"/>
        <v/>
      </c>
      <c r="BN814" s="9" t="str">
        <f t="shared" si="137"/>
        <v/>
      </c>
      <c r="BO814" s="9">
        <f t="shared" si="138"/>
        <v>0</v>
      </c>
      <c r="BR814" s="12" t="str">
        <f t="shared" si="139"/>
        <v/>
      </c>
    </row>
    <row r="815" spans="1:70" ht="14.25" customHeight="1">
      <c r="A815" s="26"/>
      <c r="C815" s="26"/>
      <c r="D815" s="27"/>
      <c r="E815" s="27"/>
      <c r="BE815" s="10" t="str">
        <f t="shared" si="130"/>
        <v/>
      </c>
      <c r="BF815" s="8" t="str">
        <f t="shared" si="131"/>
        <v/>
      </c>
      <c r="BG815" s="11" t="str">
        <f t="shared" si="132"/>
        <v/>
      </c>
      <c r="BH815" s="8" t="str">
        <f t="shared" si="133"/>
        <v/>
      </c>
      <c r="BI815" s="8" t="str">
        <f t="shared" si="134"/>
        <v/>
      </c>
      <c r="BJ815" s="9" t="str">
        <f t="shared" si="135"/>
        <v/>
      </c>
      <c r="BK815" s="9" t="str">
        <f>IF($B815="","",COUNTIFS($B$5:$B815,$B815,$BF$5:$BF815,$BF815))</f>
        <v/>
      </c>
      <c r="BL815" s="9" t="str">
        <f>IF($B815="","",COUNTIFS($B$5:$B815,$B815,$BH$5:$BH815,$BH815))</f>
        <v/>
      </c>
      <c r="BM815" s="9" t="str">
        <f t="shared" si="136"/>
        <v/>
      </c>
      <c r="BN815" s="9" t="str">
        <f t="shared" si="137"/>
        <v/>
      </c>
      <c r="BO815" s="9">
        <f t="shared" si="138"/>
        <v>0</v>
      </c>
      <c r="BR815" s="12" t="str">
        <f t="shared" si="139"/>
        <v/>
      </c>
    </row>
    <row r="816" spans="1:70" ht="14.25" customHeight="1">
      <c r="A816" s="26"/>
      <c r="C816" s="26"/>
      <c r="D816" s="27"/>
      <c r="E816" s="27"/>
      <c r="BE816" s="10" t="str">
        <f t="shared" si="130"/>
        <v/>
      </c>
      <c r="BF816" s="8" t="str">
        <f t="shared" si="131"/>
        <v/>
      </c>
      <c r="BG816" s="11" t="str">
        <f t="shared" si="132"/>
        <v/>
      </c>
      <c r="BH816" s="8" t="str">
        <f t="shared" si="133"/>
        <v/>
      </c>
      <c r="BI816" s="8" t="str">
        <f t="shared" si="134"/>
        <v/>
      </c>
      <c r="BJ816" s="9" t="str">
        <f t="shared" si="135"/>
        <v/>
      </c>
      <c r="BK816" s="9" t="str">
        <f>IF($B816="","",COUNTIFS($B$5:$B816,$B816,$BF$5:$BF816,$BF816))</f>
        <v/>
      </c>
      <c r="BL816" s="9" t="str">
        <f>IF($B816="","",COUNTIFS($B$5:$B816,$B816,$BH$5:$BH816,$BH816))</f>
        <v/>
      </c>
      <c r="BM816" s="9" t="str">
        <f t="shared" si="136"/>
        <v/>
      </c>
      <c r="BN816" s="9" t="str">
        <f t="shared" si="137"/>
        <v/>
      </c>
      <c r="BO816" s="9">
        <f t="shared" si="138"/>
        <v>0</v>
      </c>
      <c r="BR816" s="12" t="str">
        <f t="shared" si="139"/>
        <v/>
      </c>
    </row>
    <row r="817" spans="1:70" ht="14.25" customHeight="1">
      <c r="A817" s="26"/>
      <c r="C817" s="26"/>
      <c r="D817" s="27"/>
      <c r="E817" s="27"/>
      <c r="BE817" s="10" t="str">
        <f t="shared" si="130"/>
        <v/>
      </c>
      <c r="BF817" s="8" t="str">
        <f t="shared" si="131"/>
        <v/>
      </c>
      <c r="BG817" s="11" t="str">
        <f t="shared" si="132"/>
        <v/>
      </c>
      <c r="BH817" s="8" t="str">
        <f t="shared" si="133"/>
        <v/>
      </c>
      <c r="BI817" s="8" t="str">
        <f t="shared" si="134"/>
        <v/>
      </c>
      <c r="BJ817" s="9" t="str">
        <f t="shared" si="135"/>
        <v/>
      </c>
      <c r="BK817" s="9" t="str">
        <f>IF($B817="","",COUNTIFS($B$5:$B817,$B817,$BF$5:$BF817,$BF817))</f>
        <v/>
      </c>
      <c r="BL817" s="9" t="str">
        <f>IF($B817="","",COUNTIFS($B$5:$B817,$B817,$BH$5:$BH817,$BH817))</f>
        <v/>
      </c>
      <c r="BM817" s="9" t="str">
        <f t="shared" si="136"/>
        <v/>
      </c>
      <c r="BN817" s="9" t="str">
        <f t="shared" si="137"/>
        <v/>
      </c>
      <c r="BO817" s="9">
        <f t="shared" si="138"/>
        <v>0</v>
      </c>
      <c r="BR817" s="12" t="str">
        <f t="shared" si="139"/>
        <v/>
      </c>
    </row>
    <row r="818" spans="1:70" ht="14.25" customHeight="1">
      <c r="A818" s="26"/>
      <c r="C818" s="26"/>
      <c r="D818" s="27"/>
      <c r="E818" s="27"/>
      <c r="BE818" s="10" t="str">
        <f t="shared" si="130"/>
        <v/>
      </c>
      <c r="BF818" s="8" t="str">
        <f t="shared" si="131"/>
        <v/>
      </c>
      <c r="BG818" s="11" t="str">
        <f t="shared" si="132"/>
        <v/>
      </c>
      <c r="BH818" s="8" t="str">
        <f t="shared" si="133"/>
        <v/>
      </c>
      <c r="BI818" s="8" t="str">
        <f t="shared" si="134"/>
        <v/>
      </c>
      <c r="BJ818" s="9" t="str">
        <f t="shared" si="135"/>
        <v/>
      </c>
      <c r="BK818" s="9" t="str">
        <f>IF($B818="","",COUNTIFS($B$5:$B818,$B818,$BF$5:$BF818,$BF818))</f>
        <v/>
      </c>
      <c r="BL818" s="9" t="str">
        <f>IF($B818="","",COUNTIFS($B$5:$B818,$B818,$BH$5:$BH818,$BH818))</f>
        <v/>
      </c>
      <c r="BM818" s="9" t="str">
        <f t="shared" si="136"/>
        <v/>
      </c>
      <c r="BN818" s="9" t="str">
        <f t="shared" si="137"/>
        <v/>
      </c>
      <c r="BO818" s="9">
        <f t="shared" si="138"/>
        <v>0</v>
      </c>
      <c r="BR818" s="12" t="str">
        <f t="shared" si="139"/>
        <v/>
      </c>
    </row>
    <row r="819" spans="1:70" ht="14.25" customHeight="1">
      <c r="A819" s="26"/>
      <c r="C819" s="26"/>
      <c r="D819" s="27"/>
      <c r="E819" s="27"/>
      <c r="BE819" s="10" t="str">
        <f t="shared" si="130"/>
        <v/>
      </c>
      <c r="BF819" s="8" t="str">
        <f t="shared" si="131"/>
        <v/>
      </c>
      <c r="BG819" s="11" t="str">
        <f t="shared" si="132"/>
        <v/>
      </c>
      <c r="BH819" s="8" t="str">
        <f t="shared" si="133"/>
        <v/>
      </c>
      <c r="BI819" s="8" t="str">
        <f t="shared" si="134"/>
        <v/>
      </c>
      <c r="BJ819" s="9" t="str">
        <f t="shared" si="135"/>
        <v/>
      </c>
      <c r="BK819" s="9" t="str">
        <f>IF($B819="","",COUNTIFS($B$5:$B819,$B819,$BF$5:$BF819,$BF819))</f>
        <v/>
      </c>
      <c r="BL819" s="9" t="str">
        <f>IF($B819="","",COUNTIFS($B$5:$B819,$B819,$BH$5:$BH819,$BH819))</f>
        <v/>
      </c>
      <c r="BM819" s="9" t="str">
        <f t="shared" si="136"/>
        <v/>
      </c>
      <c r="BN819" s="9" t="str">
        <f t="shared" si="137"/>
        <v/>
      </c>
      <c r="BO819" s="9">
        <f t="shared" si="138"/>
        <v>0</v>
      </c>
      <c r="BR819" s="12" t="str">
        <f t="shared" si="139"/>
        <v/>
      </c>
    </row>
    <row r="820" spans="1:70" ht="14.25" customHeight="1">
      <c r="A820" s="26"/>
      <c r="C820" s="26"/>
      <c r="D820" s="27"/>
      <c r="E820" s="27"/>
      <c r="BE820" s="10" t="str">
        <f t="shared" si="130"/>
        <v/>
      </c>
      <c r="BF820" s="8" t="str">
        <f t="shared" si="131"/>
        <v/>
      </c>
      <c r="BG820" s="11" t="str">
        <f t="shared" si="132"/>
        <v/>
      </c>
      <c r="BH820" s="8" t="str">
        <f t="shared" si="133"/>
        <v/>
      </c>
      <c r="BI820" s="8" t="str">
        <f t="shared" si="134"/>
        <v/>
      </c>
      <c r="BJ820" s="9" t="str">
        <f t="shared" si="135"/>
        <v/>
      </c>
      <c r="BK820" s="9" t="str">
        <f>IF($B820="","",COUNTIFS($B$5:$B820,$B820,$BF$5:$BF820,$BF820))</f>
        <v/>
      </c>
      <c r="BL820" s="9" t="str">
        <f>IF($B820="","",COUNTIFS($B$5:$B820,$B820,$BH$5:$BH820,$BH820))</f>
        <v/>
      </c>
      <c r="BM820" s="9" t="str">
        <f t="shared" si="136"/>
        <v/>
      </c>
      <c r="BN820" s="9" t="str">
        <f t="shared" si="137"/>
        <v/>
      </c>
      <c r="BO820" s="9">
        <f t="shared" si="138"/>
        <v>0</v>
      </c>
      <c r="BR820" s="12" t="str">
        <f t="shared" si="139"/>
        <v/>
      </c>
    </row>
    <row r="821" spans="1:70" ht="14.25" customHeight="1">
      <c r="A821" s="26"/>
      <c r="C821" s="26"/>
      <c r="D821" s="27"/>
      <c r="E821" s="27"/>
      <c r="BE821" s="10" t="str">
        <f t="shared" si="130"/>
        <v/>
      </c>
      <c r="BF821" s="8" t="str">
        <f t="shared" si="131"/>
        <v/>
      </c>
      <c r="BG821" s="11" t="str">
        <f t="shared" si="132"/>
        <v/>
      </c>
      <c r="BH821" s="8" t="str">
        <f t="shared" si="133"/>
        <v/>
      </c>
      <c r="BI821" s="8" t="str">
        <f t="shared" si="134"/>
        <v/>
      </c>
      <c r="BJ821" s="9" t="str">
        <f t="shared" si="135"/>
        <v/>
      </c>
      <c r="BK821" s="9" t="str">
        <f>IF($B821="","",COUNTIFS($B$5:$B821,$B821,$BF$5:$BF821,$BF821))</f>
        <v/>
      </c>
      <c r="BL821" s="9" t="str">
        <f>IF($B821="","",COUNTIFS($B$5:$B821,$B821,$BH$5:$BH821,$BH821))</f>
        <v/>
      </c>
      <c r="BM821" s="9" t="str">
        <f t="shared" si="136"/>
        <v/>
      </c>
      <c r="BN821" s="9" t="str">
        <f t="shared" si="137"/>
        <v/>
      </c>
      <c r="BO821" s="9">
        <f t="shared" si="138"/>
        <v>0</v>
      </c>
      <c r="BR821" s="12" t="str">
        <f t="shared" si="139"/>
        <v/>
      </c>
    </row>
    <row r="822" spans="1:70" ht="14.25" customHeight="1">
      <c r="A822" s="26"/>
      <c r="C822" s="26"/>
      <c r="D822" s="27"/>
      <c r="E822" s="27"/>
      <c r="BE822" s="10" t="str">
        <f t="shared" si="130"/>
        <v/>
      </c>
      <c r="BF822" s="8" t="str">
        <f t="shared" si="131"/>
        <v/>
      </c>
      <c r="BG822" s="11" t="str">
        <f t="shared" si="132"/>
        <v/>
      </c>
      <c r="BH822" s="8" t="str">
        <f t="shared" si="133"/>
        <v/>
      </c>
      <c r="BI822" s="8" t="str">
        <f t="shared" si="134"/>
        <v/>
      </c>
      <c r="BJ822" s="9" t="str">
        <f t="shared" si="135"/>
        <v/>
      </c>
      <c r="BK822" s="9" t="str">
        <f>IF($B822="","",COUNTIFS($B$5:$B822,$B822,$BF$5:$BF822,$BF822))</f>
        <v/>
      </c>
      <c r="BL822" s="9" t="str">
        <f>IF($B822="","",COUNTIFS($B$5:$B822,$B822,$BH$5:$BH822,$BH822))</f>
        <v/>
      </c>
      <c r="BM822" s="9" t="str">
        <f t="shared" si="136"/>
        <v/>
      </c>
      <c r="BN822" s="9" t="str">
        <f t="shared" si="137"/>
        <v/>
      </c>
      <c r="BO822" s="9">
        <f t="shared" si="138"/>
        <v>0</v>
      </c>
      <c r="BR822" s="12" t="str">
        <f t="shared" si="139"/>
        <v/>
      </c>
    </row>
    <row r="823" spans="1:70" ht="14.25" customHeight="1">
      <c r="A823" s="26"/>
      <c r="C823" s="26"/>
      <c r="D823" s="27"/>
      <c r="E823" s="27"/>
      <c r="BE823" s="10" t="str">
        <f t="shared" si="130"/>
        <v/>
      </c>
      <c r="BF823" s="8" t="str">
        <f t="shared" si="131"/>
        <v/>
      </c>
      <c r="BG823" s="11" t="str">
        <f t="shared" si="132"/>
        <v/>
      </c>
      <c r="BH823" s="8" t="str">
        <f t="shared" si="133"/>
        <v/>
      </c>
      <c r="BI823" s="8" t="str">
        <f t="shared" si="134"/>
        <v/>
      </c>
      <c r="BJ823" s="9" t="str">
        <f t="shared" si="135"/>
        <v/>
      </c>
      <c r="BK823" s="9" t="str">
        <f>IF($B823="","",COUNTIFS($B$5:$B823,$B823,$BF$5:$BF823,$BF823))</f>
        <v/>
      </c>
      <c r="BL823" s="9" t="str">
        <f>IF($B823="","",COUNTIFS($B$5:$B823,$B823,$BH$5:$BH823,$BH823))</f>
        <v/>
      </c>
      <c r="BM823" s="9" t="str">
        <f t="shared" si="136"/>
        <v/>
      </c>
      <c r="BN823" s="9" t="str">
        <f t="shared" si="137"/>
        <v/>
      </c>
      <c r="BO823" s="9">
        <f t="shared" si="138"/>
        <v>0</v>
      </c>
      <c r="BR823" s="12" t="str">
        <f t="shared" si="139"/>
        <v/>
      </c>
    </row>
    <row r="824" spans="1:70" ht="14.25" customHeight="1">
      <c r="A824" s="26"/>
      <c r="C824" s="26"/>
      <c r="D824" s="27"/>
      <c r="E824" s="27"/>
      <c r="BE824" s="10" t="str">
        <f t="shared" si="130"/>
        <v/>
      </c>
      <c r="BF824" s="8" t="str">
        <f t="shared" si="131"/>
        <v/>
      </c>
      <c r="BG824" s="11" t="str">
        <f t="shared" si="132"/>
        <v/>
      </c>
      <c r="BH824" s="8" t="str">
        <f t="shared" si="133"/>
        <v/>
      </c>
      <c r="BI824" s="8" t="str">
        <f t="shared" si="134"/>
        <v/>
      </c>
      <c r="BJ824" s="9" t="str">
        <f t="shared" si="135"/>
        <v/>
      </c>
      <c r="BK824" s="9" t="str">
        <f>IF($B824="","",COUNTIFS($B$5:$B824,$B824,$BF$5:$BF824,$BF824))</f>
        <v/>
      </c>
      <c r="BL824" s="9" t="str">
        <f>IF($B824="","",COUNTIFS($B$5:$B824,$B824,$BH$5:$BH824,$BH824))</f>
        <v/>
      </c>
      <c r="BM824" s="9" t="str">
        <f t="shared" si="136"/>
        <v/>
      </c>
      <c r="BN824" s="9" t="str">
        <f t="shared" si="137"/>
        <v/>
      </c>
      <c r="BO824" s="9">
        <f t="shared" si="138"/>
        <v>0</v>
      </c>
      <c r="BR824" s="12" t="str">
        <f t="shared" si="139"/>
        <v/>
      </c>
    </row>
    <row r="825" spans="1:70" ht="14.25" customHeight="1">
      <c r="A825" s="26"/>
      <c r="C825" s="26"/>
      <c r="D825" s="27"/>
      <c r="E825" s="27"/>
      <c r="BE825" s="10" t="str">
        <f t="shared" si="130"/>
        <v/>
      </c>
      <c r="BF825" s="8" t="str">
        <f t="shared" si="131"/>
        <v/>
      </c>
      <c r="BG825" s="11" t="str">
        <f t="shared" si="132"/>
        <v/>
      </c>
      <c r="BH825" s="8" t="str">
        <f t="shared" si="133"/>
        <v/>
      </c>
      <c r="BI825" s="8" t="str">
        <f t="shared" si="134"/>
        <v/>
      </c>
      <c r="BJ825" s="9" t="str">
        <f t="shared" si="135"/>
        <v/>
      </c>
      <c r="BK825" s="9" t="str">
        <f>IF($B825="","",COUNTIFS($B$5:$B825,$B825,$BF$5:$BF825,$BF825))</f>
        <v/>
      </c>
      <c r="BL825" s="9" t="str">
        <f>IF($B825="","",COUNTIFS($B$5:$B825,$B825,$BH$5:$BH825,$BH825))</f>
        <v/>
      </c>
      <c r="BM825" s="9" t="str">
        <f t="shared" si="136"/>
        <v/>
      </c>
      <c r="BN825" s="9" t="str">
        <f t="shared" si="137"/>
        <v/>
      </c>
      <c r="BO825" s="9">
        <f t="shared" si="138"/>
        <v>0</v>
      </c>
      <c r="BR825" s="12" t="str">
        <f t="shared" si="139"/>
        <v/>
      </c>
    </row>
    <row r="826" spans="1:70" ht="14.25" customHeight="1">
      <c r="A826" s="26"/>
      <c r="C826" s="26"/>
      <c r="D826" s="27"/>
      <c r="E826" s="27"/>
      <c r="BE826" s="10" t="str">
        <f t="shared" si="130"/>
        <v/>
      </c>
      <c r="BF826" s="8" t="str">
        <f t="shared" si="131"/>
        <v/>
      </c>
      <c r="BG826" s="11" t="str">
        <f t="shared" si="132"/>
        <v/>
      </c>
      <c r="BH826" s="8" t="str">
        <f t="shared" si="133"/>
        <v/>
      </c>
      <c r="BI826" s="8" t="str">
        <f t="shared" si="134"/>
        <v/>
      </c>
      <c r="BJ826" s="9" t="str">
        <f t="shared" si="135"/>
        <v/>
      </c>
      <c r="BK826" s="9" t="str">
        <f>IF($B826="","",COUNTIFS($B$5:$B826,$B826,$BF$5:$BF826,$BF826))</f>
        <v/>
      </c>
      <c r="BL826" s="9" t="str">
        <f>IF($B826="","",COUNTIFS($B$5:$B826,$B826,$BH$5:$BH826,$BH826))</f>
        <v/>
      </c>
      <c r="BM826" s="9" t="str">
        <f t="shared" si="136"/>
        <v/>
      </c>
      <c r="BN826" s="9" t="str">
        <f t="shared" si="137"/>
        <v/>
      </c>
      <c r="BO826" s="9">
        <f t="shared" si="138"/>
        <v>0</v>
      </c>
      <c r="BR826" s="12" t="str">
        <f t="shared" si="139"/>
        <v/>
      </c>
    </row>
    <row r="827" spans="1:70" ht="14.25" customHeight="1">
      <c r="A827" s="26"/>
      <c r="C827" s="26"/>
      <c r="D827" s="27"/>
      <c r="E827" s="27"/>
      <c r="BE827" s="10" t="str">
        <f t="shared" si="130"/>
        <v/>
      </c>
      <c r="BF827" s="8" t="str">
        <f t="shared" si="131"/>
        <v/>
      </c>
      <c r="BG827" s="11" t="str">
        <f t="shared" si="132"/>
        <v/>
      </c>
      <c r="BH827" s="8" t="str">
        <f t="shared" si="133"/>
        <v/>
      </c>
      <c r="BI827" s="8" t="str">
        <f t="shared" si="134"/>
        <v/>
      </c>
      <c r="BJ827" s="9" t="str">
        <f t="shared" si="135"/>
        <v/>
      </c>
      <c r="BK827" s="9" t="str">
        <f>IF($B827="","",COUNTIFS($B$5:$B827,$B827,$BF$5:$BF827,$BF827))</f>
        <v/>
      </c>
      <c r="BL827" s="9" t="str">
        <f>IF($B827="","",COUNTIFS($B$5:$B827,$B827,$BH$5:$BH827,$BH827))</f>
        <v/>
      </c>
      <c r="BM827" s="9" t="str">
        <f t="shared" si="136"/>
        <v/>
      </c>
      <c r="BN827" s="9" t="str">
        <f t="shared" si="137"/>
        <v/>
      </c>
      <c r="BO827" s="9">
        <f t="shared" si="138"/>
        <v>0</v>
      </c>
      <c r="BR827" s="12" t="str">
        <f t="shared" si="139"/>
        <v/>
      </c>
    </row>
    <row r="828" spans="1:70" ht="14.25" customHeight="1">
      <c r="A828" s="26"/>
      <c r="C828" s="26"/>
      <c r="D828" s="27"/>
      <c r="E828" s="27"/>
      <c r="BE828" s="10" t="str">
        <f t="shared" si="130"/>
        <v/>
      </c>
      <c r="BF828" s="8" t="str">
        <f t="shared" si="131"/>
        <v/>
      </c>
      <c r="BG828" s="11" t="str">
        <f t="shared" si="132"/>
        <v/>
      </c>
      <c r="BH828" s="8" t="str">
        <f t="shared" si="133"/>
        <v/>
      </c>
      <c r="BI828" s="8" t="str">
        <f t="shared" si="134"/>
        <v/>
      </c>
      <c r="BJ828" s="9" t="str">
        <f t="shared" si="135"/>
        <v/>
      </c>
      <c r="BK828" s="9" t="str">
        <f>IF($B828="","",COUNTIFS($B$5:$B828,$B828,$BF$5:$BF828,$BF828))</f>
        <v/>
      </c>
      <c r="BL828" s="9" t="str">
        <f>IF($B828="","",COUNTIFS($B$5:$B828,$B828,$BH$5:$BH828,$BH828))</f>
        <v/>
      </c>
      <c r="BM828" s="9" t="str">
        <f t="shared" si="136"/>
        <v/>
      </c>
      <c r="BN828" s="9" t="str">
        <f t="shared" si="137"/>
        <v/>
      </c>
      <c r="BO828" s="9">
        <f t="shared" si="138"/>
        <v>0</v>
      </c>
      <c r="BR828" s="12" t="str">
        <f t="shared" si="139"/>
        <v/>
      </c>
    </row>
    <row r="829" spans="1:70" ht="14.25" customHeight="1">
      <c r="A829" s="26"/>
      <c r="C829" s="26"/>
      <c r="D829" s="27"/>
      <c r="E829" s="27"/>
      <c r="BE829" s="10" t="str">
        <f t="shared" si="130"/>
        <v/>
      </c>
      <c r="BF829" s="8" t="str">
        <f t="shared" si="131"/>
        <v/>
      </c>
      <c r="BG829" s="11" t="str">
        <f t="shared" si="132"/>
        <v/>
      </c>
      <c r="BH829" s="8" t="str">
        <f t="shared" si="133"/>
        <v/>
      </c>
      <c r="BI829" s="8" t="str">
        <f t="shared" si="134"/>
        <v/>
      </c>
      <c r="BJ829" s="9" t="str">
        <f t="shared" si="135"/>
        <v/>
      </c>
      <c r="BK829" s="9" t="str">
        <f>IF($B829="","",COUNTIFS($B$5:$B829,$B829,$BF$5:$BF829,$BF829))</f>
        <v/>
      </c>
      <c r="BL829" s="9" t="str">
        <f>IF($B829="","",COUNTIFS($B$5:$B829,$B829,$BH$5:$BH829,$BH829))</f>
        <v/>
      </c>
      <c r="BM829" s="9" t="str">
        <f t="shared" si="136"/>
        <v/>
      </c>
      <c r="BN829" s="9" t="str">
        <f t="shared" si="137"/>
        <v/>
      </c>
      <c r="BO829" s="9">
        <f t="shared" si="138"/>
        <v>0</v>
      </c>
      <c r="BR829" s="12" t="str">
        <f t="shared" si="139"/>
        <v/>
      </c>
    </row>
    <row r="830" spans="1:70" ht="14.25" customHeight="1">
      <c r="A830" s="26"/>
      <c r="C830" s="26"/>
      <c r="D830" s="27"/>
      <c r="E830" s="27"/>
      <c r="BE830" s="10" t="str">
        <f t="shared" si="130"/>
        <v/>
      </c>
      <c r="BF830" s="8" t="str">
        <f t="shared" si="131"/>
        <v/>
      </c>
      <c r="BG830" s="11" t="str">
        <f t="shared" si="132"/>
        <v/>
      </c>
      <c r="BH830" s="8" t="str">
        <f t="shared" si="133"/>
        <v/>
      </c>
      <c r="BI830" s="8" t="str">
        <f t="shared" si="134"/>
        <v/>
      </c>
      <c r="BJ830" s="9" t="str">
        <f t="shared" si="135"/>
        <v/>
      </c>
      <c r="BK830" s="9" t="str">
        <f>IF($B830="","",COUNTIFS($B$5:$B830,$B830,$BF$5:$BF830,$BF830))</f>
        <v/>
      </c>
      <c r="BL830" s="9" t="str">
        <f>IF($B830="","",COUNTIFS($B$5:$B830,$B830,$BH$5:$BH830,$BH830))</f>
        <v/>
      </c>
      <c r="BM830" s="9" t="str">
        <f t="shared" si="136"/>
        <v/>
      </c>
      <c r="BN830" s="9" t="str">
        <f t="shared" si="137"/>
        <v/>
      </c>
      <c r="BO830" s="9">
        <f t="shared" si="138"/>
        <v>0</v>
      </c>
      <c r="BR830" s="12" t="str">
        <f t="shared" si="139"/>
        <v/>
      </c>
    </row>
    <row r="831" spans="1:70" ht="14.25" customHeight="1">
      <c r="A831" s="26"/>
      <c r="C831" s="26"/>
      <c r="D831" s="27"/>
      <c r="E831" s="27"/>
      <c r="BE831" s="10" t="str">
        <f t="shared" si="130"/>
        <v/>
      </c>
      <c r="BF831" s="8" t="str">
        <f t="shared" si="131"/>
        <v/>
      </c>
      <c r="BG831" s="11" t="str">
        <f t="shared" si="132"/>
        <v/>
      </c>
      <c r="BH831" s="8" t="str">
        <f t="shared" si="133"/>
        <v/>
      </c>
      <c r="BI831" s="8" t="str">
        <f t="shared" si="134"/>
        <v/>
      </c>
      <c r="BJ831" s="9" t="str">
        <f t="shared" si="135"/>
        <v/>
      </c>
      <c r="BK831" s="9" t="str">
        <f>IF($B831="","",COUNTIFS($B$5:$B831,$B831,$BF$5:$BF831,$BF831))</f>
        <v/>
      </c>
      <c r="BL831" s="9" t="str">
        <f>IF($B831="","",COUNTIFS($B$5:$B831,$B831,$BH$5:$BH831,$BH831))</f>
        <v/>
      </c>
      <c r="BM831" s="9" t="str">
        <f t="shared" si="136"/>
        <v/>
      </c>
      <c r="BN831" s="9" t="str">
        <f t="shared" si="137"/>
        <v/>
      </c>
      <c r="BO831" s="9">
        <f t="shared" si="138"/>
        <v>0</v>
      </c>
      <c r="BR831" s="12" t="str">
        <f t="shared" si="139"/>
        <v/>
      </c>
    </row>
    <row r="832" spans="1:70" ht="14.25" customHeight="1">
      <c r="A832" s="26"/>
      <c r="C832" s="26"/>
      <c r="D832" s="27"/>
      <c r="E832" s="27"/>
      <c r="BE832" s="10" t="str">
        <f t="shared" si="130"/>
        <v/>
      </c>
      <c r="BF832" s="8" t="str">
        <f t="shared" si="131"/>
        <v/>
      </c>
      <c r="BG832" s="11" t="str">
        <f t="shared" si="132"/>
        <v/>
      </c>
      <c r="BH832" s="8" t="str">
        <f t="shared" si="133"/>
        <v/>
      </c>
      <c r="BI832" s="8" t="str">
        <f t="shared" si="134"/>
        <v/>
      </c>
      <c r="BJ832" s="9" t="str">
        <f t="shared" si="135"/>
        <v/>
      </c>
      <c r="BK832" s="9" t="str">
        <f>IF($B832="","",COUNTIFS($B$5:$B832,$B832,$BF$5:$BF832,$BF832))</f>
        <v/>
      </c>
      <c r="BL832" s="9" t="str">
        <f>IF($B832="","",COUNTIFS($B$5:$B832,$B832,$BH$5:$BH832,$BH832))</f>
        <v/>
      </c>
      <c r="BM832" s="9" t="str">
        <f t="shared" si="136"/>
        <v/>
      </c>
      <c r="BN832" s="9" t="str">
        <f t="shared" si="137"/>
        <v/>
      </c>
      <c r="BO832" s="9">
        <f t="shared" si="138"/>
        <v>0</v>
      </c>
      <c r="BR832" s="12" t="str">
        <f t="shared" si="139"/>
        <v/>
      </c>
    </row>
    <row r="833" spans="1:70" ht="14.25" customHeight="1">
      <c r="A833" s="26"/>
      <c r="C833" s="26"/>
      <c r="D833" s="27"/>
      <c r="E833" s="27"/>
      <c r="BE833" s="10" t="str">
        <f t="shared" si="130"/>
        <v/>
      </c>
      <c r="BF833" s="8" t="str">
        <f t="shared" si="131"/>
        <v/>
      </c>
      <c r="BG833" s="11" t="str">
        <f t="shared" si="132"/>
        <v/>
      </c>
      <c r="BH833" s="8" t="str">
        <f t="shared" si="133"/>
        <v/>
      </c>
      <c r="BI833" s="8" t="str">
        <f t="shared" si="134"/>
        <v/>
      </c>
      <c r="BJ833" s="9" t="str">
        <f t="shared" si="135"/>
        <v/>
      </c>
      <c r="BK833" s="9" t="str">
        <f>IF($B833="","",COUNTIFS($B$5:$B833,$B833,$BF$5:$BF833,$BF833))</f>
        <v/>
      </c>
      <c r="BL833" s="9" t="str">
        <f>IF($B833="","",COUNTIFS($B$5:$B833,$B833,$BH$5:$BH833,$BH833))</f>
        <v/>
      </c>
      <c r="BM833" s="9" t="str">
        <f t="shared" si="136"/>
        <v/>
      </c>
      <c r="BN833" s="9" t="str">
        <f t="shared" si="137"/>
        <v/>
      </c>
      <c r="BO833" s="9">
        <f t="shared" si="138"/>
        <v>0</v>
      </c>
      <c r="BR833" s="12" t="str">
        <f t="shared" si="139"/>
        <v/>
      </c>
    </row>
    <row r="834" spans="1:70" ht="14.25" customHeight="1">
      <c r="A834" s="26"/>
      <c r="C834" s="26"/>
      <c r="D834" s="27"/>
      <c r="E834" s="27"/>
      <c r="BE834" s="10" t="str">
        <f t="shared" si="130"/>
        <v/>
      </c>
      <c r="BF834" s="8" t="str">
        <f t="shared" si="131"/>
        <v/>
      </c>
      <c r="BG834" s="11" t="str">
        <f t="shared" si="132"/>
        <v/>
      </c>
      <c r="BH834" s="8" t="str">
        <f t="shared" si="133"/>
        <v/>
      </c>
      <c r="BI834" s="8" t="str">
        <f t="shared" si="134"/>
        <v/>
      </c>
      <c r="BJ834" s="9" t="str">
        <f t="shared" si="135"/>
        <v/>
      </c>
      <c r="BK834" s="9" t="str">
        <f>IF($B834="","",COUNTIFS($B$5:$B834,$B834,$BF$5:$BF834,$BF834))</f>
        <v/>
      </c>
      <c r="BL834" s="9" t="str">
        <f>IF($B834="","",COUNTIFS($B$5:$B834,$B834,$BH$5:$BH834,$BH834))</f>
        <v/>
      </c>
      <c r="BM834" s="9" t="str">
        <f t="shared" si="136"/>
        <v/>
      </c>
      <c r="BN834" s="9" t="str">
        <f t="shared" si="137"/>
        <v/>
      </c>
      <c r="BO834" s="9">
        <f t="shared" si="138"/>
        <v>0</v>
      </c>
      <c r="BR834" s="12" t="str">
        <f t="shared" si="139"/>
        <v/>
      </c>
    </row>
    <row r="835" spans="1:70" ht="14.25" customHeight="1">
      <c r="A835" s="26"/>
      <c r="C835" s="26"/>
      <c r="D835" s="27"/>
      <c r="E835" s="27"/>
      <c r="BE835" s="10" t="str">
        <f t="shared" si="130"/>
        <v/>
      </c>
      <c r="BF835" s="8" t="str">
        <f t="shared" si="131"/>
        <v/>
      </c>
      <c r="BG835" s="11" t="str">
        <f t="shared" si="132"/>
        <v/>
      </c>
      <c r="BH835" s="8" t="str">
        <f t="shared" si="133"/>
        <v/>
      </c>
      <c r="BI835" s="8" t="str">
        <f t="shared" si="134"/>
        <v/>
      </c>
      <c r="BJ835" s="9" t="str">
        <f t="shared" si="135"/>
        <v/>
      </c>
      <c r="BK835" s="9" t="str">
        <f>IF($B835="","",COUNTIFS($B$5:$B835,$B835,$BF$5:$BF835,$BF835))</f>
        <v/>
      </c>
      <c r="BL835" s="9" t="str">
        <f>IF($B835="","",COUNTIFS($B$5:$B835,$B835,$BH$5:$BH835,$BH835))</f>
        <v/>
      </c>
      <c r="BM835" s="9" t="str">
        <f t="shared" si="136"/>
        <v/>
      </c>
      <c r="BN835" s="9" t="str">
        <f t="shared" si="137"/>
        <v/>
      </c>
      <c r="BO835" s="9">
        <f t="shared" si="138"/>
        <v>0</v>
      </c>
      <c r="BR835" s="12" t="str">
        <f t="shared" si="139"/>
        <v/>
      </c>
    </row>
    <row r="836" spans="1:70" ht="14.25" customHeight="1">
      <c r="A836" s="26"/>
      <c r="C836" s="26"/>
      <c r="D836" s="27"/>
      <c r="E836" s="27"/>
      <c r="BE836" s="10" t="str">
        <f t="shared" si="130"/>
        <v/>
      </c>
      <c r="BF836" s="8" t="str">
        <f t="shared" si="131"/>
        <v/>
      </c>
      <c r="BG836" s="11" t="str">
        <f t="shared" si="132"/>
        <v/>
      </c>
      <c r="BH836" s="8" t="str">
        <f t="shared" si="133"/>
        <v/>
      </c>
      <c r="BI836" s="8" t="str">
        <f t="shared" si="134"/>
        <v/>
      </c>
      <c r="BJ836" s="9" t="str">
        <f t="shared" si="135"/>
        <v/>
      </c>
      <c r="BK836" s="9" t="str">
        <f>IF($B836="","",COUNTIFS($B$5:$B836,$B836,$BF$5:$BF836,$BF836))</f>
        <v/>
      </c>
      <c r="BL836" s="9" t="str">
        <f>IF($B836="","",COUNTIFS($B$5:$B836,$B836,$BH$5:$BH836,$BH836))</f>
        <v/>
      </c>
      <c r="BM836" s="9" t="str">
        <f t="shared" si="136"/>
        <v/>
      </c>
      <c r="BN836" s="9" t="str">
        <f t="shared" si="137"/>
        <v/>
      </c>
      <c r="BO836" s="9">
        <f t="shared" si="138"/>
        <v>0</v>
      </c>
      <c r="BR836" s="12" t="str">
        <f t="shared" si="139"/>
        <v/>
      </c>
    </row>
    <row r="837" spans="1:70" ht="14.25" customHeight="1">
      <c r="A837" s="26"/>
      <c r="C837" s="26"/>
      <c r="D837" s="27"/>
      <c r="E837" s="27"/>
      <c r="BE837" s="10" t="str">
        <f t="shared" si="130"/>
        <v/>
      </c>
      <c r="BF837" s="8" t="str">
        <f t="shared" si="131"/>
        <v/>
      </c>
      <c r="BG837" s="11" t="str">
        <f t="shared" si="132"/>
        <v/>
      </c>
      <c r="BH837" s="8" t="str">
        <f t="shared" si="133"/>
        <v/>
      </c>
      <c r="BI837" s="8" t="str">
        <f t="shared" si="134"/>
        <v/>
      </c>
      <c r="BJ837" s="9" t="str">
        <f t="shared" si="135"/>
        <v/>
      </c>
      <c r="BK837" s="9" t="str">
        <f>IF($B837="","",COUNTIFS($B$5:$B837,$B837,$BF$5:$BF837,$BF837))</f>
        <v/>
      </c>
      <c r="BL837" s="9" t="str">
        <f>IF($B837="","",COUNTIFS($B$5:$B837,$B837,$BH$5:$BH837,$BH837))</f>
        <v/>
      </c>
      <c r="BM837" s="9" t="str">
        <f t="shared" si="136"/>
        <v/>
      </c>
      <c r="BN837" s="9" t="str">
        <f t="shared" si="137"/>
        <v/>
      </c>
      <c r="BO837" s="9">
        <f t="shared" si="138"/>
        <v>0</v>
      </c>
      <c r="BR837" s="12" t="str">
        <f t="shared" si="139"/>
        <v/>
      </c>
    </row>
    <row r="838" spans="1:70" ht="14.25" customHeight="1">
      <c r="A838" s="26"/>
      <c r="C838" s="26"/>
      <c r="D838" s="27"/>
      <c r="E838" s="27"/>
      <c r="BE838" s="10" t="str">
        <f t="shared" si="130"/>
        <v/>
      </c>
      <c r="BF838" s="8" t="str">
        <f t="shared" si="131"/>
        <v/>
      </c>
      <c r="BG838" s="11" t="str">
        <f t="shared" si="132"/>
        <v/>
      </c>
      <c r="BH838" s="8" t="str">
        <f t="shared" si="133"/>
        <v/>
      </c>
      <c r="BI838" s="8" t="str">
        <f t="shared" si="134"/>
        <v/>
      </c>
      <c r="BJ838" s="9" t="str">
        <f t="shared" si="135"/>
        <v/>
      </c>
      <c r="BK838" s="9" t="str">
        <f>IF($B838="","",COUNTIFS($B$5:$B838,$B838,$BF$5:$BF838,$BF838))</f>
        <v/>
      </c>
      <c r="BL838" s="9" t="str">
        <f>IF($B838="","",COUNTIFS($B$5:$B838,$B838,$BH$5:$BH838,$BH838))</f>
        <v/>
      </c>
      <c r="BM838" s="9" t="str">
        <f t="shared" si="136"/>
        <v/>
      </c>
      <c r="BN838" s="9" t="str">
        <f t="shared" si="137"/>
        <v/>
      </c>
      <c r="BO838" s="9">
        <f t="shared" si="138"/>
        <v>0</v>
      </c>
      <c r="BR838" s="12" t="str">
        <f t="shared" si="139"/>
        <v/>
      </c>
    </row>
    <row r="839" spans="1:70" ht="14.25" customHeight="1">
      <c r="A839" s="26"/>
      <c r="C839" s="26"/>
      <c r="D839" s="27"/>
      <c r="E839" s="27"/>
      <c r="BE839" s="10" t="str">
        <f t="shared" si="130"/>
        <v/>
      </c>
      <c r="BF839" s="8" t="str">
        <f t="shared" si="131"/>
        <v/>
      </c>
      <c r="BG839" s="11" t="str">
        <f t="shared" si="132"/>
        <v/>
      </c>
      <c r="BH839" s="8" t="str">
        <f t="shared" si="133"/>
        <v/>
      </c>
      <c r="BI839" s="8" t="str">
        <f t="shared" si="134"/>
        <v/>
      </c>
      <c r="BJ839" s="9" t="str">
        <f t="shared" si="135"/>
        <v/>
      </c>
      <c r="BK839" s="9" t="str">
        <f>IF($B839="","",COUNTIFS($B$5:$B839,$B839,$BF$5:$BF839,$BF839))</f>
        <v/>
      </c>
      <c r="BL839" s="9" t="str">
        <f>IF($B839="","",COUNTIFS($B$5:$B839,$B839,$BH$5:$BH839,$BH839))</f>
        <v/>
      </c>
      <c r="BM839" s="9" t="str">
        <f t="shared" si="136"/>
        <v/>
      </c>
      <c r="BN839" s="9" t="str">
        <f t="shared" si="137"/>
        <v/>
      </c>
      <c r="BO839" s="9">
        <f t="shared" si="138"/>
        <v>0</v>
      </c>
      <c r="BR839" s="12" t="str">
        <f t="shared" si="139"/>
        <v/>
      </c>
    </row>
    <row r="840" spans="1:70" ht="14.25" customHeight="1">
      <c r="A840" s="26"/>
      <c r="C840" s="26"/>
      <c r="D840" s="27"/>
      <c r="E840" s="27"/>
      <c r="BE840" s="10" t="str">
        <f t="shared" si="130"/>
        <v/>
      </c>
      <c r="BF840" s="8" t="str">
        <f t="shared" si="131"/>
        <v/>
      </c>
      <c r="BG840" s="11" t="str">
        <f t="shared" si="132"/>
        <v/>
      </c>
      <c r="BH840" s="8" t="str">
        <f t="shared" si="133"/>
        <v/>
      </c>
      <c r="BI840" s="8" t="str">
        <f t="shared" si="134"/>
        <v/>
      </c>
      <c r="BJ840" s="9" t="str">
        <f t="shared" si="135"/>
        <v/>
      </c>
      <c r="BK840" s="9" t="str">
        <f>IF($B840="","",COUNTIFS($B$5:$B840,$B840,$BF$5:$BF840,$BF840))</f>
        <v/>
      </c>
      <c r="BL840" s="9" t="str">
        <f>IF($B840="","",COUNTIFS($B$5:$B840,$B840,$BH$5:$BH840,$BH840))</f>
        <v/>
      </c>
      <c r="BM840" s="9" t="str">
        <f t="shared" si="136"/>
        <v/>
      </c>
      <c r="BN840" s="9" t="str">
        <f t="shared" si="137"/>
        <v/>
      </c>
      <c r="BO840" s="9">
        <f t="shared" si="138"/>
        <v>0</v>
      </c>
      <c r="BR840" s="12" t="str">
        <f t="shared" si="139"/>
        <v/>
      </c>
    </row>
    <row r="841" spans="1:70" ht="14.25" customHeight="1">
      <c r="A841" s="26"/>
      <c r="C841" s="26"/>
      <c r="D841" s="27"/>
      <c r="E841" s="27"/>
      <c r="BE841" s="10" t="str">
        <f t="shared" si="130"/>
        <v/>
      </c>
      <c r="BF841" s="8" t="str">
        <f t="shared" si="131"/>
        <v/>
      </c>
      <c r="BG841" s="11" t="str">
        <f t="shared" si="132"/>
        <v/>
      </c>
      <c r="BH841" s="8" t="str">
        <f t="shared" si="133"/>
        <v/>
      </c>
      <c r="BI841" s="8" t="str">
        <f t="shared" si="134"/>
        <v/>
      </c>
      <c r="BJ841" s="9" t="str">
        <f t="shared" si="135"/>
        <v/>
      </c>
      <c r="BK841" s="9" t="str">
        <f>IF($B841="","",COUNTIFS($B$5:$B841,$B841,$BF$5:$BF841,$BF841))</f>
        <v/>
      </c>
      <c r="BL841" s="9" t="str">
        <f>IF($B841="","",COUNTIFS($B$5:$B841,$B841,$BH$5:$BH841,$BH841))</f>
        <v/>
      </c>
      <c r="BM841" s="9" t="str">
        <f t="shared" si="136"/>
        <v/>
      </c>
      <c r="BN841" s="9" t="str">
        <f t="shared" si="137"/>
        <v/>
      </c>
      <c r="BO841" s="9">
        <f t="shared" si="138"/>
        <v>0</v>
      </c>
      <c r="BR841" s="12" t="str">
        <f t="shared" si="139"/>
        <v/>
      </c>
    </row>
    <row r="842" spans="1:70" ht="14.25" customHeight="1">
      <c r="A842" s="26"/>
      <c r="C842" s="26"/>
      <c r="D842" s="27"/>
      <c r="E842" s="27"/>
      <c r="BE842" s="10" t="str">
        <f t="shared" si="130"/>
        <v/>
      </c>
      <c r="BF842" s="8" t="str">
        <f t="shared" si="131"/>
        <v/>
      </c>
      <c r="BG842" s="11" t="str">
        <f t="shared" si="132"/>
        <v/>
      </c>
      <c r="BH842" s="8" t="str">
        <f t="shared" si="133"/>
        <v/>
      </c>
      <c r="BI842" s="8" t="str">
        <f t="shared" si="134"/>
        <v/>
      </c>
      <c r="BJ842" s="9" t="str">
        <f t="shared" si="135"/>
        <v/>
      </c>
      <c r="BK842" s="9" t="str">
        <f>IF($B842="","",COUNTIFS($B$5:$B842,$B842,$BF$5:$BF842,$BF842))</f>
        <v/>
      </c>
      <c r="BL842" s="9" t="str">
        <f>IF($B842="","",COUNTIFS($B$5:$B842,$B842,$BH$5:$BH842,$BH842))</f>
        <v/>
      </c>
      <c r="BM842" s="9" t="str">
        <f t="shared" si="136"/>
        <v/>
      </c>
      <c r="BN842" s="9" t="str">
        <f t="shared" si="137"/>
        <v/>
      </c>
      <c r="BO842" s="9">
        <f t="shared" si="138"/>
        <v>0</v>
      </c>
      <c r="BR842" s="12" t="str">
        <f t="shared" si="139"/>
        <v/>
      </c>
    </row>
    <row r="843" spans="1:70" ht="14.25" customHeight="1">
      <c r="A843" s="26"/>
      <c r="C843" s="26"/>
      <c r="D843" s="27"/>
      <c r="E843" s="27"/>
      <c r="BE843" s="10" t="str">
        <f t="shared" si="130"/>
        <v/>
      </c>
      <c r="BF843" s="8" t="str">
        <f t="shared" si="131"/>
        <v/>
      </c>
      <c r="BG843" s="11" t="str">
        <f t="shared" si="132"/>
        <v/>
      </c>
      <c r="BH843" s="8" t="str">
        <f t="shared" si="133"/>
        <v/>
      </c>
      <c r="BI843" s="8" t="str">
        <f t="shared" si="134"/>
        <v/>
      </c>
      <c r="BJ843" s="9" t="str">
        <f t="shared" si="135"/>
        <v/>
      </c>
      <c r="BK843" s="9" t="str">
        <f>IF($B843="","",COUNTIFS($B$5:$B843,$B843,$BF$5:$BF843,$BF843))</f>
        <v/>
      </c>
      <c r="BL843" s="9" t="str">
        <f>IF($B843="","",COUNTIFS($B$5:$B843,$B843,$BH$5:$BH843,$BH843))</f>
        <v/>
      </c>
      <c r="BM843" s="9" t="str">
        <f t="shared" si="136"/>
        <v/>
      </c>
      <c r="BN843" s="9" t="str">
        <f t="shared" si="137"/>
        <v/>
      </c>
      <c r="BO843" s="9">
        <f t="shared" si="138"/>
        <v>0</v>
      </c>
      <c r="BR843" s="12" t="str">
        <f t="shared" si="139"/>
        <v/>
      </c>
    </row>
    <row r="844" spans="1:70" ht="14.25" customHeight="1">
      <c r="A844" s="26"/>
      <c r="C844" s="26"/>
      <c r="D844" s="27"/>
      <c r="E844" s="27"/>
      <c r="BE844" s="10" t="str">
        <f t="shared" si="130"/>
        <v/>
      </c>
      <c r="BF844" s="8" t="str">
        <f t="shared" si="131"/>
        <v/>
      </c>
      <c r="BG844" s="11" t="str">
        <f t="shared" si="132"/>
        <v/>
      </c>
      <c r="BH844" s="8" t="str">
        <f t="shared" si="133"/>
        <v/>
      </c>
      <c r="BI844" s="8" t="str">
        <f t="shared" si="134"/>
        <v/>
      </c>
      <c r="BJ844" s="9" t="str">
        <f t="shared" si="135"/>
        <v/>
      </c>
      <c r="BK844" s="9" t="str">
        <f>IF($B844="","",COUNTIFS($B$5:$B844,$B844,$BF$5:$BF844,$BF844))</f>
        <v/>
      </c>
      <c r="BL844" s="9" t="str">
        <f>IF($B844="","",COUNTIFS($B$5:$B844,$B844,$BH$5:$BH844,$BH844))</f>
        <v/>
      </c>
      <c r="BM844" s="9" t="str">
        <f t="shared" si="136"/>
        <v/>
      </c>
      <c r="BN844" s="9" t="str">
        <f t="shared" si="137"/>
        <v/>
      </c>
      <c r="BO844" s="9">
        <f t="shared" si="138"/>
        <v>0</v>
      </c>
      <c r="BR844" s="12" t="str">
        <f t="shared" si="139"/>
        <v/>
      </c>
    </row>
    <row r="845" spans="1:70" ht="14.25" customHeight="1">
      <c r="A845" s="26"/>
      <c r="C845" s="26"/>
      <c r="D845" s="27"/>
      <c r="E845" s="27"/>
      <c r="BE845" s="10" t="str">
        <f t="shared" si="130"/>
        <v/>
      </c>
      <c r="BF845" s="8" t="str">
        <f t="shared" si="131"/>
        <v/>
      </c>
      <c r="BG845" s="11" t="str">
        <f t="shared" si="132"/>
        <v/>
      </c>
      <c r="BH845" s="8" t="str">
        <f t="shared" si="133"/>
        <v/>
      </c>
      <c r="BI845" s="8" t="str">
        <f t="shared" si="134"/>
        <v/>
      </c>
      <c r="BJ845" s="9" t="str">
        <f t="shared" si="135"/>
        <v/>
      </c>
      <c r="BK845" s="9" t="str">
        <f>IF($B845="","",COUNTIFS($B$5:$B845,$B845,$BF$5:$BF845,$BF845))</f>
        <v/>
      </c>
      <c r="BL845" s="9" t="str">
        <f>IF($B845="","",COUNTIFS($B$5:$B845,$B845,$BH$5:$BH845,$BH845))</f>
        <v/>
      </c>
      <c r="BM845" s="9" t="str">
        <f t="shared" si="136"/>
        <v/>
      </c>
      <c r="BN845" s="9" t="str">
        <f t="shared" si="137"/>
        <v/>
      </c>
      <c r="BO845" s="9">
        <f t="shared" si="138"/>
        <v>0</v>
      </c>
      <c r="BR845" s="12" t="str">
        <f t="shared" si="139"/>
        <v/>
      </c>
    </row>
    <row r="846" spans="1:70" ht="14.25" customHeight="1">
      <c r="A846" s="26"/>
      <c r="C846" s="26"/>
      <c r="D846" s="27"/>
      <c r="E846" s="27"/>
      <c r="BE846" s="10" t="str">
        <f t="shared" si="130"/>
        <v/>
      </c>
      <c r="BF846" s="8" t="str">
        <f t="shared" si="131"/>
        <v/>
      </c>
      <c r="BG846" s="11" t="str">
        <f t="shared" si="132"/>
        <v/>
      </c>
      <c r="BH846" s="8" t="str">
        <f t="shared" si="133"/>
        <v/>
      </c>
      <c r="BI846" s="8" t="str">
        <f t="shared" si="134"/>
        <v/>
      </c>
      <c r="BJ846" s="9" t="str">
        <f t="shared" si="135"/>
        <v/>
      </c>
      <c r="BK846" s="9" t="str">
        <f>IF($B846="","",COUNTIFS($B$5:$B846,$B846,$BF$5:$BF846,$BF846))</f>
        <v/>
      </c>
      <c r="BL846" s="9" t="str">
        <f>IF($B846="","",COUNTIFS($B$5:$B846,$B846,$BH$5:$BH846,$BH846))</f>
        <v/>
      </c>
      <c r="BM846" s="9" t="str">
        <f t="shared" si="136"/>
        <v/>
      </c>
      <c r="BN846" s="9" t="str">
        <f t="shared" si="137"/>
        <v/>
      </c>
      <c r="BO846" s="9">
        <f t="shared" si="138"/>
        <v>0</v>
      </c>
      <c r="BR846" s="12" t="str">
        <f t="shared" si="139"/>
        <v/>
      </c>
    </row>
    <row r="847" spans="1:70" ht="14.25" customHeight="1">
      <c r="A847" s="26"/>
      <c r="C847" s="26"/>
      <c r="D847" s="27"/>
      <c r="E847" s="27"/>
      <c r="BE847" s="10" t="str">
        <f t="shared" si="130"/>
        <v/>
      </c>
      <c r="BF847" s="8" t="str">
        <f t="shared" si="131"/>
        <v/>
      </c>
      <c r="BG847" s="11" t="str">
        <f t="shared" si="132"/>
        <v/>
      </c>
      <c r="BH847" s="8" t="str">
        <f t="shared" si="133"/>
        <v/>
      </c>
      <c r="BI847" s="8" t="str">
        <f t="shared" si="134"/>
        <v/>
      </c>
      <c r="BJ847" s="9" t="str">
        <f t="shared" si="135"/>
        <v/>
      </c>
      <c r="BK847" s="9" t="str">
        <f>IF($B847="","",COUNTIFS($B$5:$B847,$B847,$BF$5:$BF847,$BF847))</f>
        <v/>
      </c>
      <c r="BL847" s="9" t="str">
        <f>IF($B847="","",COUNTIFS($B$5:$B847,$B847,$BH$5:$BH847,$BH847))</f>
        <v/>
      </c>
      <c r="BM847" s="9" t="str">
        <f t="shared" si="136"/>
        <v/>
      </c>
      <c r="BN847" s="9" t="str">
        <f t="shared" si="137"/>
        <v/>
      </c>
      <c r="BO847" s="9">
        <f t="shared" si="138"/>
        <v>0</v>
      </c>
      <c r="BR847" s="12" t="str">
        <f t="shared" si="139"/>
        <v/>
      </c>
    </row>
    <row r="848" spans="1:70" ht="14.25" customHeight="1">
      <c r="A848" s="26"/>
      <c r="C848" s="26"/>
      <c r="D848" s="27"/>
      <c r="E848" s="27"/>
      <c r="BE848" s="10" t="str">
        <f t="shared" si="130"/>
        <v/>
      </c>
      <c r="BF848" s="8" t="str">
        <f t="shared" si="131"/>
        <v/>
      </c>
      <c r="BG848" s="11" t="str">
        <f t="shared" si="132"/>
        <v/>
      </c>
      <c r="BH848" s="8" t="str">
        <f t="shared" si="133"/>
        <v/>
      </c>
      <c r="BI848" s="8" t="str">
        <f t="shared" si="134"/>
        <v/>
      </c>
      <c r="BJ848" s="9" t="str">
        <f t="shared" si="135"/>
        <v/>
      </c>
      <c r="BK848" s="9" t="str">
        <f>IF($B848="","",COUNTIFS($B$5:$B848,$B848,$BF$5:$BF848,$BF848))</f>
        <v/>
      </c>
      <c r="BL848" s="9" t="str">
        <f>IF($B848="","",COUNTIFS($B$5:$B848,$B848,$BH$5:$BH848,$BH848))</f>
        <v/>
      </c>
      <c r="BM848" s="9" t="str">
        <f t="shared" si="136"/>
        <v/>
      </c>
      <c r="BN848" s="9" t="str">
        <f t="shared" si="137"/>
        <v/>
      </c>
      <c r="BO848" s="9">
        <f t="shared" si="138"/>
        <v>0</v>
      </c>
      <c r="BR848" s="12" t="str">
        <f t="shared" si="139"/>
        <v/>
      </c>
    </row>
    <row r="849" spans="1:70" ht="14.25" customHeight="1">
      <c r="A849" s="26"/>
      <c r="C849" s="26"/>
      <c r="D849" s="27"/>
      <c r="E849" s="27"/>
      <c r="BE849" s="10" t="str">
        <f t="shared" si="130"/>
        <v/>
      </c>
      <c r="BF849" s="8" t="str">
        <f t="shared" si="131"/>
        <v/>
      </c>
      <c r="BG849" s="11" t="str">
        <f t="shared" si="132"/>
        <v/>
      </c>
      <c r="BH849" s="8" t="str">
        <f t="shared" si="133"/>
        <v/>
      </c>
      <c r="BI849" s="8" t="str">
        <f t="shared" si="134"/>
        <v/>
      </c>
      <c r="BJ849" s="9" t="str">
        <f t="shared" si="135"/>
        <v/>
      </c>
      <c r="BK849" s="9" t="str">
        <f>IF($B849="","",COUNTIFS($B$5:$B849,$B849,$BF$5:$BF849,$BF849))</f>
        <v/>
      </c>
      <c r="BL849" s="9" t="str">
        <f>IF($B849="","",COUNTIFS($B$5:$B849,$B849,$BH$5:$BH849,$BH849))</f>
        <v/>
      </c>
      <c r="BM849" s="9" t="str">
        <f t="shared" si="136"/>
        <v/>
      </c>
      <c r="BN849" s="9" t="str">
        <f t="shared" si="137"/>
        <v/>
      </c>
      <c r="BO849" s="9">
        <f t="shared" si="138"/>
        <v>0</v>
      </c>
      <c r="BR849" s="12" t="str">
        <f t="shared" si="139"/>
        <v/>
      </c>
    </row>
    <row r="850" spans="1:70" ht="14.25" customHeight="1">
      <c r="A850" s="26"/>
      <c r="C850" s="26"/>
      <c r="D850" s="27"/>
      <c r="E850" s="27"/>
      <c r="BE850" s="10" t="str">
        <f t="shared" si="130"/>
        <v/>
      </c>
      <c r="BF850" s="8" t="str">
        <f t="shared" si="131"/>
        <v/>
      </c>
      <c r="BG850" s="11" t="str">
        <f t="shared" si="132"/>
        <v/>
      </c>
      <c r="BH850" s="8" t="str">
        <f t="shared" si="133"/>
        <v/>
      </c>
      <c r="BI850" s="8" t="str">
        <f t="shared" si="134"/>
        <v/>
      </c>
      <c r="BJ850" s="9" t="str">
        <f t="shared" si="135"/>
        <v/>
      </c>
      <c r="BK850" s="9" t="str">
        <f>IF($B850="","",COUNTIFS($B$5:$B850,$B850,$BF$5:$BF850,$BF850))</f>
        <v/>
      </c>
      <c r="BL850" s="9" t="str">
        <f>IF($B850="","",COUNTIFS($B$5:$B850,$B850,$BH$5:$BH850,$BH850))</f>
        <v/>
      </c>
      <c r="BM850" s="9" t="str">
        <f t="shared" si="136"/>
        <v/>
      </c>
      <c r="BN850" s="9" t="str">
        <f t="shared" si="137"/>
        <v/>
      </c>
      <c r="BO850" s="9">
        <f t="shared" si="138"/>
        <v>0</v>
      </c>
      <c r="BR850" s="12" t="str">
        <f t="shared" si="139"/>
        <v/>
      </c>
    </row>
    <row r="851" spans="1:70" ht="14.25" customHeight="1">
      <c r="A851" s="26"/>
      <c r="C851" s="26"/>
      <c r="D851" s="27"/>
      <c r="E851" s="27"/>
      <c r="BE851" s="10" t="str">
        <f t="shared" si="130"/>
        <v/>
      </c>
      <c r="BF851" s="8" t="str">
        <f t="shared" si="131"/>
        <v/>
      </c>
      <c r="BG851" s="11" t="str">
        <f t="shared" si="132"/>
        <v/>
      </c>
      <c r="BH851" s="8" t="str">
        <f t="shared" si="133"/>
        <v/>
      </c>
      <c r="BI851" s="8" t="str">
        <f t="shared" si="134"/>
        <v/>
      </c>
      <c r="BJ851" s="9" t="str">
        <f t="shared" si="135"/>
        <v/>
      </c>
      <c r="BK851" s="9" t="str">
        <f>IF($B851="","",COUNTIFS($B$5:$B851,$B851,$BF$5:$BF851,$BF851))</f>
        <v/>
      </c>
      <c r="BL851" s="9" t="str">
        <f>IF($B851="","",COUNTIFS($B$5:$B851,$B851,$BH$5:$BH851,$BH851))</f>
        <v/>
      </c>
      <c r="BM851" s="9" t="str">
        <f t="shared" si="136"/>
        <v/>
      </c>
      <c r="BN851" s="9" t="str">
        <f t="shared" si="137"/>
        <v/>
      </c>
      <c r="BO851" s="9">
        <f t="shared" si="138"/>
        <v>0</v>
      </c>
      <c r="BR851" s="12" t="str">
        <f t="shared" si="139"/>
        <v/>
      </c>
    </row>
    <row r="852" spans="1:70" ht="14.25" customHeight="1">
      <c r="A852" s="26"/>
      <c r="C852" s="26"/>
      <c r="D852" s="27"/>
      <c r="E852" s="27"/>
      <c r="BE852" s="10" t="str">
        <f t="shared" si="130"/>
        <v/>
      </c>
      <c r="BF852" s="8" t="str">
        <f t="shared" si="131"/>
        <v/>
      </c>
      <c r="BG852" s="11" t="str">
        <f t="shared" si="132"/>
        <v/>
      </c>
      <c r="BH852" s="8" t="str">
        <f t="shared" si="133"/>
        <v/>
      </c>
      <c r="BI852" s="8" t="str">
        <f t="shared" si="134"/>
        <v/>
      </c>
      <c r="BJ852" s="9" t="str">
        <f t="shared" si="135"/>
        <v/>
      </c>
      <c r="BK852" s="9" t="str">
        <f>IF($B852="","",COUNTIFS($B$5:$B852,$B852,$BF$5:$BF852,$BF852))</f>
        <v/>
      </c>
      <c r="BL852" s="9" t="str">
        <f>IF($B852="","",COUNTIFS($B$5:$B852,$B852,$BH$5:$BH852,$BH852))</f>
        <v/>
      </c>
      <c r="BM852" s="9" t="str">
        <f t="shared" si="136"/>
        <v/>
      </c>
      <c r="BN852" s="9" t="str">
        <f t="shared" si="137"/>
        <v/>
      </c>
      <c r="BO852" s="9">
        <f t="shared" si="138"/>
        <v>0</v>
      </c>
      <c r="BR852" s="12" t="str">
        <f t="shared" si="139"/>
        <v/>
      </c>
    </row>
    <row r="853" spans="1:70" ht="14.25" customHeight="1">
      <c r="A853" s="26"/>
      <c r="C853" s="26"/>
      <c r="D853" s="27"/>
      <c r="E853" s="27"/>
      <c r="BE853" s="10" t="str">
        <f t="shared" si="130"/>
        <v/>
      </c>
      <c r="BF853" s="8" t="str">
        <f t="shared" si="131"/>
        <v/>
      </c>
      <c r="BG853" s="11" t="str">
        <f t="shared" si="132"/>
        <v/>
      </c>
      <c r="BH853" s="8" t="str">
        <f t="shared" si="133"/>
        <v/>
      </c>
      <c r="BI853" s="8" t="str">
        <f t="shared" si="134"/>
        <v/>
      </c>
      <c r="BJ853" s="9" t="str">
        <f t="shared" si="135"/>
        <v/>
      </c>
      <c r="BK853" s="9" t="str">
        <f>IF($B853="","",COUNTIFS($B$5:$B853,$B853,$BF$5:$BF853,$BF853))</f>
        <v/>
      </c>
      <c r="BL853" s="9" t="str">
        <f>IF($B853="","",COUNTIFS($B$5:$B853,$B853,$BH$5:$BH853,$BH853))</f>
        <v/>
      </c>
      <c r="BM853" s="9" t="str">
        <f t="shared" si="136"/>
        <v/>
      </c>
      <c r="BN853" s="9" t="str">
        <f t="shared" si="137"/>
        <v/>
      </c>
      <c r="BO853" s="9">
        <f t="shared" si="138"/>
        <v>0</v>
      </c>
      <c r="BR853" s="12" t="str">
        <f t="shared" si="139"/>
        <v/>
      </c>
    </row>
    <row r="854" spans="1:70" ht="14.25" customHeight="1">
      <c r="A854" s="26"/>
      <c r="C854" s="26"/>
      <c r="D854" s="27"/>
      <c r="E854" s="27"/>
      <c r="BE854" s="10" t="str">
        <f t="shared" si="130"/>
        <v/>
      </c>
      <c r="BF854" s="8" t="str">
        <f t="shared" si="131"/>
        <v/>
      </c>
      <c r="BG854" s="11" t="str">
        <f t="shared" si="132"/>
        <v/>
      </c>
      <c r="BH854" s="8" t="str">
        <f t="shared" si="133"/>
        <v/>
      </c>
      <c r="BI854" s="8" t="str">
        <f t="shared" si="134"/>
        <v/>
      </c>
      <c r="BJ854" s="9" t="str">
        <f t="shared" si="135"/>
        <v/>
      </c>
      <c r="BK854" s="9" t="str">
        <f>IF($B854="","",COUNTIFS($B$5:$B854,$B854,$BF$5:$BF854,$BF854))</f>
        <v/>
      </c>
      <c r="BL854" s="9" t="str">
        <f>IF($B854="","",COUNTIFS($B$5:$B854,$B854,$BH$5:$BH854,$BH854))</f>
        <v/>
      </c>
      <c r="BM854" s="9" t="str">
        <f t="shared" si="136"/>
        <v/>
      </c>
      <c r="BN854" s="9" t="str">
        <f t="shared" si="137"/>
        <v/>
      </c>
      <c r="BO854" s="9">
        <f t="shared" si="138"/>
        <v>0</v>
      </c>
      <c r="BR854" s="12" t="str">
        <f t="shared" si="139"/>
        <v/>
      </c>
    </row>
    <row r="855" spans="1:70" ht="14.25" customHeight="1">
      <c r="A855" s="26"/>
      <c r="C855" s="26"/>
      <c r="D855" s="27"/>
      <c r="E855" s="27"/>
      <c r="BE855" s="10" t="str">
        <f t="shared" si="130"/>
        <v/>
      </c>
      <c r="BF855" s="8" t="str">
        <f t="shared" si="131"/>
        <v/>
      </c>
      <c r="BG855" s="11" t="str">
        <f t="shared" si="132"/>
        <v/>
      </c>
      <c r="BH855" s="8" t="str">
        <f t="shared" si="133"/>
        <v/>
      </c>
      <c r="BI855" s="8" t="str">
        <f t="shared" si="134"/>
        <v/>
      </c>
      <c r="BJ855" s="9" t="str">
        <f t="shared" si="135"/>
        <v/>
      </c>
      <c r="BK855" s="9" t="str">
        <f>IF($B855="","",COUNTIFS($B$5:$B855,$B855,$BF$5:$BF855,$BF855))</f>
        <v/>
      </c>
      <c r="BL855" s="9" t="str">
        <f>IF($B855="","",COUNTIFS($B$5:$B855,$B855,$BH$5:$BH855,$BH855))</f>
        <v/>
      </c>
      <c r="BM855" s="9" t="str">
        <f t="shared" si="136"/>
        <v/>
      </c>
      <c r="BN855" s="9" t="str">
        <f t="shared" si="137"/>
        <v/>
      </c>
      <c r="BO855" s="9">
        <f t="shared" si="138"/>
        <v>0</v>
      </c>
      <c r="BR855" s="12" t="str">
        <f t="shared" si="139"/>
        <v/>
      </c>
    </row>
    <row r="856" spans="1:70" ht="14.25" customHeight="1">
      <c r="A856" s="26"/>
      <c r="C856" s="26"/>
      <c r="D856" s="27"/>
      <c r="E856" s="27"/>
      <c r="BE856" s="10" t="str">
        <f t="shared" si="130"/>
        <v/>
      </c>
      <c r="BF856" s="8" t="str">
        <f t="shared" si="131"/>
        <v/>
      </c>
      <c r="BG856" s="11" t="str">
        <f t="shared" si="132"/>
        <v/>
      </c>
      <c r="BH856" s="8" t="str">
        <f t="shared" si="133"/>
        <v/>
      </c>
      <c r="BI856" s="8" t="str">
        <f t="shared" si="134"/>
        <v/>
      </c>
      <c r="BJ856" s="9" t="str">
        <f t="shared" si="135"/>
        <v/>
      </c>
      <c r="BK856" s="9" t="str">
        <f>IF($B856="","",COUNTIFS($B$5:$B856,$B856,$BF$5:$BF856,$BF856))</f>
        <v/>
      </c>
      <c r="BL856" s="9" t="str">
        <f>IF($B856="","",COUNTIFS($B$5:$B856,$B856,$BH$5:$BH856,$BH856))</f>
        <v/>
      </c>
      <c r="BM856" s="9" t="str">
        <f t="shared" si="136"/>
        <v/>
      </c>
      <c r="BN856" s="9" t="str">
        <f t="shared" si="137"/>
        <v/>
      </c>
      <c r="BO856" s="9">
        <f t="shared" si="138"/>
        <v>0</v>
      </c>
      <c r="BR856" s="12" t="str">
        <f t="shared" si="139"/>
        <v/>
      </c>
    </row>
    <row r="857" spans="1:70" ht="14.25" customHeight="1">
      <c r="A857" s="26"/>
      <c r="C857" s="26"/>
      <c r="D857" s="27"/>
      <c r="E857" s="27"/>
      <c r="BE857" s="10" t="str">
        <f t="shared" si="130"/>
        <v/>
      </c>
      <c r="BF857" s="8" t="str">
        <f t="shared" si="131"/>
        <v/>
      </c>
      <c r="BG857" s="11" t="str">
        <f t="shared" si="132"/>
        <v/>
      </c>
      <c r="BH857" s="8" t="str">
        <f t="shared" si="133"/>
        <v/>
      </c>
      <c r="BI857" s="8" t="str">
        <f t="shared" si="134"/>
        <v/>
      </c>
      <c r="BJ857" s="9" t="str">
        <f t="shared" si="135"/>
        <v/>
      </c>
      <c r="BK857" s="9" t="str">
        <f>IF($B857="","",COUNTIFS($B$5:$B857,$B857,$BF$5:$BF857,$BF857))</f>
        <v/>
      </c>
      <c r="BL857" s="9" t="str">
        <f>IF($B857="","",COUNTIFS($B$5:$B857,$B857,$BH$5:$BH857,$BH857))</f>
        <v/>
      </c>
      <c r="BM857" s="9" t="str">
        <f t="shared" si="136"/>
        <v/>
      </c>
      <c r="BN857" s="9" t="str">
        <f t="shared" si="137"/>
        <v/>
      </c>
      <c r="BO857" s="9">
        <f t="shared" si="138"/>
        <v>0</v>
      </c>
      <c r="BR857" s="12" t="str">
        <f t="shared" si="139"/>
        <v/>
      </c>
    </row>
    <row r="858" spans="1:70" ht="14.25" customHeight="1">
      <c r="A858" s="26"/>
      <c r="C858" s="26"/>
      <c r="D858" s="27"/>
      <c r="E858" s="27"/>
      <c r="BE858" s="10" t="str">
        <f t="shared" si="130"/>
        <v/>
      </c>
      <c r="BF858" s="8" t="str">
        <f t="shared" si="131"/>
        <v/>
      </c>
      <c r="BG858" s="11" t="str">
        <f t="shared" si="132"/>
        <v/>
      </c>
      <c r="BH858" s="8" t="str">
        <f t="shared" si="133"/>
        <v/>
      </c>
      <c r="BI858" s="8" t="str">
        <f t="shared" si="134"/>
        <v/>
      </c>
      <c r="BJ858" s="9" t="str">
        <f t="shared" si="135"/>
        <v/>
      </c>
      <c r="BK858" s="9" t="str">
        <f>IF($B858="","",COUNTIFS($B$5:$B858,$B858,$BF$5:$BF858,$BF858))</f>
        <v/>
      </c>
      <c r="BL858" s="9" t="str">
        <f>IF($B858="","",COUNTIFS($B$5:$B858,$B858,$BH$5:$BH858,$BH858))</f>
        <v/>
      </c>
      <c r="BM858" s="9" t="str">
        <f t="shared" si="136"/>
        <v/>
      </c>
      <c r="BN858" s="9" t="str">
        <f t="shared" si="137"/>
        <v/>
      </c>
      <c r="BO858" s="9">
        <f t="shared" si="138"/>
        <v>0</v>
      </c>
      <c r="BR858" s="12" t="str">
        <f t="shared" si="139"/>
        <v/>
      </c>
    </row>
    <row r="859" spans="1:70" ht="14.25" customHeight="1">
      <c r="A859" s="26"/>
      <c r="C859" s="26"/>
      <c r="D859" s="27"/>
      <c r="E859" s="27"/>
      <c r="BE859" s="10" t="str">
        <f t="shared" si="130"/>
        <v/>
      </c>
      <c r="BF859" s="8" t="str">
        <f t="shared" si="131"/>
        <v/>
      </c>
      <c r="BG859" s="11" t="str">
        <f t="shared" si="132"/>
        <v/>
      </c>
      <c r="BH859" s="8" t="str">
        <f t="shared" si="133"/>
        <v/>
      </c>
      <c r="BI859" s="8" t="str">
        <f t="shared" si="134"/>
        <v/>
      </c>
      <c r="BJ859" s="9" t="str">
        <f t="shared" si="135"/>
        <v/>
      </c>
      <c r="BK859" s="9" t="str">
        <f>IF($B859="","",COUNTIFS($B$5:$B859,$B859,$BF$5:$BF859,$BF859))</f>
        <v/>
      </c>
      <c r="BL859" s="9" t="str">
        <f>IF($B859="","",COUNTIFS($B$5:$B859,$B859,$BH$5:$BH859,$BH859))</f>
        <v/>
      </c>
      <c r="BM859" s="9" t="str">
        <f t="shared" si="136"/>
        <v/>
      </c>
      <c r="BN859" s="9" t="str">
        <f t="shared" si="137"/>
        <v/>
      </c>
      <c r="BO859" s="9">
        <f t="shared" si="138"/>
        <v>0</v>
      </c>
      <c r="BR859" s="12" t="str">
        <f t="shared" si="139"/>
        <v/>
      </c>
    </row>
    <row r="860" spans="1:70" ht="14.25" customHeight="1">
      <c r="A860" s="26"/>
      <c r="C860" s="26"/>
      <c r="D860" s="27"/>
      <c r="E860" s="27"/>
      <c r="BE860" s="10" t="str">
        <f t="shared" si="130"/>
        <v/>
      </c>
      <c r="BF860" s="8" t="str">
        <f t="shared" si="131"/>
        <v/>
      </c>
      <c r="BG860" s="11" t="str">
        <f t="shared" si="132"/>
        <v/>
      </c>
      <c r="BH860" s="8" t="str">
        <f t="shared" si="133"/>
        <v/>
      </c>
      <c r="BI860" s="8" t="str">
        <f t="shared" si="134"/>
        <v/>
      </c>
      <c r="BJ860" s="9" t="str">
        <f t="shared" si="135"/>
        <v/>
      </c>
      <c r="BK860" s="9" t="str">
        <f>IF($B860="","",COUNTIFS($B$5:$B860,$B860,$BF$5:$BF860,$BF860))</f>
        <v/>
      </c>
      <c r="BL860" s="9" t="str">
        <f>IF($B860="","",COUNTIFS($B$5:$B860,$B860,$BH$5:$BH860,$BH860))</f>
        <v/>
      </c>
      <c r="BM860" s="9" t="str">
        <f t="shared" si="136"/>
        <v/>
      </c>
      <c r="BN860" s="9" t="str">
        <f t="shared" si="137"/>
        <v/>
      </c>
      <c r="BO860" s="9">
        <f t="shared" si="138"/>
        <v>0</v>
      </c>
      <c r="BR860" s="12" t="str">
        <f t="shared" si="139"/>
        <v/>
      </c>
    </row>
    <row r="861" spans="1:70" ht="14.25" customHeight="1">
      <c r="A861" s="26"/>
      <c r="C861" s="26"/>
      <c r="D861" s="27"/>
      <c r="E861" s="27"/>
      <c r="BE861" s="10" t="str">
        <f t="shared" ref="BE861:BE924" si="140">IF($B861="","",IF(COUNT($H861,$J861,$L861,$N861,$P861,$R861)&gt;0,SUM($H861,$J861,$L861,$N861,$P861,$R861),SUM($T861,$V861,$X861,$Z861,$AB861,$AD861,$AF861,$AH861,$AJ861,$AL861,$AN861,$AP861,$AR861,$AT861,$AV861,$AX861,$AZ861)))</f>
        <v/>
      </c>
      <c r="BF861" s="8" t="str">
        <f t="shared" ref="BF861:BF924" si="141">IF($C861="","",DATE(YEAR($C861),MONTH($C861),1))</f>
        <v/>
      </c>
      <c r="BG861" s="11" t="str">
        <f t="shared" ref="BG861:BG924" si="142">IF($BF861="","",TEXT($BF861,"mmmm yyyy"))</f>
        <v/>
      </c>
      <c r="BH861" s="8" t="str">
        <f t="shared" ref="BH861:BH924" si="143">IF($C861="","",$C861-WEEKDAY($C861,2)+1)</f>
        <v/>
      </c>
      <c r="BI861" s="8" t="str">
        <f t="shared" ref="BI861:BI924" si="144">IF($BH861="","",$BH861+6)</f>
        <v/>
      </c>
      <c r="BJ861" s="9" t="str">
        <f t="shared" ref="BJ861:BJ924" si="145">IF($BH861="","",TEXT($BH861,"dd/mm/yyyy")&amp;" - "&amp;TEXT($BI861,"dd/mm/yyyy"))</f>
        <v/>
      </c>
      <c r="BK861" s="9" t="str">
        <f>IF($B861="","",COUNTIFS($B$5:$B861,$B861,$BF$5:$BF861,$BF861))</f>
        <v/>
      </c>
      <c r="BL861" s="9" t="str">
        <f>IF($B861="","",COUNTIFS($B$5:$B861,$B861,$BH$5:$BH861,$BH861))</f>
        <v/>
      </c>
      <c r="BM861" s="9" t="str">
        <f t="shared" ref="BM861:BM924" si="146">IF($B861="","",TEXT($BK861,"00")&amp;"|"&amp;$B861&amp;"|"&amp;TEXT($BF861,"yyyymmdd"))</f>
        <v/>
      </c>
      <c r="BN861" s="9" t="str">
        <f t="shared" ref="BN861:BN924" si="147">IF($B861="","",TEXT($BL861,"00")&amp;"|"&amp;$B861&amp;"|"&amp;TEXT($BH861,"yyyymmdd"))</f>
        <v/>
      </c>
      <c r="BO861" s="9">
        <f t="shared" ref="BO861:BO924" si="148">IF(OR($BB861="YES",$BB861="Yes",$BB861="Y",$BB861=1),1,0)</f>
        <v>0</v>
      </c>
      <c r="BR861" s="12" t="str">
        <f t="shared" ref="BR861:BR924" si="149">IF($C861="","",IF($C861&gt;=DATE(2026,6,1),"QA-2026-06",IF($C861&gt;=DATE(2026,5,1),"May 2026+",IF($C861&gt;=DATE(2026,4,1),"April 2026",IF($C861&gt;=DATE(2026,3,1),"March 2026","Jan-Feb 2026")))))</f>
        <v/>
      </c>
    </row>
    <row r="862" spans="1:70" ht="14.25" customHeight="1">
      <c r="A862" s="26"/>
      <c r="C862" s="26"/>
      <c r="D862" s="27"/>
      <c r="E862" s="27"/>
      <c r="BE862" s="10" t="str">
        <f t="shared" si="140"/>
        <v/>
      </c>
      <c r="BF862" s="8" t="str">
        <f t="shared" si="141"/>
        <v/>
      </c>
      <c r="BG862" s="11" t="str">
        <f t="shared" si="142"/>
        <v/>
      </c>
      <c r="BH862" s="8" t="str">
        <f t="shared" si="143"/>
        <v/>
      </c>
      <c r="BI862" s="8" t="str">
        <f t="shared" si="144"/>
        <v/>
      </c>
      <c r="BJ862" s="9" t="str">
        <f t="shared" si="145"/>
        <v/>
      </c>
      <c r="BK862" s="9" t="str">
        <f>IF($B862="","",COUNTIFS($B$5:$B862,$B862,$BF$5:$BF862,$BF862))</f>
        <v/>
      </c>
      <c r="BL862" s="9" t="str">
        <f>IF($B862="","",COUNTIFS($B$5:$B862,$B862,$BH$5:$BH862,$BH862))</f>
        <v/>
      </c>
      <c r="BM862" s="9" t="str">
        <f t="shared" si="146"/>
        <v/>
      </c>
      <c r="BN862" s="9" t="str">
        <f t="shared" si="147"/>
        <v/>
      </c>
      <c r="BO862" s="9">
        <f t="shared" si="148"/>
        <v>0</v>
      </c>
      <c r="BR862" s="12" t="str">
        <f t="shared" si="149"/>
        <v/>
      </c>
    </row>
    <row r="863" spans="1:70" ht="14.25" customHeight="1">
      <c r="A863" s="26"/>
      <c r="C863" s="26"/>
      <c r="D863" s="27"/>
      <c r="E863" s="27"/>
      <c r="BE863" s="10" t="str">
        <f t="shared" si="140"/>
        <v/>
      </c>
      <c r="BF863" s="8" t="str">
        <f t="shared" si="141"/>
        <v/>
      </c>
      <c r="BG863" s="11" t="str">
        <f t="shared" si="142"/>
        <v/>
      </c>
      <c r="BH863" s="8" t="str">
        <f t="shared" si="143"/>
        <v/>
      </c>
      <c r="BI863" s="8" t="str">
        <f t="shared" si="144"/>
        <v/>
      </c>
      <c r="BJ863" s="9" t="str">
        <f t="shared" si="145"/>
        <v/>
      </c>
      <c r="BK863" s="9" t="str">
        <f>IF($B863="","",COUNTIFS($B$5:$B863,$B863,$BF$5:$BF863,$BF863))</f>
        <v/>
      </c>
      <c r="BL863" s="9" t="str">
        <f>IF($B863="","",COUNTIFS($B$5:$B863,$B863,$BH$5:$BH863,$BH863))</f>
        <v/>
      </c>
      <c r="BM863" s="9" t="str">
        <f t="shared" si="146"/>
        <v/>
      </c>
      <c r="BN863" s="9" t="str">
        <f t="shared" si="147"/>
        <v/>
      </c>
      <c r="BO863" s="9">
        <f t="shared" si="148"/>
        <v>0</v>
      </c>
      <c r="BR863" s="12" t="str">
        <f t="shared" si="149"/>
        <v/>
      </c>
    </row>
    <row r="864" spans="1:70" ht="14.25" customHeight="1">
      <c r="A864" s="26"/>
      <c r="C864" s="26"/>
      <c r="D864" s="27"/>
      <c r="E864" s="27"/>
      <c r="BE864" s="10" t="str">
        <f t="shared" si="140"/>
        <v/>
      </c>
      <c r="BF864" s="8" t="str">
        <f t="shared" si="141"/>
        <v/>
      </c>
      <c r="BG864" s="11" t="str">
        <f t="shared" si="142"/>
        <v/>
      </c>
      <c r="BH864" s="8" t="str">
        <f t="shared" si="143"/>
        <v/>
      </c>
      <c r="BI864" s="8" t="str">
        <f t="shared" si="144"/>
        <v/>
      </c>
      <c r="BJ864" s="9" t="str">
        <f t="shared" si="145"/>
        <v/>
      </c>
      <c r="BK864" s="9" t="str">
        <f>IF($B864="","",COUNTIFS($B$5:$B864,$B864,$BF$5:$BF864,$BF864))</f>
        <v/>
      </c>
      <c r="BL864" s="9" t="str">
        <f>IF($B864="","",COUNTIFS($B$5:$B864,$B864,$BH$5:$BH864,$BH864))</f>
        <v/>
      </c>
      <c r="BM864" s="9" t="str">
        <f t="shared" si="146"/>
        <v/>
      </c>
      <c r="BN864" s="9" t="str">
        <f t="shared" si="147"/>
        <v/>
      </c>
      <c r="BO864" s="9">
        <f t="shared" si="148"/>
        <v>0</v>
      </c>
      <c r="BR864" s="12" t="str">
        <f t="shared" si="149"/>
        <v/>
      </c>
    </row>
    <row r="865" spans="1:70" ht="14.25" customHeight="1">
      <c r="A865" s="26"/>
      <c r="C865" s="26"/>
      <c r="D865" s="27"/>
      <c r="E865" s="27"/>
      <c r="BE865" s="10" t="str">
        <f t="shared" si="140"/>
        <v/>
      </c>
      <c r="BF865" s="8" t="str">
        <f t="shared" si="141"/>
        <v/>
      </c>
      <c r="BG865" s="11" t="str">
        <f t="shared" si="142"/>
        <v/>
      </c>
      <c r="BH865" s="8" t="str">
        <f t="shared" si="143"/>
        <v/>
      </c>
      <c r="BI865" s="8" t="str">
        <f t="shared" si="144"/>
        <v/>
      </c>
      <c r="BJ865" s="9" t="str">
        <f t="shared" si="145"/>
        <v/>
      </c>
      <c r="BK865" s="9" t="str">
        <f>IF($B865="","",COUNTIFS($B$5:$B865,$B865,$BF$5:$BF865,$BF865))</f>
        <v/>
      </c>
      <c r="BL865" s="9" t="str">
        <f>IF($B865="","",COUNTIFS($B$5:$B865,$B865,$BH$5:$BH865,$BH865))</f>
        <v/>
      </c>
      <c r="BM865" s="9" t="str">
        <f t="shared" si="146"/>
        <v/>
      </c>
      <c r="BN865" s="9" t="str">
        <f t="shared" si="147"/>
        <v/>
      </c>
      <c r="BO865" s="9">
        <f t="shared" si="148"/>
        <v>0</v>
      </c>
      <c r="BR865" s="12" t="str">
        <f t="shared" si="149"/>
        <v/>
      </c>
    </row>
    <row r="866" spans="1:70" ht="14.25" customHeight="1">
      <c r="A866" s="26"/>
      <c r="C866" s="26"/>
      <c r="D866" s="27"/>
      <c r="E866" s="27"/>
      <c r="BE866" s="10" t="str">
        <f t="shared" si="140"/>
        <v/>
      </c>
      <c r="BF866" s="8" t="str">
        <f t="shared" si="141"/>
        <v/>
      </c>
      <c r="BG866" s="11" t="str">
        <f t="shared" si="142"/>
        <v/>
      </c>
      <c r="BH866" s="8" t="str">
        <f t="shared" si="143"/>
        <v/>
      </c>
      <c r="BI866" s="8" t="str">
        <f t="shared" si="144"/>
        <v/>
      </c>
      <c r="BJ866" s="9" t="str">
        <f t="shared" si="145"/>
        <v/>
      </c>
      <c r="BK866" s="9" t="str">
        <f>IF($B866="","",COUNTIFS($B$5:$B866,$B866,$BF$5:$BF866,$BF866))</f>
        <v/>
      </c>
      <c r="BL866" s="9" t="str">
        <f>IF($B866="","",COUNTIFS($B$5:$B866,$B866,$BH$5:$BH866,$BH866))</f>
        <v/>
      </c>
      <c r="BM866" s="9" t="str">
        <f t="shared" si="146"/>
        <v/>
      </c>
      <c r="BN866" s="9" t="str">
        <f t="shared" si="147"/>
        <v/>
      </c>
      <c r="BO866" s="9">
        <f t="shared" si="148"/>
        <v>0</v>
      </c>
      <c r="BR866" s="12" t="str">
        <f t="shared" si="149"/>
        <v/>
      </c>
    </row>
    <row r="867" spans="1:70" ht="14.25" customHeight="1">
      <c r="A867" s="26"/>
      <c r="C867" s="26"/>
      <c r="D867" s="27"/>
      <c r="E867" s="27"/>
      <c r="BE867" s="10" t="str">
        <f t="shared" si="140"/>
        <v/>
      </c>
      <c r="BF867" s="8" t="str">
        <f t="shared" si="141"/>
        <v/>
      </c>
      <c r="BG867" s="11" t="str">
        <f t="shared" si="142"/>
        <v/>
      </c>
      <c r="BH867" s="8" t="str">
        <f t="shared" si="143"/>
        <v/>
      </c>
      <c r="BI867" s="8" t="str">
        <f t="shared" si="144"/>
        <v/>
      </c>
      <c r="BJ867" s="9" t="str">
        <f t="shared" si="145"/>
        <v/>
      </c>
      <c r="BK867" s="9" t="str">
        <f>IF($B867="","",COUNTIFS($B$5:$B867,$B867,$BF$5:$BF867,$BF867))</f>
        <v/>
      </c>
      <c r="BL867" s="9" t="str">
        <f>IF($B867="","",COUNTIFS($B$5:$B867,$B867,$BH$5:$BH867,$BH867))</f>
        <v/>
      </c>
      <c r="BM867" s="9" t="str">
        <f t="shared" si="146"/>
        <v/>
      </c>
      <c r="BN867" s="9" t="str">
        <f t="shared" si="147"/>
        <v/>
      </c>
      <c r="BO867" s="9">
        <f t="shared" si="148"/>
        <v>0</v>
      </c>
      <c r="BR867" s="12" t="str">
        <f t="shared" si="149"/>
        <v/>
      </c>
    </row>
    <row r="868" spans="1:70" ht="14.25" customHeight="1">
      <c r="A868" s="26"/>
      <c r="C868" s="26"/>
      <c r="D868" s="27"/>
      <c r="E868" s="27"/>
      <c r="BE868" s="10" t="str">
        <f t="shared" si="140"/>
        <v/>
      </c>
      <c r="BF868" s="8" t="str">
        <f t="shared" si="141"/>
        <v/>
      </c>
      <c r="BG868" s="11" t="str">
        <f t="shared" si="142"/>
        <v/>
      </c>
      <c r="BH868" s="8" t="str">
        <f t="shared" si="143"/>
        <v/>
      </c>
      <c r="BI868" s="8" t="str">
        <f t="shared" si="144"/>
        <v/>
      </c>
      <c r="BJ868" s="9" t="str">
        <f t="shared" si="145"/>
        <v/>
      </c>
      <c r="BK868" s="9" t="str">
        <f>IF($B868="","",COUNTIFS($B$5:$B868,$B868,$BF$5:$BF868,$BF868))</f>
        <v/>
      </c>
      <c r="BL868" s="9" t="str">
        <f>IF($B868="","",COUNTIFS($B$5:$B868,$B868,$BH$5:$BH868,$BH868))</f>
        <v/>
      </c>
      <c r="BM868" s="9" t="str">
        <f t="shared" si="146"/>
        <v/>
      </c>
      <c r="BN868" s="9" t="str">
        <f t="shared" si="147"/>
        <v/>
      </c>
      <c r="BO868" s="9">
        <f t="shared" si="148"/>
        <v>0</v>
      </c>
      <c r="BR868" s="12" t="str">
        <f t="shared" si="149"/>
        <v/>
      </c>
    </row>
    <row r="869" spans="1:70" ht="14.25" customHeight="1">
      <c r="A869" s="26"/>
      <c r="C869" s="26"/>
      <c r="D869" s="27"/>
      <c r="E869" s="27"/>
      <c r="BE869" s="10" t="str">
        <f t="shared" si="140"/>
        <v/>
      </c>
      <c r="BF869" s="8" t="str">
        <f t="shared" si="141"/>
        <v/>
      </c>
      <c r="BG869" s="11" t="str">
        <f t="shared" si="142"/>
        <v/>
      </c>
      <c r="BH869" s="8" t="str">
        <f t="shared" si="143"/>
        <v/>
      </c>
      <c r="BI869" s="8" t="str">
        <f t="shared" si="144"/>
        <v/>
      </c>
      <c r="BJ869" s="9" t="str">
        <f t="shared" si="145"/>
        <v/>
      </c>
      <c r="BK869" s="9" t="str">
        <f>IF($B869="","",COUNTIFS($B$5:$B869,$B869,$BF$5:$BF869,$BF869))</f>
        <v/>
      </c>
      <c r="BL869" s="9" t="str">
        <f>IF($B869="","",COUNTIFS($B$5:$B869,$B869,$BH$5:$BH869,$BH869))</f>
        <v/>
      </c>
      <c r="BM869" s="9" t="str">
        <f t="shared" si="146"/>
        <v/>
      </c>
      <c r="BN869" s="9" t="str">
        <f t="shared" si="147"/>
        <v/>
      </c>
      <c r="BO869" s="9">
        <f t="shared" si="148"/>
        <v>0</v>
      </c>
      <c r="BR869" s="12" t="str">
        <f t="shared" si="149"/>
        <v/>
      </c>
    </row>
    <row r="870" spans="1:70" ht="14.25" customHeight="1">
      <c r="A870" s="26"/>
      <c r="C870" s="26"/>
      <c r="D870" s="27"/>
      <c r="E870" s="27"/>
      <c r="BE870" s="10" t="str">
        <f t="shared" si="140"/>
        <v/>
      </c>
      <c r="BF870" s="8" t="str">
        <f t="shared" si="141"/>
        <v/>
      </c>
      <c r="BG870" s="11" t="str">
        <f t="shared" si="142"/>
        <v/>
      </c>
      <c r="BH870" s="8" t="str">
        <f t="shared" si="143"/>
        <v/>
      </c>
      <c r="BI870" s="8" t="str">
        <f t="shared" si="144"/>
        <v/>
      </c>
      <c r="BJ870" s="9" t="str">
        <f t="shared" si="145"/>
        <v/>
      </c>
      <c r="BK870" s="9" t="str">
        <f>IF($B870="","",COUNTIFS($B$5:$B870,$B870,$BF$5:$BF870,$BF870))</f>
        <v/>
      </c>
      <c r="BL870" s="9" t="str">
        <f>IF($B870="","",COUNTIFS($B$5:$B870,$B870,$BH$5:$BH870,$BH870))</f>
        <v/>
      </c>
      <c r="BM870" s="9" t="str">
        <f t="shared" si="146"/>
        <v/>
      </c>
      <c r="BN870" s="9" t="str">
        <f t="shared" si="147"/>
        <v/>
      </c>
      <c r="BO870" s="9">
        <f t="shared" si="148"/>
        <v>0</v>
      </c>
      <c r="BR870" s="12" t="str">
        <f t="shared" si="149"/>
        <v/>
      </c>
    </row>
    <row r="871" spans="1:70" ht="14.25" customHeight="1">
      <c r="A871" s="26"/>
      <c r="C871" s="26"/>
      <c r="D871" s="27"/>
      <c r="E871" s="27"/>
      <c r="BE871" s="10" t="str">
        <f t="shared" si="140"/>
        <v/>
      </c>
      <c r="BF871" s="8" t="str">
        <f t="shared" si="141"/>
        <v/>
      </c>
      <c r="BG871" s="11" t="str">
        <f t="shared" si="142"/>
        <v/>
      </c>
      <c r="BH871" s="8" t="str">
        <f t="shared" si="143"/>
        <v/>
      </c>
      <c r="BI871" s="8" t="str">
        <f t="shared" si="144"/>
        <v/>
      </c>
      <c r="BJ871" s="9" t="str">
        <f t="shared" si="145"/>
        <v/>
      </c>
      <c r="BK871" s="9" t="str">
        <f>IF($B871="","",COUNTIFS($B$5:$B871,$B871,$BF$5:$BF871,$BF871))</f>
        <v/>
      </c>
      <c r="BL871" s="9" t="str">
        <f>IF($B871="","",COUNTIFS($B$5:$B871,$B871,$BH$5:$BH871,$BH871))</f>
        <v/>
      </c>
      <c r="BM871" s="9" t="str">
        <f t="shared" si="146"/>
        <v/>
      </c>
      <c r="BN871" s="9" t="str">
        <f t="shared" si="147"/>
        <v/>
      </c>
      <c r="BO871" s="9">
        <f t="shared" si="148"/>
        <v>0</v>
      </c>
      <c r="BR871" s="12" t="str">
        <f t="shared" si="149"/>
        <v/>
      </c>
    </row>
    <row r="872" spans="1:70" ht="14.25" customHeight="1">
      <c r="A872" s="26"/>
      <c r="C872" s="26"/>
      <c r="D872" s="27"/>
      <c r="E872" s="27"/>
      <c r="BE872" s="10" t="str">
        <f t="shared" si="140"/>
        <v/>
      </c>
      <c r="BF872" s="8" t="str">
        <f t="shared" si="141"/>
        <v/>
      </c>
      <c r="BG872" s="11" t="str">
        <f t="shared" si="142"/>
        <v/>
      </c>
      <c r="BH872" s="8" t="str">
        <f t="shared" si="143"/>
        <v/>
      </c>
      <c r="BI872" s="8" t="str">
        <f t="shared" si="144"/>
        <v/>
      </c>
      <c r="BJ872" s="9" t="str">
        <f t="shared" si="145"/>
        <v/>
      </c>
      <c r="BK872" s="9" t="str">
        <f>IF($B872="","",COUNTIFS($B$5:$B872,$B872,$BF$5:$BF872,$BF872))</f>
        <v/>
      </c>
      <c r="BL872" s="9" t="str">
        <f>IF($B872="","",COUNTIFS($B$5:$B872,$B872,$BH$5:$BH872,$BH872))</f>
        <v/>
      </c>
      <c r="BM872" s="9" t="str">
        <f t="shared" si="146"/>
        <v/>
      </c>
      <c r="BN872" s="9" t="str">
        <f t="shared" si="147"/>
        <v/>
      </c>
      <c r="BO872" s="9">
        <f t="shared" si="148"/>
        <v>0</v>
      </c>
      <c r="BR872" s="12" t="str">
        <f t="shared" si="149"/>
        <v/>
      </c>
    </row>
    <row r="873" spans="1:70" ht="14.25" customHeight="1">
      <c r="A873" s="26"/>
      <c r="C873" s="26"/>
      <c r="D873" s="27"/>
      <c r="E873" s="27"/>
      <c r="BE873" s="10" t="str">
        <f t="shared" si="140"/>
        <v/>
      </c>
      <c r="BF873" s="8" t="str">
        <f t="shared" si="141"/>
        <v/>
      </c>
      <c r="BG873" s="11" t="str">
        <f t="shared" si="142"/>
        <v/>
      </c>
      <c r="BH873" s="8" t="str">
        <f t="shared" si="143"/>
        <v/>
      </c>
      <c r="BI873" s="8" t="str">
        <f t="shared" si="144"/>
        <v/>
      </c>
      <c r="BJ873" s="9" t="str">
        <f t="shared" si="145"/>
        <v/>
      </c>
      <c r="BK873" s="9" t="str">
        <f>IF($B873="","",COUNTIFS($B$5:$B873,$B873,$BF$5:$BF873,$BF873))</f>
        <v/>
      </c>
      <c r="BL873" s="9" t="str">
        <f>IF($B873="","",COUNTIFS($B$5:$B873,$B873,$BH$5:$BH873,$BH873))</f>
        <v/>
      </c>
      <c r="BM873" s="9" t="str">
        <f t="shared" si="146"/>
        <v/>
      </c>
      <c r="BN873" s="9" t="str">
        <f t="shared" si="147"/>
        <v/>
      </c>
      <c r="BO873" s="9">
        <f t="shared" si="148"/>
        <v>0</v>
      </c>
      <c r="BR873" s="12" t="str">
        <f t="shared" si="149"/>
        <v/>
      </c>
    </row>
    <row r="874" spans="1:70" ht="14.25" customHeight="1">
      <c r="A874" s="26"/>
      <c r="C874" s="26"/>
      <c r="D874" s="27"/>
      <c r="E874" s="27"/>
      <c r="BE874" s="10" t="str">
        <f t="shared" si="140"/>
        <v/>
      </c>
      <c r="BF874" s="8" t="str">
        <f t="shared" si="141"/>
        <v/>
      </c>
      <c r="BG874" s="11" t="str">
        <f t="shared" si="142"/>
        <v/>
      </c>
      <c r="BH874" s="8" t="str">
        <f t="shared" si="143"/>
        <v/>
      </c>
      <c r="BI874" s="8" t="str">
        <f t="shared" si="144"/>
        <v/>
      </c>
      <c r="BJ874" s="9" t="str">
        <f t="shared" si="145"/>
        <v/>
      </c>
      <c r="BK874" s="9" t="str">
        <f>IF($B874="","",COUNTIFS($B$5:$B874,$B874,$BF$5:$BF874,$BF874))</f>
        <v/>
      </c>
      <c r="BL874" s="9" t="str">
        <f>IF($B874="","",COUNTIFS($B$5:$B874,$B874,$BH$5:$BH874,$BH874))</f>
        <v/>
      </c>
      <c r="BM874" s="9" t="str">
        <f t="shared" si="146"/>
        <v/>
      </c>
      <c r="BN874" s="9" t="str">
        <f t="shared" si="147"/>
        <v/>
      </c>
      <c r="BO874" s="9">
        <f t="shared" si="148"/>
        <v>0</v>
      </c>
      <c r="BR874" s="12" t="str">
        <f t="shared" si="149"/>
        <v/>
      </c>
    </row>
    <row r="875" spans="1:70" ht="14.25" customHeight="1">
      <c r="A875" s="26"/>
      <c r="C875" s="26"/>
      <c r="D875" s="27"/>
      <c r="E875" s="27"/>
      <c r="BE875" s="10" t="str">
        <f t="shared" si="140"/>
        <v/>
      </c>
      <c r="BF875" s="8" t="str">
        <f t="shared" si="141"/>
        <v/>
      </c>
      <c r="BG875" s="11" t="str">
        <f t="shared" si="142"/>
        <v/>
      </c>
      <c r="BH875" s="8" t="str">
        <f t="shared" si="143"/>
        <v/>
      </c>
      <c r="BI875" s="8" t="str">
        <f t="shared" si="144"/>
        <v/>
      </c>
      <c r="BJ875" s="9" t="str">
        <f t="shared" si="145"/>
        <v/>
      </c>
      <c r="BK875" s="9" t="str">
        <f>IF($B875="","",COUNTIFS($B$5:$B875,$B875,$BF$5:$BF875,$BF875))</f>
        <v/>
      </c>
      <c r="BL875" s="9" t="str">
        <f>IF($B875="","",COUNTIFS($B$5:$B875,$B875,$BH$5:$BH875,$BH875))</f>
        <v/>
      </c>
      <c r="BM875" s="9" t="str">
        <f t="shared" si="146"/>
        <v/>
      </c>
      <c r="BN875" s="9" t="str">
        <f t="shared" si="147"/>
        <v/>
      </c>
      <c r="BO875" s="9">
        <f t="shared" si="148"/>
        <v>0</v>
      </c>
      <c r="BR875" s="12" t="str">
        <f t="shared" si="149"/>
        <v/>
      </c>
    </row>
    <row r="876" spans="1:70" ht="14.25" customHeight="1">
      <c r="A876" s="26"/>
      <c r="C876" s="26"/>
      <c r="D876" s="27"/>
      <c r="E876" s="27"/>
      <c r="BE876" s="10" t="str">
        <f t="shared" si="140"/>
        <v/>
      </c>
      <c r="BF876" s="8" t="str">
        <f t="shared" si="141"/>
        <v/>
      </c>
      <c r="BG876" s="11" t="str">
        <f t="shared" si="142"/>
        <v/>
      </c>
      <c r="BH876" s="8" t="str">
        <f t="shared" si="143"/>
        <v/>
      </c>
      <c r="BI876" s="8" t="str">
        <f t="shared" si="144"/>
        <v/>
      </c>
      <c r="BJ876" s="9" t="str">
        <f t="shared" si="145"/>
        <v/>
      </c>
      <c r="BK876" s="9" t="str">
        <f>IF($B876="","",COUNTIFS($B$5:$B876,$B876,$BF$5:$BF876,$BF876))</f>
        <v/>
      </c>
      <c r="BL876" s="9" t="str">
        <f>IF($B876="","",COUNTIFS($B$5:$B876,$B876,$BH$5:$BH876,$BH876))</f>
        <v/>
      </c>
      <c r="BM876" s="9" t="str">
        <f t="shared" si="146"/>
        <v/>
      </c>
      <c r="BN876" s="9" t="str">
        <f t="shared" si="147"/>
        <v/>
      </c>
      <c r="BO876" s="9">
        <f t="shared" si="148"/>
        <v>0</v>
      </c>
      <c r="BR876" s="12" t="str">
        <f t="shared" si="149"/>
        <v/>
      </c>
    </row>
    <row r="877" spans="1:70" ht="14.25" customHeight="1">
      <c r="A877" s="26"/>
      <c r="C877" s="26"/>
      <c r="D877" s="27"/>
      <c r="E877" s="27"/>
      <c r="BE877" s="10" t="str">
        <f t="shared" si="140"/>
        <v/>
      </c>
      <c r="BF877" s="8" t="str">
        <f t="shared" si="141"/>
        <v/>
      </c>
      <c r="BG877" s="11" t="str">
        <f t="shared" si="142"/>
        <v/>
      </c>
      <c r="BH877" s="8" t="str">
        <f t="shared" si="143"/>
        <v/>
      </c>
      <c r="BI877" s="8" t="str">
        <f t="shared" si="144"/>
        <v/>
      </c>
      <c r="BJ877" s="9" t="str">
        <f t="shared" si="145"/>
        <v/>
      </c>
      <c r="BK877" s="9" t="str">
        <f>IF($B877="","",COUNTIFS($B$5:$B877,$B877,$BF$5:$BF877,$BF877))</f>
        <v/>
      </c>
      <c r="BL877" s="9" t="str">
        <f>IF($B877="","",COUNTIFS($B$5:$B877,$B877,$BH$5:$BH877,$BH877))</f>
        <v/>
      </c>
      <c r="BM877" s="9" t="str">
        <f t="shared" si="146"/>
        <v/>
      </c>
      <c r="BN877" s="9" t="str">
        <f t="shared" si="147"/>
        <v/>
      </c>
      <c r="BO877" s="9">
        <f t="shared" si="148"/>
        <v>0</v>
      </c>
      <c r="BR877" s="12" t="str">
        <f t="shared" si="149"/>
        <v/>
      </c>
    </row>
    <row r="878" spans="1:70" ht="14.25" customHeight="1">
      <c r="A878" s="26"/>
      <c r="C878" s="26"/>
      <c r="D878" s="27"/>
      <c r="E878" s="27"/>
      <c r="BE878" s="10" t="str">
        <f t="shared" si="140"/>
        <v/>
      </c>
      <c r="BF878" s="8" t="str">
        <f t="shared" si="141"/>
        <v/>
      </c>
      <c r="BG878" s="11" t="str">
        <f t="shared" si="142"/>
        <v/>
      </c>
      <c r="BH878" s="8" t="str">
        <f t="shared" si="143"/>
        <v/>
      </c>
      <c r="BI878" s="8" t="str">
        <f t="shared" si="144"/>
        <v/>
      </c>
      <c r="BJ878" s="9" t="str">
        <f t="shared" si="145"/>
        <v/>
      </c>
      <c r="BK878" s="9" t="str">
        <f>IF($B878="","",COUNTIFS($B$5:$B878,$B878,$BF$5:$BF878,$BF878))</f>
        <v/>
      </c>
      <c r="BL878" s="9" t="str">
        <f>IF($B878="","",COUNTIFS($B$5:$B878,$B878,$BH$5:$BH878,$BH878))</f>
        <v/>
      </c>
      <c r="BM878" s="9" t="str">
        <f t="shared" si="146"/>
        <v/>
      </c>
      <c r="BN878" s="9" t="str">
        <f t="shared" si="147"/>
        <v/>
      </c>
      <c r="BO878" s="9">
        <f t="shared" si="148"/>
        <v>0</v>
      </c>
      <c r="BR878" s="12" t="str">
        <f t="shared" si="149"/>
        <v/>
      </c>
    </row>
    <row r="879" spans="1:70" ht="14.25" customHeight="1">
      <c r="A879" s="26"/>
      <c r="C879" s="26"/>
      <c r="D879" s="27"/>
      <c r="E879" s="27"/>
      <c r="BE879" s="10" t="str">
        <f t="shared" si="140"/>
        <v/>
      </c>
      <c r="BF879" s="8" t="str">
        <f t="shared" si="141"/>
        <v/>
      </c>
      <c r="BG879" s="11" t="str">
        <f t="shared" si="142"/>
        <v/>
      </c>
      <c r="BH879" s="8" t="str">
        <f t="shared" si="143"/>
        <v/>
      </c>
      <c r="BI879" s="8" t="str">
        <f t="shared" si="144"/>
        <v/>
      </c>
      <c r="BJ879" s="9" t="str">
        <f t="shared" si="145"/>
        <v/>
      </c>
      <c r="BK879" s="9" t="str">
        <f>IF($B879="","",COUNTIFS($B$5:$B879,$B879,$BF$5:$BF879,$BF879))</f>
        <v/>
      </c>
      <c r="BL879" s="9" t="str">
        <f>IF($B879="","",COUNTIFS($B$5:$B879,$B879,$BH$5:$BH879,$BH879))</f>
        <v/>
      </c>
      <c r="BM879" s="9" t="str">
        <f t="shared" si="146"/>
        <v/>
      </c>
      <c r="BN879" s="9" t="str">
        <f t="shared" si="147"/>
        <v/>
      </c>
      <c r="BO879" s="9">
        <f t="shared" si="148"/>
        <v>0</v>
      </c>
      <c r="BR879" s="12" t="str">
        <f t="shared" si="149"/>
        <v/>
      </c>
    </row>
    <row r="880" spans="1:70" ht="14.25" customHeight="1">
      <c r="A880" s="26"/>
      <c r="C880" s="26"/>
      <c r="D880" s="27"/>
      <c r="E880" s="27"/>
      <c r="BE880" s="10" t="str">
        <f t="shared" si="140"/>
        <v/>
      </c>
      <c r="BF880" s="8" t="str">
        <f t="shared" si="141"/>
        <v/>
      </c>
      <c r="BG880" s="11" t="str">
        <f t="shared" si="142"/>
        <v/>
      </c>
      <c r="BH880" s="8" t="str">
        <f t="shared" si="143"/>
        <v/>
      </c>
      <c r="BI880" s="8" t="str">
        <f t="shared" si="144"/>
        <v/>
      </c>
      <c r="BJ880" s="9" t="str">
        <f t="shared" si="145"/>
        <v/>
      </c>
      <c r="BK880" s="9" t="str">
        <f>IF($B880="","",COUNTIFS($B$5:$B880,$B880,$BF$5:$BF880,$BF880))</f>
        <v/>
      </c>
      <c r="BL880" s="9" t="str">
        <f>IF($B880="","",COUNTIFS($B$5:$B880,$B880,$BH$5:$BH880,$BH880))</f>
        <v/>
      </c>
      <c r="BM880" s="9" t="str">
        <f t="shared" si="146"/>
        <v/>
      </c>
      <c r="BN880" s="9" t="str">
        <f t="shared" si="147"/>
        <v/>
      </c>
      <c r="BO880" s="9">
        <f t="shared" si="148"/>
        <v>0</v>
      </c>
      <c r="BR880" s="12" t="str">
        <f t="shared" si="149"/>
        <v/>
      </c>
    </row>
    <row r="881" spans="1:70" ht="14.25" customHeight="1">
      <c r="A881" s="26"/>
      <c r="C881" s="26"/>
      <c r="D881" s="27"/>
      <c r="E881" s="27"/>
      <c r="BE881" s="10" t="str">
        <f t="shared" si="140"/>
        <v/>
      </c>
      <c r="BF881" s="8" t="str">
        <f t="shared" si="141"/>
        <v/>
      </c>
      <c r="BG881" s="11" t="str">
        <f t="shared" si="142"/>
        <v/>
      </c>
      <c r="BH881" s="8" t="str">
        <f t="shared" si="143"/>
        <v/>
      </c>
      <c r="BI881" s="8" t="str">
        <f t="shared" si="144"/>
        <v/>
      </c>
      <c r="BJ881" s="9" t="str">
        <f t="shared" si="145"/>
        <v/>
      </c>
      <c r="BK881" s="9" t="str">
        <f>IF($B881="","",COUNTIFS($B$5:$B881,$B881,$BF$5:$BF881,$BF881))</f>
        <v/>
      </c>
      <c r="BL881" s="9" t="str">
        <f>IF($B881="","",COUNTIFS($B$5:$B881,$B881,$BH$5:$BH881,$BH881))</f>
        <v/>
      </c>
      <c r="BM881" s="9" t="str">
        <f t="shared" si="146"/>
        <v/>
      </c>
      <c r="BN881" s="9" t="str">
        <f t="shared" si="147"/>
        <v/>
      </c>
      <c r="BO881" s="9">
        <f t="shared" si="148"/>
        <v>0</v>
      </c>
      <c r="BR881" s="12" t="str">
        <f t="shared" si="149"/>
        <v/>
      </c>
    </row>
    <row r="882" spans="1:70" ht="14.25" customHeight="1">
      <c r="A882" s="26"/>
      <c r="C882" s="26"/>
      <c r="D882" s="27"/>
      <c r="E882" s="27"/>
      <c r="BE882" s="10" t="str">
        <f t="shared" si="140"/>
        <v/>
      </c>
      <c r="BF882" s="8" t="str">
        <f t="shared" si="141"/>
        <v/>
      </c>
      <c r="BG882" s="11" t="str">
        <f t="shared" si="142"/>
        <v/>
      </c>
      <c r="BH882" s="8" t="str">
        <f t="shared" si="143"/>
        <v/>
      </c>
      <c r="BI882" s="8" t="str">
        <f t="shared" si="144"/>
        <v/>
      </c>
      <c r="BJ882" s="9" t="str">
        <f t="shared" si="145"/>
        <v/>
      </c>
      <c r="BK882" s="9" t="str">
        <f>IF($B882="","",COUNTIFS($B$5:$B882,$B882,$BF$5:$BF882,$BF882))</f>
        <v/>
      </c>
      <c r="BL882" s="9" t="str">
        <f>IF($B882="","",COUNTIFS($B$5:$B882,$B882,$BH$5:$BH882,$BH882))</f>
        <v/>
      </c>
      <c r="BM882" s="9" t="str">
        <f t="shared" si="146"/>
        <v/>
      </c>
      <c r="BN882" s="9" t="str">
        <f t="shared" si="147"/>
        <v/>
      </c>
      <c r="BO882" s="9">
        <f t="shared" si="148"/>
        <v>0</v>
      </c>
      <c r="BR882" s="12" t="str">
        <f t="shared" si="149"/>
        <v/>
      </c>
    </row>
    <row r="883" spans="1:70" ht="14.25" customHeight="1">
      <c r="A883" s="26"/>
      <c r="C883" s="26"/>
      <c r="D883" s="27"/>
      <c r="E883" s="27"/>
      <c r="BE883" s="10" t="str">
        <f t="shared" si="140"/>
        <v/>
      </c>
      <c r="BF883" s="8" t="str">
        <f t="shared" si="141"/>
        <v/>
      </c>
      <c r="BG883" s="11" t="str">
        <f t="shared" si="142"/>
        <v/>
      </c>
      <c r="BH883" s="8" t="str">
        <f t="shared" si="143"/>
        <v/>
      </c>
      <c r="BI883" s="8" t="str">
        <f t="shared" si="144"/>
        <v/>
      </c>
      <c r="BJ883" s="9" t="str">
        <f t="shared" si="145"/>
        <v/>
      </c>
      <c r="BK883" s="9" t="str">
        <f>IF($B883="","",COUNTIFS($B$5:$B883,$B883,$BF$5:$BF883,$BF883))</f>
        <v/>
      </c>
      <c r="BL883" s="9" t="str">
        <f>IF($B883="","",COUNTIFS($B$5:$B883,$B883,$BH$5:$BH883,$BH883))</f>
        <v/>
      </c>
      <c r="BM883" s="9" t="str">
        <f t="shared" si="146"/>
        <v/>
      </c>
      <c r="BN883" s="9" t="str">
        <f t="shared" si="147"/>
        <v/>
      </c>
      <c r="BO883" s="9">
        <f t="shared" si="148"/>
        <v>0</v>
      </c>
      <c r="BR883" s="12" t="str">
        <f t="shared" si="149"/>
        <v/>
      </c>
    </row>
    <row r="884" spans="1:70" ht="14.25" customHeight="1">
      <c r="A884" s="26"/>
      <c r="C884" s="26"/>
      <c r="D884" s="27"/>
      <c r="E884" s="27"/>
      <c r="BE884" s="10" t="str">
        <f t="shared" si="140"/>
        <v/>
      </c>
      <c r="BF884" s="8" t="str">
        <f t="shared" si="141"/>
        <v/>
      </c>
      <c r="BG884" s="11" t="str">
        <f t="shared" si="142"/>
        <v/>
      </c>
      <c r="BH884" s="8" t="str">
        <f t="shared" si="143"/>
        <v/>
      </c>
      <c r="BI884" s="8" t="str">
        <f t="shared" si="144"/>
        <v/>
      </c>
      <c r="BJ884" s="9" t="str">
        <f t="shared" si="145"/>
        <v/>
      </c>
      <c r="BK884" s="9" t="str">
        <f>IF($B884="","",COUNTIFS($B$5:$B884,$B884,$BF$5:$BF884,$BF884))</f>
        <v/>
      </c>
      <c r="BL884" s="9" t="str">
        <f>IF($B884="","",COUNTIFS($B$5:$B884,$B884,$BH$5:$BH884,$BH884))</f>
        <v/>
      </c>
      <c r="BM884" s="9" t="str">
        <f t="shared" si="146"/>
        <v/>
      </c>
      <c r="BN884" s="9" t="str">
        <f t="shared" si="147"/>
        <v/>
      </c>
      <c r="BO884" s="9">
        <f t="shared" si="148"/>
        <v>0</v>
      </c>
      <c r="BR884" s="12" t="str">
        <f t="shared" si="149"/>
        <v/>
      </c>
    </row>
    <row r="885" spans="1:70" ht="14.25" customHeight="1">
      <c r="A885" s="26"/>
      <c r="C885" s="26"/>
      <c r="D885" s="27"/>
      <c r="E885" s="27"/>
      <c r="BE885" s="10" t="str">
        <f t="shared" si="140"/>
        <v/>
      </c>
      <c r="BF885" s="8" t="str">
        <f t="shared" si="141"/>
        <v/>
      </c>
      <c r="BG885" s="11" t="str">
        <f t="shared" si="142"/>
        <v/>
      </c>
      <c r="BH885" s="8" t="str">
        <f t="shared" si="143"/>
        <v/>
      </c>
      <c r="BI885" s="8" t="str">
        <f t="shared" si="144"/>
        <v/>
      </c>
      <c r="BJ885" s="9" t="str">
        <f t="shared" si="145"/>
        <v/>
      </c>
      <c r="BK885" s="9" t="str">
        <f>IF($B885="","",COUNTIFS($B$5:$B885,$B885,$BF$5:$BF885,$BF885))</f>
        <v/>
      </c>
      <c r="BL885" s="9" t="str">
        <f>IF($B885="","",COUNTIFS($B$5:$B885,$B885,$BH$5:$BH885,$BH885))</f>
        <v/>
      </c>
      <c r="BM885" s="9" t="str">
        <f t="shared" si="146"/>
        <v/>
      </c>
      <c r="BN885" s="9" t="str">
        <f t="shared" si="147"/>
        <v/>
      </c>
      <c r="BO885" s="9">
        <f t="shared" si="148"/>
        <v>0</v>
      </c>
      <c r="BR885" s="12" t="str">
        <f t="shared" si="149"/>
        <v/>
      </c>
    </row>
    <row r="886" spans="1:70" ht="14.25" customHeight="1">
      <c r="A886" s="26"/>
      <c r="C886" s="26"/>
      <c r="D886" s="27"/>
      <c r="E886" s="27"/>
      <c r="BE886" s="10" t="str">
        <f t="shared" si="140"/>
        <v/>
      </c>
      <c r="BF886" s="8" t="str">
        <f t="shared" si="141"/>
        <v/>
      </c>
      <c r="BG886" s="11" t="str">
        <f t="shared" si="142"/>
        <v/>
      </c>
      <c r="BH886" s="8" t="str">
        <f t="shared" si="143"/>
        <v/>
      </c>
      <c r="BI886" s="8" t="str">
        <f t="shared" si="144"/>
        <v/>
      </c>
      <c r="BJ886" s="9" t="str">
        <f t="shared" si="145"/>
        <v/>
      </c>
      <c r="BK886" s="9" t="str">
        <f>IF($B886="","",COUNTIFS($B$5:$B886,$B886,$BF$5:$BF886,$BF886))</f>
        <v/>
      </c>
      <c r="BL886" s="9" t="str">
        <f>IF($B886="","",COUNTIFS($B$5:$B886,$B886,$BH$5:$BH886,$BH886))</f>
        <v/>
      </c>
      <c r="BM886" s="9" t="str">
        <f t="shared" si="146"/>
        <v/>
      </c>
      <c r="BN886" s="9" t="str">
        <f t="shared" si="147"/>
        <v/>
      </c>
      <c r="BO886" s="9">
        <f t="shared" si="148"/>
        <v>0</v>
      </c>
      <c r="BR886" s="12" t="str">
        <f t="shared" si="149"/>
        <v/>
      </c>
    </row>
    <row r="887" spans="1:70" ht="14.25" customHeight="1">
      <c r="A887" s="26"/>
      <c r="C887" s="26"/>
      <c r="D887" s="27"/>
      <c r="E887" s="27"/>
      <c r="BE887" s="10" t="str">
        <f t="shared" si="140"/>
        <v/>
      </c>
      <c r="BF887" s="8" t="str">
        <f t="shared" si="141"/>
        <v/>
      </c>
      <c r="BG887" s="11" t="str">
        <f t="shared" si="142"/>
        <v/>
      </c>
      <c r="BH887" s="8" t="str">
        <f t="shared" si="143"/>
        <v/>
      </c>
      <c r="BI887" s="8" t="str">
        <f t="shared" si="144"/>
        <v/>
      </c>
      <c r="BJ887" s="9" t="str">
        <f t="shared" si="145"/>
        <v/>
      </c>
      <c r="BK887" s="9" t="str">
        <f>IF($B887="","",COUNTIFS($B$5:$B887,$B887,$BF$5:$BF887,$BF887))</f>
        <v/>
      </c>
      <c r="BL887" s="9" t="str">
        <f>IF($B887="","",COUNTIFS($B$5:$B887,$B887,$BH$5:$BH887,$BH887))</f>
        <v/>
      </c>
      <c r="BM887" s="9" t="str">
        <f t="shared" si="146"/>
        <v/>
      </c>
      <c r="BN887" s="9" t="str">
        <f t="shared" si="147"/>
        <v/>
      </c>
      <c r="BO887" s="9">
        <f t="shared" si="148"/>
        <v>0</v>
      </c>
      <c r="BR887" s="12" t="str">
        <f t="shared" si="149"/>
        <v/>
      </c>
    </row>
    <row r="888" spans="1:70" ht="14.25" customHeight="1">
      <c r="A888" s="26"/>
      <c r="C888" s="26"/>
      <c r="D888" s="27"/>
      <c r="E888" s="27"/>
      <c r="BE888" s="10" t="str">
        <f t="shared" si="140"/>
        <v/>
      </c>
      <c r="BF888" s="8" t="str">
        <f t="shared" si="141"/>
        <v/>
      </c>
      <c r="BG888" s="11" t="str">
        <f t="shared" si="142"/>
        <v/>
      </c>
      <c r="BH888" s="8" t="str">
        <f t="shared" si="143"/>
        <v/>
      </c>
      <c r="BI888" s="8" t="str">
        <f t="shared" si="144"/>
        <v/>
      </c>
      <c r="BJ888" s="9" t="str">
        <f t="shared" si="145"/>
        <v/>
      </c>
      <c r="BK888" s="9" t="str">
        <f>IF($B888="","",COUNTIFS($B$5:$B888,$B888,$BF$5:$BF888,$BF888))</f>
        <v/>
      </c>
      <c r="BL888" s="9" t="str">
        <f>IF($B888="","",COUNTIFS($B$5:$B888,$B888,$BH$5:$BH888,$BH888))</f>
        <v/>
      </c>
      <c r="BM888" s="9" t="str">
        <f t="shared" si="146"/>
        <v/>
      </c>
      <c r="BN888" s="9" t="str">
        <f t="shared" si="147"/>
        <v/>
      </c>
      <c r="BO888" s="9">
        <f t="shared" si="148"/>
        <v>0</v>
      </c>
      <c r="BR888" s="12" t="str">
        <f t="shared" si="149"/>
        <v/>
      </c>
    </row>
    <row r="889" spans="1:70" ht="14.25" customHeight="1">
      <c r="A889" s="26"/>
      <c r="C889" s="26"/>
      <c r="D889" s="27"/>
      <c r="E889" s="27"/>
      <c r="BE889" s="10" t="str">
        <f t="shared" si="140"/>
        <v/>
      </c>
      <c r="BF889" s="8" t="str">
        <f t="shared" si="141"/>
        <v/>
      </c>
      <c r="BG889" s="11" t="str">
        <f t="shared" si="142"/>
        <v/>
      </c>
      <c r="BH889" s="8" t="str">
        <f t="shared" si="143"/>
        <v/>
      </c>
      <c r="BI889" s="8" t="str">
        <f t="shared" si="144"/>
        <v/>
      </c>
      <c r="BJ889" s="9" t="str">
        <f t="shared" si="145"/>
        <v/>
      </c>
      <c r="BK889" s="9" t="str">
        <f>IF($B889="","",COUNTIFS($B$5:$B889,$B889,$BF$5:$BF889,$BF889))</f>
        <v/>
      </c>
      <c r="BL889" s="9" t="str">
        <f>IF($B889="","",COUNTIFS($B$5:$B889,$B889,$BH$5:$BH889,$BH889))</f>
        <v/>
      </c>
      <c r="BM889" s="9" t="str">
        <f t="shared" si="146"/>
        <v/>
      </c>
      <c r="BN889" s="9" t="str">
        <f t="shared" si="147"/>
        <v/>
      </c>
      <c r="BO889" s="9">
        <f t="shared" si="148"/>
        <v>0</v>
      </c>
      <c r="BR889" s="12" t="str">
        <f t="shared" si="149"/>
        <v/>
      </c>
    </row>
    <row r="890" spans="1:70" ht="14.25" customHeight="1">
      <c r="A890" s="26"/>
      <c r="C890" s="26"/>
      <c r="D890" s="27"/>
      <c r="E890" s="27"/>
      <c r="BE890" s="10" t="str">
        <f t="shared" si="140"/>
        <v/>
      </c>
      <c r="BF890" s="8" t="str">
        <f t="shared" si="141"/>
        <v/>
      </c>
      <c r="BG890" s="11" t="str">
        <f t="shared" si="142"/>
        <v/>
      </c>
      <c r="BH890" s="8" t="str">
        <f t="shared" si="143"/>
        <v/>
      </c>
      <c r="BI890" s="8" t="str">
        <f t="shared" si="144"/>
        <v/>
      </c>
      <c r="BJ890" s="9" t="str">
        <f t="shared" si="145"/>
        <v/>
      </c>
      <c r="BK890" s="9" t="str">
        <f>IF($B890="","",COUNTIFS($B$5:$B890,$B890,$BF$5:$BF890,$BF890))</f>
        <v/>
      </c>
      <c r="BL890" s="9" t="str">
        <f>IF($B890="","",COUNTIFS($B$5:$B890,$B890,$BH$5:$BH890,$BH890))</f>
        <v/>
      </c>
      <c r="BM890" s="9" t="str">
        <f t="shared" si="146"/>
        <v/>
      </c>
      <c r="BN890" s="9" t="str">
        <f t="shared" si="147"/>
        <v/>
      </c>
      <c r="BO890" s="9">
        <f t="shared" si="148"/>
        <v>0</v>
      </c>
      <c r="BR890" s="12" t="str">
        <f t="shared" si="149"/>
        <v/>
      </c>
    </row>
    <row r="891" spans="1:70" ht="14.25" customHeight="1">
      <c r="A891" s="26"/>
      <c r="C891" s="26"/>
      <c r="D891" s="27"/>
      <c r="E891" s="27"/>
      <c r="BE891" s="10" t="str">
        <f t="shared" si="140"/>
        <v/>
      </c>
      <c r="BF891" s="8" t="str">
        <f t="shared" si="141"/>
        <v/>
      </c>
      <c r="BG891" s="11" t="str">
        <f t="shared" si="142"/>
        <v/>
      </c>
      <c r="BH891" s="8" t="str">
        <f t="shared" si="143"/>
        <v/>
      </c>
      <c r="BI891" s="8" t="str">
        <f t="shared" si="144"/>
        <v/>
      </c>
      <c r="BJ891" s="9" t="str">
        <f t="shared" si="145"/>
        <v/>
      </c>
      <c r="BK891" s="9" t="str">
        <f>IF($B891="","",COUNTIFS($B$5:$B891,$B891,$BF$5:$BF891,$BF891))</f>
        <v/>
      </c>
      <c r="BL891" s="9" t="str">
        <f>IF($B891="","",COUNTIFS($B$5:$B891,$B891,$BH$5:$BH891,$BH891))</f>
        <v/>
      </c>
      <c r="BM891" s="9" t="str">
        <f t="shared" si="146"/>
        <v/>
      </c>
      <c r="BN891" s="9" t="str">
        <f t="shared" si="147"/>
        <v/>
      </c>
      <c r="BO891" s="9">
        <f t="shared" si="148"/>
        <v>0</v>
      </c>
      <c r="BR891" s="12" t="str">
        <f t="shared" si="149"/>
        <v/>
      </c>
    </row>
    <row r="892" spans="1:70" ht="14.25" customHeight="1">
      <c r="A892" s="26"/>
      <c r="C892" s="26"/>
      <c r="D892" s="27"/>
      <c r="E892" s="27"/>
      <c r="BE892" s="10" t="str">
        <f t="shared" si="140"/>
        <v/>
      </c>
      <c r="BF892" s="8" t="str">
        <f t="shared" si="141"/>
        <v/>
      </c>
      <c r="BG892" s="11" t="str">
        <f t="shared" si="142"/>
        <v/>
      </c>
      <c r="BH892" s="8" t="str">
        <f t="shared" si="143"/>
        <v/>
      </c>
      <c r="BI892" s="8" t="str">
        <f t="shared" si="144"/>
        <v/>
      </c>
      <c r="BJ892" s="9" t="str">
        <f t="shared" si="145"/>
        <v/>
      </c>
      <c r="BK892" s="9" t="str">
        <f>IF($B892="","",COUNTIFS($B$5:$B892,$B892,$BF$5:$BF892,$BF892))</f>
        <v/>
      </c>
      <c r="BL892" s="9" t="str">
        <f>IF($B892="","",COUNTIFS($B$5:$B892,$B892,$BH$5:$BH892,$BH892))</f>
        <v/>
      </c>
      <c r="BM892" s="9" t="str">
        <f t="shared" si="146"/>
        <v/>
      </c>
      <c r="BN892" s="9" t="str">
        <f t="shared" si="147"/>
        <v/>
      </c>
      <c r="BO892" s="9">
        <f t="shared" si="148"/>
        <v>0</v>
      </c>
      <c r="BR892" s="12" t="str">
        <f t="shared" si="149"/>
        <v/>
      </c>
    </row>
    <row r="893" spans="1:70" ht="14.25" customHeight="1">
      <c r="A893" s="26"/>
      <c r="C893" s="26"/>
      <c r="D893" s="27"/>
      <c r="E893" s="27"/>
      <c r="BE893" s="10" t="str">
        <f t="shared" si="140"/>
        <v/>
      </c>
      <c r="BF893" s="8" t="str">
        <f t="shared" si="141"/>
        <v/>
      </c>
      <c r="BG893" s="11" t="str">
        <f t="shared" si="142"/>
        <v/>
      </c>
      <c r="BH893" s="8" t="str">
        <f t="shared" si="143"/>
        <v/>
      </c>
      <c r="BI893" s="8" t="str">
        <f t="shared" si="144"/>
        <v/>
      </c>
      <c r="BJ893" s="9" t="str">
        <f t="shared" si="145"/>
        <v/>
      </c>
      <c r="BK893" s="9" t="str">
        <f>IF($B893="","",COUNTIFS($B$5:$B893,$B893,$BF$5:$BF893,$BF893))</f>
        <v/>
      </c>
      <c r="BL893" s="9" t="str">
        <f>IF($B893="","",COUNTIFS($B$5:$B893,$B893,$BH$5:$BH893,$BH893))</f>
        <v/>
      </c>
      <c r="BM893" s="9" t="str">
        <f t="shared" si="146"/>
        <v/>
      </c>
      <c r="BN893" s="9" t="str">
        <f t="shared" si="147"/>
        <v/>
      </c>
      <c r="BO893" s="9">
        <f t="shared" si="148"/>
        <v>0</v>
      </c>
      <c r="BR893" s="12" t="str">
        <f t="shared" si="149"/>
        <v/>
      </c>
    </row>
    <row r="894" spans="1:70" ht="14.25" customHeight="1">
      <c r="A894" s="26"/>
      <c r="C894" s="26"/>
      <c r="D894" s="27"/>
      <c r="E894" s="27"/>
      <c r="BE894" s="10" t="str">
        <f t="shared" si="140"/>
        <v/>
      </c>
      <c r="BF894" s="8" t="str">
        <f t="shared" si="141"/>
        <v/>
      </c>
      <c r="BG894" s="11" t="str">
        <f t="shared" si="142"/>
        <v/>
      </c>
      <c r="BH894" s="8" t="str">
        <f t="shared" si="143"/>
        <v/>
      </c>
      <c r="BI894" s="8" t="str">
        <f t="shared" si="144"/>
        <v/>
      </c>
      <c r="BJ894" s="9" t="str">
        <f t="shared" si="145"/>
        <v/>
      </c>
      <c r="BK894" s="9" t="str">
        <f>IF($B894="","",COUNTIFS($B$5:$B894,$B894,$BF$5:$BF894,$BF894))</f>
        <v/>
      </c>
      <c r="BL894" s="9" t="str">
        <f>IF($B894="","",COUNTIFS($B$5:$B894,$B894,$BH$5:$BH894,$BH894))</f>
        <v/>
      </c>
      <c r="BM894" s="9" t="str">
        <f t="shared" si="146"/>
        <v/>
      </c>
      <c r="BN894" s="9" t="str">
        <f t="shared" si="147"/>
        <v/>
      </c>
      <c r="BO894" s="9">
        <f t="shared" si="148"/>
        <v>0</v>
      </c>
      <c r="BR894" s="12" t="str">
        <f t="shared" si="149"/>
        <v/>
      </c>
    </row>
    <row r="895" spans="1:70" ht="14.25" customHeight="1">
      <c r="A895" s="26"/>
      <c r="C895" s="26"/>
      <c r="D895" s="27"/>
      <c r="E895" s="27"/>
      <c r="BE895" s="10" t="str">
        <f t="shared" si="140"/>
        <v/>
      </c>
      <c r="BF895" s="8" t="str">
        <f t="shared" si="141"/>
        <v/>
      </c>
      <c r="BG895" s="11" t="str">
        <f t="shared" si="142"/>
        <v/>
      </c>
      <c r="BH895" s="8" t="str">
        <f t="shared" si="143"/>
        <v/>
      </c>
      <c r="BI895" s="8" t="str">
        <f t="shared" si="144"/>
        <v/>
      </c>
      <c r="BJ895" s="9" t="str">
        <f t="shared" si="145"/>
        <v/>
      </c>
      <c r="BK895" s="9" t="str">
        <f>IF($B895="","",COUNTIFS($B$5:$B895,$B895,$BF$5:$BF895,$BF895))</f>
        <v/>
      </c>
      <c r="BL895" s="9" t="str">
        <f>IF($B895="","",COUNTIFS($B$5:$B895,$B895,$BH$5:$BH895,$BH895))</f>
        <v/>
      </c>
      <c r="BM895" s="9" t="str">
        <f t="shared" si="146"/>
        <v/>
      </c>
      <c r="BN895" s="9" t="str">
        <f t="shared" si="147"/>
        <v/>
      </c>
      <c r="BO895" s="9">
        <f t="shared" si="148"/>
        <v>0</v>
      </c>
      <c r="BR895" s="12" t="str">
        <f t="shared" si="149"/>
        <v/>
      </c>
    </row>
    <row r="896" spans="1:70" ht="14.25" customHeight="1">
      <c r="A896" s="26"/>
      <c r="C896" s="26"/>
      <c r="D896" s="27"/>
      <c r="E896" s="27"/>
      <c r="BE896" s="10" t="str">
        <f t="shared" si="140"/>
        <v/>
      </c>
      <c r="BF896" s="8" t="str">
        <f t="shared" si="141"/>
        <v/>
      </c>
      <c r="BG896" s="11" t="str">
        <f t="shared" si="142"/>
        <v/>
      </c>
      <c r="BH896" s="8" t="str">
        <f t="shared" si="143"/>
        <v/>
      </c>
      <c r="BI896" s="8" t="str">
        <f t="shared" si="144"/>
        <v/>
      </c>
      <c r="BJ896" s="9" t="str">
        <f t="shared" si="145"/>
        <v/>
      </c>
      <c r="BK896" s="9" t="str">
        <f>IF($B896="","",COUNTIFS($B$5:$B896,$B896,$BF$5:$BF896,$BF896))</f>
        <v/>
      </c>
      <c r="BL896" s="9" t="str">
        <f>IF($B896="","",COUNTIFS($B$5:$B896,$B896,$BH$5:$BH896,$BH896))</f>
        <v/>
      </c>
      <c r="BM896" s="9" t="str">
        <f t="shared" si="146"/>
        <v/>
      </c>
      <c r="BN896" s="9" t="str">
        <f t="shared" si="147"/>
        <v/>
      </c>
      <c r="BO896" s="9">
        <f t="shared" si="148"/>
        <v>0</v>
      </c>
      <c r="BR896" s="12" t="str">
        <f t="shared" si="149"/>
        <v/>
      </c>
    </row>
    <row r="897" spans="1:70" ht="14.25" customHeight="1">
      <c r="A897" s="26"/>
      <c r="C897" s="26"/>
      <c r="D897" s="27"/>
      <c r="E897" s="27"/>
      <c r="BE897" s="10" t="str">
        <f t="shared" si="140"/>
        <v/>
      </c>
      <c r="BF897" s="8" t="str">
        <f t="shared" si="141"/>
        <v/>
      </c>
      <c r="BG897" s="11" t="str">
        <f t="shared" si="142"/>
        <v/>
      </c>
      <c r="BH897" s="8" t="str">
        <f t="shared" si="143"/>
        <v/>
      </c>
      <c r="BI897" s="8" t="str">
        <f t="shared" si="144"/>
        <v/>
      </c>
      <c r="BJ897" s="9" t="str">
        <f t="shared" si="145"/>
        <v/>
      </c>
      <c r="BK897" s="9" t="str">
        <f>IF($B897="","",COUNTIFS($B$5:$B897,$B897,$BF$5:$BF897,$BF897))</f>
        <v/>
      </c>
      <c r="BL897" s="9" t="str">
        <f>IF($B897="","",COUNTIFS($B$5:$B897,$B897,$BH$5:$BH897,$BH897))</f>
        <v/>
      </c>
      <c r="BM897" s="9" t="str">
        <f t="shared" si="146"/>
        <v/>
      </c>
      <c r="BN897" s="9" t="str">
        <f t="shared" si="147"/>
        <v/>
      </c>
      <c r="BO897" s="9">
        <f t="shared" si="148"/>
        <v>0</v>
      </c>
      <c r="BR897" s="12" t="str">
        <f t="shared" si="149"/>
        <v/>
      </c>
    </row>
    <row r="898" spans="1:70" ht="14.25" customHeight="1">
      <c r="A898" s="26"/>
      <c r="C898" s="26"/>
      <c r="D898" s="27"/>
      <c r="E898" s="27"/>
      <c r="BE898" s="10" t="str">
        <f t="shared" si="140"/>
        <v/>
      </c>
      <c r="BF898" s="8" t="str">
        <f t="shared" si="141"/>
        <v/>
      </c>
      <c r="BG898" s="11" t="str">
        <f t="shared" si="142"/>
        <v/>
      </c>
      <c r="BH898" s="8" t="str">
        <f t="shared" si="143"/>
        <v/>
      </c>
      <c r="BI898" s="8" t="str">
        <f t="shared" si="144"/>
        <v/>
      </c>
      <c r="BJ898" s="9" t="str">
        <f t="shared" si="145"/>
        <v/>
      </c>
      <c r="BK898" s="9" t="str">
        <f>IF($B898="","",COUNTIFS($B$5:$B898,$B898,$BF$5:$BF898,$BF898))</f>
        <v/>
      </c>
      <c r="BL898" s="9" t="str">
        <f>IF($B898="","",COUNTIFS($B$5:$B898,$B898,$BH$5:$BH898,$BH898))</f>
        <v/>
      </c>
      <c r="BM898" s="9" t="str">
        <f t="shared" si="146"/>
        <v/>
      </c>
      <c r="BN898" s="9" t="str">
        <f t="shared" si="147"/>
        <v/>
      </c>
      <c r="BO898" s="9">
        <f t="shared" si="148"/>
        <v>0</v>
      </c>
      <c r="BR898" s="12" t="str">
        <f t="shared" si="149"/>
        <v/>
      </c>
    </row>
    <row r="899" spans="1:70" ht="14.25" customHeight="1">
      <c r="A899" s="26"/>
      <c r="C899" s="26"/>
      <c r="D899" s="27"/>
      <c r="E899" s="27"/>
      <c r="BE899" s="10" t="str">
        <f t="shared" si="140"/>
        <v/>
      </c>
      <c r="BF899" s="8" t="str">
        <f t="shared" si="141"/>
        <v/>
      </c>
      <c r="BG899" s="11" t="str">
        <f t="shared" si="142"/>
        <v/>
      </c>
      <c r="BH899" s="8" t="str">
        <f t="shared" si="143"/>
        <v/>
      </c>
      <c r="BI899" s="8" t="str">
        <f t="shared" si="144"/>
        <v/>
      </c>
      <c r="BJ899" s="9" t="str">
        <f t="shared" si="145"/>
        <v/>
      </c>
      <c r="BK899" s="9" t="str">
        <f>IF($B899="","",COUNTIFS($B$5:$B899,$B899,$BF$5:$BF899,$BF899))</f>
        <v/>
      </c>
      <c r="BL899" s="9" t="str">
        <f>IF($B899="","",COUNTIFS($B$5:$B899,$B899,$BH$5:$BH899,$BH899))</f>
        <v/>
      </c>
      <c r="BM899" s="9" t="str">
        <f t="shared" si="146"/>
        <v/>
      </c>
      <c r="BN899" s="9" t="str">
        <f t="shared" si="147"/>
        <v/>
      </c>
      <c r="BO899" s="9">
        <f t="shared" si="148"/>
        <v>0</v>
      </c>
      <c r="BR899" s="12" t="str">
        <f t="shared" si="149"/>
        <v/>
      </c>
    </row>
    <row r="900" spans="1:70" ht="14.25" customHeight="1">
      <c r="A900" s="26"/>
      <c r="C900" s="26"/>
      <c r="D900" s="27"/>
      <c r="E900" s="27"/>
      <c r="BE900" s="10" t="str">
        <f t="shared" si="140"/>
        <v/>
      </c>
      <c r="BF900" s="8" t="str">
        <f t="shared" si="141"/>
        <v/>
      </c>
      <c r="BG900" s="11" t="str">
        <f t="shared" si="142"/>
        <v/>
      </c>
      <c r="BH900" s="8" t="str">
        <f t="shared" si="143"/>
        <v/>
      </c>
      <c r="BI900" s="8" t="str">
        <f t="shared" si="144"/>
        <v/>
      </c>
      <c r="BJ900" s="9" t="str">
        <f t="shared" si="145"/>
        <v/>
      </c>
      <c r="BK900" s="9" t="str">
        <f>IF($B900="","",COUNTIFS($B$5:$B900,$B900,$BF$5:$BF900,$BF900))</f>
        <v/>
      </c>
      <c r="BL900" s="9" t="str">
        <f>IF($B900="","",COUNTIFS($B$5:$B900,$B900,$BH$5:$BH900,$BH900))</f>
        <v/>
      </c>
      <c r="BM900" s="9" t="str">
        <f t="shared" si="146"/>
        <v/>
      </c>
      <c r="BN900" s="9" t="str">
        <f t="shared" si="147"/>
        <v/>
      </c>
      <c r="BO900" s="9">
        <f t="shared" si="148"/>
        <v>0</v>
      </c>
      <c r="BR900" s="12" t="str">
        <f t="shared" si="149"/>
        <v/>
      </c>
    </row>
    <row r="901" spans="1:70" ht="14.25" customHeight="1">
      <c r="A901" s="26"/>
      <c r="C901" s="26"/>
      <c r="D901" s="27"/>
      <c r="E901" s="27"/>
      <c r="BE901" s="10" t="str">
        <f t="shared" si="140"/>
        <v/>
      </c>
      <c r="BF901" s="8" t="str">
        <f t="shared" si="141"/>
        <v/>
      </c>
      <c r="BG901" s="11" t="str">
        <f t="shared" si="142"/>
        <v/>
      </c>
      <c r="BH901" s="8" t="str">
        <f t="shared" si="143"/>
        <v/>
      </c>
      <c r="BI901" s="8" t="str">
        <f t="shared" si="144"/>
        <v/>
      </c>
      <c r="BJ901" s="9" t="str">
        <f t="shared" si="145"/>
        <v/>
      </c>
      <c r="BK901" s="9" t="str">
        <f>IF($B901="","",COUNTIFS($B$5:$B901,$B901,$BF$5:$BF901,$BF901))</f>
        <v/>
      </c>
      <c r="BL901" s="9" t="str">
        <f>IF($B901="","",COUNTIFS($B$5:$B901,$B901,$BH$5:$BH901,$BH901))</f>
        <v/>
      </c>
      <c r="BM901" s="9" t="str">
        <f t="shared" si="146"/>
        <v/>
      </c>
      <c r="BN901" s="9" t="str">
        <f t="shared" si="147"/>
        <v/>
      </c>
      <c r="BO901" s="9">
        <f t="shared" si="148"/>
        <v>0</v>
      </c>
      <c r="BR901" s="12" t="str">
        <f t="shared" si="149"/>
        <v/>
      </c>
    </row>
    <row r="902" spans="1:70" ht="14.25" customHeight="1">
      <c r="A902" s="26"/>
      <c r="C902" s="26"/>
      <c r="D902" s="27"/>
      <c r="E902" s="27"/>
      <c r="BE902" s="10" t="str">
        <f t="shared" si="140"/>
        <v/>
      </c>
      <c r="BF902" s="8" t="str">
        <f t="shared" si="141"/>
        <v/>
      </c>
      <c r="BG902" s="11" t="str">
        <f t="shared" si="142"/>
        <v/>
      </c>
      <c r="BH902" s="8" t="str">
        <f t="shared" si="143"/>
        <v/>
      </c>
      <c r="BI902" s="8" t="str">
        <f t="shared" si="144"/>
        <v/>
      </c>
      <c r="BJ902" s="9" t="str">
        <f t="shared" si="145"/>
        <v/>
      </c>
      <c r="BK902" s="9" t="str">
        <f>IF($B902="","",COUNTIFS($B$5:$B902,$B902,$BF$5:$BF902,$BF902))</f>
        <v/>
      </c>
      <c r="BL902" s="9" t="str">
        <f>IF($B902="","",COUNTIFS($B$5:$B902,$B902,$BH$5:$BH902,$BH902))</f>
        <v/>
      </c>
      <c r="BM902" s="9" t="str">
        <f t="shared" si="146"/>
        <v/>
      </c>
      <c r="BN902" s="9" t="str">
        <f t="shared" si="147"/>
        <v/>
      </c>
      <c r="BO902" s="9">
        <f t="shared" si="148"/>
        <v>0</v>
      </c>
      <c r="BR902" s="12" t="str">
        <f t="shared" si="149"/>
        <v/>
      </c>
    </row>
    <row r="903" spans="1:70" ht="14.25" customHeight="1">
      <c r="A903" s="26"/>
      <c r="C903" s="26"/>
      <c r="D903" s="27"/>
      <c r="E903" s="27"/>
      <c r="BE903" s="10" t="str">
        <f t="shared" si="140"/>
        <v/>
      </c>
      <c r="BF903" s="8" t="str">
        <f t="shared" si="141"/>
        <v/>
      </c>
      <c r="BG903" s="11" t="str">
        <f t="shared" si="142"/>
        <v/>
      </c>
      <c r="BH903" s="8" t="str">
        <f t="shared" si="143"/>
        <v/>
      </c>
      <c r="BI903" s="8" t="str">
        <f t="shared" si="144"/>
        <v/>
      </c>
      <c r="BJ903" s="9" t="str">
        <f t="shared" si="145"/>
        <v/>
      </c>
      <c r="BK903" s="9" t="str">
        <f>IF($B903="","",COUNTIFS($B$5:$B903,$B903,$BF$5:$BF903,$BF903))</f>
        <v/>
      </c>
      <c r="BL903" s="9" t="str">
        <f>IF($B903="","",COUNTIFS($B$5:$B903,$B903,$BH$5:$BH903,$BH903))</f>
        <v/>
      </c>
      <c r="BM903" s="9" t="str">
        <f t="shared" si="146"/>
        <v/>
      </c>
      <c r="BN903" s="9" t="str">
        <f t="shared" si="147"/>
        <v/>
      </c>
      <c r="BO903" s="9">
        <f t="shared" si="148"/>
        <v>0</v>
      </c>
      <c r="BR903" s="12" t="str">
        <f t="shared" si="149"/>
        <v/>
      </c>
    </row>
    <row r="904" spans="1:70" ht="14.25" customHeight="1">
      <c r="A904" s="26"/>
      <c r="C904" s="26"/>
      <c r="D904" s="27"/>
      <c r="E904" s="27"/>
      <c r="BE904" s="10" t="str">
        <f t="shared" si="140"/>
        <v/>
      </c>
      <c r="BF904" s="8" t="str">
        <f t="shared" si="141"/>
        <v/>
      </c>
      <c r="BG904" s="11" t="str">
        <f t="shared" si="142"/>
        <v/>
      </c>
      <c r="BH904" s="8" t="str">
        <f t="shared" si="143"/>
        <v/>
      </c>
      <c r="BI904" s="8" t="str">
        <f t="shared" si="144"/>
        <v/>
      </c>
      <c r="BJ904" s="9" t="str">
        <f t="shared" si="145"/>
        <v/>
      </c>
      <c r="BK904" s="9" t="str">
        <f>IF($B904="","",COUNTIFS($B$5:$B904,$B904,$BF$5:$BF904,$BF904))</f>
        <v/>
      </c>
      <c r="BL904" s="9" t="str">
        <f>IF($B904="","",COUNTIFS($B$5:$B904,$B904,$BH$5:$BH904,$BH904))</f>
        <v/>
      </c>
      <c r="BM904" s="9" t="str">
        <f t="shared" si="146"/>
        <v/>
      </c>
      <c r="BN904" s="9" t="str">
        <f t="shared" si="147"/>
        <v/>
      </c>
      <c r="BO904" s="9">
        <f t="shared" si="148"/>
        <v>0</v>
      </c>
      <c r="BR904" s="12" t="str">
        <f t="shared" si="149"/>
        <v/>
      </c>
    </row>
    <row r="905" spans="1:70" ht="14.25" customHeight="1">
      <c r="A905" s="26"/>
      <c r="C905" s="26"/>
      <c r="D905" s="27"/>
      <c r="E905" s="27"/>
      <c r="BE905" s="10" t="str">
        <f t="shared" si="140"/>
        <v/>
      </c>
      <c r="BF905" s="8" t="str">
        <f t="shared" si="141"/>
        <v/>
      </c>
      <c r="BG905" s="11" t="str">
        <f t="shared" si="142"/>
        <v/>
      </c>
      <c r="BH905" s="8" t="str">
        <f t="shared" si="143"/>
        <v/>
      </c>
      <c r="BI905" s="8" t="str">
        <f t="shared" si="144"/>
        <v/>
      </c>
      <c r="BJ905" s="9" t="str">
        <f t="shared" si="145"/>
        <v/>
      </c>
      <c r="BK905" s="9" t="str">
        <f>IF($B905="","",COUNTIFS($B$5:$B905,$B905,$BF$5:$BF905,$BF905))</f>
        <v/>
      </c>
      <c r="BL905" s="9" t="str">
        <f>IF($B905="","",COUNTIFS($B$5:$B905,$B905,$BH$5:$BH905,$BH905))</f>
        <v/>
      </c>
      <c r="BM905" s="9" t="str">
        <f t="shared" si="146"/>
        <v/>
      </c>
      <c r="BN905" s="9" t="str">
        <f t="shared" si="147"/>
        <v/>
      </c>
      <c r="BO905" s="9">
        <f t="shared" si="148"/>
        <v>0</v>
      </c>
      <c r="BR905" s="12" t="str">
        <f t="shared" si="149"/>
        <v/>
      </c>
    </row>
    <row r="906" spans="1:70" ht="14.25" customHeight="1">
      <c r="A906" s="26"/>
      <c r="C906" s="26"/>
      <c r="D906" s="27"/>
      <c r="E906" s="27"/>
      <c r="BE906" s="10" t="str">
        <f t="shared" si="140"/>
        <v/>
      </c>
      <c r="BF906" s="8" t="str">
        <f t="shared" si="141"/>
        <v/>
      </c>
      <c r="BG906" s="11" t="str">
        <f t="shared" si="142"/>
        <v/>
      </c>
      <c r="BH906" s="8" t="str">
        <f t="shared" si="143"/>
        <v/>
      </c>
      <c r="BI906" s="8" t="str">
        <f t="shared" si="144"/>
        <v/>
      </c>
      <c r="BJ906" s="9" t="str">
        <f t="shared" si="145"/>
        <v/>
      </c>
      <c r="BK906" s="9" t="str">
        <f>IF($B906="","",COUNTIFS($B$5:$B906,$B906,$BF$5:$BF906,$BF906))</f>
        <v/>
      </c>
      <c r="BL906" s="9" t="str">
        <f>IF($B906="","",COUNTIFS($B$5:$B906,$B906,$BH$5:$BH906,$BH906))</f>
        <v/>
      </c>
      <c r="BM906" s="9" t="str">
        <f t="shared" si="146"/>
        <v/>
      </c>
      <c r="BN906" s="9" t="str">
        <f t="shared" si="147"/>
        <v/>
      </c>
      <c r="BO906" s="9">
        <f t="shared" si="148"/>
        <v>0</v>
      </c>
      <c r="BR906" s="12" t="str">
        <f t="shared" si="149"/>
        <v/>
      </c>
    </row>
    <row r="907" spans="1:70" ht="14.25" customHeight="1">
      <c r="A907" s="26"/>
      <c r="C907" s="26"/>
      <c r="D907" s="27"/>
      <c r="E907" s="27"/>
      <c r="BE907" s="10" t="str">
        <f t="shared" si="140"/>
        <v/>
      </c>
      <c r="BF907" s="8" t="str">
        <f t="shared" si="141"/>
        <v/>
      </c>
      <c r="BG907" s="11" t="str">
        <f t="shared" si="142"/>
        <v/>
      </c>
      <c r="BH907" s="8" t="str">
        <f t="shared" si="143"/>
        <v/>
      </c>
      <c r="BI907" s="8" t="str">
        <f t="shared" si="144"/>
        <v/>
      </c>
      <c r="BJ907" s="9" t="str">
        <f t="shared" si="145"/>
        <v/>
      </c>
      <c r="BK907" s="9" t="str">
        <f>IF($B907="","",COUNTIFS($B$5:$B907,$B907,$BF$5:$BF907,$BF907))</f>
        <v/>
      </c>
      <c r="BL907" s="9" t="str">
        <f>IF($B907="","",COUNTIFS($B$5:$B907,$B907,$BH$5:$BH907,$BH907))</f>
        <v/>
      </c>
      <c r="BM907" s="9" t="str">
        <f t="shared" si="146"/>
        <v/>
      </c>
      <c r="BN907" s="9" t="str">
        <f t="shared" si="147"/>
        <v/>
      </c>
      <c r="BO907" s="9">
        <f t="shared" si="148"/>
        <v>0</v>
      </c>
      <c r="BR907" s="12" t="str">
        <f t="shared" si="149"/>
        <v/>
      </c>
    </row>
    <row r="908" spans="1:70" ht="14.25" customHeight="1">
      <c r="A908" s="26"/>
      <c r="C908" s="26"/>
      <c r="D908" s="27"/>
      <c r="E908" s="27"/>
      <c r="BE908" s="10" t="str">
        <f t="shared" si="140"/>
        <v/>
      </c>
      <c r="BF908" s="8" t="str">
        <f t="shared" si="141"/>
        <v/>
      </c>
      <c r="BG908" s="11" t="str">
        <f t="shared" si="142"/>
        <v/>
      </c>
      <c r="BH908" s="8" t="str">
        <f t="shared" si="143"/>
        <v/>
      </c>
      <c r="BI908" s="8" t="str">
        <f t="shared" si="144"/>
        <v/>
      </c>
      <c r="BJ908" s="9" t="str">
        <f t="shared" si="145"/>
        <v/>
      </c>
      <c r="BK908" s="9" t="str">
        <f>IF($B908="","",COUNTIFS($B$5:$B908,$B908,$BF$5:$BF908,$BF908))</f>
        <v/>
      </c>
      <c r="BL908" s="9" t="str">
        <f>IF($B908="","",COUNTIFS($B$5:$B908,$B908,$BH$5:$BH908,$BH908))</f>
        <v/>
      </c>
      <c r="BM908" s="9" t="str">
        <f t="shared" si="146"/>
        <v/>
      </c>
      <c r="BN908" s="9" t="str">
        <f t="shared" si="147"/>
        <v/>
      </c>
      <c r="BO908" s="9">
        <f t="shared" si="148"/>
        <v>0</v>
      </c>
      <c r="BR908" s="12" t="str">
        <f t="shared" si="149"/>
        <v/>
      </c>
    </row>
    <row r="909" spans="1:70" ht="14.25" customHeight="1">
      <c r="A909" s="26"/>
      <c r="C909" s="26"/>
      <c r="D909" s="27"/>
      <c r="E909" s="27"/>
      <c r="BE909" s="10" t="str">
        <f t="shared" si="140"/>
        <v/>
      </c>
      <c r="BF909" s="8" t="str">
        <f t="shared" si="141"/>
        <v/>
      </c>
      <c r="BG909" s="11" t="str">
        <f t="shared" si="142"/>
        <v/>
      </c>
      <c r="BH909" s="8" t="str">
        <f t="shared" si="143"/>
        <v/>
      </c>
      <c r="BI909" s="8" t="str">
        <f t="shared" si="144"/>
        <v/>
      </c>
      <c r="BJ909" s="9" t="str">
        <f t="shared" si="145"/>
        <v/>
      </c>
      <c r="BK909" s="9" t="str">
        <f>IF($B909="","",COUNTIFS($B$5:$B909,$B909,$BF$5:$BF909,$BF909))</f>
        <v/>
      </c>
      <c r="BL909" s="9" t="str">
        <f>IF($B909="","",COUNTIFS($B$5:$B909,$B909,$BH$5:$BH909,$BH909))</f>
        <v/>
      </c>
      <c r="BM909" s="9" t="str">
        <f t="shared" si="146"/>
        <v/>
      </c>
      <c r="BN909" s="9" t="str">
        <f t="shared" si="147"/>
        <v/>
      </c>
      <c r="BO909" s="9">
        <f t="shared" si="148"/>
        <v>0</v>
      </c>
      <c r="BR909" s="12" t="str">
        <f t="shared" si="149"/>
        <v/>
      </c>
    </row>
    <row r="910" spans="1:70" ht="14.25" customHeight="1">
      <c r="A910" s="26"/>
      <c r="C910" s="26"/>
      <c r="D910" s="27"/>
      <c r="E910" s="27"/>
      <c r="BE910" s="10" t="str">
        <f t="shared" si="140"/>
        <v/>
      </c>
      <c r="BF910" s="8" t="str">
        <f t="shared" si="141"/>
        <v/>
      </c>
      <c r="BG910" s="11" t="str">
        <f t="shared" si="142"/>
        <v/>
      </c>
      <c r="BH910" s="8" t="str">
        <f t="shared" si="143"/>
        <v/>
      </c>
      <c r="BI910" s="8" t="str">
        <f t="shared" si="144"/>
        <v/>
      </c>
      <c r="BJ910" s="9" t="str">
        <f t="shared" si="145"/>
        <v/>
      </c>
      <c r="BK910" s="9" t="str">
        <f>IF($B910="","",COUNTIFS($B$5:$B910,$B910,$BF$5:$BF910,$BF910))</f>
        <v/>
      </c>
      <c r="BL910" s="9" t="str">
        <f>IF($B910="","",COUNTIFS($B$5:$B910,$B910,$BH$5:$BH910,$BH910))</f>
        <v/>
      </c>
      <c r="BM910" s="9" t="str">
        <f t="shared" si="146"/>
        <v/>
      </c>
      <c r="BN910" s="9" t="str">
        <f t="shared" si="147"/>
        <v/>
      </c>
      <c r="BO910" s="9">
        <f t="shared" si="148"/>
        <v>0</v>
      </c>
      <c r="BR910" s="12" t="str">
        <f t="shared" si="149"/>
        <v/>
      </c>
    </row>
    <row r="911" spans="1:70" ht="14.25" customHeight="1">
      <c r="A911" s="26"/>
      <c r="C911" s="26"/>
      <c r="D911" s="27"/>
      <c r="E911" s="27"/>
      <c r="BE911" s="10" t="str">
        <f t="shared" si="140"/>
        <v/>
      </c>
      <c r="BF911" s="8" t="str">
        <f t="shared" si="141"/>
        <v/>
      </c>
      <c r="BG911" s="11" t="str">
        <f t="shared" si="142"/>
        <v/>
      </c>
      <c r="BH911" s="8" t="str">
        <f t="shared" si="143"/>
        <v/>
      </c>
      <c r="BI911" s="8" t="str">
        <f t="shared" si="144"/>
        <v/>
      </c>
      <c r="BJ911" s="9" t="str">
        <f t="shared" si="145"/>
        <v/>
      </c>
      <c r="BK911" s="9" t="str">
        <f>IF($B911="","",COUNTIFS($B$5:$B911,$B911,$BF$5:$BF911,$BF911))</f>
        <v/>
      </c>
      <c r="BL911" s="9" t="str">
        <f>IF($B911="","",COUNTIFS($B$5:$B911,$B911,$BH$5:$BH911,$BH911))</f>
        <v/>
      </c>
      <c r="BM911" s="9" t="str">
        <f t="shared" si="146"/>
        <v/>
      </c>
      <c r="BN911" s="9" t="str">
        <f t="shared" si="147"/>
        <v/>
      </c>
      <c r="BO911" s="9">
        <f t="shared" si="148"/>
        <v>0</v>
      </c>
      <c r="BR911" s="12" t="str">
        <f t="shared" si="149"/>
        <v/>
      </c>
    </row>
    <row r="912" spans="1:70" ht="14.25" customHeight="1">
      <c r="A912" s="26"/>
      <c r="C912" s="26"/>
      <c r="D912" s="27"/>
      <c r="E912" s="27"/>
      <c r="BE912" s="10" t="str">
        <f t="shared" si="140"/>
        <v/>
      </c>
      <c r="BF912" s="8" t="str">
        <f t="shared" si="141"/>
        <v/>
      </c>
      <c r="BG912" s="11" t="str">
        <f t="shared" si="142"/>
        <v/>
      </c>
      <c r="BH912" s="8" t="str">
        <f t="shared" si="143"/>
        <v/>
      </c>
      <c r="BI912" s="8" t="str">
        <f t="shared" si="144"/>
        <v/>
      </c>
      <c r="BJ912" s="9" t="str">
        <f t="shared" si="145"/>
        <v/>
      </c>
      <c r="BK912" s="9" t="str">
        <f>IF($B912="","",COUNTIFS($B$5:$B912,$B912,$BF$5:$BF912,$BF912))</f>
        <v/>
      </c>
      <c r="BL912" s="9" t="str">
        <f>IF($B912="","",COUNTIFS($B$5:$B912,$B912,$BH$5:$BH912,$BH912))</f>
        <v/>
      </c>
      <c r="BM912" s="9" t="str">
        <f t="shared" si="146"/>
        <v/>
      </c>
      <c r="BN912" s="9" t="str">
        <f t="shared" si="147"/>
        <v/>
      </c>
      <c r="BO912" s="9">
        <f t="shared" si="148"/>
        <v>0</v>
      </c>
      <c r="BR912" s="12" t="str">
        <f t="shared" si="149"/>
        <v/>
      </c>
    </row>
    <row r="913" spans="1:70" ht="14.25" customHeight="1">
      <c r="A913" s="26"/>
      <c r="C913" s="26"/>
      <c r="D913" s="27"/>
      <c r="E913" s="27"/>
      <c r="BE913" s="10" t="str">
        <f t="shared" si="140"/>
        <v/>
      </c>
      <c r="BF913" s="8" t="str">
        <f t="shared" si="141"/>
        <v/>
      </c>
      <c r="BG913" s="11" t="str">
        <f t="shared" si="142"/>
        <v/>
      </c>
      <c r="BH913" s="8" t="str">
        <f t="shared" si="143"/>
        <v/>
      </c>
      <c r="BI913" s="8" t="str">
        <f t="shared" si="144"/>
        <v/>
      </c>
      <c r="BJ913" s="9" t="str">
        <f t="shared" si="145"/>
        <v/>
      </c>
      <c r="BK913" s="9" t="str">
        <f>IF($B913="","",COUNTIFS($B$5:$B913,$B913,$BF$5:$BF913,$BF913))</f>
        <v/>
      </c>
      <c r="BL913" s="9" t="str">
        <f>IF($B913="","",COUNTIFS($B$5:$B913,$B913,$BH$5:$BH913,$BH913))</f>
        <v/>
      </c>
      <c r="BM913" s="9" t="str">
        <f t="shared" si="146"/>
        <v/>
      </c>
      <c r="BN913" s="9" t="str">
        <f t="shared" si="147"/>
        <v/>
      </c>
      <c r="BO913" s="9">
        <f t="shared" si="148"/>
        <v>0</v>
      </c>
      <c r="BR913" s="12" t="str">
        <f t="shared" si="149"/>
        <v/>
      </c>
    </row>
    <row r="914" spans="1:70" ht="14.25" customHeight="1">
      <c r="A914" s="26"/>
      <c r="C914" s="26"/>
      <c r="D914" s="27"/>
      <c r="E914" s="27"/>
      <c r="BE914" s="10" t="str">
        <f t="shared" si="140"/>
        <v/>
      </c>
      <c r="BF914" s="8" t="str">
        <f t="shared" si="141"/>
        <v/>
      </c>
      <c r="BG914" s="11" t="str">
        <f t="shared" si="142"/>
        <v/>
      </c>
      <c r="BH914" s="8" t="str">
        <f t="shared" si="143"/>
        <v/>
      </c>
      <c r="BI914" s="8" t="str">
        <f t="shared" si="144"/>
        <v/>
      </c>
      <c r="BJ914" s="9" t="str">
        <f t="shared" si="145"/>
        <v/>
      </c>
      <c r="BK914" s="9" t="str">
        <f>IF($B914="","",COUNTIFS($B$5:$B914,$B914,$BF$5:$BF914,$BF914))</f>
        <v/>
      </c>
      <c r="BL914" s="9" t="str">
        <f>IF($B914="","",COUNTIFS($B$5:$B914,$B914,$BH$5:$BH914,$BH914))</f>
        <v/>
      </c>
      <c r="BM914" s="9" t="str">
        <f t="shared" si="146"/>
        <v/>
      </c>
      <c r="BN914" s="9" t="str">
        <f t="shared" si="147"/>
        <v/>
      </c>
      <c r="BO914" s="9">
        <f t="shared" si="148"/>
        <v>0</v>
      </c>
      <c r="BR914" s="12" t="str">
        <f t="shared" si="149"/>
        <v/>
      </c>
    </row>
    <row r="915" spans="1:70" ht="14.25" customHeight="1">
      <c r="A915" s="26"/>
      <c r="C915" s="26"/>
      <c r="D915" s="27"/>
      <c r="E915" s="27"/>
      <c r="BE915" s="10" t="str">
        <f t="shared" si="140"/>
        <v/>
      </c>
      <c r="BF915" s="8" t="str">
        <f t="shared" si="141"/>
        <v/>
      </c>
      <c r="BG915" s="11" t="str">
        <f t="shared" si="142"/>
        <v/>
      </c>
      <c r="BH915" s="8" t="str">
        <f t="shared" si="143"/>
        <v/>
      </c>
      <c r="BI915" s="8" t="str">
        <f t="shared" si="144"/>
        <v/>
      </c>
      <c r="BJ915" s="9" t="str">
        <f t="shared" si="145"/>
        <v/>
      </c>
      <c r="BK915" s="9" t="str">
        <f>IF($B915="","",COUNTIFS($B$5:$B915,$B915,$BF$5:$BF915,$BF915))</f>
        <v/>
      </c>
      <c r="BL915" s="9" t="str">
        <f>IF($B915="","",COUNTIFS($B$5:$B915,$B915,$BH$5:$BH915,$BH915))</f>
        <v/>
      </c>
      <c r="BM915" s="9" t="str">
        <f t="shared" si="146"/>
        <v/>
      </c>
      <c r="BN915" s="9" t="str">
        <f t="shared" si="147"/>
        <v/>
      </c>
      <c r="BO915" s="9">
        <f t="shared" si="148"/>
        <v>0</v>
      </c>
      <c r="BR915" s="12" t="str">
        <f t="shared" si="149"/>
        <v/>
      </c>
    </row>
    <row r="916" spans="1:70" ht="14.25" customHeight="1">
      <c r="A916" s="26"/>
      <c r="C916" s="26"/>
      <c r="D916" s="27"/>
      <c r="E916" s="27"/>
      <c r="BE916" s="10" t="str">
        <f t="shared" si="140"/>
        <v/>
      </c>
      <c r="BF916" s="8" t="str">
        <f t="shared" si="141"/>
        <v/>
      </c>
      <c r="BG916" s="11" t="str">
        <f t="shared" si="142"/>
        <v/>
      </c>
      <c r="BH916" s="8" t="str">
        <f t="shared" si="143"/>
        <v/>
      </c>
      <c r="BI916" s="8" t="str">
        <f t="shared" si="144"/>
        <v/>
      </c>
      <c r="BJ916" s="9" t="str">
        <f t="shared" si="145"/>
        <v/>
      </c>
      <c r="BK916" s="9" t="str">
        <f>IF($B916="","",COUNTIFS($B$5:$B916,$B916,$BF$5:$BF916,$BF916))</f>
        <v/>
      </c>
      <c r="BL916" s="9" t="str">
        <f>IF($B916="","",COUNTIFS($B$5:$B916,$B916,$BH$5:$BH916,$BH916))</f>
        <v/>
      </c>
      <c r="BM916" s="9" t="str">
        <f t="shared" si="146"/>
        <v/>
      </c>
      <c r="BN916" s="9" t="str">
        <f t="shared" si="147"/>
        <v/>
      </c>
      <c r="BO916" s="9">
        <f t="shared" si="148"/>
        <v>0</v>
      </c>
      <c r="BR916" s="12" t="str">
        <f t="shared" si="149"/>
        <v/>
      </c>
    </row>
    <row r="917" spans="1:70" ht="14.25" customHeight="1">
      <c r="A917" s="26"/>
      <c r="C917" s="26"/>
      <c r="D917" s="27"/>
      <c r="E917" s="27"/>
      <c r="BE917" s="10" t="str">
        <f t="shared" si="140"/>
        <v/>
      </c>
      <c r="BF917" s="8" t="str">
        <f t="shared" si="141"/>
        <v/>
      </c>
      <c r="BG917" s="11" t="str">
        <f t="shared" si="142"/>
        <v/>
      </c>
      <c r="BH917" s="8" t="str">
        <f t="shared" si="143"/>
        <v/>
      </c>
      <c r="BI917" s="8" t="str">
        <f t="shared" si="144"/>
        <v/>
      </c>
      <c r="BJ917" s="9" t="str">
        <f t="shared" si="145"/>
        <v/>
      </c>
      <c r="BK917" s="9" t="str">
        <f>IF($B917="","",COUNTIFS($B$5:$B917,$B917,$BF$5:$BF917,$BF917))</f>
        <v/>
      </c>
      <c r="BL917" s="9" t="str">
        <f>IF($B917="","",COUNTIFS($B$5:$B917,$B917,$BH$5:$BH917,$BH917))</f>
        <v/>
      </c>
      <c r="BM917" s="9" t="str">
        <f t="shared" si="146"/>
        <v/>
      </c>
      <c r="BN917" s="9" t="str">
        <f t="shared" si="147"/>
        <v/>
      </c>
      <c r="BO917" s="9">
        <f t="shared" si="148"/>
        <v>0</v>
      </c>
      <c r="BR917" s="12" t="str">
        <f t="shared" si="149"/>
        <v/>
      </c>
    </row>
    <row r="918" spans="1:70" ht="14.25" customHeight="1">
      <c r="A918" s="26"/>
      <c r="C918" s="26"/>
      <c r="D918" s="27"/>
      <c r="E918" s="27"/>
      <c r="BE918" s="10" t="str">
        <f t="shared" si="140"/>
        <v/>
      </c>
      <c r="BF918" s="8" t="str">
        <f t="shared" si="141"/>
        <v/>
      </c>
      <c r="BG918" s="11" t="str">
        <f t="shared" si="142"/>
        <v/>
      </c>
      <c r="BH918" s="8" t="str">
        <f t="shared" si="143"/>
        <v/>
      </c>
      <c r="BI918" s="8" t="str">
        <f t="shared" si="144"/>
        <v/>
      </c>
      <c r="BJ918" s="9" t="str">
        <f t="shared" si="145"/>
        <v/>
      </c>
      <c r="BK918" s="9" t="str">
        <f>IF($B918="","",COUNTIFS($B$5:$B918,$B918,$BF$5:$BF918,$BF918))</f>
        <v/>
      </c>
      <c r="BL918" s="9" t="str">
        <f>IF($B918="","",COUNTIFS($B$5:$B918,$B918,$BH$5:$BH918,$BH918))</f>
        <v/>
      </c>
      <c r="BM918" s="9" t="str">
        <f t="shared" si="146"/>
        <v/>
      </c>
      <c r="BN918" s="9" t="str">
        <f t="shared" si="147"/>
        <v/>
      </c>
      <c r="BO918" s="9">
        <f t="shared" si="148"/>
        <v>0</v>
      </c>
      <c r="BR918" s="12" t="str">
        <f t="shared" si="149"/>
        <v/>
      </c>
    </row>
    <row r="919" spans="1:70" ht="14.25" customHeight="1">
      <c r="A919" s="26"/>
      <c r="C919" s="26"/>
      <c r="D919" s="27"/>
      <c r="E919" s="27"/>
      <c r="BE919" s="10" t="str">
        <f t="shared" si="140"/>
        <v/>
      </c>
      <c r="BF919" s="8" t="str">
        <f t="shared" si="141"/>
        <v/>
      </c>
      <c r="BG919" s="11" t="str">
        <f t="shared" si="142"/>
        <v/>
      </c>
      <c r="BH919" s="8" t="str">
        <f t="shared" si="143"/>
        <v/>
      </c>
      <c r="BI919" s="8" t="str">
        <f t="shared" si="144"/>
        <v/>
      </c>
      <c r="BJ919" s="9" t="str">
        <f t="shared" si="145"/>
        <v/>
      </c>
      <c r="BK919" s="9" t="str">
        <f>IF($B919="","",COUNTIFS($B$5:$B919,$B919,$BF$5:$BF919,$BF919))</f>
        <v/>
      </c>
      <c r="BL919" s="9" t="str">
        <f>IF($B919="","",COUNTIFS($B$5:$B919,$B919,$BH$5:$BH919,$BH919))</f>
        <v/>
      </c>
      <c r="BM919" s="9" t="str">
        <f t="shared" si="146"/>
        <v/>
      </c>
      <c r="BN919" s="9" t="str">
        <f t="shared" si="147"/>
        <v/>
      </c>
      <c r="BO919" s="9">
        <f t="shared" si="148"/>
        <v>0</v>
      </c>
      <c r="BR919" s="12" t="str">
        <f t="shared" si="149"/>
        <v/>
      </c>
    </row>
    <row r="920" spans="1:70" ht="14.25" customHeight="1">
      <c r="A920" s="26"/>
      <c r="C920" s="26"/>
      <c r="D920" s="27"/>
      <c r="E920" s="27"/>
      <c r="BE920" s="10" t="str">
        <f t="shared" si="140"/>
        <v/>
      </c>
      <c r="BF920" s="8" t="str">
        <f t="shared" si="141"/>
        <v/>
      </c>
      <c r="BG920" s="11" t="str">
        <f t="shared" si="142"/>
        <v/>
      </c>
      <c r="BH920" s="8" t="str">
        <f t="shared" si="143"/>
        <v/>
      </c>
      <c r="BI920" s="8" t="str">
        <f t="shared" si="144"/>
        <v/>
      </c>
      <c r="BJ920" s="9" t="str">
        <f t="shared" si="145"/>
        <v/>
      </c>
      <c r="BK920" s="9" t="str">
        <f>IF($B920="","",COUNTIFS($B$5:$B920,$B920,$BF$5:$BF920,$BF920))</f>
        <v/>
      </c>
      <c r="BL920" s="9" t="str">
        <f>IF($B920="","",COUNTIFS($B$5:$B920,$B920,$BH$5:$BH920,$BH920))</f>
        <v/>
      </c>
      <c r="BM920" s="9" t="str">
        <f t="shared" si="146"/>
        <v/>
      </c>
      <c r="BN920" s="9" t="str">
        <f t="shared" si="147"/>
        <v/>
      </c>
      <c r="BO920" s="9">
        <f t="shared" si="148"/>
        <v>0</v>
      </c>
      <c r="BR920" s="12" t="str">
        <f t="shared" si="149"/>
        <v/>
      </c>
    </row>
    <row r="921" spans="1:70" ht="14.25" customHeight="1">
      <c r="A921" s="26"/>
      <c r="C921" s="26"/>
      <c r="D921" s="27"/>
      <c r="E921" s="27"/>
      <c r="BE921" s="10" t="str">
        <f t="shared" si="140"/>
        <v/>
      </c>
      <c r="BF921" s="8" t="str">
        <f t="shared" si="141"/>
        <v/>
      </c>
      <c r="BG921" s="11" t="str">
        <f t="shared" si="142"/>
        <v/>
      </c>
      <c r="BH921" s="8" t="str">
        <f t="shared" si="143"/>
        <v/>
      </c>
      <c r="BI921" s="8" t="str">
        <f t="shared" si="144"/>
        <v/>
      </c>
      <c r="BJ921" s="9" t="str">
        <f t="shared" si="145"/>
        <v/>
      </c>
      <c r="BK921" s="9" t="str">
        <f>IF($B921="","",COUNTIFS($B$5:$B921,$B921,$BF$5:$BF921,$BF921))</f>
        <v/>
      </c>
      <c r="BL921" s="9" t="str">
        <f>IF($B921="","",COUNTIFS($B$5:$B921,$B921,$BH$5:$BH921,$BH921))</f>
        <v/>
      </c>
      <c r="BM921" s="9" t="str">
        <f t="shared" si="146"/>
        <v/>
      </c>
      <c r="BN921" s="9" t="str">
        <f t="shared" si="147"/>
        <v/>
      </c>
      <c r="BO921" s="9">
        <f t="shared" si="148"/>
        <v>0</v>
      </c>
      <c r="BR921" s="12" t="str">
        <f t="shared" si="149"/>
        <v/>
      </c>
    </row>
    <row r="922" spans="1:70" ht="14.25" customHeight="1">
      <c r="A922" s="26"/>
      <c r="C922" s="26"/>
      <c r="D922" s="27"/>
      <c r="E922" s="27"/>
      <c r="BE922" s="10" t="str">
        <f t="shared" si="140"/>
        <v/>
      </c>
      <c r="BF922" s="8" t="str">
        <f t="shared" si="141"/>
        <v/>
      </c>
      <c r="BG922" s="11" t="str">
        <f t="shared" si="142"/>
        <v/>
      </c>
      <c r="BH922" s="8" t="str">
        <f t="shared" si="143"/>
        <v/>
      </c>
      <c r="BI922" s="8" t="str">
        <f t="shared" si="144"/>
        <v/>
      </c>
      <c r="BJ922" s="9" t="str">
        <f t="shared" si="145"/>
        <v/>
      </c>
      <c r="BK922" s="9" t="str">
        <f>IF($B922="","",COUNTIFS($B$5:$B922,$B922,$BF$5:$BF922,$BF922))</f>
        <v/>
      </c>
      <c r="BL922" s="9" t="str">
        <f>IF($B922="","",COUNTIFS($B$5:$B922,$B922,$BH$5:$BH922,$BH922))</f>
        <v/>
      </c>
      <c r="BM922" s="9" t="str">
        <f t="shared" si="146"/>
        <v/>
      </c>
      <c r="BN922" s="9" t="str">
        <f t="shared" si="147"/>
        <v/>
      </c>
      <c r="BO922" s="9">
        <f t="shared" si="148"/>
        <v>0</v>
      </c>
      <c r="BR922" s="12" t="str">
        <f t="shared" si="149"/>
        <v/>
      </c>
    </row>
    <row r="923" spans="1:70" ht="14.25" customHeight="1">
      <c r="A923" s="26"/>
      <c r="C923" s="26"/>
      <c r="D923" s="27"/>
      <c r="E923" s="27"/>
      <c r="BE923" s="10" t="str">
        <f t="shared" si="140"/>
        <v/>
      </c>
      <c r="BF923" s="8" t="str">
        <f t="shared" si="141"/>
        <v/>
      </c>
      <c r="BG923" s="11" t="str">
        <f t="shared" si="142"/>
        <v/>
      </c>
      <c r="BH923" s="8" t="str">
        <f t="shared" si="143"/>
        <v/>
      </c>
      <c r="BI923" s="8" t="str">
        <f t="shared" si="144"/>
        <v/>
      </c>
      <c r="BJ923" s="9" t="str">
        <f t="shared" si="145"/>
        <v/>
      </c>
      <c r="BK923" s="9" t="str">
        <f>IF($B923="","",COUNTIFS($B$5:$B923,$B923,$BF$5:$BF923,$BF923))</f>
        <v/>
      </c>
      <c r="BL923" s="9" t="str">
        <f>IF($B923="","",COUNTIFS($B$5:$B923,$B923,$BH$5:$BH923,$BH923))</f>
        <v/>
      </c>
      <c r="BM923" s="9" t="str">
        <f t="shared" si="146"/>
        <v/>
      </c>
      <c r="BN923" s="9" t="str">
        <f t="shared" si="147"/>
        <v/>
      </c>
      <c r="BO923" s="9">
        <f t="shared" si="148"/>
        <v>0</v>
      </c>
      <c r="BR923" s="12" t="str">
        <f t="shared" si="149"/>
        <v/>
      </c>
    </row>
    <row r="924" spans="1:70" ht="14.25" customHeight="1">
      <c r="A924" s="26"/>
      <c r="C924" s="26"/>
      <c r="D924" s="27"/>
      <c r="E924" s="27"/>
      <c r="BE924" s="10" t="str">
        <f t="shared" si="140"/>
        <v/>
      </c>
      <c r="BF924" s="8" t="str">
        <f t="shared" si="141"/>
        <v/>
      </c>
      <c r="BG924" s="11" t="str">
        <f t="shared" si="142"/>
        <v/>
      </c>
      <c r="BH924" s="8" t="str">
        <f t="shared" si="143"/>
        <v/>
      </c>
      <c r="BI924" s="8" t="str">
        <f t="shared" si="144"/>
        <v/>
      </c>
      <c r="BJ924" s="9" t="str">
        <f t="shared" si="145"/>
        <v/>
      </c>
      <c r="BK924" s="9" t="str">
        <f>IF($B924="","",COUNTIFS($B$5:$B924,$B924,$BF$5:$BF924,$BF924))</f>
        <v/>
      </c>
      <c r="BL924" s="9" t="str">
        <f>IF($B924="","",COUNTIFS($B$5:$B924,$B924,$BH$5:$BH924,$BH924))</f>
        <v/>
      </c>
      <c r="BM924" s="9" t="str">
        <f t="shared" si="146"/>
        <v/>
      </c>
      <c r="BN924" s="9" t="str">
        <f t="shared" si="147"/>
        <v/>
      </c>
      <c r="BO924" s="9">
        <f t="shared" si="148"/>
        <v>0</v>
      </c>
      <c r="BR924" s="12" t="str">
        <f t="shared" si="149"/>
        <v/>
      </c>
    </row>
    <row r="925" spans="1:70" ht="14.25" customHeight="1">
      <c r="A925" s="26"/>
      <c r="C925" s="26"/>
      <c r="D925" s="27"/>
      <c r="E925" s="27"/>
      <c r="BE925" s="10" t="str">
        <f t="shared" ref="BE925:BE988" si="150">IF($B925="","",IF(COUNT($H925,$J925,$L925,$N925,$P925,$R925)&gt;0,SUM($H925,$J925,$L925,$N925,$P925,$R925),SUM($T925,$V925,$X925,$Z925,$AB925,$AD925,$AF925,$AH925,$AJ925,$AL925,$AN925,$AP925,$AR925,$AT925,$AV925,$AX925,$AZ925)))</f>
        <v/>
      </c>
      <c r="BF925" s="8" t="str">
        <f t="shared" ref="BF925:BF988" si="151">IF($C925="","",DATE(YEAR($C925),MONTH($C925),1))</f>
        <v/>
      </c>
      <c r="BG925" s="11" t="str">
        <f t="shared" ref="BG925:BG988" si="152">IF($BF925="","",TEXT($BF925,"mmmm yyyy"))</f>
        <v/>
      </c>
      <c r="BH925" s="8" t="str">
        <f t="shared" ref="BH925:BH988" si="153">IF($C925="","",$C925-WEEKDAY($C925,2)+1)</f>
        <v/>
      </c>
      <c r="BI925" s="8" t="str">
        <f t="shared" ref="BI925:BI988" si="154">IF($BH925="","",$BH925+6)</f>
        <v/>
      </c>
      <c r="BJ925" s="9" t="str">
        <f t="shared" ref="BJ925:BJ988" si="155">IF($BH925="","",TEXT($BH925,"dd/mm/yyyy")&amp;" - "&amp;TEXT($BI925,"dd/mm/yyyy"))</f>
        <v/>
      </c>
      <c r="BK925" s="9" t="str">
        <f>IF($B925="","",COUNTIFS($B$5:$B925,$B925,$BF$5:$BF925,$BF925))</f>
        <v/>
      </c>
      <c r="BL925" s="9" t="str">
        <f>IF($B925="","",COUNTIFS($B$5:$B925,$B925,$BH$5:$BH925,$BH925))</f>
        <v/>
      </c>
      <c r="BM925" s="9" t="str">
        <f t="shared" ref="BM925:BM988" si="156">IF($B925="","",TEXT($BK925,"00")&amp;"|"&amp;$B925&amp;"|"&amp;TEXT($BF925,"yyyymmdd"))</f>
        <v/>
      </c>
      <c r="BN925" s="9" t="str">
        <f t="shared" ref="BN925:BN988" si="157">IF($B925="","",TEXT($BL925,"00")&amp;"|"&amp;$B925&amp;"|"&amp;TEXT($BH925,"yyyymmdd"))</f>
        <v/>
      </c>
      <c r="BO925" s="9">
        <f t="shared" ref="BO925:BO988" si="158">IF(OR($BB925="YES",$BB925="Yes",$BB925="Y",$BB925=1),1,0)</f>
        <v>0</v>
      </c>
      <c r="BR925" s="12" t="str">
        <f t="shared" ref="BR925:BR988" si="159">IF($C925="","",IF($C925&gt;=DATE(2026,6,1),"QA-2026-06",IF($C925&gt;=DATE(2026,5,1),"May 2026+",IF($C925&gt;=DATE(2026,4,1),"April 2026",IF($C925&gt;=DATE(2026,3,1),"March 2026","Jan-Feb 2026")))))</f>
        <v/>
      </c>
    </row>
    <row r="926" spans="1:70" ht="14.25" customHeight="1">
      <c r="A926" s="26"/>
      <c r="C926" s="26"/>
      <c r="D926" s="27"/>
      <c r="E926" s="27"/>
      <c r="BE926" s="10" t="str">
        <f t="shared" si="150"/>
        <v/>
      </c>
      <c r="BF926" s="8" t="str">
        <f t="shared" si="151"/>
        <v/>
      </c>
      <c r="BG926" s="11" t="str">
        <f t="shared" si="152"/>
        <v/>
      </c>
      <c r="BH926" s="8" t="str">
        <f t="shared" si="153"/>
        <v/>
      </c>
      <c r="BI926" s="8" t="str">
        <f t="shared" si="154"/>
        <v/>
      </c>
      <c r="BJ926" s="9" t="str">
        <f t="shared" si="155"/>
        <v/>
      </c>
      <c r="BK926" s="9" t="str">
        <f>IF($B926="","",COUNTIFS($B$5:$B926,$B926,$BF$5:$BF926,$BF926))</f>
        <v/>
      </c>
      <c r="BL926" s="9" t="str">
        <f>IF($B926="","",COUNTIFS($B$5:$B926,$B926,$BH$5:$BH926,$BH926))</f>
        <v/>
      </c>
      <c r="BM926" s="9" t="str">
        <f t="shared" si="156"/>
        <v/>
      </c>
      <c r="BN926" s="9" t="str">
        <f t="shared" si="157"/>
        <v/>
      </c>
      <c r="BO926" s="9">
        <f t="shared" si="158"/>
        <v>0</v>
      </c>
      <c r="BR926" s="12" t="str">
        <f t="shared" si="159"/>
        <v/>
      </c>
    </row>
    <row r="927" spans="1:70" ht="14.25" customHeight="1">
      <c r="A927" s="26"/>
      <c r="C927" s="26"/>
      <c r="D927" s="27"/>
      <c r="E927" s="27"/>
      <c r="BE927" s="10" t="str">
        <f t="shared" si="150"/>
        <v/>
      </c>
      <c r="BF927" s="8" t="str">
        <f t="shared" si="151"/>
        <v/>
      </c>
      <c r="BG927" s="11" t="str">
        <f t="shared" si="152"/>
        <v/>
      </c>
      <c r="BH927" s="8" t="str">
        <f t="shared" si="153"/>
        <v/>
      </c>
      <c r="BI927" s="8" t="str">
        <f t="shared" si="154"/>
        <v/>
      </c>
      <c r="BJ927" s="9" t="str">
        <f t="shared" si="155"/>
        <v/>
      </c>
      <c r="BK927" s="9" t="str">
        <f>IF($B927="","",COUNTIFS($B$5:$B927,$B927,$BF$5:$BF927,$BF927))</f>
        <v/>
      </c>
      <c r="BL927" s="9" t="str">
        <f>IF($B927="","",COUNTIFS($B$5:$B927,$B927,$BH$5:$BH927,$BH927))</f>
        <v/>
      </c>
      <c r="BM927" s="9" t="str">
        <f t="shared" si="156"/>
        <v/>
      </c>
      <c r="BN927" s="9" t="str">
        <f t="shared" si="157"/>
        <v/>
      </c>
      <c r="BO927" s="9">
        <f t="shared" si="158"/>
        <v>0</v>
      </c>
      <c r="BR927" s="12" t="str">
        <f t="shared" si="159"/>
        <v/>
      </c>
    </row>
    <row r="928" spans="1:70" ht="14.25" customHeight="1">
      <c r="A928" s="26"/>
      <c r="C928" s="26"/>
      <c r="D928" s="27"/>
      <c r="E928" s="27"/>
      <c r="BE928" s="10" t="str">
        <f t="shared" si="150"/>
        <v/>
      </c>
      <c r="BF928" s="8" t="str">
        <f t="shared" si="151"/>
        <v/>
      </c>
      <c r="BG928" s="11" t="str">
        <f t="shared" si="152"/>
        <v/>
      </c>
      <c r="BH928" s="8" t="str">
        <f t="shared" si="153"/>
        <v/>
      </c>
      <c r="BI928" s="8" t="str">
        <f t="shared" si="154"/>
        <v/>
      </c>
      <c r="BJ928" s="9" t="str">
        <f t="shared" si="155"/>
        <v/>
      </c>
      <c r="BK928" s="9" t="str">
        <f>IF($B928="","",COUNTIFS($B$5:$B928,$B928,$BF$5:$BF928,$BF928))</f>
        <v/>
      </c>
      <c r="BL928" s="9" t="str">
        <f>IF($B928="","",COUNTIFS($B$5:$B928,$B928,$BH$5:$BH928,$BH928))</f>
        <v/>
      </c>
      <c r="BM928" s="9" t="str">
        <f t="shared" si="156"/>
        <v/>
      </c>
      <c r="BN928" s="9" t="str">
        <f t="shared" si="157"/>
        <v/>
      </c>
      <c r="BO928" s="9">
        <f t="shared" si="158"/>
        <v>0</v>
      </c>
      <c r="BR928" s="12" t="str">
        <f t="shared" si="159"/>
        <v/>
      </c>
    </row>
    <row r="929" spans="1:70" ht="14.25" customHeight="1">
      <c r="A929" s="26"/>
      <c r="C929" s="26"/>
      <c r="D929" s="27"/>
      <c r="E929" s="27"/>
      <c r="BE929" s="10" t="str">
        <f t="shared" si="150"/>
        <v/>
      </c>
      <c r="BF929" s="8" t="str">
        <f t="shared" si="151"/>
        <v/>
      </c>
      <c r="BG929" s="11" t="str">
        <f t="shared" si="152"/>
        <v/>
      </c>
      <c r="BH929" s="8" t="str">
        <f t="shared" si="153"/>
        <v/>
      </c>
      <c r="BI929" s="8" t="str">
        <f t="shared" si="154"/>
        <v/>
      </c>
      <c r="BJ929" s="9" t="str">
        <f t="shared" si="155"/>
        <v/>
      </c>
      <c r="BK929" s="9" t="str">
        <f>IF($B929="","",COUNTIFS($B$5:$B929,$B929,$BF$5:$BF929,$BF929))</f>
        <v/>
      </c>
      <c r="BL929" s="9" t="str">
        <f>IF($B929="","",COUNTIFS($B$5:$B929,$B929,$BH$5:$BH929,$BH929))</f>
        <v/>
      </c>
      <c r="BM929" s="9" t="str">
        <f t="shared" si="156"/>
        <v/>
      </c>
      <c r="BN929" s="9" t="str">
        <f t="shared" si="157"/>
        <v/>
      </c>
      <c r="BO929" s="9">
        <f t="shared" si="158"/>
        <v>0</v>
      </c>
      <c r="BR929" s="12" t="str">
        <f t="shared" si="159"/>
        <v/>
      </c>
    </row>
    <row r="930" spans="1:70" ht="14.25" customHeight="1">
      <c r="A930" s="26"/>
      <c r="C930" s="26"/>
      <c r="D930" s="27"/>
      <c r="E930" s="27"/>
      <c r="BE930" s="10" t="str">
        <f t="shared" si="150"/>
        <v/>
      </c>
      <c r="BF930" s="8" t="str">
        <f t="shared" si="151"/>
        <v/>
      </c>
      <c r="BG930" s="11" t="str">
        <f t="shared" si="152"/>
        <v/>
      </c>
      <c r="BH930" s="8" t="str">
        <f t="shared" si="153"/>
        <v/>
      </c>
      <c r="BI930" s="8" t="str">
        <f t="shared" si="154"/>
        <v/>
      </c>
      <c r="BJ930" s="9" t="str">
        <f t="shared" si="155"/>
        <v/>
      </c>
      <c r="BK930" s="9" t="str">
        <f>IF($B930="","",COUNTIFS($B$5:$B930,$B930,$BF$5:$BF930,$BF930))</f>
        <v/>
      </c>
      <c r="BL930" s="9" t="str">
        <f>IF($B930="","",COUNTIFS($B$5:$B930,$B930,$BH$5:$BH930,$BH930))</f>
        <v/>
      </c>
      <c r="BM930" s="9" t="str">
        <f t="shared" si="156"/>
        <v/>
      </c>
      <c r="BN930" s="9" t="str">
        <f t="shared" si="157"/>
        <v/>
      </c>
      <c r="BO930" s="9">
        <f t="shared" si="158"/>
        <v>0</v>
      </c>
      <c r="BR930" s="12" t="str">
        <f t="shared" si="159"/>
        <v/>
      </c>
    </row>
    <row r="931" spans="1:70" ht="14.25" customHeight="1">
      <c r="A931" s="26"/>
      <c r="C931" s="26"/>
      <c r="D931" s="27"/>
      <c r="E931" s="27"/>
      <c r="BE931" s="10" t="str">
        <f t="shared" si="150"/>
        <v/>
      </c>
      <c r="BF931" s="8" t="str">
        <f t="shared" si="151"/>
        <v/>
      </c>
      <c r="BG931" s="11" t="str">
        <f t="shared" si="152"/>
        <v/>
      </c>
      <c r="BH931" s="8" t="str">
        <f t="shared" si="153"/>
        <v/>
      </c>
      <c r="BI931" s="8" t="str">
        <f t="shared" si="154"/>
        <v/>
      </c>
      <c r="BJ931" s="9" t="str">
        <f t="shared" si="155"/>
        <v/>
      </c>
      <c r="BK931" s="9" t="str">
        <f>IF($B931="","",COUNTIFS($B$5:$B931,$B931,$BF$5:$BF931,$BF931))</f>
        <v/>
      </c>
      <c r="BL931" s="9" t="str">
        <f>IF($B931="","",COUNTIFS($B$5:$B931,$B931,$BH$5:$BH931,$BH931))</f>
        <v/>
      </c>
      <c r="BM931" s="9" t="str">
        <f t="shared" si="156"/>
        <v/>
      </c>
      <c r="BN931" s="9" t="str">
        <f t="shared" si="157"/>
        <v/>
      </c>
      <c r="BO931" s="9">
        <f t="shared" si="158"/>
        <v>0</v>
      </c>
      <c r="BR931" s="12" t="str">
        <f t="shared" si="159"/>
        <v/>
      </c>
    </row>
    <row r="932" spans="1:70" ht="14.25" customHeight="1">
      <c r="A932" s="26"/>
      <c r="C932" s="26"/>
      <c r="D932" s="27"/>
      <c r="E932" s="27"/>
      <c r="BE932" s="10" t="str">
        <f t="shared" si="150"/>
        <v/>
      </c>
      <c r="BF932" s="8" t="str">
        <f t="shared" si="151"/>
        <v/>
      </c>
      <c r="BG932" s="11" t="str">
        <f t="shared" si="152"/>
        <v/>
      </c>
      <c r="BH932" s="8" t="str">
        <f t="shared" si="153"/>
        <v/>
      </c>
      <c r="BI932" s="8" t="str">
        <f t="shared" si="154"/>
        <v/>
      </c>
      <c r="BJ932" s="9" t="str">
        <f t="shared" si="155"/>
        <v/>
      </c>
      <c r="BK932" s="9" t="str">
        <f>IF($B932="","",COUNTIFS($B$5:$B932,$B932,$BF$5:$BF932,$BF932))</f>
        <v/>
      </c>
      <c r="BL932" s="9" t="str">
        <f>IF($B932="","",COUNTIFS($B$5:$B932,$B932,$BH$5:$BH932,$BH932))</f>
        <v/>
      </c>
      <c r="BM932" s="9" t="str">
        <f t="shared" si="156"/>
        <v/>
      </c>
      <c r="BN932" s="9" t="str">
        <f t="shared" si="157"/>
        <v/>
      </c>
      <c r="BO932" s="9">
        <f t="shared" si="158"/>
        <v>0</v>
      </c>
      <c r="BR932" s="12" t="str">
        <f t="shared" si="159"/>
        <v/>
      </c>
    </row>
    <row r="933" spans="1:70" ht="14.25" customHeight="1">
      <c r="A933" s="26"/>
      <c r="C933" s="26"/>
      <c r="D933" s="27"/>
      <c r="E933" s="27"/>
      <c r="BE933" s="10" t="str">
        <f t="shared" si="150"/>
        <v/>
      </c>
      <c r="BF933" s="8" t="str">
        <f t="shared" si="151"/>
        <v/>
      </c>
      <c r="BG933" s="11" t="str">
        <f t="shared" si="152"/>
        <v/>
      </c>
      <c r="BH933" s="8" t="str">
        <f t="shared" si="153"/>
        <v/>
      </c>
      <c r="BI933" s="8" t="str">
        <f t="shared" si="154"/>
        <v/>
      </c>
      <c r="BJ933" s="9" t="str">
        <f t="shared" si="155"/>
        <v/>
      </c>
      <c r="BK933" s="9" t="str">
        <f>IF($B933="","",COUNTIFS($B$5:$B933,$B933,$BF$5:$BF933,$BF933))</f>
        <v/>
      </c>
      <c r="BL933" s="9" t="str">
        <f>IF($B933="","",COUNTIFS($B$5:$B933,$B933,$BH$5:$BH933,$BH933))</f>
        <v/>
      </c>
      <c r="BM933" s="9" t="str">
        <f t="shared" si="156"/>
        <v/>
      </c>
      <c r="BN933" s="9" t="str">
        <f t="shared" si="157"/>
        <v/>
      </c>
      <c r="BO933" s="9">
        <f t="shared" si="158"/>
        <v>0</v>
      </c>
      <c r="BR933" s="12" t="str">
        <f t="shared" si="159"/>
        <v/>
      </c>
    </row>
    <row r="934" spans="1:70" ht="14.25" customHeight="1">
      <c r="A934" s="26"/>
      <c r="C934" s="26"/>
      <c r="D934" s="27"/>
      <c r="E934" s="27"/>
      <c r="BE934" s="10" t="str">
        <f t="shared" si="150"/>
        <v/>
      </c>
      <c r="BF934" s="8" t="str">
        <f t="shared" si="151"/>
        <v/>
      </c>
      <c r="BG934" s="11" t="str">
        <f t="shared" si="152"/>
        <v/>
      </c>
      <c r="BH934" s="8" t="str">
        <f t="shared" si="153"/>
        <v/>
      </c>
      <c r="BI934" s="8" t="str">
        <f t="shared" si="154"/>
        <v/>
      </c>
      <c r="BJ934" s="9" t="str">
        <f t="shared" si="155"/>
        <v/>
      </c>
      <c r="BK934" s="9" t="str">
        <f>IF($B934="","",COUNTIFS($B$5:$B934,$B934,$BF$5:$BF934,$BF934))</f>
        <v/>
      </c>
      <c r="BL934" s="9" t="str">
        <f>IF($B934="","",COUNTIFS($B$5:$B934,$B934,$BH$5:$BH934,$BH934))</f>
        <v/>
      </c>
      <c r="BM934" s="9" t="str">
        <f t="shared" si="156"/>
        <v/>
      </c>
      <c r="BN934" s="9" t="str">
        <f t="shared" si="157"/>
        <v/>
      </c>
      <c r="BO934" s="9">
        <f t="shared" si="158"/>
        <v>0</v>
      </c>
      <c r="BR934" s="12" t="str">
        <f t="shared" si="159"/>
        <v/>
      </c>
    </row>
    <row r="935" spans="1:70" ht="14.25" customHeight="1">
      <c r="A935" s="26"/>
      <c r="C935" s="26"/>
      <c r="D935" s="27"/>
      <c r="E935" s="27"/>
      <c r="BE935" s="10" t="str">
        <f t="shared" si="150"/>
        <v/>
      </c>
      <c r="BF935" s="8" t="str">
        <f t="shared" si="151"/>
        <v/>
      </c>
      <c r="BG935" s="11" t="str">
        <f t="shared" si="152"/>
        <v/>
      </c>
      <c r="BH935" s="8" t="str">
        <f t="shared" si="153"/>
        <v/>
      </c>
      <c r="BI935" s="8" t="str">
        <f t="shared" si="154"/>
        <v/>
      </c>
      <c r="BJ935" s="9" t="str">
        <f t="shared" si="155"/>
        <v/>
      </c>
      <c r="BK935" s="9" t="str">
        <f>IF($B935="","",COUNTIFS($B$5:$B935,$B935,$BF$5:$BF935,$BF935))</f>
        <v/>
      </c>
      <c r="BL935" s="9" t="str">
        <f>IF($B935="","",COUNTIFS($B$5:$B935,$B935,$BH$5:$BH935,$BH935))</f>
        <v/>
      </c>
      <c r="BM935" s="9" t="str">
        <f t="shared" si="156"/>
        <v/>
      </c>
      <c r="BN935" s="9" t="str">
        <f t="shared" si="157"/>
        <v/>
      </c>
      <c r="BO935" s="9">
        <f t="shared" si="158"/>
        <v>0</v>
      </c>
      <c r="BR935" s="12" t="str">
        <f t="shared" si="159"/>
        <v/>
      </c>
    </row>
    <row r="936" spans="1:70" ht="14.25" customHeight="1">
      <c r="A936" s="26"/>
      <c r="C936" s="26"/>
      <c r="D936" s="27"/>
      <c r="E936" s="27"/>
      <c r="BE936" s="10" t="str">
        <f t="shared" si="150"/>
        <v/>
      </c>
      <c r="BF936" s="8" t="str">
        <f t="shared" si="151"/>
        <v/>
      </c>
      <c r="BG936" s="11" t="str">
        <f t="shared" si="152"/>
        <v/>
      </c>
      <c r="BH936" s="8" t="str">
        <f t="shared" si="153"/>
        <v/>
      </c>
      <c r="BI936" s="8" t="str">
        <f t="shared" si="154"/>
        <v/>
      </c>
      <c r="BJ936" s="9" t="str">
        <f t="shared" si="155"/>
        <v/>
      </c>
      <c r="BK936" s="9" t="str">
        <f>IF($B936="","",COUNTIFS($B$5:$B936,$B936,$BF$5:$BF936,$BF936))</f>
        <v/>
      </c>
      <c r="BL936" s="9" t="str">
        <f>IF($B936="","",COUNTIFS($B$5:$B936,$B936,$BH$5:$BH936,$BH936))</f>
        <v/>
      </c>
      <c r="BM936" s="9" t="str">
        <f t="shared" si="156"/>
        <v/>
      </c>
      <c r="BN936" s="9" t="str">
        <f t="shared" si="157"/>
        <v/>
      </c>
      <c r="BO936" s="9">
        <f t="shared" si="158"/>
        <v>0</v>
      </c>
      <c r="BR936" s="12" t="str">
        <f t="shared" si="159"/>
        <v/>
      </c>
    </row>
    <row r="937" spans="1:70" ht="14.25" customHeight="1">
      <c r="A937" s="26"/>
      <c r="C937" s="26"/>
      <c r="D937" s="27"/>
      <c r="E937" s="27"/>
      <c r="BE937" s="10" t="str">
        <f t="shared" si="150"/>
        <v/>
      </c>
      <c r="BF937" s="8" t="str">
        <f t="shared" si="151"/>
        <v/>
      </c>
      <c r="BG937" s="11" t="str">
        <f t="shared" si="152"/>
        <v/>
      </c>
      <c r="BH937" s="8" t="str">
        <f t="shared" si="153"/>
        <v/>
      </c>
      <c r="BI937" s="8" t="str">
        <f t="shared" si="154"/>
        <v/>
      </c>
      <c r="BJ937" s="9" t="str">
        <f t="shared" si="155"/>
        <v/>
      </c>
      <c r="BK937" s="9" t="str">
        <f>IF($B937="","",COUNTIFS($B$5:$B937,$B937,$BF$5:$BF937,$BF937))</f>
        <v/>
      </c>
      <c r="BL937" s="9" t="str">
        <f>IF($B937="","",COUNTIFS($B$5:$B937,$B937,$BH$5:$BH937,$BH937))</f>
        <v/>
      </c>
      <c r="BM937" s="9" t="str">
        <f t="shared" si="156"/>
        <v/>
      </c>
      <c r="BN937" s="9" t="str">
        <f t="shared" si="157"/>
        <v/>
      </c>
      <c r="BO937" s="9">
        <f t="shared" si="158"/>
        <v>0</v>
      </c>
      <c r="BR937" s="12" t="str">
        <f t="shared" si="159"/>
        <v/>
      </c>
    </row>
    <row r="938" spans="1:70" ht="14.25" customHeight="1">
      <c r="A938" s="26"/>
      <c r="C938" s="26"/>
      <c r="D938" s="27"/>
      <c r="E938" s="27"/>
      <c r="BE938" s="10" t="str">
        <f t="shared" si="150"/>
        <v/>
      </c>
      <c r="BF938" s="8" t="str">
        <f t="shared" si="151"/>
        <v/>
      </c>
      <c r="BG938" s="11" t="str">
        <f t="shared" si="152"/>
        <v/>
      </c>
      <c r="BH938" s="8" t="str">
        <f t="shared" si="153"/>
        <v/>
      </c>
      <c r="BI938" s="8" t="str">
        <f t="shared" si="154"/>
        <v/>
      </c>
      <c r="BJ938" s="9" t="str">
        <f t="shared" si="155"/>
        <v/>
      </c>
      <c r="BK938" s="9" t="str">
        <f>IF($B938="","",COUNTIFS($B$5:$B938,$B938,$BF$5:$BF938,$BF938))</f>
        <v/>
      </c>
      <c r="BL938" s="9" t="str">
        <f>IF($B938="","",COUNTIFS($B$5:$B938,$B938,$BH$5:$BH938,$BH938))</f>
        <v/>
      </c>
      <c r="BM938" s="9" t="str">
        <f t="shared" si="156"/>
        <v/>
      </c>
      <c r="BN938" s="9" t="str">
        <f t="shared" si="157"/>
        <v/>
      </c>
      <c r="BO938" s="9">
        <f t="shared" si="158"/>
        <v>0</v>
      </c>
      <c r="BR938" s="12" t="str">
        <f t="shared" si="159"/>
        <v/>
      </c>
    </row>
    <row r="939" spans="1:70" ht="14.25" customHeight="1">
      <c r="A939" s="26"/>
      <c r="C939" s="26"/>
      <c r="D939" s="27"/>
      <c r="E939" s="27"/>
      <c r="BE939" s="10" t="str">
        <f t="shared" si="150"/>
        <v/>
      </c>
      <c r="BF939" s="8" t="str">
        <f t="shared" si="151"/>
        <v/>
      </c>
      <c r="BG939" s="11" t="str">
        <f t="shared" si="152"/>
        <v/>
      </c>
      <c r="BH939" s="8" t="str">
        <f t="shared" si="153"/>
        <v/>
      </c>
      <c r="BI939" s="8" t="str">
        <f t="shared" si="154"/>
        <v/>
      </c>
      <c r="BJ939" s="9" t="str">
        <f t="shared" si="155"/>
        <v/>
      </c>
      <c r="BK939" s="9" t="str">
        <f>IF($B939="","",COUNTIFS($B$5:$B939,$B939,$BF$5:$BF939,$BF939))</f>
        <v/>
      </c>
      <c r="BL939" s="9" t="str">
        <f>IF($B939="","",COUNTIFS($B$5:$B939,$B939,$BH$5:$BH939,$BH939))</f>
        <v/>
      </c>
      <c r="BM939" s="9" t="str">
        <f t="shared" si="156"/>
        <v/>
      </c>
      <c r="BN939" s="9" t="str">
        <f t="shared" si="157"/>
        <v/>
      </c>
      <c r="BO939" s="9">
        <f t="shared" si="158"/>
        <v>0</v>
      </c>
      <c r="BR939" s="12" t="str">
        <f t="shared" si="159"/>
        <v/>
      </c>
    </row>
    <row r="940" spans="1:70" ht="14.25" customHeight="1">
      <c r="A940" s="26"/>
      <c r="C940" s="26"/>
      <c r="D940" s="27"/>
      <c r="E940" s="27"/>
      <c r="BE940" s="10" t="str">
        <f t="shared" si="150"/>
        <v/>
      </c>
      <c r="BF940" s="8" t="str">
        <f t="shared" si="151"/>
        <v/>
      </c>
      <c r="BG940" s="11" t="str">
        <f t="shared" si="152"/>
        <v/>
      </c>
      <c r="BH940" s="8" t="str">
        <f t="shared" si="153"/>
        <v/>
      </c>
      <c r="BI940" s="8" t="str">
        <f t="shared" si="154"/>
        <v/>
      </c>
      <c r="BJ940" s="9" t="str">
        <f t="shared" si="155"/>
        <v/>
      </c>
      <c r="BK940" s="9" t="str">
        <f>IF($B940="","",COUNTIFS($B$5:$B940,$B940,$BF$5:$BF940,$BF940))</f>
        <v/>
      </c>
      <c r="BL940" s="9" t="str">
        <f>IF($B940="","",COUNTIFS($B$5:$B940,$B940,$BH$5:$BH940,$BH940))</f>
        <v/>
      </c>
      <c r="BM940" s="9" t="str">
        <f t="shared" si="156"/>
        <v/>
      </c>
      <c r="BN940" s="9" t="str">
        <f t="shared" si="157"/>
        <v/>
      </c>
      <c r="BO940" s="9">
        <f t="shared" si="158"/>
        <v>0</v>
      </c>
      <c r="BR940" s="12" t="str">
        <f t="shared" si="159"/>
        <v/>
      </c>
    </row>
    <row r="941" spans="1:70" ht="14.25" customHeight="1">
      <c r="A941" s="26"/>
      <c r="C941" s="26"/>
      <c r="D941" s="27"/>
      <c r="E941" s="27"/>
      <c r="BE941" s="10" t="str">
        <f t="shared" si="150"/>
        <v/>
      </c>
      <c r="BF941" s="8" t="str">
        <f t="shared" si="151"/>
        <v/>
      </c>
      <c r="BG941" s="11" t="str">
        <f t="shared" si="152"/>
        <v/>
      </c>
      <c r="BH941" s="8" t="str">
        <f t="shared" si="153"/>
        <v/>
      </c>
      <c r="BI941" s="8" t="str">
        <f t="shared" si="154"/>
        <v/>
      </c>
      <c r="BJ941" s="9" t="str">
        <f t="shared" si="155"/>
        <v/>
      </c>
      <c r="BK941" s="9" t="str">
        <f>IF($B941="","",COUNTIFS($B$5:$B941,$B941,$BF$5:$BF941,$BF941))</f>
        <v/>
      </c>
      <c r="BL941" s="9" t="str">
        <f>IF($B941="","",COUNTIFS($B$5:$B941,$B941,$BH$5:$BH941,$BH941))</f>
        <v/>
      </c>
      <c r="BM941" s="9" t="str">
        <f t="shared" si="156"/>
        <v/>
      </c>
      <c r="BN941" s="9" t="str">
        <f t="shared" si="157"/>
        <v/>
      </c>
      <c r="BO941" s="9">
        <f t="shared" si="158"/>
        <v>0</v>
      </c>
      <c r="BR941" s="12" t="str">
        <f t="shared" si="159"/>
        <v/>
      </c>
    </row>
    <row r="942" spans="1:70" ht="14.25" customHeight="1">
      <c r="A942" s="26"/>
      <c r="C942" s="26"/>
      <c r="D942" s="27"/>
      <c r="E942" s="27"/>
      <c r="BE942" s="10" t="str">
        <f t="shared" si="150"/>
        <v/>
      </c>
      <c r="BF942" s="8" t="str">
        <f t="shared" si="151"/>
        <v/>
      </c>
      <c r="BG942" s="11" t="str">
        <f t="shared" si="152"/>
        <v/>
      </c>
      <c r="BH942" s="8" t="str">
        <f t="shared" si="153"/>
        <v/>
      </c>
      <c r="BI942" s="8" t="str">
        <f t="shared" si="154"/>
        <v/>
      </c>
      <c r="BJ942" s="9" t="str">
        <f t="shared" si="155"/>
        <v/>
      </c>
      <c r="BK942" s="9" t="str">
        <f>IF($B942="","",COUNTIFS($B$5:$B942,$B942,$BF$5:$BF942,$BF942))</f>
        <v/>
      </c>
      <c r="BL942" s="9" t="str">
        <f>IF($B942="","",COUNTIFS($B$5:$B942,$B942,$BH$5:$BH942,$BH942))</f>
        <v/>
      </c>
      <c r="BM942" s="9" t="str">
        <f t="shared" si="156"/>
        <v/>
      </c>
      <c r="BN942" s="9" t="str">
        <f t="shared" si="157"/>
        <v/>
      </c>
      <c r="BO942" s="9">
        <f t="shared" si="158"/>
        <v>0</v>
      </c>
      <c r="BR942" s="12" t="str">
        <f t="shared" si="159"/>
        <v/>
      </c>
    </row>
    <row r="943" spans="1:70" ht="14.25" customHeight="1">
      <c r="A943" s="26"/>
      <c r="C943" s="26"/>
      <c r="D943" s="27"/>
      <c r="E943" s="27"/>
      <c r="BE943" s="10" t="str">
        <f t="shared" si="150"/>
        <v/>
      </c>
      <c r="BF943" s="8" t="str">
        <f t="shared" si="151"/>
        <v/>
      </c>
      <c r="BG943" s="11" t="str">
        <f t="shared" si="152"/>
        <v/>
      </c>
      <c r="BH943" s="8" t="str">
        <f t="shared" si="153"/>
        <v/>
      </c>
      <c r="BI943" s="8" t="str">
        <f t="shared" si="154"/>
        <v/>
      </c>
      <c r="BJ943" s="9" t="str">
        <f t="shared" si="155"/>
        <v/>
      </c>
      <c r="BK943" s="9" t="str">
        <f>IF($B943="","",COUNTIFS($B$5:$B943,$B943,$BF$5:$BF943,$BF943))</f>
        <v/>
      </c>
      <c r="BL943" s="9" t="str">
        <f>IF($B943="","",COUNTIFS($B$5:$B943,$B943,$BH$5:$BH943,$BH943))</f>
        <v/>
      </c>
      <c r="BM943" s="9" t="str">
        <f t="shared" si="156"/>
        <v/>
      </c>
      <c r="BN943" s="9" t="str">
        <f t="shared" si="157"/>
        <v/>
      </c>
      <c r="BO943" s="9">
        <f t="shared" si="158"/>
        <v>0</v>
      </c>
      <c r="BR943" s="12" t="str">
        <f t="shared" si="159"/>
        <v/>
      </c>
    </row>
    <row r="944" spans="1:70" ht="14.25" customHeight="1">
      <c r="A944" s="26"/>
      <c r="C944" s="26"/>
      <c r="D944" s="27"/>
      <c r="E944" s="27"/>
      <c r="BE944" s="10" t="str">
        <f t="shared" si="150"/>
        <v/>
      </c>
      <c r="BF944" s="8" t="str">
        <f t="shared" si="151"/>
        <v/>
      </c>
      <c r="BG944" s="11" t="str">
        <f t="shared" si="152"/>
        <v/>
      </c>
      <c r="BH944" s="8" t="str">
        <f t="shared" si="153"/>
        <v/>
      </c>
      <c r="BI944" s="8" t="str">
        <f t="shared" si="154"/>
        <v/>
      </c>
      <c r="BJ944" s="9" t="str">
        <f t="shared" si="155"/>
        <v/>
      </c>
      <c r="BK944" s="9" t="str">
        <f>IF($B944="","",COUNTIFS($B$5:$B944,$B944,$BF$5:$BF944,$BF944))</f>
        <v/>
      </c>
      <c r="BL944" s="9" t="str">
        <f>IF($B944="","",COUNTIFS($B$5:$B944,$B944,$BH$5:$BH944,$BH944))</f>
        <v/>
      </c>
      <c r="BM944" s="9" t="str">
        <f t="shared" si="156"/>
        <v/>
      </c>
      <c r="BN944" s="9" t="str">
        <f t="shared" si="157"/>
        <v/>
      </c>
      <c r="BO944" s="9">
        <f t="shared" si="158"/>
        <v>0</v>
      </c>
      <c r="BR944" s="12" t="str">
        <f t="shared" si="159"/>
        <v/>
      </c>
    </row>
    <row r="945" spans="1:70" ht="14.25" customHeight="1">
      <c r="A945" s="26"/>
      <c r="C945" s="26"/>
      <c r="D945" s="27"/>
      <c r="E945" s="27"/>
      <c r="BE945" s="10" t="str">
        <f t="shared" si="150"/>
        <v/>
      </c>
      <c r="BF945" s="8" t="str">
        <f t="shared" si="151"/>
        <v/>
      </c>
      <c r="BG945" s="11" t="str">
        <f t="shared" si="152"/>
        <v/>
      </c>
      <c r="BH945" s="8" t="str">
        <f t="shared" si="153"/>
        <v/>
      </c>
      <c r="BI945" s="8" t="str">
        <f t="shared" si="154"/>
        <v/>
      </c>
      <c r="BJ945" s="9" t="str">
        <f t="shared" si="155"/>
        <v/>
      </c>
      <c r="BK945" s="9" t="str">
        <f>IF($B945="","",COUNTIFS($B$5:$B945,$B945,$BF$5:$BF945,$BF945))</f>
        <v/>
      </c>
      <c r="BL945" s="9" t="str">
        <f>IF($B945="","",COUNTIFS($B$5:$B945,$B945,$BH$5:$BH945,$BH945))</f>
        <v/>
      </c>
      <c r="BM945" s="9" t="str">
        <f t="shared" si="156"/>
        <v/>
      </c>
      <c r="BN945" s="9" t="str">
        <f t="shared" si="157"/>
        <v/>
      </c>
      <c r="BO945" s="9">
        <f t="shared" si="158"/>
        <v>0</v>
      </c>
      <c r="BR945" s="12" t="str">
        <f t="shared" si="159"/>
        <v/>
      </c>
    </row>
    <row r="946" spans="1:70" ht="14.25" customHeight="1">
      <c r="A946" s="26"/>
      <c r="C946" s="26"/>
      <c r="D946" s="27"/>
      <c r="E946" s="27"/>
      <c r="BE946" s="10" t="str">
        <f t="shared" si="150"/>
        <v/>
      </c>
      <c r="BF946" s="8" t="str">
        <f t="shared" si="151"/>
        <v/>
      </c>
      <c r="BG946" s="11" t="str">
        <f t="shared" si="152"/>
        <v/>
      </c>
      <c r="BH946" s="8" t="str">
        <f t="shared" si="153"/>
        <v/>
      </c>
      <c r="BI946" s="8" t="str">
        <f t="shared" si="154"/>
        <v/>
      </c>
      <c r="BJ946" s="9" t="str">
        <f t="shared" si="155"/>
        <v/>
      </c>
      <c r="BK946" s="9" t="str">
        <f>IF($B946="","",COUNTIFS($B$5:$B946,$B946,$BF$5:$BF946,$BF946))</f>
        <v/>
      </c>
      <c r="BL946" s="9" t="str">
        <f>IF($B946="","",COUNTIFS($B$5:$B946,$B946,$BH$5:$BH946,$BH946))</f>
        <v/>
      </c>
      <c r="BM946" s="9" t="str">
        <f t="shared" si="156"/>
        <v/>
      </c>
      <c r="BN946" s="9" t="str">
        <f t="shared" si="157"/>
        <v/>
      </c>
      <c r="BO946" s="9">
        <f t="shared" si="158"/>
        <v>0</v>
      </c>
      <c r="BR946" s="12" t="str">
        <f t="shared" si="159"/>
        <v/>
      </c>
    </row>
    <row r="947" spans="1:70" ht="14.25" customHeight="1">
      <c r="A947" s="26"/>
      <c r="C947" s="26"/>
      <c r="D947" s="27"/>
      <c r="E947" s="27"/>
      <c r="BE947" s="10" t="str">
        <f t="shared" si="150"/>
        <v/>
      </c>
      <c r="BF947" s="8" t="str">
        <f t="shared" si="151"/>
        <v/>
      </c>
      <c r="BG947" s="11" t="str">
        <f t="shared" si="152"/>
        <v/>
      </c>
      <c r="BH947" s="8" t="str">
        <f t="shared" si="153"/>
        <v/>
      </c>
      <c r="BI947" s="8" t="str">
        <f t="shared" si="154"/>
        <v/>
      </c>
      <c r="BJ947" s="9" t="str">
        <f t="shared" si="155"/>
        <v/>
      </c>
      <c r="BK947" s="9" t="str">
        <f>IF($B947="","",COUNTIFS($B$5:$B947,$B947,$BF$5:$BF947,$BF947))</f>
        <v/>
      </c>
      <c r="BL947" s="9" t="str">
        <f>IF($B947="","",COUNTIFS($B$5:$B947,$B947,$BH$5:$BH947,$BH947))</f>
        <v/>
      </c>
      <c r="BM947" s="9" t="str">
        <f t="shared" si="156"/>
        <v/>
      </c>
      <c r="BN947" s="9" t="str">
        <f t="shared" si="157"/>
        <v/>
      </c>
      <c r="BO947" s="9">
        <f t="shared" si="158"/>
        <v>0</v>
      </c>
      <c r="BR947" s="12" t="str">
        <f t="shared" si="159"/>
        <v/>
      </c>
    </row>
    <row r="948" spans="1:70" ht="14.25" customHeight="1">
      <c r="A948" s="26"/>
      <c r="C948" s="26"/>
      <c r="D948" s="27"/>
      <c r="E948" s="27"/>
      <c r="BE948" s="10" t="str">
        <f t="shared" si="150"/>
        <v/>
      </c>
      <c r="BF948" s="8" t="str">
        <f t="shared" si="151"/>
        <v/>
      </c>
      <c r="BG948" s="11" t="str">
        <f t="shared" si="152"/>
        <v/>
      </c>
      <c r="BH948" s="8" t="str">
        <f t="shared" si="153"/>
        <v/>
      </c>
      <c r="BI948" s="8" t="str">
        <f t="shared" si="154"/>
        <v/>
      </c>
      <c r="BJ948" s="9" t="str">
        <f t="shared" si="155"/>
        <v/>
      </c>
      <c r="BK948" s="9" t="str">
        <f>IF($B948="","",COUNTIFS($B$5:$B948,$B948,$BF$5:$BF948,$BF948))</f>
        <v/>
      </c>
      <c r="BL948" s="9" t="str">
        <f>IF($B948="","",COUNTIFS($B$5:$B948,$B948,$BH$5:$BH948,$BH948))</f>
        <v/>
      </c>
      <c r="BM948" s="9" t="str">
        <f t="shared" si="156"/>
        <v/>
      </c>
      <c r="BN948" s="9" t="str">
        <f t="shared" si="157"/>
        <v/>
      </c>
      <c r="BO948" s="9">
        <f t="shared" si="158"/>
        <v>0</v>
      </c>
      <c r="BR948" s="12" t="str">
        <f t="shared" si="159"/>
        <v/>
      </c>
    </row>
    <row r="949" spans="1:70" ht="14.25" customHeight="1">
      <c r="A949" s="26"/>
      <c r="C949" s="26"/>
      <c r="D949" s="27"/>
      <c r="E949" s="27"/>
      <c r="BE949" s="10" t="str">
        <f t="shared" si="150"/>
        <v/>
      </c>
      <c r="BF949" s="8" t="str">
        <f t="shared" si="151"/>
        <v/>
      </c>
      <c r="BG949" s="11" t="str">
        <f t="shared" si="152"/>
        <v/>
      </c>
      <c r="BH949" s="8" t="str">
        <f t="shared" si="153"/>
        <v/>
      </c>
      <c r="BI949" s="8" t="str">
        <f t="shared" si="154"/>
        <v/>
      </c>
      <c r="BJ949" s="9" t="str">
        <f t="shared" si="155"/>
        <v/>
      </c>
      <c r="BK949" s="9" t="str">
        <f>IF($B949="","",COUNTIFS($B$5:$B949,$B949,$BF$5:$BF949,$BF949))</f>
        <v/>
      </c>
      <c r="BL949" s="9" t="str">
        <f>IF($B949="","",COUNTIFS($B$5:$B949,$B949,$BH$5:$BH949,$BH949))</f>
        <v/>
      </c>
      <c r="BM949" s="9" t="str">
        <f t="shared" si="156"/>
        <v/>
      </c>
      <c r="BN949" s="9" t="str">
        <f t="shared" si="157"/>
        <v/>
      </c>
      <c r="BO949" s="9">
        <f t="shared" si="158"/>
        <v>0</v>
      </c>
      <c r="BR949" s="12" t="str">
        <f t="shared" si="159"/>
        <v/>
      </c>
    </row>
    <row r="950" spans="1:70" ht="14.25" customHeight="1">
      <c r="A950" s="26"/>
      <c r="C950" s="26"/>
      <c r="D950" s="27"/>
      <c r="E950" s="27"/>
      <c r="BE950" s="10" t="str">
        <f t="shared" si="150"/>
        <v/>
      </c>
      <c r="BF950" s="8" t="str">
        <f t="shared" si="151"/>
        <v/>
      </c>
      <c r="BG950" s="11" t="str">
        <f t="shared" si="152"/>
        <v/>
      </c>
      <c r="BH950" s="8" t="str">
        <f t="shared" si="153"/>
        <v/>
      </c>
      <c r="BI950" s="8" t="str">
        <f t="shared" si="154"/>
        <v/>
      </c>
      <c r="BJ950" s="9" t="str">
        <f t="shared" si="155"/>
        <v/>
      </c>
      <c r="BK950" s="9" t="str">
        <f>IF($B950="","",COUNTIFS($B$5:$B950,$B950,$BF$5:$BF950,$BF950))</f>
        <v/>
      </c>
      <c r="BL950" s="9" t="str">
        <f>IF($B950="","",COUNTIFS($B$5:$B950,$B950,$BH$5:$BH950,$BH950))</f>
        <v/>
      </c>
      <c r="BM950" s="9" t="str">
        <f t="shared" si="156"/>
        <v/>
      </c>
      <c r="BN950" s="9" t="str">
        <f t="shared" si="157"/>
        <v/>
      </c>
      <c r="BO950" s="9">
        <f t="shared" si="158"/>
        <v>0</v>
      </c>
      <c r="BR950" s="12" t="str">
        <f t="shared" si="159"/>
        <v/>
      </c>
    </row>
    <row r="951" spans="1:70" ht="14.25" customHeight="1">
      <c r="A951" s="26"/>
      <c r="C951" s="26"/>
      <c r="D951" s="27"/>
      <c r="E951" s="27"/>
      <c r="BE951" s="10" t="str">
        <f t="shared" si="150"/>
        <v/>
      </c>
      <c r="BF951" s="8" t="str">
        <f t="shared" si="151"/>
        <v/>
      </c>
      <c r="BG951" s="11" t="str">
        <f t="shared" si="152"/>
        <v/>
      </c>
      <c r="BH951" s="8" t="str">
        <f t="shared" si="153"/>
        <v/>
      </c>
      <c r="BI951" s="8" t="str">
        <f t="shared" si="154"/>
        <v/>
      </c>
      <c r="BJ951" s="9" t="str">
        <f t="shared" si="155"/>
        <v/>
      </c>
      <c r="BK951" s="9" t="str">
        <f>IF($B951="","",COUNTIFS($B$5:$B951,$B951,$BF$5:$BF951,$BF951))</f>
        <v/>
      </c>
      <c r="BL951" s="9" t="str">
        <f>IF($B951="","",COUNTIFS($B$5:$B951,$B951,$BH$5:$BH951,$BH951))</f>
        <v/>
      </c>
      <c r="BM951" s="9" t="str">
        <f t="shared" si="156"/>
        <v/>
      </c>
      <c r="BN951" s="9" t="str">
        <f t="shared" si="157"/>
        <v/>
      </c>
      <c r="BO951" s="9">
        <f t="shared" si="158"/>
        <v>0</v>
      </c>
      <c r="BR951" s="12" t="str">
        <f t="shared" si="159"/>
        <v/>
      </c>
    </row>
    <row r="952" spans="1:70" ht="14.25" customHeight="1">
      <c r="A952" s="26"/>
      <c r="C952" s="26"/>
      <c r="D952" s="27"/>
      <c r="E952" s="27"/>
      <c r="BE952" s="10" t="str">
        <f t="shared" si="150"/>
        <v/>
      </c>
      <c r="BF952" s="8" t="str">
        <f t="shared" si="151"/>
        <v/>
      </c>
      <c r="BG952" s="11" t="str">
        <f t="shared" si="152"/>
        <v/>
      </c>
      <c r="BH952" s="8" t="str">
        <f t="shared" si="153"/>
        <v/>
      </c>
      <c r="BI952" s="8" t="str">
        <f t="shared" si="154"/>
        <v/>
      </c>
      <c r="BJ952" s="9" t="str">
        <f t="shared" si="155"/>
        <v/>
      </c>
      <c r="BK952" s="9" t="str">
        <f>IF($B952="","",COUNTIFS($B$5:$B952,$B952,$BF$5:$BF952,$BF952))</f>
        <v/>
      </c>
      <c r="BL952" s="9" t="str">
        <f>IF($B952="","",COUNTIFS($B$5:$B952,$B952,$BH$5:$BH952,$BH952))</f>
        <v/>
      </c>
      <c r="BM952" s="9" t="str">
        <f t="shared" si="156"/>
        <v/>
      </c>
      <c r="BN952" s="9" t="str">
        <f t="shared" si="157"/>
        <v/>
      </c>
      <c r="BO952" s="9">
        <f t="shared" si="158"/>
        <v>0</v>
      </c>
      <c r="BR952" s="12" t="str">
        <f t="shared" si="159"/>
        <v/>
      </c>
    </row>
    <row r="953" spans="1:70" ht="14.25" customHeight="1">
      <c r="A953" s="26"/>
      <c r="C953" s="26"/>
      <c r="D953" s="27"/>
      <c r="E953" s="27"/>
      <c r="BE953" s="10" t="str">
        <f t="shared" si="150"/>
        <v/>
      </c>
      <c r="BF953" s="8" t="str">
        <f t="shared" si="151"/>
        <v/>
      </c>
      <c r="BG953" s="11" t="str">
        <f t="shared" si="152"/>
        <v/>
      </c>
      <c r="BH953" s="8" t="str">
        <f t="shared" si="153"/>
        <v/>
      </c>
      <c r="BI953" s="8" t="str">
        <f t="shared" si="154"/>
        <v/>
      </c>
      <c r="BJ953" s="9" t="str">
        <f t="shared" si="155"/>
        <v/>
      </c>
      <c r="BK953" s="9" t="str">
        <f>IF($B953="","",COUNTIFS($B$5:$B953,$B953,$BF$5:$BF953,$BF953))</f>
        <v/>
      </c>
      <c r="BL953" s="9" t="str">
        <f>IF($B953="","",COUNTIFS($B$5:$B953,$B953,$BH$5:$BH953,$BH953))</f>
        <v/>
      </c>
      <c r="BM953" s="9" t="str">
        <f t="shared" si="156"/>
        <v/>
      </c>
      <c r="BN953" s="9" t="str">
        <f t="shared" si="157"/>
        <v/>
      </c>
      <c r="BO953" s="9">
        <f t="shared" si="158"/>
        <v>0</v>
      </c>
      <c r="BR953" s="12" t="str">
        <f t="shared" si="159"/>
        <v/>
      </c>
    </row>
    <row r="954" spans="1:70" ht="14.25" customHeight="1">
      <c r="A954" s="26"/>
      <c r="C954" s="26"/>
      <c r="D954" s="27"/>
      <c r="E954" s="27"/>
      <c r="BE954" s="10" t="str">
        <f t="shared" si="150"/>
        <v/>
      </c>
      <c r="BF954" s="8" t="str">
        <f t="shared" si="151"/>
        <v/>
      </c>
      <c r="BG954" s="11" t="str">
        <f t="shared" si="152"/>
        <v/>
      </c>
      <c r="BH954" s="8" t="str">
        <f t="shared" si="153"/>
        <v/>
      </c>
      <c r="BI954" s="8" t="str">
        <f t="shared" si="154"/>
        <v/>
      </c>
      <c r="BJ954" s="9" t="str">
        <f t="shared" si="155"/>
        <v/>
      </c>
      <c r="BK954" s="9" t="str">
        <f>IF($B954="","",COUNTIFS($B$5:$B954,$B954,$BF$5:$BF954,$BF954))</f>
        <v/>
      </c>
      <c r="BL954" s="9" t="str">
        <f>IF($B954="","",COUNTIFS($B$5:$B954,$B954,$BH$5:$BH954,$BH954))</f>
        <v/>
      </c>
      <c r="BM954" s="9" t="str">
        <f t="shared" si="156"/>
        <v/>
      </c>
      <c r="BN954" s="9" t="str">
        <f t="shared" si="157"/>
        <v/>
      </c>
      <c r="BO954" s="9">
        <f t="shared" si="158"/>
        <v>0</v>
      </c>
      <c r="BR954" s="12" t="str">
        <f t="shared" si="159"/>
        <v/>
      </c>
    </row>
    <row r="955" spans="1:70" ht="14.25" customHeight="1">
      <c r="A955" s="26"/>
      <c r="C955" s="26"/>
      <c r="D955" s="27"/>
      <c r="E955" s="27"/>
      <c r="BE955" s="10" t="str">
        <f t="shared" si="150"/>
        <v/>
      </c>
      <c r="BF955" s="8" t="str">
        <f t="shared" si="151"/>
        <v/>
      </c>
      <c r="BG955" s="11" t="str">
        <f t="shared" si="152"/>
        <v/>
      </c>
      <c r="BH955" s="8" t="str">
        <f t="shared" si="153"/>
        <v/>
      </c>
      <c r="BI955" s="8" t="str">
        <f t="shared" si="154"/>
        <v/>
      </c>
      <c r="BJ955" s="9" t="str">
        <f t="shared" si="155"/>
        <v/>
      </c>
      <c r="BK955" s="9" t="str">
        <f>IF($B955="","",COUNTIFS($B$5:$B955,$B955,$BF$5:$BF955,$BF955))</f>
        <v/>
      </c>
      <c r="BL955" s="9" t="str">
        <f>IF($B955="","",COUNTIFS($B$5:$B955,$B955,$BH$5:$BH955,$BH955))</f>
        <v/>
      </c>
      <c r="BM955" s="9" t="str">
        <f t="shared" si="156"/>
        <v/>
      </c>
      <c r="BN955" s="9" t="str">
        <f t="shared" si="157"/>
        <v/>
      </c>
      <c r="BO955" s="9">
        <f t="shared" si="158"/>
        <v>0</v>
      </c>
      <c r="BR955" s="12" t="str">
        <f t="shared" si="159"/>
        <v/>
      </c>
    </row>
    <row r="956" spans="1:70" ht="14.25" customHeight="1">
      <c r="A956" s="26"/>
      <c r="C956" s="26"/>
      <c r="D956" s="27"/>
      <c r="E956" s="27"/>
      <c r="BE956" s="10" t="str">
        <f t="shared" si="150"/>
        <v/>
      </c>
      <c r="BF956" s="8" t="str">
        <f t="shared" si="151"/>
        <v/>
      </c>
      <c r="BG956" s="11" t="str">
        <f t="shared" si="152"/>
        <v/>
      </c>
      <c r="BH956" s="8" t="str">
        <f t="shared" si="153"/>
        <v/>
      </c>
      <c r="BI956" s="8" t="str">
        <f t="shared" si="154"/>
        <v/>
      </c>
      <c r="BJ956" s="9" t="str">
        <f t="shared" si="155"/>
        <v/>
      </c>
      <c r="BK956" s="9" t="str">
        <f>IF($B956="","",COUNTIFS($B$5:$B956,$B956,$BF$5:$BF956,$BF956))</f>
        <v/>
      </c>
      <c r="BL956" s="9" t="str">
        <f>IF($B956="","",COUNTIFS($B$5:$B956,$B956,$BH$5:$BH956,$BH956))</f>
        <v/>
      </c>
      <c r="BM956" s="9" t="str">
        <f t="shared" si="156"/>
        <v/>
      </c>
      <c r="BN956" s="9" t="str">
        <f t="shared" si="157"/>
        <v/>
      </c>
      <c r="BO956" s="9">
        <f t="shared" si="158"/>
        <v>0</v>
      </c>
      <c r="BR956" s="12" t="str">
        <f t="shared" si="159"/>
        <v/>
      </c>
    </row>
    <row r="957" spans="1:70" ht="14.25" customHeight="1">
      <c r="A957" s="26"/>
      <c r="C957" s="26"/>
      <c r="D957" s="27"/>
      <c r="E957" s="27"/>
      <c r="BE957" s="10" t="str">
        <f t="shared" si="150"/>
        <v/>
      </c>
      <c r="BF957" s="8" t="str">
        <f t="shared" si="151"/>
        <v/>
      </c>
      <c r="BG957" s="11" t="str">
        <f t="shared" si="152"/>
        <v/>
      </c>
      <c r="BH957" s="8" t="str">
        <f t="shared" si="153"/>
        <v/>
      </c>
      <c r="BI957" s="8" t="str">
        <f t="shared" si="154"/>
        <v/>
      </c>
      <c r="BJ957" s="9" t="str">
        <f t="shared" si="155"/>
        <v/>
      </c>
      <c r="BK957" s="9" t="str">
        <f>IF($B957="","",COUNTIFS($B$5:$B957,$B957,$BF$5:$BF957,$BF957))</f>
        <v/>
      </c>
      <c r="BL957" s="9" t="str">
        <f>IF($B957="","",COUNTIFS($B$5:$B957,$B957,$BH$5:$BH957,$BH957))</f>
        <v/>
      </c>
      <c r="BM957" s="9" t="str">
        <f t="shared" si="156"/>
        <v/>
      </c>
      <c r="BN957" s="9" t="str">
        <f t="shared" si="157"/>
        <v/>
      </c>
      <c r="BO957" s="9">
        <f t="shared" si="158"/>
        <v>0</v>
      </c>
      <c r="BR957" s="12" t="str">
        <f t="shared" si="159"/>
        <v/>
      </c>
    </row>
    <row r="958" spans="1:70" ht="14.25" customHeight="1">
      <c r="A958" s="26"/>
      <c r="C958" s="26"/>
      <c r="D958" s="27"/>
      <c r="E958" s="27"/>
      <c r="BE958" s="10" t="str">
        <f t="shared" si="150"/>
        <v/>
      </c>
      <c r="BF958" s="8" t="str">
        <f t="shared" si="151"/>
        <v/>
      </c>
      <c r="BG958" s="11" t="str">
        <f t="shared" si="152"/>
        <v/>
      </c>
      <c r="BH958" s="8" t="str">
        <f t="shared" si="153"/>
        <v/>
      </c>
      <c r="BI958" s="8" t="str">
        <f t="shared" si="154"/>
        <v/>
      </c>
      <c r="BJ958" s="9" t="str">
        <f t="shared" si="155"/>
        <v/>
      </c>
      <c r="BK958" s="9" t="str">
        <f>IF($B958="","",COUNTIFS($B$5:$B958,$B958,$BF$5:$BF958,$BF958))</f>
        <v/>
      </c>
      <c r="BL958" s="9" t="str">
        <f>IF($B958="","",COUNTIFS($B$5:$B958,$B958,$BH$5:$BH958,$BH958))</f>
        <v/>
      </c>
      <c r="BM958" s="9" t="str">
        <f t="shared" si="156"/>
        <v/>
      </c>
      <c r="BN958" s="9" t="str">
        <f t="shared" si="157"/>
        <v/>
      </c>
      <c r="BO958" s="9">
        <f t="shared" si="158"/>
        <v>0</v>
      </c>
      <c r="BR958" s="12" t="str">
        <f t="shared" si="159"/>
        <v/>
      </c>
    </row>
    <row r="959" spans="1:70" ht="14.25" customHeight="1">
      <c r="A959" s="26"/>
      <c r="C959" s="26"/>
      <c r="D959" s="27"/>
      <c r="E959" s="27"/>
      <c r="BE959" s="10" t="str">
        <f t="shared" si="150"/>
        <v/>
      </c>
      <c r="BF959" s="8" t="str">
        <f t="shared" si="151"/>
        <v/>
      </c>
      <c r="BG959" s="11" t="str">
        <f t="shared" si="152"/>
        <v/>
      </c>
      <c r="BH959" s="8" t="str">
        <f t="shared" si="153"/>
        <v/>
      </c>
      <c r="BI959" s="8" t="str">
        <f t="shared" si="154"/>
        <v/>
      </c>
      <c r="BJ959" s="9" t="str">
        <f t="shared" si="155"/>
        <v/>
      </c>
      <c r="BK959" s="9" t="str">
        <f>IF($B959="","",COUNTIFS($B$5:$B959,$B959,$BF$5:$BF959,$BF959))</f>
        <v/>
      </c>
      <c r="BL959" s="9" t="str">
        <f>IF($B959="","",COUNTIFS($B$5:$B959,$B959,$BH$5:$BH959,$BH959))</f>
        <v/>
      </c>
      <c r="BM959" s="9" t="str">
        <f t="shared" si="156"/>
        <v/>
      </c>
      <c r="BN959" s="9" t="str">
        <f t="shared" si="157"/>
        <v/>
      </c>
      <c r="BO959" s="9">
        <f t="shared" si="158"/>
        <v>0</v>
      </c>
      <c r="BR959" s="12" t="str">
        <f t="shared" si="159"/>
        <v/>
      </c>
    </row>
    <row r="960" spans="1:70" ht="14.25" customHeight="1">
      <c r="A960" s="26"/>
      <c r="C960" s="26"/>
      <c r="D960" s="27"/>
      <c r="E960" s="27"/>
      <c r="BE960" s="10" t="str">
        <f t="shared" si="150"/>
        <v/>
      </c>
      <c r="BF960" s="8" t="str">
        <f t="shared" si="151"/>
        <v/>
      </c>
      <c r="BG960" s="11" t="str">
        <f t="shared" si="152"/>
        <v/>
      </c>
      <c r="BH960" s="8" t="str">
        <f t="shared" si="153"/>
        <v/>
      </c>
      <c r="BI960" s="8" t="str">
        <f t="shared" si="154"/>
        <v/>
      </c>
      <c r="BJ960" s="9" t="str">
        <f t="shared" si="155"/>
        <v/>
      </c>
      <c r="BK960" s="9" t="str">
        <f>IF($B960="","",COUNTIFS($B$5:$B960,$B960,$BF$5:$BF960,$BF960))</f>
        <v/>
      </c>
      <c r="BL960" s="9" t="str">
        <f>IF($B960="","",COUNTIFS($B$5:$B960,$B960,$BH$5:$BH960,$BH960))</f>
        <v/>
      </c>
      <c r="BM960" s="9" t="str">
        <f t="shared" si="156"/>
        <v/>
      </c>
      <c r="BN960" s="9" t="str">
        <f t="shared" si="157"/>
        <v/>
      </c>
      <c r="BO960" s="9">
        <f t="shared" si="158"/>
        <v>0</v>
      </c>
      <c r="BR960" s="12" t="str">
        <f t="shared" si="159"/>
        <v/>
      </c>
    </row>
    <row r="961" spans="1:70" ht="14.25" customHeight="1">
      <c r="A961" s="26"/>
      <c r="C961" s="26"/>
      <c r="D961" s="27"/>
      <c r="E961" s="27"/>
      <c r="BE961" s="10" t="str">
        <f t="shared" si="150"/>
        <v/>
      </c>
      <c r="BF961" s="8" t="str">
        <f t="shared" si="151"/>
        <v/>
      </c>
      <c r="BG961" s="11" t="str">
        <f t="shared" si="152"/>
        <v/>
      </c>
      <c r="BH961" s="8" t="str">
        <f t="shared" si="153"/>
        <v/>
      </c>
      <c r="BI961" s="8" t="str">
        <f t="shared" si="154"/>
        <v/>
      </c>
      <c r="BJ961" s="9" t="str">
        <f t="shared" si="155"/>
        <v/>
      </c>
      <c r="BK961" s="9" t="str">
        <f>IF($B961="","",COUNTIFS($B$5:$B961,$B961,$BF$5:$BF961,$BF961))</f>
        <v/>
      </c>
      <c r="BL961" s="9" t="str">
        <f>IF($B961="","",COUNTIFS($B$5:$B961,$B961,$BH$5:$BH961,$BH961))</f>
        <v/>
      </c>
      <c r="BM961" s="9" t="str">
        <f t="shared" si="156"/>
        <v/>
      </c>
      <c r="BN961" s="9" t="str">
        <f t="shared" si="157"/>
        <v/>
      </c>
      <c r="BO961" s="9">
        <f t="shared" si="158"/>
        <v>0</v>
      </c>
      <c r="BR961" s="12" t="str">
        <f t="shared" si="159"/>
        <v/>
      </c>
    </row>
    <row r="962" spans="1:70" ht="14.25" customHeight="1">
      <c r="A962" s="26"/>
      <c r="C962" s="26"/>
      <c r="D962" s="27"/>
      <c r="E962" s="27"/>
      <c r="BE962" s="10" t="str">
        <f t="shared" si="150"/>
        <v/>
      </c>
      <c r="BF962" s="8" t="str">
        <f t="shared" si="151"/>
        <v/>
      </c>
      <c r="BG962" s="11" t="str">
        <f t="shared" si="152"/>
        <v/>
      </c>
      <c r="BH962" s="8" t="str">
        <f t="shared" si="153"/>
        <v/>
      </c>
      <c r="BI962" s="8" t="str">
        <f t="shared" si="154"/>
        <v/>
      </c>
      <c r="BJ962" s="9" t="str">
        <f t="shared" si="155"/>
        <v/>
      </c>
      <c r="BK962" s="9" t="str">
        <f>IF($B962="","",COUNTIFS($B$5:$B962,$B962,$BF$5:$BF962,$BF962))</f>
        <v/>
      </c>
      <c r="BL962" s="9" t="str">
        <f>IF($B962="","",COUNTIFS($B$5:$B962,$B962,$BH$5:$BH962,$BH962))</f>
        <v/>
      </c>
      <c r="BM962" s="9" t="str">
        <f t="shared" si="156"/>
        <v/>
      </c>
      <c r="BN962" s="9" t="str">
        <f t="shared" si="157"/>
        <v/>
      </c>
      <c r="BO962" s="9">
        <f t="shared" si="158"/>
        <v>0</v>
      </c>
      <c r="BR962" s="12" t="str">
        <f t="shared" si="159"/>
        <v/>
      </c>
    </row>
    <row r="963" spans="1:70" ht="14.25" customHeight="1">
      <c r="A963" s="26"/>
      <c r="C963" s="26"/>
      <c r="D963" s="27"/>
      <c r="E963" s="27"/>
      <c r="BE963" s="10" t="str">
        <f t="shared" si="150"/>
        <v/>
      </c>
      <c r="BF963" s="8" t="str">
        <f t="shared" si="151"/>
        <v/>
      </c>
      <c r="BG963" s="11" t="str">
        <f t="shared" si="152"/>
        <v/>
      </c>
      <c r="BH963" s="8" t="str">
        <f t="shared" si="153"/>
        <v/>
      </c>
      <c r="BI963" s="8" t="str">
        <f t="shared" si="154"/>
        <v/>
      </c>
      <c r="BJ963" s="9" t="str">
        <f t="shared" si="155"/>
        <v/>
      </c>
      <c r="BK963" s="9" t="str">
        <f>IF($B963="","",COUNTIFS($B$5:$B963,$B963,$BF$5:$BF963,$BF963))</f>
        <v/>
      </c>
      <c r="BL963" s="9" t="str">
        <f>IF($B963="","",COUNTIFS($B$5:$B963,$B963,$BH$5:$BH963,$BH963))</f>
        <v/>
      </c>
      <c r="BM963" s="9" t="str">
        <f t="shared" si="156"/>
        <v/>
      </c>
      <c r="BN963" s="9" t="str">
        <f t="shared" si="157"/>
        <v/>
      </c>
      <c r="BO963" s="9">
        <f t="shared" si="158"/>
        <v>0</v>
      </c>
      <c r="BR963" s="12" t="str">
        <f t="shared" si="159"/>
        <v/>
      </c>
    </row>
    <row r="964" spans="1:70" ht="14.25" customHeight="1">
      <c r="A964" s="26"/>
      <c r="C964" s="26"/>
      <c r="D964" s="27"/>
      <c r="E964" s="27"/>
      <c r="BE964" s="10" t="str">
        <f t="shared" si="150"/>
        <v/>
      </c>
      <c r="BF964" s="8" t="str">
        <f t="shared" si="151"/>
        <v/>
      </c>
      <c r="BG964" s="11" t="str">
        <f t="shared" si="152"/>
        <v/>
      </c>
      <c r="BH964" s="8" t="str">
        <f t="shared" si="153"/>
        <v/>
      </c>
      <c r="BI964" s="8" t="str">
        <f t="shared" si="154"/>
        <v/>
      </c>
      <c r="BJ964" s="9" t="str">
        <f t="shared" si="155"/>
        <v/>
      </c>
      <c r="BK964" s="9" t="str">
        <f>IF($B964="","",COUNTIFS($B$5:$B964,$B964,$BF$5:$BF964,$BF964))</f>
        <v/>
      </c>
      <c r="BL964" s="9" t="str">
        <f>IF($B964="","",COUNTIFS($B$5:$B964,$B964,$BH$5:$BH964,$BH964))</f>
        <v/>
      </c>
      <c r="BM964" s="9" t="str">
        <f t="shared" si="156"/>
        <v/>
      </c>
      <c r="BN964" s="9" t="str">
        <f t="shared" si="157"/>
        <v/>
      </c>
      <c r="BO964" s="9">
        <f t="shared" si="158"/>
        <v>0</v>
      </c>
      <c r="BR964" s="12" t="str">
        <f t="shared" si="159"/>
        <v/>
      </c>
    </row>
    <row r="965" spans="1:70" ht="14.25" customHeight="1">
      <c r="A965" s="26"/>
      <c r="C965" s="26"/>
      <c r="D965" s="27"/>
      <c r="E965" s="27"/>
      <c r="BE965" s="10" t="str">
        <f t="shared" si="150"/>
        <v/>
      </c>
      <c r="BF965" s="8" t="str">
        <f t="shared" si="151"/>
        <v/>
      </c>
      <c r="BG965" s="11" t="str">
        <f t="shared" si="152"/>
        <v/>
      </c>
      <c r="BH965" s="8" t="str">
        <f t="shared" si="153"/>
        <v/>
      </c>
      <c r="BI965" s="8" t="str">
        <f t="shared" si="154"/>
        <v/>
      </c>
      <c r="BJ965" s="9" t="str">
        <f t="shared" si="155"/>
        <v/>
      </c>
      <c r="BK965" s="9" t="str">
        <f>IF($B965="","",COUNTIFS($B$5:$B965,$B965,$BF$5:$BF965,$BF965))</f>
        <v/>
      </c>
      <c r="BL965" s="9" t="str">
        <f>IF($B965="","",COUNTIFS($B$5:$B965,$B965,$BH$5:$BH965,$BH965))</f>
        <v/>
      </c>
      <c r="BM965" s="9" t="str">
        <f t="shared" si="156"/>
        <v/>
      </c>
      <c r="BN965" s="9" t="str">
        <f t="shared" si="157"/>
        <v/>
      </c>
      <c r="BO965" s="9">
        <f t="shared" si="158"/>
        <v>0</v>
      </c>
      <c r="BR965" s="12" t="str">
        <f t="shared" si="159"/>
        <v/>
      </c>
    </row>
    <row r="966" spans="1:70" ht="14.25" customHeight="1">
      <c r="A966" s="26"/>
      <c r="C966" s="26"/>
      <c r="D966" s="27"/>
      <c r="E966" s="27"/>
      <c r="BE966" s="10" t="str">
        <f t="shared" si="150"/>
        <v/>
      </c>
      <c r="BF966" s="8" t="str">
        <f t="shared" si="151"/>
        <v/>
      </c>
      <c r="BG966" s="11" t="str">
        <f t="shared" si="152"/>
        <v/>
      </c>
      <c r="BH966" s="8" t="str">
        <f t="shared" si="153"/>
        <v/>
      </c>
      <c r="BI966" s="8" t="str">
        <f t="shared" si="154"/>
        <v/>
      </c>
      <c r="BJ966" s="9" t="str">
        <f t="shared" si="155"/>
        <v/>
      </c>
      <c r="BK966" s="9" t="str">
        <f>IF($B966="","",COUNTIFS($B$5:$B966,$B966,$BF$5:$BF966,$BF966))</f>
        <v/>
      </c>
      <c r="BL966" s="9" t="str">
        <f>IF($B966="","",COUNTIFS($B$5:$B966,$B966,$BH$5:$BH966,$BH966))</f>
        <v/>
      </c>
      <c r="BM966" s="9" t="str">
        <f t="shared" si="156"/>
        <v/>
      </c>
      <c r="BN966" s="9" t="str">
        <f t="shared" si="157"/>
        <v/>
      </c>
      <c r="BO966" s="9">
        <f t="shared" si="158"/>
        <v>0</v>
      </c>
      <c r="BR966" s="12" t="str">
        <f t="shared" si="159"/>
        <v/>
      </c>
    </row>
    <row r="967" spans="1:70" ht="14.25" customHeight="1">
      <c r="A967" s="26"/>
      <c r="C967" s="26"/>
      <c r="D967" s="27"/>
      <c r="E967" s="27"/>
      <c r="BE967" s="10" t="str">
        <f t="shared" si="150"/>
        <v/>
      </c>
      <c r="BF967" s="8" t="str">
        <f t="shared" si="151"/>
        <v/>
      </c>
      <c r="BG967" s="11" t="str">
        <f t="shared" si="152"/>
        <v/>
      </c>
      <c r="BH967" s="8" t="str">
        <f t="shared" si="153"/>
        <v/>
      </c>
      <c r="BI967" s="8" t="str">
        <f t="shared" si="154"/>
        <v/>
      </c>
      <c r="BJ967" s="9" t="str">
        <f t="shared" si="155"/>
        <v/>
      </c>
      <c r="BK967" s="9" t="str">
        <f>IF($B967="","",COUNTIFS($B$5:$B967,$B967,$BF$5:$BF967,$BF967))</f>
        <v/>
      </c>
      <c r="BL967" s="9" t="str">
        <f>IF($B967="","",COUNTIFS($B$5:$B967,$B967,$BH$5:$BH967,$BH967))</f>
        <v/>
      </c>
      <c r="BM967" s="9" t="str">
        <f t="shared" si="156"/>
        <v/>
      </c>
      <c r="BN967" s="9" t="str">
        <f t="shared" si="157"/>
        <v/>
      </c>
      <c r="BO967" s="9">
        <f t="shared" si="158"/>
        <v>0</v>
      </c>
      <c r="BR967" s="12" t="str">
        <f t="shared" si="159"/>
        <v/>
      </c>
    </row>
    <row r="968" spans="1:70" ht="14.25" customHeight="1">
      <c r="A968" s="26"/>
      <c r="C968" s="26"/>
      <c r="D968" s="27"/>
      <c r="E968" s="27"/>
      <c r="BE968" s="10" t="str">
        <f t="shared" si="150"/>
        <v/>
      </c>
      <c r="BF968" s="8" t="str">
        <f t="shared" si="151"/>
        <v/>
      </c>
      <c r="BG968" s="11" t="str">
        <f t="shared" si="152"/>
        <v/>
      </c>
      <c r="BH968" s="8" t="str">
        <f t="shared" si="153"/>
        <v/>
      </c>
      <c r="BI968" s="8" t="str">
        <f t="shared" si="154"/>
        <v/>
      </c>
      <c r="BJ968" s="9" t="str">
        <f t="shared" si="155"/>
        <v/>
      </c>
      <c r="BK968" s="9" t="str">
        <f>IF($B968="","",COUNTIFS($B$5:$B968,$B968,$BF$5:$BF968,$BF968))</f>
        <v/>
      </c>
      <c r="BL968" s="9" t="str">
        <f>IF($B968="","",COUNTIFS($B$5:$B968,$B968,$BH$5:$BH968,$BH968))</f>
        <v/>
      </c>
      <c r="BM968" s="9" t="str">
        <f t="shared" si="156"/>
        <v/>
      </c>
      <c r="BN968" s="9" t="str">
        <f t="shared" si="157"/>
        <v/>
      </c>
      <c r="BO968" s="9">
        <f t="shared" si="158"/>
        <v>0</v>
      </c>
      <c r="BR968" s="12" t="str">
        <f t="shared" si="159"/>
        <v/>
      </c>
    </row>
    <row r="969" spans="1:70" ht="14.25" customHeight="1">
      <c r="A969" s="26"/>
      <c r="C969" s="26"/>
      <c r="D969" s="27"/>
      <c r="E969" s="27"/>
      <c r="BE969" s="10" t="str">
        <f t="shared" si="150"/>
        <v/>
      </c>
      <c r="BF969" s="8" t="str">
        <f t="shared" si="151"/>
        <v/>
      </c>
      <c r="BG969" s="11" t="str">
        <f t="shared" si="152"/>
        <v/>
      </c>
      <c r="BH969" s="8" t="str">
        <f t="shared" si="153"/>
        <v/>
      </c>
      <c r="BI969" s="8" t="str">
        <f t="shared" si="154"/>
        <v/>
      </c>
      <c r="BJ969" s="9" t="str">
        <f t="shared" si="155"/>
        <v/>
      </c>
      <c r="BK969" s="9" t="str">
        <f>IF($B969="","",COUNTIFS($B$5:$B969,$B969,$BF$5:$BF969,$BF969))</f>
        <v/>
      </c>
      <c r="BL969" s="9" t="str">
        <f>IF($B969="","",COUNTIFS($B$5:$B969,$B969,$BH$5:$BH969,$BH969))</f>
        <v/>
      </c>
      <c r="BM969" s="9" t="str">
        <f t="shared" si="156"/>
        <v/>
      </c>
      <c r="BN969" s="9" t="str">
        <f t="shared" si="157"/>
        <v/>
      </c>
      <c r="BO969" s="9">
        <f t="shared" si="158"/>
        <v>0</v>
      </c>
      <c r="BR969" s="12" t="str">
        <f t="shared" si="159"/>
        <v/>
      </c>
    </row>
    <row r="970" spans="1:70" ht="14.25" customHeight="1">
      <c r="A970" s="26"/>
      <c r="C970" s="26"/>
      <c r="D970" s="27"/>
      <c r="E970" s="27"/>
      <c r="BE970" s="10" t="str">
        <f t="shared" si="150"/>
        <v/>
      </c>
      <c r="BF970" s="8" t="str">
        <f t="shared" si="151"/>
        <v/>
      </c>
      <c r="BG970" s="11" t="str">
        <f t="shared" si="152"/>
        <v/>
      </c>
      <c r="BH970" s="8" t="str">
        <f t="shared" si="153"/>
        <v/>
      </c>
      <c r="BI970" s="8" t="str">
        <f t="shared" si="154"/>
        <v/>
      </c>
      <c r="BJ970" s="9" t="str">
        <f t="shared" si="155"/>
        <v/>
      </c>
      <c r="BK970" s="9" t="str">
        <f>IF($B970="","",COUNTIFS($B$5:$B970,$B970,$BF$5:$BF970,$BF970))</f>
        <v/>
      </c>
      <c r="BL970" s="9" t="str">
        <f>IF($B970="","",COUNTIFS($B$5:$B970,$B970,$BH$5:$BH970,$BH970))</f>
        <v/>
      </c>
      <c r="BM970" s="9" t="str">
        <f t="shared" si="156"/>
        <v/>
      </c>
      <c r="BN970" s="9" t="str">
        <f t="shared" si="157"/>
        <v/>
      </c>
      <c r="BO970" s="9">
        <f t="shared" si="158"/>
        <v>0</v>
      </c>
      <c r="BR970" s="12" t="str">
        <f t="shared" si="159"/>
        <v/>
      </c>
    </row>
    <row r="971" spans="1:70" ht="14.25" customHeight="1">
      <c r="A971" s="26"/>
      <c r="C971" s="26"/>
      <c r="D971" s="27"/>
      <c r="E971" s="27"/>
      <c r="BE971" s="10" t="str">
        <f t="shared" si="150"/>
        <v/>
      </c>
      <c r="BF971" s="8" t="str">
        <f t="shared" si="151"/>
        <v/>
      </c>
      <c r="BG971" s="11" t="str">
        <f t="shared" si="152"/>
        <v/>
      </c>
      <c r="BH971" s="8" t="str">
        <f t="shared" si="153"/>
        <v/>
      </c>
      <c r="BI971" s="8" t="str">
        <f t="shared" si="154"/>
        <v/>
      </c>
      <c r="BJ971" s="9" t="str">
        <f t="shared" si="155"/>
        <v/>
      </c>
      <c r="BK971" s="9" t="str">
        <f>IF($B971="","",COUNTIFS($B$5:$B971,$B971,$BF$5:$BF971,$BF971))</f>
        <v/>
      </c>
      <c r="BL971" s="9" t="str">
        <f>IF($B971="","",COUNTIFS($B$5:$B971,$B971,$BH$5:$BH971,$BH971))</f>
        <v/>
      </c>
      <c r="BM971" s="9" t="str">
        <f t="shared" si="156"/>
        <v/>
      </c>
      <c r="BN971" s="9" t="str">
        <f t="shared" si="157"/>
        <v/>
      </c>
      <c r="BO971" s="9">
        <f t="shared" si="158"/>
        <v>0</v>
      </c>
      <c r="BR971" s="12" t="str">
        <f t="shared" si="159"/>
        <v/>
      </c>
    </row>
    <row r="972" spans="1:70" ht="14.25" customHeight="1">
      <c r="A972" s="26"/>
      <c r="C972" s="26"/>
      <c r="D972" s="27"/>
      <c r="E972" s="27"/>
      <c r="BE972" s="10" t="str">
        <f t="shared" si="150"/>
        <v/>
      </c>
      <c r="BF972" s="8" t="str">
        <f t="shared" si="151"/>
        <v/>
      </c>
      <c r="BG972" s="11" t="str">
        <f t="shared" si="152"/>
        <v/>
      </c>
      <c r="BH972" s="8" t="str">
        <f t="shared" si="153"/>
        <v/>
      </c>
      <c r="BI972" s="8" t="str">
        <f t="shared" si="154"/>
        <v/>
      </c>
      <c r="BJ972" s="9" t="str">
        <f t="shared" si="155"/>
        <v/>
      </c>
      <c r="BK972" s="9" t="str">
        <f>IF($B972="","",COUNTIFS($B$5:$B972,$B972,$BF$5:$BF972,$BF972))</f>
        <v/>
      </c>
      <c r="BL972" s="9" t="str">
        <f>IF($B972="","",COUNTIFS($B$5:$B972,$B972,$BH$5:$BH972,$BH972))</f>
        <v/>
      </c>
      <c r="BM972" s="9" t="str">
        <f t="shared" si="156"/>
        <v/>
      </c>
      <c r="BN972" s="9" t="str">
        <f t="shared" si="157"/>
        <v/>
      </c>
      <c r="BO972" s="9">
        <f t="shared" si="158"/>
        <v>0</v>
      </c>
      <c r="BR972" s="12" t="str">
        <f t="shared" si="159"/>
        <v/>
      </c>
    </row>
    <row r="973" spans="1:70" ht="14.25" customHeight="1">
      <c r="A973" s="26"/>
      <c r="C973" s="26"/>
      <c r="D973" s="27"/>
      <c r="E973" s="27"/>
      <c r="BE973" s="10" t="str">
        <f t="shared" si="150"/>
        <v/>
      </c>
      <c r="BF973" s="8" t="str">
        <f t="shared" si="151"/>
        <v/>
      </c>
      <c r="BG973" s="11" t="str">
        <f t="shared" si="152"/>
        <v/>
      </c>
      <c r="BH973" s="8" t="str">
        <f t="shared" si="153"/>
        <v/>
      </c>
      <c r="BI973" s="8" t="str">
        <f t="shared" si="154"/>
        <v/>
      </c>
      <c r="BJ973" s="9" t="str">
        <f t="shared" si="155"/>
        <v/>
      </c>
      <c r="BK973" s="9" t="str">
        <f>IF($B973="","",COUNTIFS($B$5:$B973,$B973,$BF$5:$BF973,$BF973))</f>
        <v/>
      </c>
      <c r="BL973" s="9" t="str">
        <f>IF($B973="","",COUNTIFS($B$5:$B973,$B973,$BH$5:$BH973,$BH973))</f>
        <v/>
      </c>
      <c r="BM973" s="9" t="str">
        <f t="shared" si="156"/>
        <v/>
      </c>
      <c r="BN973" s="9" t="str">
        <f t="shared" si="157"/>
        <v/>
      </c>
      <c r="BO973" s="9">
        <f t="shared" si="158"/>
        <v>0</v>
      </c>
      <c r="BR973" s="12" t="str">
        <f t="shared" si="159"/>
        <v/>
      </c>
    </row>
    <row r="974" spans="1:70" ht="14.25" customHeight="1">
      <c r="A974" s="26"/>
      <c r="C974" s="26"/>
      <c r="D974" s="27"/>
      <c r="E974" s="27"/>
      <c r="BE974" s="10" t="str">
        <f t="shared" si="150"/>
        <v/>
      </c>
      <c r="BF974" s="8" t="str">
        <f t="shared" si="151"/>
        <v/>
      </c>
      <c r="BG974" s="11" t="str">
        <f t="shared" si="152"/>
        <v/>
      </c>
      <c r="BH974" s="8" t="str">
        <f t="shared" si="153"/>
        <v/>
      </c>
      <c r="BI974" s="8" t="str">
        <f t="shared" si="154"/>
        <v/>
      </c>
      <c r="BJ974" s="9" t="str">
        <f t="shared" si="155"/>
        <v/>
      </c>
      <c r="BK974" s="9" t="str">
        <f>IF($B974="","",COUNTIFS($B$5:$B974,$B974,$BF$5:$BF974,$BF974))</f>
        <v/>
      </c>
      <c r="BL974" s="9" t="str">
        <f>IF($B974="","",COUNTIFS($B$5:$B974,$B974,$BH$5:$BH974,$BH974))</f>
        <v/>
      </c>
      <c r="BM974" s="9" t="str">
        <f t="shared" si="156"/>
        <v/>
      </c>
      <c r="BN974" s="9" t="str">
        <f t="shared" si="157"/>
        <v/>
      </c>
      <c r="BO974" s="9">
        <f t="shared" si="158"/>
        <v>0</v>
      </c>
      <c r="BR974" s="12" t="str">
        <f t="shared" si="159"/>
        <v/>
      </c>
    </row>
    <row r="975" spans="1:70" ht="14.25" customHeight="1">
      <c r="A975" s="26"/>
      <c r="C975" s="26"/>
      <c r="D975" s="27"/>
      <c r="E975" s="27"/>
      <c r="BE975" s="10" t="str">
        <f t="shared" si="150"/>
        <v/>
      </c>
      <c r="BF975" s="8" t="str">
        <f t="shared" si="151"/>
        <v/>
      </c>
      <c r="BG975" s="11" t="str">
        <f t="shared" si="152"/>
        <v/>
      </c>
      <c r="BH975" s="8" t="str">
        <f t="shared" si="153"/>
        <v/>
      </c>
      <c r="BI975" s="8" t="str">
        <f t="shared" si="154"/>
        <v/>
      </c>
      <c r="BJ975" s="9" t="str">
        <f t="shared" si="155"/>
        <v/>
      </c>
      <c r="BK975" s="9" t="str">
        <f>IF($B975="","",COUNTIFS($B$5:$B975,$B975,$BF$5:$BF975,$BF975))</f>
        <v/>
      </c>
      <c r="BL975" s="9" t="str">
        <f>IF($B975="","",COUNTIFS($B$5:$B975,$B975,$BH$5:$BH975,$BH975))</f>
        <v/>
      </c>
      <c r="BM975" s="9" t="str">
        <f t="shared" si="156"/>
        <v/>
      </c>
      <c r="BN975" s="9" t="str">
        <f t="shared" si="157"/>
        <v/>
      </c>
      <c r="BO975" s="9">
        <f t="shared" si="158"/>
        <v>0</v>
      </c>
      <c r="BR975" s="12" t="str">
        <f t="shared" si="159"/>
        <v/>
      </c>
    </row>
    <row r="976" spans="1:70" ht="14.25" customHeight="1">
      <c r="A976" s="26"/>
      <c r="C976" s="26"/>
      <c r="D976" s="27"/>
      <c r="E976" s="27"/>
      <c r="BE976" s="10" t="str">
        <f t="shared" si="150"/>
        <v/>
      </c>
      <c r="BF976" s="8" t="str">
        <f t="shared" si="151"/>
        <v/>
      </c>
      <c r="BG976" s="11" t="str">
        <f t="shared" si="152"/>
        <v/>
      </c>
      <c r="BH976" s="8" t="str">
        <f t="shared" si="153"/>
        <v/>
      </c>
      <c r="BI976" s="8" t="str">
        <f t="shared" si="154"/>
        <v/>
      </c>
      <c r="BJ976" s="9" t="str">
        <f t="shared" si="155"/>
        <v/>
      </c>
      <c r="BK976" s="9" t="str">
        <f>IF($B976="","",COUNTIFS($B$5:$B976,$B976,$BF$5:$BF976,$BF976))</f>
        <v/>
      </c>
      <c r="BL976" s="9" t="str">
        <f>IF($B976="","",COUNTIFS($B$5:$B976,$B976,$BH$5:$BH976,$BH976))</f>
        <v/>
      </c>
      <c r="BM976" s="9" t="str">
        <f t="shared" si="156"/>
        <v/>
      </c>
      <c r="BN976" s="9" t="str">
        <f t="shared" si="157"/>
        <v/>
      </c>
      <c r="BO976" s="9">
        <f t="shared" si="158"/>
        <v>0</v>
      </c>
      <c r="BR976" s="12" t="str">
        <f t="shared" si="159"/>
        <v/>
      </c>
    </row>
    <row r="977" spans="1:70" ht="14.25" customHeight="1">
      <c r="A977" s="26"/>
      <c r="C977" s="26"/>
      <c r="D977" s="27"/>
      <c r="E977" s="27"/>
      <c r="BE977" s="10" t="str">
        <f t="shared" si="150"/>
        <v/>
      </c>
      <c r="BF977" s="8" t="str">
        <f t="shared" si="151"/>
        <v/>
      </c>
      <c r="BG977" s="11" t="str">
        <f t="shared" si="152"/>
        <v/>
      </c>
      <c r="BH977" s="8" t="str">
        <f t="shared" si="153"/>
        <v/>
      </c>
      <c r="BI977" s="8" t="str">
        <f t="shared" si="154"/>
        <v/>
      </c>
      <c r="BJ977" s="9" t="str">
        <f t="shared" si="155"/>
        <v/>
      </c>
      <c r="BK977" s="9" t="str">
        <f>IF($B977="","",COUNTIFS($B$5:$B977,$B977,$BF$5:$BF977,$BF977))</f>
        <v/>
      </c>
      <c r="BL977" s="9" t="str">
        <f>IF($B977="","",COUNTIFS($B$5:$B977,$B977,$BH$5:$BH977,$BH977))</f>
        <v/>
      </c>
      <c r="BM977" s="9" t="str">
        <f t="shared" si="156"/>
        <v/>
      </c>
      <c r="BN977" s="9" t="str">
        <f t="shared" si="157"/>
        <v/>
      </c>
      <c r="BO977" s="9">
        <f t="shared" si="158"/>
        <v>0</v>
      </c>
      <c r="BR977" s="12" t="str">
        <f t="shared" si="159"/>
        <v/>
      </c>
    </row>
    <row r="978" spans="1:70" ht="14.25" customHeight="1">
      <c r="A978" s="26"/>
      <c r="C978" s="26"/>
      <c r="D978" s="27"/>
      <c r="E978" s="27"/>
      <c r="BE978" s="10" t="str">
        <f t="shared" si="150"/>
        <v/>
      </c>
      <c r="BF978" s="8" t="str">
        <f t="shared" si="151"/>
        <v/>
      </c>
      <c r="BG978" s="11" t="str">
        <f t="shared" si="152"/>
        <v/>
      </c>
      <c r="BH978" s="8" t="str">
        <f t="shared" si="153"/>
        <v/>
      </c>
      <c r="BI978" s="8" t="str">
        <f t="shared" si="154"/>
        <v/>
      </c>
      <c r="BJ978" s="9" t="str">
        <f t="shared" si="155"/>
        <v/>
      </c>
      <c r="BK978" s="9" t="str">
        <f>IF($B978="","",COUNTIFS($B$5:$B978,$B978,$BF$5:$BF978,$BF978))</f>
        <v/>
      </c>
      <c r="BL978" s="9" t="str">
        <f>IF($B978="","",COUNTIFS($B$5:$B978,$B978,$BH$5:$BH978,$BH978))</f>
        <v/>
      </c>
      <c r="BM978" s="9" t="str">
        <f t="shared" si="156"/>
        <v/>
      </c>
      <c r="BN978" s="9" t="str">
        <f t="shared" si="157"/>
        <v/>
      </c>
      <c r="BO978" s="9">
        <f t="shared" si="158"/>
        <v>0</v>
      </c>
      <c r="BR978" s="12" t="str">
        <f t="shared" si="159"/>
        <v/>
      </c>
    </row>
    <row r="979" spans="1:70" ht="14.25" customHeight="1">
      <c r="A979" s="26"/>
      <c r="C979" s="26"/>
      <c r="D979" s="27"/>
      <c r="E979" s="27"/>
      <c r="BE979" s="10" t="str">
        <f t="shared" si="150"/>
        <v/>
      </c>
      <c r="BF979" s="8" t="str">
        <f t="shared" si="151"/>
        <v/>
      </c>
      <c r="BG979" s="11" t="str">
        <f t="shared" si="152"/>
        <v/>
      </c>
      <c r="BH979" s="8" t="str">
        <f t="shared" si="153"/>
        <v/>
      </c>
      <c r="BI979" s="8" t="str">
        <f t="shared" si="154"/>
        <v/>
      </c>
      <c r="BJ979" s="9" t="str">
        <f t="shared" si="155"/>
        <v/>
      </c>
      <c r="BK979" s="9" t="str">
        <f>IF($B979="","",COUNTIFS($B$5:$B979,$B979,$BF$5:$BF979,$BF979))</f>
        <v/>
      </c>
      <c r="BL979" s="9" t="str">
        <f>IF($B979="","",COUNTIFS($B$5:$B979,$B979,$BH$5:$BH979,$BH979))</f>
        <v/>
      </c>
      <c r="BM979" s="9" t="str">
        <f t="shared" si="156"/>
        <v/>
      </c>
      <c r="BN979" s="9" t="str">
        <f t="shared" si="157"/>
        <v/>
      </c>
      <c r="BO979" s="9">
        <f t="shared" si="158"/>
        <v>0</v>
      </c>
      <c r="BR979" s="12" t="str">
        <f t="shared" si="159"/>
        <v/>
      </c>
    </row>
    <row r="980" spans="1:70" ht="14.25" customHeight="1">
      <c r="A980" s="26"/>
      <c r="C980" s="26"/>
      <c r="D980" s="27"/>
      <c r="E980" s="27"/>
      <c r="BE980" s="10" t="str">
        <f t="shared" si="150"/>
        <v/>
      </c>
      <c r="BF980" s="8" t="str">
        <f t="shared" si="151"/>
        <v/>
      </c>
      <c r="BG980" s="11" t="str">
        <f t="shared" si="152"/>
        <v/>
      </c>
      <c r="BH980" s="8" t="str">
        <f t="shared" si="153"/>
        <v/>
      </c>
      <c r="BI980" s="8" t="str">
        <f t="shared" si="154"/>
        <v/>
      </c>
      <c r="BJ980" s="9" t="str">
        <f t="shared" si="155"/>
        <v/>
      </c>
      <c r="BK980" s="9" t="str">
        <f>IF($B980="","",COUNTIFS($B$5:$B980,$B980,$BF$5:$BF980,$BF980))</f>
        <v/>
      </c>
      <c r="BL980" s="9" t="str">
        <f>IF($B980="","",COUNTIFS($B$5:$B980,$B980,$BH$5:$BH980,$BH980))</f>
        <v/>
      </c>
      <c r="BM980" s="9" t="str">
        <f t="shared" si="156"/>
        <v/>
      </c>
      <c r="BN980" s="9" t="str">
        <f t="shared" si="157"/>
        <v/>
      </c>
      <c r="BO980" s="9">
        <f t="shared" si="158"/>
        <v>0</v>
      </c>
      <c r="BR980" s="12" t="str">
        <f t="shared" si="159"/>
        <v/>
      </c>
    </row>
    <row r="981" spans="1:70" ht="14.25" customHeight="1">
      <c r="A981" s="26"/>
      <c r="C981" s="26"/>
      <c r="D981" s="27"/>
      <c r="E981" s="27"/>
      <c r="BE981" s="10" t="str">
        <f t="shared" si="150"/>
        <v/>
      </c>
      <c r="BF981" s="8" t="str">
        <f t="shared" si="151"/>
        <v/>
      </c>
      <c r="BG981" s="11" t="str">
        <f t="shared" si="152"/>
        <v/>
      </c>
      <c r="BH981" s="8" t="str">
        <f t="shared" si="153"/>
        <v/>
      </c>
      <c r="BI981" s="8" t="str">
        <f t="shared" si="154"/>
        <v/>
      </c>
      <c r="BJ981" s="9" t="str">
        <f t="shared" si="155"/>
        <v/>
      </c>
      <c r="BK981" s="9" t="str">
        <f>IF($B981="","",COUNTIFS($B$5:$B981,$B981,$BF$5:$BF981,$BF981))</f>
        <v/>
      </c>
      <c r="BL981" s="9" t="str">
        <f>IF($B981="","",COUNTIFS($B$5:$B981,$B981,$BH$5:$BH981,$BH981))</f>
        <v/>
      </c>
      <c r="BM981" s="9" t="str">
        <f t="shared" si="156"/>
        <v/>
      </c>
      <c r="BN981" s="9" t="str">
        <f t="shared" si="157"/>
        <v/>
      </c>
      <c r="BO981" s="9">
        <f t="shared" si="158"/>
        <v>0</v>
      </c>
      <c r="BR981" s="12" t="str">
        <f t="shared" si="159"/>
        <v/>
      </c>
    </row>
    <row r="982" spans="1:70" ht="14.25" customHeight="1">
      <c r="A982" s="26"/>
      <c r="C982" s="26"/>
      <c r="D982" s="27"/>
      <c r="E982" s="27"/>
      <c r="BE982" s="10" t="str">
        <f t="shared" si="150"/>
        <v/>
      </c>
      <c r="BF982" s="8" t="str">
        <f t="shared" si="151"/>
        <v/>
      </c>
      <c r="BG982" s="11" t="str">
        <f t="shared" si="152"/>
        <v/>
      </c>
      <c r="BH982" s="8" t="str">
        <f t="shared" si="153"/>
        <v/>
      </c>
      <c r="BI982" s="8" t="str">
        <f t="shared" si="154"/>
        <v/>
      </c>
      <c r="BJ982" s="9" t="str">
        <f t="shared" si="155"/>
        <v/>
      </c>
      <c r="BK982" s="9" t="str">
        <f>IF($B982="","",COUNTIFS($B$5:$B982,$B982,$BF$5:$BF982,$BF982))</f>
        <v/>
      </c>
      <c r="BL982" s="9" t="str">
        <f>IF($B982="","",COUNTIFS($B$5:$B982,$B982,$BH$5:$BH982,$BH982))</f>
        <v/>
      </c>
      <c r="BM982" s="9" t="str">
        <f t="shared" si="156"/>
        <v/>
      </c>
      <c r="BN982" s="9" t="str">
        <f t="shared" si="157"/>
        <v/>
      </c>
      <c r="BO982" s="9">
        <f t="shared" si="158"/>
        <v>0</v>
      </c>
      <c r="BR982" s="12" t="str">
        <f t="shared" si="159"/>
        <v/>
      </c>
    </row>
    <row r="983" spans="1:70" ht="14.25" customHeight="1">
      <c r="A983" s="26"/>
      <c r="C983" s="26"/>
      <c r="D983" s="27"/>
      <c r="E983" s="27"/>
      <c r="BE983" s="10" t="str">
        <f t="shared" si="150"/>
        <v/>
      </c>
      <c r="BF983" s="8" t="str">
        <f t="shared" si="151"/>
        <v/>
      </c>
      <c r="BG983" s="11" t="str">
        <f t="shared" si="152"/>
        <v/>
      </c>
      <c r="BH983" s="8" t="str">
        <f t="shared" si="153"/>
        <v/>
      </c>
      <c r="BI983" s="8" t="str">
        <f t="shared" si="154"/>
        <v/>
      </c>
      <c r="BJ983" s="9" t="str">
        <f t="shared" si="155"/>
        <v/>
      </c>
      <c r="BK983" s="9" t="str">
        <f>IF($B983="","",COUNTIFS($B$5:$B983,$B983,$BF$5:$BF983,$BF983))</f>
        <v/>
      </c>
      <c r="BL983" s="9" t="str">
        <f>IF($B983="","",COUNTIFS($B$5:$B983,$B983,$BH$5:$BH983,$BH983))</f>
        <v/>
      </c>
      <c r="BM983" s="9" t="str">
        <f t="shared" si="156"/>
        <v/>
      </c>
      <c r="BN983" s="9" t="str">
        <f t="shared" si="157"/>
        <v/>
      </c>
      <c r="BO983" s="9">
        <f t="shared" si="158"/>
        <v>0</v>
      </c>
      <c r="BR983" s="12" t="str">
        <f t="shared" si="159"/>
        <v/>
      </c>
    </row>
    <row r="984" spans="1:70" ht="14.25" customHeight="1">
      <c r="A984" s="26"/>
      <c r="C984" s="26"/>
      <c r="D984" s="27"/>
      <c r="E984" s="27"/>
      <c r="BE984" s="10" t="str">
        <f t="shared" si="150"/>
        <v/>
      </c>
      <c r="BF984" s="8" t="str">
        <f t="shared" si="151"/>
        <v/>
      </c>
      <c r="BG984" s="11" t="str">
        <f t="shared" si="152"/>
        <v/>
      </c>
      <c r="BH984" s="8" t="str">
        <f t="shared" si="153"/>
        <v/>
      </c>
      <c r="BI984" s="8" t="str">
        <f t="shared" si="154"/>
        <v/>
      </c>
      <c r="BJ984" s="9" t="str">
        <f t="shared" si="155"/>
        <v/>
      </c>
      <c r="BK984" s="9" t="str">
        <f>IF($B984="","",COUNTIFS($B$5:$B984,$B984,$BF$5:$BF984,$BF984))</f>
        <v/>
      </c>
      <c r="BL984" s="9" t="str">
        <f>IF($B984="","",COUNTIFS($B$5:$B984,$B984,$BH$5:$BH984,$BH984))</f>
        <v/>
      </c>
      <c r="BM984" s="9" t="str">
        <f t="shared" si="156"/>
        <v/>
      </c>
      <c r="BN984" s="9" t="str">
        <f t="shared" si="157"/>
        <v/>
      </c>
      <c r="BO984" s="9">
        <f t="shared" si="158"/>
        <v>0</v>
      </c>
      <c r="BR984" s="12" t="str">
        <f t="shared" si="159"/>
        <v/>
      </c>
    </row>
    <row r="985" spans="1:70" ht="14.25" customHeight="1">
      <c r="A985" s="26"/>
      <c r="C985" s="26"/>
      <c r="D985" s="27"/>
      <c r="E985" s="27"/>
      <c r="BE985" s="10" t="str">
        <f t="shared" si="150"/>
        <v/>
      </c>
      <c r="BF985" s="8" t="str">
        <f t="shared" si="151"/>
        <v/>
      </c>
      <c r="BG985" s="11" t="str">
        <f t="shared" si="152"/>
        <v/>
      </c>
      <c r="BH985" s="8" t="str">
        <f t="shared" si="153"/>
        <v/>
      </c>
      <c r="BI985" s="8" t="str">
        <f t="shared" si="154"/>
        <v/>
      </c>
      <c r="BJ985" s="9" t="str">
        <f t="shared" si="155"/>
        <v/>
      </c>
      <c r="BK985" s="9" t="str">
        <f>IF($B985="","",COUNTIFS($B$5:$B985,$B985,$BF$5:$BF985,$BF985))</f>
        <v/>
      </c>
      <c r="BL985" s="9" t="str">
        <f>IF($B985="","",COUNTIFS($B$5:$B985,$B985,$BH$5:$BH985,$BH985))</f>
        <v/>
      </c>
      <c r="BM985" s="9" t="str">
        <f t="shared" si="156"/>
        <v/>
      </c>
      <c r="BN985" s="9" t="str">
        <f t="shared" si="157"/>
        <v/>
      </c>
      <c r="BO985" s="9">
        <f t="shared" si="158"/>
        <v>0</v>
      </c>
      <c r="BR985" s="12" t="str">
        <f t="shared" si="159"/>
        <v/>
      </c>
    </row>
    <row r="986" spans="1:70" ht="14.25" customHeight="1">
      <c r="A986" s="26"/>
      <c r="C986" s="26"/>
      <c r="D986" s="27"/>
      <c r="E986" s="27"/>
      <c r="BE986" s="10" t="str">
        <f t="shared" si="150"/>
        <v/>
      </c>
      <c r="BF986" s="8" t="str">
        <f t="shared" si="151"/>
        <v/>
      </c>
      <c r="BG986" s="11" t="str">
        <f t="shared" si="152"/>
        <v/>
      </c>
      <c r="BH986" s="8" t="str">
        <f t="shared" si="153"/>
        <v/>
      </c>
      <c r="BI986" s="8" t="str">
        <f t="shared" si="154"/>
        <v/>
      </c>
      <c r="BJ986" s="9" t="str">
        <f t="shared" si="155"/>
        <v/>
      </c>
      <c r="BK986" s="9" t="str">
        <f>IF($B986="","",COUNTIFS($B$5:$B986,$B986,$BF$5:$BF986,$BF986))</f>
        <v/>
      </c>
      <c r="BL986" s="9" t="str">
        <f>IF($B986="","",COUNTIFS($B$5:$B986,$B986,$BH$5:$BH986,$BH986))</f>
        <v/>
      </c>
      <c r="BM986" s="9" t="str">
        <f t="shared" si="156"/>
        <v/>
      </c>
      <c r="BN986" s="9" t="str">
        <f t="shared" si="157"/>
        <v/>
      </c>
      <c r="BO986" s="9">
        <f t="shared" si="158"/>
        <v>0</v>
      </c>
      <c r="BR986" s="12" t="str">
        <f t="shared" si="159"/>
        <v/>
      </c>
    </row>
    <row r="987" spans="1:70" ht="14.25" customHeight="1">
      <c r="A987" s="26"/>
      <c r="C987" s="26"/>
      <c r="D987" s="27"/>
      <c r="E987" s="27"/>
      <c r="BE987" s="10" t="str">
        <f t="shared" si="150"/>
        <v/>
      </c>
      <c r="BF987" s="8" t="str">
        <f t="shared" si="151"/>
        <v/>
      </c>
      <c r="BG987" s="11" t="str">
        <f t="shared" si="152"/>
        <v/>
      </c>
      <c r="BH987" s="8" t="str">
        <f t="shared" si="153"/>
        <v/>
      </c>
      <c r="BI987" s="8" t="str">
        <f t="shared" si="154"/>
        <v/>
      </c>
      <c r="BJ987" s="9" t="str">
        <f t="shared" si="155"/>
        <v/>
      </c>
      <c r="BK987" s="9" t="str">
        <f>IF($B987="","",COUNTIFS($B$5:$B987,$B987,$BF$5:$BF987,$BF987))</f>
        <v/>
      </c>
      <c r="BL987" s="9" t="str">
        <f>IF($B987="","",COUNTIFS($B$5:$B987,$B987,$BH$5:$BH987,$BH987))</f>
        <v/>
      </c>
      <c r="BM987" s="9" t="str">
        <f t="shared" si="156"/>
        <v/>
      </c>
      <c r="BN987" s="9" t="str">
        <f t="shared" si="157"/>
        <v/>
      </c>
      <c r="BO987" s="9">
        <f t="shared" si="158"/>
        <v>0</v>
      </c>
      <c r="BR987" s="12" t="str">
        <f t="shared" si="159"/>
        <v/>
      </c>
    </row>
    <row r="988" spans="1:70" ht="14.25" customHeight="1">
      <c r="A988" s="26"/>
      <c r="C988" s="26"/>
      <c r="D988" s="27"/>
      <c r="E988" s="27"/>
      <c r="BE988" s="10" t="str">
        <f t="shared" si="150"/>
        <v/>
      </c>
      <c r="BF988" s="8" t="str">
        <f t="shared" si="151"/>
        <v/>
      </c>
      <c r="BG988" s="11" t="str">
        <f t="shared" si="152"/>
        <v/>
      </c>
      <c r="BH988" s="8" t="str">
        <f t="shared" si="153"/>
        <v/>
      </c>
      <c r="BI988" s="8" t="str">
        <f t="shared" si="154"/>
        <v/>
      </c>
      <c r="BJ988" s="9" t="str">
        <f t="shared" si="155"/>
        <v/>
      </c>
      <c r="BK988" s="9" t="str">
        <f>IF($B988="","",COUNTIFS($B$5:$B988,$B988,$BF$5:$BF988,$BF988))</f>
        <v/>
      </c>
      <c r="BL988" s="9" t="str">
        <f>IF($B988="","",COUNTIFS($B$5:$B988,$B988,$BH$5:$BH988,$BH988))</f>
        <v/>
      </c>
      <c r="BM988" s="9" t="str">
        <f t="shared" si="156"/>
        <v/>
      </c>
      <c r="BN988" s="9" t="str">
        <f t="shared" si="157"/>
        <v/>
      </c>
      <c r="BO988" s="9">
        <f t="shared" si="158"/>
        <v>0</v>
      </c>
      <c r="BR988" s="12" t="str">
        <f t="shared" si="159"/>
        <v/>
      </c>
    </row>
    <row r="989" spans="1:70" ht="14.25" customHeight="1">
      <c r="A989" s="26"/>
      <c r="C989" s="26"/>
      <c r="D989" s="27"/>
      <c r="E989" s="27"/>
      <c r="BE989" s="10" t="str">
        <f t="shared" ref="BE989:BE1052" si="160">IF($B989="","",IF(COUNT($H989,$J989,$L989,$N989,$P989,$R989)&gt;0,SUM($H989,$J989,$L989,$N989,$P989,$R989),SUM($T989,$V989,$X989,$Z989,$AB989,$AD989,$AF989,$AH989,$AJ989,$AL989,$AN989,$AP989,$AR989,$AT989,$AV989,$AX989,$AZ989)))</f>
        <v/>
      </c>
      <c r="BF989" s="8" t="str">
        <f t="shared" ref="BF989:BF1052" si="161">IF($C989="","",DATE(YEAR($C989),MONTH($C989),1))</f>
        <v/>
      </c>
      <c r="BG989" s="11" t="str">
        <f t="shared" ref="BG989:BG1052" si="162">IF($BF989="","",TEXT($BF989,"mmmm yyyy"))</f>
        <v/>
      </c>
      <c r="BH989" s="8" t="str">
        <f t="shared" ref="BH989:BH1052" si="163">IF($C989="","",$C989-WEEKDAY($C989,2)+1)</f>
        <v/>
      </c>
      <c r="BI989" s="8" t="str">
        <f t="shared" ref="BI989:BI1052" si="164">IF($BH989="","",$BH989+6)</f>
        <v/>
      </c>
      <c r="BJ989" s="9" t="str">
        <f t="shared" ref="BJ989:BJ1052" si="165">IF($BH989="","",TEXT($BH989,"dd/mm/yyyy")&amp;" - "&amp;TEXT($BI989,"dd/mm/yyyy"))</f>
        <v/>
      </c>
      <c r="BK989" s="9" t="str">
        <f>IF($B989="","",COUNTIFS($B$5:$B989,$B989,$BF$5:$BF989,$BF989))</f>
        <v/>
      </c>
      <c r="BL989" s="9" t="str">
        <f>IF($B989="","",COUNTIFS($B$5:$B989,$B989,$BH$5:$BH989,$BH989))</f>
        <v/>
      </c>
      <c r="BM989" s="9" t="str">
        <f t="shared" ref="BM989:BM1052" si="166">IF($B989="","",TEXT($BK989,"00")&amp;"|"&amp;$B989&amp;"|"&amp;TEXT($BF989,"yyyymmdd"))</f>
        <v/>
      </c>
      <c r="BN989" s="9" t="str">
        <f t="shared" ref="BN989:BN1052" si="167">IF($B989="","",TEXT($BL989,"00")&amp;"|"&amp;$B989&amp;"|"&amp;TEXT($BH989,"yyyymmdd"))</f>
        <v/>
      </c>
      <c r="BO989" s="9">
        <f t="shared" ref="BO989:BO1052" si="168">IF(OR($BB989="YES",$BB989="Yes",$BB989="Y",$BB989=1),1,0)</f>
        <v>0</v>
      </c>
      <c r="BR989" s="12" t="str">
        <f t="shared" ref="BR989:BR1052" si="169">IF($C989="","",IF($C989&gt;=DATE(2026,6,1),"QA-2026-06",IF($C989&gt;=DATE(2026,5,1),"May 2026+",IF($C989&gt;=DATE(2026,4,1),"April 2026",IF($C989&gt;=DATE(2026,3,1),"March 2026","Jan-Feb 2026")))))</f>
        <v/>
      </c>
    </row>
    <row r="990" spans="1:70" ht="14.25" customHeight="1">
      <c r="A990" s="26"/>
      <c r="C990" s="26"/>
      <c r="D990" s="27"/>
      <c r="E990" s="27"/>
      <c r="BE990" s="10" t="str">
        <f t="shared" si="160"/>
        <v/>
      </c>
      <c r="BF990" s="8" t="str">
        <f t="shared" si="161"/>
        <v/>
      </c>
      <c r="BG990" s="11" t="str">
        <f t="shared" si="162"/>
        <v/>
      </c>
      <c r="BH990" s="8" t="str">
        <f t="shared" si="163"/>
        <v/>
      </c>
      <c r="BI990" s="8" t="str">
        <f t="shared" si="164"/>
        <v/>
      </c>
      <c r="BJ990" s="9" t="str">
        <f t="shared" si="165"/>
        <v/>
      </c>
      <c r="BK990" s="9" t="str">
        <f>IF($B990="","",COUNTIFS($B$5:$B990,$B990,$BF$5:$BF990,$BF990))</f>
        <v/>
      </c>
      <c r="BL990" s="9" t="str">
        <f>IF($B990="","",COUNTIFS($B$5:$B990,$B990,$BH$5:$BH990,$BH990))</f>
        <v/>
      </c>
      <c r="BM990" s="9" t="str">
        <f t="shared" si="166"/>
        <v/>
      </c>
      <c r="BN990" s="9" t="str">
        <f t="shared" si="167"/>
        <v/>
      </c>
      <c r="BO990" s="9">
        <f t="shared" si="168"/>
        <v>0</v>
      </c>
      <c r="BR990" s="12" t="str">
        <f t="shared" si="169"/>
        <v/>
      </c>
    </row>
    <row r="991" spans="1:70" ht="14.25" customHeight="1">
      <c r="A991" s="26"/>
      <c r="C991" s="26"/>
      <c r="D991" s="27"/>
      <c r="E991" s="27"/>
      <c r="BE991" s="10" t="str">
        <f t="shared" si="160"/>
        <v/>
      </c>
      <c r="BF991" s="8" t="str">
        <f t="shared" si="161"/>
        <v/>
      </c>
      <c r="BG991" s="11" t="str">
        <f t="shared" si="162"/>
        <v/>
      </c>
      <c r="BH991" s="8" t="str">
        <f t="shared" si="163"/>
        <v/>
      </c>
      <c r="BI991" s="8" t="str">
        <f t="shared" si="164"/>
        <v/>
      </c>
      <c r="BJ991" s="9" t="str">
        <f t="shared" si="165"/>
        <v/>
      </c>
      <c r="BK991" s="9" t="str">
        <f>IF($B991="","",COUNTIFS($B$5:$B991,$B991,$BF$5:$BF991,$BF991))</f>
        <v/>
      </c>
      <c r="BL991" s="9" t="str">
        <f>IF($B991="","",COUNTIFS($B$5:$B991,$B991,$BH$5:$BH991,$BH991))</f>
        <v/>
      </c>
      <c r="BM991" s="9" t="str">
        <f t="shared" si="166"/>
        <v/>
      </c>
      <c r="BN991" s="9" t="str">
        <f t="shared" si="167"/>
        <v/>
      </c>
      <c r="BO991" s="9">
        <f t="shared" si="168"/>
        <v>0</v>
      </c>
      <c r="BR991" s="12" t="str">
        <f t="shared" si="169"/>
        <v/>
      </c>
    </row>
    <row r="992" spans="1:70" ht="14.25" customHeight="1">
      <c r="A992" s="26"/>
      <c r="C992" s="26"/>
      <c r="D992" s="27"/>
      <c r="E992" s="27"/>
      <c r="BE992" s="10" t="str">
        <f t="shared" si="160"/>
        <v/>
      </c>
      <c r="BF992" s="8" t="str">
        <f t="shared" si="161"/>
        <v/>
      </c>
      <c r="BG992" s="11" t="str">
        <f t="shared" si="162"/>
        <v/>
      </c>
      <c r="BH992" s="8" t="str">
        <f t="shared" si="163"/>
        <v/>
      </c>
      <c r="BI992" s="8" t="str">
        <f t="shared" si="164"/>
        <v/>
      </c>
      <c r="BJ992" s="9" t="str">
        <f t="shared" si="165"/>
        <v/>
      </c>
      <c r="BK992" s="9" t="str">
        <f>IF($B992="","",COUNTIFS($B$5:$B992,$B992,$BF$5:$BF992,$BF992))</f>
        <v/>
      </c>
      <c r="BL992" s="9" t="str">
        <f>IF($B992="","",COUNTIFS($B$5:$B992,$B992,$BH$5:$BH992,$BH992))</f>
        <v/>
      </c>
      <c r="BM992" s="9" t="str">
        <f t="shared" si="166"/>
        <v/>
      </c>
      <c r="BN992" s="9" t="str">
        <f t="shared" si="167"/>
        <v/>
      </c>
      <c r="BO992" s="9">
        <f t="shared" si="168"/>
        <v>0</v>
      </c>
      <c r="BR992" s="12" t="str">
        <f t="shared" si="169"/>
        <v/>
      </c>
    </row>
    <row r="993" spans="1:70" ht="14.25" customHeight="1">
      <c r="A993" s="26"/>
      <c r="C993" s="26"/>
      <c r="D993" s="27"/>
      <c r="E993" s="27"/>
      <c r="BE993" s="10" t="str">
        <f t="shared" si="160"/>
        <v/>
      </c>
      <c r="BF993" s="8" t="str">
        <f t="shared" si="161"/>
        <v/>
      </c>
      <c r="BG993" s="11" t="str">
        <f t="shared" si="162"/>
        <v/>
      </c>
      <c r="BH993" s="8" t="str">
        <f t="shared" si="163"/>
        <v/>
      </c>
      <c r="BI993" s="8" t="str">
        <f t="shared" si="164"/>
        <v/>
      </c>
      <c r="BJ993" s="9" t="str">
        <f t="shared" si="165"/>
        <v/>
      </c>
      <c r="BK993" s="9" t="str">
        <f>IF($B993="","",COUNTIFS($B$5:$B993,$B993,$BF$5:$BF993,$BF993))</f>
        <v/>
      </c>
      <c r="BL993" s="9" t="str">
        <f>IF($B993="","",COUNTIFS($B$5:$B993,$B993,$BH$5:$BH993,$BH993))</f>
        <v/>
      </c>
      <c r="BM993" s="9" t="str">
        <f t="shared" si="166"/>
        <v/>
      </c>
      <c r="BN993" s="9" t="str">
        <f t="shared" si="167"/>
        <v/>
      </c>
      <c r="BO993" s="9">
        <f t="shared" si="168"/>
        <v>0</v>
      </c>
      <c r="BR993" s="12" t="str">
        <f t="shared" si="169"/>
        <v/>
      </c>
    </row>
    <row r="994" spans="1:70" ht="14.25" customHeight="1">
      <c r="A994" s="26"/>
      <c r="C994" s="26"/>
      <c r="D994" s="27"/>
      <c r="E994" s="27"/>
      <c r="BE994" s="10" t="str">
        <f t="shared" si="160"/>
        <v/>
      </c>
      <c r="BF994" s="8" t="str">
        <f t="shared" si="161"/>
        <v/>
      </c>
      <c r="BG994" s="11" t="str">
        <f t="shared" si="162"/>
        <v/>
      </c>
      <c r="BH994" s="8" t="str">
        <f t="shared" si="163"/>
        <v/>
      </c>
      <c r="BI994" s="8" t="str">
        <f t="shared" si="164"/>
        <v/>
      </c>
      <c r="BJ994" s="9" t="str">
        <f t="shared" si="165"/>
        <v/>
      </c>
      <c r="BK994" s="9" t="str">
        <f>IF($B994="","",COUNTIFS($B$5:$B994,$B994,$BF$5:$BF994,$BF994))</f>
        <v/>
      </c>
      <c r="BL994" s="9" t="str">
        <f>IF($B994="","",COUNTIFS($B$5:$B994,$B994,$BH$5:$BH994,$BH994))</f>
        <v/>
      </c>
      <c r="BM994" s="9" t="str">
        <f t="shared" si="166"/>
        <v/>
      </c>
      <c r="BN994" s="9" t="str">
        <f t="shared" si="167"/>
        <v/>
      </c>
      <c r="BO994" s="9">
        <f t="shared" si="168"/>
        <v>0</v>
      </c>
      <c r="BR994" s="12" t="str">
        <f t="shared" si="169"/>
        <v/>
      </c>
    </row>
    <row r="995" spans="1:70" ht="14.25" customHeight="1">
      <c r="A995" s="26"/>
      <c r="C995" s="26"/>
      <c r="D995" s="27"/>
      <c r="E995" s="27"/>
      <c r="BE995" s="10" t="str">
        <f t="shared" si="160"/>
        <v/>
      </c>
      <c r="BF995" s="8" t="str">
        <f t="shared" si="161"/>
        <v/>
      </c>
      <c r="BG995" s="11" t="str">
        <f t="shared" si="162"/>
        <v/>
      </c>
      <c r="BH995" s="8" t="str">
        <f t="shared" si="163"/>
        <v/>
      </c>
      <c r="BI995" s="8" t="str">
        <f t="shared" si="164"/>
        <v/>
      </c>
      <c r="BJ995" s="9" t="str">
        <f t="shared" si="165"/>
        <v/>
      </c>
      <c r="BK995" s="9" t="str">
        <f>IF($B995="","",COUNTIFS($B$5:$B995,$B995,$BF$5:$BF995,$BF995))</f>
        <v/>
      </c>
      <c r="BL995" s="9" t="str">
        <f>IF($B995="","",COUNTIFS($B$5:$B995,$B995,$BH$5:$BH995,$BH995))</f>
        <v/>
      </c>
      <c r="BM995" s="9" t="str">
        <f t="shared" si="166"/>
        <v/>
      </c>
      <c r="BN995" s="9" t="str">
        <f t="shared" si="167"/>
        <v/>
      </c>
      <c r="BO995" s="9">
        <f t="shared" si="168"/>
        <v>0</v>
      </c>
      <c r="BR995" s="12" t="str">
        <f t="shared" si="169"/>
        <v/>
      </c>
    </row>
    <row r="996" spans="1:70" ht="14.25" customHeight="1">
      <c r="A996" s="26"/>
      <c r="C996" s="26"/>
      <c r="D996" s="27"/>
      <c r="E996" s="27"/>
      <c r="BE996" s="10" t="str">
        <f t="shared" si="160"/>
        <v/>
      </c>
      <c r="BF996" s="8" t="str">
        <f t="shared" si="161"/>
        <v/>
      </c>
      <c r="BG996" s="11" t="str">
        <f t="shared" si="162"/>
        <v/>
      </c>
      <c r="BH996" s="8" t="str">
        <f t="shared" si="163"/>
        <v/>
      </c>
      <c r="BI996" s="8" t="str">
        <f t="shared" si="164"/>
        <v/>
      </c>
      <c r="BJ996" s="9" t="str">
        <f t="shared" si="165"/>
        <v/>
      </c>
      <c r="BK996" s="9" t="str">
        <f>IF($B996="","",COUNTIFS($B$5:$B996,$B996,$BF$5:$BF996,$BF996))</f>
        <v/>
      </c>
      <c r="BL996" s="9" t="str">
        <f>IF($B996="","",COUNTIFS($B$5:$B996,$B996,$BH$5:$BH996,$BH996))</f>
        <v/>
      </c>
      <c r="BM996" s="9" t="str">
        <f t="shared" si="166"/>
        <v/>
      </c>
      <c r="BN996" s="9" t="str">
        <f t="shared" si="167"/>
        <v/>
      </c>
      <c r="BO996" s="9">
        <f t="shared" si="168"/>
        <v>0</v>
      </c>
      <c r="BR996" s="12" t="str">
        <f t="shared" si="169"/>
        <v/>
      </c>
    </row>
    <row r="997" spans="1:70" ht="14.25" customHeight="1">
      <c r="A997" s="26"/>
      <c r="C997" s="26"/>
      <c r="D997" s="27"/>
      <c r="E997" s="27"/>
      <c r="BE997" s="10" t="str">
        <f t="shared" si="160"/>
        <v/>
      </c>
      <c r="BF997" s="8" t="str">
        <f t="shared" si="161"/>
        <v/>
      </c>
      <c r="BG997" s="11" t="str">
        <f t="shared" si="162"/>
        <v/>
      </c>
      <c r="BH997" s="8" t="str">
        <f t="shared" si="163"/>
        <v/>
      </c>
      <c r="BI997" s="8" t="str">
        <f t="shared" si="164"/>
        <v/>
      </c>
      <c r="BJ997" s="9" t="str">
        <f t="shared" si="165"/>
        <v/>
      </c>
      <c r="BK997" s="9" t="str">
        <f>IF($B997="","",COUNTIFS($B$5:$B997,$B997,$BF$5:$BF997,$BF997))</f>
        <v/>
      </c>
      <c r="BL997" s="9" t="str">
        <f>IF($B997="","",COUNTIFS($B$5:$B997,$B997,$BH$5:$BH997,$BH997))</f>
        <v/>
      </c>
      <c r="BM997" s="9" t="str">
        <f t="shared" si="166"/>
        <v/>
      </c>
      <c r="BN997" s="9" t="str">
        <f t="shared" si="167"/>
        <v/>
      </c>
      <c r="BO997" s="9">
        <f t="shared" si="168"/>
        <v>0</v>
      </c>
      <c r="BR997" s="12" t="str">
        <f t="shared" si="169"/>
        <v/>
      </c>
    </row>
    <row r="998" spans="1:70" ht="14.25" customHeight="1">
      <c r="A998" s="26"/>
      <c r="C998" s="26"/>
      <c r="D998" s="27"/>
      <c r="E998" s="27"/>
      <c r="BE998" s="10" t="str">
        <f t="shared" si="160"/>
        <v/>
      </c>
      <c r="BF998" s="8" t="str">
        <f t="shared" si="161"/>
        <v/>
      </c>
      <c r="BG998" s="11" t="str">
        <f t="shared" si="162"/>
        <v/>
      </c>
      <c r="BH998" s="8" t="str">
        <f t="shared" si="163"/>
        <v/>
      </c>
      <c r="BI998" s="8" t="str">
        <f t="shared" si="164"/>
        <v/>
      </c>
      <c r="BJ998" s="9" t="str">
        <f t="shared" si="165"/>
        <v/>
      </c>
      <c r="BK998" s="9" t="str">
        <f>IF($B998="","",COUNTIFS($B$5:$B998,$B998,$BF$5:$BF998,$BF998))</f>
        <v/>
      </c>
      <c r="BL998" s="9" t="str">
        <f>IF($B998="","",COUNTIFS($B$5:$B998,$B998,$BH$5:$BH998,$BH998))</f>
        <v/>
      </c>
      <c r="BM998" s="9" t="str">
        <f t="shared" si="166"/>
        <v/>
      </c>
      <c r="BN998" s="9" t="str">
        <f t="shared" si="167"/>
        <v/>
      </c>
      <c r="BO998" s="9">
        <f t="shared" si="168"/>
        <v>0</v>
      </c>
      <c r="BR998" s="12" t="str">
        <f t="shared" si="169"/>
        <v/>
      </c>
    </row>
    <row r="999" spans="1:70" ht="14.25" customHeight="1">
      <c r="A999" s="26"/>
      <c r="C999" s="26"/>
      <c r="D999" s="27"/>
      <c r="E999" s="27"/>
      <c r="BE999" s="10" t="str">
        <f t="shared" si="160"/>
        <v/>
      </c>
      <c r="BF999" s="8" t="str">
        <f t="shared" si="161"/>
        <v/>
      </c>
      <c r="BG999" s="11" t="str">
        <f t="shared" si="162"/>
        <v/>
      </c>
      <c r="BH999" s="8" t="str">
        <f t="shared" si="163"/>
        <v/>
      </c>
      <c r="BI999" s="8" t="str">
        <f t="shared" si="164"/>
        <v/>
      </c>
      <c r="BJ999" s="9" t="str">
        <f t="shared" si="165"/>
        <v/>
      </c>
      <c r="BK999" s="9" t="str">
        <f>IF($B999="","",COUNTIFS($B$5:$B999,$B999,$BF$5:$BF999,$BF999))</f>
        <v/>
      </c>
      <c r="BL999" s="9" t="str">
        <f>IF($B999="","",COUNTIFS($B$5:$B999,$B999,$BH$5:$BH999,$BH999))</f>
        <v/>
      </c>
      <c r="BM999" s="9" t="str">
        <f t="shared" si="166"/>
        <v/>
      </c>
      <c r="BN999" s="9" t="str">
        <f t="shared" si="167"/>
        <v/>
      </c>
      <c r="BO999" s="9">
        <f t="shared" si="168"/>
        <v>0</v>
      </c>
      <c r="BR999" s="12" t="str">
        <f t="shared" si="169"/>
        <v/>
      </c>
    </row>
    <row r="1000" spans="1:70" ht="14.25" customHeight="1">
      <c r="A1000" s="26"/>
      <c r="C1000" s="26"/>
      <c r="D1000" s="27"/>
      <c r="E1000" s="27"/>
      <c r="BE1000" s="10" t="str">
        <f t="shared" si="160"/>
        <v/>
      </c>
      <c r="BF1000" s="8" t="str">
        <f t="shared" si="161"/>
        <v/>
      </c>
      <c r="BG1000" s="11" t="str">
        <f t="shared" si="162"/>
        <v/>
      </c>
      <c r="BH1000" s="8" t="str">
        <f t="shared" si="163"/>
        <v/>
      </c>
      <c r="BI1000" s="8" t="str">
        <f t="shared" si="164"/>
        <v/>
      </c>
      <c r="BJ1000" s="9" t="str">
        <f t="shared" si="165"/>
        <v/>
      </c>
      <c r="BK1000" s="9" t="str">
        <f>IF($B1000="","",COUNTIFS($B$5:$B1000,$B1000,$BF$5:$BF1000,$BF1000))</f>
        <v/>
      </c>
      <c r="BL1000" s="9" t="str">
        <f>IF($B1000="","",COUNTIFS($B$5:$B1000,$B1000,$BH$5:$BH1000,$BH1000))</f>
        <v/>
      </c>
      <c r="BM1000" s="9" t="str">
        <f t="shared" si="166"/>
        <v/>
      </c>
      <c r="BN1000" s="9" t="str">
        <f t="shared" si="167"/>
        <v/>
      </c>
      <c r="BO1000" s="9">
        <f t="shared" si="168"/>
        <v>0</v>
      </c>
      <c r="BR1000" s="12" t="str">
        <f t="shared" si="169"/>
        <v/>
      </c>
    </row>
    <row r="1001" spans="1:70" ht="14.25" customHeight="1">
      <c r="A1001" s="26"/>
      <c r="C1001" s="26"/>
      <c r="D1001" s="27"/>
      <c r="E1001" s="27"/>
      <c r="BE1001" s="10" t="str">
        <f t="shared" si="160"/>
        <v/>
      </c>
      <c r="BF1001" s="8" t="str">
        <f t="shared" si="161"/>
        <v/>
      </c>
      <c r="BG1001" s="11" t="str">
        <f t="shared" si="162"/>
        <v/>
      </c>
      <c r="BH1001" s="8" t="str">
        <f t="shared" si="163"/>
        <v/>
      </c>
      <c r="BI1001" s="8" t="str">
        <f t="shared" si="164"/>
        <v/>
      </c>
      <c r="BJ1001" s="9" t="str">
        <f t="shared" si="165"/>
        <v/>
      </c>
      <c r="BK1001" s="9" t="str">
        <f>IF($B1001="","",COUNTIFS($B$5:$B1001,$B1001,$BF$5:$BF1001,$BF1001))</f>
        <v/>
      </c>
      <c r="BL1001" s="9" t="str">
        <f>IF($B1001="","",COUNTIFS($B$5:$B1001,$B1001,$BH$5:$BH1001,$BH1001))</f>
        <v/>
      </c>
      <c r="BM1001" s="9" t="str">
        <f t="shared" si="166"/>
        <v/>
      </c>
      <c r="BN1001" s="9" t="str">
        <f t="shared" si="167"/>
        <v/>
      </c>
      <c r="BO1001" s="9">
        <f t="shared" si="168"/>
        <v>0</v>
      </c>
      <c r="BR1001" s="12" t="str">
        <f t="shared" si="169"/>
        <v/>
      </c>
    </row>
    <row r="1002" spans="1:70" ht="14.25" customHeight="1">
      <c r="A1002" s="26"/>
      <c r="C1002" s="26"/>
      <c r="D1002" s="27"/>
      <c r="E1002" s="27"/>
      <c r="BE1002" s="10" t="str">
        <f t="shared" si="160"/>
        <v/>
      </c>
      <c r="BF1002" s="8" t="str">
        <f t="shared" si="161"/>
        <v/>
      </c>
      <c r="BG1002" s="11" t="str">
        <f t="shared" si="162"/>
        <v/>
      </c>
      <c r="BH1002" s="8" t="str">
        <f t="shared" si="163"/>
        <v/>
      </c>
      <c r="BI1002" s="8" t="str">
        <f t="shared" si="164"/>
        <v/>
      </c>
      <c r="BJ1002" s="9" t="str">
        <f t="shared" si="165"/>
        <v/>
      </c>
      <c r="BK1002" s="9" t="str">
        <f>IF($B1002="","",COUNTIFS($B$5:$B1002,$B1002,$BF$5:$BF1002,$BF1002))</f>
        <v/>
      </c>
      <c r="BL1002" s="9" t="str">
        <f>IF($B1002="","",COUNTIFS($B$5:$B1002,$B1002,$BH$5:$BH1002,$BH1002))</f>
        <v/>
      </c>
      <c r="BM1002" s="9" t="str">
        <f t="shared" si="166"/>
        <v/>
      </c>
      <c r="BN1002" s="9" t="str">
        <f t="shared" si="167"/>
        <v/>
      </c>
      <c r="BO1002" s="9">
        <f t="shared" si="168"/>
        <v>0</v>
      </c>
      <c r="BR1002" s="12" t="str">
        <f t="shared" si="169"/>
        <v/>
      </c>
    </row>
    <row r="1003" spans="1:70" ht="14.25" customHeight="1">
      <c r="A1003" s="26"/>
      <c r="C1003" s="26"/>
      <c r="D1003" s="27"/>
      <c r="E1003" s="27"/>
      <c r="BE1003" s="10" t="str">
        <f t="shared" si="160"/>
        <v/>
      </c>
      <c r="BF1003" s="8" t="str">
        <f t="shared" si="161"/>
        <v/>
      </c>
      <c r="BG1003" s="11" t="str">
        <f t="shared" si="162"/>
        <v/>
      </c>
      <c r="BH1003" s="8" t="str">
        <f t="shared" si="163"/>
        <v/>
      </c>
      <c r="BI1003" s="8" t="str">
        <f t="shared" si="164"/>
        <v/>
      </c>
      <c r="BJ1003" s="9" t="str">
        <f t="shared" si="165"/>
        <v/>
      </c>
      <c r="BK1003" s="9" t="str">
        <f>IF($B1003="","",COUNTIFS($B$5:$B1003,$B1003,$BF$5:$BF1003,$BF1003))</f>
        <v/>
      </c>
      <c r="BL1003" s="9" t="str">
        <f>IF($B1003="","",COUNTIFS($B$5:$B1003,$B1003,$BH$5:$BH1003,$BH1003))</f>
        <v/>
      </c>
      <c r="BM1003" s="9" t="str">
        <f t="shared" si="166"/>
        <v/>
      </c>
      <c r="BN1003" s="9" t="str">
        <f t="shared" si="167"/>
        <v/>
      </c>
      <c r="BO1003" s="9">
        <f t="shared" si="168"/>
        <v>0</v>
      </c>
      <c r="BR1003" s="12" t="str">
        <f t="shared" si="169"/>
        <v/>
      </c>
    </row>
    <row r="1004" spans="1:70" ht="14.25" customHeight="1">
      <c r="A1004" s="26"/>
      <c r="C1004" s="26"/>
      <c r="D1004" s="27"/>
      <c r="E1004" s="27"/>
      <c r="BE1004" s="10" t="str">
        <f t="shared" si="160"/>
        <v/>
      </c>
      <c r="BF1004" s="8" t="str">
        <f t="shared" si="161"/>
        <v/>
      </c>
      <c r="BG1004" s="11" t="str">
        <f t="shared" si="162"/>
        <v/>
      </c>
      <c r="BH1004" s="8" t="str">
        <f t="shared" si="163"/>
        <v/>
      </c>
      <c r="BI1004" s="8" t="str">
        <f t="shared" si="164"/>
        <v/>
      </c>
      <c r="BJ1004" s="9" t="str">
        <f t="shared" si="165"/>
        <v/>
      </c>
      <c r="BK1004" s="9" t="str">
        <f>IF($B1004="","",COUNTIFS($B$5:$B1004,$B1004,$BF$5:$BF1004,$BF1004))</f>
        <v/>
      </c>
      <c r="BL1004" s="9" t="str">
        <f>IF($B1004="","",COUNTIFS($B$5:$B1004,$B1004,$BH$5:$BH1004,$BH1004))</f>
        <v/>
      </c>
      <c r="BM1004" s="9" t="str">
        <f t="shared" si="166"/>
        <v/>
      </c>
      <c r="BN1004" s="9" t="str">
        <f t="shared" si="167"/>
        <v/>
      </c>
      <c r="BO1004" s="9">
        <f t="shared" si="168"/>
        <v>0</v>
      </c>
      <c r="BR1004" s="12" t="str">
        <f t="shared" si="169"/>
        <v/>
      </c>
    </row>
    <row r="1005" spans="1:70" ht="14.25" customHeight="1">
      <c r="A1005" s="26"/>
      <c r="C1005" s="26"/>
      <c r="D1005" s="27"/>
      <c r="E1005" s="27"/>
      <c r="BE1005" s="10" t="str">
        <f t="shared" si="160"/>
        <v/>
      </c>
      <c r="BF1005" s="8" t="str">
        <f t="shared" si="161"/>
        <v/>
      </c>
      <c r="BG1005" s="11" t="str">
        <f t="shared" si="162"/>
        <v/>
      </c>
      <c r="BH1005" s="8" t="str">
        <f t="shared" si="163"/>
        <v/>
      </c>
      <c r="BI1005" s="8" t="str">
        <f t="shared" si="164"/>
        <v/>
      </c>
      <c r="BJ1005" s="9" t="str">
        <f t="shared" si="165"/>
        <v/>
      </c>
      <c r="BK1005" s="9" t="str">
        <f>IF($B1005="","",COUNTIFS($B$5:$B1005,$B1005,$BF$5:$BF1005,$BF1005))</f>
        <v/>
      </c>
      <c r="BL1005" s="9" t="str">
        <f>IF($B1005="","",COUNTIFS($B$5:$B1005,$B1005,$BH$5:$BH1005,$BH1005))</f>
        <v/>
      </c>
      <c r="BM1005" s="9" t="str">
        <f t="shared" si="166"/>
        <v/>
      </c>
      <c r="BN1005" s="9" t="str">
        <f t="shared" si="167"/>
        <v/>
      </c>
      <c r="BO1005" s="9">
        <f t="shared" si="168"/>
        <v>0</v>
      </c>
      <c r="BR1005" s="12" t="str">
        <f t="shared" si="169"/>
        <v/>
      </c>
    </row>
    <row r="1006" spans="1:70" ht="14.25" customHeight="1">
      <c r="A1006" s="26"/>
      <c r="C1006" s="26"/>
      <c r="D1006" s="27"/>
      <c r="E1006" s="27"/>
      <c r="BE1006" s="10" t="str">
        <f t="shared" si="160"/>
        <v/>
      </c>
      <c r="BF1006" s="8" t="str">
        <f t="shared" si="161"/>
        <v/>
      </c>
      <c r="BG1006" s="11" t="str">
        <f t="shared" si="162"/>
        <v/>
      </c>
      <c r="BH1006" s="8" t="str">
        <f t="shared" si="163"/>
        <v/>
      </c>
      <c r="BI1006" s="8" t="str">
        <f t="shared" si="164"/>
        <v/>
      </c>
      <c r="BJ1006" s="9" t="str">
        <f t="shared" si="165"/>
        <v/>
      </c>
      <c r="BK1006" s="9" t="str">
        <f>IF($B1006="","",COUNTIFS($B$5:$B1006,$B1006,$BF$5:$BF1006,$BF1006))</f>
        <v/>
      </c>
      <c r="BL1006" s="9" t="str">
        <f>IF($B1006="","",COUNTIFS($B$5:$B1006,$B1006,$BH$5:$BH1006,$BH1006))</f>
        <v/>
      </c>
      <c r="BM1006" s="9" t="str">
        <f t="shared" si="166"/>
        <v/>
      </c>
      <c r="BN1006" s="9" t="str">
        <f t="shared" si="167"/>
        <v/>
      </c>
      <c r="BO1006" s="9">
        <f t="shared" si="168"/>
        <v>0</v>
      </c>
      <c r="BR1006" s="12" t="str">
        <f t="shared" si="169"/>
        <v/>
      </c>
    </row>
    <row r="1007" spans="1:70" ht="14.25" customHeight="1">
      <c r="A1007" s="26"/>
      <c r="C1007" s="26"/>
      <c r="D1007" s="27"/>
      <c r="E1007" s="27"/>
      <c r="BE1007" s="10" t="str">
        <f t="shared" si="160"/>
        <v/>
      </c>
      <c r="BF1007" s="8" t="str">
        <f t="shared" si="161"/>
        <v/>
      </c>
      <c r="BG1007" s="11" t="str">
        <f t="shared" si="162"/>
        <v/>
      </c>
      <c r="BH1007" s="8" t="str">
        <f t="shared" si="163"/>
        <v/>
      </c>
      <c r="BI1007" s="8" t="str">
        <f t="shared" si="164"/>
        <v/>
      </c>
      <c r="BJ1007" s="9" t="str">
        <f t="shared" si="165"/>
        <v/>
      </c>
      <c r="BK1007" s="9" t="str">
        <f>IF($B1007="","",COUNTIFS($B$5:$B1007,$B1007,$BF$5:$BF1007,$BF1007))</f>
        <v/>
      </c>
      <c r="BL1007" s="9" t="str">
        <f>IF($B1007="","",COUNTIFS($B$5:$B1007,$B1007,$BH$5:$BH1007,$BH1007))</f>
        <v/>
      </c>
      <c r="BM1007" s="9" t="str">
        <f t="shared" si="166"/>
        <v/>
      </c>
      <c r="BN1007" s="9" t="str">
        <f t="shared" si="167"/>
        <v/>
      </c>
      <c r="BO1007" s="9">
        <f t="shared" si="168"/>
        <v>0</v>
      </c>
      <c r="BR1007" s="12" t="str">
        <f t="shared" si="169"/>
        <v/>
      </c>
    </row>
    <row r="1008" spans="1:70" ht="14.25" customHeight="1">
      <c r="A1008" s="26"/>
      <c r="C1008" s="26"/>
      <c r="D1008" s="27"/>
      <c r="E1008" s="27"/>
      <c r="BE1008" s="10" t="str">
        <f t="shared" si="160"/>
        <v/>
      </c>
      <c r="BF1008" s="8" t="str">
        <f t="shared" si="161"/>
        <v/>
      </c>
      <c r="BG1008" s="11" t="str">
        <f t="shared" si="162"/>
        <v/>
      </c>
      <c r="BH1008" s="8" t="str">
        <f t="shared" si="163"/>
        <v/>
      </c>
      <c r="BI1008" s="8" t="str">
        <f t="shared" si="164"/>
        <v/>
      </c>
      <c r="BJ1008" s="9" t="str">
        <f t="shared" si="165"/>
        <v/>
      </c>
      <c r="BK1008" s="9" t="str">
        <f>IF($B1008="","",COUNTIFS($B$5:$B1008,$B1008,$BF$5:$BF1008,$BF1008))</f>
        <v/>
      </c>
      <c r="BL1008" s="9" t="str">
        <f>IF($B1008="","",COUNTIFS($B$5:$B1008,$B1008,$BH$5:$BH1008,$BH1008))</f>
        <v/>
      </c>
      <c r="BM1008" s="9" t="str">
        <f t="shared" si="166"/>
        <v/>
      </c>
      <c r="BN1008" s="9" t="str">
        <f t="shared" si="167"/>
        <v/>
      </c>
      <c r="BO1008" s="9">
        <f t="shared" si="168"/>
        <v>0</v>
      </c>
      <c r="BR1008" s="12" t="str">
        <f t="shared" si="169"/>
        <v/>
      </c>
    </row>
    <row r="1009" spans="1:70" ht="14.25" customHeight="1">
      <c r="A1009" s="26"/>
      <c r="C1009" s="26"/>
      <c r="D1009" s="27"/>
      <c r="E1009" s="27"/>
      <c r="BE1009" s="10" t="str">
        <f t="shared" si="160"/>
        <v/>
      </c>
      <c r="BF1009" s="8" t="str">
        <f t="shared" si="161"/>
        <v/>
      </c>
      <c r="BG1009" s="11" t="str">
        <f t="shared" si="162"/>
        <v/>
      </c>
      <c r="BH1009" s="8" t="str">
        <f t="shared" si="163"/>
        <v/>
      </c>
      <c r="BI1009" s="8" t="str">
        <f t="shared" si="164"/>
        <v/>
      </c>
      <c r="BJ1009" s="9" t="str">
        <f t="shared" si="165"/>
        <v/>
      </c>
      <c r="BK1009" s="9" t="str">
        <f>IF($B1009="","",COUNTIFS($B$5:$B1009,$B1009,$BF$5:$BF1009,$BF1009))</f>
        <v/>
      </c>
      <c r="BL1009" s="9" t="str">
        <f>IF($B1009="","",COUNTIFS($B$5:$B1009,$B1009,$BH$5:$BH1009,$BH1009))</f>
        <v/>
      </c>
      <c r="BM1009" s="9" t="str">
        <f t="shared" si="166"/>
        <v/>
      </c>
      <c r="BN1009" s="9" t="str">
        <f t="shared" si="167"/>
        <v/>
      </c>
      <c r="BO1009" s="9">
        <f t="shared" si="168"/>
        <v>0</v>
      </c>
      <c r="BR1009" s="12" t="str">
        <f t="shared" si="169"/>
        <v/>
      </c>
    </row>
    <row r="1010" spans="1:70" ht="14.25" customHeight="1">
      <c r="A1010" s="26"/>
      <c r="C1010" s="26"/>
      <c r="D1010" s="27"/>
      <c r="E1010" s="27"/>
      <c r="BE1010" s="10" t="str">
        <f t="shared" si="160"/>
        <v/>
      </c>
      <c r="BF1010" s="8" t="str">
        <f t="shared" si="161"/>
        <v/>
      </c>
      <c r="BG1010" s="11" t="str">
        <f t="shared" si="162"/>
        <v/>
      </c>
      <c r="BH1010" s="8" t="str">
        <f t="shared" si="163"/>
        <v/>
      </c>
      <c r="BI1010" s="8" t="str">
        <f t="shared" si="164"/>
        <v/>
      </c>
      <c r="BJ1010" s="9" t="str">
        <f t="shared" si="165"/>
        <v/>
      </c>
      <c r="BK1010" s="9" t="str">
        <f>IF($B1010="","",COUNTIFS($B$5:$B1010,$B1010,$BF$5:$BF1010,$BF1010))</f>
        <v/>
      </c>
      <c r="BL1010" s="9" t="str">
        <f>IF($B1010="","",COUNTIFS($B$5:$B1010,$B1010,$BH$5:$BH1010,$BH1010))</f>
        <v/>
      </c>
      <c r="BM1010" s="9" t="str">
        <f t="shared" si="166"/>
        <v/>
      </c>
      <c r="BN1010" s="9" t="str">
        <f t="shared" si="167"/>
        <v/>
      </c>
      <c r="BO1010" s="9">
        <f t="shared" si="168"/>
        <v>0</v>
      </c>
      <c r="BR1010" s="12" t="str">
        <f t="shared" si="169"/>
        <v/>
      </c>
    </row>
    <row r="1011" spans="1:70" ht="14.25" customHeight="1">
      <c r="A1011" s="26"/>
      <c r="C1011" s="26"/>
      <c r="D1011" s="27"/>
      <c r="E1011" s="27"/>
      <c r="BE1011" s="10" t="str">
        <f t="shared" si="160"/>
        <v/>
      </c>
      <c r="BF1011" s="8" t="str">
        <f t="shared" si="161"/>
        <v/>
      </c>
      <c r="BG1011" s="11" t="str">
        <f t="shared" si="162"/>
        <v/>
      </c>
      <c r="BH1011" s="8" t="str">
        <f t="shared" si="163"/>
        <v/>
      </c>
      <c r="BI1011" s="8" t="str">
        <f t="shared" si="164"/>
        <v/>
      </c>
      <c r="BJ1011" s="9" t="str">
        <f t="shared" si="165"/>
        <v/>
      </c>
      <c r="BK1011" s="9" t="str">
        <f>IF($B1011="","",COUNTIFS($B$5:$B1011,$B1011,$BF$5:$BF1011,$BF1011))</f>
        <v/>
      </c>
      <c r="BL1011" s="9" t="str">
        <f>IF($B1011="","",COUNTIFS($B$5:$B1011,$B1011,$BH$5:$BH1011,$BH1011))</f>
        <v/>
      </c>
      <c r="BM1011" s="9" t="str">
        <f t="shared" si="166"/>
        <v/>
      </c>
      <c r="BN1011" s="9" t="str">
        <f t="shared" si="167"/>
        <v/>
      </c>
      <c r="BO1011" s="9">
        <f t="shared" si="168"/>
        <v>0</v>
      </c>
      <c r="BR1011" s="12" t="str">
        <f t="shared" si="169"/>
        <v/>
      </c>
    </row>
    <row r="1012" spans="1:70" ht="14.25" customHeight="1">
      <c r="A1012" s="26"/>
      <c r="C1012" s="26"/>
      <c r="D1012" s="27"/>
      <c r="E1012" s="27"/>
      <c r="BE1012" s="10" t="str">
        <f t="shared" si="160"/>
        <v/>
      </c>
      <c r="BF1012" s="8" t="str">
        <f t="shared" si="161"/>
        <v/>
      </c>
      <c r="BG1012" s="11" t="str">
        <f t="shared" si="162"/>
        <v/>
      </c>
      <c r="BH1012" s="8" t="str">
        <f t="shared" si="163"/>
        <v/>
      </c>
      <c r="BI1012" s="8" t="str">
        <f t="shared" si="164"/>
        <v/>
      </c>
      <c r="BJ1012" s="9" t="str">
        <f t="shared" si="165"/>
        <v/>
      </c>
      <c r="BK1012" s="9" t="str">
        <f>IF($B1012="","",COUNTIFS($B$5:$B1012,$B1012,$BF$5:$BF1012,$BF1012))</f>
        <v/>
      </c>
      <c r="BL1012" s="9" t="str">
        <f>IF($B1012="","",COUNTIFS($B$5:$B1012,$B1012,$BH$5:$BH1012,$BH1012))</f>
        <v/>
      </c>
      <c r="BM1012" s="9" t="str">
        <f t="shared" si="166"/>
        <v/>
      </c>
      <c r="BN1012" s="9" t="str">
        <f t="shared" si="167"/>
        <v/>
      </c>
      <c r="BO1012" s="9">
        <f t="shared" si="168"/>
        <v>0</v>
      </c>
      <c r="BR1012" s="12" t="str">
        <f t="shared" si="169"/>
        <v/>
      </c>
    </row>
    <row r="1013" spans="1:70" ht="14.25" customHeight="1">
      <c r="A1013" s="26"/>
      <c r="C1013" s="26"/>
      <c r="D1013" s="27"/>
      <c r="E1013" s="27"/>
      <c r="BE1013" s="10" t="str">
        <f t="shared" si="160"/>
        <v/>
      </c>
      <c r="BF1013" s="8" t="str">
        <f t="shared" si="161"/>
        <v/>
      </c>
      <c r="BG1013" s="11" t="str">
        <f t="shared" si="162"/>
        <v/>
      </c>
      <c r="BH1013" s="8" t="str">
        <f t="shared" si="163"/>
        <v/>
      </c>
      <c r="BI1013" s="8" t="str">
        <f t="shared" si="164"/>
        <v/>
      </c>
      <c r="BJ1013" s="9" t="str">
        <f t="shared" si="165"/>
        <v/>
      </c>
      <c r="BK1013" s="9" t="str">
        <f>IF($B1013="","",COUNTIFS($B$5:$B1013,$B1013,$BF$5:$BF1013,$BF1013))</f>
        <v/>
      </c>
      <c r="BL1013" s="9" t="str">
        <f>IF($B1013="","",COUNTIFS($B$5:$B1013,$B1013,$BH$5:$BH1013,$BH1013))</f>
        <v/>
      </c>
      <c r="BM1013" s="9" t="str">
        <f t="shared" si="166"/>
        <v/>
      </c>
      <c r="BN1013" s="9" t="str">
        <f t="shared" si="167"/>
        <v/>
      </c>
      <c r="BO1013" s="9">
        <f t="shared" si="168"/>
        <v>0</v>
      </c>
      <c r="BR1013" s="12" t="str">
        <f t="shared" si="169"/>
        <v/>
      </c>
    </row>
    <row r="1014" spans="1:70" ht="14.25" customHeight="1">
      <c r="A1014" s="26"/>
      <c r="C1014" s="26"/>
      <c r="D1014" s="27"/>
      <c r="E1014" s="27"/>
      <c r="BE1014" s="10" t="str">
        <f t="shared" si="160"/>
        <v/>
      </c>
      <c r="BF1014" s="8" t="str">
        <f t="shared" si="161"/>
        <v/>
      </c>
      <c r="BG1014" s="11" t="str">
        <f t="shared" si="162"/>
        <v/>
      </c>
      <c r="BH1014" s="8" t="str">
        <f t="shared" si="163"/>
        <v/>
      </c>
      <c r="BI1014" s="8" t="str">
        <f t="shared" si="164"/>
        <v/>
      </c>
      <c r="BJ1014" s="9" t="str">
        <f t="shared" si="165"/>
        <v/>
      </c>
      <c r="BK1014" s="9" t="str">
        <f>IF($B1014="","",COUNTIFS($B$5:$B1014,$B1014,$BF$5:$BF1014,$BF1014))</f>
        <v/>
      </c>
      <c r="BL1014" s="9" t="str">
        <f>IF($B1014="","",COUNTIFS($B$5:$B1014,$B1014,$BH$5:$BH1014,$BH1014))</f>
        <v/>
      </c>
      <c r="BM1014" s="9" t="str">
        <f t="shared" si="166"/>
        <v/>
      </c>
      <c r="BN1014" s="9" t="str">
        <f t="shared" si="167"/>
        <v/>
      </c>
      <c r="BO1014" s="9">
        <f t="shared" si="168"/>
        <v>0</v>
      </c>
      <c r="BR1014" s="12" t="str">
        <f t="shared" si="169"/>
        <v/>
      </c>
    </row>
    <row r="1015" spans="1:70" ht="14.25" customHeight="1">
      <c r="A1015" s="26"/>
      <c r="C1015" s="26"/>
      <c r="D1015" s="27"/>
      <c r="E1015" s="27"/>
      <c r="BE1015" s="10" t="str">
        <f t="shared" si="160"/>
        <v/>
      </c>
      <c r="BF1015" s="8" t="str">
        <f t="shared" si="161"/>
        <v/>
      </c>
      <c r="BG1015" s="11" t="str">
        <f t="shared" si="162"/>
        <v/>
      </c>
      <c r="BH1015" s="8" t="str">
        <f t="shared" si="163"/>
        <v/>
      </c>
      <c r="BI1015" s="8" t="str">
        <f t="shared" si="164"/>
        <v/>
      </c>
      <c r="BJ1015" s="9" t="str">
        <f t="shared" si="165"/>
        <v/>
      </c>
      <c r="BK1015" s="9" t="str">
        <f>IF($B1015="","",COUNTIFS($B$5:$B1015,$B1015,$BF$5:$BF1015,$BF1015))</f>
        <v/>
      </c>
      <c r="BL1015" s="9" t="str">
        <f>IF($B1015="","",COUNTIFS($B$5:$B1015,$B1015,$BH$5:$BH1015,$BH1015))</f>
        <v/>
      </c>
      <c r="BM1015" s="9" t="str">
        <f t="shared" si="166"/>
        <v/>
      </c>
      <c r="BN1015" s="9" t="str">
        <f t="shared" si="167"/>
        <v/>
      </c>
      <c r="BO1015" s="9">
        <f t="shared" si="168"/>
        <v>0</v>
      </c>
      <c r="BR1015" s="12" t="str">
        <f t="shared" si="169"/>
        <v/>
      </c>
    </row>
    <row r="1016" spans="1:70" ht="14.25" customHeight="1">
      <c r="A1016" s="26"/>
      <c r="C1016" s="26"/>
      <c r="D1016" s="27"/>
      <c r="E1016" s="27"/>
      <c r="BE1016" s="10" t="str">
        <f t="shared" si="160"/>
        <v/>
      </c>
      <c r="BF1016" s="8" t="str">
        <f t="shared" si="161"/>
        <v/>
      </c>
      <c r="BG1016" s="11" t="str">
        <f t="shared" si="162"/>
        <v/>
      </c>
      <c r="BH1016" s="8" t="str">
        <f t="shared" si="163"/>
        <v/>
      </c>
      <c r="BI1016" s="8" t="str">
        <f t="shared" si="164"/>
        <v/>
      </c>
      <c r="BJ1016" s="9" t="str">
        <f t="shared" si="165"/>
        <v/>
      </c>
      <c r="BK1016" s="9" t="str">
        <f>IF($B1016="","",COUNTIFS($B$5:$B1016,$B1016,$BF$5:$BF1016,$BF1016))</f>
        <v/>
      </c>
      <c r="BL1016" s="9" t="str">
        <f>IF($B1016="","",COUNTIFS($B$5:$B1016,$B1016,$BH$5:$BH1016,$BH1016))</f>
        <v/>
      </c>
      <c r="BM1016" s="9" t="str">
        <f t="shared" si="166"/>
        <v/>
      </c>
      <c r="BN1016" s="9" t="str">
        <f t="shared" si="167"/>
        <v/>
      </c>
      <c r="BO1016" s="9">
        <f t="shared" si="168"/>
        <v>0</v>
      </c>
      <c r="BR1016" s="12" t="str">
        <f t="shared" si="169"/>
        <v/>
      </c>
    </row>
    <row r="1017" spans="1:70" ht="14.25" customHeight="1">
      <c r="A1017" s="26"/>
      <c r="C1017" s="26"/>
      <c r="D1017" s="27"/>
      <c r="E1017" s="27"/>
      <c r="BE1017" s="10" t="str">
        <f t="shared" si="160"/>
        <v/>
      </c>
      <c r="BF1017" s="8" t="str">
        <f t="shared" si="161"/>
        <v/>
      </c>
      <c r="BG1017" s="11" t="str">
        <f t="shared" si="162"/>
        <v/>
      </c>
      <c r="BH1017" s="8" t="str">
        <f t="shared" si="163"/>
        <v/>
      </c>
      <c r="BI1017" s="8" t="str">
        <f t="shared" si="164"/>
        <v/>
      </c>
      <c r="BJ1017" s="9" t="str">
        <f t="shared" si="165"/>
        <v/>
      </c>
      <c r="BK1017" s="9" t="str">
        <f>IF($B1017="","",COUNTIFS($B$5:$B1017,$B1017,$BF$5:$BF1017,$BF1017))</f>
        <v/>
      </c>
      <c r="BL1017" s="9" t="str">
        <f>IF($B1017="","",COUNTIFS($B$5:$B1017,$B1017,$BH$5:$BH1017,$BH1017))</f>
        <v/>
      </c>
      <c r="BM1017" s="9" t="str">
        <f t="shared" si="166"/>
        <v/>
      </c>
      <c r="BN1017" s="9" t="str">
        <f t="shared" si="167"/>
        <v/>
      </c>
      <c r="BO1017" s="9">
        <f t="shared" si="168"/>
        <v>0</v>
      </c>
      <c r="BR1017" s="12" t="str">
        <f t="shared" si="169"/>
        <v/>
      </c>
    </row>
    <row r="1018" spans="1:70" ht="14.25" customHeight="1">
      <c r="A1018" s="26"/>
      <c r="C1018" s="26"/>
      <c r="D1018" s="27"/>
      <c r="E1018" s="27"/>
      <c r="BE1018" s="10" t="str">
        <f t="shared" si="160"/>
        <v/>
      </c>
      <c r="BF1018" s="8" t="str">
        <f t="shared" si="161"/>
        <v/>
      </c>
      <c r="BG1018" s="11" t="str">
        <f t="shared" si="162"/>
        <v/>
      </c>
      <c r="BH1018" s="8" t="str">
        <f t="shared" si="163"/>
        <v/>
      </c>
      <c r="BI1018" s="8" t="str">
        <f t="shared" si="164"/>
        <v/>
      </c>
      <c r="BJ1018" s="9" t="str">
        <f t="shared" si="165"/>
        <v/>
      </c>
      <c r="BK1018" s="9" t="str">
        <f>IF($B1018="","",COUNTIFS($B$5:$B1018,$B1018,$BF$5:$BF1018,$BF1018))</f>
        <v/>
      </c>
      <c r="BL1018" s="9" t="str">
        <f>IF($B1018="","",COUNTIFS($B$5:$B1018,$B1018,$BH$5:$BH1018,$BH1018))</f>
        <v/>
      </c>
      <c r="BM1018" s="9" t="str">
        <f t="shared" si="166"/>
        <v/>
      </c>
      <c r="BN1018" s="9" t="str">
        <f t="shared" si="167"/>
        <v/>
      </c>
      <c r="BO1018" s="9">
        <f t="shared" si="168"/>
        <v>0</v>
      </c>
      <c r="BR1018" s="12" t="str">
        <f t="shared" si="169"/>
        <v/>
      </c>
    </row>
    <row r="1019" spans="1:70" ht="14.25" customHeight="1">
      <c r="A1019" s="26"/>
      <c r="C1019" s="26"/>
      <c r="D1019" s="27"/>
      <c r="E1019" s="27"/>
      <c r="BE1019" s="10" t="str">
        <f t="shared" si="160"/>
        <v/>
      </c>
      <c r="BF1019" s="8" t="str">
        <f t="shared" si="161"/>
        <v/>
      </c>
      <c r="BG1019" s="11" t="str">
        <f t="shared" si="162"/>
        <v/>
      </c>
      <c r="BH1019" s="8" t="str">
        <f t="shared" si="163"/>
        <v/>
      </c>
      <c r="BI1019" s="8" t="str">
        <f t="shared" si="164"/>
        <v/>
      </c>
      <c r="BJ1019" s="9" t="str">
        <f t="shared" si="165"/>
        <v/>
      </c>
      <c r="BK1019" s="9" t="str">
        <f>IF($B1019="","",COUNTIFS($B$5:$B1019,$B1019,$BF$5:$BF1019,$BF1019))</f>
        <v/>
      </c>
      <c r="BL1019" s="9" t="str">
        <f>IF($B1019="","",COUNTIFS($B$5:$B1019,$B1019,$BH$5:$BH1019,$BH1019))</f>
        <v/>
      </c>
      <c r="BM1019" s="9" t="str">
        <f t="shared" si="166"/>
        <v/>
      </c>
      <c r="BN1019" s="9" t="str">
        <f t="shared" si="167"/>
        <v/>
      </c>
      <c r="BO1019" s="9">
        <f t="shared" si="168"/>
        <v>0</v>
      </c>
      <c r="BR1019" s="12" t="str">
        <f t="shared" si="169"/>
        <v/>
      </c>
    </row>
    <row r="1020" spans="1:70" ht="14.25" customHeight="1">
      <c r="A1020" s="26"/>
      <c r="C1020" s="26"/>
      <c r="D1020" s="27"/>
      <c r="E1020" s="27"/>
      <c r="BE1020" s="10" t="str">
        <f t="shared" si="160"/>
        <v/>
      </c>
      <c r="BF1020" s="8" t="str">
        <f t="shared" si="161"/>
        <v/>
      </c>
      <c r="BG1020" s="11" t="str">
        <f t="shared" si="162"/>
        <v/>
      </c>
      <c r="BH1020" s="8" t="str">
        <f t="shared" si="163"/>
        <v/>
      </c>
      <c r="BI1020" s="8" t="str">
        <f t="shared" si="164"/>
        <v/>
      </c>
      <c r="BJ1020" s="9" t="str">
        <f t="shared" si="165"/>
        <v/>
      </c>
      <c r="BK1020" s="9" t="str">
        <f>IF($B1020="","",COUNTIFS($B$5:$B1020,$B1020,$BF$5:$BF1020,$BF1020))</f>
        <v/>
      </c>
      <c r="BL1020" s="9" t="str">
        <f>IF($B1020="","",COUNTIFS($B$5:$B1020,$B1020,$BH$5:$BH1020,$BH1020))</f>
        <v/>
      </c>
      <c r="BM1020" s="9" t="str">
        <f t="shared" si="166"/>
        <v/>
      </c>
      <c r="BN1020" s="9" t="str">
        <f t="shared" si="167"/>
        <v/>
      </c>
      <c r="BO1020" s="9">
        <f t="shared" si="168"/>
        <v>0</v>
      </c>
      <c r="BR1020" s="12" t="str">
        <f t="shared" si="169"/>
        <v/>
      </c>
    </row>
    <row r="1021" spans="1:70" ht="14.25" customHeight="1">
      <c r="A1021" s="26"/>
      <c r="C1021" s="26"/>
      <c r="D1021" s="27"/>
      <c r="E1021" s="27"/>
      <c r="BE1021" s="10" t="str">
        <f t="shared" si="160"/>
        <v/>
      </c>
      <c r="BF1021" s="8" t="str">
        <f t="shared" si="161"/>
        <v/>
      </c>
      <c r="BG1021" s="11" t="str">
        <f t="shared" si="162"/>
        <v/>
      </c>
      <c r="BH1021" s="8" t="str">
        <f t="shared" si="163"/>
        <v/>
      </c>
      <c r="BI1021" s="8" t="str">
        <f t="shared" si="164"/>
        <v/>
      </c>
      <c r="BJ1021" s="9" t="str">
        <f t="shared" si="165"/>
        <v/>
      </c>
      <c r="BK1021" s="9" t="str">
        <f>IF($B1021="","",COUNTIFS($B$5:$B1021,$B1021,$BF$5:$BF1021,$BF1021))</f>
        <v/>
      </c>
      <c r="BL1021" s="9" t="str">
        <f>IF($B1021="","",COUNTIFS($B$5:$B1021,$B1021,$BH$5:$BH1021,$BH1021))</f>
        <v/>
      </c>
      <c r="BM1021" s="9" t="str">
        <f t="shared" si="166"/>
        <v/>
      </c>
      <c r="BN1021" s="9" t="str">
        <f t="shared" si="167"/>
        <v/>
      </c>
      <c r="BO1021" s="9">
        <f t="shared" si="168"/>
        <v>0</v>
      </c>
      <c r="BR1021" s="12" t="str">
        <f t="shared" si="169"/>
        <v/>
      </c>
    </row>
    <row r="1022" spans="1:70" ht="14.25" customHeight="1">
      <c r="A1022" s="26"/>
      <c r="C1022" s="26"/>
      <c r="D1022" s="27"/>
      <c r="E1022" s="27"/>
      <c r="BE1022" s="10" t="str">
        <f t="shared" si="160"/>
        <v/>
      </c>
      <c r="BF1022" s="8" t="str">
        <f t="shared" si="161"/>
        <v/>
      </c>
      <c r="BG1022" s="11" t="str">
        <f t="shared" si="162"/>
        <v/>
      </c>
      <c r="BH1022" s="8" t="str">
        <f t="shared" si="163"/>
        <v/>
      </c>
      <c r="BI1022" s="8" t="str">
        <f t="shared" si="164"/>
        <v/>
      </c>
      <c r="BJ1022" s="9" t="str">
        <f t="shared" si="165"/>
        <v/>
      </c>
      <c r="BK1022" s="9" t="str">
        <f>IF($B1022="","",COUNTIFS($B$5:$B1022,$B1022,$BF$5:$BF1022,$BF1022))</f>
        <v/>
      </c>
      <c r="BL1022" s="9" t="str">
        <f>IF($B1022="","",COUNTIFS($B$5:$B1022,$B1022,$BH$5:$BH1022,$BH1022))</f>
        <v/>
      </c>
      <c r="BM1022" s="9" t="str">
        <f t="shared" si="166"/>
        <v/>
      </c>
      <c r="BN1022" s="9" t="str">
        <f t="shared" si="167"/>
        <v/>
      </c>
      <c r="BO1022" s="9">
        <f t="shared" si="168"/>
        <v>0</v>
      </c>
      <c r="BR1022" s="12" t="str">
        <f t="shared" si="169"/>
        <v/>
      </c>
    </row>
    <row r="1023" spans="1:70" ht="14.25" customHeight="1">
      <c r="A1023" s="26"/>
      <c r="C1023" s="26"/>
      <c r="D1023" s="27"/>
      <c r="E1023" s="27"/>
      <c r="BE1023" s="10" t="str">
        <f t="shared" si="160"/>
        <v/>
      </c>
      <c r="BF1023" s="8" t="str">
        <f t="shared" si="161"/>
        <v/>
      </c>
      <c r="BG1023" s="11" t="str">
        <f t="shared" si="162"/>
        <v/>
      </c>
      <c r="BH1023" s="8" t="str">
        <f t="shared" si="163"/>
        <v/>
      </c>
      <c r="BI1023" s="8" t="str">
        <f t="shared" si="164"/>
        <v/>
      </c>
      <c r="BJ1023" s="9" t="str">
        <f t="shared" si="165"/>
        <v/>
      </c>
      <c r="BK1023" s="9" t="str">
        <f>IF($B1023="","",COUNTIFS($B$5:$B1023,$B1023,$BF$5:$BF1023,$BF1023))</f>
        <v/>
      </c>
      <c r="BL1023" s="9" t="str">
        <f>IF($B1023="","",COUNTIFS($B$5:$B1023,$B1023,$BH$5:$BH1023,$BH1023))</f>
        <v/>
      </c>
      <c r="BM1023" s="9" t="str">
        <f t="shared" si="166"/>
        <v/>
      </c>
      <c r="BN1023" s="9" t="str">
        <f t="shared" si="167"/>
        <v/>
      </c>
      <c r="BO1023" s="9">
        <f t="shared" si="168"/>
        <v>0</v>
      </c>
      <c r="BR1023" s="12" t="str">
        <f t="shared" si="169"/>
        <v/>
      </c>
    </row>
    <row r="1024" spans="1:70" ht="14.25" customHeight="1">
      <c r="A1024" s="26"/>
      <c r="C1024" s="26"/>
      <c r="D1024" s="27"/>
      <c r="E1024" s="27"/>
      <c r="BE1024" s="10" t="str">
        <f t="shared" si="160"/>
        <v/>
      </c>
      <c r="BF1024" s="8" t="str">
        <f t="shared" si="161"/>
        <v/>
      </c>
      <c r="BG1024" s="11" t="str">
        <f t="shared" si="162"/>
        <v/>
      </c>
      <c r="BH1024" s="8" t="str">
        <f t="shared" si="163"/>
        <v/>
      </c>
      <c r="BI1024" s="8" t="str">
        <f t="shared" si="164"/>
        <v/>
      </c>
      <c r="BJ1024" s="9" t="str">
        <f t="shared" si="165"/>
        <v/>
      </c>
      <c r="BK1024" s="9" t="str">
        <f>IF($B1024="","",COUNTIFS($B$5:$B1024,$B1024,$BF$5:$BF1024,$BF1024))</f>
        <v/>
      </c>
      <c r="BL1024" s="9" t="str">
        <f>IF($B1024="","",COUNTIFS($B$5:$B1024,$B1024,$BH$5:$BH1024,$BH1024))</f>
        <v/>
      </c>
      <c r="BM1024" s="9" t="str">
        <f t="shared" si="166"/>
        <v/>
      </c>
      <c r="BN1024" s="9" t="str">
        <f t="shared" si="167"/>
        <v/>
      </c>
      <c r="BO1024" s="9">
        <f t="shared" si="168"/>
        <v>0</v>
      </c>
      <c r="BR1024" s="12" t="str">
        <f t="shared" si="169"/>
        <v/>
      </c>
    </row>
    <row r="1025" spans="1:70" ht="14.25" customHeight="1">
      <c r="A1025" s="26"/>
      <c r="C1025" s="26"/>
      <c r="D1025" s="27"/>
      <c r="E1025" s="27"/>
      <c r="BE1025" s="10" t="str">
        <f t="shared" si="160"/>
        <v/>
      </c>
      <c r="BF1025" s="8" t="str">
        <f t="shared" si="161"/>
        <v/>
      </c>
      <c r="BG1025" s="11" t="str">
        <f t="shared" si="162"/>
        <v/>
      </c>
      <c r="BH1025" s="8" t="str">
        <f t="shared" si="163"/>
        <v/>
      </c>
      <c r="BI1025" s="8" t="str">
        <f t="shared" si="164"/>
        <v/>
      </c>
      <c r="BJ1025" s="9" t="str">
        <f t="shared" si="165"/>
        <v/>
      </c>
      <c r="BK1025" s="9" t="str">
        <f>IF($B1025="","",COUNTIFS($B$5:$B1025,$B1025,$BF$5:$BF1025,$BF1025))</f>
        <v/>
      </c>
      <c r="BL1025" s="9" t="str">
        <f>IF($B1025="","",COUNTIFS($B$5:$B1025,$B1025,$BH$5:$BH1025,$BH1025))</f>
        <v/>
      </c>
      <c r="BM1025" s="9" t="str">
        <f t="shared" si="166"/>
        <v/>
      </c>
      <c r="BN1025" s="9" t="str">
        <f t="shared" si="167"/>
        <v/>
      </c>
      <c r="BO1025" s="9">
        <f t="shared" si="168"/>
        <v>0</v>
      </c>
      <c r="BR1025" s="12" t="str">
        <f t="shared" si="169"/>
        <v/>
      </c>
    </row>
    <row r="1026" spans="1:70" ht="14.25" customHeight="1">
      <c r="A1026" s="26"/>
      <c r="C1026" s="26"/>
      <c r="D1026" s="27"/>
      <c r="E1026" s="27"/>
      <c r="BE1026" s="10" t="str">
        <f t="shared" si="160"/>
        <v/>
      </c>
      <c r="BF1026" s="8" t="str">
        <f t="shared" si="161"/>
        <v/>
      </c>
      <c r="BG1026" s="11" t="str">
        <f t="shared" si="162"/>
        <v/>
      </c>
      <c r="BH1026" s="8" t="str">
        <f t="shared" si="163"/>
        <v/>
      </c>
      <c r="BI1026" s="8" t="str">
        <f t="shared" si="164"/>
        <v/>
      </c>
      <c r="BJ1026" s="9" t="str">
        <f t="shared" si="165"/>
        <v/>
      </c>
      <c r="BK1026" s="9" t="str">
        <f>IF($B1026="","",COUNTIFS($B$5:$B1026,$B1026,$BF$5:$BF1026,$BF1026))</f>
        <v/>
      </c>
      <c r="BL1026" s="9" t="str">
        <f>IF($B1026="","",COUNTIFS($B$5:$B1026,$B1026,$BH$5:$BH1026,$BH1026))</f>
        <v/>
      </c>
      <c r="BM1026" s="9" t="str">
        <f t="shared" si="166"/>
        <v/>
      </c>
      <c r="BN1026" s="9" t="str">
        <f t="shared" si="167"/>
        <v/>
      </c>
      <c r="BO1026" s="9">
        <f t="shared" si="168"/>
        <v>0</v>
      </c>
      <c r="BR1026" s="12" t="str">
        <f t="shared" si="169"/>
        <v/>
      </c>
    </row>
    <row r="1027" spans="1:70" ht="14.25" customHeight="1">
      <c r="A1027" s="26"/>
      <c r="C1027" s="26"/>
      <c r="D1027" s="27"/>
      <c r="E1027" s="27"/>
      <c r="BE1027" s="10" t="str">
        <f t="shared" si="160"/>
        <v/>
      </c>
      <c r="BF1027" s="8" t="str">
        <f t="shared" si="161"/>
        <v/>
      </c>
      <c r="BG1027" s="11" t="str">
        <f t="shared" si="162"/>
        <v/>
      </c>
      <c r="BH1027" s="8" t="str">
        <f t="shared" si="163"/>
        <v/>
      </c>
      <c r="BI1027" s="8" t="str">
        <f t="shared" si="164"/>
        <v/>
      </c>
      <c r="BJ1027" s="9" t="str">
        <f t="shared" si="165"/>
        <v/>
      </c>
      <c r="BK1027" s="9" t="str">
        <f>IF($B1027="","",COUNTIFS($B$5:$B1027,$B1027,$BF$5:$BF1027,$BF1027))</f>
        <v/>
      </c>
      <c r="BL1027" s="9" t="str">
        <f>IF($B1027="","",COUNTIFS($B$5:$B1027,$B1027,$BH$5:$BH1027,$BH1027))</f>
        <v/>
      </c>
      <c r="BM1027" s="9" t="str">
        <f t="shared" si="166"/>
        <v/>
      </c>
      <c r="BN1027" s="9" t="str">
        <f t="shared" si="167"/>
        <v/>
      </c>
      <c r="BO1027" s="9">
        <f t="shared" si="168"/>
        <v>0</v>
      </c>
      <c r="BR1027" s="12" t="str">
        <f t="shared" si="169"/>
        <v/>
      </c>
    </row>
    <row r="1028" spans="1:70" ht="14.25" customHeight="1">
      <c r="A1028" s="26"/>
      <c r="C1028" s="26"/>
      <c r="D1028" s="27"/>
      <c r="E1028" s="27"/>
      <c r="BE1028" s="10" t="str">
        <f t="shared" si="160"/>
        <v/>
      </c>
      <c r="BF1028" s="8" t="str">
        <f t="shared" si="161"/>
        <v/>
      </c>
      <c r="BG1028" s="11" t="str">
        <f t="shared" si="162"/>
        <v/>
      </c>
      <c r="BH1028" s="8" t="str">
        <f t="shared" si="163"/>
        <v/>
      </c>
      <c r="BI1028" s="8" t="str">
        <f t="shared" si="164"/>
        <v/>
      </c>
      <c r="BJ1028" s="9" t="str">
        <f t="shared" si="165"/>
        <v/>
      </c>
      <c r="BK1028" s="9" t="str">
        <f>IF($B1028="","",COUNTIFS($B$5:$B1028,$B1028,$BF$5:$BF1028,$BF1028))</f>
        <v/>
      </c>
      <c r="BL1028" s="9" t="str">
        <f>IF($B1028="","",COUNTIFS($B$5:$B1028,$B1028,$BH$5:$BH1028,$BH1028))</f>
        <v/>
      </c>
      <c r="BM1028" s="9" t="str">
        <f t="shared" si="166"/>
        <v/>
      </c>
      <c r="BN1028" s="9" t="str">
        <f t="shared" si="167"/>
        <v/>
      </c>
      <c r="BO1028" s="9">
        <f t="shared" si="168"/>
        <v>0</v>
      </c>
      <c r="BR1028" s="12" t="str">
        <f t="shared" si="169"/>
        <v/>
      </c>
    </row>
    <row r="1029" spans="1:70" ht="14.25" customHeight="1">
      <c r="A1029" s="26"/>
      <c r="C1029" s="26"/>
      <c r="D1029" s="27"/>
      <c r="E1029" s="27"/>
      <c r="BE1029" s="10" t="str">
        <f t="shared" si="160"/>
        <v/>
      </c>
      <c r="BF1029" s="8" t="str">
        <f t="shared" si="161"/>
        <v/>
      </c>
      <c r="BG1029" s="11" t="str">
        <f t="shared" si="162"/>
        <v/>
      </c>
      <c r="BH1029" s="8" t="str">
        <f t="shared" si="163"/>
        <v/>
      </c>
      <c r="BI1029" s="8" t="str">
        <f t="shared" si="164"/>
        <v/>
      </c>
      <c r="BJ1029" s="9" t="str">
        <f t="shared" si="165"/>
        <v/>
      </c>
      <c r="BK1029" s="9" t="str">
        <f>IF($B1029="","",COUNTIFS($B$5:$B1029,$B1029,$BF$5:$BF1029,$BF1029))</f>
        <v/>
      </c>
      <c r="BL1029" s="9" t="str">
        <f>IF($B1029="","",COUNTIFS($B$5:$B1029,$B1029,$BH$5:$BH1029,$BH1029))</f>
        <v/>
      </c>
      <c r="BM1029" s="9" t="str">
        <f t="shared" si="166"/>
        <v/>
      </c>
      <c r="BN1029" s="9" t="str">
        <f t="shared" si="167"/>
        <v/>
      </c>
      <c r="BO1029" s="9">
        <f t="shared" si="168"/>
        <v>0</v>
      </c>
      <c r="BR1029" s="12" t="str">
        <f t="shared" si="169"/>
        <v/>
      </c>
    </row>
    <row r="1030" spans="1:70" ht="14.25" customHeight="1">
      <c r="A1030" s="26"/>
      <c r="C1030" s="26"/>
      <c r="D1030" s="27"/>
      <c r="E1030" s="27"/>
      <c r="BE1030" s="10" t="str">
        <f t="shared" si="160"/>
        <v/>
      </c>
      <c r="BF1030" s="8" t="str">
        <f t="shared" si="161"/>
        <v/>
      </c>
      <c r="BG1030" s="11" t="str">
        <f t="shared" si="162"/>
        <v/>
      </c>
      <c r="BH1030" s="8" t="str">
        <f t="shared" si="163"/>
        <v/>
      </c>
      <c r="BI1030" s="8" t="str">
        <f t="shared" si="164"/>
        <v/>
      </c>
      <c r="BJ1030" s="9" t="str">
        <f t="shared" si="165"/>
        <v/>
      </c>
      <c r="BK1030" s="9" t="str">
        <f>IF($B1030="","",COUNTIFS($B$5:$B1030,$B1030,$BF$5:$BF1030,$BF1030))</f>
        <v/>
      </c>
      <c r="BL1030" s="9" t="str">
        <f>IF($B1030="","",COUNTIFS($B$5:$B1030,$B1030,$BH$5:$BH1030,$BH1030))</f>
        <v/>
      </c>
      <c r="BM1030" s="9" t="str">
        <f t="shared" si="166"/>
        <v/>
      </c>
      <c r="BN1030" s="9" t="str">
        <f t="shared" si="167"/>
        <v/>
      </c>
      <c r="BO1030" s="9">
        <f t="shared" si="168"/>
        <v>0</v>
      </c>
      <c r="BR1030" s="12" t="str">
        <f t="shared" si="169"/>
        <v/>
      </c>
    </row>
    <row r="1031" spans="1:70" ht="14.25" customHeight="1">
      <c r="A1031" s="26"/>
      <c r="C1031" s="26"/>
      <c r="D1031" s="27"/>
      <c r="E1031" s="27"/>
      <c r="BE1031" s="10" t="str">
        <f t="shared" si="160"/>
        <v/>
      </c>
      <c r="BF1031" s="8" t="str">
        <f t="shared" si="161"/>
        <v/>
      </c>
      <c r="BG1031" s="11" t="str">
        <f t="shared" si="162"/>
        <v/>
      </c>
      <c r="BH1031" s="8" t="str">
        <f t="shared" si="163"/>
        <v/>
      </c>
      <c r="BI1031" s="8" t="str">
        <f t="shared" si="164"/>
        <v/>
      </c>
      <c r="BJ1031" s="9" t="str">
        <f t="shared" si="165"/>
        <v/>
      </c>
      <c r="BK1031" s="9" t="str">
        <f>IF($B1031="","",COUNTIFS($B$5:$B1031,$B1031,$BF$5:$BF1031,$BF1031))</f>
        <v/>
      </c>
      <c r="BL1031" s="9" t="str">
        <f>IF($B1031="","",COUNTIFS($B$5:$B1031,$B1031,$BH$5:$BH1031,$BH1031))</f>
        <v/>
      </c>
      <c r="BM1031" s="9" t="str">
        <f t="shared" si="166"/>
        <v/>
      </c>
      <c r="BN1031" s="9" t="str">
        <f t="shared" si="167"/>
        <v/>
      </c>
      <c r="BO1031" s="9">
        <f t="shared" si="168"/>
        <v>0</v>
      </c>
      <c r="BR1031" s="12" t="str">
        <f t="shared" si="169"/>
        <v/>
      </c>
    </row>
    <row r="1032" spans="1:70" ht="14.25" customHeight="1">
      <c r="A1032" s="26"/>
      <c r="C1032" s="26"/>
      <c r="D1032" s="27"/>
      <c r="E1032" s="27"/>
      <c r="BE1032" s="10" t="str">
        <f t="shared" si="160"/>
        <v/>
      </c>
      <c r="BF1032" s="8" t="str">
        <f t="shared" si="161"/>
        <v/>
      </c>
      <c r="BG1032" s="11" t="str">
        <f t="shared" si="162"/>
        <v/>
      </c>
      <c r="BH1032" s="8" t="str">
        <f t="shared" si="163"/>
        <v/>
      </c>
      <c r="BI1032" s="8" t="str">
        <f t="shared" si="164"/>
        <v/>
      </c>
      <c r="BJ1032" s="9" t="str">
        <f t="shared" si="165"/>
        <v/>
      </c>
      <c r="BK1032" s="9" t="str">
        <f>IF($B1032="","",COUNTIFS($B$5:$B1032,$B1032,$BF$5:$BF1032,$BF1032))</f>
        <v/>
      </c>
      <c r="BL1032" s="9" t="str">
        <f>IF($B1032="","",COUNTIFS($B$5:$B1032,$B1032,$BH$5:$BH1032,$BH1032))</f>
        <v/>
      </c>
      <c r="BM1032" s="9" t="str">
        <f t="shared" si="166"/>
        <v/>
      </c>
      <c r="BN1032" s="9" t="str">
        <f t="shared" si="167"/>
        <v/>
      </c>
      <c r="BO1032" s="9">
        <f t="shared" si="168"/>
        <v>0</v>
      </c>
      <c r="BR1032" s="12" t="str">
        <f t="shared" si="169"/>
        <v/>
      </c>
    </row>
    <row r="1033" spans="1:70" ht="14.25" customHeight="1">
      <c r="A1033" s="26"/>
      <c r="C1033" s="26"/>
      <c r="D1033" s="27"/>
      <c r="E1033" s="27"/>
      <c r="BE1033" s="10" t="str">
        <f t="shared" si="160"/>
        <v/>
      </c>
      <c r="BF1033" s="8" t="str">
        <f t="shared" si="161"/>
        <v/>
      </c>
      <c r="BG1033" s="11" t="str">
        <f t="shared" si="162"/>
        <v/>
      </c>
      <c r="BH1033" s="8" t="str">
        <f t="shared" si="163"/>
        <v/>
      </c>
      <c r="BI1033" s="8" t="str">
        <f t="shared" si="164"/>
        <v/>
      </c>
      <c r="BJ1033" s="9" t="str">
        <f t="shared" si="165"/>
        <v/>
      </c>
      <c r="BK1033" s="9" t="str">
        <f>IF($B1033="","",COUNTIFS($B$5:$B1033,$B1033,$BF$5:$BF1033,$BF1033))</f>
        <v/>
      </c>
      <c r="BL1033" s="9" t="str">
        <f>IF($B1033="","",COUNTIFS($B$5:$B1033,$B1033,$BH$5:$BH1033,$BH1033))</f>
        <v/>
      </c>
      <c r="BM1033" s="9" t="str">
        <f t="shared" si="166"/>
        <v/>
      </c>
      <c r="BN1033" s="9" t="str">
        <f t="shared" si="167"/>
        <v/>
      </c>
      <c r="BO1033" s="9">
        <f t="shared" si="168"/>
        <v>0</v>
      </c>
      <c r="BR1033" s="12" t="str">
        <f t="shared" si="169"/>
        <v/>
      </c>
    </row>
    <row r="1034" spans="1:70" ht="14.25" customHeight="1">
      <c r="A1034" s="26"/>
      <c r="C1034" s="26"/>
      <c r="D1034" s="27"/>
      <c r="E1034" s="27"/>
      <c r="BE1034" s="10" t="str">
        <f t="shared" si="160"/>
        <v/>
      </c>
      <c r="BF1034" s="8" t="str">
        <f t="shared" si="161"/>
        <v/>
      </c>
      <c r="BG1034" s="11" t="str">
        <f t="shared" si="162"/>
        <v/>
      </c>
      <c r="BH1034" s="8" t="str">
        <f t="shared" si="163"/>
        <v/>
      </c>
      <c r="BI1034" s="8" t="str">
        <f t="shared" si="164"/>
        <v/>
      </c>
      <c r="BJ1034" s="9" t="str">
        <f t="shared" si="165"/>
        <v/>
      </c>
      <c r="BK1034" s="9" t="str">
        <f>IF($B1034="","",COUNTIFS($B$5:$B1034,$B1034,$BF$5:$BF1034,$BF1034))</f>
        <v/>
      </c>
      <c r="BL1034" s="9" t="str">
        <f>IF($B1034="","",COUNTIFS($B$5:$B1034,$B1034,$BH$5:$BH1034,$BH1034))</f>
        <v/>
      </c>
      <c r="BM1034" s="9" t="str">
        <f t="shared" si="166"/>
        <v/>
      </c>
      <c r="BN1034" s="9" t="str">
        <f t="shared" si="167"/>
        <v/>
      </c>
      <c r="BO1034" s="9">
        <f t="shared" si="168"/>
        <v>0</v>
      </c>
      <c r="BR1034" s="12" t="str">
        <f t="shared" si="169"/>
        <v/>
      </c>
    </row>
    <row r="1035" spans="1:70" ht="14.25" customHeight="1">
      <c r="A1035" s="26"/>
      <c r="C1035" s="26"/>
      <c r="D1035" s="27"/>
      <c r="E1035" s="27"/>
      <c r="BE1035" s="10" t="str">
        <f t="shared" si="160"/>
        <v/>
      </c>
      <c r="BF1035" s="8" t="str">
        <f t="shared" si="161"/>
        <v/>
      </c>
      <c r="BG1035" s="11" t="str">
        <f t="shared" si="162"/>
        <v/>
      </c>
      <c r="BH1035" s="8" t="str">
        <f t="shared" si="163"/>
        <v/>
      </c>
      <c r="BI1035" s="8" t="str">
        <f t="shared" si="164"/>
        <v/>
      </c>
      <c r="BJ1035" s="9" t="str">
        <f t="shared" si="165"/>
        <v/>
      </c>
      <c r="BK1035" s="9" t="str">
        <f>IF($B1035="","",COUNTIFS($B$5:$B1035,$B1035,$BF$5:$BF1035,$BF1035))</f>
        <v/>
      </c>
      <c r="BL1035" s="9" t="str">
        <f>IF($B1035="","",COUNTIFS($B$5:$B1035,$B1035,$BH$5:$BH1035,$BH1035))</f>
        <v/>
      </c>
      <c r="BM1035" s="9" t="str">
        <f t="shared" si="166"/>
        <v/>
      </c>
      <c r="BN1035" s="9" t="str">
        <f t="shared" si="167"/>
        <v/>
      </c>
      <c r="BO1035" s="9">
        <f t="shared" si="168"/>
        <v>0</v>
      </c>
      <c r="BR1035" s="12" t="str">
        <f t="shared" si="169"/>
        <v/>
      </c>
    </row>
    <row r="1036" spans="1:70" ht="14.25" customHeight="1">
      <c r="A1036" s="26"/>
      <c r="C1036" s="26"/>
      <c r="D1036" s="27"/>
      <c r="E1036" s="27"/>
      <c r="BE1036" s="10" t="str">
        <f t="shared" si="160"/>
        <v/>
      </c>
      <c r="BF1036" s="8" t="str">
        <f t="shared" si="161"/>
        <v/>
      </c>
      <c r="BG1036" s="11" t="str">
        <f t="shared" si="162"/>
        <v/>
      </c>
      <c r="BH1036" s="8" t="str">
        <f t="shared" si="163"/>
        <v/>
      </c>
      <c r="BI1036" s="8" t="str">
        <f t="shared" si="164"/>
        <v/>
      </c>
      <c r="BJ1036" s="9" t="str">
        <f t="shared" si="165"/>
        <v/>
      </c>
      <c r="BK1036" s="9" t="str">
        <f>IF($B1036="","",COUNTIFS($B$5:$B1036,$B1036,$BF$5:$BF1036,$BF1036))</f>
        <v/>
      </c>
      <c r="BL1036" s="9" t="str">
        <f>IF($B1036="","",COUNTIFS($B$5:$B1036,$B1036,$BH$5:$BH1036,$BH1036))</f>
        <v/>
      </c>
      <c r="BM1036" s="9" t="str">
        <f t="shared" si="166"/>
        <v/>
      </c>
      <c r="BN1036" s="9" t="str">
        <f t="shared" si="167"/>
        <v/>
      </c>
      <c r="BO1036" s="9">
        <f t="shared" si="168"/>
        <v>0</v>
      </c>
      <c r="BR1036" s="12" t="str">
        <f t="shared" si="169"/>
        <v/>
      </c>
    </row>
    <row r="1037" spans="1:70" ht="14.25" customHeight="1">
      <c r="A1037" s="26"/>
      <c r="C1037" s="26"/>
      <c r="D1037" s="27"/>
      <c r="E1037" s="27"/>
      <c r="BE1037" s="10" t="str">
        <f t="shared" si="160"/>
        <v/>
      </c>
      <c r="BF1037" s="8" t="str">
        <f t="shared" si="161"/>
        <v/>
      </c>
      <c r="BG1037" s="11" t="str">
        <f t="shared" si="162"/>
        <v/>
      </c>
      <c r="BH1037" s="8" t="str">
        <f t="shared" si="163"/>
        <v/>
      </c>
      <c r="BI1037" s="8" t="str">
        <f t="shared" si="164"/>
        <v/>
      </c>
      <c r="BJ1037" s="9" t="str">
        <f t="shared" si="165"/>
        <v/>
      </c>
      <c r="BK1037" s="9" t="str">
        <f>IF($B1037="","",COUNTIFS($B$5:$B1037,$B1037,$BF$5:$BF1037,$BF1037))</f>
        <v/>
      </c>
      <c r="BL1037" s="9" t="str">
        <f>IF($B1037="","",COUNTIFS($B$5:$B1037,$B1037,$BH$5:$BH1037,$BH1037))</f>
        <v/>
      </c>
      <c r="BM1037" s="9" t="str">
        <f t="shared" si="166"/>
        <v/>
      </c>
      <c r="BN1037" s="9" t="str">
        <f t="shared" si="167"/>
        <v/>
      </c>
      <c r="BO1037" s="9">
        <f t="shared" si="168"/>
        <v>0</v>
      </c>
      <c r="BR1037" s="12" t="str">
        <f t="shared" si="169"/>
        <v/>
      </c>
    </row>
    <row r="1038" spans="1:70" ht="14.25" customHeight="1">
      <c r="A1038" s="26"/>
      <c r="C1038" s="26"/>
      <c r="D1038" s="27"/>
      <c r="E1038" s="27"/>
      <c r="BE1038" s="10" t="str">
        <f t="shared" si="160"/>
        <v/>
      </c>
      <c r="BF1038" s="8" t="str">
        <f t="shared" si="161"/>
        <v/>
      </c>
      <c r="BG1038" s="11" t="str">
        <f t="shared" si="162"/>
        <v/>
      </c>
      <c r="BH1038" s="8" t="str">
        <f t="shared" si="163"/>
        <v/>
      </c>
      <c r="BI1038" s="8" t="str">
        <f t="shared" si="164"/>
        <v/>
      </c>
      <c r="BJ1038" s="9" t="str">
        <f t="shared" si="165"/>
        <v/>
      </c>
      <c r="BK1038" s="9" t="str">
        <f>IF($B1038="","",COUNTIFS($B$5:$B1038,$B1038,$BF$5:$BF1038,$BF1038))</f>
        <v/>
      </c>
      <c r="BL1038" s="9" t="str">
        <f>IF($B1038="","",COUNTIFS($B$5:$B1038,$B1038,$BH$5:$BH1038,$BH1038))</f>
        <v/>
      </c>
      <c r="BM1038" s="9" t="str">
        <f t="shared" si="166"/>
        <v/>
      </c>
      <c r="BN1038" s="9" t="str">
        <f t="shared" si="167"/>
        <v/>
      </c>
      <c r="BO1038" s="9">
        <f t="shared" si="168"/>
        <v>0</v>
      </c>
      <c r="BR1038" s="12" t="str">
        <f t="shared" si="169"/>
        <v/>
      </c>
    </row>
    <row r="1039" spans="1:70" ht="14.25" customHeight="1">
      <c r="A1039" s="26"/>
      <c r="C1039" s="26"/>
      <c r="D1039" s="27"/>
      <c r="E1039" s="27"/>
      <c r="BE1039" s="10" t="str">
        <f t="shared" si="160"/>
        <v/>
      </c>
      <c r="BF1039" s="8" t="str">
        <f t="shared" si="161"/>
        <v/>
      </c>
      <c r="BG1039" s="11" t="str">
        <f t="shared" si="162"/>
        <v/>
      </c>
      <c r="BH1039" s="8" t="str">
        <f t="shared" si="163"/>
        <v/>
      </c>
      <c r="BI1039" s="8" t="str">
        <f t="shared" si="164"/>
        <v/>
      </c>
      <c r="BJ1039" s="9" t="str">
        <f t="shared" si="165"/>
        <v/>
      </c>
      <c r="BK1039" s="9" t="str">
        <f>IF($B1039="","",COUNTIFS($B$5:$B1039,$B1039,$BF$5:$BF1039,$BF1039))</f>
        <v/>
      </c>
      <c r="BL1039" s="9" t="str">
        <f>IF($B1039="","",COUNTIFS($B$5:$B1039,$B1039,$BH$5:$BH1039,$BH1039))</f>
        <v/>
      </c>
      <c r="BM1039" s="9" t="str">
        <f t="shared" si="166"/>
        <v/>
      </c>
      <c r="BN1039" s="9" t="str">
        <f t="shared" si="167"/>
        <v/>
      </c>
      <c r="BO1039" s="9">
        <f t="shared" si="168"/>
        <v>0</v>
      </c>
      <c r="BR1039" s="12" t="str">
        <f t="shared" si="169"/>
        <v/>
      </c>
    </row>
    <row r="1040" spans="1:70" ht="14.25" customHeight="1">
      <c r="A1040" s="26"/>
      <c r="C1040" s="26"/>
      <c r="D1040" s="27"/>
      <c r="E1040" s="27"/>
      <c r="BE1040" s="10" t="str">
        <f t="shared" si="160"/>
        <v/>
      </c>
      <c r="BF1040" s="8" t="str">
        <f t="shared" si="161"/>
        <v/>
      </c>
      <c r="BG1040" s="11" t="str">
        <f t="shared" si="162"/>
        <v/>
      </c>
      <c r="BH1040" s="8" t="str">
        <f t="shared" si="163"/>
        <v/>
      </c>
      <c r="BI1040" s="8" t="str">
        <f t="shared" si="164"/>
        <v/>
      </c>
      <c r="BJ1040" s="9" t="str">
        <f t="shared" si="165"/>
        <v/>
      </c>
      <c r="BK1040" s="9" t="str">
        <f>IF($B1040="","",COUNTIFS($B$5:$B1040,$B1040,$BF$5:$BF1040,$BF1040))</f>
        <v/>
      </c>
      <c r="BL1040" s="9" t="str">
        <f>IF($B1040="","",COUNTIFS($B$5:$B1040,$B1040,$BH$5:$BH1040,$BH1040))</f>
        <v/>
      </c>
      <c r="BM1040" s="9" t="str">
        <f t="shared" si="166"/>
        <v/>
      </c>
      <c r="BN1040" s="9" t="str">
        <f t="shared" si="167"/>
        <v/>
      </c>
      <c r="BO1040" s="9">
        <f t="shared" si="168"/>
        <v>0</v>
      </c>
      <c r="BR1040" s="12" t="str">
        <f t="shared" si="169"/>
        <v/>
      </c>
    </row>
    <row r="1041" spans="1:70" ht="14.25" customHeight="1">
      <c r="A1041" s="26"/>
      <c r="C1041" s="26"/>
      <c r="D1041" s="27"/>
      <c r="E1041" s="27"/>
      <c r="BE1041" s="10" t="str">
        <f t="shared" si="160"/>
        <v/>
      </c>
      <c r="BF1041" s="8" t="str">
        <f t="shared" si="161"/>
        <v/>
      </c>
      <c r="BG1041" s="11" t="str">
        <f t="shared" si="162"/>
        <v/>
      </c>
      <c r="BH1041" s="8" t="str">
        <f t="shared" si="163"/>
        <v/>
      </c>
      <c r="BI1041" s="8" t="str">
        <f t="shared" si="164"/>
        <v/>
      </c>
      <c r="BJ1041" s="9" t="str">
        <f t="shared" si="165"/>
        <v/>
      </c>
      <c r="BK1041" s="9" t="str">
        <f>IF($B1041="","",COUNTIFS($B$5:$B1041,$B1041,$BF$5:$BF1041,$BF1041))</f>
        <v/>
      </c>
      <c r="BL1041" s="9" t="str">
        <f>IF($B1041="","",COUNTIFS($B$5:$B1041,$B1041,$BH$5:$BH1041,$BH1041))</f>
        <v/>
      </c>
      <c r="BM1041" s="9" t="str">
        <f t="shared" si="166"/>
        <v/>
      </c>
      <c r="BN1041" s="9" t="str">
        <f t="shared" si="167"/>
        <v/>
      </c>
      <c r="BO1041" s="9">
        <f t="shared" si="168"/>
        <v>0</v>
      </c>
      <c r="BR1041" s="12" t="str">
        <f t="shared" si="169"/>
        <v/>
      </c>
    </row>
    <row r="1042" spans="1:70" ht="14.25" customHeight="1">
      <c r="A1042" s="26"/>
      <c r="C1042" s="26"/>
      <c r="D1042" s="27"/>
      <c r="E1042" s="27"/>
      <c r="BE1042" s="10" t="str">
        <f t="shared" si="160"/>
        <v/>
      </c>
      <c r="BF1042" s="8" t="str">
        <f t="shared" si="161"/>
        <v/>
      </c>
      <c r="BG1042" s="11" t="str">
        <f t="shared" si="162"/>
        <v/>
      </c>
      <c r="BH1042" s="8" t="str">
        <f t="shared" si="163"/>
        <v/>
      </c>
      <c r="BI1042" s="8" t="str">
        <f t="shared" si="164"/>
        <v/>
      </c>
      <c r="BJ1042" s="9" t="str">
        <f t="shared" si="165"/>
        <v/>
      </c>
      <c r="BK1042" s="9" t="str">
        <f>IF($B1042="","",COUNTIFS($B$5:$B1042,$B1042,$BF$5:$BF1042,$BF1042))</f>
        <v/>
      </c>
      <c r="BL1042" s="9" t="str">
        <f>IF($B1042="","",COUNTIFS($B$5:$B1042,$B1042,$BH$5:$BH1042,$BH1042))</f>
        <v/>
      </c>
      <c r="BM1042" s="9" t="str">
        <f t="shared" si="166"/>
        <v/>
      </c>
      <c r="BN1042" s="9" t="str">
        <f t="shared" si="167"/>
        <v/>
      </c>
      <c r="BO1042" s="9">
        <f t="shared" si="168"/>
        <v>0</v>
      </c>
      <c r="BR1042" s="12" t="str">
        <f t="shared" si="169"/>
        <v/>
      </c>
    </row>
    <row r="1043" spans="1:70" ht="14.25" customHeight="1">
      <c r="A1043" s="26"/>
      <c r="C1043" s="26"/>
      <c r="D1043" s="27"/>
      <c r="E1043" s="27"/>
      <c r="BE1043" s="10" t="str">
        <f t="shared" si="160"/>
        <v/>
      </c>
      <c r="BF1043" s="8" t="str">
        <f t="shared" si="161"/>
        <v/>
      </c>
      <c r="BG1043" s="11" t="str">
        <f t="shared" si="162"/>
        <v/>
      </c>
      <c r="BH1043" s="8" t="str">
        <f t="shared" si="163"/>
        <v/>
      </c>
      <c r="BI1043" s="8" t="str">
        <f t="shared" si="164"/>
        <v/>
      </c>
      <c r="BJ1043" s="9" t="str">
        <f t="shared" si="165"/>
        <v/>
      </c>
      <c r="BK1043" s="9" t="str">
        <f>IF($B1043="","",COUNTIFS($B$5:$B1043,$B1043,$BF$5:$BF1043,$BF1043))</f>
        <v/>
      </c>
      <c r="BL1043" s="9" t="str">
        <f>IF($B1043="","",COUNTIFS($B$5:$B1043,$B1043,$BH$5:$BH1043,$BH1043))</f>
        <v/>
      </c>
      <c r="BM1043" s="9" t="str">
        <f t="shared" si="166"/>
        <v/>
      </c>
      <c r="BN1043" s="9" t="str">
        <f t="shared" si="167"/>
        <v/>
      </c>
      <c r="BO1043" s="9">
        <f t="shared" si="168"/>
        <v>0</v>
      </c>
      <c r="BR1043" s="12" t="str">
        <f t="shared" si="169"/>
        <v/>
      </c>
    </row>
    <row r="1044" spans="1:70" ht="14.25" customHeight="1">
      <c r="A1044" s="26"/>
      <c r="C1044" s="26"/>
      <c r="D1044" s="27"/>
      <c r="E1044" s="27"/>
      <c r="BE1044" s="10" t="str">
        <f t="shared" si="160"/>
        <v/>
      </c>
      <c r="BF1044" s="8" t="str">
        <f t="shared" si="161"/>
        <v/>
      </c>
      <c r="BG1044" s="11" t="str">
        <f t="shared" si="162"/>
        <v/>
      </c>
      <c r="BH1044" s="8" t="str">
        <f t="shared" si="163"/>
        <v/>
      </c>
      <c r="BI1044" s="8" t="str">
        <f t="shared" si="164"/>
        <v/>
      </c>
      <c r="BJ1044" s="9" t="str">
        <f t="shared" si="165"/>
        <v/>
      </c>
      <c r="BK1044" s="9" t="str">
        <f>IF($B1044="","",COUNTIFS($B$5:$B1044,$B1044,$BF$5:$BF1044,$BF1044))</f>
        <v/>
      </c>
      <c r="BL1044" s="9" t="str">
        <f>IF($B1044="","",COUNTIFS($B$5:$B1044,$B1044,$BH$5:$BH1044,$BH1044))</f>
        <v/>
      </c>
      <c r="BM1044" s="9" t="str">
        <f t="shared" si="166"/>
        <v/>
      </c>
      <c r="BN1044" s="9" t="str">
        <f t="shared" si="167"/>
        <v/>
      </c>
      <c r="BO1044" s="9">
        <f t="shared" si="168"/>
        <v>0</v>
      </c>
      <c r="BR1044" s="12" t="str">
        <f t="shared" si="169"/>
        <v/>
      </c>
    </row>
    <row r="1045" spans="1:70" ht="14.25" customHeight="1">
      <c r="A1045" s="26"/>
      <c r="C1045" s="26"/>
      <c r="D1045" s="27"/>
      <c r="E1045" s="27"/>
      <c r="BE1045" s="10" t="str">
        <f t="shared" si="160"/>
        <v/>
      </c>
      <c r="BF1045" s="8" t="str">
        <f t="shared" si="161"/>
        <v/>
      </c>
      <c r="BG1045" s="11" t="str">
        <f t="shared" si="162"/>
        <v/>
      </c>
      <c r="BH1045" s="8" t="str">
        <f t="shared" si="163"/>
        <v/>
      </c>
      <c r="BI1045" s="8" t="str">
        <f t="shared" si="164"/>
        <v/>
      </c>
      <c r="BJ1045" s="9" t="str">
        <f t="shared" si="165"/>
        <v/>
      </c>
      <c r="BK1045" s="9" t="str">
        <f>IF($B1045="","",COUNTIFS($B$5:$B1045,$B1045,$BF$5:$BF1045,$BF1045))</f>
        <v/>
      </c>
      <c r="BL1045" s="9" t="str">
        <f>IF($B1045="","",COUNTIFS($B$5:$B1045,$B1045,$BH$5:$BH1045,$BH1045))</f>
        <v/>
      </c>
      <c r="BM1045" s="9" t="str">
        <f t="shared" si="166"/>
        <v/>
      </c>
      <c r="BN1045" s="9" t="str">
        <f t="shared" si="167"/>
        <v/>
      </c>
      <c r="BO1045" s="9">
        <f t="shared" si="168"/>
        <v>0</v>
      </c>
      <c r="BR1045" s="12" t="str">
        <f t="shared" si="169"/>
        <v/>
      </c>
    </row>
    <row r="1046" spans="1:70" ht="14.25" customHeight="1">
      <c r="A1046" s="26"/>
      <c r="C1046" s="26"/>
      <c r="D1046" s="27"/>
      <c r="E1046" s="27"/>
      <c r="BE1046" s="10" t="str">
        <f t="shared" si="160"/>
        <v/>
      </c>
      <c r="BF1046" s="8" t="str">
        <f t="shared" si="161"/>
        <v/>
      </c>
      <c r="BG1046" s="11" t="str">
        <f t="shared" si="162"/>
        <v/>
      </c>
      <c r="BH1046" s="8" t="str">
        <f t="shared" si="163"/>
        <v/>
      </c>
      <c r="BI1046" s="8" t="str">
        <f t="shared" si="164"/>
        <v/>
      </c>
      <c r="BJ1046" s="9" t="str">
        <f t="shared" si="165"/>
        <v/>
      </c>
      <c r="BK1046" s="9" t="str">
        <f>IF($B1046="","",COUNTIFS($B$5:$B1046,$B1046,$BF$5:$BF1046,$BF1046))</f>
        <v/>
      </c>
      <c r="BL1046" s="9" t="str">
        <f>IF($B1046="","",COUNTIFS($B$5:$B1046,$B1046,$BH$5:$BH1046,$BH1046))</f>
        <v/>
      </c>
      <c r="BM1046" s="9" t="str">
        <f t="shared" si="166"/>
        <v/>
      </c>
      <c r="BN1046" s="9" t="str">
        <f t="shared" si="167"/>
        <v/>
      </c>
      <c r="BO1046" s="9">
        <f t="shared" si="168"/>
        <v>0</v>
      </c>
      <c r="BR1046" s="12" t="str">
        <f t="shared" si="169"/>
        <v/>
      </c>
    </row>
    <row r="1047" spans="1:70" ht="14.25" customHeight="1">
      <c r="A1047" s="26"/>
      <c r="C1047" s="26"/>
      <c r="D1047" s="27"/>
      <c r="E1047" s="27"/>
      <c r="BE1047" s="10" t="str">
        <f t="shared" si="160"/>
        <v/>
      </c>
      <c r="BF1047" s="8" t="str">
        <f t="shared" si="161"/>
        <v/>
      </c>
      <c r="BG1047" s="11" t="str">
        <f t="shared" si="162"/>
        <v/>
      </c>
      <c r="BH1047" s="8" t="str">
        <f t="shared" si="163"/>
        <v/>
      </c>
      <c r="BI1047" s="8" t="str">
        <f t="shared" si="164"/>
        <v/>
      </c>
      <c r="BJ1047" s="9" t="str">
        <f t="shared" si="165"/>
        <v/>
      </c>
      <c r="BK1047" s="9" t="str">
        <f>IF($B1047="","",COUNTIFS($B$5:$B1047,$B1047,$BF$5:$BF1047,$BF1047))</f>
        <v/>
      </c>
      <c r="BL1047" s="9" t="str">
        <f>IF($B1047="","",COUNTIFS($B$5:$B1047,$B1047,$BH$5:$BH1047,$BH1047))</f>
        <v/>
      </c>
      <c r="BM1047" s="9" t="str">
        <f t="shared" si="166"/>
        <v/>
      </c>
      <c r="BN1047" s="9" t="str">
        <f t="shared" si="167"/>
        <v/>
      </c>
      <c r="BO1047" s="9">
        <f t="shared" si="168"/>
        <v>0</v>
      </c>
      <c r="BR1047" s="12" t="str">
        <f t="shared" si="169"/>
        <v/>
      </c>
    </row>
    <row r="1048" spans="1:70" ht="14.25" customHeight="1">
      <c r="A1048" s="26"/>
      <c r="C1048" s="26"/>
      <c r="D1048" s="27"/>
      <c r="E1048" s="27"/>
      <c r="BE1048" s="10" t="str">
        <f t="shared" si="160"/>
        <v/>
      </c>
      <c r="BF1048" s="8" t="str">
        <f t="shared" si="161"/>
        <v/>
      </c>
      <c r="BG1048" s="11" t="str">
        <f t="shared" si="162"/>
        <v/>
      </c>
      <c r="BH1048" s="8" t="str">
        <f t="shared" si="163"/>
        <v/>
      </c>
      <c r="BI1048" s="8" t="str">
        <f t="shared" si="164"/>
        <v/>
      </c>
      <c r="BJ1048" s="9" t="str">
        <f t="shared" si="165"/>
        <v/>
      </c>
      <c r="BK1048" s="9" t="str">
        <f>IF($B1048="","",COUNTIFS($B$5:$B1048,$B1048,$BF$5:$BF1048,$BF1048))</f>
        <v/>
      </c>
      <c r="BL1048" s="9" t="str">
        <f>IF($B1048="","",COUNTIFS($B$5:$B1048,$B1048,$BH$5:$BH1048,$BH1048))</f>
        <v/>
      </c>
      <c r="BM1048" s="9" t="str">
        <f t="shared" si="166"/>
        <v/>
      </c>
      <c r="BN1048" s="9" t="str">
        <f t="shared" si="167"/>
        <v/>
      </c>
      <c r="BO1048" s="9">
        <f t="shared" si="168"/>
        <v>0</v>
      </c>
      <c r="BR1048" s="12" t="str">
        <f t="shared" si="169"/>
        <v/>
      </c>
    </row>
    <row r="1049" spans="1:70" ht="14.25" customHeight="1">
      <c r="A1049" s="26"/>
      <c r="C1049" s="26"/>
      <c r="D1049" s="27"/>
      <c r="E1049" s="27"/>
      <c r="BE1049" s="10" t="str">
        <f t="shared" si="160"/>
        <v/>
      </c>
      <c r="BF1049" s="8" t="str">
        <f t="shared" si="161"/>
        <v/>
      </c>
      <c r="BG1049" s="11" t="str">
        <f t="shared" si="162"/>
        <v/>
      </c>
      <c r="BH1049" s="8" t="str">
        <f t="shared" si="163"/>
        <v/>
      </c>
      <c r="BI1049" s="8" t="str">
        <f t="shared" si="164"/>
        <v/>
      </c>
      <c r="BJ1049" s="9" t="str">
        <f t="shared" si="165"/>
        <v/>
      </c>
      <c r="BK1049" s="9" t="str">
        <f>IF($B1049="","",COUNTIFS($B$5:$B1049,$B1049,$BF$5:$BF1049,$BF1049))</f>
        <v/>
      </c>
      <c r="BL1049" s="9" t="str">
        <f>IF($B1049="","",COUNTIFS($B$5:$B1049,$B1049,$BH$5:$BH1049,$BH1049))</f>
        <v/>
      </c>
      <c r="BM1049" s="9" t="str">
        <f t="shared" si="166"/>
        <v/>
      </c>
      <c r="BN1049" s="9" t="str">
        <f t="shared" si="167"/>
        <v/>
      </c>
      <c r="BO1049" s="9">
        <f t="shared" si="168"/>
        <v>0</v>
      </c>
      <c r="BR1049" s="12" t="str">
        <f t="shared" si="169"/>
        <v/>
      </c>
    </row>
    <row r="1050" spans="1:70" ht="14.25" customHeight="1">
      <c r="A1050" s="26"/>
      <c r="C1050" s="26"/>
      <c r="D1050" s="27"/>
      <c r="E1050" s="27"/>
      <c r="BE1050" s="10" t="str">
        <f t="shared" si="160"/>
        <v/>
      </c>
      <c r="BF1050" s="8" t="str">
        <f t="shared" si="161"/>
        <v/>
      </c>
      <c r="BG1050" s="11" t="str">
        <f t="shared" si="162"/>
        <v/>
      </c>
      <c r="BH1050" s="8" t="str">
        <f t="shared" si="163"/>
        <v/>
      </c>
      <c r="BI1050" s="8" t="str">
        <f t="shared" si="164"/>
        <v/>
      </c>
      <c r="BJ1050" s="9" t="str">
        <f t="shared" si="165"/>
        <v/>
      </c>
      <c r="BK1050" s="9" t="str">
        <f>IF($B1050="","",COUNTIFS($B$5:$B1050,$B1050,$BF$5:$BF1050,$BF1050))</f>
        <v/>
      </c>
      <c r="BL1050" s="9" t="str">
        <f>IF($B1050="","",COUNTIFS($B$5:$B1050,$B1050,$BH$5:$BH1050,$BH1050))</f>
        <v/>
      </c>
      <c r="BM1050" s="9" t="str">
        <f t="shared" si="166"/>
        <v/>
      </c>
      <c r="BN1050" s="9" t="str">
        <f t="shared" si="167"/>
        <v/>
      </c>
      <c r="BO1050" s="9">
        <f t="shared" si="168"/>
        <v>0</v>
      </c>
      <c r="BR1050" s="12" t="str">
        <f t="shared" si="169"/>
        <v/>
      </c>
    </row>
    <row r="1051" spans="1:70" ht="14.25" customHeight="1">
      <c r="A1051" s="26"/>
      <c r="C1051" s="26"/>
      <c r="D1051" s="27"/>
      <c r="E1051" s="27"/>
      <c r="BE1051" s="10" t="str">
        <f t="shared" si="160"/>
        <v/>
      </c>
      <c r="BF1051" s="8" t="str">
        <f t="shared" si="161"/>
        <v/>
      </c>
      <c r="BG1051" s="11" t="str">
        <f t="shared" si="162"/>
        <v/>
      </c>
      <c r="BH1051" s="8" t="str">
        <f t="shared" si="163"/>
        <v/>
      </c>
      <c r="BI1051" s="8" t="str">
        <f t="shared" si="164"/>
        <v/>
      </c>
      <c r="BJ1051" s="9" t="str">
        <f t="shared" si="165"/>
        <v/>
      </c>
      <c r="BK1051" s="9" t="str">
        <f>IF($B1051="","",COUNTIFS($B$5:$B1051,$B1051,$BF$5:$BF1051,$BF1051))</f>
        <v/>
      </c>
      <c r="BL1051" s="9" t="str">
        <f>IF($B1051="","",COUNTIFS($B$5:$B1051,$B1051,$BH$5:$BH1051,$BH1051))</f>
        <v/>
      </c>
      <c r="BM1051" s="9" t="str">
        <f t="shared" si="166"/>
        <v/>
      </c>
      <c r="BN1051" s="9" t="str">
        <f t="shared" si="167"/>
        <v/>
      </c>
      <c r="BO1051" s="9">
        <f t="shared" si="168"/>
        <v>0</v>
      </c>
      <c r="BR1051" s="12" t="str">
        <f t="shared" si="169"/>
        <v/>
      </c>
    </row>
    <row r="1052" spans="1:70" ht="14.25" customHeight="1">
      <c r="A1052" s="26"/>
      <c r="C1052" s="26"/>
      <c r="D1052" s="27"/>
      <c r="E1052" s="27"/>
      <c r="BE1052" s="10" t="str">
        <f t="shared" si="160"/>
        <v/>
      </c>
      <c r="BF1052" s="8" t="str">
        <f t="shared" si="161"/>
        <v/>
      </c>
      <c r="BG1052" s="11" t="str">
        <f t="shared" si="162"/>
        <v/>
      </c>
      <c r="BH1052" s="8" t="str">
        <f t="shared" si="163"/>
        <v/>
      </c>
      <c r="BI1052" s="8" t="str">
        <f t="shared" si="164"/>
        <v/>
      </c>
      <c r="BJ1052" s="9" t="str">
        <f t="shared" si="165"/>
        <v/>
      </c>
      <c r="BK1052" s="9" t="str">
        <f>IF($B1052="","",COUNTIFS($B$5:$B1052,$B1052,$BF$5:$BF1052,$BF1052))</f>
        <v/>
      </c>
      <c r="BL1052" s="9" t="str">
        <f>IF($B1052="","",COUNTIFS($B$5:$B1052,$B1052,$BH$5:$BH1052,$BH1052))</f>
        <v/>
      </c>
      <c r="BM1052" s="9" t="str">
        <f t="shared" si="166"/>
        <v/>
      </c>
      <c r="BN1052" s="9" t="str">
        <f t="shared" si="167"/>
        <v/>
      </c>
      <c r="BO1052" s="9">
        <f t="shared" si="168"/>
        <v>0</v>
      </c>
      <c r="BR1052" s="12" t="str">
        <f t="shared" si="169"/>
        <v/>
      </c>
    </row>
    <row r="1053" spans="1:70" ht="14.25" customHeight="1">
      <c r="A1053" s="26"/>
      <c r="C1053" s="26"/>
      <c r="D1053" s="27"/>
      <c r="E1053" s="27"/>
      <c r="BE1053" s="10" t="str">
        <f t="shared" ref="BE1053:BE1116" si="170">IF($B1053="","",IF(COUNT($H1053,$J1053,$L1053,$N1053,$P1053,$R1053)&gt;0,SUM($H1053,$J1053,$L1053,$N1053,$P1053,$R1053),SUM($T1053,$V1053,$X1053,$Z1053,$AB1053,$AD1053,$AF1053,$AH1053,$AJ1053,$AL1053,$AN1053,$AP1053,$AR1053,$AT1053,$AV1053,$AX1053,$AZ1053)))</f>
        <v/>
      </c>
      <c r="BF1053" s="8" t="str">
        <f t="shared" ref="BF1053:BF1116" si="171">IF($C1053="","",DATE(YEAR($C1053),MONTH($C1053),1))</f>
        <v/>
      </c>
      <c r="BG1053" s="11" t="str">
        <f t="shared" ref="BG1053:BG1116" si="172">IF($BF1053="","",TEXT($BF1053,"mmmm yyyy"))</f>
        <v/>
      </c>
      <c r="BH1053" s="8" t="str">
        <f t="shared" ref="BH1053:BH1116" si="173">IF($C1053="","",$C1053-WEEKDAY($C1053,2)+1)</f>
        <v/>
      </c>
      <c r="BI1053" s="8" t="str">
        <f t="shared" ref="BI1053:BI1116" si="174">IF($BH1053="","",$BH1053+6)</f>
        <v/>
      </c>
      <c r="BJ1053" s="9" t="str">
        <f t="shared" ref="BJ1053:BJ1116" si="175">IF($BH1053="","",TEXT($BH1053,"dd/mm/yyyy")&amp;" - "&amp;TEXT($BI1053,"dd/mm/yyyy"))</f>
        <v/>
      </c>
      <c r="BK1053" s="9" t="str">
        <f>IF($B1053="","",COUNTIFS($B$5:$B1053,$B1053,$BF$5:$BF1053,$BF1053))</f>
        <v/>
      </c>
      <c r="BL1053" s="9" t="str">
        <f>IF($B1053="","",COUNTIFS($B$5:$B1053,$B1053,$BH$5:$BH1053,$BH1053))</f>
        <v/>
      </c>
      <c r="BM1053" s="9" t="str">
        <f t="shared" ref="BM1053:BM1116" si="176">IF($B1053="","",TEXT($BK1053,"00")&amp;"|"&amp;$B1053&amp;"|"&amp;TEXT($BF1053,"yyyymmdd"))</f>
        <v/>
      </c>
      <c r="BN1053" s="9" t="str">
        <f t="shared" ref="BN1053:BN1116" si="177">IF($B1053="","",TEXT($BL1053,"00")&amp;"|"&amp;$B1053&amp;"|"&amp;TEXT($BH1053,"yyyymmdd"))</f>
        <v/>
      </c>
      <c r="BO1053" s="9">
        <f t="shared" ref="BO1053:BO1116" si="178">IF(OR($BB1053="YES",$BB1053="Yes",$BB1053="Y",$BB1053=1),1,0)</f>
        <v>0</v>
      </c>
      <c r="BR1053" s="12" t="str">
        <f t="shared" ref="BR1053:BR1116" si="179">IF($C1053="","",IF($C1053&gt;=DATE(2026,6,1),"QA-2026-06",IF($C1053&gt;=DATE(2026,5,1),"May 2026+",IF($C1053&gt;=DATE(2026,4,1),"April 2026",IF($C1053&gt;=DATE(2026,3,1),"March 2026","Jan-Feb 2026")))))</f>
        <v/>
      </c>
    </row>
    <row r="1054" spans="1:70" ht="14.25" customHeight="1">
      <c r="A1054" s="26"/>
      <c r="C1054" s="26"/>
      <c r="D1054" s="27"/>
      <c r="E1054" s="27"/>
      <c r="BE1054" s="10" t="str">
        <f t="shared" si="170"/>
        <v/>
      </c>
      <c r="BF1054" s="8" t="str">
        <f t="shared" si="171"/>
        <v/>
      </c>
      <c r="BG1054" s="11" t="str">
        <f t="shared" si="172"/>
        <v/>
      </c>
      <c r="BH1054" s="8" t="str">
        <f t="shared" si="173"/>
        <v/>
      </c>
      <c r="BI1054" s="8" t="str">
        <f t="shared" si="174"/>
        <v/>
      </c>
      <c r="BJ1054" s="9" t="str">
        <f t="shared" si="175"/>
        <v/>
      </c>
      <c r="BK1054" s="9" t="str">
        <f>IF($B1054="","",COUNTIFS($B$5:$B1054,$B1054,$BF$5:$BF1054,$BF1054))</f>
        <v/>
      </c>
      <c r="BL1054" s="9" t="str">
        <f>IF($B1054="","",COUNTIFS($B$5:$B1054,$B1054,$BH$5:$BH1054,$BH1054))</f>
        <v/>
      </c>
      <c r="BM1054" s="9" t="str">
        <f t="shared" si="176"/>
        <v/>
      </c>
      <c r="BN1054" s="9" t="str">
        <f t="shared" si="177"/>
        <v/>
      </c>
      <c r="BO1054" s="9">
        <f t="shared" si="178"/>
        <v>0</v>
      </c>
      <c r="BR1054" s="12" t="str">
        <f t="shared" si="179"/>
        <v/>
      </c>
    </row>
    <row r="1055" spans="1:70" ht="14.25" customHeight="1">
      <c r="A1055" s="26"/>
      <c r="C1055" s="26"/>
      <c r="D1055" s="27"/>
      <c r="E1055" s="27"/>
      <c r="BE1055" s="10" t="str">
        <f t="shared" si="170"/>
        <v/>
      </c>
      <c r="BF1055" s="8" t="str">
        <f t="shared" si="171"/>
        <v/>
      </c>
      <c r="BG1055" s="11" t="str">
        <f t="shared" si="172"/>
        <v/>
      </c>
      <c r="BH1055" s="8" t="str">
        <f t="shared" si="173"/>
        <v/>
      </c>
      <c r="BI1055" s="8" t="str">
        <f t="shared" si="174"/>
        <v/>
      </c>
      <c r="BJ1055" s="9" t="str">
        <f t="shared" si="175"/>
        <v/>
      </c>
      <c r="BK1055" s="9" t="str">
        <f>IF($B1055="","",COUNTIFS($B$5:$B1055,$B1055,$BF$5:$BF1055,$BF1055))</f>
        <v/>
      </c>
      <c r="BL1055" s="9" t="str">
        <f>IF($B1055="","",COUNTIFS($B$5:$B1055,$B1055,$BH$5:$BH1055,$BH1055))</f>
        <v/>
      </c>
      <c r="BM1055" s="9" t="str">
        <f t="shared" si="176"/>
        <v/>
      </c>
      <c r="BN1055" s="9" t="str">
        <f t="shared" si="177"/>
        <v/>
      </c>
      <c r="BO1055" s="9">
        <f t="shared" si="178"/>
        <v>0</v>
      </c>
      <c r="BR1055" s="12" t="str">
        <f t="shared" si="179"/>
        <v/>
      </c>
    </row>
    <row r="1056" spans="1:70" ht="14.25" customHeight="1">
      <c r="A1056" s="26"/>
      <c r="C1056" s="26"/>
      <c r="D1056" s="27"/>
      <c r="E1056" s="27"/>
      <c r="BE1056" s="10" t="str">
        <f t="shared" si="170"/>
        <v/>
      </c>
      <c r="BF1056" s="8" t="str">
        <f t="shared" si="171"/>
        <v/>
      </c>
      <c r="BG1056" s="11" t="str">
        <f t="shared" si="172"/>
        <v/>
      </c>
      <c r="BH1056" s="8" t="str">
        <f t="shared" si="173"/>
        <v/>
      </c>
      <c r="BI1056" s="8" t="str">
        <f t="shared" si="174"/>
        <v/>
      </c>
      <c r="BJ1056" s="9" t="str">
        <f t="shared" si="175"/>
        <v/>
      </c>
      <c r="BK1056" s="9" t="str">
        <f>IF($B1056="","",COUNTIFS($B$5:$B1056,$B1056,$BF$5:$BF1056,$BF1056))</f>
        <v/>
      </c>
      <c r="BL1056" s="9" t="str">
        <f>IF($B1056="","",COUNTIFS($B$5:$B1056,$B1056,$BH$5:$BH1056,$BH1056))</f>
        <v/>
      </c>
      <c r="BM1056" s="9" t="str">
        <f t="shared" si="176"/>
        <v/>
      </c>
      <c r="BN1056" s="9" t="str">
        <f t="shared" si="177"/>
        <v/>
      </c>
      <c r="BO1056" s="9">
        <f t="shared" si="178"/>
        <v>0</v>
      </c>
      <c r="BR1056" s="12" t="str">
        <f t="shared" si="179"/>
        <v/>
      </c>
    </row>
    <row r="1057" spans="1:70" ht="14.25" customHeight="1">
      <c r="A1057" s="26"/>
      <c r="C1057" s="26"/>
      <c r="D1057" s="27"/>
      <c r="E1057" s="27"/>
      <c r="BE1057" s="10" t="str">
        <f t="shared" si="170"/>
        <v/>
      </c>
      <c r="BF1057" s="8" t="str">
        <f t="shared" si="171"/>
        <v/>
      </c>
      <c r="BG1057" s="11" t="str">
        <f t="shared" si="172"/>
        <v/>
      </c>
      <c r="BH1057" s="8" t="str">
        <f t="shared" si="173"/>
        <v/>
      </c>
      <c r="BI1057" s="8" t="str">
        <f t="shared" si="174"/>
        <v/>
      </c>
      <c r="BJ1057" s="9" t="str">
        <f t="shared" si="175"/>
        <v/>
      </c>
      <c r="BK1057" s="9" t="str">
        <f>IF($B1057="","",COUNTIFS($B$5:$B1057,$B1057,$BF$5:$BF1057,$BF1057))</f>
        <v/>
      </c>
      <c r="BL1057" s="9" t="str">
        <f>IF($B1057="","",COUNTIFS($B$5:$B1057,$B1057,$BH$5:$BH1057,$BH1057))</f>
        <v/>
      </c>
      <c r="BM1057" s="9" t="str">
        <f t="shared" si="176"/>
        <v/>
      </c>
      <c r="BN1057" s="9" t="str">
        <f t="shared" si="177"/>
        <v/>
      </c>
      <c r="BO1057" s="9">
        <f t="shared" si="178"/>
        <v>0</v>
      </c>
      <c r="BR1057" s="12" t="str">
        <f t="shared" si="179"/>
        <v/>
      </c>
    </row>
    <row r="1058" spans="1:70" ht="14.25" customHeight="1">
      <c r="A1058" s="26"/>
      <c r="C1058" s="26"/>
      <c r="D1058" s="27"/>
      <c r="E1058" s="27"/>
      <c r="BE1058" s="10" t="str">
        <f t="shared" si="170"/>
        <v/>
      </c>
      <c r="BF1058" s="8" t="str">
        <f t="shared" si="171"/>
        <v/>
      </c>
      <c r="BG1058" s="11" t="str">
        <f t="shared" si="172"/>
        <v/>
      </c>
      <c r="BH1058" s="8" t="str">
        <f t="shared" si="173"/>
        <v/>
      </c>
      <c r="BI1058" s="8" t="str">
        <f t="shared" si="174"/>
        <v/>
      </c>
      <c r="BJ1058" s="9" t="str">
        <f t="shared" si="175"/>
        <v/>
      </c>
      <c r="BK1058" s="9" t="str">
        <f>IF($B1058="","",COUNTIFS($B$5:$B1058,$B1058,$BF$5:$BF1058,$BF1058))</f>
        <v/>
      </c>
      <c r="BL1058" s="9" t="str">
        <f>IF($B1058="","",COUNTIFS($B$5:$B1058,$B1058,$BH$5:$BH1058,$BH1058))</f>
        <v/>
      </c>
      <c r="BM1058" s="9" t="str">
        <f t="shared" si="176"/>
        <v/>
      </c>
      <c r="BN1058" s="9" t="str">
        <f t="shared" si="177"/>
        <v/>
      </c>
      <c r="BO1058" s="9">
        <f t="shared" si="178"/>
        <v>0</v>
      </c>
      <c r="BR1058" s="12" t="str">
        <f t="shared" si="179"/>
        <v/>
      </c>
    </row>
    <row r="1059" spans="1:70" ht="14.25" customHeight="1">
      <c r="A1059" s="26"/>
      <c r="C1059" s="26"/>
      <c r="D1059" s="27"/>
      <c r="E1059" s="27"/>
      <c r="BE1059" s="10" t="str">
        <f t="shared" si="170"/>
        <v/>
      </c>
      <c r="BF1059" s="8" t="str">
        <f t="shared" si="171"/>
        <v/>
      </c>
      <c r="BG1059" s="11" t="str">
        <f t="shared" si="172"/>
        <v/>
      </c>
      <c r="BH1059" s="8" t="str">
        <f t="shared" si="173"/>
        <v/>
      </c>
      <c r="BI1059" s="8" t="str">
        <f t="shared" si="174"/>
        <v/>
      </c>
      <c r="BJ1059" s="9" t="str">
        <f t="shared" si="175"/>
        <v/>
      </c>
      <c r="BK1059" s="9" t="str">
        <f>IF($B1059="","",COUNTIFS($B$5:$B1059,$B1059,$BF$5:$BF1059,$BF1059))</f>
        <v/>
      </c>
      <c r="BL1059" s="9" t="str">
        <f>IF($B1059="","",COUNTIFS($B$5:$B1059,$B1059,$BH$5:$BH1059,$BH1059))</f>
        <v/>
      </c>
      <c r="BM1059" s="9" t="str">
        <f t="shared" si="176"/>
        <v/>
      </c>
      <c r="BN1059" s="9" t="str">
        <f t="shared" si="177"/>
        <v/>
      </c>
      <c r="BO1059" s="9">
        <f t="shared" si="178"/>
        <v>0</v>
      </c>
      <c r="BR1059" s="12" t="str">
        <f t="shared" si="179"/>
        <v/>
      </c>
    </row>
    <row r="1060" spans="1:70" ht="14.25" customHeight="1">
      <c r="A1060" s="26"/>
      <c r="C1060" s="26"/>
      <c r="D1060" s="27"/>
      <c r="E1060" s="27"/>
      <c r="BE1060" s="10" t="str">
        <f t="shared" si="170"/>
        <v/>
      </c>
      <c r="BF1060" s="8" t="str">
        <f t="shared" si="171"/>
        <v/>
      </c>
      <c r="BG1060" s="11" t="str">
        <f t="shared" si="172"/>
        <v/>
      </c>
      <c r="BH1060" s="8" t="str">
        <f t="shared" si="173"/>
        <v/>
      </c>
      <c r="BI1060" s="8" t="str">
        <f t="shared" si="174"/>
        <v/>
      </c>
      <c r="BJ1060" s="9" t="str">
        <f t="shared" si="175"/>
        <v/>
      </c>
      <c r="BK1060" s="9" t="str">
        <f>IF($B1060="","",COUNTIFS($B$5:$B1060,$B1060,$BF$5:$BF1060,$BF1060))</f>
        <v/>
      </c>
      <c r="BL1060" s="9" t="str">
        <f>IF($B1060="","",COUNTIFS($B$5:$B1060,$B1060,$BH$5:$BH1060,$BH1060))</f>
        <v/>
      </c>
      <c r="BM1060" s="9" t="str">
        <f t="shared" si="176"/>
        <v/>
      </c>
      <c r="BN1060" s="9" t="str">
        <f t="shared" si="177"/>
        <v/>
      </c>
      <c r="BO1060" s="9">
        <f t="shared" si="178"/>
        <v>0</v>
      </c>
      <c r="BR1060" s="12" t="str">
        <f t="shared" si="179"/>
        <v/>
      </c>
    </row>
    <row r="1061" spans="1:70" ht="14.25" customHeight="1">
      <c r="A1061" s="26"/>
      <c r="C1061" s="26"/>
      <c r="D1061" s="27"/>
      <c r="E1061" s="27"/>
      <c r="BE1061" s="10" t="str">
        <f t="shared" si="170"/>
        <v/>
      </c>
      <c r="BF1061" s="8" t="str">
        <f t="shared" si="171"/>
        <v/>
      </c>
      <c r="BG1061" s="11" t="str">
        <f t="shared" si="172"/>
        <v/>
      </c>
      <c r="BH1061" s="8" t="str">
        <f t="shared" si="173"/>
        <v/>
      </c>
      <c r="BI1061" s="8" t="str">
        <f t="shared" si="174"/>
        <v/>
      </c>
      <c r="BJ1061" s="9" t="str">
        <f t="shared" si="175"/>
        <v/>
      </c>
      <c r="BK1061" s="9" t="str">
        <f>IF($B1061="","",COUNTIFS($B$5:$B1061,$B1061,$BF$5:$BF1061,$BF1061))</f>
        <v/>
      </c>
      <c r="BL1061" s="9" t="str">
        <f>IF($B1061="","",COUNTIFS($B$5:$B1061,$B1061,$BH$5:$BH1061,$BH1061))</f>
        <v/>
      </c>
      <c r="BM1061" s="9" t="str">
        <f t="shared" si="176"/>
        <v/>
      </c>
      <c r="BN1061" s="9" t="str">
        <f t="shared" si="177"/>
        <v/>
      </c>
      <c r="BO1061" s="9">
        <f t="shared" si="178"/>
        <v>0</v>
      </c>
      <c r="BR1061" s="12" t="str">
        <f t="shared" si="179"/>
        <v/>
      </c>
    </row>
    <row r="1062" spans="1:70" ht="14.25" customHeight="1">
      <c r="A1062" s="26"/>
      <c r="C1062" s="26"/>
      <c r="D1062" s="27"/>
      <c r="E1062" s="27"/>
      <c r="BE1062" s="10" t="str">
        <f t="shared" si="170"/>
        <v/>
      </c>
      <c r="BF1062" s="8" t="str">
        <f t="shared" si="171"/>
        <v/>
      </c>
      <c r="BG1062" s="11" t="str">
        <f t="shared" si="172"/>
        <v/>
      </c>
      <c r="BH1062" s="8" t="str">
        <f t="shared" si="173"/>
        <v/>
      </c>
      <c r="BI1062" s="8" t="str">
        <f t="shared" si="174"/>
        <v/>
      </c>
      <c r="BJ1062" s="9" t="str">
        <f t="shared" si="175"/>
        <v/>
      </c>
      <c r="BK1062" s="9" t="str">
        <f>IF($B1062="","",COUNTIFS($B$5:$B1062,$B1062,$BF$5:$BF1062,$BF1062))</f>
        <v/>
      </c>
      <c r="BL1062" s="9" t="str">
        <f>IF($B1062="","",COUNTIFS($B$5:$B1062,$B1062,$BH$5:$BH1062,$BH1062))</f>
        <v/>
      </c>
      <c r="BM1062" s="9" t="str">
        <f t="shared" si="176"/>
        <v/>
      </c>
      <c r="BN1062" s="9" t="str">
        <f t="shared" si="177"/>
        <v/>
      </c>
      <c r="BO1062" s="9">
        <f t="shared" si="178"/>
        <v>0</v>
      </c>
      <c r="BR1062" s="12" t="str">
        <f t="shared" si="179"/>
        <v/>
      </c>
    </row>
    <row r="1063" spans="1:70" ht="14.25" customHeight="1">
      <c r="A1063" s="26"/>
      <c r="C1063" s="26"/>
      <c r="D1063" s="27"/>
      <c r="E1063" s="27"/>
      <c r="BE1063" s="10" t="str">
        <f t="shared" si="170"/>
        <v/>
      </c>
      <c r="BF1063" s="8" t="str">
        <f t="shared" si="171"/>
        <v/>
      </c>
      <c r="BG1063" s="11" t="str">
        <f t="shared" si="172"/>
        <v/>
      </c>
      <c r="BH1063" s="8" t="str">
        <f t="shared" si="173"/>
        <v/>
      </c>
      <c r="BI1063" s="8" t="str">
        <f t="shared" si="174"/>
        <v/>
      </c>
      <c r="BJ1063" s="9" t="str">
        <f t="shared" si="175"/>
        <v/>
      </c>
      <c r="BK1063" s="9" t="str">
        <f>IF($B1063="","",COUNTIFS($B$5:$B1063,$B1063,$BF$5:$BF1063,$BF1063))</f>
        <v/>
      </c>
      <c r="BL1063" s="9" t="str">
        <f>IF($B1063="","",COUNTIFS($B$5:$B1063,$B1063,$BH$5:$BH1063,$BH1063))</f>
        <v/>
      </c>
      <c r="BM1063" s="9" t="str">
        <f t="shared" si="176"/>
        <v/>
      </c>
      <c r="BN1063" s="9" t="str">
        <f t="shared" si="177"/>
        <v/>
      </c>
      <c r="BO1063" s="9">
        <f t="shared" si="178"/>
        <v>0</v>
      </c>
      <c r="BR1063" s="12" t="str">
        <f t="shared" si="179"/>
        <v/>
      </c>
    </row>
    <row r="1064" spans="1:70" ht="14.25" customHeight="1">
      <c r="A1064" s="26"/>
      <c r="C1064" s="26"/>
      <c r="D1064" s="27"/>
      <c r="E1064" s="27"/>
      <c r="BE1064" s="10" t="str">
        <f t="shared" si="170"/>
        <v/>
      </c>
      <c r="BF1064" s="8" t="str">
        <f t="shared" si="171"/>
        <v/>
      </c>
      <c r="BG1064" s="11" t="str">
        <f t="shared" si="172"/>
        <v/>
      </c>
      <c r="BH1064" s="8" t="str">
        <f t="shared" si="173"/>
        <v/>
      </c>
      <c r="BI1064" s="8" t="str">
        <f t="shared" si="174"/>
        <v/>
      </c>
      <c r="BJ1064" s="9" t="str">
        <f t="shared" si="175"/>
        <v/>
      </c>
      <c r="BK1064" s="9" t="str">
        <f>IF($B1064="","",COUNTIFS($B$5:$B1064,$B1064,$BF$5:$BF1064,$BF1064))</f>
        <v/>
      </c>
      <c r="BL1064" s="9" t="str">
        <f>IF($B1064="","",COUNTIFS($B$5:$B1064,$B1064,$BH$5:$BH1064,$BH1064))</f>
        <v/>
      </c>
      <c r="BM1064" s="9" t="str">
        <f t="shared" si="176"/>
        <v/>
      </c>
      <c r="BN1064" s="9" t="str">
        <f t="shared" si="177"/>
        <v/>
      </c>
      <c r="BO1064" s="9">
        <f t="shared" si="178"/>
        <v>0</v>
      </c>
      <c r="BR1064" s="12" t="str">
        <f t="shared" si="179"/>
        <v/>
      </c>
    </row>
    <row r="1065" spans="1:70" ht="14.25" customHeight="1">
      <c r="A1065" s="26"/>
      <c r="C1065" s="26"/>
      <c r="D1065" s="27"/>
      <c r="E1065" s="27"/>
      <c r="BE1065" s="10" t="str">
        <f t="shared" si="170"/>
        <v/>
      </c>
      <c r="BF1065" s="8" t="str">
        <f t="shared" si="171"/>
        <v/>
      </c>
      <c r="BG1065" s="11" t="str">
        <f t="shared" si="172"/>
        <v/>
      </c>
      <c r="BH1065" s="8" t="str">
        <f t="shared" si="173"/>
        <v/>
      </c>
      <c r="BI1065" s="8" t="str">
        <f t="shared" si="174"/>
        <v/>
      </c>
      <c r="BJ1065" s="9" t="str">
        <f t="shared" si="175"/>
        <v/>
      </c>
      <c r="BK1065" s="9" t="str">
        <f>IF($B1065="","",COUNTIFS($B$5:$B1065,$B1065,$BF$5:$BF1065,$BF1065))</f>
        <v/>
      </c>
      <c r="BL1065" s="9" t="str">
        <f>IF($B1065="","",COUNTIFS($B$5:$B1065,$B1065,$BH$5:$BH1065,$BH1065))</f>
        <v/>
      </c>
      <c r="BM1065" s="9" t="str">
        <f t="shared" si="176"/>
        <v/>
      </c>
      <c r="BN1065" s="9" t="str">
        <f t="shared" si="177"/>
        <v/>
      </c>
      <c r="BO1065" s="9">
        <f t="shared" si="178"/>
        <v>0</v>
      </c>
      <c r="BR1065" s="12" t="str">
        <f t="shared" si="179"/>
        <v/>
      </c>
    </row>
    <row r="1066" spans="1:70" ht="14.25" customHeight="1">
      <c r="A1066" s="26"/>
      <c r="C1066" s="26"/>
      <c r="D1066" s="27"/>
      <c r="E1066" s="27"/>
      <c r="BE1066" s="10" t="str">
        <f t="shared" si="170"/>
        <v/>
      </c>
      <c r="BF1066" s="8" t="str">
        <f t="shared" si="171"/>
        <v/>
      </c>
      <c r="BG1066" s="11" t="str">
        <f t="shared" si="172"/>
        <v/>
      </c>
      <c r="BH1066" s="8" t="str">
        <f t="shared" si="173"/>
        <v/>
      </c>
      <c r="BI1066" s="8" t="str">
        <f t="shared" si="174"/>
        <v/>
      </c>
      <c r="BJ1066" s="9" t="str">
        <f t="shared" si="175"/>
        <v/>
      </c>
      <c r="BK1066" s="9" t="str">
        <f>IF($B1066="","",COUNTIFS($B$5:$B1066,$B1066,$BF$5:$BF1066,$BF1066))</f>
        <v/>
      </c>
      <c r="BL1066" s="9" t="str">
        <f>IF($B1066="","",COUNTIFS($B$5:$B1066,$B1066,$BH$5:$BH1066,$BH1066))</f>
        <v/>
      </c>
      <c r="BM1066" s="9" t="str">
        <f t="shared" si="176"/>
        <v/>
      </c>
      <c r="BN1066" s="9" t="str">
        <f t="shared" si="177"/>
        <v/>
      </c>
      <c r="BO1066" s="9">
        <f t="shared" si="178"/>
        <v>0</v>
      </c>
      <c r="BR1066" s="12" t="str">
        <f t="shared" si="179"/>
        <v/>
      </c>
    </row>
    <row r="1067" spans="1:70" ht="14.25" customHeight="1">
      <c r="A1067" s="26"/>
      <c r="C1067" s="26"/>
      <c r="D1067" s="27"/>
      <c r="E1067" s="27"/>
      <c r="BE1067" s="10" t="str">
        <f t="shared" si="170"/>
        <v/>
      </c>
      <c r="BF1067" s="8" t="str">
        <f t="shared" si="171"/>
        <v/>
      </c>
      <c r="BG1067" s="11" t="str">
        <f t="shared" si="172"/>
        <v/>
      </c>
      <c r="BH1067" s="8" t="str">
        <f t="shared" si="173"/>
        <v/>
      </c>
      <c r="BI1067" s="8" t="str">
        <f t="shared" si="174"/>
        <v/>
      </c>
      <c r="BJ1067" s="9" t="str">
        <f t="shared" si="175"/>
        <v/>
      </c>
      <c r="BK1067" s="9" t="str">
        <f>IF($B1067="","",COUNTIFS($B$5:$B1067,$B1067,$BF$5:$BF1067,$BF1067))</f>
        <v/>
      </c>
      <c r="BL1067" s="9" t="str">
        <f>IF($B1067="","",COUNTIFS($B$5:$B1067,$B1067,$BH$5:$BH1067,$BH1067))</f>
        <v/>
      </c>
      <c r="BM1067" s="9" t="str">
        <f t="shared" si="176"/>
        <v/>
      </c>
      <c r="BN1067" s="9" t="str">
        <f t="shared" si="177"/>
        <v/>
      </c>
      <c r="BO1067" s="9">
        <f t="shared" si="178"/>
        <v>0</v>
      </c>
      <c r="BR1067" s="12" t="str">
        <f t="shared" si="179"/>
        <v/>
      </c>
    </row>
    <row r="1068" spans="1:70" ht="14.25" customHeight="1">
      <c r="A1068" s="26"/>
      <c r="C1068" s="26"/>
      <c r="D1068" s="27"/>
      <c r="E1068" s="27"/>
      <c r="BE1068" s="10" t="str">
        <f t="shared" si="170"/>
        <v/>
      </c>
      <c r="BF1068" s="8" t="str">
        <f t="shared" si="171"/>
        <v/>
      </c>
      <c r="BG1068" s="11" t="str">
        <f t="shared" si="172"/>
        <v/>
      </c>
      <c r="BH1068" s="8" t="str">
        <f t="shared" si="173"/>
        <v/>
      </c>
      <c r="BI1068" s="8" t="str">
        <f t="shared" si="174"/>
        <v/>
      </c>
      <c r="BJ1068" s="9" t="str">
        <f t="shared" si="175"/>
        <v/>
      </c>
      <c r="BK1068" s="9" t="str">
        <f>IF($B1068="","",COUNTIFS($B$5:$B1068,$B1068,$BF$5:$BF1068,$BF1068))</f>
        <v/>
      </c>
      <c r="BL1068" s="9" t="str">
        <f>IF($B1068="","",COUNTIFS($B$5:$B1068,$B1068,$BH$5:$BH1068,$BH1068))</f>
        <v/>
      </c>
      <c r="BM1068" s="9" t="str">
        <f t="shared" si="176"/>
        <v/>
      </c>
      <c r="BN1068" s="9" t="str">
        <f t="shared" si="177"/>
        <v/>
      </c>
      <c r="BO1068" s="9">
        <f t="shared" si="178"/>
        <v>0</v>
      </c>
      <c r="BR1068" s="12" t="str">
        <f t="shared" si="179"/>
        <v/>
      </c>
    </row>
    <row r="1069" spans="1:70" ht="14.25" customHeight="1">
      <c r="A1069" s="26"/>
      <c r="C1069" s="26"/>
      <c r="D1069" s="27"/>
      <c r="E1069" s="27"/>
      <c r="BE1069" s="10" t="str">
        <f t="shared" si="170"/>
        <v/>
      </c>
      <c r="BF1069" s="8" t="str">
        <f t="shared" si="171"/>
        <v/>
      </c>
      <c r="BG1069" s="11" t="str">
        <f t="shared" si="172"/>
        <v/>
      </c>
      <c r="BH1069" s="8" t="str">
        <f t="shared" si="173"/>
        <v/>
      </c>
      <c r="BI1069" s="8" t="str">
        <f t="shared" si="174"/>
        <v/>
      </c>
      <c r="BJ1069" s="9" t="str">
        <f t="shared" si="175"/>
        <v/>
      </c>
      <c r="BK1069" s="9" t="str">
        <f>IF($B1069="","",COUNTIFS($B$5:$B1069,$B1069,$BF$5:$BF1069,$BF1069))</f>
        <v/>
      </c>
      <c r="BL1069" s="9" t="str">
        <f>IF($B1069="","",COUNTIFS($B$5:$B1069,$B1069,$BH$5:$BH1069,$BH1069))</f>
        <v/>
      </c>
      <c r="BM1069" s="9" t="str">
        <f t="shared" si="176"/>
        <v/>
      </c>
      <c r="BN1069" s="9" t="str">
        <f t="shared" si="177"/>
        <v/>
      </c>
      <c r="BO1069" s="9">
        <f t="shared" si="178"/>
        <v>0</v>
      </c>
      <c r="BR1069" s="12" t="str">
        <f t="shared" si="179"/>
        <v/>
      </c>
    </row>
    <row r="1070" spans="1:70" ht="14.25" customHeight="1">
      <c r="A1070" s="26"/>
      <c r="C1070" s="26"/>
      <c r="D1070" s="27"/>
      <c r="E1070" s="27"/>
      <c r="BE1070" s="10" t="str">
        <f t="shared" si="170"/>
        <v/>
      </c>
      <c r="BF1070" s="8" t="str">
        <f t="shared" si="171"/>
        <v/>
      </c>
      <c r="BG1070" s="11" t="str">
        <f t="shared" si="172"/>
        <v/>
      </c>
      <c r="BH1070" s="8" t="str">
        <f t="shared" si="173"/>
        <v/>
      </c>
      <c r="BI1070" s="8" t="str">
        <f t="shared" si="174"/>
        <v/>
      </c>
      <c r="BJ1070" s="9" t="str">
        <f t="shared" si="175"/>
        <v/>
      </c>
      <c r="BK1070" s="9" t="str">
        <f>IF($B1070="","",COUNTIFS($B$5:$B1070,$B1070,$BF$5:$BF1070,$BF1070))</f>
        <v/>
      </c>
      <c r="BL1070" s="9" t="str">
        <f>IF($B1070="","",COUNTIFS($B$5:$B1070,$B1070,$BH$5:$BH1070,$BH1070))</f>
        <v/>
      </c>
      <c r="BM1070" s="9" t="str">
        <f t="shared" si="176"/>
        <v/>
      </c>
      <c r="BN1070" s="9" t="str">
        <f t="shared" si="177"/>
        <v/>
      </c>
      <c r="BO1070" s="9">
        <f t="shared" si="178"/>
        <v>0</v>
      </c>
      <c r="BR1070" s="12" t="str">
        <f t="shared" si="179"/>
        <v/>
      </c>
    </row>
    <row r="1071" spans="1:70" ht="14.25" customHeight="1">
      <c r="A1071" s="26"/>
      <c r="C1071" s="26"/>
      <c r="D1071" s="27"/>
      <c r="E1071" s="27"/>
      <c r="BE1071" s="10" t="str">
        <f t="shared" si="170"/>
        <v/>
      </c>
      <c r="BF1071" s="8" t="str">
        <f t="shared" si="171"/>
        <v/>
      </c>
      <c r="BG1071" s="11" t="str">
        <f t="shared" si="172"/>
        <v/>
      </c>
      <c r="BH1071" s="8" t="str">
        <f t="shared" si="173"/>
        <v/>
      </c>
      <c r="BI1071" s="8" t="str">
        <f t="shared" si="174"/>
        <v/>
      </c>
      <c r="BJ1071" s="9" t="str">
        <f t="shared" si="175"/>
        <v/>
      </c>
      <c r="BK1071" s="9" t="str">
        <f>IF($B1071="","",COUNTIFS($B$5:$B1071,$B1071,$BF$5:$BF1071,$BF1071))</f>
        <v/>
      </c>
      <c r="BL1071" s="9" t="str">
        <f>IF($B1071="","",COUNTIFS($B$5:$B1071,$B1071,$BH$5:$BH1071,$BH1071))</f>
        <v/>
      </c>
      <c r="BM1071" s="9" t="str">
        <f t="shared" si="176"/>
        <v/>
      </c>
      <c r="BN1071" s="9" t="str">
        <f t="shared" si="177"/>
        <v/>
      </c>
      <c r="BO1071" s="9">
        <f t="shared" si="178"/>
        <v>0</v>
      </c>
      <c r="BR1071" s="12" t="str">
        <f t="shared" si="179"/>
        <v/>
      </c>
    </row>
    <row r="1072" spans="1:70" ht="14.25" customHeight="1">
      <c r="A1072" s="26"/>
      <c r="C1072" s="26"/>
      <c r="D1072" s="27"/>
      <c r="E1072" s="27"/>
      <c r="BE1072" s="10" t="str">
        <f t="shared" si="170"/>
        <v/>
      </c>
      <c r="BF1072" s="8" t="str">
        <f t="shared" si="171"/>
        <v/>
      </c>
      <c r="BG1072" s="11" t="str">
        <f t="shared" si="172"/>
        <v/>
      </c>
      <c r="BH1072" s="8" t="str">
        <f t="shared" si="173"/>
        <v/>
      </c>
      <c r="BI1072" s="8" t="str">
        <f t="shared" si="174"/>
        <v/>
      </c>
      <c r="BJ1072" s="9" t="str">
        <f t="shared" si="175"/>
        <v/>
      </c>
      <c r="BK1072" s="9" t="str">
        <f>IF($B1072="","",COUNTIFS($B$5:$B1072,$B1072,$BF$5:$BF1072,$BF1072))</f>
        <v/>
      </c>
      <c r="BL1072" s="9" t="str">
        <f>IF($B1072="","",COUNTIFS($B$5:$B1072,$B1072,$BH$5:$BH1072,$BH1072))</f>
        <v/>
      </c>
      <c r="BM1072" s="9" t="str">
        <f t="shared" si="176"/>
        <v/>
      </c>
      <c r="BN1072" s="9" t="str">
        <f t="shared" si="177"/>
        <v/>
      </c>
      <c r="BO1072" s="9">
        <f t="shared" si="178"/>
        <v>0</v>
      </c>
      <c r="BR1072" s="12" t="str">
        <f t="shared" si="179"/>
        <v/>
      </c>
    </row>
    <row r="1073" spans="1:70" ht="14.25" customHeight="1">
      <c r="A1073" s="26"/>
      <c r="C1073" s="26"/>
      <c r="D1073" s="27"/>
      <c r="E1073" s="27"/>
      <c r="BE1073" s="10" t="str">
        <f t="shared" si="170"/>
        <v/>
      </c>
      <c r="BF1073" s="8" t="str">
        <f t="shared" si="171"/>
        <v/>
      </c>
      <c r="BG1073" s="11" t="str">
        <f t="shared" si="172"/>
        <v/>
      </c>
      <c r="BH1073" s="8" t="str">
        <f t="shared" si="173"/>
        <v/>
      </c>
      <c r="BI1073" s="8" t="str">
        <f t="shared" si="174"/>
        <v/>
      </c>
      <c r="BJ1073" s="9" t="str">
        <f t="shared" si="175"/>
        <v/>
      </c>
      <c r="BK1073" s="9" t="str">
        <f>IF($B1073="","",COUNTIFS($B$5:$B1073,$B1073,$BF$5:$BF1073,$BF1073))</f>
        <v/>
      </c>
      <c r="BL1073" s="9" t="str">
        <f>IF($B1073="","",COUNTIFS($B$5:$B1073,$B1073,$BH$5:$BH1073,$BH1073))</f>
        <v/>
      </c>
      <c r="BM1073" s="9" t="str">
        <f t="shared" si="176"/>
        <v/>
      </c>
      <c r="BN1073" s="9" t="str">
        <f t="shared" si="177"/>
        <v/>
      </c>
      <c r="BO1073" s="9">
        <f t="shared" si="178"/>
        <v>0</v>
      </c>
      <c r="BR1073" s="12" t="str">
        <f t="shared" si="179"/>
        <v/>
      </c>
    </row>
    <row r="1074" spans="1:70" ht="14.25" customHeight="1">
      <c r="A1074" s="26"/>
      <c r="C1074" s="26"/>
      <c r="D1074" s="27"/>
      <c r="E1074" s="27"/>
      <c r="BE1074" s="10" t="str">
        <f t="shared" si="170"/>
        <v/>
      </c>
      <c r="BF1074" s="8" t="str">
        <f t="shared" si="171"/>
        <v/>
      </c>
      <c r="BG1074" s="11" t="str">
        <f t="shared" si="172"/>
        <v/>
      </c>
      <c r="BH1074" s="8" t="str">
        <f t="shared" si="173"/>
        <v/>
      </c>
      <c r="BI1074" s="8" t="str">
        <f t="shared" si="174"/>
        <v/>
      </c>
      <c r="BJ1074" s="9" t="str">
        <f t="shared" si="175"/>
        <v/>
      </c>
      <c r="BK1074" s="9" t="str">
        <f>IF($B1074="","",COUNTIFS($B$5:$B1074,$B1074,$BF$5:$BF1074,$BF1074))</f>
        <v/>
      </c>
      <c r="BL1074" s="9" t="str">
        <f>IF($B1074="","",COUNTIFS($B$5:$B1074,$B1074,$BH$5:$BH1074,$BH1074))</f>
        <v/>
      </c>
      <c r="BM1074" s="9" t="str">
        <f t="shared" si="176"/>
        <v/>
      </c>
      <c r="BN1074" s="9" t="str">
        <f t="shared" si="177"/>
        <v/>
      </c>
      <c r="BO1074" s="9">
        <f t="shared" si="178"/>
        <v>0</v>
      </c>
      <c r="BR1074" s="12" t="str">
        <f t="shared" si="179"/>
        <v/>
      </c>
    </row>
    <row r="1075" spans="1:70" ht="14.25" customHeight="1">
      <c r="A1075" s="26"/>
      <c r="C1075" s="26"/>
      <c r="D1075" s="27"/>
      <c r="E1075" s="27"/>
      <c r="BE1075" s="10" t="str">
        <f t="shared" si="170"/>
        <v/>
      </c>
      <c r="BF1075" s="8" t="str">
        <f t="shared" si="171"/>
        <v/>
      </c>
      <c r="BG1075" s="11" t="str">
        <f t="shared" si="172"/>
        <v/>
      </c>
      <c r="BH1075" s="8" t="str">
        <f t="shared" si="173"/>
        <v/>
      </c>
      <c r="BI1075" s="8" t="str">
        <f t="shared" si="174"/>
        <v/>
      </c>
      <c r="BJ1075" s="9" t="str">
        <f t="shared" si="175"/>
        <v/>
      </c>
      <c r="BK1075" s="9" t="str">
        <f>IF($B1075="","",COUNTIFS($B$5:$B1075,$B1075,$BF$5:$BF1075,$BF1075))</f>
        <v/>
      </c>
      <c r="BL1075" s="9" t="str">
        <f>IF($B1075="","",COUNTIFS($B$5:$B1075,$B1075,$BH$5:$BH1075,$BH1075))</f>
        <v/>
      </c>
      <c r="BM1075" s="9" t="str">
        <f t="shared" si="176"/>
        <v/>
      </c>
      <c r="BN1075" s="9" t="str">
        <f t="shared" si="177"/>
        <v/>
      </c>
      <c r="BO1075" s="9">
        <f t="shared" si="178"/>
        <v>0</v>
      </c>
      <c r="BR1075" s="12" t="str">
        <f t="shared" si="179"/>
        <v/>
      </c>
    </row>
    <row r="1076" spans="1:70" ht="14.25" customHeight="1">
      <c r="A1076" s="26"/>
      <c r="C1076" s="26"/>
      <c r="D1076" s="27"/>
      <c r="E1076" s="27"/>
      <c r="BE1076" s="10" t="str">
        <f t="shared" si="170"/>
        <v/>
      </c>
      <c r="BF1076" s="8" t="str">
        <f t="shared" si="171"/>
        <v/>
      </c>
      <c r="BG1076" s="11" t="str">
        <f t="shared" si="172"/>
        <v/>
      </c>
      <c r="BH1076" s="8" t="str">
        <f t="shared" si="173"/>
        <v/>
      </c>
      <c r="BI1076" s="8" t="str">
        <f t="shared" si="174"/>
        <v/>
      </c>
      <c r="BJ1076" s="9" t="str">
        <f t="shared" si="175"/>
        <v/>
      </c>
      <c r="BK1076" s="9" t="str">
        <f>IF($B1076="","",COUNTIFS($B$5:$B1076,$B1076,$BF$5:$BF1076,$BF1076))</f>
        <v/>
      </c>
      <c r="BL1076" s="9" t="str">
        <f>IF($B1076="","",COUNTIFS($B$5:$B1076,$B1076,$BH$5:$BH1076,$BH1076))</f>
        <v/>
      </c>
      <c r="BM1076" s="9" t="str">
        <f t="shared" si="176"/>
        <v/>
      </c>
      <c r="BN1076" s="9" t="str">
        <f t="shared" si="177"/>
        <v/>
      </c>
      <c r="BO1076" s="9">
        <f t="shared" si="178"/>
        <v>0</v>
      </c>
      <c r="BR1076" s="12" t="str">
        <f t="shared" si="179"/>
        <v/>
      </c>
    </row>
    <row r="1077" spans="1:70" ht="14.25" customHeight="1">
      <c r="A1077" s="26"/>
      <c r="C1077" s="26"/>
      <c r="D1077" s="27"/>
      <c r="E1077" s="27"/>
      <c r="BE1077" s="10" t="str">
        <f t="shared" si="170"/>
        <v/>
      </c>
      <c r="BF1077" s="8" t="str">
        <f t="shared" si="171"/>
        <v/>
      </c>
      <c r="BG1077" s="11" t="str">
        <f t="shared" si="172"/>
        <v/>
      </c>
      <c r="BH1077" s="8" t="str">
        <f t="shared" si="173"/>
        <v/>
      </c>
      <c r="BI1077" s="8" t="str">
        <f t="shared" si="174"/>
        <v/>
      </c>
      <c r="BJ1077" s="9" t="str">
        <f t="shared" si="175"/>
        <v/>
      </c>
      <c r="BK1077" s="9" t="str">
        <f>IF($B1077="","",COUNTIFS($B$5:$B1077,$B1077,$BF$5:$BF1077,$BF1077))</f>
        <v/>
      </c>
      <c r="BL1077" s="9" t="str">
        <f>IF($B1077="","",COUNTIFS($B$5:$B1077,$B1077,$BH$5:$BH1077,$BH1077))</f>
        <v/>
      </c>
      <c r="BM1077" s="9" t="str">
        <f t="shared" si="176"/>
        <v/>
      </c>
      <c r="BN1077" s="9" t="str">
        <f t="shared" si="177"/>
        <v/>
      </c>
      <c r="BO1077" s="9">
        <f t="shared" si="178"/>
        <v>0</v>
      </c>
      <c r="BR1077" s="12" t="str">
        <f t="shared" si="179"/>
        <v/>
      </c>
    </row>
    <row r="1078" spans="1:70" ht="14.25" customHeight="1">
      <c r="A1078" s="26"/>
      <c r="C1078" s="26"/>
      <c r="D1078" s="27"/>
      <c r="E1078" s="27"/>
      <c r="BE1078" s="10" t="str">
        <f t="shared" si="170"/>
        <v/>
      </c>
      <c r="BF1078" s="8" t="str">
        <f t="shared" si="171"/>
        <v/>
      </c>
      <c r="BG1078" s="11" t="str">
        <f t="shared" si="172"/>
        <v/>
      </c>
      <c r="BH1078" s="8" t="str">
        <f t="shared" si="173"/>
        <v/>
      </c>
      <c r="BI1078" s="8" t="str">
        <f t="shared" si="174"/>
        <v/>
      </c>
      <c r="BJ1078" s="9" t="str">
        <f t="shared" si="175"/>
        <v/>
      </c>
      <c r="BK1078" s="9" t="str">
        <f>IF($B1078="","",COUNTIFS($B$5:$B1078,$B1078,$BF$5:$BF1078,$BF1078))</f>
        <v/>
      </c>
      <c r="BL1078" s="9" t="str">
        <f>IF($B1078="","",COUNTIFS($B$5:$B1078,$B1078,$BH$5:$BH1078,$BH1078))</f>
        <v/>
      </c>
      <c r="BM1078" s="9" t="str">
        <f t="shared" si="176"/>
        <v/>
      </c>
      <c r="BN1078" s="9" t="str">
        <f t="shared" si="177"/>
        <v/>
      </c>
      <c r="BO1078" s="9">
        <f t="shared" si="178"/>
        <v>0</v>
      </c>
      <c r="BR1078" s="12" t="str">
        <f t="shared" si="179"/>
        <v/>
      </c>
    </row>
    <row r="1079" spans="1:70" ht="14.25" customHeight="1">
      <c r="A1079" s="26"/>
      <c r="C1079" s="26"/>
      <c r="D1079" s="27"/>
      <c r="E1079" s="27"/>
      <c r="BE1079" s="10" t="str">
        <f t="shared" si="170"/>
        <v/>
      </c>
      <c r="BF1079" s="8" t="str">
        <f t="shared" si="171"/>
        <v/>
      </c>
      <c r="BG1079" s="11" t="str">
        <f t="shared" si="172"/>
        <v/>
      </c>
      <c r="BH1079" s="8" t="str">
        <f t="shared" si="173"/>
        <v/>
      </c>
      <c r="BI1079" s="8" t="str">
        <f t="shared" si="174"/>
        <v/>
      </c>
      <c r="BJ1079" s="9" t="str">
        <f t="shared" si="175"/>
        <v/>
      </c>
      <c r="BK1079" s="9" t="str">
        <f>IF($B1079="","",COUNTIFS($B$5:$B1079,$B1079,$BF$5:$BF1079,$BF1079))</f>
        <v/>
      </c>
      <c r="BL1079" s="9" t="str">
        <f>IF($B1079="","",COUNTIFS($B$5:$B1079,$B1079,$BH$5:$BH1079,$BH1079))</f>
        <v/>
      </c>
      <c r="BM1079" s="9" t="str">
        <f t="shared" si="176"/>
        <v/>
      </c>
      <c r="BN1079" s="9" t="str">
        <f t="shared" si="177"/>
        <v/>
      </c>
      <c r="BO1079" s="9">
        <f t="shared" si="178"/>
        <v>0</v>
      </c>
      <c r="BR1079" s="12" t="str">
        <f t="shared" si="179"/>
        <v/>
      </c>
    </row>
    <row r="1080" spans="1:70" ht="14.25" customHeight="1">
      <c r="A1080" s="26"/>
      <c r="C1080" s="26"/>
      <c r="D1080" s="27"/>
      <c r="E1080" s="27"/>
      <c r="BE1080" s="10" t="str">
        <f t="shared" si="170"/>
        <v/>
      </c>
      <c r="BF1080" s="8" t="str">
        <f t="shared" si="171"/>
        <v/>
      </c>
      <c r="BG1080" s="11" t="str">
        <f t="shared" si="172"/>
        <v/>
      </c>
      <c r="BH1080" s="8" t="str">
        <f t="shared" si="173"/>
        <v/>
      </c>
      <c r="BI1080" s="8" t="str">
        <f t="shared" si="174"/>
        <v/>
      </c>
      <c r="BJ1080" s="9" t="str">
        <f t="shared" si="175"/>
        <v/>
      </c>
      <c r="BK1080" s="9" t="str">
        <f>IF($B1080="","",COUNTIFS($B$5:$B1080,$B1080,$BF$5:$BF1080,$BF1080))</f>
        <v/>
      </c>
      <c r="BL1080" s="9" t="str">
        <f>IF($B1080="","",COUNTIFS($B$5:$B1080,$B1080,$BH$5:$BH1080,$BH1080))</f>
        <v/>
      </c>
      <c r="BM1080" s="9" t="str">
        <f t="shared" si="176"/>
        <v/>
      </c>
      <c r="BN1080" s="9" t="str">
        <f t="shared" si="177"/>
        <v/>
      </c>
      <c r="BO1080" s="9">
        <f t="shared" si="178"/>
        <v>0</v>
      </c>
      <c r="BR1080" s="12" t="str">
        <f t="shared" si="179"/>
        <v/>
      </c>
    </row>
    <row r="1081" spans="1:70" ht="14.25" customHeight="1">
      <c r="A1081" s="26"/>
      <c r="C1081" s="26"/>
      <c r="D1081" s="27"/>
      <c r="E1081" s="27"/>
      <c r="BE1081" s="10" t="str">
        <f t="shared" si="170"/>
        <v/>
      </c>
      <c r="BF1081" s="8" t="str">
        <f t="shared" si="171"/>
        <v/>
      </c>
      <c r="BG1081" s="11" t="str">
        <f t="shared" si="172"/>
        <v/>
      </c>
      <c r="BH1081" s="8" t="str">
        <f t="shared" si="173"/>
        <v/>
      </c>
      <c r="BI1081" s="8" t="str">
        <f t="shared" si="174"/>
        <v/>
      </c>
      <c r="BJ1081" s="9" t="str">
        <f t="shared" si="175"/>
        <v/>
      </c>
      <c r="BK1081" s="9" t="str">
        <f>IF($B1081="","",COUNTIFS($B$5:$B1081,$B1081,$BF$5:$BF1081,$BF1081))</f>
        <v/>
      </c>
      <c r="BL1081" s="9" t="str">
        <f>IF($B1081="","",COUNTIFS($B$5:$B1081,$B1081,$BH$5:$BH1081,$BH1081))</f>
        <v/>
      </c>
      <c r="BM1081" s="9" t="str">
        <f t="shared" si="176"/>
        <v/>
      </c>
      <c r="BN1081" s="9" t="str">
        <f t="shared" si="177"/>
        <v/>
      </c>
      <c r="BO1081" s="9">
        <f t="shared" si="178"/>
        <v>0</v>
      </c>
      <c r="BR1081" s="12" t="str">
        <f t="shared" si="179"/>
        <v/>
      </c>
    </row>
    <row r="1082" spans="1:70" ht="14.25" customHeight="1">
      <c r="A1082" s="26"/>
      <c r="C1082" s="26"/>
      <c r="D1082" s="27"/>
      <c r="E1082" s="27"/>
      <c r="BE1082" s="10" t="str">
        <f t="shared" si="170"/>
        <v/>
      </c>
      <c r="BF1082" s="8" t="str">
        <f t="shared" si="171"/>
        <v/>
      </c>
      <c r="BG1082" s="11" t="str">
        <f t="shared" si="172"/>
        <v/>
      </c>
      <c r="BH1082" s="8" t="str">
        <f t="shared" si="173"/>
        <v/>
      </c>
      <c r="BI1082" s="8" t="str">
        <f t="shared" si="174"/>
        <v/>
      </c>
      <c r="BJ1082" s="9" t="str">
        <f t="shared" si="175"/>
        <v/>
      </c>
      <c r="BK1082" s="9" t="str">
        <f>IF($B1082="","",COUNTIFS($B$5:$B1082,$B1082,$BF$5:$BF1082,$BF1082))</f>
        <v/>
      </c>
      <c r="BL1082" s="9" t="str">
        <f>IF($B1082="","",COUNTIFS($B$5:$B1082,$B1082,$BH$5:$BH1082,$BH1082))</f>
        <v/>
      </c>
      <c r="BM1082" s="9" t="str">
        <f t="shared" si="176"/>
        <v/>
      </c>
      <c r="BN1082" s="9" t="str">
        <f t="shared" si="177"/>
        <v/>
      </c>
      <c r="BO1082" s="9">
        <f t="shared" si="178"/>
        <v>0</v>
      </c>
      <c r="BR1082" s="12" t="str">
        <f t="shared" si="179"/>
        <v/>
      </c>
    </row>
    <row r="1083" spans="1:70" ht="14.25" customHeight="1">
      <c r="A1083" s="26"/>
      <c r="C1083" s="26"/>
      <c r="D1083" s="27"/>
      <c r="E1083" s="27"/>
      <c r="BE1083" s="10" t="str">
        <f t="shared" si="170"/>
        <v/>
      </c>
      <c r="BF1083" s="8" t="str">
        <f t="shared" si="171"/>
        <v/>
      </c>
      <c r="BG1083" s="11" t="str">
        <f t="shared" si="172"/>
        <v/>
      </c>
      <c r="BH1083" s="8" t="str">
        <f t="shared" si="173"/>
        <v/>
      </c>
      <c r="BI1083" s="8" t="str">
        <f t="shared" si="174"/>
        <v/>
      </c>
      <c r="BJ1083" s="9" t="str">
        <f t="shared" si="175"/>
        <v/>
      </c>
      <c r="BK1083" s="9" t="str">
        <f>IF($B1083="","",COUNTIFS($B$5:$B1083,$B1083,$BF$5:$BF1083,$BF1083))</f>
        <v/>
      </c>
      <c r="BL1083" s="9" t="str">
        <f>IF($B1083="","",COUNTIFS($B$5:$B1083,$B1083,$BH$5:$BH1083,$BH1083))</f>
        <v/>
      </c>
      <c r="BM1083" s="9" t="str">
        <f t="shared" si="176"/>
        <v/>
      </c>
      <c r="BN1083" s="9" t="str">
        <f t="shared" si="177"/>
        <v/>
      </c>
      <c r="BO1083" s="9">
        <f t="shared" si="178"/>
        <v>0</v>
      </c>
      <c r="BR1083" s="12" t="str">
        <f t="shared" si="179"/>
        <v/>
      </c>
    </row>
    <row r="1084" spans="1:70" ht="14.25" customHeight="1">
      <c r="A1084" s="26"/>
      <c r="C1084" s="26"/>
      <c r="D1084" s="27"/>
      <c r="E1084" s="27"/>
      <c r="BE1084" s="10" t="str">
        <f t="shared" si="170"/>
        <v/>
      </c>
      <c r="BF1084" s="8" t="str">
        <f t="shared" si="171"/>
        <v/>
      </c>
      <c r="BG1084" s="11" t="str">
        <f t="shared" si="172"/>
        <v/>
      </c>
      <c r="BH1084" s="8" t="str">
        <f t="shared" si="173"/>
        <v/>
      </c>
      <c r="BI1084" s="8" t="str">
        <f t="shared" si="174"/>
        <v/>
      </c>
      <c r="BJ1084" s="9" t="str">
        <f t="shared" si="175"/>
        <v/>
      </c>
      <c r="BK1084" s="9" t="str">
        <f>IF($B1084="","",COUNTIFS($B$5:$B1084,$B1084,$BF$5:$BF1084,$BF1084))</f>
        <v/>
      </c>
      <c r="BL1084" s="9" t="str">
        <f>IF($B1084="","",COUNTIFS($B$5:$B1084,$B1084,$BH$5:$BH1084,$BH1084))</f>
        <v/>
      </c>
      <c r="BM1084" s="9" t="str">
        <f t="shared" si="176"/>
        <v/>
      </c>
      <c r="BN1084" s="9" t="str">
        <f t="shared" si="177"/>
        <v/>
      </c>
      <c r="BO1084" s="9">
        <f t="shared" si="178"/>
        <v>0</v>
      </c>
      <c r="BR1084" s="12" t="str">
        <f t="shared" si="179"/>
        <v/>
      </c>
    </row>
    <row r="1085" spans="1:70" ht="14.25" customHeight="1">
      <c r="A1085" s="26"/>
      <c r="C1085" s="26"/>
      <c r="D1085" s="27"/>
      <c r="E1085" s="27"/>
      <c r="BE1085" s="10" t="str">
        <f t="shared" si="170"/>
        <v/>
      </c>
      <c r="BF1085" s="8" t="str">
        <f t="shared" si="171"/>
        <v/>
      </c>
      <c r="BG1085" s="11" t="str">
        <f t="shared" si="172"/>
        <v/>
      </c>
      <c r="BH1085" s="8" t="str">
        <f t="shared" si="173"/>
        <v/>
      </c>
      <c r="BI1085" s="8" t="str">
        <f t="shared" si="174"/>
        <v/>
      </c>
      <c r="BJ1085" s="9" t="str">
        <f t="shared" si="175"/>
        <v/>
      </c>
      <c r="BK1085" s="9" t="str">
        <f>IF($B1085="","",COUNTIFS($B$5:$B1085,$B1085,$BF$5:$BF1085,$BF1085))</f>
        <v/>
      </c>
      <c r="BL1085" s="9" t="str">
        <f>IF($B1085="","",COUNTIFS($B$5:$B1085,$B1085,$BH$5:$BH1085,$BH1085))</f>
        <v/>
      </c>
      <c r="BM1085" s="9" t="str">
        <f t="shared" si="176"/>
        <v/>
      </c>
      <c r="BN1085" s="9" t="str">
        <f t="shared" si="177"/>
        <v/>
      </c>
      <c r="BO1085" s="9">
        <f t="shared" si="178"/>
        <v>0</v>
      </c>
      <c r="BR1085" s="12" t="str">
        <f t="shared" si="179"/>
        <v/>
      </c>
    </row>
    <row r="1086" spans="1:70" ht="14.25" customHeight="1">
      <c r="A1086" s="26"/>
      <c r="C1086" s="26"/>
      <c r="D1086" s="27"/>
      <c r="E1086" s="27"/>
      <c r="BE1086" s="10" t="str">
        <f t="shared" si="170"/>
        <v/>
      </c>
      <c r="BF1086" s="8" t="str">
        <f t="shared" si="171"/>
        <v/>
      </c>
      <c r="BG1086" s="11" t="str">
        <f t="shared" si="172"/>
        <v/>
      </c>
      <c r="BH1086" s="8" t="str">
        <f t="shared" si="173"/>
        <v/>
      </c>
      <c r="BI1086" s="8" t="str">
        <f t="shared" si="174"/>
        <v/>
      </c>
      <c r="BJ1086" s="9" t="str">
        <f t="shared" si="175"/>
        <v/>
      </c>
      <c r="BK1086" s="9" t="str">
        <f>IF($B1086="","",COUNTIFS($B$5:$B1086,$B1086,$BF$5:$BF1086,$BF1086))</f>
        <v/>
      </c>
      <c r="BL1086" s="9" t="str">
        <f>IF($B1086="","",COUNTIFS($B$5:$B1086,$B1086,$BH$5:$BH1086,$BH1086))</f>
        <v/>
      </c>
      <c r="BM1086" s="9" t="str">
        <f t="shared" si="176"/>
        <v/>
      </c>
      <c r="BN1086" s="9" t="str">
        <f t="shared" si="177"/>
        <v/>
      </c>
      <c r="BO1086" s="9">
        <f t="shared" si="178"/>
        <v>0</v>
      </c>
      <c r="BR1086" s="12" t="str">
        <f t="shared" si="179"/>
        <v/>
      </c>
    </row>
    <row r="1087" spans="1:70" ht="14.25" customHeight="1">
      <c r="A1087" s="26"/>
      <c r="C1087" s="26"/>
      <c r="D1087" s="27"/>
      <c r="E1087" s="27"/>
      <c r="BE1087" s="10" t="str">
        <f t="shared" si="170"/>
        <v/>
      </c>
      <c r="BF1087" s="8" t="str">
        <f t="shared" si="171"/>
        <v/>
      </c>
      <c r="BG1087" s="11" t="str">
        <f t="shared" si="172"/>
        <v/>
      </c>
      <c r="BH1087" s="8" t="str">
        <f t="shared" si="173"/>
        <v/>
      </c>
      <c r="BI1087" s="8" t="str">
        <f t="shared" si="174"/>
        <v/>
      </c>
      <c r="BJ1087" s="9" t="str">
        <f t="shared" si="175"/>
        <v/>
      </c>
      <c r="BK1087" s="9" t="str">
        <f>IF($B1087="","",COUNTIFS($B$5:$B1087,$B1087,$BF$5:$BF1087,$BF1087))</f>
        <v/>
      </c>
      <c r="BL1087" s="9" t="str">
        <f>IF($B1087="","",COUNTIFS($B$5:$B1087,$B1087,$BH$5:$BH1087,$BH1087))</f>
        <v/>
      </c>
      <c r="BM1087" s="9" t="str">
        <f t="shared" si="176"/>
        <v/>
      </c>
      <c r="BN1087" s="9" t="str">
        <f t="shared" si="177"/>
        <v/>
      </c>
      <c r="BO1087" s="9">
        <f t="shared" si="178"/>
        <v>0</v>
      </c>
      <c r="BR1087" s="12" t="str">
        <f t="shared" si="179"/>
        <v/>
      </c>
    </row>
    <row r="1088" spans="1:70" ht="14.25" customHeight="1">
      <c r="A1088" s="26"/>
      <c r="C1088" s="26"/>
      <c r="D1088" s="27"/>
      <c r="E1088" s="27"/>
      <c r="BE1088" s="10" t="str">
        <f t="shared" si="170"/>
        <v/>
      </c>
      <c r="BF1088" s="8" t="str">
        <f t="shared" si="171"/>
        <v/>
      </c>
      <c r="BG1088" s="11" t="str">
        <f t="shared" si="172"/>
        <v/>
      </c>
      <c r="BH1088" s="8" t="str">
        <f t="shared" si="173"/>
        <v/>
      </c>
      <c r="BI1088" s="8" t="str">
        <f t="shared" si="174"/>
        <v/>
      </c>
      <c r="BJ1088" s="9" t="str">
        <f t="shared" si="175"/>
        <v/>
      </c>
      <c r="BK1088" s="9" t="str">
        <f>IF($B1088="","",COUNTIFS($B$5:$B1088,$B1088,$BF$5:$BF1088,$BF1088))</f>
        <v/>
      </c>
      <c r="BL1088" s="9" t="str">
        <f>IF($B1088="","",COUNTIFS($B$5:$B1088,$B1088,$BH$5:$BH1088,$BH1088))</f>
        <v/>
      </c>
      <c r="BM1088" s="9" t="str">
        <f t="shared" si="176"/>
        <v/>
      </c>
      <c r="BN1088" s="9" t="str">
        <f t="shared" si="177"/>
        <v/>
      </c>
      <c r="BO1088" s="9">
        <f t="shared" si="178"/>
        <v>0</v>
      </c>
      <c r="BR1088" s="12" t="str">
        <f t="shared" si="179"/>
        <v/>
      </c>
    </row>
    <row r="1089" spans="1:70" ht="14.25" customHeight="1">
      <c r="A1089" s="26"/>
      <c r="C1089" s="26"/>
      <c r="D1089" s="27"/>
      <c r="E1089" s="27"/>
      <c r="BE1089" s="10" t="str">
        <f t="shared" si="170"/>
        <v/>
      </c>
      <c r="BF1089" s="8" t="str">
        <f t="shared" si="171"/>
        <v/>
      </c>
      <c r="BG1089" s="11" t="str">
        <f t="shared" si="172"/>
        <v/>
      </c>
      <c r="BH1089" s="8" t="str">
        <f t="shared" si="173"/>
        <v/>
      </c>
      <c r="BI1089" s="8" t="str">
        <f t="shared" si="174"/>
        <v/>
      </c>
      <c r="BJ1089" s="9" t="str">
        <f t="shared" si="175"/>
        <v/>
      </c>
      <c r="BK1089" s="9" t="str">
        <f>IF($B1089="","",COUNTIFS($B$5:$B1089,$B1089,$BF$5:$BF1089,$BF1089))</f>
        <v/>
      </c>
      <c r="BL1089" s="9" t="str">
        <f>IF($B1089="","",COUNTIFS($B$5:$B1089,$B1089,$BH$5:$BH1089,$BH1089))</f>
        <v/>
      </c>
      <c r="BM1089" s="9" t="str">
        <f t="shared" si="176"/>
        <v/>
      </c>
      <c r="BN1089" s="9" t="str">
        <f t="shared" si="177"/>
        <v/>
      </c>
      <c r="BO1089" s="9">
        <f t="shared" si="178"/>
        <v>0</v>
      </c>
      <c r="BR1089" s="12" t="str">
        <f t="shared" si="179"/>
        <v/>
      </c>
    </row>
    <row r="1090" spans="1:70" ht="14.25" customHeight="1">
      <c r="A1090" s="26"/>
      <c r="C1090" s="26"/>
      <c r="D1090" s="27"/>
      <c r="E1090" s="27"/>
      <c r="BE1090" s="10" t="str">
        <f t="shared" si="170"/>
        <v/>
      </c>
      <c r="BF1090" s="8" t="str">
        <f t="shared" si="171"/>
        <v/>
      </c>
      <c r="BG1090" s="11" t="str">
        <f t="shared" si="172"/>
        <v/>
      </c>
      <c r="BH1090" s="8" t="str">
        <f t="shared" si="173"/>
        <v/>
      </c>
      <c r="BI1090" s="8" t="str">
        <f t="shared" si="174"/>
        <v/>
      </c>
      <c r="BJ1090" s="9" t="str">
        <f t="shared" si="175"/>
        <v/>
      </c>
      <c r="BK1090" s="9" t="str">
        <f>IF($B1090="","",COUNTIFS($B$5:$B1090,$B1090,$BF$5:$BF1090,$BF1090))</f>
        <v/>
      </c>
      <c r="BL1090" s="9" t="str">
        <f>IF($B1090="","",COUNTIFS($B$5:$B1090,$B1090,$BH$5:$BH1090,$BH1090))</f>
        <v/>
      </c>
      <c r="BM1090" s="9" t="str">
        <f t="shared" si="176"/>
        <v/>
      </c>
      <c r="BN1090" s="9" t="str">
        <f t="shared" si="177"/>
        <v/>
      </c>
      <c r="BO1090" s="9">
        <f t="shared" si="178"/>
        <v>0</v>
      </c>
      <c r="BR1090" s="12" t="str">
        <f t="shared" si="179"/>
        <v/>
      </c>
    </row>
    <row r="1091" spans="1:70" ht="14.25" customHeight="1">
      <c r="A1091" s="26"/>
      <c r="C1091" s="26"/>
      <c r="D1091" s="27"/>
      <c r="E1091" s="27"/>
      <c r="BE1091" s="10" t="str">
        <f t="shared" si="170"/>
        <v/>
      </c>
      <c r="BF1091" s="8" t="str">
        <f t="shared" si="171"/>
        <v/>
      </c>
      <c r="BG1091" s="11" t="str">
        <f t="shared" si="172"/>
        <v/>
      </c>
      <c r="BH1091" s="8" t="str">
        <f t="shared" si="173"/>
        <v/>
      </c>
      <c r="BI1091" s="8" t="str">
        <f t="shared" si="174"/>
        <v/>
      </c>
      <c r="BJ1091" s="9" t="str">
        <f t="shared" si="175"/>
        <v/>
      </c>
      <c r="BK1091" s="9" t="str">
        <f>IF($B1091="","",COUNTIFS($B$5:$B1091,$B1091,$BF$5:$BF1091,$BF1091))</f>
        <v/>
      </c>
      <c r="BL1091" s="9" t="str">
        <f>IF($B1091="","",COUNTIFS($B$5:$B1091,$B1091,$BH$5:$BH1091,$BH1091))</f>
        <v/>
      </c>
      <c r="BM1091" s="9" t="str">
        <f t="shared" si="176"/>
        <v/>
      </c>
      <c r="BN1091" s="9" t="str">
        <f t="shared" si="177"/>
        <v/>
      </c>
      <c r="BO1091" s="9">
        <f t="shared" si="178"/>
        <v>0</v>
      </c>
      <c r="BR1091" s="12" t="str">
        <f t="shared" si="179"/>
        <v/>
      </c>
    </row>
    <row r="1092" spans="1:70" ht="14.25" customHeight="1">
      <c r="A1092" s="26"/>
      <c r="C1092" s="26"/>
      <c r="D1092" s="27"/>
      <c r="E1092" s="27"/>
      <c r="BE1092" s="10" t="str">
        <f t="shared" si="170"/>
        <v/>
      </c>
      <c r="BF1092" s="8" t="str">
        <f t="shared" si="171"/>
        <v/>
      </c>
      <c r="BG1092" s="11" t="str">
        <f t="shared" si="172"/>
        <v/>
      </c>
      <c r="BH1092" s="8" t="str">
        <f t="shared" si="173"/>
        <v/>
      </c>
      <c r="BI1092" s="8" t="str">
        <f t="shared" si="174"/>
        <v/>
      </c>
      <c r="BJ1092" s="9" t="str">
        <f t="shared" si="175"/>
        <v/>
      </c>
      <c r="BK1092" s="9" t="str">
        <f>IF($B1092="","",COUNTIFS($B$5:$B1092,$B1092,$BF$5:$BF1092,$BF1092))</f>
        <v/>
      </c>
      <c r="BL1092" s="9" t="str">
        <f>IF($B1092="","",COUNTIFS($B$5:$B1092,$B1092,$BH$5:$BH1092,$BH1092))</f>
        <v/>
      </c>
      <c r="BM1092" s="9" t="str">
        <f t="shared" si="176"/>
        <v/>
      </c>
      <c r="BN1092" s="9" t="str">
        <f t="shared" si="177"/>
        <v/>
      </c>
      <c r="BO1092" s="9">
        <f t="shared" si="178"/>
        <v>0</v>
      </c>
      <c r="BR1092" s="12" t="str">
        <f t="shared" si="179"/>
        <v/>
      </c>
    </row>
    <row r="1093" spans="1:70" ht="14.25" customHeight="1">
      <c r="A1093" s="26"/>
      <c r="C1093" s="26"/>
      <c r="D1093" s="27"/>
      <c r="E1093" s="27"/>
      <c r="BE1093" s="10" t="str">
        <f t="shared" si="170"/>
        <v/>
      </c>
      <c r="BF1093" s="8" t="str">
        <f t="shared" si="171"/>
        <v/>
      </c>
      <c r="BG1093" s="11" t="str">
        <f t="shared" si="172"/>
        <v/>
      </c>
      <c r="BH1093" s="8" t="str">
        <f t="shared" si="173"/>
        <v/>
      </c>
      <c r="BI1093" s="8" t="str">
        <f t="shared" si="174"/>
        <v/>
      </c>
      <c r="BJ1093" s="9" t="str">
        <f t="shared" si="175"/>
        <v/>
      </c>
      <c r="BK1093" s="9" t="str">
        <f>IF($B1093="","",COUNTIFS($B$5:$B1093,$B1093,$BF$5:$BF1093,$BF1093))</f>
        <v/>
      </c>
      <c r="BL1093" s="9" t="str">
        <f>IF($B1093="","",COUNTIFS($B$5:$B1093,$B1093,$BH$5:$BH1093,$BH1093))</f>
        <v/>
      </c>
      <c r="BM1093" s="9" t="str">
        <f t="shared" si="176"/>
        <v/>
      </c>
      <c r="BN1093" s="9" t="str">
        <f t="shared" si="177"/>
        <v/>
      </c>
      <c r="BO1093" s="9">
        <f t="shared" si="178"/>
        <v>0</v>
      </c>
      <c r="BR1093" s="12" t="str">
        <f t="shared" si="179"/>
        <v/>
      </c>
    </row>
    <row r="1094" spans="1:70" ht="14.25" customHeight="1">
      <c r="A1094" s="26"/>
      <c r="C1094" s="26"/>
      <c r="D1094" s="27"/>
      <c r="E1094" s="27"/>
      <c r="BE1094" s="10" t="str">
        <f t="shared" si="170"/>
        <v/>
      </c>
      <c r="BF1094" s="8" t="str">
        <f t="shared" si="171"/>
        <v/>
      </c>
      <c r="BG1094" s="11" t="str">
        <f t="shared" si="172"/>
        <v/>
      </c>
      <c r="BH1094" s="8" t="str">
        <f t="shared" si="173"/>
        <v/>
      </c>
      <c r="BI1094" s="8" t="str">
        <f t="shared" si="174"/>
        <v/>
      </c>
      <c r="BJ1094" s="9" t="str">
        <f t="shared" si="175"/>
        <v/>
      </c>
      <c r="BK1094" s="9" t="str">
        <f>IF($B1094="","",COUNTIFS($B$5:$B1094,$B1094,$BF$5:$BF1094,$BF1094))</f>
        <v/>
      </c>
      <c r="BL1094" s="9" t="str">
        <f>IF($B1094="","",COUNTIFS($B$5:$B1094,$B1094,$BH$5:$BH1094,$BH1094))</f>
        <v/>
      </c>
      <c r="BM1094" s="9" t="str">
        <f t="shared" si="176"/>
        <v/>
      </c>
      <c r="BN1094" s="9" t="str">
        <f t="shared" si="177"/>
        <v/>
      </c>
      <c r="BO1094" s="9">
        <f t="shared" si="178"/>
        <v>0</v>
      </c>
      <c r="BR1094" s="12" t="str">
        <f t="shared" si="179"/>
        <v/>
      </c>
    </row>
    <row r="1095" spans="1:70" ht="14.25" customHeight="1">
      <c r="A1095" s="26"/>
      <c r="C1095" s="26"/>
      <c r="D1095" s="27"/>
      <c r="E1095" s="27"/>
      <c r="BE1095" s="10" t="str">
        <f t="shared" si="170"/>
        <v/>
      </c>
      <c r="BF1095" s="8" t="str">
        <f t="shared" si="171"/>
        <v/>
      </c>
      <c r="BG1095" s="11" t="str">
        <f t="shared" si="172"/>
        <v/>
      </c>
      <c r="BH1095" s="8" t="str">
        <f t="shared" si="173"/>
        <v/>
      </c>
      <c r="BI1095" s="8" t="str">
        <f t="shared" si="174"/>
        <v/>
      </c>
      <c r="BJ1095" s="9" t="str">
        <f t="shared" si="175"/>
        <v/>
      </c>
      <c r="BK1095" s="9" t="str">
        <f>IF($B1095="","",COUNTIFS($B$5:$B1095,$B1095,$BF$5:$BF1095,$BF1095))</f>
        <v/>
      </c>
      <c r="BL1095" s="9" t="str">
        <f>IF($B1095="","",COUNTIFS($B$5:$B1095,$B1095,$BH$5:$BH1095,$BH1095))</f>
        <v/>
      </c>
      <c r="BM1095" s="9" t="str">
        <f t="shared" si="176"/>
        <v/>
      </c>
      <c r="BN1095" s="9" t="str">
        <f t="shared" si="177"/>
        <v/>
      </c>
      <c r="BO1095" s="9">
        <f t="shared" si="178"/>
        <v>0</v>
      </c>
      <c r="BR1095" s="12" t="str">
        <f t="shared" si="179"/>
        <v/>
      </c>
    </row>
    <row r="1096" spans="1:70" ht="14.25" customHeight="1">
      <c r="A1096" s="26"/>
      <c r="C1096" s="26"/>
      <c r="D1096" s="27"/>
      <c r="E1096" s="27"/>
      <c r="BE1096" s="10" t="str">
        <f t="shared" si="170"/>
        <v/>
      </c>
      <c r="BF1096" s="8" t="str">
        <f t="shared" si="171"/>
        <v/>
      </c>
      <c r="BG1096" s="11" t="str">
        <f t="shared" si="172"/>
        <v/>
      </c>
      <c r="BH1096" s="8" t="str">
        <f t="shared" si="173"/>
        <v/>
      </c>
      <c r="BI1096" s="8" t="str">
        <f t="shared" si="174"/>
        <v/>
      </c>
      <c r="BJ1096" s="9" t="str">
        <f t="shared" si="175"/>
        <v/>
      </c>
      <c r="BK1096" s="9" t="str">
        <f>IF($B1096="","",COUNTIFS($B$5:$B1096,$B1096,$BF$5:$BF1096,$BF1096))</f>
        <v/>
      </c>
      <c r="BL1096" s="9" t="str">
        <f>IF($B1096="","",COUNTIFS($B$5:$B1096,$B1096,$BH$5:$BH1096,$BH1096))</f>
        <v/>
      </c>
      <c r="BM1096" s="9" t="str">
        <f t="shared" si="176"/>
        <v/>
      </c>
      <c r="BN1096" s="9" t="str">
        <f t="shared" si="177"/>
        <v/>
      </c>
      <c r="BO1096" s="9">
        <f t="shared" si="178"/>
        <v>0</v>
      </c>
      <c r="BR1096" s="12" t="str">
        <f t="shared" si="179"/>
        <v/>
      </c>
    </row>
    <row r="1097" spans="1:70" ht="14.25" customHeight="1">
      <c r="A1097" s="26"/>
      <c r="C1097" s="26"/>
      <c r="D1097" s="27"/>
      <c r="E1097" s="27"/>
      <c r="BE1097" s="10" t="str">
        <f t="shared" si="170"/>
        <v/>
      </c>
      <c r="BF1097" s="8" t="str">
        <f t="shared" si="171"/>
        <v/>
      </c>
      <c r="BG1097" s="11" t="str">
        <f t="shared" si="172"/>
        <v/>
      </c>
      <c r="BH1097" s="8" t="str">
        <f t="shared" si="173"/>
        <v/>
      </c>
      <c r="BI1097" s="8" t="str">
        <f t="shared" si="174"/>
        <v/>
      </c>
      <c r="BJ1097" s="9" t="str">
        <f t="shared" si="175"/>
        <v/>
      </c>
      <c r="BK1097" s="9" t="str">
        <f>IF($B1097="","",COUNTIFS($B$5:$B1097,$B1097,$BF$5:$BF1097,$BF1097))</f>
        <v/>
      </c>
      <c r="BL1097" s="9" t="str">
        <f>IF($B1097="","",COUNTIFS($B$5:$B1097,$B1097,$BH$5:$BH1097,$BH1097))</f>
        <v/>
      </c>
      <c r="BM1097" s="9" t="str">
        <f t="shared" si="176"/>
        <v/>
      </c>
      <c r="BN1097" s="9" t="str">
        <f t="shared" si="177"/>
        <v/>
      </c>
      <c r="BO1097" s="9">
        <f t="shared" si="178"/>
        <v>0</v>
      </c>
      <c r="BR1097" s="12" t="str">
        <f t="shared" si="179"/>
        <v/>
      </c>
    </row>
    <row r="1098" spans="1:70" ht="14.25" customHeight="1">
      <c r="A1098" s="26"/>
      <c r="C1098" s="26"/>
      <c r="D1098" s="27"/>
      <c r="E1098" s="27"/>
      <c r="BE1098" s="10" t="str">
        <f t="shared" si="170"/>
        <v/>
      </c>
      <c r="BF1098" s="8" t="str">
        <f t="shared" si="171"/>
        <v/>
      </c>
      <c r="BG1098" s="11" t="str">
        <f t="shared" si="172"/>
        <v/>
      </c>
      <c r="BH1098" s="8" t="str">
        <f t="shared" si="173"/>
        <v/>
      </c>
      <c r="BI1098" s="8" t="str">
        <f t="shared" si="174"/>
        <v/>
      </c>
      <c r="BJ1098" s="9" t="str">
        <f t="shared" si="175"/>
        <v/>
      </c>
      <c r="BK1098" s="9" t="str">
        <f>IF($B1098="","",COUNTIFS($B$5:$B1098,$B1098,$BF$5:$BF1098,$BF1098))</f>
        <v/>
      </c>
      <c r="BL1098" s="9" t="str">
        <f>IF($B1098="","",COUNTIFS($B$5:$B1098,$B1098,$BH$5:$BH1098,$BH1098))</f>
        <v/>
      </c>
      <c r="BM1098" s="9" t="str">
        <f t="shared" si="176"/>
        <v/>
      </c>
      <c r="BN1098" s="9" t="str">
        <f t="shared" si="177"/>
        <v/>
      </c>
      <c r="BO1098" s="9">
        <f t="shared" si="178"/>
        <v>0</v>
      </c>
      <c r="BR1098" s="12" t="str">
        <f t="shared" si="179"/>
        <v/>
      </c>
    </row>
    <row r="1099" spans="1:70" ht="14.25" customHeight="1">
      <c r="A1099" s="26"/>
      <c r="C1099" s="26"/>
      <c r="D1099" s="27"/>
      <c r="E1099" s="27"/>
      <c r="BE1099" s="10" t="str">
        <f t="shared" si="170"/>
        <v/>
      </c>
      <c r="BF1099" s="8" t="str">
        <f t="shared" si="171"/>
        <v/>
      </c>
      <c r="BG1099" s="11" t="str">
        <f t="shared" si="172"/>
        <v/>
      </c>
      <c r="BH1099" s="8" t="str">
        <f t="shared" si="173"/>
        <v/>
      </c>
      <c r="BI1099" s="8" t="str">
        <f t="shared" si="174"/>
        <v/>
      </c>
      <c r="BJ1099" s="9" t="str">
        <f t="shared" si="175"/>
        <v/>
      </c>
      <c r="BK1099" s="9" t="str">
        <f>IF($B1099="","",COUNTIFS($B$5:$B1099,$B1099,$BF$5:$BF1099,$BF1099))</f>
        <v/>
      </c>
      <c r="BL1099" s="9" t="str">
        <f>IF($B1099="","",COUNTIFS($B$5:$B1099,$B1099,$BH$5:$BH1099,$BH1099))</f>
        <v/>
      </c>
      <c r="BM1099" s="9" t="str">
        <f t="shared" si="176"/>
        <v/>
      </c>
      <c r="BN1099" s="9" t="str">
        <f t="shared" si="177"/>
        <v/>
      </c>
      <c r="BO1099" s="9">
        <f t="shared" si="178"/>
        <v>0</v>
      </c>
      <c r="BR1099" s="12" t="str">
        <f t="shared" si="179"/>
        <v/>
      </c>
    </row>
    <row r="1100" spans="1:70" ht="14.25" customHeight="1">
      <c r="A1100" s="26"/>
      <c r="C1100" s="26"/>
      <c r="D1100" s="27"/>
      <c r="E1100" s="27"/>
      <c r="BE1100" s="10" t="str">
        <f t="shared" si="170"/>
        <v/>
      </c>
      <c r="BF1100" s="8" t="str">
        <f t="shared" si="171"/>
        <v/>
      </c>
      <c r="BG1100" s="11" t="str">
        <f t="shared" si="172"/>
        <v/>
      </c>
      <c r="BH1100" s="8" t="str">
        <f t="shared" si="173"/>
        <v/>
      </c>
      <c r="BI1100" s="8" t="str">
        <f t="shared" si="174"/>
        <v/>
      </c>
      <c r="BJ1100" s="9" t="str">
        <f t="shared" si="175"/>
        <v/>
      </c>
      <c r="BK1100" s="9" t="str">
        <f>IF($B1100="","",COUNTIFS($B$5:$B1100,$B1100,$BF$5:$BF1100,$BF1100))</f>
        <v/>
      </c>
      <c r="BL1100" s="9" t="str">
        <f>IF($B1100="","",COUNTIFS($B$5:$B1100,$B1100,$BH$5:$BH1100,$BH1100))</f>
        <v/>
      </c>
      <c r="BM1100" s="9" t="str">
        <f t="shared" si="176"/>
        <v/>
      </c>
      <c r="BN1100" s="9" t="str">
        <f t="shared" si="177"/>
        <v/>
      </c>
      <c r="BO1100" s="9">
        <f t="shared" si="178"/>
        <v>0</v>
      </c>
      <c r="BR1100" s="12" t="str">
        <f t="shared" si="179"/>
        <v/>
      </c>
    </row>
    <row r="1101" spans="1:70" ht="14.25" customHeight="1">
      <c r="A1101" s="26"/>
      <c r="C1101" s="26"/>
      <c r="D1101" s="27"/>
      <c r="E1101" s="27"/>
      <c r="BE1101" s="10" t="str">
        <f t="shared" si="170"/>
        <v/>
      </c>
      <c r="BF1101" s="8" t="str">
        <f t="shared" si="171"/>
        <v/>
      </c>
      <c r="BG1101" s="11" t="str">
        <f t="shared" si="172"/>
        <v/>
      </c>
      <c r="BH1101" s="8" t="str">
        <f t="shared" si="173"/>
        <v/>
      </c>
      <c r="BI1101" s="8" t="str">
        <f t="shared" si="174"/>
        <v/>
      </c>
      <c r="BJ1101" s="9" t="str">
        <f t="shared" si="175"/>
        <v/>
      </c>
      <c r="BK1101" s="9" t="str">
        <f>IF($B1101="","",COUNTIFS($B$5:$B1101,$B1101,$BF$5:$BF1101,$BF1101))</f>
        <v/>
      </c>
      <c r="BL1101" s="9" t="str">
        <f>IF($B1101="","",COUNTIFS($B$5:$B1101,$B1101,$BH$5:$BH1101,$BH1101))</f>
        <v/>
      </c>
      <c r="BM1101" s="9" t="str">
        <f t="shared" si="176"/>
        <v/>
      </c>
      <c r="BN1101" s="9" t="str">
        <f t="shared" si="177"/>
        <v/>
      </c>
      <c r="BO1101" s="9">
        <f t="shared" si="178"/>
        <v>0</v>
      </c>
      <c r="BR1101" s="12" t="str">
        <f t="shared" si="179"/>
        <v/>
      </c>
    </row>
    <row r="1102" spans="1:70" ht="14.25" customHeight="1">
      <c r="A1102" s="26"/>
      <c r="C1102" s="26"/>
      <c r="D1102" s="27"/>
      <c r="E1102" s="27"/>
      <c r="BE1102" s="10" t="str">
        <f t="shared" si="170"/>
        <v/>
      </c>
      <c r="BF1102" s="8" t="str">
        <f t="shared" si="171"/>
        <v/>
      </c>
      <c r="BG1102" s="11" t="str">
        <f t="shared" si="172"/>
        <v/>
      </c>
      <c r="BH1102" s="8" t="str">
        <f t="shared" si="173"/>
        <v/>
      </c>
      <c r="BI1102" s="8" t="str">
        <f t="shared" si="174"/>
        <v/>
      </c>
      <c r="BJ1102" s="9" t="str">
        <f t="shared" si="175"/>
        <v/>
      </c>
      <c r="BK1102" s="9" t="str">
        <f>IF($B1102="","",COUNTIFS($B$5:$B1102,$B1102,$BF$5:$BF1102,$BF1102))</f>
        <v/>
      </c>
      <c r="BL1102" s="9" t="str">
        <f>IF($B1102="","",COUNTIFS($B$5:$B1102,$B1102,$BH$5:$BH1102,$BH1102))</f>
        <v/>
      </c>
      <c r="BM1102" s="9" t="str">
        <f t="shared" si="176"/>
        <v/>
      </c>
      <c r="BN1102" s="9" t="str">
        <f t="shared" si="177"/>
        <v/>
      </c>
      <c r="BO1102" s="9">
        <f t="shared" si="178"/>
        <v>0</v>
      </c>
      <c r="BR1102" s="12" t="str">
        <f t="shared" si="179"/>
        <v/>
      </c>
    </row>
    <row r="1103" spans="1:70" ht="14.25" customHeight="1">
      <c r="A1103" s="26"/>
      <c r="C1103" s="26"/>
      <c r="D1103" s="27"/>
      <c r="E1103" s="27"/>
      <c r="BE1103" s="10" t="str">
        <f t="shared" si="170"/>
        <v/>
      </c>
      <c r="BF1103" s="8" t="str">
        <f t="shared" si="171"/>
        <v/>
      </c>
      <c r="BG1103" s="11" t="str">
        <f t="shared" si="172"/>
        <v/>
      </c>
      <c r="BH1103" s="8" t="str">
        <f t="shared" si="173"/>
        <v/>
      </c>
      <c r="BI1103" s="8" t="str">
        <f t="shared" si="174"/>
        <v/>
      </c>
      <c r="BJ1103" s="9" t="str">
        <f t="shared" si="175"/>
        <v/>
      </c>
      <c r="BK1103" s="9" t="str">
        <f>IF($B1103="","",COUNTIFS($B$5:$B1103,$B1103,$BF$5:$BF1103,$BF1103))</f>
        <v/>
      </c>
      <c r="BL1103" s="9" t="str">
        <f>IF($B1103="","",COUNTIFS($B$5:$B1103,$B1103,$BH$5:$BH1103,$BH1103))</f>
        <v/>
      </c>
      <c r="BM1103" s="9" t="str">
        <f t="shared" si="176"/>
        <v/>
      </c>
      <c r="BN1103" s="9" t="str">
        <f t="shared" si="177"/>
        <v/>
      </c>
      <c r="BO1103" s="9">
        <f t="shared" si="178"/>
        <v>0</v>
      </c>
      <c r="BR1103" s="12" t="str">
        <f t="shared" si="179"/>
        <v/>
      </c>
    </row>
    <row r="1104" spans="1:70" ht="14.25" customHeight="1">
      <c r="A1104" s="26"/>
      <c r="C1104" s="26"/>
      <c r="D1104" s="27"/>
      <c r="E1104" s="27"/>
      <c r="BE1104" s="10" t="str">
        <f t="shared" si="170"/>
        <v/>
      </c>
      <c r="BF1104" s="8" t="str">
        <f t="shared" si="171"/>
        <v/>
      </c>
      <c r="BG1104" s="11" t="str">
        <f t="shared" si="172"/>
        <v/>
      </c>
      <c r="BH1104" s="8" t="str">
        <f t="shared" si="173"/>
        <v/>
      </c>
      <c r="BI1104" s="8" t="str">
        <f t="shared" si="174"/>
        <v/>
      </c>
      <c r="BJ1104" s="9" t="str">
        <f t="shared" si="175"/>
        <v/>
      </c>
      <c r="BK1104" s="9" t="str">
        <f>IF($B1104="","",COUNTIFS($B$5:$B1104,$B1104,$BF$5:$BF1104,$BF1104))</f>
        <v/>
      </c>
      <c r="BL1104" s="9" t="str">
        <f>IF($B1104="","",COUNTIFS($B$5:$B1104,$B1104,$BH$5:$BH1104,$BH1104))</f>
        <v/>
      </c>
      <c r="BM1104" s="9" t="str">
        <f t="shared" si="176"/>
        <v/>
      </c>
      <c r="BN1104" s="9" t="str">
        <f t="shared" si="177"/>
        <v/>
      </c>
      <c r="BO1104" s="9">
        <f t="shared" si="178"/>
        <v>0</v>
      </c>
      <c r="BR1104" s="12" t="str">
        <f t="shared" si="179"/>
        <v/>
      </c>
    </row>
    <row r="1105" spans="1:70" ht="14.25" customHeight="1">
      <c r="A1105" s="26"/>
      <c r="C1105" s="26"/>
      <c r="D1105" s="27"/>
      <c r="E1105" s="27"/>
      <c r="BE1105" s="10" t="str">
        <f t="shared" si="170"/>
        <v/>
      </c>
      <c r="BF1105" s="8" t="str">
        <f t="shared" si="171"/>
        <v/>
      </c>
      <c r="BG1105" s="11" t="str">
        <f t="shared" si="172"/>
        <v/>
      </c>
      <c r="BH1105" s="8" t="str">
        <f t="shared" si="173"/>
        <v/>
      </c>
      <c r="BI1105" s="8" t="str">
        <f t="shared" si="174"/>
        <v/>
      </c>
      <c r="BJ1105" s="9" t="str">
        <f t="shared" si="175"/>
        <v/>
      </c>
      <c r="BK1105" s="9" t="str">
        <f>IF($B1105="","",COUNTIFS($B$5:$B1105,$B1105,$BF$5:$BF1105,$BF1105))</f>
        <v/>
      </c>
      <c r="BL1105" s="9" t="str">
        <f>IF($B1105="","",COUNTIFS($B$5:$B1105,$B1105,$BH$5:$BH1105,$BH1105))</f>
        <v/>
      </c>
      <c r="BM1105" s="9" t="str">
        <f t="shared" si="176"/>
        <v/>
      </c>
      <c r="BN1105" s="9" t="str">
        <f t="shared" si="177"/>
        <v/>
      </c>
      <c r="BO1105" s="9">
        <f t="shared" si="178"/>
        <v>0</v>
      </c>
      <c r="BR1105" s="12" t="str">
        <f t="shared" si="179"/>
        <v/>
      </c>
    </row>
    <row r="1106" spans="1:70" ht="14.25" customHeight="1">
      <c r="A1106" s="26"/>
      <c r="C1106" s="26"/>
      <c r="D1106" s="27"/>
      <c r="E1106" s="27"/>
      <c r="BE1106" s="10" t="str">
        <f t="shared" si="170"/>
        <v/>
      </c>
      <c r="BF1106" s="8" t="str">
        <f t="shared" si="171"/>
        <v/>
      </c>
      <c r="BG1106" s="11" t="str">
        <f t="shared" si="172"/>
        <v/>
      </c>
      <c r="BH1106" s="8" t="str">
        <f t="shared" si="173"/>
        <v/>
      </c>
      <c r="BI1106" s="8" t="str">
        <f t="shared" si="174"/>
        <v/>
      </c>
      <c r="BJ1106" s="9" t="str">
        <f t="shared" si="175"/>
        <v/>
      </c>
      <c r="BK1106" s="9" t="str">
        <f>IF($B1106="","",COUNTIFS($B$5:$B1106,$B1106,$BF$5:$BF1106,$BF1106))</f>
        <v/>
      </c>
      <c r="BL1106" s="9" t="str">
        <f>IF($B1106="","",COUNTIFS($B$5:$B1106,$B1106,$BH$5:$BH1106,$BH1106))</f>
        <v/>
      </c>
      <c r="BM1106" s="9" t="str">
        <f t="shared" si="176"/>
        <v/>
      </c>
      <c r="BN1106" s="9" t="str">
        <f t="shared" si="177"/>
        <v/>
      </c>
      <c r="BO1106" s="9">
        <f t="shared" si="178"/>
        <v>0</v>
      </c>
      <c r="BR1106" s="12" t="str">
        <f t="shared" si="179"/>
        <v/>
      </c>
    </row>
    <row r="1107" spans="1:70" ht="14.25" customHeight="1">
      <c r="A1107" s="26"/>
      <c r="C1107" s="26"/>
      <c r="D1107" s="27"/>
      <c r="E1107" s="27"/>
      <c r="BE1107" s="10" t="str">
        <f t="shared" si="170"/>
        <v/>
      </c>
      <c r="BF1107" s="8" t="str">
        <f t="shared" si="171"/>
        <v/>
      </c>
      <c r="BG1107" s="11" t="str">
        <f t="shared" si="172"/>
        <v/>
      </c>
      <c r="BH1107" s="8" t="str">
        <f t="shared" si="173"/>
        <v/>
      </c>
      <c r="BI1107" s="8" t="str">
        <f t="shared" si="174"/>
        <v/>
      </c>
      <c r="BJ1107" s="9" t="str">
        <f t="shared" si="175"/>
        <v/>
      </c>
      <c r="BK1107" s="9" t="str">
        <f>IF($B1107="","",COUNTIFS($B$5:$B1107,$B1107,$BF$5:$BF1107,$BF1107))</f>
        <v/>
      </c>
      <c r="BL1107" s="9" t="str">
        <f>IF($B1107="","",COUNTIFS($B$5:$B1107,$B1107,$BH$5:$BH1107,$BH1107))</f>
        <v/>
      </c>
      <c r="BM1107" s="9" t="str">
        <f t="shared" si="176"/>
        <v/>
      </c>
      <c r="BN1107" s="9" t="str">
        <f t="shared" si="177"/>
        <v/>
      </c>
      <c r="BO1107" s="9">
        <f t="shared" si="178"/>
        <v>0</v>
      </c>
      <c r="BR1107" s="12" t="str">
        <f t="shared" si="179"/>
        <v/>
      </c>
    </row>
    <row r="1108" spans="1:70" ht="14.25" customHeight="1">
      <c r="A1108" s="26"/>
      <c r="C1108" s="26"/>
      <c r="D1108" s="27"/>
      <c r="E1108" s="27"/>
      <c r="BE1108" s="10" t="str">
        <f t="shared" si="170"/>
        <v/>
      </c>
      <c r="BF1108" s="8" t="str">
        <f t="shared" si="171"/>
        <v/>
      </c>
      <c r="BG1108" s="11" t="str">
        <f t="shared" si="172"/>
        <v/>
      </c>
      <c r="BH1108" s="8" t="str">
        <f t="shared" si="173"/>
        <v/>
      </c>
      <c r="BI1108" s="8" t="str">
        <f t="shared" si="174"/>
        <v/>
      </c>
      <c r="BJ1108" s="9" t="str">
        <f t="shared" si="175"/>
        <v/>
      </c>
      <c r="BK1108" s="9" t="str">
        <f>IF($B1108="","",COUNTIFS($B$5:$B1108,$B1108,$BF$5:$BF1108,$BF1108))</f>
        <v/>
      </c>
      <c r="BL1108" s="9" t="str">
        <f>IF($B1108="","",COUNTIFS($B$5:$B1108,$B1108,$BH$5:$BH1108,$BH1108))</f>
        <v/>
      </c>
      <c r="BM1108" s="9" t="str">
        <f t="shared" si="176"/>
        <v/>
      </c>
      <c r="BN1108" s="9" t="str">
        <f t="shared" si="177"/>
        <v/>
      </c>
      <c r="BO1108" s="9">
        <f t="shared" si="178"/>
        <v>0</v>
      </c>
      <c r="BR1108" s="12" t="str">
        <f t="shared" si="179"/>
        <v/>
      </c>
    </row>
    <row r="1109" spans="1:70" ht="14.25" customHeight="1">
      <c r="A1109" s="26"/>
      <c r="C1109" s="26"/>
      <c r="D1109" s="27"/>
      <c r="E1109" s="27"/>
      <c r="BE1109" s="10" t="str">
        <f t="shared" si="170"/>
        <v/>
      </c>
      <c r="BF1109" s="8" t="str">
        <f t="shared" si="171"/>
        <v/>
      </c>
      <c r="BG1109" s="11" t="str">
        <f t="shared" si="172"/>
        <v/>
      </c>
      <c r="BH1109" s="8" t="str">
        <f t="shared" si="173"/>
        <v/>
      </c>
      <c r="BI1109" s="8" t="str">
        <f t="shared" si="174"/>
        <v/>
      </c>
      <c r="BJ1109" s="9" t="str">
        <f t="shared" si="175"/>
        <v/>
      </c>
      <c r="BK1109" s="9" t="str">
        <f>IF($B1109="","",COUNTIFS($B$5:$B1109,$B1109,$BF$5:$BF1109,$BF1109))</f>
        <v/>
      </c>
      <c r="BL1109" s="9" t="str">
        <f>IF($B1109="","",COUNTIFS($B$5:$B1109,$B1109,$BH$5:$BH1109,$BH1109))</f>
        <v/>
      </c>
      <c r="BM1109" s="9" t="str">
        <f t="shared" si="176"/>
        <v/>
      </c>
      <c r="BN1109" s="9" t="str">
        <f t="shared" si="177"/>
        <v/>
      </c>
      <c r="BO1109" s="9">
        <f t="shared" si="178"/>
        <v>0</v>
      </c>
      <c r="BR1109" s="12" t="str">
        <f t="shared" si="179"/>
        <v/>
      </c>
    </row>
    <row r="1110" spans="1:70" ht="14.25" customHeight="1">
      <c r="A1110" s="26"/>
      <c r="C1110" s="26"/>
      <c r="D1110" s="27"/>
      <c r="E1110" s="27"/>
      <c r="BE1110" s="10" t="str">
        <f t="shared" si="170"/>
        <v/>
      </c>
      <c r="BF1110" s="8" t="str">
        <f t="shared" si="171"/>
        <v/>
      </c>
      <c r="BG1110" s="11" t="str">
        <f t="shared" si="172"/>
        <v/>
      </c>
      <c r="BH1110" s="8" t="str">
        <f t="shared" si="173"/>
        <v/>
      </c>
      <c r="BI1110" s="8" t="str">
        <f t="shared" si="174"/>
        <v/>
      </c>
      <c r="BJ1110" s="9" t="str">
        <f t="shared" si="175"/>
        <v/>
      </c>
      <c r="BK1110" s="9" t="str">
        <f>IF($B1110="","",COUNTIFS($B$5:$B1110,$B1110,$BF$5:$BF1110,$BF1110))</f>
        <v/>
      </c>
      <c r="BL1110" s="9" t="str">
        <f>IF($B1110="","",COUNTIFS($B$5:$B1110,$B1110,$BH$5:$BH1110,$BH1110))</f>
        <v/>
      </c>
      <c r="BM1110" s="9" t="str">
        <f t="shared" si="176"/>
        <v/>
      </c>
      <c r="BN1110" s="9" t="str">
        <f t="shared" si="177"/>
        <v/>
      </c>
      <c r="BO1110" s="9">
        <f t="shared" si="178"/>
        <v>0</v>
      </c>
      <c r="BR1110" s="12" t="str">
        <f t="shared" si="179"/>
        <v/>
      </c>
    </row>
    <row r="1111" spans="1:70" ht="14.25" customHeight="1">
      <c r="A1111" s="26"/>
      <c r="C1111" s="26"/>
      <c r="D1111" s="27"/>
      <c r="E1111" s="27"/>
      <c r="BE1111" s="10" t="str">
        <f t="shared" si="170"/>
        <v/>
      </c>
      <c r="BF1111" s="8" t="str">
        <f t="shared" si="171"/>
        <v/>
      </c>
      <c r="BG1111" s="11" t="str">
        <f t="shared" si="172"/>
        <v/>
      </c>
      <c r="BH1111" s="8" t="str">
        <f t="shared" si="173"/>
        <v/>
      </c>
      <c r="BI1111" s="8" t="str">
        <f t="shared" si="174"/>
        <v/>
      </c>
      <c r="BJ1111" s="9" t="str">
        <f t="shared" si="175"/>
        <v/>
      </c>
      <c r="BK1111" s="9" t="str">
        <f>IF($B1111="","",COUNTIFS($B$5:$B1111,$B1111,$BF$5:$BF1111,$BF1111))</f>
        <v/>
      </c>
      <c r="BL1111" s="9" t="str">
        <f>IF($B1111="","",COUNTIFS($B$5:$B1111,$B1111,$BH$5:$BH1111,$BH1111))</f>
        <v/>
      </c>
      <c r="BM1111" s="9" t="str">
        <f t="shared" si="176"/>
        <v/>
      </c>
      <c r="BN1111" s="9" t="str">
        <f t="shared" si="177"/>
        <v/>
      </c>
      <c r="BO1111" s="9">
        <f t="shared" si="178"/>
        <v>0</v>
      </c>
      <c r="BR1111" s="12" t="str">
        <f t="shared" si="179"/>
        <v/>
      </c>
    </row>
    <row r="1112" spans="1:70" ht="14.25" customHeight="1">
      <c r="A1112" s="26"/>
      <c r="C1112" s="26"/>
      <c r="D1112" s="27"/>
      <c r="E1112" s="27"/>
      <c r="BE1112" s="10" t="str">
        <f t="shared" si="170"/>
        <v/>
      </c>
      <c r="BF1112" s="8" t="str">
        <f t="shared" si="171"/>
        <v/>
      </c>
      <c r="BG1112" s="11" t="str">
        <f t="shared" si="172"/>
        <v/>
      </c>
      <c r="BH1112" s="8" t="str">
        <f t="shared" si="173"/>
        <v/>
      </c>
      <c r="BI1112" s="8" t="str">
        <f t="shared" si="174"/>
        <v/>
      </c>
      <c r="BJ1112" s="9" t="str">
        <f t="shared" si="175"/>
        <v/>
      </c>
      <c r="BK1112" s="9" t="str">
        <f>IF($B1112="","",COUNTIFS($B$5:$B1112,$B1112,$BF$5:$BF1112,$BF1112))</f>
        <v/>
      </c>
      <c r="BL1112" s="9" t="str">
        <f>IF($B1112="","",COUNTIFS($B$5:$B1112,$B1112,$BH$5:$BH1112,$BH1112))</f>
        <v/>
      </c>
      <c r="BM1112" s="9" t="str">
        <f t="shared" si="176"/>
        <v/>
      </c>
      <c r="BN1112" s="9" t="str">
        <f t="shared" si="177"/>
        <v/>
      </c>
      <c r="BO1112" s="9">
        <f t="shared" si="178"/>
        <v>0</v>
      </c>
      <c r="BR1112" s="12" t="str">
        <f t="shared" si="179"/>
        <v/>
      </c>
    </row>
    <row r="1113" spans="1:70" ht="14.25" customHeight="1">
      <c r="A1113" s="26"/>
      <c r="C1113" s="26"/>
      <c r="D1113" s="27"/>
      <c r="E1113" s="27"/>
      <c r="BE1113" s="10" t="str">
        <f t="shared" si="170"/>
        <v/>
      </c>
      <c r="BF1113" s="8" t="str">
        <f t="shared" si="171"/>
        <v/>
      </c>
      <c r="BG1113" s="11" t="str">
        <f t="shared" si="172"/>
        <v/>
      </c>
      <c r="BH1113" s="8" t="str">
        <f t="shared" si="173"/>
        <v/>
      </c>
      <c r="BI1113" s="8" t="str">
        <f t="shared" si="174"/>
        <v/>
      </c>
      <c r="BJ1113" s="9" t="str">
        <f t="shared" si="175"/>
        <v/>
      </c>
      <c r="BK1113" s="9" t="str">
        <f>IF($B1113="","",COUNTIFS($B$5:$B1113,$B1113,$BF$5:$BF1113,$BF1113))</f>
        <v/>
      </c>
      <c r="BL1113" s="9" t="str">
        <f>IF($B1113="","",COUNTIFS($B$5:$B1113,$B1113,$BH$5:$BH1113,$BH1113))</f>
        <v/>
      </c>
      <c r="BM1113" s="9" t="str">
        <f t="shared" si="176"/>
        <v/>
      </c>
      <c r="BN1113" s="9" t="str">
        <f t="shared" si="177"/>
        <v/>
      </c>
      <c r="BO1113" s="9">
        <f t="shared" si="178"/>
        <v>0</v>
      </c>
      <c r="BR1113" s="12" t="str">
        <f t="shared" si="179"/>
        <v/>
      </c>
    </row>
    <row r="1114" spans="1:70" ht="14.25" customHeight="1">
      <c r="A1114" s="26"/>
      <c r="C1114" s="26"/>
      <c r="D1114" s="27"/>
      <c r="E1114" s="27"/>
      <c r="BE1114" s="10" t="str">
        <f t="shared" si="170"/>
        <v/>
      </c>
      <c r="BF1114" s="8" t="str">
        <f t="shared" si="171"/>
        <v/>
      </c>
      <c r="BG1114" s="11" t="str">
        <f t="shared" si="172"/>
        <v/>
      </c>
      <c r="BH1114" s="8" t="str">
        <f t="shared" si="173"/>
        <v/>
      </c>
      <c r="BI1114" s="8" t="str">
        <f t="shared" si="174"/>
        <v/>
      </c>
      <c r="BJ1114" s="9" t="str">
        <f t="shared" si="175"/>
        <v/>
      </c>
      <c r="BK1114" s="9" t="str">
        <f>IF($B1114="","",COUNTIFS($B$5:$B1114,$B1114,$BF$5:$BF1114,$BF1114))</f>
        <v/>
      </c>
      <c r="BL1114" s="9" t="str">
        <f>IF($B1114="","",COUNTIFS($B$5:$B1114,$B1114,$BH$5:$BH1114,$BH1114))</f>
        <v/>
      </c>
      <c r="BM1114" s="9" t="str">
        <f t="shared" si="176"/>
        <v/>
      </c>
      <c r="BN1114" s="9" t="str">
        <f t="shared" si="177"/>
        <v/>
      </c>
      <c r="BO1114" s="9">
        <f t="shared" si="178"/>
        <v>0</v>
      </c>
      <c r="BR1114" s="12" t="str">
        <f t="shared" si="179"/>
        <v/>
      </c>
    </row>
    <row r="1115" spans="1:70" ht="14.25" customHeight="1">
      <c r="A1115" s="26"/>
      <c r="C1115" s="26"/>
      <c r="D1115" s="27"/>
      <c r="E1115" s="27"/>
      <c r="BE1115" s="10" t="str">
        <f t="shared" si="170"/>
        <v/>
      </c>
      <c r="BF1115" s="8" t="str">
        <f t="shared" si="171"/>
        <v/>
      </c>
      <c r="BG1115" s="11" t="str">
        <f t="shared" si="172"/>
        <v/>
      </c>
      <c r="BH1115" s="8" t="str">
        <f t="shared" si="173"/>
        <v/>
      </c>
      <c r="BI1115" s="8" t="str">
        <f t="shared" si="174"/>
        <v/>
      </c>
      <c r="BJ1115" s="9" t="str">
        <f t="shared" si="175"/>
        <v/>
      </c>
      <c r="BK1115" s="9" t="str">
        <f>IF($B1115="","",COUNTIFS($B$5:$B1115,$B1115,$BF$5:$BF1115,$BF1115))</f>
        <v/>
      </c>
      <c r="BL1115" s="9" t="str">
        <f>IF($B1115="","",COUNTIFS($B$5:$B1115,$B1115,$BH$5:$BH1115,$BH1115))</f>
        <v/>
      </c>
      <c r="BM1115" s="9" t="str">
        <f t="shared" si="176"/>
        <v/>
      </c>
      <c r="BN1115" s="9" t="str">
        <f t="shared" si="177"/>
        <v/>
      </c>
      <c r="BO1115" s="9">
        <f t="shared" si="178"/>
        <v>0</v>
      </c>
      <c r="BR1115" s="12" t="str">
        <f t="shared" si="179"/>
        <v/>
      </c>
    </row>
    <row r="1116" spans="1:70" ht="14.25" customHeight="1">
      <c r="A1116" s="26"/>
      <c r="C1116" s="26"/>
      <c r="D1116" s="27"/>
      <c r="E1116" s="27"/>
      <c r="BE1116" s="10" t="str">
        <f t="shared" si="170"/>
        <v/>
      </c>
      <c r="BF1116" s="8" t="str">
        <f t="shared" si="171"/>
        <v/>
      </c>
      <c r="BG1116" s="11" t="str">
        <f t="shared" si="172"/>
        <v/>
      </c>
      <c r="BH1116" s="8" t="str">
        <f t="shared" si="173"/>
        <v/>
      </c>
      <c r="BI1116" s="8" t="str">
        <f t="shared" si="174"/>
        <v/>
      </c>
      <c r="BJ1116" s="9" t="str">
        <f t="shared" si="175"/>
        <v/>
      </c>
      <c r="BK1116" s="9" t="str">
        <f>IF($B1116="","",COUNTIFS($B$5:$B1116,$B1116,$BF$5:$BF1116,$BF1116))</f>
        <v/>
      </c>
      <c r="BL1116" s="9" t="str">
        <f>IF($B1116="","",COUNTIFS($B$5:$B1116,$B1116,$BH$5:$BH1116,$BH1116))</f>
        <v/>
      </c>
      <c r="BM1116" s="9" t="str">
        <f t="shared" si="176"/>
        <v/>
      </c>
      <c r="BN1116" s="9" t="str">
        <f t="shared" si="177"/>
        <v/>
      </c>
      <c r="BO1116" s="9">
        <f t="shared" si="178"/>
        <v>0</v>
      </c>
      <c r="BR1116" s="12" t="str">
        <f t="shared" si="179"/>
        <v/>
      </c>
    </row>
    <row r="1117" spans="1:70" ht="14.25" customHeight="1">
      <c r="A1117" s="26"/>
      <c r="C1117" s="26"/>
      <c r="D1117" s="27"/>
      <c r="E1117" s="27"/>
      <c r="BE1117" s="10" t="str">
        <f t="shared" ref="BE1117:BE1180" si="180">IF($B1117="","",IF(COUNT($H1117,$J1117,$L1117,$N1117,$P1117,$R1117)&gt;0,SUM($H1117,$J1117,$L1117,$N1117,$P1117,$R1117),SUM($T1117,$V1117,$X1117,$Z1117,$AB1117,$AD1117,$AF1117,$AH1117,$AJ1117,$AL1117,$AN1117,$AP1117,$AR1117,$AT1117,$AV1117,$AX1117,$AZ1117)))</f>
        <v/>
      </c>
      <c r="BF1117" s="8" t="str">
        <f t="shared" ref="BF1117:BF1180" si="181">IF($C1117="","",DATE(YEAR($C1117),MONTH($C1117),1))</f>
        <v/>
      </c>
      <c r="BG1117" s="11" t="str">
        <f t="shared" ref="BG1117:BG1180" si="182">IF($BF1117="","",TEXT($BF1117,"mmmm yyyy"))</f>
        <v/>
      </c>
      <c r="BH1117" s="8" t="str">
        <f t="shared" ref="BH1117:BH1180" si="183">IF($C1117="","",$C1117-WEEKDAY($C1117,2)+1)</f>
        <v/>
      </c>
      <c r="BI1117" s="8" t="str">
        <f t="shared" ref="BI1117:BI1180" si="184">IF($BH1117="","",$BH1117+6)</f>
        <v/>
      </c>
      <c r="BJ1117" s="9" t="str">
        <f t="shared" ref="BJ1117:BJ1180" si="185">IF($BH1117="","",TEXT($BH1117,"dd/mm/yyyy")&amp;" - "&amp;TEXT($BI1117,"dd/mm/yyyy"))</f>
        <v/>
      </c>
      <c r="BK1117" s="9" t="str">
        <f>IF($B1117="","",COUNTIFS($B$5:$B1117,$B1117,$BF$5:$BF1117,$BF1117))</f>
        <v/>
      </c>
      <c r="BL1117" s="9" t="str">
        <f>IF($B1117="","",COUNTIFS($B$5:$B1117,$B1117,$BH$5:$BH1117,$BH1117))</f>
        <v/>
      </c>
      <c r="BM1117" s="9" t="str">
        <f t="shared" ref="BM1117:BM1180" si="186">IF($B1117="","",TEXT($BK1117,"00")&amp;"|"&amp;$B1117&amp;"|"&amp;TEXT($BF1117,"yyyymmdd"))</f>
        <v/>
      </c>
      <c r="BN1117" s="9" t="str">
        <f t="shared" ref="BN1117:BN1180" si="187">IF($B1117="","",TEXT($BL1117,"00")&amp;"|"&amp;$B1117&amp;"|"&amp;TEXT($BH1117,"yyyymmdd"))</f>
        <v/>
      </c>
      <c r="BO1117" s="9">
        <f t="shared" ref="BO1117:BO1180" si="188">IF(OR($BB1117="YES",$BB1117="Yes",$BB1117="Y",$BB1117=1),1,0)</f>
        <v>0</v>
      </c>
      <c r="BR1117" s="12" t="str">
        <f t="shared" ref="BR1117:BR1180" si="189">IF($C1117="","",IF($C1117&gt;=DATE(2026,6,1),"QA-2026-06",IF($C1117&gt;=DATE(2026,5,1),"May 2026+",IF($C1117&gt;=DATE(2026,4,1),"April 2026",IF($C1117&gt;=DATE(2026,3,1),"March 2026","Jan-Feb 2026")))))</f>
        <v/>
      </c>
    </row>
    <row r="1118" spans="1:70" ht="14.25" customHeight="1">
      <c r="A1118" s="26"/>
      <c r="C1118" s="26"/>
      <c r="D1118" s="27"/>
      <c r="E1118" s="27"/>
      <c r="BE1118" s="10" t="str">
        <f t="shared" si="180"/>
        <v/>
      </c>
      <c r="BF1118" s="8" t="str">
        <f t="shared" si="181"/>
        <v/>
      </c>
      <c r="BG1118" s="11" t="str">
        <f t="shared" si="182"/>
        <v/>
      </c>
      <c r="BH1118" s="8" t="str">
        <f t="shared" si="183"/>
        <v/>
      </c>
      <c r="BI1118" s="8" t="str">
        <f t="shared" si="184"/>
        <v/>
      </c>
      <c r="BJ1118" s="9" t="str">
        <f t="shared" si="185"/>
        <v/>
      </c>
      <c r="BK1118" s="9" t="str">
        <f>IF($B1118="","",COUNTIFS($B$5:$B1118,$B1118,$BF$5:$BF1118,$BF1118))</f>
        <v/>
      </c>
      <c r="BL1118" s="9" t="str">
        <f>IF($B1118="","",COUNTIFS($B$5:$B1118,$B1118,$BH$5:$BH1118,$BH1118))</f>
        <v/>
      </c>
      <c r="BM1118" s="9" t="str">
        <f t="shared" si="186"/>
        <v/>
      </c>
      <c r="BN1118" s="9" t="str">
        <f t="shared" si="187"/>
        <v/>
      </c>
      <c r="BO1118" s="9">
        <f t="shared" si="188"/>
        <v>0</v>
      </c>
      <c r="BR1118" s="12" t="str">
        <f t="shared" si="189"/>
        <v/>
      </c>
    </row>
    <row r="1119" spans="1:70" ht="14.25" customHeight="1">
      <c r="A1119" s="26"/>
      <c r="C1119" s="26"/>
      <c r="D1119" s="27"/>
      <c r="E1119" s="27"/>
      <c r="BE1119" s="10" t="str">
        <f t="shared" si="180"/>
        <v/>
      </c>
      <c r="BF1119" s="8" t="str">
        <f t="shared" si="181"/>
        <v/>
      </c>
      <c r="BG1119" s="11" t="str">
        <f t="shared" si="182"/>
        <v/>
      </c>
      <c r="BH1119" s="8" t="str">
        <f t="shared" si="183"/>
        <v/>
      </c>
      <c r="BI1119" s="8" t="str">
        <f t="shared" si="184"/>
        <v/>
      </c>
      <c r="BJ1119" s="9" t="str">
        <f t="shared" si="185"/>
        <v/>
      </c>
      <c r="BK1119" s="9" t="str">
        <f>IF($B1119="","",COUNTIFS($B$5:$B1119,$B1119,$BF$5:$BF1119,$BF1119))</f>
        <v/>
      </c>
      <c r="BL1119" s="9" t="str">
        <f>IF($B1119="","",COUNTIFS($B$5:$B1119,$B1119,$BH$5:$BH1119,$BH1119))</f>
        <v/>
      </c>
      <c r="BM1119" s="9" t="str">
        <f t="shared" si="186"/>
        <v/>
      </c>
      <c r="BN1119" s="9" t="str">
        <f t="shared" si="187"/>
        <v/>
      </c>
      <c r="BO1119" s="9">
        <f t="shared" si="188"/>
        <v>0</v>
      </c>
      <c r="BR1119" s="12" t="str">
        <f t="shared" si="189"/>
        <v/>
      </c>
    </row>
    <row r="1120" spans="1:70" ht="14.25" customHeight="1">
      <c r="A1120" s="26"/>
      <c r="C1120" s="26"/>
      <c r="D1120" s="27"/>
      <c r="E1120" s="27"/>
      <c r="BE1120" s="10" t="str">
        <f t="shared" si="180"/>
        <v/>
      </c>
      <c r="BF1120" s="8" t="str">
        <f t="shared" si="181"/>
        <v/>
      </c>
      <c r="BG1120" s="11" t="str">
        <f t="shared" si="182"/>
        <v/>
      </c>
      <c r="BH1120" s="8" t="str">
        <f t="shared" si="183"/>
        <v/>
      </c>
      <c r="BI1120" s="8" t="str">
        <f t="shared" si="184"/>
        <v/>
      </c>
      <c r="BJ1120" s="9" t="str">
        <f t="shared" si="185"/>
        <v/>
      </c>
      <c r="BK1120" s="9" t="str">
        <f>IF($B1120="","",COUNTIFS($B$5:$B1120,$B1120,$BF$5:$BF1120,$BF1120))</f>
        <v/>
      </c>
      <c r="BL1120" s="9" t="str">
        <f>IF($B1120="","",COUNTIFS($B$5:$B1120,$B1120,$BH$5:$BH1120,$BH1120))</f>
        <v/>
      </c>
      <c r="BM1120" s="9" t="str">
        <f t="shared" si="186"/>
        <v/>
      </c>
      <c r="BN1120" s="9" t="str">
        <f t="shared" si="187"/>
        <v/>
      </c>
      <c r="BO1120" s="9">
        <f t="shared" si="188"/>
        <v>0</v>
      </c>
      <c r="BR1120" s="12" t="str">
        <f t="shared" si="189"/>
        <v/>
      </c>
    </row>
    <row r="1121" spans="1:70" ht="14.25" customHeight="1">
      <c r="A1121" s="26"/>
      <c r="C1121" s="26"/>
      <c r="D1121" s="27"/>
      <c r="E1121" s="27"/>
      <c r="BE1121" s="10" t="str">
        <f t="shared" si="180"/>
        <v/>
      </c>
      <c r="BF1121" s="8" t="str">
        <f t="shared" si="181"/>
        <v/>
      </c>
      <c r="BG1121" s="11" t="str">
        <f t="shared" si="182"/>
        <v/>
      </c>
      <c r="BH1121" s="8" t="str">
        <f t="shared" si="183"/>
        <v/>
      </c>
      <c r="BI1121" s="8" t="str">
        <f t="shared" si="184"/>
        <v/>
      </c>
      <c r="BJ1121" s="9" t="str">
        <f t="shared" si="185"/>
        <v/>
      </c>
      <c r="BK1121" s="9" t="str">
        <f>IF($B1121="","",COUNTIFS($B$5:$B1121,$B1121,$BF$5:$BF1121,$BF1121))</f>
        <v/>
      </c>
      <c r="BL1121" s="9" t="str">
        <f>IF($B1121="","",COUNTIFS($B$5:$B1121,$B1121,$BH$5:$BH1121,$BH1121))</f>
        <v/>
      </c>
      <c r="BM1121" s="9" t="str">
        <f t="shared" si="186"/>
        <v/>
      </c>
      <c r="BN1121" s="9" t="str">
        <f t="shared" si="187"/>
        <v/>
      </c>
      <c r="BO1121" s="9">
        <f t="shared" si="188"/>
        <v>0</v>
      </c>
      <c r="BR1121" s="12" t="str">
        <f t="shared" si="189"/>
        <v/>
      </c>
    </row>
    <row r="1122" spans="1:70" ht="14.25" customHeight="1">
      <c r="A1122" s="26"/>
      <c r="C1122" s="26"/>
      <c r="D1122" s="27"/>
      <c r="E1122" s="27"/>
      <c r="BE1122" s="10" t="str">
        <f t="shared" si="180"/>
        <v/>
      </c>
      <c r="BF1122" s="8" t="str">
        <f t="shared" si="181"/>
        <v/>
      </c>
      <c r="BG1122" s="11" t="str">
        <f t="shared" si="182"/>
        <v/>
      </c>
      <c r="BH1122" s="8" t="str">
        <f t="shared" si="183"/>
        <v/>
      </c>
      <c r="BI1122" s="8" t="str">
        <f t="shared" si="184"/>
        <v/>
      </c>
      <c r="BJ1122" s="9" t="str">
        <f t="shared" si="185"/>
        <v/>
      </c>
      <c r="BK1122" s="9" t="str">
        <f>IF($B1122="","",COUNTIFS($B$5:$B1122,$B1122,$BF$5:$BF1122,$BF1122))</f>
        <v/>
      </c>
      <c r="BL1122" s="9" t="str">
        <f>IF($B1122="","",COUNTIFS($B$5:$B1122,$B1122,$BH$5:$BH1122,$BH1122))</f>
        <v/>
      </c>
      <c r="BM1122" s="9" t="str">
        <f t="shared" si="186"/>
        <v/>
      </c>
      <c r="BN1122" s="9" t="str">
        <f t="shared" si="187"/>
        <v/>
      </c>
      <c r="BO1122" s="9">
        <f t="shared" si="188"/>
        <v>0</v>
      </c>
      <c r="BR1122" s="12" t="str">
        <f t="shared" si="189"/>
        <v/>
      </c>
    </row>
    <row r="1123" spans="1:70" ht="14.25" customHeight="1">
      <c r="A1123" s="26"/>
      <c r="C1123" s="26"/>
      <c r="D1123" s="27"/>
      <c r="E1123" s="27"/>
      <c r="BE1123" s="10" t="str">
        <f t="shared" si="180"/>
        <v/>
      </c>
      <c r="BF1123" s="8" t="str">
        <f t="shared" si="181"/>
        <v/>
      </c>
      <c r="BG1123" s="11" t="str">
        <f t="shared" si="182"/>
        <v/>
      </c>
      <c r="BH1123" s="8" t="str">
        <f t="shared" si="183"/>
        <v/>
      </c>
      <c r="BI1123" s="8" t="str">
        <f t="shared" si="184"/>
        <v/>
      </c>
      <c r="BJ1123" s="9" t="str">
        <f t="shared" si="185"/>
        <v/>
      </c>
      <c r="BK1123" s="9" t="str">
        <f>IF($B1123="","",COUNTIFS($B$5:$B1123,$B1123,$BF$5:$BF1123,$BF1123))</f>
        <v/>
      </c>
      <c r="BL1123" s="9" t="str">
        <f>IF($B1123="","",COUNTIFS($B$5:$B1123,$B1123,$BH$5:$BH1123,$BH1123))</f>
        <v/>
      </c>
      <c r="BM1123" s="9" t="str">
        <f t="shared" si="186"/>
        <v/>
      </c>
      <c r="BN1123" s="9" t="str">
        <f t="shared" si="187"/>
        <v/>
      </c>
      <c r="BO1123" s="9">
        <f t="shared" si="188"/>
        <v>0</v>
      </c>
      <c r="BR1123" s="12" t="str">
        <f t="shared" si="189"/>
        <v/>
      </c>
    </row>
    <row r="1124" spans="1:70" ht="14.25" customHeight="1">
      <c r="A1124" s="26"/>
      <c r="C1124" s="26"/>
      <c r="D1124" s="27"/>
      <c r="E1124" s="27"/>
      <c r="BE1124" s="10" t="str">
        <f t="shared" si="180"/>
        <v/>
      </c>
      <c r="BF1124" s="8" t="str">
        <f t="shared" si="181"/>
        <v/>
      </c>
      <c r="BG1124" s="11" t="str">
        <f t="shared" si="182"/>
        <v/>
      </c>
      <c r="BH1124" s="8" t="str">
        <f t="shared" si="183"/>
        <v/>
      </c>
      <c r="BI1124" s="8" t="str">
        <f t="shared" si="184"/>
        <v/>
      </c>
      <c r="BJ1124" s="9" t="str">
        <f t="shared" si="185"/>
        <v/>
      </c>
      <c r="BK1124" s="9" t="str">
        <f>IF($B1124="","",COUNTIFS($B$5:$B1124,$B1124,$BF$5:$BF1124,$BF1124))</f>
        <v/>
      </c>
      <c r="BL1124" s="9" t="str">
        <f>IF($B1124="","",COUNTIFS($B$5:$B1124,$B1124,$BH$5:$BH1124,$BH1124))</f>
        <v/>
      </c>
      <c r="BM1124" s="9" t="str">
        <f t="shared" si="186"/>
        <v/>
      </c>
      <c r="BN1124" s="9" t="str">
        <f t="shared" si="187"/>
        <v/>
      </c>
      <c r="BO1124" s="9">
        <f t="shared" si="188"/>
        <v>0</v>
      </c>
      <c r="BR1124" s="12" t="str">
        <f t="shared" si="189"/>
        <v/>
      </c>
    </row>
    <row r="1125" spans="1:70" ht="14.25" customHeight="1">
      <c r="A1125" s="26"/>
      <c r="C1125" s="26"/>
      <c r="D1125" s="27"/>
      <c r="E1125" s="27"/>
      <c r="BE1125" s="10" t="str">
        <f t="shared" si="180"/>
        <v/>
      </c>
      <c r="BF1125" s="8" t="str">
        <f t="shared" si="181"/>
        <v/>
      </c>
      <c r="BG1125" s="11" t="str">
        <f t="shared" si="182"/>
        <v/>
      </c>
      <c r="BH1125" s="8" t="str">
        <f t="shared" si="183"/>
        <v/>
      </c>
      <c r="BI1125" s="8" t="str">
        <f t="shared" si="184"/>
        <v/>
      </c>
      <c r="BJ1125" s="9" t="str">
        <f t="shared" si="185"/>
        <v/>
      </c>
      <c r="BK1125" s="9" t="str">
        <f>IF($B1125="","",COUNTIFS($B$5:$B1125,$B1125,$BF$5:$BF1125,$BF1125))</f>
        <v/>
      </c>
      <c r="BL1125" s="9" t="str">
        <f>IF($B1125="","",COUNTIFS($B$5:$B1125,$B1125,$BH$5:$BH1125,$BH1125))</f>
        <v/>
      </c>
      <c r="BM1125" s="9" t="str">
        <f t="shared" si="186"/>
        <v/>
      </c>
      <c r="BN1125" s="9" t="str">
        <f t="shared" si="187"/>
        <v/>
      </c>
      <c r="BO1125" s="9">
        <f t="shared" si="188"/>
        <v>0</v>
      </c>
      <c r="BR1125" s="12" t="str">
        <f t="shared" si="189"/>
        <v/>
      </c>
    </row>
    <row r="1126" spans="1:70" ht="14.25" customHeight="1">
      <c r="A1126" s="26"/>
      <c r="C1126" s="26"/>
      <c r="D1126" s="27"/>
      <c r="E1126" s="27"/>
      <c r="BE1126" s="10" t="str">
        <f t="shared" si="180"/>
        <v/>
      </c>
      <c r="BF1126" s="8" t="str">
        <f t="shared" si="181"/>
        <v/>
      </c>
      <c r="BG1126" s="11" t="str">
        <f t="shared" si="182"/>
        <v/>
      </c>
      <c r="BH1126" s="8" t="str">
        <f t="shared" si="183"/>
        <v/>
      </c>
      <c r="BI1126" s="8" t="str">
        <f t="shared" si="184"/>
        <v/>
      </c>
      <c r="BJ1126" s="9" t="str">
        <f t="shared" si="185"/>
        <v/>
      </c>
      <c r="BK1126" s="9" t="str">
        <f>IF($B1126="","",COUNTIFS($B$5:$B1126,$B1126,$BF$5:$BF1126,$BF1126))</f>
        <v/>
      </c>
      <c r="BL1126" s="9" t="str">
        <f>IF($B1126="","",COUNTIFS($B$5:$B1126,$B1126,$BH$5:$BH1126,$BH1126))</f>
        <v/>
      </c>
      <c r="BM1126" s="9" t="str">
        <f t="shared" si="186"/>
        <v/>
      </c>
      <c r="BN1126" s="9" t="str">
        <f t="shared" si="187"/>
        <v/>
      </c>
      <c r="BO1126" s="9">
        <f t="shared" si="188"/>
        <v>0</v>
      </c>
      <c r="BR1126" s="12" t="str">
        <f t="shared" si="189"/>
        <v/>
      </c>
    </row>
    <row r="1127" spans="1:70" ht="14.25" customHeight="1">
      <c r="A1127" s="26"/>
      <c r="C1127" s="26"/>
      <c r="D1127" s="27"/>
      <c r="E1127" s="27"/>
      <c r="BE1127" s="10" t="str">
        <f t="shared" si="180"/>
        <v/>
      </c>
      <c r="BF1127" s="8" t="str">
        <f t="shared" si="181"/>
        <v/>
      </c>
      <c r="BG1127" s="11" t="str">
        <f t="shared" si="182"/>
        <v/>
      </c>
      <c r="BH1127" s="8" t="str">
        <f t="shared" si="183"/>
        <v/>
      </c>
      <c r="BI1127" s="8" t="str">
        <f t="shared" si="184"/>
        <v/>
      </c>
      <c r="BJ1127" s="9" t="str">
        <f t="shared" si="185"/>
        <v/>
      </c>
      <c r="BK1127" s="9" t="str">
        <f>IF($B1127="","",COUNTIFS($B$5:$B1127,$B1127,$BF$5:$BF1127,$BF1127))</f>
        <v/>
      </c>
      <c r="BL1127" s="9" t="str">
        <f>IF($B1127="","",COUNTIFS($B$5:$B1127,$B1127,$BH$5:$BH1127,$BH1127))</f>
        <v/>
      </c>
      <c r="BM1127" s="9" t="str">
        <f t="shared" si="186"/>
        <v/>
      </c>
      <c r="BN1127" s="9" t="str">
        <f t="shared" si="187"/>
        <v/>
      </c>
      <c r="BO1127" s="9">
        <f t="shared" si="188"/>
        <v>0</v>
      </c>
      <c r="BR1127" s="12" t="str">
        <f t="shared" si="189"/>
        <v/>
      </c>
    </row>
    <row r="1128" spans="1:70" ht="14.25" customHeight="1">
      <c r="A1128" s="26"/>
      <c r="C1128" s="26"/>
      <c r="D1128" s="27"/>
      <c r="E1128" s="27"/>
      <c r="BE1128" s="10" t="str">
        <f t="shared" si="180"/>
        <v/>
      </c>
      <c r="BF1128" s="8" t="str">
        <f t="shared" si="181"/>
        <v/>
      </c>
      <c r="BG1128" s="11" t="str">
        <f t="shared" si="182"/>
        <v/>
      </c>
      <c r="BH1128" s="8" t="str">
        <f t="shared" si="183"/>
        <v/>
      </c>
      <c r="BI1128" s="8" t="str">
        <f t="shared" si="184"/>
        <v/>
      </c>
      <c r="BJ1128" s="9" t="str">
        <f t="shared" si="185"/>
        <v/>
      </c>
      <c r="BK1128" s="9" t="str">
        <f>IF($B1128="","",COUNTIFS($B$5:$B1128,$B1128,$BF$5:$BF1128,$BF1128))</f>
        <v/>
      </c>
      <c r="BL1128" s="9" t="str">
        <f>IF($B1128="","",COUNTIFS($B$5:$B1128,$B1128,$BH$5:$BH1128,$BH1128))</f>
        <v/>
      </c>
      <c r="BM1128" s="9" t="str">
        <f t="shared" si="186"/>
        <v/>
      </c>
      <c r="BN1128" s="9" t="str">
        <f t="shared" si="187"/>
        <v/>
      </c>
      <c r="BO1128" s="9">
        <f t="shared" si="188"/>
        <v>0</v>
      </c>
      <c r="BR1128" s="12" t="str">
        <f t="shared" si="189"/>
        <v/>
      </c>
    </row>
    <row r="1129" spans="1:70" ht="14.25" customHeight="1">
      <c r="A1129" s="26"/>
      <c r="C1129" s="26"/>
      <c r="D1129" s="27"/>
      <c r="E1129" s="27"/>
      <c r="BE1129" s="10" t="str">
        <f t="shared" si="180"/>
        <v/>
      </c>
      <c r="BF1129" s="8" t="str">
        <f t="shared" si="181"/>
        <v/>
      </c>
      <c r="BG1129" s="11" t="str">
        <f t="shared" si="182"/>
        <v/>
      </c>
      <c r="BH1129" s="8" t="str">
        <f t="shared" si="183"/>
        <v/>
      </c>
      <c r="BI1129" s="8" t="str">
        <f t="shared" si="184"/>
        <v/>
      </c>
      <c r="BJ1129" s="9" t="str">
        <f t="shared" si="185"/>
        <v/>
      </c>
      <c r="BK1129" s="9" t="str">
        <f>IF($B1129="","",COUNTIFS($B$5:$B1129,$B1129,$BF$5:$BF1129,$BF1129))</f>
        <v/>
      </c>
      <c r="BL1129" s="9" t="str">
        <f>IF($B1129="","",COUNTIFS($B$5:$B1129,$B1129,$BH$5:$BH1129,$BH1129))</f>
        <v/>
      </c>
      <c r="BM1129" s="9" t="str">
        <f t="shared" si="186"/>
        <v/>
      </c>
      <c r="BN1129" s="9" t="str">
        <f t="shared" si="187"/>
        <v/>
      </c>
      <c r="BO1129" s="9">
        <f t="shared" si="188"/>
        <v>0</v>
      </c>
      <c r="BR1129" s="12" t="str">
        <f t="shared" si="189"/>
        <v/>
      </c>
    </row>
    <row r="1130" spans="1:70" ht="14.25" customHeight="1">
      <c r="A1130" s="26"/>
      <c r="C1130" s="26"/>
      <c r="D1130" s="27"/>
      <c r="E1130" s="27"/>
      <c r="BE1130" s="10" t="str">
        <f t="shared" si="180"/>
        <v/>
      </c>
      <c r="BF1130" s="8" t="str">
        <f t="shared" si="181"/>
        <v/>
      </c>
      <c r="BG1130" s="11" t="str">
        <f t="shared" si="182"/>
        <v/>
      </c>
      <c r="BH1130" s="8" t="str">
        <f t="shared" si="183"/>
        <v/>
      </c>
      <c r="BI1130" s="8" t="str">
        <f t="shared" si="184"/>
        <v/>
      </c>
      <c r="BJ1130" s="9" t="str">
        <f t="shared" si="185"/>
        <v/>
      </c>
      <c r="BK1130" s="9" t="str">
        <f>IF($B1130="","",COUNTIFS($B$5:$B1130,$B1130,$BF$5:$BF1130,$BF1130))</f>
        <v/>
      </c>
      <c r="BL1130" s="9" t="str">
        <f>IF($B1130="","",COUNTIFS($B$5:$B1130,$B1130,$BH$5:$BH1130,$BH1130))</f>
        <v/>
      </c>
      <c r="BM1130" s="9" t="str">
        <f t="shared" si="186"/>
        <v/>
      </c>
      <c r="BN1130" s="9" t="str">
        <f t="shared" si="187"/>
        <v/>
      </c>
      <c r="BO1130" s="9">
        <f t="shared" si="188"/>
        <v>0</v>
      </c>
      <c r="BR1130" s="12" t="str">
        <f t="shared" si="189"/>
        <v/>
      </c>
    </row>
    <row r="1131" spans="1:70" ht="14.25" customHeight="1">
      <c r="A1131" s="26"/>
      <c r="C1131" s="26"/>
      <c r="D1131" s="27"/>
      <c r="E1131" s="27"/>
      <c r="BE1131" s="10" t="str">
        <f t="shared" si="180"/>
        <v/>
      </c>
      <c r="BF1131" s="8" t="str">
        <f t="shared" si="181"/>
        <v/>
      </c>
      <c r="BG1131" s="11" t="str">
        <f t="shared" si="182"/>
        <v/>
      </c>
      <c r="BH1131" s="8" t="str">
        <f t="shared" si="183"/>
        <v/>
      </c>
      <c r="BI1131" s="8" t="str">
        <f t="shared" si="184"/>
        <v/>
      </c>
      <c r="BJ1131" s="9" t="str">
        <f t="shared" si="185"/>
        <v/>
      </c>
      <c r="BK1131" s="9" t="str">
        <f>IF($B1131="","",COUNTIFS($B$5:$B1131,$B1131,$BF$5:$BF1131,$BF1131))</f>
        <v/>
      </c>
      <c r="BL1131" s="9" t="str">
        <f>IF($B1131="","",COUNTIFS($B$5:$B1131,$B1131,$BH$5:$BH1131,$BH1131))</f>
        <v/>
      </c>
      <c r="BM1131" s="9" t="str">
        <f t="shared" si="186"/>
        <v/>
      </c>
      <c r="BN1131" s="9" t="str">
        <f t="shared" si="187"/>
        <v/>
      </c>
      <c r="BO1131" s="9">
        <f t="shared" si="188"/>
        <v>0</v>
      </c>
      <c r="BR1131" s="12" t="str">
        <f t="shared" si="189"/>
        <v/>
      </c>
    </row>
    <row r="1132" spans="1:70" ht="14.25" customHeight="1">
      <c r="A1132" s="26"/>
      <c r="C1132" s="26"/>
      <c r="D1132" s="27"/>
      <c r="E1132" s="27"/>
      <c r="BE1132" s="10" t="str">
        <f t="shared" si="180"/>
        <v/>
      </c>
      <c r="BF1132" s="8" t="str">
        <f t="shared" si="181"/>
        <v/>
      </c>
      <c r="BG1132" s="11" t="str">
        <f t="shared" si="182"/>
        <v/>
      </c>
      <c r="BH1132" s="8" t="str">
        <f t="shared" si="183"/>
        <v/>
      </c>
      <c r="BI1132" s="8" t="str">
        <f t="shared" si="184"/>
        <v/>
      </c>
      <c r="BJ1132" s="9" t="str">
        <f t="shared" si="185"/>
        <v/>
      </c>
      <c r="BK1132" s="9" t="str">
        <f>IF($B1132="","",COUNTIFS($B$5:$B1132,$B1132,$BF$5:$BF1132,$BF1132))</f>
        <v/>
      </c>
      <c r="BL1132" s="9" t="str">
        <f>IF($B1132="","",COUNTIFS($B$5:$B1132,$B1132,$BH$5:$BH1132,$BH1132))</f>
        <v/>
      </c>
      <c r="BM1132" s="9" t="str">
        <f t="shared" si="186"/>
        <v/>
      </c>
      <c r="BN1132" s="9" t="str">
        <f t="shared" si="187"/>
        <v/>
      </c>
      <c r="BO1132" s="9">
        <f t="shared" si="188"/>
        <v>0</v>
      </c>
      <c r="BR1132" s="12" t="str">
        <f t="shared" si="189"/>
        <v/>
      </c>
    </row>
    <row r="1133" spans="1:70" ht="14.25" customHeight="1">
      <c r="A1133" s="26"/>
      <c r="C1133" s="26"/>
      <c r="D1133" s="27"/>
      <c r="E1133" s="27"/>
      <c r="BE1133" s="10" t="str">
        <f t="shared" si="180"/>
        <v/>
      </c>
      <c r="BF1133" s="8" t="str">
        <f t="shared" si="181"/>
        <v/>
      </c>
      <c r="BG1133" s="11" t="str">
        <f t="shared" si="182"/>
        <v/>
      </c>
      <c r="BH1133" s="8" t="str">
        <f t="shared" si="183"/>
        <v/>
      </c>
      <c r="BI1133" s="8" t="str">
        <f t="shared" si="184"/>
        <v/>
      </c>
      <c r="BJ1133" s="9" t="str">
        <f t="shared" si="185"/>
        <v/>
      </c>
      <c r="BK1133" s="9" t="str">
        <f>IF($B1133="","",COUNTIFS($B$5:$B1133,$B1133,$BF$5:$BF1133,$BF1133))</f>
        <v/>
      </c>
      <c r="BL1133" s="9" t="str">
        <f>IF($B1133="","",COUNTIFS($B$5:$B1133,$B1133,$BH$5:$BH1133,$BH1133))</f>
        <v/>
      </c>
      <c r="BM1133" s="9" t="str">
        <f t="shared" si="186"/>
        <v/>
      </c>
      <c r="BN1133" s="9" t="str">
        <f t="shared" si="187"/>
        <v/>
      </c>
      <c r="BO1133" s="9">
        <f t="shared" si="188"/>
        <v>0</v>
      </c>
      <c r="BR1133" s="12" t="str">
        <f t="shared" si="189"/>
        <v/>
      </c>
    </row>
    <row r="1134" spans="1:70" ht="14.25" customHeight="1">
      <c r="A1134" s="26"/>
      <c r="C1134" s="26"/>
      <c r="D1134" s="27"/>
      <c r="E1134" s="27"/>
      <c r="BE1134" s="10" t="str">
        <f t="shared" si="180"/>
        <v/>
      </c>
      <c r="BF1134" s="8" t="str">
        <f t="shared" si="181"/>
        <v/>
      </c>
      <c r="BG1134" s="11" t="str">
        <f t="shared" si="182"/>
        <v/>
      </c>
      <c r="BH1134" s="8" t="str">
        <f t="shared" si="183"/>
        <v/>
      </c>
      <c r="BI1134" s="8" t="str">
        <f t="shared" si="184"/>
        <v/>
      </c>
      <c r="BJ1134" s="9" t="str">
        <f t="shared" si="185"/>
        <v/>
      </c>
      <c r="BK1134" s="9" t="str">
        <f>IF($B1134="","",COUNTIFS($B$5:$B1134,$B1134,$BF$5:$BF1134,$BF1134))</f>
        <v/>
      </c>
      <c r="BL1134" s="9" t="str">
        <f>IF($B1134="","",COUNTIFS($B$5:$B1134,$B1134,$BH$5:$BH1134,$BH1134))</f>
        <v/>
      </c>
      <c r="BM1134" s="9" t="str">
        <f t="shared" si="186"/>
        <v/>
      </c>
      <c r="BN1134" s="9" t="str">
        <f t="shared" si="187"/>
        <v/>
      </c>
      <c r="BO1134" s="9">
        <f t="shared" si="188"/>
        <v>0</v>
      </c>
      <c r="BR1134" s="12" t="str">
        <f t="shared" si="189"/>
        <v/>
      </c>
    </row>
    <row r="1135" spans="1:70" ht="14.25" customHeight="1">
      <c r="A1135" s="26"/>
      <c r="C1135" s="26"/>
      <c r="D1135" s="27"/>
      <c r="E1135" s="27"/>
      <c r="BE1135" s="10" t="str">
        <f t="shared" si="180"/>
        <v/>
      </c>
      <c r="BF1135" s="8" t="str">
        <f t="shared" si="181"/>
        <v/>
      </c>
      <c r="BG1135" s="11" t="str">
        <f t="shared" si="182"/>
        <v/>
      </c>
      <c r="BH1135" s="8" t="str">
        <f t="shared" si="183"/>
        <v/>
      </c>
      <c r="BI1135" s="8" t="str">
        <f t="shared" si="184"/>
        <v/>
      </c>
      <c r="BJ1135" s="9" t="str">
        <f t="shared" si="185"/>
        <v/>
      </c>
      <c r="BK1135" s="9" t="str">
        <f>IF($B1135="","",COUNTIFS($B$5:$B1135,$B1135,$BF$5:$BF1135,$BF1135))</f>
        <v/>
      </c>
      <c r="BL1135" s="9" t="str">
        <f>IF($B1135="","",COUNTIFS($B$5:$B1135,$B1135,$BH$5:$BH1135,$BH1135))</f>
        <v/>
      </c>
      <c r="BM1135" s="9" t="str">
        <f t="shared" si="186"/>
        <v/>
      </c>
      <c r="BN1135" s="9" t="str">
        <f t="shared" si="187"/>
        <v/>
      </c>
      <c r="BO1135" s="9">
        <f t="shared" si="188"/>
        <v>0</v>
      </c>
      <c r="BR1135" s="12" t="str">
        <f t="shared" si="189"/>
        <v/>
      </c>
    </row>
    <row r="1136" spans="1:70" ht="14.25" customHeight="1">
      <c r="A1136" s="26"/>
      <c r="C1136" s="26"/>
      <c r="D1136" s="27"/>
      <c r="E1136" s="27"/>
      <c r="BE1136" s="10" t="str">
        <f t="shared" si="180"/>
        <v/>
      </c>
      <c r="BF1136" s="8" t="str">
        <f t="shared" si="181"/>
        <v/>
      </c>
      <c r="BG1136" s="11" t="str">
        <f t="shared" si="182"/>
        <v/>
      </c>
      <c r="BH1136" s="8" t="str">
        <f t="shared" si="183"/>
        <v/>
      </c>
      <c r="BI1136" s="8" t="str">
        <f t="shared" si="184"/>
        <v/>
      </c>
      <c r="BJ1136" s="9" t="str">
        <f t="shared" si="185"/>
        <v/>
      </c>
      <c r="BK1136" s="9" t="str">
        <f>IF($B1136="","",COUNTIFS($B$5:$B1136,$B1136,$BF$5:$BF1136,$BF1136))</f>
        <v/>
      </c>
      <c r="BL1136" s="9" t="str">
        <f>IF($B1136="","",COUNTIFS($B$5:$B1136,$B1136,$BH$5:$BH1136,$BH1136))</f>
        <v/>
      </c>
      <c r="BM1136" s="9" t="str">
        <f t="shared" si="186"/>
        <v/>
      </c>
      <c r="BN1136" s="9" t="str">
        <f t="shared" si="187"/>
        <v/>
      </c>
      <c r="BO1136" s="9">
        <f t="shared" si="188"/>
        <v>0</v>
      </c>
      <c r="BR1136" s="12" t="str">
        <f t="shared" si="189"/>
        <v/>
      </c>
    </row>
    <row r="1137" spans="1:70" ht="14.25" customHeight="1">
      <c r="A1137" s="26"/>
      <c r="C1137" s="26"/>
      <c r="D1137" s="27"/>
      <c r="E1137" s="27"/>
      <c r="BE1137" s="10" t="str">
        <f t="shared" si="180"/>
        <v/>
      </c>
      <c r="BF1137" s="8" t="str">
        <f t="shared" si="181"/>
        <v/>
      </c>
      <c r="BG1137" s="11" t="str">
        <f t="shared" si="182"/>
        <v/>
      </c>
      <c r="BH1137" s="8" t="str">
        <f t="shared" si="183"/>
        <v/>
      </c>
      <c r="BI1137" s="8" t="str">
        <f t="shared" si="184"/>
        <v/>
      </c>
      <c r="BJ1137" s="9" t="str">
        <f t="shared" si="185"/>
        <v/>
      </c>
      <c r="BK1137" s="9" t="str">
        <f>IF($B1137="","",COUNTIFS($B$5:$B1137,$B1137,$BF$5:$BF1137,$BF1137))</f>
        <v/>
      </c>
      <c r="BL1137" s="9" t="str">
        <f>IF($B1137="","",COUNTIFS($B$5:$B1137,$B1137,$BH$5:$BH1137,$BH1137))</f>
        <v/>
      </c>
      <c r="BM1137" s="9" t="str">
        <f t="shared" si="186"/>
        <v/>
      </c>
      <c r="BN1137" s="9" t="str">
        <f t="shared" si="187"/>
        <v/>
      </c>
      <c r="BO1137" s="9">
        <f t="shared" si="188"/>
        <v>0</v>
      </c>
      <c r="BR1137" s="12" t="str">
        <f t="shared" si="189"/>
        <v/>
      </c>
    </row>
    <row r="1138" spans="1:70" ht="14.25" customHeight="1">
      <c r="A1138" s="26"/>
      <c r="C1138" s="26"/>
      <c r="D1138" s="27"/>
      <c r="E1138" s="27"/>
      <c r="BE1138" s="10" t="str">
        <f t="shared" si="180"/>
        <v/>
      </c>
      <c r="BF1138" s="8" t="str">
        <f t="shared" si="181"/>
        <v/>
      </c>
      <c r="BG1138" s="11" t="str">
        <f t="shared" si="182"/>
        <v/>
      </c>
      <c r="BH1138" s="8" t="str">
        <f t="shared" si="183"/>
        <v/>
      </c>
      <c r="BI1138" s="8" t="str">
        <f t="shared" si="184"/>
        <v/>
      </c>
      <c r="BJ1138" s="9" t="str">
        <f t="shared" si="185"/>
        <v/>
      </c>
      <c r="BK1138" s="9" t="str">
        <f>IF($B1138="","",COUNTIFS($B$5:$B1138,$B1138,$BF$5:$BF1138,$BF1138))</f>
        <v/>
      </c>
      <c r="BL1138" s="9" t="str">
        <f>IF($B1138="","",COUNTIFS($B$5:$B1138,$B1138,$BH$5:$BH1138,$BH1138))</f>
        <v/>
      </c>
      <c r="BM1138" s="9" t="str">
        <f t="shared" si="186"/>
        <v/>
      </c>
      <c r="BN1138" s="9" t="str">
        <f t="shared" si="187"/>
        <v/>
      </c>
      <c r="BO1138" s="9">
        <f t="shared" si="188"/>
        <v>0</v>
      </c>
      <c r="BR1138" s="12" t="str">
        <f t="shared" si="189"/>
        <v/>
      </c>
    </row>
    <row r="1139" spans="1:70" ht="14.25" customHeight="1">
      <c r="A1139" s="26"/>
      <c r="C1139" s="26"/>
      <c r="D1139" s="27"/>
      <c r="E1139" s="27"/>
      <c r="BE1139" s="10" t="str">
        <f t="shared" si="180"/>
        <v/>
      </c>
      <c r="BF1139" s="8" t="str">
        <f t="shared" si="181"/>
        <v/>
      </c>
      <c r="BG1139" s="11" t="str">
        <f t="shared" si="182"/>
        <v/>
      </c>
      <c r="BH1139" s="8" t="str">
        <f t="shared" si="183"/>
        <v/>
      </c>
      <c r="BI1139" s="8" t="str">
        <f t="shared" si="184"/>
        <v/>
      </c>
      <c r="BJ1139" s="9" t="str">
        <f t="shared" si="185"/>
        <v/>
      </c>
      <c r="BK1139" s="9" t="str">
        <f>IF($B1139="","",COUNTIFS($B$5:$B1139,$B1139,$BF$5:$BF1139,$BF1139))</f>
        <v/>
      </c>
      <c r="BL1139" s="9" t="str">
        <f>IF($B1139="","",COUNTIFS($B$5:$B1139,$B1139,$BH$5:$BH1139,$BH1139))</f>
        <v/>
      </c>
      <c r="BM1139" s="9" t="str">
        <f t="shared" si="186"/>
        <v/>
      </c>
      <c r="BN1139" s="9" t="str">
        <f t="shared" si="187"/>
        <v/>
      </c>
      <c r="BO1139" s="9">
        <f t="shared" si="188"/>
        <v>0</v>
      </c>
      <c r="BR1139" s="12" t="str">
        <f t="shared" si="189"/>
        <v/>
      </c>
    </row>
    <row r="1140" spans="1:70" ht="14.25" customHeight="1">
      <c r="A1140" s="26"/>
      <c r="C1140" s="26"/>
      <c r="D1140" s="27"/>
      <c r="E1140" s="27"/>
      <c r="BE1140" s="10" t="str">
        <f t="shared" si="180"/>
        <v/>
      </c>
      <c r="BF1140" s="8" t="str">
        <f t="shared" si="181"/>
        <v/>
      </c>
      <c r="BG1140" s="11" t="str">
        <f t="shared" si="182"/>
        <v/>
      </c>
      <c r="BH1140" s="8" t="str">
        <f t="shared" si="183"/>
        <v/>
      </c>
      <c r="BI1140" s="8" t="str">
        <f t="shared" si="184"/>
        <v/>
      </c>
      <c r="BJ1140" s="9" t="str">
        <f t="shared" si="185"/>
        <v/>
      </c>
      <c r="BK1140" s="9" t="str">
        <f>IF($B1140="","",COUNTIFS($B$5:$B1140,$B1140,$BF$5:$BF1140,$BF1140))</f>
        <v/>
      </c>
      <c r="BL1140" s="9" t="str">
        <f>IF($B1140="","",COUNTIFS($B$5:$B1140,$B1140,$BH$5:$BH1140,$BH1140))</f>
        <v/>
      </c>
      <c r="BM1140" s="9" t="str">
        <f t="shared" si="186"/>
        <v/>
      </c>
      <c r="BN1140" s="9" t="str">
        <f t="shared" si="187"/>
        <v/>
      </c>
      <c r="BO1140" s="9">
        <f t="shared" si="188"/>
        <v>0</v>
      </c>
      <c r="BR1140" s="12" t="str">
        <f t="shared" si="189"/>
        <v/>
      </c>
    </row>
    <row r="1141" spans="1:70" ht="14.25" customHeight="1">
      <c r="A1141" s="26"/>
      <c r="C1141" s="26"/>
      <c r="D1141" s="27"/>
      <c r="E1141" s="27"/>
      <c r="BE1141" s="10" t="str">
        <f t="shared" si="180"/>
        <v/>
      </c>
      <c r="BF1141" s="8" t="str">
        <f t="shared" si="181"/>
        <v/>
      </c>
      <c r="BG1141" s="11" t="str">
        <f t="shared" si="182"/>
        <v/>
      </c>
      <c r="BH1141" s="8" t="str">
        <f t="shared" si="183"/>
        <v/>
      </c>
      <c r="BI1141" s="8" t="str">
        <f t="shared" si="184"/>
        <v/>
      </c>
      <c r="BJ1141" s="9" t="str">
        <f t="shared" si="185"/>
        <v/>
      </c>
      <c r="BK1141" s="9" t="str">
        <f>IF($B1141="","",COUNTIFS($B$5:$B1141,$B1141,$BF$5:$BF1141,$BF1141))</f>
        <v/>
      </c>
      <c r="BL1141" s="9" t="str">
        <f>IF($B1141="","",COUNTIFS($B$5:$B1141,$B1141,$BH$5:$BH1141,$BH1141))</f>
        <v/>
      </c>
      <c r="BM1141" s="9" t="str">
        <f t="shared" si="186"/>
        <v/>
      </c>
      <c r="BN1141" s="9" t="str">
        <f t="shared" si="187"/>
        <v/>
      </c>
      <c r="BO1141" s="9">
        <f t="shared" si="188"/>
        <v>0</v>
      </c>
      <c r="BR1141" s="12" t="str">
        <f t="shared" si="189"/>
        <v/>
      </c>
    </row>
    <row r="1142" spans="1:70" ht="14.25" customHeight="1">
      <c r="A1142" s="26"/>
      <c r="C1142" s="26"/>
      <c r="D1142" s="27"/>
      <c r="E1142" s="27"/>
      <c r="BE1142" s="10" t="str">
        <f t="shared" si="180"/>
        <v/>
      </c>
      <c r="BF1142" s="8" t="str">
        <f t="shared" si="181"/>
        <v/>
      </c>
      <c r="BG1142" s="11" t="str">
        <f t="shared" si="182"/>
        <v/>
      </c>
      <c r="BH1142" s="8" t="str">
        <f t="shared" si="183"/>
        <v/>
      </c>
      <c r="BI1142" s="8" t="str">
        <f t="shared" si="184"/>
        <v/>
      </c>
      <c r="BJ1142" s="9" t="str">
        <f t="shared" si="185"/>
        <v/>
      </c>
      <c r="BK1142" s="9" t="str">
        <f>IF($B1142="","",COUNTIFS($B$5:$B1142,$B1142,$BF$5:$BF1142,$BF1142))</f>
        <v/>
      </c>
      <c r="BL1142" s="9" t="str">
        <f>IF($B1142="","",COUNTIFS($B$5:$B1142,$B1142,$BH$5:$BH1142,$BH1142))</f>
        <v/>
      </c>
      <c r="BM1142" s="9" t="str">
        <f t="shared" si="186"/>
        <v/>
      </c>
      <c r="BN1142" s="9" t="str">
        <f t="shared" si="187"/>
        <v/>
      </c>
      <c r="BO1142" s="9">
        <f t="shared" si="188"/>
        <v>0</v>
      </c>
      <c r="BR1142" s="12" t="str">
        <f t="shared" si="189"/>
        <v/>
      </c>
    </row>
    <row r="1143" spans="1:70" ht="14.25" customHeight="1">
      <c r="A1143" s="26"/>
      <c r="C1143" s="26"/>
      <c r="D1143" s="27"/>
      <c r="E1143" s="27"/>
      <c r="BE1143" s="10" t="str">
        <f t="shared" si="180"/>
        <v/>
      </c>
      <c r="BF1143" s="8" t="str">
        <f t="shared" si="181"/>
        <v/>
      </c>
      <c r="BG1143" s="11" t="str">
        <f t="shared" si="182"/>
        <v/>
      </c>
      <c r="BH1143" s="8" t="str">
        <f t="shared" si="183"/>
        <v/>
      </c>
      <c r="BI1143" s="8" t="str">
        <f t="shared" si="184"/>
        <v/>
      </c>
      <c r="BJ1143" s="9" t="str">
        <f t="shared" si="185"/>
        <v/>
      </c>
      <c r="BK1143" s="9" t="str">
        <f>IF($B1143="","",COUNTIFS($B$5:$B1143,$B1143,$BF$5:$BF1143,$BF1143))</f>
        <v/>
      </c>
      <c r="BL1143" s="9" t="str">
        <f>IF($B1143="","",COUNTIFS($B$5:$B1143,$B1143,$BH$5:$BH1143,$BH1143))</f>
        <v/>
      </c>
      <c r="BM1143" s="9" t="str">
        <f t="shared" si="186"/>
        <v/>
      </c>
      <c r="BN1143" s="9" t="str">
        <f t="shared" si="187"/>
        <v/>
      </c>
      <c r="BO1143" s="9">
        <f t="shared" si="188"/>
        <v>0</v>
      </c>
      <c r="BR1143" s="12" t="str">
        <f t="shared" si="189"/>
        <v/>
      </c>
    </row>
    <row r="1144" spans="1:70" ht="14.25" customHeight="1">
      <c r="A1144" s="26"/>
      <c r="C1144" s="26"/>
      <c r="D1144" s="27"/>
      <c r="E1144" s="27"/>
      <c r="BE1144" s="10" t="str">
        <f t="shared" si="180"/>
        <v/>
      </c>
      <c r="BF1144" s="8" t="str">
        <f t="shared" si="181"/>
        <v/>
      </c>
      <c r="BG1144" s="11" t="str">
        <f t="shared" si="182"/>
        <v/>
      </c>
      <c r="BH1144" s="8" t="str">
        <f t="shared" si="183"/>
        <v/>
      </c>
      <c r="BI1144" s="8" t="str">
        <f t="shared" si="184"/>
        <v/>
      </c>
      <c r="BJ1144" s="9" t="str">
        <f t="shared" si="185"/>
        <v/>
      </c>
      <c r="BK1144" s="9" t="str">
        <f>IF($B1144="","",COUNTIFS($B$5:$B1144,$B1144,$BF$5:$BF1144,$BF1144))</f>
        <v/>
      </c>
      <c r="BL1144" s="9" t="str">
        <f>IF($B1144="","",COUNTIFS($B$5:$B1144,$B1144,$BH$5:$BH1144,$BH1144))</f>
        <v/>
      </c>
      <c r="BM1144" s="9" t="str">
        <f t="shared" si="186"/>
        <v/>
      </c>
      <c r="BN1144" s="9" t="str">
        <f t="shared" si="187"/>
        <v/>
      </c>
      <c r="BO1144" s="9">
        <f t="shared" si="188"/>
        <v>0</v>
      </c>
      <c r="BR1144" s="12" t="str">
        <f t="shared" si="189"/>
        <v/>
      </c>
    </row>
    <row r="1145" spans="1:70" ht="14.25" customHeight="1">
      <c r="A1145" s="26"/>
      <c r="C1145" s="26"/>
      <c r="D1145" s="27"/>
      <c r="E1145" s="27"/>
      <c r="BE1145" s="10" t="str">
        <f t="shared" si="180"/>
        <v/>
      </c>
      <c r="BF1145" s="8" t="str">
        <f t="shared" si="181"/>
        <v/>
      </c>
      <c r="BG1145" s="11" t="str">
        <f t="shared" si="182"/>
        <v/>
      </c>
      <c r="BH1145" s="8" t="str">
        <f t="shared" si="183"/>
        <v/>
      </c>
      <c r="BI1145" s="8" t="str">
        <f t="shared" si="184"/>
        <v/>
      </c>
      <c r="BJ1145" s="9" t="str">
        <f t="shared" si="185"/>
        <v/>
      </c>
      <c r="BK1145" s="9" t="str">
        <f>IF($B1145="","",COUNTIFS($B$5:$B1145,$B1145,$BF$5:$BF1145,$BF1145))</f>
        <v/>
      </c>
      <c r="BL1145" s="9" t="str">
        <f>IF($B1145="","",COUNTIFS($B$5:$B1145,$B1145,$BH$5:$BH1145,$BH1145))</f>
        <v/>
      </c>
      <c r="BM1145" s="9" t="str">
        <f t="shared" si="186"/>
        <v/>
      </c>
      <c r="BN1145" s="9" t="str">
        <f t="shared" si="187"/>
        <v/>
      </c>
      <c r="BO1145" s="9">
        <f t="shared" si="188"/>
        <v>0</v>
      </c>
      <c r="BR1145" s="12" t="str">
        <f t="shared" si="189"/>
        <v/>
      </c>
    </row>
    <row r="1146" spans="1:70" ht="14.25" customHeight="1">
      <c r="A1146" s="26"/>
      <c r="C1146" s="26"/>
      <c r="D1146" s="27"/>
      <c r="E1146" s="27"/>
      <c r="BE1146" s="10" t="str">
        <f t="shared" si="180"/>
        <v/>
      </c>
      <c r="BF1146" s="8" t="str">
        <f t="shared" si="181"/>
        <v/>
      </c>
      <c r="BG1146" s="11" t="str">
        <f t="shared" si="182"/>
        <v/>
      </c>
      <c r="BH1146" s="8" t="str">
        <f t="shared" si="183"/>
        <v/>
      </c>
      <c r="BI1146" s="8" t="str">
        <f t="shared" si="184"/>
        <v/>
      </c>
      <c r="BJ1146" s="9" t="str">
        <f t="shared" si="185"/>
        <v/>
      </c>
      <c r="BK1146" s="9" t="str">
        <f>IF($B1146="","",COUNTIFS($B$5:$B1146,$B1146,$BF$5:$BF1146,$BF1146))</f>
        <v/>
      </c>
      <c r="BL1146" s="9" t="str">
        <f>IF($B1146="","",COUNTIFS($B$5:$B1146,$B1146,$BH$5:$BH1146,$BH1146))</f>
        <v/>
      </c>
      <c r="BM1146" s="9" t="str">
        <f t="shared" si="186"/>
        <v/>
      </c>
      <c r="BN1146" s="9" t="str">
        <f t="shared" si="187"/>
        <v/>
      </c>
      <c r="BO1146" s="9">
        <f t="shared" si="188"/>
        <v>0</v>
      </c>
      <c r="BR1146" s="12" t="str">
        <f t="shared" si="189"/>
        <v/>
      </c>
    </row>
    <row r="1147" spans="1:70" ht="14.25" customHeight="1">
      <c r="A1147" s="26"/>
      <c r="C1147" s="26"/>
      <c r="D1147" s="27"/>
      <c r="E1147" s="27"/>
      <c r="BE1147" s="10" t="str">
        <f t="shared" si="180"/>
        <v/>
      </c>
      <c r="BF1147" s="8" t="str">
        <f t="shared" si="181"/>
        <v/>
      </c>
      <c r="BG1147" s="11" t="str">
        <f t="shared" si="182"/>
        <v/>
      </c>
      <c r="BH1147" s="8" t="str">
        <f t="shared" si="183"/>
        <v/>
      </c>
      <c r="BI1147" s="8" t="str">
        <f t="shared" si="184"/>
        <v/>
      </c>
      <c r="BJ1147" s="9" t="str">
        <f t="shared" si="185"/>
        <v/>
      </c>
      <c r="BK1147" s="9" t="str">
        <f>IF($B1147="","",COUNTIFS($B$5:$B1147,$B1147,$BF$5:$BF1147,$BF1147))</f>
        <v/>
      </c>
      <c r="BL1147" s="9" t="str">
        <f>IF($B1147="","",COUNTIFS($B$5:$B1147,$B1147,$BH$5:$BH1147,$BH1147))</f>
        <v/>
      </c>
      <c r="BM1147" s="9" t="str">
        <f t="shared" si="186"/>
        <v/>
      </c>
      <c r="BN1147" s="9" t="str">
        <f t="shared" si="187"/>
        <v/>
      </c>
      <c r="BO1147" s="9">
        <f t="shared" si="188"/>
        <v>0</v>
      </c>
      <c r="BR1147" s="12" t="str">
        <f t="shared" si="189"/>
        <v/>
      </c>
    </row>
    <row r="1148" spans="1:70" ht="14.25" customHeight="1">
      <c r="A1148" s="26"/>
      <c r="C1148" s="26"/>
      <c r="D1148" s="27"/>
      <c r="E1148" s="27"/>
      <c r="BE1148" s="10" t="str">
        <f t="shared" si="180"/>
        <v/>
      </c>
      <c r="BF1148" s="8" t="str">
        <f t="shared" si="181"/>
        <v/>
      </c>
      <c r="BG1148" s="11" t="str">
        <f t="shared" si="182"/>
        <v/>
      </c>
      <c r="BH1148" s="8" t="str">
        <f t="shared" si="183"/>
        <v/>
      </c>
      <c r="BI1148" s="8" t="str">
        <f t="shared" si="184"/>
        <v/>
      </c>
      <c r="BJ1148" s="9" t="str">
        <f t="shared" si="185"/>
        <v/>
      </c>
      <c r="BK1148" s="9" t="str">
        <f>IF($B1148="","",COUNTIFS($B$5:$B1148,$B1148,$BF$5:$BF1148,$BF1148))</f>
        <v/>
      </c>
      <c r="BL1148" s="9" t="str">
        <f>IF($B1148="","",COUNTIFS($B$5:$B1148,$B1148,$BH$5:$BH1148,$BH1148))</f>
        <v/>
      </c>
      <c r="BM1148" s="9" t="str">
        <f t="shared" si="186"/>
        <v/>
      </c>
      <c r="BN1148" s="9" t="str">
        <f t="shared" si="187"/>
        <v/>
      </c>
      <c r="BO1148" s="9">
        <f t="shared" si="188"/>
        <v>0</v>
      </c>
      <c r="BR1148" s="12" t="str">
        <f t="shared" si="189"/>
        <v/>
      </c>
    </row>
    <row r="1149" spans="1:70" ht="14.25" customHeight="1">
      <c r="A1149" s="26"/>
      <c r="C1149" s="26"/>
      <c r="D1149" s="27"/>
      <c r="E1149" s="27"/>
      <c r="BE1149" s="10" t="str">
        <f t="shared" si="180"/>
        <v/>
      </c>
      <c r="BF1149" s="8" t="str">
        <f t="shared" si="181"/>
        <v/>
      </c>
      <c r="BG1149" s="11" t="str">
        <f t="shared" si="182"/>
        <v/>
      </c>
      <c r="BH1149" s="8" t="str">
        <f t="shared" si="183"/>
        <v/>
      </c>
      <c r="BI1149" s="8" t="str">
        <f t="shared" si="184"/>
        <v/>
      </c>
      <c r="BJ1149" s="9" t="str">
        <f t="shared" si="185"/>
        <v/>
      </c>
      <c r="BK1149" s="9" t="str">
        <f>IF($B1149="","",COUNTIFS($B$5:$B1149,$B1149,$BF$5:$BF1149,$BF1149))</f>
        <v/>
      </c>
      <c r="BL1149" s="9" t="str">
        <f>IF($B1149="","",COUNTIFS($B$5:$B1149,$B1149,$BH$5:$BH1149,$BH1149))</f>
        <v/>
      </c>
      <c r="BM1149" s="9" t="str">
        <f t="shared" si="186"/>
        <v/>
      </c>
      <c r="BN1149" s="9" t="str">
        <f t="shared" si="187"/>
        <v/>
      </c>
      <c r="BO1149" s="9">
        <f t="shared" si="188"/>
        <v>0</v>
      </c>
      <c r="BR1149" s="12" t="str">
        <f t="shared" si="189"/>
        <v/>
      </c>
    </row>
    <row r="1150" spans="1:70" ht="14.25" customHeight="1">
      <c r="A1150" s="26"/>
      <c r="C1150" s="26"/>
      <c r="D1150" s="27"/>
      <c r="E1150" s="27"/>
      <c r="BE1150" s="10" t="str">
        <f t="shared" si="180"/>
        <v/>
      </c>
      <c r="BF1150" s="8" t="str">
        <f t="shared" si="181"/>
        <v/>
      </c>
      <c r="BG1150" s="11" t="str">
        <f t="shared" si="182"/>
        <v/>
      </c>
      <c r="BH1150" s="8" t="str">
        <f t="shared" si="183"/>
        <v/>
      </c>
      <c r="BI1150" s="8" t="str">
        <f t="shared" si="184"/>
        <v/>
      </c>
      <c r="BJ1150" s="9" t="str">
        <f t="shared" si="185"/>
        <v/>
      </c>
      <c r="BK1150" s="9" t="str">
        <f>IF($B1150="","",COUNTIFS($B$5:$B1150,$B1150,$BF$5:$BF1150,$BF1150))</f>
        <v/>
      </c>
      <c r="BL1150" s="9" t="str">
        <f>IF($B1150="","",COUNTIFS($B$5:$B1150,$B1150,$BH$5:$BH1150,$BH1150))</f>
        <v/>
      </c>
      <c r="BM1150" s="9" t="str">
        <f t="shared" si="186"/>
        <v/>
      </c>
      <c r="BN1150" s="9" t="str">
        <f t="shared" si="187"/>
        <v/>
      </c>
      <c r="BO1150" s="9">
        <f t="shared" si="188"/>
        <v>0</v>
      </c>
      <c r="BR1150" s="12" t="str">
        <f t="shared" si="189"/>
        <v/>
      </c>
    </row>
    <row r="1151" spans="1:70" ht="14.25" customHeight="1">
      <c r="A1151" s="26"/>
      <c r="C1151" s="26"/>
      <c r="D1151" s="27"/>
      <c r="E1151" s="27"/>
      <c r="BE1151" s="10" t="str">
        <f t="shared" si="180"/>
        <v/>
      </c>
      <c r="BF1151" s="8" t="str">
        <f t="shared" si="181"/>
        <v/>
      </c>
      <c r="BG1151" s="11" t="str">
        <f t="shared" si="182"/>
        <v/>
      </c>
      <c r="BH1151" s="8" t="str">
        <f t="shared" si="183"/>
        <v/>
      </c>
      <c r="BI1151" s="8" t="str">
        <f t="shared" si="184"/>
        <v/>
      </c>
      <c r="BJ1151" s="9" t="str">
        <f t="shared" si="185"/>
        <v/>
      </c>
      <c r="BK1151" s="9" t="str">
        <f>IF($B1151="","",COUNTIFS($B$5:$B1151,$B1151,$BF$5:$BF1151,$BF1151))</f>
        <v/>
      </c>
      <c r="BL1151" s="9" t="str">
        <f>IF($B1151="","",COUNTIFS($B$5:$B1151,$B1151,$BH$5:$BH1151,$BH1151))</f>
        <v/>
      </c>
      <c r="BM1151" s="9" t="str">
        <f t="shared" si="186"/>
        <v/>
      </c>
      <c r="BN1151" s="9" t="str">
        <f t="shared" si="187"/>
        <v/>
      </c>
      <c r="BO1151" s="9">
        <f t="shared" si="188"/>
        <v>0</v>
      </c>
      <c r="BR1151" s="12" t="str">
        <f t="shared" si="189"/>
        <v/>
      </c>
    </row>
    <row r="1152" spans="1:70" ht="14.25" customHeight="1">
      <c r="A1152" s="26"/>
      <c r="C1152" s="26"/>
      <c r="D1152" s="27"/>
      <c r="E1152" s="27"/>
      <c r="BE1152" s="10" t="str">
        <f t="shared" si="180"/>
        <v/>
      </c>
      <c r="BF1152" s="8" t="str">
        <f t="shared" si="181"/>
        <v/>
      </c>
      <c r="BG1152" s="11" t="str">
        <f t="shared" si="182"/>
        <v/>
      </c>
      <c r="BH1152" s="8" t="str">
        <f t="shared" si="183"/>
        <v/>
      </c>
      <c r="BI1152" s="8" t="str">
        <f t="shared" si="184"/>
        <v/>
      </c>
      <c r="BJ1152" s="9" t="str">
        <f t="shared" si="185"/>
        <v/>
      </c>
      <c r="BK1152" s="9" t="str">
        <f>IF($B1152="","",COUNTIFS($B$5:$B1152,$B1152,$BF$5:$BF1152,$BF1152))</f>
        <v/>
      </c>
      <c r="BL1152" s="9" t="str">
        <f>IF($B1152="","",COUNTIFS($B$5:$B1152,$B1152,$BH$5:$BH1152,$BH1152))</f>
        <v/>
      </c>
      <c r="BM1152" s="9" t="str">
        <f t="shared" si="186"/>
        <v/>
      </c>
      <c r="BN1152" s="9" t="str">
        <f t="shared" si="187"/>
        <v/>
      </c>
      <c r="BO1152" s="9">
        <f t="shared" si="188"/>
        <v>0</v>
      </c>
      <c r="BR1152" s="12" t="str">
        <f t="shared" si="189"/>
        <v/>
      </c>
    </row>
    <row r="1153" spans="1:70" ht="14.25" customHeight="1">
      <c r="A1153" s="26"/>
      <c r="C1153" s="26"/>
      <c r="D1153" s="27"/>
      <c r="E1153" s="27"/>
      <c r="BE1153" s="10" t="str">
        <f t="shared" si="180"/>
        <v/>
      </c>
      <c r="BF1153" s="8" t="str">
        <f t="shared" si="181"/>
        <v/>
      </c>
      <c r="BG1153" s="11" t="str">
        <f t="shared" si="182"/>
        <v/>
      </c>
      <c r="BH1153" s="8" t="str">
        <f t="shared" si="183"/>
        <v/>
      </c>
      <c r="BI1153" s="8" t="str">
        <f t="shared" si="184"/>
        <v/>
      </c>
      <c r="BJ1153" s="9" t="str">
        <f t="shared" si="185"/>
        <v/>
      </c>
      <c r="BK1153" s="9" t="str">
        <f>IF($B1153="","",COUNTIFS($B$5:$B1153,$B1153,$BF$5:$BF1153,$BF1153))</f>
        <v/>
      </c>
      <c r="BL1153" s="9" t="str">
        <f>IF($B1153="","",COUNTIFS($B$5:$B1153,$B1153,$BH$5:$BH1153,$BH1153))</f>
        <v/>
      </c>
      <c r="BM1153" s="9" t="str">
        <f t="shared" si="186"/>
        <v/>
      </c>
      <c r="BN1153" s="9" t="str">
        <f t="shared" si="187"/>
        <v/>
      </c>
      <c r="BO1153" s="9">
        <f t="shared" si="188"/>
        <v>0</v>
      </c>
      <c r="BR1153" s="12" t="str">
        <f t="shared" si="189"/>
        <v/>
      </c>
    </row>
    <row r="1154" spans="1:70" ht="14.25" customHeight="1">
      <c r="A1154" s="26"/>
      <c r="C1154" s="26"/>
      <c r="D1154" s="27"/>
      <c r="E1154" s="27"/>
      <c r="BE1154" s="10" t="str">
        <f t="shared" si="180"/>
        <v/>
      </c>
      <c r="BF1154" s="8" t="str">
        <f t="shared" si="181"/>
        <v/>
      </c>
      <c r="BG1154" s="11" t="str">
        <f t="shared" si="182"/>
        <v/>
      </c>
      <c r="BH1154" s="8" t="str">
        <f t="shared" si="183"/>
        <v/>
      </c>
      <c r="BI1154" s="8" t="str">
        <f t="shared" si="184"/>
        <v/>
      </c>
      <c r="BJ1154" s="9" t="str">
        <f t="shared" si="185"/>
        <v/>
      </c>
      <c r="BK1154" s="9" t="str">
        <f>IF($B1154="","",COUNTIFS($B$5:$B1154,$B1154,$BF$5:$BF1154,$BF1154))</f>
        <v/>
      </c>
      <c r="BL1154" s="9" t="str">
        <f>IF($B1154="","",COUNTIFS($B$5:$B1154,$B1154,$BH$5:$BH1154,$BH1154))</f>
        <v/>
      </c>
      <c r="BM1154" s="9" t="str">
        <f t="shared" si="186"/>
        <v/>
      </c>
      <c r="BN1154" s="9" t="str">
        <f t="shared" si="187"/>
        <v/>
      </c>
      <c r="BO1154" s="9">
        <f t="shared" si="188"/>
        <v>0</v>
      </c>
      <c r="BR1154" s="12" t="str">
        <f t="shared" si="189"/>
        <v/>
      </c>
    </row>
    <row r="1155" spans="1:70" ht="14.25" customHeight="1">
      <c r="A1155" s="26"/>
      <c r="C1155" s="26"/>
      <c r="D1155" s="27"/>
      <c r="E1155" s="27"/>
      <c r="BE1155" s="10" t="str">
        <f t="shared" si="180"/>
        <v/>
      </c>
      <c r="BF1155" s="8" t="str">
        <f t="shared" si="181"/>
        <v/>
      </c>
      <c r="BG1155" s="11" t="str">
        <f t="shared" si="182"/>
        <v/>
      </c>
      <c r="BH1155" s="8" t="str">
        <f t="shared" si="183"/>
        <v/>
      </c>
      <c r="BI1155" s="8" t="str">
        <f t="shared" si="184"/>
        <v/>
      </c>
      <c r="BJ1155" s="9" t="str">
        <f t="shared" si="185"/>
        <v/>
      </c>
      <c r="BK1155" s="9" t="str">
        <f>IF($B1155="","",COUNTIFS($B$5:$B1155,$B1155,$BF$5:$BF1155,$BF1155))</f>
        <v/>
      </c>
      <c r="BL1155" s="9" t="str">
        <f>IF($B1155="","",COUNTIFS($B$5:$B1155,$B1155,$BH$5:$BH1155,$BH1155))</f>
        <v/>
      </c>
      <c r="BM1155" s="9" t="str">
        <f t="shared" si="186"/>
        <v/>
      </c>
      <c r="BN1155" s="9" t="str">
        <f t="shared" si="187"/>
        <v/>
      </c>
      <c r="BO1155" s="9">
        <f t="shared" si="188"/>
        <v>0</v>
      </c>
      <c r="BR1155" s="12" t="str">
        <f t="shared" si="189"/>
        <v/>
      </c>
    </row>
    <row r="1156" spans="1:70" ht="14.25" customHeight="1">
      <c r="A1156" s="26"/>
      <c r="C1156" s="26"/>
      <c r="D1156" s="27"/>
      <c r="E1156" s="27"/>
      <c r="BE1156" s="10" t="str">
        <f t="shared" si="180"/>
        <v/>
      </c>
      <c r="BF1156" s="8" t="str">
        <f t="shared" si="181"/>
        <v/>
      </c>
      <c r="BG1156" s="11" t="str">
        <f t="shared" si="182"/>
        <v/>
      </c>
      <c r="BH1156" s="8" t="str">
        <f t="shared" si="183"/>
        <v/>
      </c>
      <c r="BI1156" s="8" t="str">
        <f t="shared" si="184"/>
        <v/>
      </c>
      <c r="BJ1156" s="9" t="str">
        <f t="shared" si="185"/>
        <v/>
      </c>
      <c r="BK1156" s="9" t="str">
        <f>IF($B1156="","",COUNTIFS($B$5:$B1156,$B1156,$BF$5:$BF1156,$BF1156))</f>
        <v/>
      </c>
      <c r="BL1156" s="9" t="str">
        <f>IF($B1156="","",COUNTIFS($B$5:$B1156,$B1156,$BH$5:$BH1156,$BH1156))</f>
        <v/>
      </c>
      <c r="BM1156" s="9" t="str">
        <f t="shared" si="186"/>
        <v/>
      </c>
      <c r="BN1156" s="9" t="str">
        <f t="shared" si="187"/>
        <v/>
      </c>
      <c r="BO1156" s="9">
        <f t="shared" si="188"/>
        <v>0</v>
      </c>
      <c r="BR1156" s="12" t="str">
        <f t="shared" si="189"/>
        <v/>
      </c>
    </row>
    <row r="1157" spans="1:70" ht="14.25" customHeight="1">
      <c r="A1157" s="26"/>
      <c r="C1157" s="26"/>
      <c r="D1157" s="27"/>
      <c r="E1157" s="27"/>
      <c r="BE1157" s="10" t="str">
        <f t="shared" si="180"/>
        <v/>
      </c>
      <c r="BF1157" s="8" t="str">
        <f t="shared" si="181"/>
        <v/>
      </c>
      <c r="BG1157" s="11" t="str">
        <f t="shared" si="182"/>
        <v/>
      </c>
      <c r="BH1157" s="8" t="str">
        <f t="shared" si="183"/>
        <v/>
      </c>
      <c r="BI1157" s="8" t="str">
        <f t="shared" si="184"/>
        <v/>
      </c>
      <c r="BJ1157" s="9" t="str">
        <f t="shared" si="185"/>
        <v/>
      </c>
      <c r="BK1157" s="9" t="str">
        <f>IF($B1157="","",COUNTIFS($B$5:$B1157,$B1157,$BF$5:$BF1157,$BF1157))</f>
        <v/>
      </c>
      <c r="BL1157" s="9" t="str">
        <f>IF($B1157="","",COUNTIFS($B$5:$B1157,$B1157,$BH$5:$BH1157,$BH1157))</f>
        <v/>
      </c>
      <c r="BM1157" s="9" t="str">
        <f t="shared" si="186"/>
        <v/>
      </c>
      <c r="BN1157" s="9" t="str">
        <f t="shared" si="187"/>
        <v/>
      </c>
      <c r="BO1157" s="9">
        <f t="shared" si="188"/>
        <v>0</v>
      </c>
      <c r="BR1157" s="12" t="str">
        <f t="shared" si="189"/>
        <v/>
      </c>
    </row>
    <row r="1158" spans="1:70" ht="14.25" customHeight="1">
      <c r="A1158" s="26"/>
      <c r="C1158" s="26"/>
      <c r="D1158" s="27"/>
      <c r="E1158" s="27"/>
      <c r="BE1158" s="10" t="str">
        <f t="shared" si="180"/>
        <v/>
      </c>
      <c r="BF1158" s="8" t="str">
        <f t="shared" si="181"/>
        <v/>
      </c>
      <c r="BG1158" s="11" t="str">
        <f t="shared" si="182"/>
        <v/>
      </c>
      <c r="BH1158" s="8" t="str">
        <f t="shared" si="183"/>
        <v/>
      </c>
      <c r="BI1158" s="8" t="str">
        <f t="shared" si="184"/>
        <v/>
      </c>
      <c r="BJ1158" s="9" t="str">
        <f t="shared" si="185"/>
        <v/>
      </c>
      <c r="BK1158" s="9" t="str">
        <f>IF($B1158="","",COUNTIFS($B$5:$B1158,$B1158,$BF$5:$BF1158,$BF1158))</f>
        <v/>
      </c>
      <c r="BL1158" s="9" t="str">
        <f>IF($B1158="","",COUNTIFS($B$5:$B1158,$B1158,$BH$5:$BH1158,$BH1158))</f>
        <v/>
      </c>
      <c r="BM1158" s="9" t="str">
        <f t="shared" si="186"/>
        <v/>
      </c>
      <c r="BN1158" s="9" t="str">
        <f t="shared" si="187"/>
        <v/>
      </c>
      <c r="BO1158" s="9">
        <f t="shared" si="188"/>
        <v>0</v>
      </c>
      <c r="BR1158" s="12" t="str">
        <f t="shared" si="189"/>
        <v/>
      </c>
    </row>
    <row r="1159" spans="1:70" ht="14.25" customHeight="1">
      <c r="A1159" s="26"/>
      <c r="C1159" s="26"/>
      <c r="D1159" s="27"/>
      <c r="E1159" s="27"/>
      <c r="BE1159" s="10" t="str">
        <f t="shared" si="180"/>
        <v/>
      </c>
      <c r="BF1159" s="8" t="str">
        <f t="shared" si="181"/>
        <v/>
      </c>
      <c r="BG1159" s="11" t="str">
        <f t="shared" si="182"/>
        <v/>
      </c>
      <c r="BH1159" s="8" t="str">
        <f t="shared" si="183"/>
        <v/>
      </c>
      <c r="BI1159" s="8" t="str">
        <f t="shared" si="184"/>
        <v/>
      </c>
      <c r="BJ1159" s="9" t="str">
        <f t="shared" si="185"/>
        <v/>
      </c>
      <c r="BK1159" s="9" t="str">
        <f>IF($B1159="","",COUNTIFS($B$5:$B1159,$B1159,$BF$5:$BF1159,$BF1159))</f>
        <v/>
      </c>
      <c r="BL1159" s="9" t="str">
        <f>IF($B1159="","",COUNTIFS($B$5:$B1159,$B1159,$BH$5:$BH1159,$BH1159))</f>
        <v/>
      </c>
      <c r="BM1159" s="9" t="str">
        <f t="shared" si="186"/>
        <v/>
      </c>
      <c r="BN1159" s="9" t="str">
        <f t="shared" si="187"/>
        <v/>
      </c>
      <c r="BO1159" s="9">
        <f t="shared" si="188"/>
        <v>0</v>
      </c>
      <c r="BR1159" s="12" t="str">
        <f t="shared" si="189"/>
        <v/>
      </c>
    </row>
    <row r="1160" spans="1:70" ht="14.25" customHeight="1">
      <c r="A1160" s="26"/>
      <c r="C1160" s="26"/>
      <c r="D1160" s="27"/>
      <c r="E1160" s="27"/>
      <c r="BE1160" s="10" t="str">
        <f t="shared" si="180"/>
        <v/>
      </c>
      <c r="BF1160" s="8" t="str">
        <f t="shared" si="181"/>
        <v/>
      </c>
      <c r="BG1160" s="11" t="str">
        <f t="shared" si="182"/>
        <v/>
      </c>
      <c r="BH1160" s="8" t="str">
        <f t="shared" si="183"/>
        <v/>
      </c>
      <c r="BI1160" s="8" t="str">
        <f t="shared" si="184"/>
        <v/>
      </c>
      <c r="BJ1160" s="9" t="str">
        <f t="shared" si="185"/>
        <v/>
      </c>
      <c r="BK1160" s="9" t="str">
        <f>IF($B1160="","",COUNTIFS($B$5:$B1160,$B1160,$BF$5:$BF1160,$BF1160))</f>
        <v/>
      </c>
      <c r="BL1160" s="9" t="str">
        <f>IF($B1160="","",COUNTIFS($B$5:$B1160,$B1160,$BH$5:$BH1160,$BH1160))</f>
        <v/>
      </c>
      <c r="BM1160" s="9" t="str">
        <f t="shared" si="186"/>
        <v/>
      </c>
      <c r="BN1160" s="9" t="str">
        <f t="shared" si="187"/>
        <v/>
      </c>
      <c r="BO1160" s="9">
        <f t="shared" si="188"/>
        <v>0</v>
      </c>
      <c r="BR1160" s="12" t="str">
        <f t="shared" si="189"/>
        <v/>
      </c>
    </row>
    <row r="1161" spans="1:70" ht="14.25" customHeight="1">
      <c r="A1161" s="26"/>
      <c r="C1161" s="26"/>
      <c r="D1161" s="27"/>
      <c r="E1161" s="27"/>
      <c r="BE1161" s="10" t="str">
        <f t="shared" si="180"/>
        <v/>
      </c>
      <c r="BF1161" s="8" t="str">
        <f t="shared" si="181"/>
        <v/>
      </c>
      <c r="BG1161" s="11" t="str">
        <f t="shared" si="182"/>
        <v/>
      </c>
      <c r="BH1161" s="8" t="str">
        <f t="shared" si="183"/>
        <v/>
      </c>
      <c r="BI1161" s="8" t="str">
        <f t="shared" si="184"/>
        <v/>
      </c>
      <c r="BJ1161" s="9" t="str">
        <f t="shared" si="185"/>
        <v/>
      </c>
      <c r="BK1161" s="9" t="str">
        <f>IF($B1161="","",COUNTIFS($B$5:$B1161,$B1161,$BF$5:$BF1161,$BF1161))</f>
        <v/>
      </c>
      <c r="BL1161" s="9" t="str">
        <f>IF($B1161="","",COUNTIFS($B$5:$B1161,$B1161,$BH$5:$BH1161,$BH1161))</f>
        <v/>
      </c>
      <c r="BM1161" s="9" t="str">
        <f t="shared" si="186"/>
        <v/>
      </c>
      <c r="BN1161" s="9" t="str">
        <f t="shared" si="187"/>
        <v/>
      </c>
      <c r="BO1161" s="9">
        <f t="shared" si="188"/>
        <v>0</v>
      </c>
      <c r="BR1161" s="12" t="str">
        <f t="shared" si="189"/>
        <v/>
      </c>
    </row>
    <row r="1162" spans="1:70" ht="14.25" customHeight="1">
      <c r="A1162" s="26"/>
      <c r="C1162" s="26"/>
      <c r="D1162" s="27"/>
      <c r="E1162" s="27"/>
      <c r="BE1162" s="10" t="str">
        <f t="shared" si="180"/>
        <v/>
      </c>
      <c r="BF1162" s="8" t="str">
        <f t="shared" si="181"/>
        <v/>
      </c>
      <c r="BG1162" s="11" t="str">
        <f t="shared" si="182"/>
        <v/>
      </c>
      <c r="BH1162" s="8" t="str">
        <f t="shared" si="183"/>
        <v/>
      </c>
      <c r="BI1162" s="8" t="str">
        <f t="shared" si="184"/>
        <v/>
      </c>
      <c r="BJ1162" s="9" t="str">
        <f t="shared" si="185"/>
        <v/>
      </c>
      <c r="BK1162" s="9" t="str">
        <f>IF($B1162="","",COUNTIFS($B$5:$B1162,$B1162,$BF$5:$BF1162,$BF1162))</f>
        <v/>
      </c>
      <c r="BL1162" s="9" t="str">
        <f>IF($B1162="","",COUNTIFS($B$5:$B1162,$B1162,$BH$5:$BH1162,$BH1162))</f>
        <v/>
      </c>
      <c r="BM1162" s="9" t="str">
        <f t="shared" si="186"/>
        <v/>
      </c>
      <c r="BN1162" s="9" t="str">
        <f t="shared" si="187"/>
        <v/>
      </c>
      <c r="BO1162" s="9">
        <f t="shared" si="188"/>
        <v>0</v>
      </c>
      <c r="BR1162" s="12" t="str">
        <f t="shared" si="189"/>
        <v/>
      </c>
    </row>
    <row r="1163" spans="1:70" ht="14.25" customHeight="1">
      <c r="A1163" s="26"/>
      <c r="C1163" s="26"/>
      <c r="D1163" s="27"/>
      <c r="E1163" s="27"/>
      <c r="BE1163" s="10" t="str">
        <f t="shared" si="180"/>
        <v/>
      </c>
      <c r="BF1163" s="8" t="str">
        <f t="shared" si="181"/>
        <v/>
      </c>
      <c r="BG1163" s="11" t="str">
        <f t="shared" si="182"/>
        <v/>
      </c>
      <c r="BH1163" s="8" t="str">
        <f t="shared" si="183"/>
        <v/>
      </c>
      <c r="BI1163" s="8" t="str">
        <f t="shared" si="184"/>
        <v/>
      </c>
      <c r="BJ1163" s="9" t="str">
        <f t="shared" si="185"/>
        <v/>
      </c>
      <c r="BK1163" s="9" t="str">
        <f>IF($B1163="","",COUNTIFS($B$5:$B1163,$B1163,$BF$5:$BF1163,$BF1163))</f>
        <v/>
      </c>
      <c r="BL1163" s="9" t="str">
        <f>IF($B1163="","",COUNTIFS($B$5:$B1163,$B1163,$BH$5:$BH1163,$BH1163))</f>
        <v/>
      </c>
      <c r="BM1163" s="9" t="str">
        <f t="shared" si="186"/>
        <v/>
      </c>
      <c r="BN1163" s="9" t="str">
        <f t="shared" si="187"/>
        <v/>
      </c>
      <c r="BO1163" s="9">
        <f t="shared" si="188"/>
        <v>0</v>
      </c>
      <c r="BR1163" s="12" t="str">
        <f t="shared" si="189"/>
        <v/>
      </c>
    </row>
    <row r="1164" spans="1:70" ht="14.25" customHeight="1">
      <c r="A1164" s="26"/>
      <c r="C1164" s="26"/>
      <c r="D1164" s="27"/>
      <c r="E1164" s="27"/>
      <c r="BE1164" s="10" t="str">
        <f t="shared" si="180"/>
        <v/>
      </c>
      <c r="BF1164" s="8" t="str">
        <f t="shared" si="181"/>
        <v/>
      </c>
      <c r="BG1164" s="11" t="str">
        <f t="shared" si="182"/>
        <v/>
      </c>
      <c r="BH1164" s="8" t="str">
        <f t="shared" si="183"/>
        <v/>
      </c>
      <c r="BI1164" s="8" t="str">
        <f t="shared" si="184"/>
        <v/>
      </c>
      <c r="BJ1164" s="9" t="str">
        <f t="shared" si="185"/>
        <v/>
      </c>
      <c r="BK1164" s="9" t="str">
        <f>IF($B1164="","",COUNTIFS($B$5:$B1164,$B1164,$BF$5:$BF1164,$BF1164))</f>
        <v/>
      </c>
      <c r="BL1164" s="9" t="str">
        <f>IF($B1164="","",COUNTIFS($B$5:$B1164,$B1164,$BH$5:$BH1164,$BH1164))</f>
        <v/>
      </c>
      <c r="BM1164" s="9" t="str">
        <f t="shared" si="186"/>
        <v/>
      </c>
      <c r="BN1164" s="9" t="str">
        <f t="shared" si="187"/>
        <v/>
      </c>
      <c r="BO1164" s="9">
        <f t="shared" si="188"/>
        <v>0</v>
      </c>
      <c r="BR1164" s="12" t="str">
        <f t="shared" si="189"/>
        <v/>
      </c>
    </row>
    <row r="1165" spans="1:70" ht="14.25" customHeight="1">
      <c r="A1165" s="26"/>
      <c r="C1165" s="26"/>
      <c r="D1165" s="27"/>
      <c r="E1165" s="27"/>
      <c r="BE1165" s="10" t="str">
        <f t="shared" si="180"/>
        <v/>
      </c>
      <c r="BF1165" s="8" t="str">
        <f t="shared" si="181"/>
        <v/>
      </c>
      <c r="BG1165" s="11" t="str">
        <f t="shared" si="182"/>
        <v/>
      </c>
      <c r="BH1165" s="8" t="str">
        <f t="shared" si="183"/>
        <v/>
      </c>
      <c r="BI1165" s="8" t="str">
        <f t="shared" si="184"/>
        <v/>
      </c>
      <c r="BJ1165" s="9" t="str">
        <f t="shared" si="185"/>
        <v/>
      </c>
      <c r="BK1165" s="9" t="str">
        <f>IF($B1165="","",COUNTIFS($B$5:$B1165,$B1165,$BF$5:$BF1165,$BF1165))</f>
        <v/>
      </c>
      <c r="BL1165" s="9" t="str">
        <f>IF($B1165="","",COUNTIFS($B$5:$B1165,$B1165,$BH$5:$BH1165,$BH1165))</f>
        <v/>
      </c>
      <c r="BM1165" s="9" t="str">
        <f t="shared" si="186"/>
        <v/>
      </c>
      <c r="BN1165" s="9" t="str">
        <f t="shared" si="187"/>
        <v/>
      </c>
      <c r="BO1165" s="9">
        <f t="shared" si="188"/>
        <v>0</v>
      </c>
      <c r="BR1165" s="12" t="str">
        <f t="shared" si="189"/>
        <v/>
      </c>
    </row>
    <row r="1166" spans="1:70" ht="14.25" customHeight="1">
      <c r="A1166" s="26"/>
      <c r="C1166" s="26"/>
      <c r="D1166" s="27"/>
      <c r="E1166" s="27"/>
      <c r="BE1166" s="10" t="str">
        <f t="shared" si="180"/>
        <v/>
      </c>
      <c r="BF1166" s="8" t="str">
        <f t="shared" si="181"/>
        <v/>
      </c>
      <c r="BG1166" s="11" t="str">
        <f t="shared" si="182"/>
        <v/>
      </c>
      <c r="BH1166" s="8" t="str">
        <f t="shared" si="183"/>
        <v/>
      </c>
      <c r="BI1166" s="8" t="str">
        <f t="shared" si="184"/>
        <v/>
      </c>
      <c r="BJ1166" s="9" t="str">
        <f t="shared" si="185"/>
        <v/>
      </c>
      <c r="BK1166" s="9" t="str">
        <f>IF($B1166="","",COUNTIFS($B$5:$B1166,$B1166,$BF$5:$BF1166,$BF1166))</f>
        <v/>
      </c>
      <c r="BL1166" s="9" t="str">
        <f>IF($B1166="","",COUNTIFS($B$5:$B1166,$B1166,$BH$5:$BH1166,$BH1166))</f>
        <v/>
      </c>
      <c r="BM1166" s="9" t="str">
        <f t="shared" si="186"/>
        <v/>
      </c>
      <c r="BN1166" s="9" t="str">
        <f t="shared" si="187"/>
        <v/>
      </c>
      <c r="BO1166" s="9">
        <f t="shared" si="188"/>
        <v>0</v>
      </c>
      <c r="BR1166" s="12" t="str">
        <f t="shared" si="189"/>
        <v/>
      </c>
    </row>
    <row r="1167" spans="1:70" ht="14.25" customHeight="1">
      <c r="A1167" s="26"/>
      <c r="C1167" s="26"/>
      <c r="D1167" s="27"/>
      <c r="E1167" s="27"/>
      <c r="BE1167" s="10" t="str">
        <f t="shared" si="180"/>
        <v/>
      </c>
      <c r="BF1167" s="8" t="str">
        <f t="shared" si="181"/>
        <v/>
      </c>
      <c r="BG1167" s="11" t="str">
        <f t="shared" si="182"/>
        <v/>
      </c>
      <c r="BH1167" s="8" t="str">
        <f t="shared" si="183"/>
        <v/>
      </c>
      <c r="BI1167" s="8" t="str">
        <f t="shared" si="184"/>
        <v/>
      </c>
      <c r="BJ1167" s="9" t="str">
        <f t="shared" si="185"/>
        <v/>
      </c>
      <c r="BK1167" s="9" t="str">
        <f>IF($B1167="","",COUNTIFS($B$5:$B1167,$B1167,$BF$5:$BF1167,$BF1167))</f>
        <v/>
      </c>
      <c r="BL1167" s="9" t="str">
        <f>IF($B1167="","",COUNTIFS($B$5:$B1167,$B1167,$BH$5:$BH1167,$BH1167))</f>
        <v/>
      </c>
      <c r="BM1167" s="9" t="str">
        <f t="shared" si="186"/>
        <v/>
      </c>
      <c r="BN1167" s="9" t="str">
        <f t="shared" si="187"/>
        <v/>
      </c>
      <c r="BO1167" s="9">
        <f t="shared" si="188"/>
        <v>0</v>
      </c>
      <c r="BR1167" s="12" t="str">
        <f t="shared" si="189"/>
        <v/>
      </c>
    </row>
    <row r="1168" spans="1:70" ht="14.25" customHeight="1">
      <c r="A1168" s="26"/>
      <c r="C1168" s="26"/>
      <c r="D1168" s="27"/>
      <c r="E1168" s="27"/>
      <c r="BE1168" s="10" t="str">
        <f t="shared" si="180"/>
        <v/>
      </c>
      <c r="BF1168" s="8" t="str">
        <f t="shared" si="181"/>
        <v/>
      </c>
      <c r="BG1168" s="11" t="str">
        <f t="shared" si="182"/>
        <v/>
      </c>
      <c r="BH1168" s="8" t="str">
        <f t="shared" si="183"/>
        <v/>
      </c>
      <c r="BI1168" s="8" t="str">
        <f t="shared" si="184"/>
        <v/>
      </c>
      <c r="BJ1168" s="9" t="str">
        <f t="shared" si="185"/>
        <v/>
      </c>
      <c r="BK1168" s="9" t="str">
        <f>IF($B1168="","",COUNTIFS($B$5:$B1168,$B1168,$BF$5:$BF1168,$BF1168))</f>
        <v/>
      </c>
      <c r="BL1168" s="9" t="str">
        <f>IF($B1168="","",COUNTIFS($B$5:$B1168,$B1168,$BH$5:$BH1168,$BH1168))</f>
        <v/>
      </c>
      <c r="BM1168" s="9" t="str">
        <f t="shared" si="186"/>
        <v/>
      </c>
      <c r="BN1168" s="9" t="str">
        <f t="shared" si="187"/>
        <v/>
      </c>
      <c r="BO1168" s="9">
        <f t="shared" si="188"/>
        <v>0</v>
      </c>
      <c r="BR1168" s="12" t="str">
        <f t="shared" si="189"/>
        <v/>
      </c>
    </row>
    <row r="1169" spans="1:70" ht="14.25" customHeight="1">
      <c r="A1169" s="26"/>
      <c r="C1169" s="26"/>
      <c r="D1169" s="27"/>
      <c r="E1169" s="27"/>
      <c r="BE1169" s="10" t="str">
        <f t="shared" si="180"/>
        <v/>
      </c>
      <c r="BF1169" s="8" t="str">
        <f t="shared" si="181"/>
        <v/>
      </c>
      <c r="BG1169" s="11" t="str">
        <f t="shared" si="182"/>
        <v/>
      </c>
      <c r="BH1169" s="8" t="str">
        <f t="shared" si="183"/>
        <v/>
      </c>
      <c r="BI1169" s="8" t="str">
        <f t="shared" si="184"/>
        <v/>
      </c>
      <c r="BJ1169" s="9" t="str">
        <f t="shared" si="185"/>
        <v/>
      </c>
      <c r="BK1169" s="9" t="str">
        <f>IF($B1169="","",COUNTIFS($B$5:$B1169,$B1169,$BF$5:$BF1169,$BF1169))</f>
        <v/>
      </c>
      <c r="BL1169" s="9" t="str">
        <f>IF($B1169="","",COUNTIFS($B$5:$B1169,$B1169,$BH$5:$BH1169,$BH1169))</f>
        <v/>
      </c>
      <c r="BM1169" s="9" t="str">
        <f t="shared" si="186"/>
        <v/>
      </c>
      <c r="BN1169" s="9" t="str">
        <f t="shared" si="187"/>
        <v/>
      </c>
      <c r="BO1169" s="9">
        <f t="shared" si="188"/>
        <v>0</v>
      </c>
      <c r="BR1169" s="12" t="str">
        <f t="shared" si="189"/>
        <v/>
      </c>
    </row>
    <row r="1170" spans="1:70" ht="14.25" customHeight="1">
      <c r="A1170" s="26"/>
      <c r="C1170" s="26"/>
      <c r="D1170" s="27"/>
      <c r="E1170" s="27"/>
      <c r="BE1170" s="10" t="str">
        <f t="shared" si="180"/>
        <v/>
      </c>
      <c r="BF1170" s="8" t="str">
        <f t="shared" si="181"/>
        <v/>
      </c>
      <c r="BG1170" s="11" t="str">
        <f t="shared" si="182"/>
        <v/>
      </c>
      <c r="BH1170" s="8" t="str">
        <f t="shared" si="183"/>
        <v/>
      </c>
      <c r="BI1170" s="8" t="str">
        <f t="shared" si="184"/>
        <v/>
      </c>
      <c r="BJ1170" s="9" t="str">
        <f t="shared" si="185"/>
        <v/>
      </c>
      <c r="BK1170" s="9" t="str">
        <f>IF($B1170="","",COUNTIFS($B$5:$B1170,$B1170,$BF$5:$BF1170,$BF1170))</f>
        <v/>
      </c>
      <c r="BL1170" s="9" t="str">
        <f>IF($B1170="","",COUNTIFS($B$5:$B1170,$B1170,$BH$5:$BH1170,$BH1170))</f>
        <v/>
      </c>
      <c r="BM1170" s="9" t="str">
        <f t="shared" si="186"/>
        <v/>
      </c>
      <c r="BN1170" s="9" t="str">
        <f t="shared" si="187"/>
        <v/>
      </c>
      <c r="BO1170" s="9">
        <f t="shared" si="188"/>
        <v>0</v>
      </c>
      <c r="BR1170" s="12" t="str">
        <f t="shared" si="189"/>
        <v/>
      </c>
    </row>
    <row r="1171" spans="1:70" ht="14.25" customHeight="1">
      <c r="A1171" s="26"/>
      <c r="C1171" s="26"/>
      <c r="D1171" s="27"/>
      <c r="E1171" s="27"/>
      <c r="BE1171" s="10" t="str">
        <f t="shared" si="180"/>
        <v/>
      </c>
      <c r="BF1171" s="8" t="str">
        <f t="shared" si="181"/>
        <v/>
      </c>
      <c r="BG1171" s="11" t="str">
        <f t="shared" si="182"/>
        <v/>
      </c>
      <c r="BH1171" s="8" t="str">
        <f t="shared" si="183"/>
        <v/>
      </c>
      <c r="BI1171" s="8" t="str">
        <f t="shared" si="184"/>
        <v/>
      </c>
      <c r="BJ1171" s="9" t="str">
        <f t="shared" si="185"/>
        <v/>
      </c>
      <c r="BK1171" s="9" t="str">
        <f>IF($B1171="","",COUNTIFS($B$5:$B1171,$B1171,$BF$5:$BF1171,$BF1171))</f>
        <v/>
      </c>
      <c r="BL1171" s="9" t="str">
        <f>IF($B1171="","",COUNTIFS($B$5:$B1171,$B1171,$BH$5:$BH1171,$BH1171))</f>
        <v/>
      </c>
      <c r="BM1171" s="9" t="str">
        <f t="shared" si="186"/>
        <v/>
      </c>
      <c r="BN1171" s="9" t="str">
        <f t="shared" si="187"/>
        <v/>
      </c>
      <c r="BO1171" s="9">
        <f t="shared" si="188"/>
        <v>0</v>
      </c>
      <c r="BR1171" s="12" t="str">
        <f t="shared" si="189"/>
        <v/>
      </c>
    </row>
    <row r="1172" spans="1:70" ht="14.25" customHeight="1">
      <c r="A1172" s="26"/>
      <c r="C1172" s="26"/>
      <c r="D1172" s="27"/>
      <c r="E1172" s="27"/>
      <c r="BE1172" s="10" t="str">
        <f t="shared" si="180"/>
        <v/>
      </c>
      <c r="BF1172" s="8" t="str">
        <f t="shared" si="181"/>
        <v/>
      </c>
      <c r="BG1172" s="11" t="str">
        <f t="shared" si="182"/>
        <v/>
      </c>
      <c r="BH1172" s="8" t="str">
        <f t="shared" si="183"/>
        <v/>
      </c>
      <c r="BI1172" s="8" t="str">
        <f t="shared" si="184"/>
        <v/>
      </c>
      <c r="BJ1172" s="9" t="str">
        <f t="shared" si="185"/>
        <v/>
      </c>
      <c r="BK1172" s="9" t="str">
        <f>IF($B1172="","",COUNTIFS($B$5:$B1172,$B1172,$BF$5:$BF1172,$BF1172))</f>
        <v/>
      </c>
      <c r="BL1172" s="9" t="str">
        <f>IF($B1172="","",COUNTIFS($B$5:$B1172,$B1172,$BH$5:$BH1172,$BH1172))</f>
        <v/>
      </c>
      <c r="BM1172" s="9" t="str">
        <f t="shared" si="186"/>
        <v/>
      </c>
      <c r="BN1172" s="9" t="str">
        <f t="shared" si="187"/>
        <v/>
      </c>
      <c r="BO1172" s="9">
        <f t="shared" si="188"/>
        <v>0</v>
      </c>
      <c r="BR1172" s="12" t="str">
        <f t="shared" si="189"/>
        <v/>
      </c>
    </row>
    <row r="1173" spans="1:70" ht="14.25" customHeight="1">
      <c r="A1173" s="26"/>
      <c r="C1173" s="26"/>
      <c r="D1173" s="27"/>
      <c r="E1173" s="27"/>
      <c r="BE1173" s="10" t="str">
        <f t="shared" si="180"/>
        <v/>
      </c>
      <c r="BF1173" s="8" t="str">
        <f t="shared" si="181"/>
        <v/>
      </c>
      <c r="BG1173" s="11" t="str">
        <f t="shared" si="182"/>
        <v/>
      </c>
      <c r="BH1173" s="8" t="str">
        <f t="shared" si="183"/>
        <v/>
      </c>
      <c r="BI1173" s="8" t="str">
        <f t="shared" si="184"/>
        <v/>
      </c>
      <c r="BJ1173" s="9" t="str">
        <f t="shared" si="185"/>
        <v/>
      </c>
      <c r="BK1173" s="9" t="str">
        <f>IF($B1173="","",COUNTIFS($B$5:$B1173,$B1173,$BF$5:$BF1173,$BF1173))</f>
        <v/>
      </c>
      <c r="BL1173" s="9" t="str">
        <f>IF($B1173="","",COUNTIFS($B$5:$B1173,$B1173,$BH$5:$BH1173,$BH1173))</f>
        <v/>
      </c>
      <c r="BM1173" s="9" t="str">
        <f t="shared" si="186"/>
        <v/>
      </c>
      <c r="BN1173" s="9" t="str">
        <f t="shared" si="187"/>
        <v/>
      </c>
      <c r="BO1173" s="9">
        <f t="shared" si="188"/>
        <v>0</v>
      </c>
      <c r="BR1173" s="12" t="str">
        <f t="shared" si="189"/>
        <v/>
      </c>
    </row>
    <row r="1174" spans="1:70" ht="14.25" customHeight="1">
      <c r="A1174" s="26"/>
      <c r="C1174" s="26"/>
      <c r="D1174" s="27"/>
      <c r="E1174" s="27"/>
      <c r="BE1174" s="10" t="str">
        <f t="shared" si="180"/>
        <v/>
      </c>
      <c r="BF1174" s="8" t="str">
        <f t="shared" si="181"/>
        <v/>
      </c>
      <c r="BG1174" s="11" t="str">
        <f t="shared" si="182"/>
        <v/>
      </c>
      <c r="BH1174" s="8" t="str">
        <f t="shared" si="183"/>
        <v/>
      </c>
      <c r="BI1174" s="8" t="str">
        <f t="shared" si="184"/>
        <v/>
      </c>
      <c r="BJ1174" s="9" t="str">
        <f t="shared" si="185"/>
        <v/>
      </c>
      <c r="BK1174" s="9" t="str">
        <f>IF($B1174="","",COUNTIFS($B$5:$B1174,$B1174,$BF$5:$BF1174,$BF1174))</f>
        <v/>
      </c>
      <c r="BL1174" s="9" t="str">
        <f>IF($B1174="","",COUNTIFS($B$5:$B1174,$B1174,$BH$5:$BH1174,$BH1174))</f>
        <v/>
      </c>
      <c r="BM1174" s="9" t="str">
        <f t="shared" si="186"/>
        <v/>
      </c>
      <c r="BN1174" s="9" t="str">
        <f t="shared" si="187"/>
        <v/>
      </c>
      <c r="BO1174" s="9">
        <f t="shared" si="188"/>
        <v>0</v>
      </c>
      <c r="BR1174" s="12" t="str">
        <f t="shared" si="189"/>
        <v/>
      </c>
    </row>
    <row r="1175" spans="1:70" ht="14.25" customHeight="1">
      <c r="A1175" s="26"/>
      <c r="C1175" s="26"/>
      <c r="D1175" s="27"/>
      <c r="E1175" s="27"/>
      <c r="BE1175" s="10" t="str">
        <f t="shared" si="180"/>
        <v/>
      </c>
      <c r="BF1175" s="8" t="str">
        <f t="shared" si="181"/>
        <v/>
      </c>
      <c r="BG1175" s="11" t="str">
        <f t="shared" si="182"/>
        <v/>
      </c>
      <c r="BH1175" s="8" t="str">
        <f t="shared" si="183"/>
        <v/>
      </c>
      <c r="BI1175" s="8" t="str">
        <f t="shared" si="184"/>
        <v/>
      </c>
      <c r="BJ1175" s="9" t="str">
        <f t="shared" si="185"/>
        <v/>
      </c>
      <c r="BK1175" s="9" t="str">
        <f>IF($B1175="","",COUNTIFS($B$5:$B1175,$B1175,$BF$5:$BF1175,$BF1175))</f>
        <v/>
      </c>
      <c r="BL1175" s="9" t="str">
        <f>IF($B1175="","",COUNTIFS($B$5:$B1175,$B1175,$BH$5:$BH1175,$BH1175))</f>
        <v/>
      </c>
      <c r="BM1175" s="9" t="str">
        <f t="shared" si="186"/>
        <v/>
      </c>
      <c r="BN1175" s="9" t="str">
        <f t="shared" si="187"/>
        <v/>
      </c>
      <c r="BO1175" s="9">
        <f t="shared" si="188"/>
        <v>0</v>
      </c>
      <c r="BR1175" s="12" t="str">
        <f t="shared" si="189"/>
        <v/>
      </c>
    </row>
    <row r="1176" spans="1:70" ht="14.25" customHeight="1">
      <c r="A1176" s="26"/>
      <c r="C1176" s="26"/>
      <c r="D1176" s="27"/>
      <c r="E1176" s="27"/>
      <c r="BE1176" s="10" t="str">
        <f t="shared" si="180"/>
        <v/>
      </c>
      <c r="BF1176" s="8" t="str">
        <f t="shared" si="181"/>
        <v/>
      </c>
      <c r="BG1176" s="11" t="str">
        <f t="shared" si="182"/>
        <v/>
      </c>
      <c r="BH1176" s="8" t="str">
        <f t="shared" si="183"/>
        <v/>
      </c>
      <c r="BI1176" s="8" t="str">
        <f t="shared" si="184"/>
        <v/>
      </c>
      <c r="BJ1176" s="9" t="str">
        <f t="shared" si="185"/>
        <v/>
      </c>
      <c r="BK1176" s="9" t="str">
        <f>IF($B1176="","",COUNTIFS($B$5:$B1176,$B1176,$BF$5:$BF1176,$BF1176))</f>
        <v/>
      </c>
      <c r="BL1176" s="9" t="str">
        <f>IF($B1176="","",COUNTIFS($B$5:$B1176,$B1176,$BH$5:$BH1176,$BH1176))</f>
        <v/>
      </c>
      <c r="BM1176" s="9" t="str">
        <f t="shared" si="186"/>
        <v/>
      </c>
      <c r="BN1176" s="9" t="str">
        <f t="shared" si="187"/>
        <v/>
      </c>
      <c r="BO1176" s="9">
        <f t="shared" si="188"/>
        <v>0</v>
      </c>
      <c r="BR1176" s="12" t="str">
        <f t="shared" si="189"/>
        <v/>
      </c>
    </row>
    <row r="1177" spans="1:70" ht="14.25" customHeight="1">
      <c r="A1177" s="26"/>
      <c r="C1177" s="26"/>
      <c r="D1177" s="27"/>
      <c r="E1177" s="27"/>
      <c r="BE1177" s="10" t="str">
        <f t="shared" si="180"/>
        <v/>
      </c>
      <c r="BF1177" s="8" t="str">
        <f t="shared" si="181"/>
        <v/>
      </c>
      <c r="BG1177" s="11" t="str">
        <f t="shared" si="182"/>
        <v/>
      </c>
      <c r="BH1177" s="8" t="str">
        <f t="shared" si="183"/>
        <v/>
      </c>
      <c r="BI1177" s="8" t="str">
        <f t="shared" si="184"/>
        <v/>
      </c>
      <c r="BJ1177" s="9" t="str">
        <f t="shared" si="185"/>
        <v/>
      </c>
      <c r="BK1177" s="9" t="str">
        <f>IF($B1177="","",COUNTIFS($B$5:$B1177,$B1177,$BF$5:$BF1177,$BF1177))</f>
        <v/>
      </c>
      <c r="BL1177" s="9" t="str">
        <f>IF($B1177="","",COUNTIFS($B$5:$B1177,$B1177,$BH$5:$BH1177,$BH1177))</f>
        <v/>
      </c>
      <c r="BM1177" s="9" t="str">
        <f t="shared" si="186"/>
        <v/>
      </c>
      <c r="BN1177" s="9" t="str">
        <f t="shared" si="187"/>
        <v/>
      </c>
      <c r="BO1177" s="9">
        <f t="shared" si="188"/>
        <v>0</v>
      </c>
      <c r="BR1177" s="12" t="str">
        <f t="shared" si="189"/>
        <v/>
      </c>
    </row>
    <row r="1178" spans="1:70" ht="14.25" customHeight="1">
      <c r="A1178" s="26"/>
      <c r="C1178" s="26"/>
      <c r="D1178" s="27"/>
      <c r="E1178" s="27"/>
      <c r="BE1178" s="10" t="str">
        <f t="shared" si="180"/>
        <v/>
      </c>
      <c r="BF1178" s="8" t="str">
        <f t="shared" si="181"/>
        <v/>
      </c>
      <c r="BG1178" s="11" t="str">
        <f t="shared" si="182"/>
        <v/>
      </c>
      <c r="BH1178" s="8" t="str">
        <f t="shared" si="183"/>
        <v/>
      </c>
      <c r="BI1178" s="8" t="str">
        <f t="shared" si="184"/>
        <v/>
      </c>
      <c r="BJ1178" s="9" t="str">
        <f t="shared" si="185"/>
        <v/>
      </c>
      <c r="BK1178" s="9" t="str">
        <f>IF($B1178="","",COUNTIFS($B$5:$B1178,$B1178,$BF$5:$BF1178,$BF1178))</f>
        <v/>
      </c>
      <c r="BL1178" s="9" t="str">
        <f>IF($B1178="","",COUNTIFS($B$5:$B1178,$B1178,$BH$5:$BH1178,$BH1178))</f>
        <v/>
      </c>
      <c r="BM1178" s="9" t="str">
        <f t="shared" si="186"/>
        <v/>
      </c>
      <c r="BN1178" s="9" t="str">
        <f t="shared" si="187"/>
        <v/>
      </c>
      <c r="BO1178" s="9">
        <f t="shared" si="188"/>
        <v>0</v>
      </c>
      <c r="BR1178" s="12" t="str">
        <f t="shared" si="189"/>
        <v/>
      </c>
    </row>
    <row r="1179" spans="1:70" ht="14.25" customHeight="1">
      <c r="A1179" s="26"/>
      <c r="C1179" s="26"/>
      <c r="D1179" s="27"/>
      <c r="E1179" s="27"/>
      <c r="BE1179" s="10" t="str">
        <f t="shared" si="180"/>
        <v/>
      </c>
      <c r="BF1179" s="8" t="str">
        <f t="shared" si="181"/>
        <v/>
      </c>
      <c r="BG1179" s="11" t="str">
        <f t="shared" si="182"/>
        <v/>
      </c>
      <c r="BH1179" s="8" t="str">
        <f t="shared" si="183"/>
        <v/>
      </c>
      <c r="BI1179" s="8" t="str">
        <f t="shared" si="184"/>
        <v/>
      </c>
      <c r="BJ1179" s="9" t="str">
        <f t="shared" si="185"/>
        <v/>
      </c>
      <c r="BK1179" s="9" t="str">
        <f>IF($B1179="","",COUNTIFS($B$5:$B1179,$B1179,$BF$5:$BF1179,$BF1179))</f>
        <v/>
      </c>
      <c r="BL1179" s="9" t="str">
        <f>IF($B1179="","",COUNTIFS($B$5:$B1179,$B1179,$BH$5:$BH1179,$BH1179))</f>
        <v/>
      </c>
      <c r="BM1179" s="9" t="str">
        <f t="shared" si="186"/>
        <v/>
      </c>
      <c r="BN1179" s="9" t="str">
        <f t="shared" si="187"/>
        <v/>
      </c>
      <c r="BO1179" s="9">
        <f t="shared" si="188"/>
        <v>0</v>
      </c>
      <c r="BR1179" s="12" t="str">
        <f t="shared" si="189"/>
        <v/>
      </c>
    </row>
    <row r="1180" spans="1:70" ht="14.25" customHeight="1">
      <c r="A1180" s="26"/>
      <c r="C1180" s="26"/>
      <c r="D1180" s="27"/>
      <c r="E1180" s="27"/>
      <c r="BE1180" s="10" t="str">
        <f t="shared" si="180"/>
        <v/>
      </c>
      <c r="BF1180" s="8" t="str">
        <f t="shared" si="181"/>
        <v/>
      </c>
      <c r="BG1180" s="11" t="str">
        <f t="shared" si="182"/>
        <v/>
      </c>
      <c r="BH1180" s="8" t="str">
        <f t="shared" si="183"/>
        <v/>
      </c>
      <c r="BI1180" s="8" t="str">
        <f t="shared" si="184"/>
        <v/>
      </c>
      <c r="BJ1180" s="9" t="str">
        <f t="shared" si="185"/>
        <v/>
      </c>
      <c r="BK1180" s="9" t="str">
        <f>IF($B1180="","",COUNTIFS($B$5:$B1180,$B1180,$BF$5:$BF1180,$BF1180))</f>
        <v/>
      </c>
      <c r="BL1180" s="9" t="str">
        <f>IF($B1180="","",COUNTIFS($B$5:$B1180,$B1180,$BH$5:$BH1180,$BH1180))</f>
        <v/>
      </c>
      <c r="BM1180" s="9" t="str">
        <f t="shared" si="186"/>
        <v/>
      </c>
      <c r="BN1180" s="9" t="str">
        <f t="shared" si="187"/>
        <v/>
      </c>
      <c r="BO1180" s="9">
        <f t="shared" si="188"/>
        <v>0</v>
      </c>
      <c r="BR1180" s="12" t="str">
        <f t="shared" si="189"/>
        <v/>
      </c>
    </row>
    <row r="1181" spans="1:70" ht="14.25" customHeight="1">
      <c r="A1181" s="26"/>
      <c r="C1181" s="26"/>
      <c r="D1181" s="27"/>
      <c r="E1181" s="27"/>
      <c r="BE1181" s="10" t="str">
        <f t="shared" ref="BE1181:BE1244" si="190">IF($B1181="","",IF(COUNT($H1181,$J1181,$L1181,$N1181,$P1181,$R1181)&gt;0,SUM($H1181,$J1181,$L1181,$N1181,$P1181,$R1181),SUM($T1181,$V1181,$X1181,$Z1181,$AB1181,$AD1181,$AF1181,$AH1181,$AJ1181,$AL1181,$AN1181,$AP1181,$AR1181,$AT1181,$AV1181,$AX1181,$AZ1181)))</f>
        <v/>
      </c>
      <c r="BF1181" s="8" t="str">
        <f t="shared" ref="BF1181:BF1244" si="191">IF($C1181="","",DATE(YEAR($C1181),MONTH($C1181),1))</f>
        <v/>
      </c>
      <c r="BG1181" s="11" t="str">
        <f t="shared" ref="BG1181:BG1244" si="192">IF($BF1181="","",TEXT($BF1181,"mmmm yyyy"))</f>
        <v/>
      </c>
      <c r="BH1181" s="8" t="str">
        <f t="shared" ref="BH1181:BH1244" si="193">IF($C1181="","",$C1181-WEEKDAY($C1181,2)+1)</f>
        <v/>
      </c>
      <c r="BI1181" s="8" t="str">
        <f t="shared" ref="BI1181:BI1244" si="194">IF($BH1181="","",$BH1181+6)</f>
        <v/>
      </c>
      <c r="BJ1181" s="9" t="str">
        <f t="shared" ref="BJ1181:BJ1244" si="195">IF($BH1181="","",TEXT($BH1181,"dd/mm/yyyy")&amp;" - "&amp;TEXT($BI1181,"dd/mm/yyyy"))</f>
        <v/>
      </c>
      <c r="BK1181" s="9" t="str">
        <f>IF($B1181="","",COUNTIFS($B$5:$B1181,$B1181,$BF$5:$BF1181,$BF1181))</f>
        <v/>
      </c>
      <c r="BL1181" s="9" t="str">
        <f>IF($B1181="","",COUNTIFS($B$5:$B1181,$B1181,$BH$5:$BH1181,$BH1181))</f>
        <v/>
      </c>
      <c r="BM1181" s="9" t="str">
        <f t="shared" ref="BM1181:BM1244" si="196">IF($B1181="","",TEXT($BK1181,"00")&amp;"|"&amp;$B1181&amp;"|"&amp;TEXT($BF1181,"yyyymmdd"))</f>
        <v/>
      </c>
      <c r="BN1181" s="9" t="str">
        <f t="shared" ref="BN1181:BN1244" si="197">IF($B1181="","",TEXT($BL1181,"00")&amp;"|"&amp;$B1181&amp;"|"&amp;TEXT($BH1181,"yyyymmdd"))</f>
        <v/>
      </c>
      <c r="BO1181" s="9">
        <f t="shared" ref="BO1181:BO1244" si="198">IF(OR($BB1181="YES",$BB1181="Yes",$BB1181="Y",$BB1181=1),1,0)</f>
        <v>0</v>
      </c>
      <c r="BR1181" s="12" t="str">
        <f t="shared" ref="BR1181:BR1244" si="199">IF($C1181="","",IF($C1181&gt;=DATE(2026,6,1),"QA-2026-06",IF($C1181&gt;=DATE(2026,5,1),"May 2026+",IF($C1181&gt;=DATE(2026,4,1),"April 2026",IF($C1181&gt;=DATE(2026,3,1),"March 2026","Jan-Feb 2026")))))</f>
        <v/>
      </c>
    </row>
    <row r="1182" spans="1:70" ht="14.25" customHeight="1">
      <c r="A1182" s="26"/>
      <c r="C1182" s="26"/>
      <c r="D1182" s="27"/>
      <c r="E1182" s="27"/>
      <c r="BE1182" s="10" t="str">
        <f t="shared" si="190"/>
        <v/>
      </c>
      <c r="BF1182" s="8" t="str">
        <f t="shared" si="191"/>
        <v/>
      </c>
      <c r="BG1182" s="11" t="str">
        <f t="shared" si="192"/>
        <v/>
      </c>
      <c r="BH1182" s="8" t="str">
        <f t="shared" si="193"/>
        <v/>
      </c>
      <c r="BI1182" s="8" t="str">
        <f t="shared" si="194"/>
        <v/>
      </c>
      <c r="BJ1182" s="9" t="str">
        <f t="shared" si="195"/>
        <v/>
      </c>
      <c r="BK1182" s="9" t="str">
        <f>IF($B1182="","",COUNTIFS($B$5:$B1182,$B1182,$BF$5:$BF1182,$BF1182))</f>
        <v/>
      </c>
      <c r="BL1182" s="9" t="str">
        <f>IF($B1182="","",COUNTIFS($B$5:$B1182,$B1182,$BH$5:$BH1182,$BH1182))</f>
        <v/>
      </c>
      <c r="BM1182" s="9" t="str">
        <f t="shared" si="196"/>
        <v/>
      </c>
      <c r="BN1182" s="9" t="str">
        <f t="shared" si="197"/>
        <v/>
      </c>
      <c r="BO1182" s="9">
        <f t="shared" si="198"/>
        <v>0</v>
      </c>
      <c r="BR1182" s="12" t="str">
        <f t="shared" si="199"/>
        <v/>
      </c>
    </row>
    <row r="1183" spans="1:70" ht="14.25" customHeight="1">
      <c r="A1183" s="26"/>
      <c r="C1183" s="26"/>
      <c r="D1183" s="27"/>
      <c r="E1183" s="27"/>
      <c r="BE1183" s="10" t="str">
        <f t="shared" si="190"/>
        <v/>
      </c>
      <c r="BF1183" s="8" t="str">
        <f t="shared" si="191"/>
        <v/>
      </c>
      <c r="BG1183" s="11" t="str">
        <f t="shared" si="192"/>
        <v/>
      </c>
      <c r="BH1183" s="8" t="str">
        <f t="shared" si="193"/>
        <v/>
      </c>
      <c r="BI1183" s="8" t="str">
        <f t="shared" si="194"/>
        <v/>
      </c>
      <c r="BJ1183" s="9" t="str">
        <f t="shared" si="195"/>
        <v/>
      </c>
      <c r="BK1183" s="9" t="str">
        <f>IF($B1183="","",COUNTIFS($B$5:$B1183,$B1183,$BF$5:$BF1183,$BF1183))</f>
        <v/>
      </c>
      <c r="BL1183" s="9" t="str">
        <f>IF($B1183="","",COUNTIFS($B$5:$B1183,$B1183,$BH$5:$BH1183,$BH1183))</f>
        <v/>
      </c>
      <c r="BM1183" s="9" t="str">
        <f t="shared" si="196"/>
        <v/>
      </c>
      <c r="BN1183" s="9" t="str">
        <f t="shared" si="197"/>
        <v/>
      </c>
      <c r="BO1183" s="9">
        <f t="shared" si="198"/>
        <v>0</v>
      </c>
      <c r="BR1183" s="12" t="str">
        <f t="shared" si="199"/>
        <v/>
      </c>
    </row>
    <row r="1184" spans="1:70" ht="14.25" customHeight="1">
      <c r="A1184" s="26"/>
      <c r="C1184" s="26"/>
      <c r="D1184" s="27"/>
      <c r="E1184" s="27"/>
      <c r="BE1184" s="10" t="str">
        <f t="shared" si="190"/>
        <v/>
      </c>
      <c r="BF1184" s="8" t="str">
        <f t="shared" si="191"/>
        <v/>
      </c>
      <c r="BG1184" s="11" t="str">
        <f t="shared" si="192"/>
        <v/>
      </c>
      <c r="BH1184" s="8" t="str">
        <f t="shared" si="193"/>
        <v/>
      </c>
      <c r="BI1184" s="8" t="str">
        <f t="shared" si="194"/>
        <v/>
      </c>
      <c r="BJ1184" s="9" t="str">
        <f t="shared" si="195"/>
        <v/>
      </c>
      <c r="BK1184" s="9" t="str">
        <f>IF($B1184="","",COUNTIFS($B$5:$B1184,$B1184,$BF$5:$BF1184,$BF1184))</f>
        <v/>
      </c>
      <c r="BL1184" s="9" t="str">
        <f>IF($B1184="","",COUNTIFS($B$5:$B1184,$B1184,$BH$5:$BH1184,$BH1184))</f>
        <v/>
      </c>
      <c r="BM1184" s="9" t="str">
        <f t="shared" si="196"/>
        <v/>
      </c>
      <c r="BN1184" s="9" t="str">
        <f t="shared" si="197"/>
        <v/>
      </c>
      <c r="BO1184" s="9">
        <f t="shared" si="198"/>
        <v>0</v>
      </c>
      <c r="BR1184" s="12" t="str">
        <f t="shared" si="199"/>
        <v/>
      </c>
    </row>
    <row r="1185" spans="1:70" ht="14.25" customHeight="1">
      <c r="A1185" s="26"/>
      <c r="C1185" s="26"/>
      <c r="D1185" s="27"/>
      <c r="E1185" s="27"/>
      <c r="BE1185" s="10" t="str">
        <f t="shared" si="190"/>
        <v/>
      </c>
      <c r="BF1185" s="8" t="str">
        <f t="shared" si="191"/>
        <v/>
      </c>
      <c r="BG1185" s="11" t="str">
        <f t="shared" si="192"/>
        <v/>
      </c>
      <c r="BH1185" s="8" t="str">
        <f t="shared" si="193"/>
        <v/>
      </c>
      <c r="BI1185" s="8" t="str">
        <f t="shared" si="194"/>
        <v/>
      </c>
      <c r="BJ1185" s="9" t="str">
        <f t="shared" si="195"/>
        <v/>
      </c>
      <c r="BK1185" s="9" t="str">
        <f>IF($B1185="","",COUNTIFS($B$5:$B1185,$B1185,$BF$5:$BF1185,$BF1185))</f>
        <v/>
      </c>
      <c r="BL1185" s="9" t="str">
        <f>IF($B1185="","",COUNTIFS($B$5:$B1185,$B1185,$BH$5:$BH1185,$BH1185))</f>
        <v/>
      </c>
      <c r="BM1185" s="9" t="str">
        <f t="shared" si="196"/>
        <v/>
      </c>
      <c r="BN1185" s="9" t="str">
        <f t="shared" si="197"/>
        <v/>
      </c>
      <c r="BO1185" s="9">
        <f t="shared" si="198"/>
        <v>0</v>
      </c>
      <c r="BR1185" s="12" t="str">
        <f t="shared" si="199"/>
        <v/>
      </c>
    </row>
    <row r="1186" spans="1:70" ht="14.25" customHeight="1">
      <c r="A1186" s="26"/>
      <c r="C1186" s="26"/>
      <c r="D1186" s="27"/>
      <c r="E1186" s="27"/>
      <c r="BE1186" s="10" t="str">
        <f t="shared" si="190"/>
        <v/>
      </c>
      <c r="BF1186" s="8" t="str">
        <f t="shared" si="191"/>
        <v/>
      </c>
      <c r="BG1186" s="11" t="str">
        <f t="shared" si="192"/>
        <v/>
      </c>
      <c r="BH1186" s="8" t="str">
        <f t="shared" si="193"/>
        <v/>
      </c>
      <c r="BI1186" s="8" t="str">
        <f t="shared" si="194"/>
        <v/>
      </c>
      <c r="BJ1186" s="9" t="str">
        <f t="shared" si="195"/>
        <v/>
      </c>
      <c r="BK1186" s="9" t="str">
        <f>IF($B1186="","",COUNTIFS($B$5:$B1186,$B1186,$BF$5:$BF1186,$BF1186))</f>
        <v/>
      </c>
      <c r="BL1186" s="9" t="str">
        <f>IF($B1186="","",COUNTIFS($B$5:$B1186,$B1186,$BH$5:$BH1186,$BH1186))</f>
        <v/>
      </c>
      <c r="BM1186" s="9" t="str">
        <f t="shared" si="196"/>
        <v/>
      </c>
      <c r="BN1186" s="9" t="str">
        <f t="shared" si="197"/>
        <v/>
      </c>
      <c r="BO1186" s="9">
        <f t="shared" si="198"/>
        <v>0</v>
      </c>
      <c r="BR1186" s="12" t="str">
        <f t="shared" si="199"/>
        <v/>
      </c>
    </row>
    <row r="1187" spans="1:70" ht="14.25" customHeight="1">
      <c r="A1187" s="26"/>
      <c r="C1187" s="26"/>
      <c r="D1187" s="27"/>
      <c r="E1187" s="27"/>
      <c r="BE1187" s="10" t="str">
        <f t="shared" si="190"/>
        <v/>
      </c>
      <c r="BF1187" s="8" t="str">
        <f t="shared" si="191"/>
        <v/>
      </c>
      <c r="BG1187" s="11" t="str">
        <f t="shared" si="192"/>
        <v/>
      </c>
      <c r="BH1187" s="8" t="str">
        <f t="shared" si="193"/>
        <v/>
      </c>
      <c r="BI1187" s="8" t="str">
        <f t="shared" si="194"/>
        <v/>
      </c>
      <c r="BJ1187" s="9" t="str">
        <f t="shared" si="195"/>
        <v/>
      </c>
      <c r="BK1187" s="9" t="str">
        <f>IF($B1187="","",COUNTIFS($B$5:$B1187,$B1187,$BF$5:$BF1187,$BF1187))</f>
        <v/>
      </c>
      <c r="BL1187" s="9" t="str">
        <f>IF($B1187="","",COUNTIFS($B$5:$B1187,$B1187,$BH$5:$BH1187,$BH1187))</f>
        <v/>
      </c>
      <c r="BM1187" s="9" t="str">
        <f t="shared" si="196"/>
        <v/>
      </c>
      <c r="BN1187" s="9" t="str">
        <f t="shared" si="197"/>
        <v/>
      </c>
      <c r="BO1187" s="9">
        <f t="shared" si="198"/>
        <v>0</v>
      </c>
      <c r="BR1187" s="12" t="str">
        <f t="shared" si="199"/>
        <v/>
      </c>
    </row>
    <row r="1188" spans="1:70" ht="14.25" customHeight="1">
      <c r="A1188" s="26"/>
      <c r="C1188" s="26"/>
      <c r="D1188" s="27"/>
      <c r="E1188" s="27"/>
      <c r="BE1188" s="10" t="str">
        <f t="shared" si="190"/>
        <v/>
      </c>
      <c r="BF1188" s="8" t="str">
        <f t="shared" si="191"/>
        <v/>
      </c>
      <c r="BG1188" s="11" t="str">
        <f t="shared" si="192"/>
        <v/>
      </c>
      <c r="BH1188" s="8" t="str">
        <f t="shared" si="193"/>
        <v/>
      </c>
      <c r="BI1188" s="8" t="str">
        <f t="shared" si="194"/>
        <v/>
      </c>
      <c r="BJ1188" s="9" t="str">
        <f t="shared" si="195"/>
        <v/>
      </c>
      <c r="BK1188" s="9" t="str">
        <f>IF($B1188="","",COUNTIFS($B$5:$B1188,$B1188,$BF$5:$BF1188,$BF1188))</f>
        <v/>
      </c>
      <c r="BL1188" s="9" t="str">
        <f>IF($B1188="","",COUNTIFS($B$5:$B1188,$B1188,$BH$5:$BH1188,$BH1188))</f>
        <v/>
      </c>
      <c r="BM1188" s="9" t="str">
        <f t="shared" si="196"/>
        <v/>
      </c>
      <c r="BN1188" s="9" t="str">
        <f t="shared" si="197"/>
        <v/>
      </c>
      <c r="BO1188" s="9">
        <f t="shared" si="198"/>
        <v>0</v>
      </c>
      <c r="BR1188" s="12" t="str">
        <f t="shared" si="199"/>
        <v/>
      </c>
    </row>
    <row r="1189" spans="1:70" ht="14.25" customHeight="1">
      <c r="A1189" s="26"/>
      <c r="C1189" s="26"/>
      <c r="D1189" s="27"/>
      <c r="E1189" s="27"/>
      <c r="BE1189" s="10" t="str">
        <f t="shared" si="190"/>
        <v/>
      </c>
      <c r="BF1189" s="8" t="str">
        <f t="shared" si="191"/>
        <v/>
      </c>
      <c r="BG1189" s="11" t="str">
        <f t="shared" si="192"/>
        <v/>
      </c>
      <c r="BH1189" s="8" t="str">
        <f t="shared" si="193"/>
        <v/>
      </c>
      <c r="BI1189" s="8" t="str">
        <f t="shared" si="194"/>
        <v/>
      </c>
      <c r="BJ1189" s="9" t="str">
        <f t="shared" si="195"/>
        <v/>
      </c>
      <c r="BK1189" s="9" t="str">
        <f>IF($B1189="","",COUNTIFS($B$5:$B1189,$B1189,$BF$5:$BF1189,$BF1189))</f>
        <v/>
      </c>
      <c r="BL1189" s="9" t="str">
        <f>IF($B1189="","",COUNTIFS($B$5:$B1189,$B1189,$BH$5:$BH1189,$BH1189))</f>
        <v/>
      </c>
      <c r="BM1189" s="9" t="str">
        <f t="shared" si="196"/>
        <v/>
      </c>
      <c r="BN1189" s="9" t="str">
        <f t="shared" si="197"/>
        <v/>
      </c>
      <c r="BO1189" s="9">
        <f t="shared" si="198"/>
        <v>0</v>
      </c>
      <c r="BR1189" s="12" t="str">
        <f t="shared" si="199"/>
        <v/>
      </c>
    </row>
    <row r="1190" spans="1:70" ht="14.25" customHeight="1">
      <c r="A1190" s="26"/>
      <c r="C1190" s="26"/>
      <c r="D1190" s="27"/>
      <c r="E1190" s="27"/>
      <c r="BE1190" s="10" t="str">
        <f t="shared" si="190"/>
        <v/>
      </c>
      <c r="BF1190" s="8" t="str">
        <f t="shared" si="191"/>
        <v/>
      </c>
      <c r="BG1190" s="11" t="str">
        <f t="shared" si="192"/>
        <v/>
      </c>
      <c r="BH1190" s="8" t="str">
        <f t="shared" si="193"/>
        <v/>
      </c>
      <c r="BI1190" s="8" t="str">
        <f t="shared" si="194"/>
        <v/>
      </c>
      <c r="BJ1190" s="9" t="str">
        <f t="shared" si="195"/>
        <v/>
      </c>
      <c r="BK1190" s="9" t="str">
        <f>IF($B1190="","",COUNTIFS($B$5:$B1190,$B1190,$BF$5:$BF1190,$BF1190))</f>
        <v/>
      </c>
      <c r="BL1190" s="9" t="str">
        <f>IF($B1190="","",COUNTIFS($B$5:$B1190,$B1190,$BH$5:$BH1190,$BH1190))</f>
        <v/>
      </c>
      <c r="BM1190" s="9" t="str">
        <f t="shared" si="196"/>
        <v/>
      </c>
      <c r="BN1190" s="9" t="str">
        <f t="shared" si="197"/>
        <v/>
      </c>
      <c r="BO1190" s="9">
        <f t="shared" si="198"/>
        <v>0</v>
      </c>
      <c r="BR1190" s="12" t="str">
        <f t="shared" si="199"/>
        <v/>
      </c>
    </row>
    <row r="1191" spans="1:70" ht="14.25" customHeight="1">
      <c r="A1191" s="26"/>
      <c r="C1191" s="26"/>
      <c r="D1191" s="27"/>
      <c r="E1191" s="27"/>
      <c r="BE1191" s="10" t="str">
        <f t="shared" si="190"/>
        <v/>
      </c>
      <c r="BF1191" s="8" t="str">
        <f t="shared" si="191"/>
        <v/>
      </c>
      <c r="BG1191" s="11" t="str">
        <f t="shared" si="192"/>
        <v/>
      </c>
      <c r="BH1191" s="8" t="str">
        <f t="shared" si="193"/>
        <v/>
      </c>
      <c r="BI1191" s="8" t="str">
        <f t="shared" si="194"/>
        <v/>
      </c>
      <c r="BJ1191" s="9" t="str">
        <f t="shared" si="195"/>
        <v/>
      </c>
      <c r="BK1191" s="9" t="str">
        <f>IF($B1191="","",COUNTIFS($B$5:$B1191,$B1191,$BF$5:$BF1191,$BF1191))</f>
        <v/>
      </c>
      <c r="BL1191" s="9" t="str">
        <f>IF($B1191="","",COUNTIFS($B$5:$B1191,$B1191,$BH$5:$BH1191,$BH1191))</f>
        <v/>
      </c>
      <c r="BM1191" s="9" t="str">
        <f t="shared" si="196"/>
        <v/>
      </c>
      <c r="BN1191" s="9" t="str">
        <f t="shared" si="197"/>
        <v/>
      </c>
      <c r="BO1191" s="9">
        <f t="shared" si="198"/>
        <v>0</v>
      </c>
      <c r="BR1191" s="12" t="str">
        <f t="shared" si="199"/>
        <v/>
      </c>
    </row>
    <row r="1192" spans="1:70" ht="14.25" customHeight="1">
      <c r="A1192" s="26"/>
      <c r="C1192" s="26"/>
      <c r="D1192" s="27"/>
      <c r="E1192" s="27"/>
      <c r="BE1192" s="10" t="str">
        <f t="shared" si="190"/>
        <v/>
      </c>
      <c r="BF1192" s="8" t="str">
        <f t="shared" si="191"/>
        <v/>
      </c>
      <c r="BG1192" s="11" t="str">
        <f t="shared" si="192"/>
        <v/>
      </c>
      <c r="BH1192" s="8" t="str">
        <f t="shared" si="193"/>
        <v/>
      </c>
      <c r="BI1192" s="8" t="str">
        <f t="shared" si="194"/>
        <v/>
      </c>
      <c r="BJ1192" s="9" t="str">
        <f t="shared" si="195"/>
        <v/>
      </c>
      <c r="BK1192" s="9" t="str">
        <f>IF($B1192="","",COUNTIFS($B$5:$B1192,$B1192,$BF$5:$BF1192,$BF1192))</f>
        <v/>
      </c>
      <c r="BL1192" s="9" t="str">
        <f>IF($B1192="","",COUNTIFS($B$5:$B1192,$B1192,$BH$5:$BH1192,$BH1192))</f>
        <v/>
      </c>
      <c r="BM1192" s="9" t="str">
        <f t="shared" si="196"/>
        <v/>
      </c>
      <c r="BN1192" s="9" t="str">
        <f t="shared" si="197"/>
        <v/>
      </c>
      <c r="BO1192" s="9">
        <f t="shared" si="198"/>
        <v>0</v>
      </c>
      <c r="BR1192" s="12" t="str">
        <f t="shared" si="199"/>
        <v/>
      </c>
    </row>
    <row r="1193" spans="1:70" ht="14.25" customHeight="1">
      <c r="A1193" s="26"/>
      <c r="C1193" s="26"/>
      <c r="D1193" s="27"/>
      <c r="E1193" s="27"/>
      <c r="BE1193" s="10" t="str">
        <f t="shared" si="190"/>
        <v/>
      </c>
      <c r="BF1193" s="8" t="str">
        <f t="shared" si="191"/>
        <v/>
      </c>
      <c r="BG1193" s="11" t="str">
        <f t="shared" si="192"/>
        <v/>
      </c>
      <c r="BH1193" s="8" t="str">
        <f t="shared" si="193"/>
        <v/>
      </c>
      <c r="BI1193" s="8" t="str">
        <f t="shared" si="194"/>
        <v/>
      </c>
      <c r="BJ1193" s="9" t="str">
        <f t="shared" si="195"/>
        <v/>
      </c>
      <c r="BK1193" s="9" t="str">
        <f>IF($B1193="","",COUNTIFS($B$5:$B1193,$B1193,$BF$5:$BF1193,$BF1193))</f>
        <v/>
      </c>
      <c r="BL1193" s="9" t="str">
        <f>IF($B1193="","",COUNTIFS($B$5:$B1193,$B1193,$BH$5:$BH1193,$BH1193))</f>
        <v/>
      </c>
      <c r="BM1193" s="9" t="str">
        <f t="shared" si="196"/>
        <v/>
      </c>
      <c r="BN1193" s="9" t="str">
        <f t="shared" si="197"/>
        <v/>
      </c>
      <c r="BO1193" s="9">
        <f t="shared" si="198"/>
        <v>0</v>
      </c>
      <c r="BR1193" s="12" t="str">
        <f t="shared" si="199"/>
        <v/>
      </c>
    </row>
    <row r="1194" spans="1:70" ht="14.25" customHeight="1">
      <c r="A1194" s="26"/>
      <c r="C1194" s="26"/>
      <c r="D1194" s="27"/>
      <c r="E1194" s="27"/>
      <c r="BE1194" s="10" t="str">
        <f t="shared" si="190"/>
        <v/>
      </c>
      <c r="BF1194" s="8" t="str">
        <f t="shared" si="191"/>
        <v/>
      </c>
      <c r="BG1194" s="11" t="str">
        <f t="shared" si="192"/>
        <v/>
      </c>
      <c r="BH1194" s="8" t="str">
        <f t="shared" si="193"/>
        <v/>
      </c>
      <c r="BI1194" s="8" t="str">
        <f t="shared" si="194"/>
        <v/>
      </c>
      <c r="BJ1194" s="9" t="str">
        <f t="shared" si="195"/>
        <v/>
      </c>
      <c r="BK1194" s="9" t="str">
        <f>IF($B1194="","",COUNTIFS($B$5:$B1194,$B1194,$BF$5:$BF1194,$BF1194))</f>
        <v/>
      </c>
      <c r="BL1194" s="9" t="str">
        <f>IF($B1194="","",COUNTIFS($B$5:$B1194,$B1194,$BH$5:$BH1194,$BH1194))</f>
        <v/>
      </c>
      <c r="BM1194" s="9" t="str">
        <f t="shared" si="196"/>
        <v/>
      </c>
      <c r="BN1194" s="9" t="str">
        <f t="shared" si="197"/>
        <v/>
      </c>
      <c r="BO1194" s="9">
        <f t="shared" si="198"/>
        <v>0</v>
      </c>
      <c r="BR1194" s="12" t="str">
        <f t="shared" si="199"/>
        <v/>
      </c>
    </row>
    <row r="1195" spans="1:70" ht="14.25" customHeight="1">
      <c r="A1195" s="26"/>
      <c r="C1195" s="26"/>
      <c r="D1195" s="27"/>
      <c r="E1195" s="27"/>
      <c r="BE1195" s="10" t="str">
        <f t="shared" si="190"/>
        <v/>
      </c>
      <c r="BF1195" s="8" t="str">
        <f t="shared" si="191"/>
        <v/>
      </c>
      <c r="BG1195" s="11" t="str">
        <f t="shared" si="192"/>
        <v/>
      </c>
      <c r="BH1195" s="8" t="str">
        <f t="shared" si="193"/>
        <v/>
      </c>
      <c r="BI1195" s="8" t="str">
        <f t="shared" si="194"/>
        <v/>
      </c>
      <c r="BJ1195" s="9" t="str">
        <f t="shared" si="195"/>
        <v/>
      </c>
      <c r="BK1195" s="9" t="str">
        <f>IF($B1195="","",COUNTIFS($B$5:$B1195,$B1195,$BF$5:$BF1195,$BF1195))</f>
        <v/>
      </c>
      <c r="BL1195" s="9" t="str">
        <f>IF($B1195="","",COUNTIFS($B$5:$B1195,$B1195,$BH$5:$BH1195,$BH1195))</f>
        <v/>
      </c>
      <c r="BM1195" s="9" t="str">
        <f t="shared" si="196"/>
        <v/>
      </c>
      <c r="BN1195" s="9" t="str">
        <f t="shared" si="197"/>
        <v/>
      </c>
      <c r="BO1195" s="9">
        <f t="shared" si="198"/>
        <v>0</v>
      </c>
      <c r="BR1195" s="12" t="str">
        <f t="shared" si="199"/>
        <v/>
      </c>
    </row>
    <row r="1196" spans="1:70" ht="14.25" customHeight="1">
      <c r="A1196" s="26"/>
      <c r="C1196" s="26"/>
      <c r="D1196" s="27"/>
      <c r="E1196" s="27"/>
      <c r="BE1196" s="10" t="str">
        <f t="shared" si="190"/>
        <v/>
      </c>
      <c r="BF1196" s="8" t="str">
        <f t="shared" si="191"/>
        <v/>
      </c>
      <c r="BG1196" s="11" t="str">
        <f t="shared" si="192"/>
        <v/>
      </c>
      <c r="BH1196" s="8" t="str">
        <f t="shared" si="193"/>
        <v/>
      </c>
      <c r="BI1196" s="8" t="str">
        <f t="shared" si="194"/>
        <v/>
      </c>
      <c r="BJ1196" s="9" t="str">
        <f t="shared" si="195"/>
        <v/>
      </c>
      <c r="BK1196" s="9" t="str">
        <f>IF($B1196="","",COUNTIFS($B$5:$B1196,$B1196,$BF$5:$BF1196,$BF1196))</f>
        <v/>
      </c>
      <c r="BL1196" s="9" t="str">
        <f>IF($B1196="","",COUNTIFS($B$5:$B1196,$B1196,$BH$5:$BH1196,$BH1196))</f>
        <v/>
      </c>
      <c r="BM1196" s="9" t="str">
        <f t="shared" si="196"/>
        <v/>
      </c>
      <c r="BN1196" s="9" t="str">
        <f t="shared" si="197"/>
        <v/>
      </c>
      <c r="BO1196" s="9">
        <f t="shared" si="198"/>
        <v>0</v>
      </c>
      <c r="BR1196" s="12" t="str">
        <f t="shared" si="199"/>
        <v/>
      </c>
    </row>
    <row r="1197" spans="1:70" ht="14.25" customHeight="1">
      <c r="A1197" s="26"/>
      <c r="C1197" s="26"/>
      <c r="D1197" s="27"/>
      <c r="E1197" s="27"/>
      <c r="BE1197" s="10" t="str">
        <f t="shared" si="190"/>
        <v/>
      </c>
      <c r="BF1197" s="8" t="str">
        <f t="shared" si="191"/>
        <v/>
      </c>
      <c r="BG1197" s="11" t="str">
        <f t="shared" si="192"/>
        <v/>
      </c>
      <c r="BH1197" s="8" t="str">
        <f t="shared" si="193"/>
        <v/>
      </c>
      <c r="BI1197" s="8" t="str">
        <f t="shared" si="194"/>
        <v/>
      </c>
      <c r="BJ1197" s="9" t="str">
        <f t="shared" si="195"/>
        <v/>
      </c>
      <c r="BK1197" s="9" t="str">
        <f>IF($B1197="","",COUNTIFS($B$5:$B1197,$B1197,$BF$5:$BF1197,$BF1197))</f>
        <v/>
      </c>
      <c r="BL1197" s="9" t="str">
        <f>IF($B1197="","",COUNTIFS($B$5:$B1197,$B1197,$BH$5:$BH1197,$BH1197))</f>
        <v/>
      </c>
      <c r="BM1197" s="9" t="str">
        <f t="shared" si="196"/>
        <v/>
      </c>
      <c r="BN1197" s="9" t="str">
        <f t="shared" si="197"/>
        <v/>
      </c>
      <c r="BO1197" s="9">
        <f t="shared" si="198"/>
        <v>0</v>
      </c>
      <c r="BR1197" s="12" t="str">
        <f t="shared" si="199"/>
        <v/>
      </c>
    </row>
    <row r="1198" spans="1:70" ht="14.25" customHeight="1">
      <c r="A1198" s="26"/>
      <c r="C1198" s="26"/>
      <c r="D1198" s="27"/>
      <c r="E1198" s="27"/>
      <c r="BE1198" s="10" t="str">
        <f t="shared" si="190"/>
        <v/>
      </c>
      <c r="BF1198" s="8" t="str">
        <f t="shared" si="191"/>
        <v/>
      </c>
      <c r="BG1198" s="11" t="str">
        <f t="shared" si="192"/>
        <v/>
      </c>
      <c r="BH1198" s="8" t="str">
        <f t="shared" si="193"/>
        <v/>
      </c>
      <c r="BI1198" s="8" t="str">
        <f t="shared" si="194"/>
        <v/>
      </c>
      <c r="BJ1198" s="9" t="str">
        <f t="shared" si="195"/>
        <v/>
      </c>
      <c r="BK1198" s="9" t="str">
        <f>IF($B1198="","",COUNTIFS($B$5:$B1198,$B1198,$BF$5:$BF1198,$BF1198))</f>
        <v/>
      </c>
      <c r="BL1198" s="9" t="str">
        <f>IF($B1198="","",COUNTIFS($B$5:$B1198,$B1198,$BH$5:$BH1198,$BH1198))</f>
        <v/>
      </c>
      <c r="BM1198" s="9" t="str">
        <f t="shared" si="196"/>
        <v/>
      </c>
      <c r="BN1198" s="9" t="str">
        <f t="shared" si="197"/>
        <v/>
      </c>
      <c r="BO1198" s="9">
        <f t="shared" si="198"/>
        <v>0</v>
      </c>
      <c r="BR1198" s="12" t="str">
        <f t="shared" si="199"/>
        <v/>
      </c>
    </row>
    <row r="1199" spans="1:70" ht="14.25" customHeight="1">
      <c r="A1199" s="26"/>
      <c r="C1199" s="26"/>
      <c r="D1199" s="27"/>
      <c r="E1199" s="27"/>
      <c r="BE1199" s="10" t="str">
        <f t="shared" si="190"/>
        <v/>
      </c>
      <c r="BF1199" s="8" t="str">
        <f t="shared" si="191"/>
        <v/>
      </c>
      <c r="BG1199" s="11" t="str">
        <f t="shared" si="192"/>
        <v/>
      </c>
      <c r="BH1199" s="8" t="str">
        <f t="shared" si="193"/>
        <v/>
      </c>
      <c r="BI1199" s="8" t="str">
        <f t="shared" si="194"/>
        <v/>
      </c>
      <c r="BJ1199" s="9" t="str">
        <f t="shared" si="195"/>
        <v/>
      </c>
      <c r="BK1199" s="9" t="str">
        <f>IF($B1199="","",COUNTIFS($B$5:$B1199,$B1199,$BF$5:$BF1199,$BF1199))</f>
        <v/>
      </c>
      <c r="BL1199" s="9" t="str">
        <f>IF($B1199="","",COUNTIFS($B$5:$B1199,$B1199,$BH$5:$BH1199,$BH1199))</f>
        <v/>
      </c>
      <c r="BM1199" s="9" t="str">
        <f t="shared" si="196"/>
        <v/>
      </c>
      <c r="BN1199" s="9" t="str">
        <f t="shared" si="197"/>
        <v/>
      </c>
      <c r="BO1199" s="9">
        <f t="shared" si="198"/>
        <v>0</v>
      </c>
      <c r="BR1199" s="12" t="str">
        <f t="shared" si="199"/>
        <v/>
      </c>
    </row>
    <row r="1200" spans="1:70" ht="14.25" customHeight="1">
      <c r="A1200" s="26"/>
      <c r="C1200" s="26"/>
      <c r="D1200" s="27"/>
      <c r="E1200" s="27"/>
      <c r="BE1200" s="10" t="str">
        <f t="shared" si="190"/>
        <v/>
      </c>
      <c r="BF1200" s="8" t="str">
        <f t="shared" si="191"/>
        <v/>
      </c>
      <c r="BG1200" s="11" t="str">
        <f t="shared" si="192"/>
        <v/>
      </c>
      <c r="BH1200" s="8" t="str">
        <f t="shared" si="193"/>
        <v/>
      </c>
      <c r="BI1200" s="8" t="str">
        <f t="shared" si="194"/>
        <v/>
      </c>
      <c r="BJ1200" s="9" t="str">
        <f t="shared" si="195"/>
        <v/>
      </c>
      <c r="BK1200" s="9" t="str">
        <f>IF($B1200="","",COUNTIFS($B$5:$B1200,$B1200,$BF$5:$BF1200,$BF1200))</f>
        <v/>
      </c>
      <c r="BL1200" s="9" t="str">
        <f>IF($B1200="","",COUNTIFS($B$5:$B1200,$B1200,$BH$5:$BH1200,$BH1200))</f>
        <v/>
      </c>
      <c r="BM1200" s="9" t="str">
        <f t="shared" si="196"/>
        <v/>
      </c>
      <c r="BN1200" s="9" t="str">
        <f t="shared" si="197"/>
        <v/>
      </c>
      <c r="BO1200" s="9">
        <f t="shared" si="198"/>
        <v>0</v>
      </c>
      <c r="BR1200" s="12" t="str">
        <f t="shared" si="199"/>
        <v/>
      </c>
    </row>
    <row r="1201" spans="1:70" ht="14.25" customHeight="1">
      <c r="A1201" s="26"/>
      <c r="C1201" s="26"/>
      <c r="D1201" s="27"/>
      <c r="E1201" s="27"/>
      <c r="BE1201" s="10" t="str">
        <f t="shared" si="190"/>
        <v/>
      </c>
      <c r="BF1201" s="8" t="str">
        <f t="shared" si="191"/>
        <v/>
      </c>
      <c r="BG1201" s="11" t="str">
        <f t="shared" si="192"/>
        <v/>
      </c>
      <c r="BH1201" s="8" t="str">
        <f t="shared" si="193"/>
        <v/>
      </c>
      <c r="BI1201" s="8" t="str">
        <f t="shared" si="194"/>
        <v/>
      </c>
      <c r="BJ1201" s="9" t="str">
        <f t="shared" si="195"/>
        <v/>
      </c>
      <c r="BK1201" s="9" t="str">
        <f>IF($B1201="","",COUNTIFS($B$5:$B1201,$B1201,$BF$5:$BF1201,$BF1201))</f>
        <v/>
      </c>
      <c r="BL1201" s="9" t="str">
        <f>IF($B1201="","",COUNTIFS($B$5:$B1201,$B1201,$BH$5:$BH1201,$BH1201))</f>
        <v/>
      </c>
      <c r="BM1201" s="9" t="str">
        <f t="shared" si="196"/>
        <v/>
      </c>
      <c r="BN1201" s="9" t="str">
        <f t="shared" si="197"/>
        <v/>
      </c>
      <c r="BO1201" s="9">
        <f t="shared" si="198"/>
        <v>0</v>
      </c>
      <c r="BR1201" s="12" t="str">
        <f t="shared" si="199"/>
        <v/>
      </c>
    </row>
    <row r="1202" spans="1:70" ht="14.25" customHeight="1">
      <c r="A1202" s="26"/>
      <c r="C1202" s="26"/>
      <c r="D1202" s="27"/>
      <c r="E1202" s="27"/>
      <c r="BE1202" s="10" t="str">
        <f t="shared" si="190"/>
        <v/>
      </c>
      <c r="BF1202" s="8" t="str">
        <f t="shared" si="191"/>
        <v/>
      </c>
      <c r="BG1202" s="11" t="str">
        <f t="shared" si="192"/>
        <v/>
      </c>
      <c r="BH1202" s="8" t="str">
        <f t="shared" si="193"/>
        <v/>
      </c>
      <c r="BI1202" s="8" t="str">
        <f t="shared" si="194"/>
        <v/>
      </c>
      <c r="BJ1202" s="9" t="str">
        <f t="shared" si="195"/>
        <v/>
      </c>
      <c r="BK1202" s="9" t="str">
        <f>IF($B1202="","",COUNTIFS($B$5:$B1202,$B1202,$BF$5:$BF1202,$BF1202))</f>
        <v/>
      </c>
      <c r="BL1202" s="9" t="str">
        <f>IF($B1202="","",COUNTIFS($B$5:$B1202,$B1202,$BH$5:$BH1202,$BH1202))</f>
        <v/>
      </c>
      <c r="BM1202" s="9" t="str">
        <f t="shared" si="196"/>
        <v/>
      </c>
      <c r="BN1202" s="9" t="str">
        <f t="shared" si="197"/>
        <v/>
      </c>
      <c r="BO1202" s="9">
        <f t="shared" si="198"/>
        <v>0</v>
      </c>
      <c r="BR1202" s="12" t="str">
        <f t="shared" si="199"/>
        <v/>
      </c>
    </row>
    <row r="1203" spans="1:70" ht="14.25" customHeight="1">
      <c r="A1203" s="26"/>
      <c r="C1203" s="26"/>
      <c r="D1203" s="27"/>
      <c r="E1203" s="27"/>
      <c r="BE1203" s="10" t="str">
        <f t="shared" si="190"/>
        <v/>
      </c>
      <c r="BF1203" s="8" t="str">
        <f t="shared" si="191"/>
        <v/>
      </c>
      <c r="BG1203" s="11" t="str">
        <f t="shared" si="192"/>
        <v/>
      </c>
      <c r="BH1203" s="8" t="str">
        <f t="shared" si="193"/>
        <v/>
      </c>
      <c r="BI1203" s="8" t="str">
        <f t="shared" si="194"/>
        <v/>
      </c>
      <c r="BJ1203" s="9" t="str">
        <f t="shared" si="195"/>
        <v/>
      </c>
      <c r="BK1203" s="9" t="str">
        <f>IF($B1203="","",COUNTIFS($B$5:$B1203,$B1203,$BF$5:$BF1203,$BF1203))</f>
        <v/>
      </c>
      <c r="BL1203" s="9" t="str">
        <f>IF($B1203="","",COUNTIFS($B$5:$B1203,$B1203,$BH$5:$BH1203,$BH1203))</f>
        <v/>
      </c>
      <c r="BM1203" s="9" t="str">
        <f t="shared" si="196"/>
        <v/>
      </c>
      <c r="BN1203" s="9" t="str">
        <f t="shared" si="197"/>
        <v/>
      </c>
      <c r="BO1203" s="9">
        <f t="shared" si="198"/>
        <v>0</v>
      </c>
      <c r="BR1203" s="12" t="str">
        <f t="shared" si="199"/>
        <v/>
      </c>
    </row>
    <row r="1204" spans="1:70" ht="14.25" customHeight="1">
      <c r="A1204" s="26"/>
      <c r="C1204" s="26"/>
      <c r="D1204" s="27"/>
      <c r="E1204" s="27"/>
      <c r="BE1204" s="10" t="str">
        <f t="shared" si="190"/>
        <v/>
      </c>
      <c r="BF1204" s="8" t="str">
        <f t="shared" si="191"/>
        <v/>
      </c>
      <c r="BG1204" s="11" t="str">
        <f t="shared" si="192"/>
        <v/>
      </c>
      <c r="BH1204" s="8" t="str">
        <f t="shared" si="193"/>
        <v/>
      </c>
      <c r="BI1204" s="8" t="str">
        <f t="shared" si="194"/>
        <v/>
      </c>
      <c r="BJ1204" s="9" t="str">
        <f t="shared" si="195"/>
        <v/>
      </c>
      <c r="BK1204" s="9" t="str">
        <f>IF($B1204="","",COUNTIFS($B$5:$B1204,$B1204,$BF$5:$BF1204,$BF1204))</f>
        <v/>
      </c>
      <c r="BL1204" s="9" t="str">
        <f>IF($B1204="","",COUNTIFS($B$5:$B1204,$B1204,$BH$5:$BH1204,$BH1204))</f>
        <v/>
      </c>
      <c r="BM1204" s="9" t="str">
        <f t="shared" si="196"/>
        <v/>
      </c>
      <c r="BN1204" s="9" t="str">
        <f t="shared" si="197"/>
        <v/>
      </c>
      <c r="BO1204" s="9">
        <f t="shared" si="198"/>
        <v>0</v>
      </c>
      <c r="BR1204" s="12" t="str">
        <f t="shared" si="199"/>
        <v/>
      </c>
    </row>
    <row r="1205" spans="1:70" ht="14.25" customHeight="1">
      <c r="A1205" s="26"/>
      <c r="C1205" s="26"/>
      <c r="D1205" s="27"/>
      <c r="E1205" s="27"/>
      <c r="BE1205" s="10" t="str">
        <f t="shared" si="190"/>
        <v/>
      </c>
      <c r="BF1205" s="8" t="str">
        <f t="shared" si="191"/>
        <v/>
      </c>
      <c r="BG1205" s="11" t="str">
        <f t="shared" si="192"/>
        <v/>
      </c>
      <c r="BH1205" s="8" t="str">
        <f t="shared" si="193"/>
        <v/>
      </c>
      <c r="BI1205" s="8" t="str">
        <f t="shared" si="194"/>
        <v/>
      </c>
      <c r="BJ1205" s="9" t="str">
        <f t="shared" si="195"/>
        <v/>
      </c>
      <c r="BK1205" s="9" t="str">
        <f>IF($B1205="","",COUNTIFS($B$5:$B1205,$B1205,$BF$5:$BF1205,$BF1205))</f>
        <v/>
      </c>
      <c r="BL1205" s="9" t="str">
        <f>IF($B1205="","",COUNTIFS($B$5:$B1205,$B1205,$BH$5:$BH1205,$BH1205))</f>
        <v/>
      </c>
      <c r="BM1205" s="9" t="str">
        <f t="shared" si="196"/>
        <v/>
      </c>
      <c r="BN1205" s="9" t="str">
        <f t="shared" si="197"/>
        <v/>
      </c>
      <c r="BO1205" s="9">
        <f t="shared" si="198"/>
        <v>0</v>
      </c>
      <c r="BR1205" s="12" t="str">
        <f t="shared" si="199"/>
        <v/>
      </c>
    </row>
    <row r="1206" spans="1:70" ht="14.25" customHeight="1">
      <c r="A1206" s="26"/>
      <c r="C1206" s="26"/>
      <c r="D1206" s="27"/>
      <c r="E1206" s="27"/>
      <c r="BE1206" s="10" t="str">
        <f t="shared" si="190"/>
        <v/>
      </c>
      <c r="BF1206" s="8" t="str">
        <f t="shared" si="191"/>
        <v/>
      </c>
      <c r="BG1206" s="11" t="str">
        <f t="shared" si="192"/>
        <v/>
      </c>
      <c r="BH1206" s="8" t="str">
        <f t="shared" si="193"/>
        <v/>
      </c>
      <c r="BI1206" s="8" t="str">
        <f t="shared" si="194"/>
        <v/>
      </c>
      <c r="BJ1206" s="9" t="str">
        <f t="shared" si="195"/>
        <v/>
      </c>
      <c r="BK1206" s="9" t="str">
        <f>IF($B1206="","",COUNTIFS($B$5:$B1206,$B1206,$BF$5:$BF1206,$BF1206))</f>
        <v/>
      </c>
      <c r="BL1206" s="9" t="str">
        <f>IF($B1206="","",COUNTIFS($B$5:$B1206,$B1206,$BH$5:$BH1206,$BH1206))</f>
        <v/>
      </c>
      <c r="BM1206" s="9" t="str">
        <f t="shared" si="196"/>
        <v/>
      </c>
      <c r="BN1206" s="9" t="str">
        <f t="shared" si="197"/>
        <v/>
      </c>
      <c r="BO1206" s="9">
        <f t="shared" si="198"/>
        <v>0</v>
      </c>
      <c r="BR1206" s="12" t="str">
        <f t="shared" si="199"/>
        <v/>
      </c>
    </row>
    <row r="1207" spans="1:70" ht="14.25" customHeight="1">
      <c r="A1207" s="26"/>
      <c r="C1207" s="26"/>
      <c r="D1207" s="27"/>
      <c r="E1207" s="27"/>
      <c r="BE1207" s="10" t="str">
        <f t="shared" si="190"/>
        <v/>
      </c>
      <c r="BF1207" s="8" t="str">
        <f t="shared" si="191"/>
        <v/>
      </c>
      <c r="BG1207" s="11" t="str">
        <f t="shared" si="192"/>
        <v/>
      </c>
      <c r="BH1207" s="8" t="str">
        <f t="shared" si="193"/>
        <v/>
      </c>
      <c r="BI1207" s="8" t="str">
        <f t="shared" si="194"/>
        <v/>
      </c>
      <c r="BJ1207" s="9" t="str">
        <f t="shared" si="195"/>
        <v/>
      </c>
      <c r="BK1207" s="9" t="str">
        <f>IF($B1207="","",COUNTIFS($B$5:$B1207,$B1207,$BF$5:$BF1207,$BF1207))</f>
        <v/>
      </c>
      <c r="BL1207" s="9" t="str">
        <f>IF($B1207="","",COUNTIFS($B$5:$B1207,$B1207,$BH$5:$BH1207,$BH1207))</f>
        <v/>
      </c>
      <c r="BM1207" s="9" t="str">
        <f t="shared" si="196"/>
        <v/>
      </c>
      <c r="BN1207" s="9" t="str">
        <f t="shared" si="197"/>
        <v/>
      </c>
      <c r="BO1207" s="9">
        <f t="shared" si="198"/>
        <v>0</v>
      </c>
      <c r="BR1207" s="12" t="str">
        <f t="shared" si="199"/>
        <v/>
      </c>
    </row>
    <row r="1208" spans="1:70" ht="14.25" customHeight="1">
      <c r="A1208" s="26"/>
      <c r="C1208" s="26"/>
      <c r="D1208" s="27"/>
      <c r="E1208" s="27"/>
      <c r="BE1208" s="10" t="str">
        <f t="shared" si="190"/>
        <v/>
      </c>
      <c r="BF1208" s="8" t="str">
        <f t="shared" si="191"/>
        <v/>
      </c>
      <c r="BG1208" s="11" t="str">
        <f t="shared" si="192"/>
        <v/>
      </c>
      <c r="BH1208" s="8" t="str">
        <f t="shared" si="193"/>
        <v/>
      </c>
      <c r="BI1208" s="8" t="str">
        <f t="shared" si="194"/>
        <v/>
      </c>
      <c r="BJ1208" s="9" t="str">
        <f t="shared" si="195"/>
        <v/>
      </c>
      <c r="BK1208" s="9" t="str">
        <f>IF($B1208="","",COUNTIFS($B$5:$B1208,$B1208,$BF$5:$BF1208,$BF1208))</f>
        <v/>
      </c>
      <c r="BL1208" s="9" t="str">
        <f>IF($B1208="","",COUNTIFS($B$5:$B1208,$B1208,$BH$5:$BH1208,$BH1208))</f>
        <v/>
      </c>
      <c r="BM1208" s="9" t="str">
        <f t="shared" si="196"/>
        <v/>
      </c>
      <c r="BN1208" s="9" t="str">
        <f t="shared" si="197"/>
        <v/>
      </c>
      <c r="BO1208" s="9">
        <f t="shared" si="198"/>
        <v>0</v>
      </c>
      <c r="BR1208" s="12" t="str">
        <f t="shared" si="199"/>
        <v/>
      </c>
    </row>
    <row r="1209" spans="1:70" ht="14.25" customHeight="1">
      <c r="A1209" s="26"/>
      <c r="C1209" s="26"/>
      <c r="D1209" s="27"/>
      <c r="E1209" s="27"/>
      <c r="BE1209" s="10" t="str">
        <f t="shared" si="190"/>
        <v/>
      </c>
      <c r="BF1209" s="8" t="str">
        <f t="shared" si="191"/>
        <v/>
      </c>
      <c r="BG1209" s="11" t="str">
        <f t="shared" si="192"/>
        <v/>
      </c>
      <c r="BH1209" s="8" t="str">
        <f t="shared" si="193"/>
        <v/>
      </c>
      <c r="BI1209" s="8" t="str">
        <f t="shared" si="194"/>
        <v/>
      </c>
      <c r="BJ1209" s="9" t="str">
        <f t="shared" si="195"/>
        <v/>
      </c>
      <c r="BK1209" s="9" t="str">
        <f>IF($B1209="","",COUNTIFS($B$5:$B1209,$B1209,$BF$5:$BF1209,$BF1209))</f>
        <v/>
      </c>
      <c r="BL1209" s="9" t="str">
        <f>IF($B1209="","",COUNTIFS($B$5:$B1209,$B1209,$BH$5:$BH1209,$BH1209))</f>
        <v/>
      </c>
      <c r="BM1209" s="9" t="str">
        <f t="shared" si="196"/>
        <v/>
      </c>
      <c r="BN1209" s="9" t="str">
        <f t="shared" si="197"/>
        <v/>
      </c>
      <c r="BO1209" s="9">
        <f t="shared" si="198"/>
        <v>0</v>
      </c>
      <c r="BR1209" s="12" t="str">
        <f t="shared" si="199"/>
        <v/>
      </c>
    </row>
    <row r="1210" spans="1:70" ht="14.25" customHeight="1">
      <c r="A1210" s="26"/>
      <c r="C1210" s="26"/>
      <c r="D1210" s="27"/>
      <c r="E1210" s="27"/>
      <c r="BE1210" s="10" t="str">
        <f t="shared" si="190"/>
        <v/>
      </c>
      <c r="BF1210" s="8" t="str">
        <f t="shared" si="191"/>
        <v/>
      </c>
      <c r="BG1210" s="11" t="str">
        <f t="shared" si="192"/>
        <v/>
      </c>
      <c r="BH1210" s="8" t="str">
        <f t="shared" si="193"/>
        <v/>
      </c>
      <c r="BI1210" s="8" t="str">
        <f t="shared" si="194"/>
        <v/>
      </c>
      <c r="BJ1210" s="9" t="str">
        <f t="shared" si="195"/>
        <v/>
      </c>
      <c r="BK1210" s="9" t="str">
        <f>IF($B1210="","",COUNTIFS($B$5:$B1210,$B1210,$BF$5:$BF1210,$BF1210))</f>
        <v/>
      </c>
      <c r="BL1210" s="9" t="str">
        <f>IF($B1210="","",COUNTIFS($B$5:$B1210,$B1210,$BH$5:$BH1210,$BH1210))</f>
        <v/>
      </c>
      <c r="BM1210" s="9" t="str">
        <f t="shared" si="196"/>
        <v/>
      </c>
      <c r="BN1210" s="9" t="str">
        <f t="shared" si="197"/>
        <v/>
      </c>
      <c r="BO1210" s="9">
        <f t="shared" si="198"/>
        <v>0</v>
      </c>
      <c r="BR1210" s="12" t="str">
        <f t="shared" si="199"/>
        <v/>
      </c>
    </row>
    <row r="1211" spans="1:70" ht="14.25" customHeight="1">
      <c r="A1211" s="26"/>
      <c r="C1211" s="26"/>
      <c r="D1211" s="27"/>
      <c r="E1211" s="27"/>
      <c r="BE1211" s="10" t="str">
        <f t="shared" si="190"/>
        <v/>
      </c>
      <c r="BF1211" s="8" t="str">
        <f t="shared" si="191"/>
        <v/>
      </c>
      <c r="BG1211" s="11" t="str">
        <f t="shared" si="192"/>
        <v/>
      </c>
      <c r="BH1211" s="8" t="str">
        <f t="shared" si="193"/>
        <v/>
      </c>
      <c r="BI1211" s="8" t="str">
        <f t="shared" si="194"/>
        <v/>
      </c>
      <c r="BJ1211" s="9" t="str">
        <f t="shared" si="195"/>
        <v/>
      </c>
      <c r="BK1211" s="9" t="str">
        <f>IF($B1211="","",COUNTIFS($B$5:$B1211,$B1211,$BF$5:$BF1211,$BF1211))</f>
        <v/>
      </c>
      <c r="BL1211" s="9" t="str">
        <f>IF($B1211="","",COUNTIFS($B$5:$B1211,$B1211,$BH$5:$BH1211,$BH1211))</f>
        <v/>
      </c>
      <c r="BM1211" s="9" t="str">
        <f t="shared" si="196"/>
        <v/>
      </c>
      <c r="BN1211" s="9" t="str">
        <f t="shared" si="197"/>
        <v/>
      </c>
      <c r="BO1211" s="9">
        <f t="shared" si="198"/>
        <v>0</v>
      </c>
      <c r="BR1211" s="12" t="str">
        <f t="shared" si="199"/>
        <v/>
      </c>
    </row>
    <row r="1212" spans="1:70" ht="14.25" customHeight="1">
      <c r="A1212" s="26"/>
      <c r="C1212" s="26"/>
      <c r="D1212" s="27"/>
      <c r="E1212" s="27"/>
      <c r="BE1212" s="10" t="str">
        <f t="shared" si="190"/>
        <v/>
      </c>
      <c r="BF1212" s="8" t="str">
        <f t="shared" si="191"/>
        <v/>
      </c>
      <c r="BG1212" s="11" t="str">
        <f t="shared" si="192"/>
        <v/>
      </c>
      <c r="BH1212" s="8" t="str">
        <f t="shared" si="193"/>
        <v/>
      </c>
      <c r="BI1212" s="8" t="str">
        <f t="shared" si="194"/>
        <v/>
      </c>
      <c r="BJ1212" s="9" t="str">
        <f t="shared" si="195"/>
        <v/>
      </c>
      <c r="BK1212" s="9" t="str">
        <f>IF($B1212="","",COUNTIFS($B$5:$B1212,$B1212,$BF$5:$BF1212,$BF1212))</f>
        <v/>
      </c>
      <c r="BL1212" s="9" t="str">
        <f>IF($B1212="","",COUNTIFS($B$5:$B1212,$B1212,$BH$5:$BH1212,$BH1212))</f>
        <v/>
      </c>
      <c r="BM1212" s="9" t="str">
        <f t="shared" si="196"/>
        <v/>
      </c>
      <c r="BN1212" s="9" t="str">
        <f t="shared" si="197"/>
        <v/>
      </c>
      <c r="BO1212" s="9">
        <f t="shared" si="198"/>
        <v>0</v>
      </c>
      <c r="BR1212" s="12" t="str">
        <f t="shared" si="199"/>
        <v/>
      </c>
    </row>
    <row r="1213" spans="1:70" ht="14.25" customHeight="1">
      <c r="A1213" s="26"/>
      <c r="C1213" s="26"/>
      <c r="D1213" s="27"/>
      <c r="E1213" s="27"/>
      <c r="BE1213" s="10" t="str">
        <f t="shared" si="190"/>
        <v/>
      </c>
      <c r="BF1213" s="8" t="str">
        <f t="shared" si="191"/>
        <v/>
      </c>
      <c r="BG1213" s="11" t="str">
        <f t="shared" si="192"/>
        <v/>
      </c>
      <c r="BH1213" s="8" t="str">
        <f t="shared" si="193"/>
        <v/>
      </c>
      <c r="BI1213" s="8" t="str">
        <f t="shared" si="194"/>
        <v/>
      </c>
      <c r="BJ1213" s="9" t="str">
        <f t="shared" si="195"/>
        <v/>
      </c>
      <c r="BK1213" s="9" t="str">
        <f>IF($B1213="","",COUNTIFS($B$5:$B1213,$B1213,$BF$5:$BF1213,$BF1213))</f>
        <v/>
      </c>
      <c r="BL1213" s="9" t="str">
        <f>IF($B1213="","",COUNTIFS($B$5:$B1213,$B1213,$BH$5:$BH1213,$BH1213))</f>
        <v/>
      </c>
      <c r="BM1213" s="9" t="str">
        <f t="shared" si="196"/>
        <v/>
      </c>
      <c r="BN1213" s="9" t="str">
        <f t="shared" si="197"/>
        <v/>
      </c>
      <c r="BO1213" s="9">
        <f t="shared" si="198"/>
        <v>0</v>
      </c>
      <c r="BR1213" s="12" t="str">
        <f t="shared" si="199"/>
        <v/>
      </c>
    </row>
    <row r="1214" spans="1:70" ht="14.25" customHeight="1">
      <c r="A1214" s="26"/>
      <c r="C1214" s="26"/>
      <c r="D1214" s="27"/>
      <c r="E1214" s="27"/>
      <c r="BE1214" s="10" t="str">
        <f t="shared" si="190"/>
        <v/>
      </c>
      <c r="BF1214" s="8" t="str">
        <f t="shared" si="191"/>
        <v/>
      </c>
      <c r="BG1214" s="11" t="str">
        <f t="shared" si="192"/>
        <v/>
      </c>
      <c r="BH1214" s="8" t="str">
        <f t="shared" si="193"/>
        <v/>
      </c>
      <c r="BI1214" s="8" t="str">
        <f t="shared" si="194"/>
        <v/>
      </c>
      <c r="BJ1214" s="9" t="str">
        <f t="shared" si="195"/>
        <v/>
      </c>
      <c r="BK1214" s="9" t="str">
        <f>IF($B1214="","",COUNTIFS($B$5:$B1214,$B1214,$BF$5:$BF1214,$BF1214))</f>
        <v/>
      </c>
      <c r="BL1214" s="9" t="str">
        <f>IF($B1214="","",COUNTIFS($B$5:$B1214,$B1214,$BH$5:$BH1214,$BH1214))</f>
        <v/>
      </c>
      <c r="BM1214" s="9" t="str">
        <f t="shared" si="196"/>
        <v/>
      </c>
      <c r="BN1214" s="9" t="str">
        <f t="shared" si="197"/>
        <v/>
      </c>
      <c r="BO1214" s="9">
        <f t="shared" si="198"/>
        <v>0</v>
      </c>
      <c r="BR1214" s="12" t="str">
        <f t="shared" si="199"/>
        <v/>
      </c>
    </row>
    <row r="1215" spans="1:70" ht="14.25" customHeight="1">
      <c r="A1215" s="26"/>
      <c r="C1215" s="26"/>
      <c r="D1215" s="27"/>
      <c r="E1215" s="27"/>
      <c r="BE1215" s="10" t="str">
        <f t="shared" si="190"/>
        <v/>
      </c>
      <c r="BF1215" s="8" t="str">
        <f t="shared" si="191"/>
        <v/>
      </c>
      <c r="BG1215" s="11" t="str">
        <f t="shared" si="192"/>
        <v/>
      </c>
      <c r="BH1215" s="8" t="str">
        <f t="shared" si="193"/>
        <v/>
      </c>
      <c r="BI1215" s="8" t="str">
        <f t="shared" si="194"/>
        <v/>
      </c>
      <c r="BJ1215" s="9" t="str">
        <f t="shared" si="195"/>
        <v/>
      </c>
      <c r="BK1215" s="9" t="str">
        <f>IF($B1215="","",COUNTIFS($B$5:$B1215,$B1215,$BF$5:$BF1215,$BF1215))</f>
        <v/>
      </c>
      <c r="BL1215" s="9" t="str">
        <f>IF($B1215="","",COUNTIFS($B$5:$B1215,$B1215,$BH$5:$BH1215,$BH1215))</f>
        <v/>
      </c>
      <c r="BM1215" s="9" t="str">
        <f t="shared" si="196"/>
        <v/>
      </c>
      <c r="BN1215" s="9" t="str">
        <f t="shared" si="197"/>
        <v/>
      </c>
      <c r="BO1215" s="9">
        <f t="shared" si="198"/>
        <v>0</v>
      </c>
      <c r="BR1215" s="12" t="str">
        <f t="shared" si="199"/>
        <v/>
      </c>
    </row>
    <row r="1216" spans="1:70" ht="14.25" customHeight="1">
      <c r="A1216" s="26"/>
      <c r="C1216" s="26"/>
      <c r="D1216" s="27"/>
      <c r="E1216" s="27"/>
      <c r="BE1216" s="10" t="str">
        <f t="shared" si="190"/>
        <v/>
      </c>
      <c r="BF1216" s="8" t="str">
        <f t="shared" si="191"/>
        <v/>
      </c>
      <c r="BG1216" s="11" t="str">
        <f t="shared" si="192"/>
        <v/>
      </c>
      <c r="BH1216" s="8" t="str">
        <f t="shared" si="193"/>
        <v/>
      </c>
      <c r="BI1216" s="8" t="str">
        <f t="shared" si="194"/>
        <v/>
      </c>
      <c r="BJ1216" s="9" t="str">
        <f t="shared" si="195"/>
        <v/>
      </c>
      <c r="BK1216" s="9" t="str">
        <f>IF($B1216="","",COUNTIFS($B$5:$B1216,$B1216,$BF$5:$BF1216,$BF1216))</f>
        <v/>
      </c>
      <c r="BL1216" s="9" t="str">
        <f>IF($B1216="","",COUNTIFS($B$5:$B1216,$B1216,$BH$5:$BH1216,$BH1216))</f>
        <v/>
      </c>
      <c r="BM1216" s="9" t="str">
        <f t="shared" si="196"/>
        <v/>
      </c>
      <c r="BN1216" s="9" t="str">
        <f t="shared" si="197"/>
        <v/>
      </c>
      <c r="BO1216" s="9">
        <f t="shared" si="198"/>
        <v>0</v>
      </c>
      <c r="BR1216" s="12" t="str">
        <f t="shared" si="199"/>
        <v/>
      </c>
    </row>
    <row r="1217" spans="1:70" ht="14.25" customHeight="1">
      <c r="A1217" s="26"/>
      <c r="C1217" s="26"/>
      <c r="D1217" s="27"/>
      <c r="E1217" s="27"/>
      <c r="BE1217" s="10" t="str">
        <f t="shared" si="190"/>
        <v/>
      </c>
      <c r="BF1217" s="8" t="str">
        <f t="shared" si="191"/>
        <v/>
      </c>
      <c r="BG1217" s="11" t="str">
        <f t="shared" si="192"/>
        <v/>
      </c>
      <c r="BH1217" s="8" t="str">
        <f t="shared" si="193"/>
        <v/>
      </c>
      <c r="BI1217" s="8" t="str">
        <f t="shared" si="194"/>
        <v/>
      </c>
      <c r="BJ1217" s="9" t="str">
        <f t="shared" si="195"/>
        <v/>
      </c>
      <c r="BK1217" s="9" t="str">
        <f>IF($B1217="","",COUNTIFS($B$5:$B1217,$B1217,$BF$5:$BF1217,$BF1217))</f>
        <v/>
      </c>
      <c r="BL1217" s="9" t="str">
        <f>IF($B1217="","",COUNTIFS($B$5:$B1217,$B1217,$BH$5:$BH1217,$BH1217))</f>
        <v/>
      </c>
      <c r="BM1217" s="9" t="str">
        <f t="shared" si="196"/>
        <v/>
      </c>
      <c r="BN1217" s="9" t="str">
        <f t="shared" si="197"/>
        <v/>
      </c>
      <c r="BO1217" s="9">
        <f t="shared" si="198"/>
        <v>0</v>
      </c>
      <c r="BR1217" s="12" t="str">
        <f t="shared" si="199"/>
        <v/>
      </c>
    </row>
    <row r="1218" spans="1:70" ht="14.25" customHeight="1">
      <c r="A1218" s="26"/>
      <c r="C1218" s="26"/>
      <c r="D1218" s="27"/>
      <c r="E1218" s="27"/>
      <c r="BE1218" s="10" t="str">
        <f t="shared" si="190"/>
        <v/>
      </c>
      <c r="BF1218" s="8" t="str">
        <f t="shared" si="191"/>
        <v/>
      </c>
      <c r="BG1218" s="11" t="str">
        <f t="shared" si="192"/>
        <v/>
      </c>
      <c r="BH1218" s="8" t="str">
        <f t="shared" si="193"/>
        <v/>
      </c>
      <c r="BI1218" s="8" t="str">
        <f t="shared" si="194"/>
        <v/>
      </c>
      <c r="BJ1218" s="9" t="str">
        <f t="shared" si="195"/>
        <v/>
      </c>
      <c r="BK1218" s="9" t="str">
        <f>IF($B1218="","",COUNTIFS($B$5:$B1218,$B1218,$BF$5:$BF1218,$BF1218))</f>
        <v/>
      </c>
      <c r="BL1218" s="9" t="str">
        <f>IF($B1218="","",COUNTIFS($B$5:$B1218,$B1218,$BH$5:$BH1218,$BH1218))</f>
        <v/>
      </c>
      <c r="BM1218" s="9" t="str">
        <f t="shared" si="196"/>
        <v/>
      </c>
      <c r="BN1218" s="9" t="str">
        <f t="shared" si="197"/>
        <v/>
      </c>
      <c r="BO1218" s="9">
        <f t="shared" si="198"/>
        <v>0</v>
      </c>
      <c r="BR1218" s="12" t="str">
        <f t="shared" si="199"/>
        <v/>
      </c>
    </row>
    <row r="1219" spans="1:70" ht="14.25" customHeight="1">
      <c r="A1219" s="26"/>
      <c r="C1219" s="26"/>
      <c r="D1219" s="27"/>
      <c r="E1219" s="27"/>
      <c r="BE1219" s="10" t="str">
        <f t="shared" si="190"/>
        <v/>
      </c>
      <c r="BF1219" s="8" t="str">
        <f t="shared" si="191"/>
        <v/>
      </c>
      <c r="BG1219" s="11" t="str">
        <f t="shared" si="192"/>
        <v/>
      </c>
      <c r="BH1219" s="8" t="str">
        <f t="shared" si="193"/>
        <v/>
      </c>
      <c r="BI1219" s="8" t="str">
        <f t="shared" si="194"/>
        <v/>
      </c>
      <c r="BJ1219" s="9" t="str">
        <f t="shared" si="195"/>
        <v/>
      </c>
      <c r="BK1219" s="9" t="str">
        <f>IF($B1219="","",COUNTIFS($B$5:$B1219,$B1219,$BF$5:$BF1219,$BF1219))</f>
        <v/>
      </c>
      <c r="BL1219" s="9" t="str">
        <f>IF($B1219="","",COUNTIFS($B$5:$B1219,$B1219,$BH$5:$BH1219,$BH1219))</f>
        <v/>
      </c>
      <c r="BM1219" s="9" t="str">
        <f t="shared" si="196"/>
        <v/>
      </c>
      <c r="BN1219" s="9" t="str">
        <f t="shared" si="197"/>
        <v/>
      </c>
      <c r="BO1219" s="9">
        <f t="shared" si="198"/>
        <v>0</v>
      </c>
      <c r="BR1219" s="12" t="str">
        <f t="shared" si="199"/>
        <v/>
      </c>
    </row>
    <row r="1220" spans="1:70" ht="14.25" customHeight="1">
      <c r="A1220" s="26"/>
      <c r="C1220" s="26"/>
      <c r="D1220" s="27"/>
      <c r="E1220" s="27"/>
      <c r="BE1220" s="10" t="str">
        <f t="shared" si="190"/>
        <v/>
      </c>
      <c r="BF1220" s="8" t="str">
        <f t="shared" si="191"/>
        <v/>
      </c>
      <c r="BG1220" s="11" t="str">
        <f t="shared" si="192"/>
        <v/>
      </c>
      <c r="BH1220" s="8" t="str">
        <f t="shared" si="193"/>
        <v/>
      </c>
      <c r="BI1220" s="8" t="str">
        <f t="shared" si="194"/>
        <v/>
      </c>
      <c r="BJ1220" s="9" t="str">
        <f t="shared" si="195"/>
        <v/>
      </c>
      <c r="BK1220" s="9" t="str">
        <f>IF($B1220="","",COUNTIFS($B$5:$B1220,$B1220,$BF$5:$BF1220,$BF1220))</f>
        <v/>
      </c>
      <c r="BL1220" s="9" t="str">
        <f>IF($B1220="","",COUNTIFS($B$5:$B1220,$B1220,$BH$5:$BH1220,$BH1220))</f>
        <v/>
      </c>
      <c r="BM1220" s="9" t="str">
        <f t="shared" si="196"/>
        <v/>
      </c>
      <c r="BN1220" s="9" t="str">
        <f t="shared" si="197"/>
        <v/>
      </c>
      <c r="BO1220" s="9">
        <f t="shared" si="198"/>
        <v>0</v>
      </c>
      <c r="BR1220" s="12" t="str">
        <f t="shared" si="199"/>
        <v/>
      </c>
    </row>
    <row r="1221" spans="1:70" ht="14.25" customHeight="1">
      <c r="A1221" s="26"/>
      <c r="C1221" s="26"/>
      <c r="D1221" s="27"/>
      <c r="E1221" s="27"/>
      <c r="BE1221" s="10" t="str">
        <f t="shared" si="190"/>
        <v/>
      </c>
      <c r="BF1221" s="8" t="str">
        <f t="shared" si="191"/>
        <v/>
      </c>
      <c r="BG1221" s="11" t="str">
        <f t="shared" si="192"/>
        <v/>
      </c>
      <c r="BH1221" s="8" t="str">
        <f t="shared" si="193"/>
        <v/>
      </c>
      <c r="BI1221" s="8" t="str">
        <f t="shared" si="194"/>
        <v/>
      </c>
      <c r="BJ1221" s="9" t="str">
        <f t="shared" si="195"/>
        <v/>
      </c>
      <c r="BK1221" s="9" t="str">
        <f>IF($B1221="","",COUNTIFS($B$5:$B1221,$B1221,$BF$5:$BF1221,$BF1221))</f>
        <v/>
      </c>
      <c r="BL1221" s="9" t="str">
        <f>IF($B1221="","",COUNTIFS($B$5:$B1221,$B1221,$BH$5:$BH1221,$BH1221))</f>
        <v/>
      </c>
      <c r="BM1221" s="9" t="str">
        <f t="shared" si="196"/>
        <v/>
      </c>
      <c r="BN1221" s="9" t="str">
        <f t="shared" si="197"/>
        <v/>
      </c>
      <c r="BO1221" s="9">
        <f t="shared" si="198"/>
        <v>0</v>
      </c>
      <c r="BR1221" s="12" t="str">
        <f t="shared" si="199"/>
        <v/>
      </c>
    </row>
    <row r="1222" spans="1:70" ht="14.25" customHeight="1">
      <c r="A1222" s="26"/>
      <c r="C1222" s="26"/>
      <c r="D1222" s="27"/>
      <c r="E1222" s="27"/>
      <c r="BE1222" s="10" t="str">
        <f t="shared" si="190"/>
        <v/>
      </c>
      <c r="BF1222" s="8" t="str">
        <f t="shared" si="191"/>
        <v/>
      </c>
      <c r="BG1222" s="11" t="str">
        <f t="shared" si="192"/>
        <v/>
      </c>
      <c r="BH1222" s="8" t="str">
        <f t="shared" si="193"/>
        <v/>
      </c>
      <c r="BI1222" s="8" t="str">
        <f t="shared" si="194"/>
        <v/>
      </c>
      <c r="BJ1222" s="9" t="str">
        <f t="shared" si="195"/>
        <v/>
      </c>
      <c r="BK1222" s="9" t="str">
        <f>IF($B1222="","",COUNTIFS($B$5:$B1222,$B1222,$BF$5:$BF1222,$BF1222))</f>
        <v/>
      </c>
      <c r="BL1222" s="9" t="str">
        <f>IF($B1222="","",COUNTIFS($B$5:$B1222,$B1222,$BH$5:$BH1222,$BH1222))</f>
        <v/>
      </c>
      <c r="BM1222" s="9" t="str">
        <f t="shared" si="196"/>
        <v/>
      </c>
      <c r="BN1222" s="9" t="str">
        <f t="shared" si="197"/>
        <v/>
      </c>
      <c r="BO1222" s="9">
        <f t="shared" si="198"/>
        <v>0</v>
      </c>
      <c r="BR1222" s="12" t="str">
        <f t="shared" si="199"/>
        <v/>
      </c>
    </row>
    <row r="1223" spans="1:70" ht="14.25" customHeight="1">
      <c r="A1223" s="26"/>
      <c r="C1223" s="26"/>
      <c r="D1223" s="27"/>
      <c r="E1223" s="27"/>
      <c r="BE1223" s="10" t="str">
        <f t="shared" si="190"/>
        <v/>
      </c>
      <c r="BF1223" s="8" t="str">
        <f t="shared" si="191"/>
        <v/>
      </c>
      <c r="BG1223" s="11" t="str">
        <f t="shared" si="192"/>
        <v/>
      </c>
      <c r="BH1223" s="8" t="str">
        <f t="shared" si="193"/>
        <v/>
      </c>
      <c r="BI1223" s="8" t="str">
        <f t="shared" si="194"/>
        <v/>
      </c>
      <c r="BJ1223" s="9" t="str">
        <f t="shared" si="195"/>
        <v/>
      </c>
      <c r="BK1223" s="9" t="str">
        <f>IF($B1223="","",COUNTIFS($B$5:$B1223,$B1223,$BF$5:$BF1223,$BF1223))</f>
        <v/>
      </c>
      <c r="BL1223" s="9" t="str">
        <f>IF($B1223="","",COUNTIFS($B$5:$B1223,$B1223,$BH$5:$BH1223,$BH1223))</f>
        <v/>
      </c>
      <c r="BM1223" s="9" t="str">
        <f t="shared" si="196"/>
        <v/>
      </c>
      <c r="BN1223" s="9" t="str">
        <f t="shared" si="197"/>
        <v/>
      </c>
      <c r="BO1223" s="9">
        <f t="shared" si="198"/>
        <v>0</v>
      </c>
      <c r="BR1223" s="12" t="str">
        <f t="shared" si="199"/>
        <v/>
      </c>
    </row>
    <row r="1224" spans="1:70" ht="14.25" customHeight="1">
      <c r="A1224" s="26"/>
      <c r="C1224" s="26"/>
      <c r="D1224" s="27"/>
      <c r="E1224" s="27"/>
      <c r="BE1224" s="10" t="str">
        <f t="shared" si="190"/>
        <v/>
      </c>
      <c r="BF1224" s="8" t="str">
        <f t="shared" si="191"/>
        <v/>
      </c>
      <c r="BG1224" s="11" t="str">
        <f t="shared" si="192"/>
        <v/>
      </c>
      <c r="BH1224" s="8" t="str">
        <f t="shared" si="193"/>
        <v/>
      </c>
      <c r="BI1224" s="8" t="str">
        <f t="shared" si="194"/>
        <v/>
      </c>
      <c r="BJ1224" s="9" t="str">
        <f t="shared" si="195"/>
        <v/>
      </c>
      <c r="BK1224" s="9" t="str">
        <f>IF($B1224="","",COUNTIFS($B$5:$B1224,$B1224,$BF$5:$BF1224,$BF1224))</f>
        <v/>
      </c>
      <c r="BL1224" s="9" t="str">
        <f>IF($B1224="","",COUNTIFS($B$5:$B1224,$B1224,$BH$5:$BH1224,$BH1224))</f>
        <v/>
      </c>
      <c r="BM1224" s="9" t="str">
        <f t="shared" si="196"/>
        <v/>
      </c>
      <c r="BN1224" s="9" t="str">
        <f t="shared" si="197"/>
        <v/>
      </c>
      <c r="BO1224" s="9">
        <f t="shared" si="198"/>
        <v>0</v>
      </c>
      <c r="BR1224" s="12" t="str">
        <f t="shared" si="199"/>
        <v/>
      </c>
    </row>
    <row r="1225" spans="1:70" ht="14.25" customHeight="1">
      <c r="A1225" s="26"/>
      <c r="C1225" s="26"/>
      <c r="D1225" s="27"/>
      <c r="E1225" s="27"/>
      <c r="BE1225" s="10" t="str">
        <f t="shared" si="190"/>
        <v/>
      </c>
      <c r="BF1225" s="8" t="str">
        <f t="shared" si="191"/>
        <v/>
      </c>
      <c r="BG1225" s="11" t="str">
        <f t="shared" si="192"/>
        <v/>
      </c>
      <c r="BH1225" s="8" t="str">
        <f t="shared" si="193"/>
        <v/>
      </c>
      <c r="BI1225" s="8" t="str">
        <f t="shared" si="194"/>
        <v/>
      </c>
      <c r="BJ1225" s="9" t="str">
        <f t="shared" si="195"/>
        <v/>
      </c>
      <c r="BK1225" s="9" t="str">
        <f>IF($B1225="","",COUNTIFS($B$5:$B1225,$B1225,$BF$5:$BF1225,$BF1225))</f>
        <v/>
      </c>
      <c r="BL1225" s="9" t="str">
        <f>IF($B1225="","",COUNTIFS($B$5:$B1225,$B1225,$BH$5:$BH1225,$BH1225))</f>
        <v/>
      </c>
      <c r="BM1225" s="9" t="str">
        <f t="shared" si="196"/>
        <v/>
      </c>
      <c r="BN1225" s="9" t="str">
        <f t="shared" si="197"/>
        <v/>
      </c>
      <c r="BO1225" s="9">
        <f t="shared" si="198"/>
        <v>0</v>
      </c>
      <c r="BR1225" s="12" t="str">
        <f t="shared" si="199"/>
        <v/>
      </c>
    </row>
    <row r="1226" spans="1:70" ht="14.25" customHeight="1">
      <c r="A1226" s="26"/>
      <c r="C1226" s="26"/>
      <c r="D1226" s="27"/>
      <c r="E1226" s="27"/>
      <c r="BE1226" s="10" t="str">
        <f t="shared" si="190"/>
        <v/>
      </c>
      <c r="BF1226" s="8" t="str">
        <f t="shared" si="191"/>
        <v/>
      </c>
      <c r="BG1226" s="11" t="str">
        <f t="shared" si="192"/>
        <v/>
      </c>
      <c r="BH1226" s="8" t="str">
        <f t="shared" si="193"/>
        <v/>
      </c>
      <c r="BI1226" s="8" t="str">
        <f t="shared" si="194"/>
        <v/>
      </c>
      <c r="BJ1226" s="9" t="str">
        <f t="shared" si="195"/>
        <v/>
      </c>
      <c r="BK1226" s="9" t="str">
        <f>IF($B1226="","",COUNTIFS($B$5:$B1226,$B1226,$BF$5:$BF1226,$BF1226))</f>
        <v/>
      </c>
      <c r="BL1226" s="9" t="str">
        <f>IF($B1226="","",COUNTIFS($B$5:$B1226,$B1226,$BH$5:$BH1226,$BH1226))</f>
        <v/>
      </c>
      <c r="BM1226" s="9" t="str">
        <f t="shared" si="196"/>
        <v/>
      </c>
      <c r="BN1226" s="9" t="str">
        <f t="shared" si="197"/>
        <v/>
      </c>
      <c r="BO1226" s="9">
        <f t="shared" si="198"/>
        <v>0</v>
      </c>
      <c r="BR1226" s="12" t="str">
        <f t="shared" si="199"/>
        <v/>
      </c>
    </row>
    <row r="1227" spans="1:70" ht="14.25" customHeight="1">
      <c r="A1227" s="26"/>
      <c r="C1227" s="26"/>
      <c r="D1227" s="27"/>
      <c r="E1227" s="27"/>
      <c r="BE1227" s="10" t="str">
        <f t="shared" si="190"/>
        <v/>
      </c>
      <c r="BF1227" s="8" t="str">
        <f t="shared" si="191"/>
        <v/>
      </c>
      <c r="BG1227" s="11" t="str">
        <f t="shared" si="192"/>
        <v/>
      </c>
      <c r="BH1227" s="8" t="str">
        <f t="shared" si="193"/>
        <v/>
      </c>
      <c r="BI1227" s="8" t="str">
        <f t="shared" si="194"/>
        <v/>
      </c>
      <c r="BJ1227" s="9" t="str">
        <f t="shared" si="195"/>
        <v/>
      </c>
      <c r="BK1227" s="9" t="str">
        <f>IF($B1227="","",COUNTIFS($B$5:$B1227,$B1227,$BF$5:$BF1227,$BF1227))</f>
        <v/>
      </c>
      <c r="BL1227" s="9" t="str">
        <f>IF($B1227="","",COUNTIFS($B$5:$B1227,$B1227,$BH$5:$BH1227,$BH1227))</f>
        <v/>
      </c>
      <c r="BM1227" s="9" t="str">
        <f t="shared" si="196"/>
        <v/>
      </c>
      <c r="BN1227" s="9" t="str">
        <f t="shared" si="197"/>
        <v/>
      </c>
      <c r="BO1227" s="9">
        <f t="shared" si="198"/>
        <v>0</v>
      </c>
      <c r="BR1227" s="12" t="str">
        <f t="shared" si="199"/>
        <v/>
      </c>
    </row>
    <row r="1228" spans="1:70" ht="14.25" customHeight="1">
      <c r="A1228" s="26"/>
      <c r="C1228" s="26"/>
      <c r="D1228" s="27"/>
      <c r="E1228" s="27"/>
      <c r="BE1228" s="10" t="str">
        <f t="shared" si="190"/>
        <v/>
      </c>
      <c r="BF1228" s="8" t="str">
        <f t="shared" si="191"/>
        <v/>
      </c>
      <c r="BG1228" s="11" t="str">
        <f t="shared" si="192"/>
        <v/>
      </c>
      <c r="BH1228" s="8" t="str">
        <f t="shared" si="193"/>
        <v/>
      </c>
      <c r="BI1228" s="8" t="str">
        <f t="shared" si="194"/>
        <v/>
      </c>
      <c r="BJ1228" s="9" t="str">
        <f t="shared" si="195"/>
        <v/>
      </c>
      <c r="BK1228" s="9" t="str">
        <f>IF($B1228="","",COUNTIFS($B$5:$B1228,$B1228,$BF$5:$BF1228,$BF1228))</f>
        <v/>
      </c>
      <c r="BL1228" s="9" t="str">
        <f>IF($B1228="","",COUNTIFS($B$5:$B1228,$B1228,$BH$5:$BH1228,$BH1228))</f>
        <v/>
      </c>
      <c r="BM1228" s="9" t="str">
        <f t="shared" si="196"/>
        <v/>
      </c>
      <c r="BN1228" s="9" t="str">
        <f t="shared" si="197"/>
        <v/>
      </c>
      <c r="BO1228" s="9">
        <f t="shared" si="198"/>
        <v>0</v>
      </c>
      <c r="BR1228" s="12" t="str">
        <f t="shared" si="199"/>
        <v/>
      </c>
    </row>
    <row r="1229" spans="1:70" ht="14.25" customHeight="1">
      <c r="A1229" s="26"/>
      <c r="C1229" s="26"/>
      <c r="D1229" s="27"/>
      <c r="E1229" s="27"/>
      <c r="BE1229" s="10" t="str">
        <f t="shared" si="190"/>
        <v/>
      </c>
      <c r="BF1229" s="8" t="str">
        <f t="shared" si="191"/>
        <v/>
      </c>
      <c r="BG1229" s="11" t="str">
        <f t="shared" si="192"/>
        <v/>
      </c>
      <c r="BH1229" s="8" t="str">
        <f t="shared" si="193"/>
        <v/>
      </c>
      <c r="BI1229" s="8" t="str">
        <f t="shared" si="194"/>
        <v/>
      </c>
      <c r="BJ1229" s="9" t="str">
        <f t="shared" si="195"/>
        <v/>
      </c>
      <c r="BK1229" s="9" t="str">
        <f>IF($B1229="","",COUNTIFS($B$5:$B1229,$B1229,$BF$5:$BF1229,$BF1229))</f>
        <v/>
      </c>
      <c r="BL1229" s="9" t="str">
        <f>IF($B1229="","",COUNTIFS($B$5:$B1229,$B1229,$BH$5:$BH1229,$BH1229))</f>
        <v/>
      </c>
      <c r="BM1229" s="9" t="str">
        <f t="shared" si="196"/>
        <v/>
      </c>
      <c r="BN1229" s="9" t="str">
        <f t="shared" si="197"/>
        <v/>
      </c>
      <c r="BO1229" s="9">
        <f t="shared" si="198"/>
        <v>0</v>
      </c>
      <c r="BR1229" s="12" t="str">
        <f t="shared" si="199"/>
        <v/>
      </c>
    </row>
    <row r="1230" spans="1:70" ht="14.25" customHeight="1">
      <c r="A1230" s="26"/>
      <c r="C1230" s="26"/>
      <c r="D1230" s="27"/>
      <c r="E1230" s="27"/>
      <c r="BE1230" s="10" t="str">
        <f t="shared" si="190"/>
        <v/>
      </c>
      <c r="BF1230" s="8" t="str">
        <f t="shared" si="191"/>
        <v/>
      </c>
      <c r="BG1230" s="11" t="str">
        <f t="shared" si="192"/>
        <v/>
      </c>
      <c r="BH1230" s="8" t="str">
        <f t="shared" si="193"/>
        <v/>
      </c>
      <c r="BI1230" s="8" t="str">
        <f t="shared" si="194"/>
        <v/>
      </c>
      <c r="BJ1230" s="9" t="str">
        <f t="shared" si="195"/>
        <v/>
      </c>
      <c r="BK1230" s="9" t="str">
        <f>IF($B1230="","",COUNTIFS($B$5:$B1230,$B1230,$BF$5:$BF1230,$BF1230))</f>
        <v/>
      </c>
      <c r="BL1230" s="9" t="str">
        <f>IF($B1230="","",COUNTIFS($B$5:$B1230,$B1230,$BH$5:$BH1230,$BH1230))</f>
        <v/>
      </c>
      <c r="BM1230" s="9" t="str">
        <f t="shared" si="196"/>
        <v/>
      </c>
      <c r="BN1230" s="9" t="str">
        <f t="shared" si="197"/>
        <v/>
      </c>
      <c r="BO1230" s="9">
        <f t="shared" si="198"/>
        <v>0</v>
      </c>
      <c r="BR1230" s="12" t="str">
        <f t="shared" si="199"/>
        <v/>
      </c>
    </row>
    <row r="1231" spans="1:70" ht="14.25" customHeight="1">
      <c r="A1231" s="26"/>
      <c r="C1231" s="26"/>
      <c r="D1231" s="27"/>
      <c r="E1231" s="27"/>
      <c r="BE1231" s="10" t="str">
        <f t="shared" si="190"/>
        <v/>
      </c>
      <c r="BF1231" s="8" t="str">
        <f t="shared" si="191"/>
        <v/>
      </c>
      <c r="BG1231" s="11" t="str">
        <f t="shared" si="192"/>
        <v/>
      </c>
      <c r="BH1231" s="8" t="str">
        <f t="shared" si="193"/>
        <v/>
      </c>
      <c r="BI1231" s="8" t="str">
        <f t="shared" si="194"/>
        <v/>
      </c>
      <c r="BJ1231" s="9" t="str">
        <f t="shared" si="195"/>
        <v/>
      </c>
      <c r="BK1231" s="9" t="str">
        <f>IF($B1231="","",COUNTIFS($B$5:$B1231,$B1231,$BF$5:$BF1231,$BF1231))</f>
        <v/>
      </c>
      <c r="BL1231" s="9" t="str">
        <f>IF($B1231="","",COUNTIFS($B$5:$B1231,$B1231,$BH$5:$BH1231,$BH1231))</f>
        <v/>
      </c>
      <c r="BM1231" s="9" t="str">
        <f t="shared" si="196"/>
        <v/>
      </c>
      <c r="BN1231" s="9" t="str">
        <f t="shared" si="197"/>
        <v/>
      </c>
      <c r="BO1231" s="9">
        <f t="shared" si="198"/>
        <v>0</v>
      </c>
      <c r="BR1231" s="12" t="str">
        <f t="shared" si="199"/>
        <v/>
      </c>
    </row>
    <row r="1232" spans="1:70" ht="14.25" customHeight="1">
      <c r="A1232" s="26"/>
      <c r="C1232" s="26"/>
      <c r="D1232" s="27"/>
      <c r="E1232" s="27"/>
      <c r="BE1232" s="10" t="str">
        <f t="shared" si="190"/>
        <v/>
      </c>
      <c r="BF1232" s="8" t="str">
        <f t="shared" si="191"/>
        <v/>
      </c>
      <c r="BG1232" s="11" t="str">
        <f t="shared" si="192"/>
        <v/>
      </c>
      <c r="BH1232" s="8" t="str">
        <f t="shared" si="193"/>
        <v/>
      </c>
      <c r="BI1232" s="8" t="str">
        <f t="shared" si="194"/>
        <v/>
      </c>
      <c r="BJ1232" s="9" t="str">
        <f t="shared" si="195"/>
        <v/>
      </c>
      <c r="BK1232" s="9" t="str">
        <f>IF($B1232="","",COUNTIFS($B$5:$B1232,$B1232,$BF$5:$BF1232,$BF1232))</f>
        <v/>
      </c>
      <c r="BL1232" s="9" t="str">
        <f>IF($B1232="","",COUNTIFS($B$5:$B1232,$B1232,$BH$5:$BH1232,$BH1232))</f>
        <v/>
      </c>
      <c r="BM1232" s="9" t="str">
        <f t="shared" si="196"/>
        <v/>
      </c>
      <c r="BN1232" s="9" t="str">
        <f t="shared" si="197"/>
        <v/>
      </c>
      <c r="BO1232" s="9">
        <f t="shared" si="198"/>
        <v>0</v>
      </c>
      <c r="BR1232" s="12" t="str">
        <f t="shared" si="199"/>
        <v/>
      </c>
    </row>
    <row r="1233" spans="1:70" ht="14.25" customHeight="1">
      <c r="A1233" s="26"/>
      <c r="C1233" s="26"/>
      <c r="D1233" s="27"/>
      <c r="E1233" s="27"/>
      <c r="BE1233" s="10" t="str">
        <f t="shared" si="190"/>
        <v/>
      </c>
      <c r="BF1233" s="8" t="str">
        <f t="shared" si="191"/>
        <v/>
      </c>
      <c r="BG1233" s="11" t="str">
        <f t="shared" si="192"/>
        <v/>
      </c>
      <c r="BH1233" s="8" t="str">
        <f t="shared" si="193"/>
        <v/>
      </c>
      <c r="BI1233" s="8" t="str">
        <f t="shared" si="194"/>
        <v/>
      </c>
      <c r="BJ1233" s="9" t="str">
        <f t="shared" si="195"/>
        <v/>
      </c>
      <c r="BK1233" s="9" t="str">
        <f>IF($B1233="","",COUNTIFS($B$5:$B1233,$B1233,$BF$5:$BF1233,$BF1233))</f>
        <v/>
      </c>
      <c r="BL1233" s="9" t="str">
        <f>IF($B1233="","",COUNTIFS($B$5:$B1233,$B1233,$BH$5:$BH1233,$BH1233))</f>
        <v/>
      </c>
      <c r="BM1233" s="9" t="str">
        <f t="shared" si="196"/>
        <v/>
      </c>
      <c r="BN1233" s="9" t="str">
        <f t="shared" si="197"/>
        <v/>
      </c>
      <c r="BO1233" s="9">
        <f t="shared" si="198"/>
        <v>0</v>
      </c>
      <c r="BR1233" s="12" t="str">
        <f t="shared" si="199"/>
        <v/>
      </c>
    </row>
    <row r="1234" spans="1:70" ht="14.25" customHeight="1">
      <c r="A1234" s="26"/>
      <c r="C1234" s="26"/>
      <c r="D1234" s="27"/>
      <c r="E1234" s="27"/>
      <c r="BE1234" s="10" t="str">
        <f t="shared" si="190"/>
        <v/>
      </c>
      <c r="BF1234" s="8" t="str">
        <f t="shared" si="191"/>
        <v/>
      </c>
      <c r="BG1234" s="11" t="str">
        <f t="shared" si="192"/>
        <v/>
      </c>
      <c r="BH1234" s="8" t="str">
        <f t="shared" si="193"/>
        <v/>
      </c>
      <c r="BI1234" s="8" t="str">
        <f t="shared" si="194"/>
        <v/>
      </c>
      <c r="BJ1234" s="9" t="str">
        <f t="shared" si="195"/>
        <v/>
      </c>
      <c r="BK1234" s="9" t="str">
        <f>IF($B1234="","",COUNTIFS($B$5:$B1234,$B1234,$BF$5:$BF1234,$BF1234))</f>
        <v/>
      </c>
      <c r="BL1234" s="9" t="str">
        <f>IF($B1234="","",COUNTIFS($B$5:$B1234,$B1234,$BH$5:$BH1234,$BH1234))</f>
        <v/>
      </c>
      <c r="BM1234" s="9" t="str">
        <f t="shared" si="196"/>
        <v/>
      </c>
      <c r="BN1234" s="9" t="str">
        <f t="shared" si="197"/>
        <v/>
      </c>
      <c r="BO1234" s="9">
        <f t="shared" si="198"/>
        <v>0</v>
      </c>
      <c r="BR1234" s="12" t="str">
        <f t="shared" si="199"/>
        <v/>
      </c>
    </row>
    <row r="1235" spans="1:70" ht="14.25" customHeight="1">
      <c r="A1235" s="26"/>
      <c r="C1235" s="26"/>
      <c r="D1235" s="27"/>
      <c r="E1235" s="27"/>
      <c r="BE1235" s="10" t="str">
        <f t="shared" si="190"/>
        <v/>
      </c>
      <c r="BF1235" s="8" t="str">
        <f t="shared" si="191"/>
        <v/>
      </c>
      <c r="BG1235" s="11" t="str">
        <f t="shared" si="192"/>
        <v/>
      </c>
      <c r="BH1235" s="8" t="str">
        <f t="shared" si="193"/>
        <v/>
      </c>
      <c r="BI1235" s="8" t="str">
        <f t="shared" si="194"/>
        <v/>
      </c>
      <c r="BJ1235" s="9" t="str">
        <f t="shared" si="195"/>
        <v/>
      </c>
      <c r="BK1235" s="9" t="str">
        <f>IF($B1235="","",COUNTIFS($B$5:$B1235,$B1235,$BF$5:$BF1235,$BF1235))</f>
        <v/>
      </c>
      <c r="BL1235" s="9" t="str">
        <f>IF($B1235="","",COUNTIFS($B$5:$B1235,$B1235,$BH$5:$BH1235,$BH1235))</f>
        <v/>
      </c>
      <c r="BM1235" s="9" t="str">
        <f t="shared" si="196"/>
        <v/>
      </c>
      <c r="BN1235" s="9" t="str">
        <f t="shared" si="197"/>
        <v/>
      </c>
      <c r="BO1235" s="9">
        <f t="shared" si="198"/>
        <v>0</v>
      </c>
      <c r="BR1235" s="12" t="str">
        <f t="shared" si="199"/>
        <v/>
      </c>
    </row>
    <row r="1236" spans="1:70" ht="14.25" customHeight="1">
      <c r="A1236" s="26"/>
      <c r="C1236" s="26"/>
      <c r="D1236" s="27"/>
      <c r="E1236" s="27"/>
      <c r="BE1236" s="10" t="str">
        <f t="shared" si="190"/>
        <v/>
      </c>
      <c r="BF1236" s="8" t="str">
        <f t="shared" si="191"/>
        <v/>
      </c>
      <c r="BG1236" s="11" t="str">
        <f t="shared" si="192"/>
        <v/>
      </c>
      <c r="BH1236" s="8" t="str">
        <f t="shared" si="193"/>
        <v/>
      </c>
      <c r="BI1236" s="8" t="str">
        <f t="shared" si="194"/>
        <v/>
      </c>
      <c r="BJ1236" s="9" t="str">
        <f t="shared" si="195"/>
        <v/>
      </c>
      <c r="BK1236" s="9" t="str">
        <f>IF($B1236="","",COUNTIFS($B$5:$B1236,$B1236,$BF$5:$BF1236,$BF1236))</f>
        <v/>
      </c>
      <c r="BL1236" s="9" t="str">
        <f>IF($B1236="","",COUNTIFS($B$5:$B1236,$B1236,$BH$5:$BH1236,$BH1236))</f>
        <v/>
      </c>
      <c r="BM1236" s="9" t="str">
        <f t="shared" si="196"/>
        <v/>
      </c>
      <c r="BN1236" s="9" t="str">
        <f t="shared" si="197"/>
        <v/>
      </c>
      <c r="BO1236" s="9">
        <f t="shared" si="198"/>
        <v>0</v>
      </c>
      <c r="BR1236" s="12" t="str">
        <f t="shared" si="199"/>
        <v/>
      </c>
    </row>
    <row r="1237" spans="1:70" ht="14.25" customHeight="1">
      <c r="A1237" s="26"/>
      <c r="C1237" s="26"/>
      <c r="D1237" s="27"/>
      <c r="E1237" s="27"/>
      <c r="BE1237" s="10" t="str">
        <f t="shared" si="190"/>
        <v/>
      </c>
      <c r="BF1237" s="8" t="str">
        <f t="shared" si="191"/>
        <v/>
      </c>
      <c r="BG1237" s="11" t="str">
        <f t="shared" si="192"/>
        <v/>
      </c>
      <c r="BH1237" s="8" t="str">
        <f t="shared" si="193"/>
        <v/>
      </c>
      <c r="BI1237" s="8" t="str">
        <f t="shared" si="194"/>
        <v/>
      </c>
      <c r="BJ1237" s="9" t="str">
        <f t="shared" si="195"/>
        <v/>
      </c>
      <c r="BK1237" s="9" t="str">
        <f>IF($B1237="","",COUNTIFS($B$5:$B1237,$B1237,$BF$5:$BF1237,$BF1237))</f>
        <v/>
      </c>
      <c r="BL1237" s="9" t="str">
        <f>IF($B1237="","",COUNTIFS($B$5:$B1237,$B1237,$BH$5:$BH1237,$BH1237))</f>
        <v/>
      </c>
      <c r="BM1237" s="9" t="str">
        <f t="shared" si="196"/>
        <v/>
      </c>
      <c r="BN1237" s="9" t="str">
        <f t="shared" si="197"/>
        <v/>
      </c>
      <c r="BO1237" s="9">
        <f t="shared" si="198"/>
        <v>0</v>
      </c>
      <c r="BR1237" s="12" t="str">
        <f t="shared" si="199"/>
        <v/>
      </c>
    </row>
    <row r="1238" spans="1:70" ht="14.25" customHeight="1">
      <c r="A1238" s="26"/>
      <c r="C1238" s="26"/>
      <c r="D1238" s="27"/>
      <c r="E1238" s="27"/>
      <c r="BE1238" s="10" t="str">
        <f t="shared" si="190"/>
        <v/>
      </c>
      <c r="BF1238" s="8" t="str">
        <f t="shared" si="191"/>
        <v/>
      </c>
      <c r="BG1238" s="11" t="str">
        <f t="shared" si="192"/>
        <v/>
      </c>
      <c r="BH1238" s="8" t="str">
        <f t="shared" si="193"/>
        <v/>
      </c>
      <c r="BI1238" s="8" t="str">
        <f t="shared" si="194"/>
        <v/>
      </c>
      <c r="BJ1238" s="9" t="str">
        <f t="shared" si="195"/>
        <v/>
      </c>
      <c r="BK1238" s="9" t="str">
        <f>IF($B1238="","",COUNTIFS($B$5:$B1238,$B1238,$BF$5:$BF1238,$BF1238))</f>
        <v/>
      </c>
      <c r="BL1238" s="9" t="str">
        <f>IF($B1238="","",COUNTIFS($B$5:$B1238,$B1238,$BH$5:$BH1238,$BH1238))</f>
        <v/>
      </c>
      <c r="BM1238" s="9" t="str">
        <f t="shared" si="196"/>
        <v/>
      </c>
      <c r="BN1238" s="9" t="str">
        <f t="shared" si="197"/>
        <v/>
      </c>
      <c r="BO1238" s="9">
        <f t="shared" si="198"/>
        <v>0</v>
      </c>
      <c r="BR1238" s="12" t="str">
        <f t="shared" si="199"/>
        <v/>
      </c>
    </row>
    <row r="1239" spans="1:70" ht="14.25" customHeight="1">
      <c r="A1239" s="26"/>
      <c r="C1239" s="26"/>
      <c r="D1239" s="27"/>
      <c r="E1239" s="27"/>
      <c r="BE1239" s="10" t="str">
        <f t="shared" si="190"/>
        <v/>
      </c>
      <c r="BF1239" s="8" t="str">
        <f t="shared" si="191"/>
        <v/>
      </c>
      <c r="BG1239" s="11" t="str">
        <f t="shared" si="192"/>
        <v/>
      </c>
      <c r="BH1239" s="8" t="str">
        <f t="shared" si="193"/>
        <v/>
      </c>
      <c r="BI1239" s="8" t="str">
        <f t="shared" si="194"/>
        <v/>
      </c>
      <c r="BJ1239" s="9" t="str">
        <f t="shared" si="195"/>
        <v/>
      </c>
      <c r="BK1239" s="9" t="str">
        <f>IF($B1239="","",COUNTIFS($B$5:$B1239,$B1239,$BF$5:$BF1239,$BF1239))</f>
        <v/>
      </c>
      <c r="BL1239" s="9" t="str">
        <f>IF($B1239="","",COUNTIFS($B$5:$B1239,$B1239,$BH$5:$BH1239,$BH1239))</f>
        <v/>
      </c>
      <c r="BM1239" s="9" t="str">
        <f t="shared" si="196"/>
        <v/>
      </c>
      <c r="BN1239" s="9" t="str">
        <f t="shared" si="197"/>
        <v/>
      </c>
      <c r="BO1239" s="9">
        <f t="shared" si="198"/>
        <v>0</v>
      </c>
      <c r="BR1239" s="12" t="str">
        <f t="shared" si="199"/>
        <v/>
      </c>
    </row>
    <row r="1240" spans="1:70" ht="14.25" customHeight="1">
      <c r="A1240" s="26"/>
      <c r="C1240" s="26"/>
      <c r="D1240" s="27"/>
      <c r="E1240" s="27"/>
      <c r="BE1240" s="10" t="str">
        <f t="shared" si="190"/>
        <v/>
      </c>
      <c r="BF1240" s="8" t="str">
        <f t="shared" si="191"/>
        <v/>
      </c>
      <c r="BG1240" s="11" t="str">
        <f t="shared" si="192"/>
        <v/>
      </c>
      <c r="BH1240" s="8" t="str">
        <f t="shared" si="193"/>
        <v/>
      </c>
      <c r="BI1240" s="8" t="str">
        <f t="shared" si="194"/>
        <v/>
      </c>
      <c r="BJ1240" s="9" t="str">
        <f t="shared" si="195"/>
        <v/>
      </c>
      <c r="BK1240" s="9" t="str">
        <f>IF($B1240="","",COUNTIFS($B$5:$B1240,$B1240,$BF$5:$BF1240,$BF1240))</f>
        <v/>
      </c>
      <c r="BL1240" s="9" t="str">
        <f>IF($B1240="","",COUNTIFS($B$5:$B1240,$B1240,$BH$5:$BH1240,$BH1240))</f>
        <v/>
      </c>
      <c r="BM1240" s="9" t="str">
        <f t="shared" si="196"/>
        <v/>
      </c>
      <c r="BN1240" s="9" t="str">
        <f t="shared" si="197"/>
        <v/>
      </c>
      <c r="BO1240" s="9">
        <f t="shared" si="198"/>
        <v>0</v>
      </c>
      <c r="BR1240" s="12" t="str">
        <f t="shared" si="199"/>
        <v/>
      </c>
    </row>
    <row r="1241" spans="1:70" ht="14.25" customHeight="1">
      <c r="A1241" s="26"/>
      <c r="C1241" s="26"/>
      <c r="D1241" s="27"/>
      <c r="E1241" s="27"/>
      <c r="BE1241" s="10" t="str">
        <f t="shared" si="190"/>
        <v/>
      </c>
      <c r="BF1241" s="8" t="str">
        <f t="shared" si="191"/>
        <v/>
      </c>
      <c r="BG1241" s="11" t="str">
        <f t="shared" si="192"/>
        <v/>
      </c>
      <c r="BH1241" s="8" t="str">
        <f t="shared" si="193"/>
        <v/>
      </c>
      <c r="BI1241" s="8" t="str">
        <f t="shared" si="194"/>
        <v/>
      </c>
      <c r="BJ1241" s="9" t="str">
        <f t="shared" si="195"/>
        <v/>
      </c>
      <c r="BK1241" s="9" t="str">
        <f>IF($B1241="","",COUNTIFS($B$5:$B1241,$B1241,$BF$5:$BF1241,$BF1241))</f>
        <v/>
      </c>
      <c r="BL1241" s="9" t="str">
        <f>IF($B1241="","",COUNTIFS($B$5:$B1241,$B1241,$BH$5:$BH1241,$BH1241))</f>
        <v/>
      </c>
      <c r="BM1241" s="9" t="str">
        <f t="shared" si="196"/>
        <v/>
      </c>
      <c r="BN1241" s="9" t="str">
        <f t="shared" si="197"/>
        <v/>
      </c>
      <c r="BO1241" s="9">
        <f t="shared" si="198"/>
        <v>0</v>
      </c>
      <c r="BR1241" s="12" t="str">
        <f t="shared" si="199"/>
        <v/>
      </c>
    </row>
    <row r="1242" spans="1:70" ht="14.25" customHeight="1">
      <c r="A1242" s="26"/>
      <c r="C1242" s="26"/>
      <c r="D1242" s="27"/>
      <c r="E1242" s="27"/>
      <c r="BE1242" s="10" t="str">
        <f t="shared" si="190"/>
        <v/>
      </c>
      <c r="BF1242" s="8" t="str">
        <f t="shared" si="191"/>
        <v/>
      </c>
      <c r="BG1242" s="11" t="str">
        <f t="shared" si="192"/>
        <v/>
      </c>
      <c r="BH1242" s="8" t="str">
        <f t="shared" si="193"/>
        <v/>
      </c>
      <c r="BI1242" s="8" t="str">
        <f t="shared" si="194"/>
        <v/>
      </c>
      <c r="BJ1242" s="9" t="str">
        <f t="shared" si="195"/>
        <v/>
      </c>
      <c r="BK1242" s="9" t="str">
        <f>IF($B1242="","",COUNTIFS($B$5:$B1242,$B1242,$BF$5:$BF1242,$BF1242))</f>
        <v/>
      </c>
      <c r="BL1242" s="9" t="str">
        <f>IF($B1242="","",COUNTIFS($B$5:$B1242,$B1242,$BH$5:$BH1242,$BH1242))</f>
        <v/>
      </c>
      <c r="BM1242" s="9" t="str">
        <f t="shared" si="196"/>
        <v/>
      </c>
      <c r="BN1242" s="9" t="str">
        <f t="shared" si="197"/>
        <v/>
      </c>
      <c r="BO1242" s="9">
        <f t="shared" si="198"/>
        <v>0</v>
      </c>
      <c r="BR1242" s="12" t="str">
        <f t="shared" si="199"/>
        <v/>
      </c>
    </row>
    <row r="1243" spans="1:70" ht="14.25" customHeight="1">
      <c r="A1243" s="26"/>
      <c r="C1243" s="26"/>
      <c r="D1243" s="27"/>
      <c r="E1243" s="27"/>
      <c r="BE1243" s="10" t="str">
        <f t="shared" si="190"/>
        <v/>
      </c>
      <c r="BF1243" s="8" t="str">
        <f t="shared" si="191"/>
        <v/>
      </c>
      <c r="BG1243" s="11" t="str">
        <f t="shared" si="192"/>
        <v/>
      </c>
      <c r="BH1243" s="8" t="str">
        <f t="shared" si="193"/>
        <v/>
      </c>
      <c r="BI1243" s="8" t="str">
        <f t="shared" si="194"/>
        <v/>
      </c>
      <c r="BJ1243" s="9" t="str">
        <f t="shared" si="195"/>
        <v/>
      </c>
      <c r="BK1243" s="9" t="str">
        <f>IF($B1243="","",COUNTIFS($B$5:$B1243,$B1243,$BF$5:$BF1243,$BF1243))</f>
        <v/>
      </c>
      <c r="BL1243" s="9" t="str">
        <f>IF($B1243="","",COUNTIFS($B$5:$B1243,$B1243,$BH$5:$BH1243,$BH1243))</f>
        <v/>
      </c>
      <c r="BM1243" s="9" t="str">
        <f t="shared" si="196"/>
        <v/>
      </c>
      <c r="BN1243" s="9" t="str">
        <f t="shared" si="197"/>
        <v/>
      </c>
      <c r="BO1243" s="9">
        <f t="shared" si="198"/>
        <v>0</v>
      </c>
      <c r="BR1243" s="12" t="str">
        <f t="shared" si="199"/>
        <v/>
      </c>
    </row>
    <row r="1244" spans="1:70" ht="14.25" customHeight="1">
      <c r="A1244" s="26"/>
      <c r="C1244" s="26"/>
      <c r="D1244" s="27"/>
      <c r="E1244" s="27"/>
      <c r="BE1244" s="10" t="str">
        <f t="shared" si="190"/>
        <v/>
      </c>
      <c r="BF1244" s="8" t="str">
        <f t="shared" si="191"/>
        <v/>
      </c>
      <c r="BG1244" s="11" t="str">
        <f t="shared" si="192"/>
        <v/>
      </c>
      <c r="BH1244" s="8" t="str">
        <f t="shared" si="193"/>
        <v/>
      </c>
      <c r="BI1244" s="8" t="str">
        <f t="shared" si="194"/>
        <v/>
      </c>
      <c r="BJ1244" s="9" t="str">
        <f t="shared" si="195"/>
        <v/>
      </c>
      <c r="BK1244" s="9" t="str">
        <f>IF($B1244="","",COUNTIFS($B$5:$B1244,$B1244,$BF$5:$BF1244,$BF1244))</f>
        <v/>
      </c>
      <c r="BL1244" s="9" t="str">
        <f>IF($B1244="","",COUNTIFS($B$5:$B1244,$B1244,$BH$5:$BH1244,$BH1244))</f>
        <v/>
      </c>
      <c r="BM1244" s="9" t="str">
        <f t="shared" si="196"/>
        <v/>
      </c>
      <c r="BN1244" s="9" t="str">
        <f t="shared" si="197"/>
        <v/>
      </c>
      <c r="BO1244" s="9">
        <f t="shared" si="198"/>
        <v>0</v>
      </c>
      <c r="BR1244" s="12" t="str">
        <f t="shared" si="199"/>
        <v/>
      </c>
    </row>
    <row r="1245" spans="1:70" ht="14.25" customHeight="1">
      <c r="A1245" s="26"/>
      <c r="C1245" s="26"/>
      <c r="D1245" s="27"/>
      <c r="E1245" s="27"/>
      <c r="BE1245" s="10" t="str">
        <f t="shared" ref="BE1245:BE1308" si="200">IF($B1245="","",IF(COUNT($H1245,$J1245,$L1245,$N1245,$P1245,$R1245)&gt;0,SUM($H1245,$J1245,$L1245,$N1245,$P1245,$R1245),SUM($T1245,$V1245,$X1245,$Z1245,$AB1245,$AD1245,$AF1245,$AH1245,$AJ1245,$AL1245,$AN1245,$AP1245,$AR1245,$AT1245,$AV1245,$AX1245,$AZ1245)))</f>
        <v/>
      </c>
      <c r="BF1245" s="8" t="str">
        <f t="shared" ref="BF1245:BF1308" si="201">IF($C1245="","",DATE(YEAR($C1245),MONTH($C1245),1))</f>
        <v/>
      </c>
      <c r="BG1245" s="11" t="str">
        <f t="shared" ref="BG1245:BG1308" si="202">IF($BF1245="","",TEXT($BF1245,"mmmm yyyy"))</f>
        <v/>
      </c>
      <c r="BH1245" s="8" t="str">
        <f t="shared" ref="BH1245:BH1308" si="203">IF($C1245="","",$C1245-WEEKDAY($C1245,2)+1)</f>
        <v/>
      </c>
      <c r="BI1245" s="8" t="str">
        <f t="shared" ref="BI1245:BI1308" si="204">IF($BH1245="","",$BH1245+6)</f>
        <v/>
      </c>
      <c r="BJ1245" s="9" t="str">
        <f t="shared" ref="BJ1245:BJ1308" si="205">IF($BH1245="","",TEXT($BH1245,"dd/mm/yyyy")&amp;" - "&amp;TEXT($BI1245,"dd/mm/yyyy"))</f>
        <v/>
      </c>
      <c r="BK1245" s="9" t="str">
        <f>IF($B1245="","",COUNTIFS($B$5:$B1245,$B1245,$BF$5:$BF1245,$BF1245))</f>
        <v/>
      </c>
      <c r="BL1245" s="9" t="str">
        <f>IF($B1245="","",COUNTIFS($B$5:$B1245,$B1245,$BH$5:$BH1245,$BH1245))</f>
        <v/>
      </c>
      <c r="BM1245" s="9" t="str">
        <f t="shared" ref="BM1245:BM1308" si="206">IF($B1245="","",TEXT($BK1245,"00")&amp;"|"&amp;$B1245&amp;"|"&amp;TEXT($BF1245,"yyyymmdd"))</f>
        <v/>
      </c>
      <c r="BN1245" s="9" t="str">
        <f t="shared" ref="BN1245:BN1308" si="207">IF($B1245="","",TEXT($BL1245,"00")&amp;"|"&amp;$B1245&amp;"|"&amp;TEXT($BH1245,"yyyymmdd"))</f>
        <v/>
      </c>
      <c r="BO1245" s="9">
        <f t="shared" ref="BO1245:BO1308" si="208">IF(OR($BB1245="YES",$BB1245="Yes",$BB1245="Y",$BB1245=1),1,0)</f>
        <v>0</v>
      </c>
      <c r="BR1245" s="12" t="str">
        <f t="shared" ref="BR1245:BR1308" si="209">IF($C1245="","",IF($C1245&gt;=DATE(2026,6,1),"QA-2026-06",IF($C1245&gt;=DATE(2026,5,1),"May 2026+",IF($C1245&gt;=DATE(2026,4,1),"April 2026",IF($C1245&gt;=DATE(2026,3,1),"March 2026","Jan-Feb 2026")))))</f>
        <v/>
      </c>
    </row>
    <row r="1246" spans="1:70" ht="14.25" customHeight="1">
      <c r="A1246" s="26"/>
      <c r="C1246" s="26"/>
      <c r="D1246" s="27"/>
      <c r="E1246" s="27"/>
      <c r="BE1246" s="10" t="str">
        <f t="shared" si="200"/>
        <v/>
      </c>
      <c r="BF1246" s="8" t="str">
        <f t="shared" si="201"/>
        <v/>
      </c>
      <c r="BG1246" s="11" t="str">
        <f t="shared" si="202"/>
        <v/>
      </c>
      <c r="BH1246" s="8" t="str">
        <f t="shared" si="203"/>
        <v/>
      </c>
      <c r="BI1246" s="8" t="str">
        <f t="shared" si="204"/>
        <v/>
      </c>
      <c r="BJ1246" s="9" t="str">
        <f t="shared" si="205"/>
        <v/>
      </c>
      <c r="BK1246" s="9" t="str">
        <f>IF($B1246="","",COUNTIFS($B$5:$B1246,$B1246,$BF$5:$BF1246,$BF1246))</f>
        <v/>
      </c>
      <c r="BL1246" s="9" t="str">
        <f>IF($B1246="","",COUNTIFS($B$5:$B1246,$B1246,$BH$5:$BH1246,$BH1246))</f>
        <v/>
      </c>
      <c r="BM1246" s="9" t="str">
        <f t="shared" si="206"/>
        <v/>
      </c>
      <c r="BN1246" s="9" t="str">
        <f t="shared" si="207"/>
        <v/>
      </c>
      <c r="BO1246" s="9">
        <f t="shared" si="208"/>
        <v>0</v>
      </c>
      <c r="BR1246" s="12" t="str">
        <f t="shared" si="209"/>
        <v/>
      </c>
    </row>
    <row r="1247" spans="1:70" ht="14.25" customHeight="1">
      <c r="A1247" s="26"/>
      <c r="C1247" s="26"/>
      <c r="D1247" s="27"/>
      <c r="E1247" s="27"/>
      <c r="BE1247" s="10" t="str">
        <f t="shared" si="200"/>
        <v/>
      </c>
      <c r="BF1247" s="8" t="str">
        <f t="shared" si="201"/>
        <v/>
      </c>
      <c r="BG1247" s="11" t="str">
        <f t="shared" si="202"/>
        <v/>
      </c>
      <c r="BH1247" s="8" t="str">
        <f t="shared" si="203"/>
        <v/>
      </c>
      <c r="BI1247" s="8" t="str">
        <f t="shared" si="204"/>
        <v/>
      </c>
      <c r="BJ1247" s="9" t="str">
        <f t="shared" si="205"/>
        <v/>
      </c>
      <c r="BK1247" s="9" t="str">
        <f>IF($B1247="","",COUNTIFS($B$5:$B1247,$B1247,$BF$5:$BF1247,$BF1247))</f>
        <v/>
      </c>
      <c r="BL1247" s="9" t="str">
        <f>IF($B1247="","",COUNTIFS($B$5:$B1247,$B1247,$BH$5:$BH1247,$BH1247))</f>
        <v/>
      </c>
      <c r="BM1247" s="9" t="str">
        <f t="shared" si="206"/>
        <v/>
      </c>
      <c r="BN1247" s="9" t="str">
        <f t="shared" si="207"/>
        <v/>
      </c>
      <c r="BO1247" s="9">
        <f t="shared" si="208"/>
        <v>0</v>
      </c>
      <c r="BR1247" s="12" t="str">
        <f t="shared" si="209"/>
        <v/>
      </c>
    </row>
    <row r="1248" spans="1:70" ht="14.25" customHeight="1">
      <c r="A1248" s="26"/>
      <c r="C1248" s="26"/>
      <c r="D1248" s="27"/>
      <c r="E1248" s="27"/>
      <c r="BE1248" s="10" t="str">
        <f t="shared" si="200"/>
        <v/>
      </c>
      <c r="BF1248" s="8" t="str">
        <f t="shared" si="201"/>
        <v/>
      </c>
      <c r="BG1248" s="11" t="str">
        <f t="shared" si="202"/>
        <v/>
      </c>
      <c r="BH1248" s="8" t="str">
        <f t="shared" si="203"/>
        <v/>
      </c>
      <c r="BI1248" s="8" t="str">
        <f t="shared" si="204"/>
        <v/>
      </c>
      <c r="BJ1248" s="9" t="str">
        <f t="shared" si="205"/>
        <v/>
      </c>
      <c r="BK1248" s="9" t="str">
        <f>IF($B1248="","",COUNTIFS($B$5:$B1248,$B1248,$BF$5:$BF1248,$BF1248))</f>
        <v/>
      </c>
      <c r="BL1248" s="9" t="str">
        <f>IF($B1248="","",COUNTIFS($B$5:$B1248,$B1248,$BH$5:$BH1248,$BH1248))</f>
        <v/>
      </c>
      <c r="BM1248" s="9" t="str">
        <f t="shared" si="206"/>
        <v/>
      </c>
      <c r="BN1248" s="9" t="str">
        <f t="shared" si="207"/>
        <v/>
      </c>
      <c r="BO1248" s="9">
        <f t="shared" si="208"/>
        <v>0</v>
      </c>
      <c r="BR1248" s="12" t="str">
        <f t="shared" si="209"/>
        <v/>
      </c>
    </row>
    <row r="1249" spans="1:70" ht="14.25" customHeight="1">
      <c r="A1249" s="26"/>
      <c r="C1249" s="26"/>
      <c r="D1249" s="27"/>
      <c r="E1249" s="27"/>
      <c r="BE1249" s="10" t="str">
        <f t="shared" si="200"/>
        <v/>
      </c>
      <c r="BF1249" s="8" t="str">
        <f t="shared" si="201"/>
        <v/>
      </c>
      <c r="BG1249" s="11" t="str">
        <f t="shared" si="202"/>
        <v/>
      </c>
      <c r="BH1249" s="8" t="str">
        <f t="shared" si="203"/>
        <v/>
      </c>
      <c r="BI1249" s="8" t="str">
        <f t="shared" si="204"/>
        <v/>
      </c>
      <c r="BJ1249" s="9" t="str">
        <f t="shared" si="205"/>
        <v/>
      </c>
      <c r="BK1249" s="9" t="str">
        <f>IF($B1249="","",COUNTIFS($B$5:$B1249,$B1249,$BF$5:$BF1249,$BF1249))</f>
        <v/>
      </c>
      <c r="BL1249" s="9" t="str">
        <f>IF($B1249="","",COUNTIFS($B$5:$B1249,$B1249,$BH$5:$BH1249,$BH1249))</f>
        <v/>
      </c>
      <c r="BM1249" s="9" t="str">
        <f t="shared" si="206"/>
        <v/>
      </c>
      <c r="BN1249" s="9" t="str">
        <f t="shared" si="207"/>
        <v/>
      </c>
      <c r="BO1249" s="9">
        <f t="shared" si="208"/>
        <v>0</v>
      </c>
      <c r="BR1249" s="12" t="str">
        <f t="shared" si="209"/>
        <v/>
      </c>
    </row>
    <row r="1250" spans="1:70" ht="14.25" customHeight="1">
      <c r="A1250" s="26"/>
      <c r="C1250" s="26"/>
      <c r="D1250" s="27"/>
      <c r="E1250" s="27"/>
      <c r="BE1250" s="10" t="str">
        <f t="shared" si="200"/>
        <v/>
      </c>
      <c r="BF1250" s="8" t="str">
        <f t="shared" si="201"/>
        <v/>
      </c>
      <c r="BG1250" s="11" t="str">
        <f t="shared" si="202"/>
        <v/>
      </c>
      <c r="BH1250" s="8" t="str">
        <f t="shared" si="203"/>
        <v/>
      </c>
      <c r="BI1250" s="8" t="str">
        <f t="shared" si="204"/>
        <v/>
      </c>
      <c r="BJ1250" s="9" t="str">
        <f t="shared" si="205"/>
        <v/>
      </c>
      <c r="BK1250" s="9" t="str">
        <f>IF($B1250="","",COUNTIFS($B$5:$B1250,$B1250,$BF$5:$BF1250,$BF1250))</f>
        <v/>
      </c>
      <c r="BL1250" s="9" t="str">
        <f>IF($B1250="","",COUNTIFS($B$5:$B1250,$B1250,$BH$5:$BH1250,$BH1250))</f>
        <v/>
      </c>
      <c r="BM1250" s="9" t="str">
        <f t="shared" si="206"/>
        <v/>
      </c>
      <c r="BN1250" s="9" t="str">
        <f t="shared" si="207"/>
        <v/>
      </c>
      <c r="BO1250" s="9">
        <f t="shared" si="208"/>
        <v>0</v>
      </c>
      <c r="BR1250" s="12" t="str">
        <f t="shared" si="209"/>
        <v/>
      </c>
    </row>
    <row r="1251" spans="1:70" ht="14.25" customHeight="1">
      <c r="A1251" s="26"/>
      <c r="C1251" s="26"/>
      <c r="D1251" s="27"/>
      <c r="E1251" s="27"/>
      <c r="BE1251" s="10" t="str">
        <f t="shared" si="200"/>
        <v/>
      </c>
      <c r="BF1251" s="8" t="str">
        <f t="shared" si="201"/>
        <v/>
      </c>
      <c r="BG1251" s="11" t="str">
        <f t="shared" si="202"/>
        <v/>
      </c>
      <c r="BH1251" s="8" t="str">
        <f t="shared" si="203"/>
        <v/>
      </c>
      <c r="BI1251" s="8" t="str">
        <f t="shared" si="204"/>
        <v/>
      </c>
      <c r="BJ1251" s="9" t="str">
        <f t="shared" si="205"/>
        <v/>
      </c>
      <c r="BK1251" s="9" t="str">
        <f>IF($B1251="","",COUNTIFS($B$5:$B1251,$B1251,$BF$5:$BF1251,$BF1251))</f>
        <v/>
      </c>
      <c r="BL1251" s="9" t="str">
        <f>IF($B1251="","",COUNTIFS($B$5:$B1251,$B1251,$BH$5:$BH1251,$BH1251))</f>
        <v/>
      </c>
      <c r="BM1251" s="9" t="str">
        <f t="shared" si="206"/>
        <v/>
      </c>
      <c r="BN1251" s="9" t="str">
        <f t="shared" si="207"/>
        <v/>
      </c>
      <c r="BO1251" s="9">
        <f t="shared" si="208"/>
        <v>0</v>
      </c>
      <c r="BR1251" s="12" t="str">
        <f t="shared" si="209"/>
        <v/>
      </c>
    </row>
    <row r="1252" spans="1:70" ht="14.25" customHeight="1">
      <c r="A1252" s="26"/>
      <c r="C1252" s="26"/>
      <c r="D1252" s="27"/>
      <c r="E1252" s="27"/>
      <c r="BE1252" s="10" t="str">
        <f t="shared" si="200"/>
        <v/>
      </c>
      <c r="BF1252" s="8" t="str">
        <f t="shared" si="201"/>
        <v/>
      </c>
      <c r="BG1252" s="11" t="str">
        <f t="shared" si="202"/>
        <v/>
      </c>
      <c r="BH1252" s="8" t="str">
        <f t="shared" si="203"/>
        <v/>
      </c>
      <c r="BI1252" s="8" t="str">
        <f t="shared" si="204"/>
        <v/>
      </c>
      <c r="BJ1252" s="9" t="str">
        <f t="shared" si="205"/>
        <v/>
      </c>
      <c r="BK1252" s="9" t="str">
        <f>IF($B1252="","",COUNTIFS($B$5:$B1252,$B1252,$BF$5:$BF1252,$BF1252))</f>
        <v/>
      </c>
      <c r="BL1252" s="9" t="str">
        <f>IF($B1252="","",COUNTIFS($B$5:$B1252,$B1252,$BH$5:$BH1252,$BH1252))</f>
        <v/>
      </c>
      <c r="BM1252" s="9" t="str">
        <f t="shared" si="206"/>
        <v/>
      </c>
      <c r="BN1252" s="9" t="str">
        <f t="shared" si="207"/>
        <v/>
      </c>
      <c r="BO1252" s="9">
        <f t="shared" si="208"/>
        <v>0</v>
      </c>
      <c r="BR1252" s="12" t="str">
        <f t="shared" si="209"/>
        <v/>
      </c>
    </row>
    <row r="1253" spans="1:70" ht="14.25" customHeight="1">
      <c r="A1253" s="26"/>
      <c r="C1253" s="26"/>
      <c r="D1253" s="27"/>
      <c r="E1253" s="27"/>
      <c r="BE1253" s="10" t="str">
        <f t="shared" si="200"/>
        <v/>
      </c>
      <c r="BF1253" s="8" t="str">
        <f t="shared" si="201"/>
        <v/>
      </c>
      <c r="BG1253" s="11" t="str">
        <f t="shared" si="202"/>
        <v/>
      </c>
      <c r="BH1253" s="8" t="str">
        <f t="shared" si="203"/>
        <v/>
      </c>
      <c r="BI1253" s="8" t="str">
        <f t="shared" si="204"/>
        <v/>
      </c>
      <c r="BJ1253" s="9" t="str">
        <f t="shared" si="205"/>
        <v/>
      </c>
      <c r="BK1253" s="9" t="str">
        <f>IF($B1253="","",COUNTIFS($B$5:$B1253,$B1253,$BF$5:$BF1253,$BF1253))</f>
        <v/>
      </c>
      <c r="BL1253" s="9" t="str">
        <f>IF($B1253="","",COUNTIFS($B$5:$B1253,$B1253,$BH$5:$BH1253,$BH1253))</f>
        <v/>
      </c>
      <c r="BM1253" s="9" t="str">
        <f t="shared" si="206"/>
        <v/>
      </c>
      <c r="BN1253" s="9" t="str">
        <f t="shared" si="207"/>
        <v/>
      </c>
      <c r="BO1253" s="9">
        <f t="shared" si="208"/>
        <v>0</v>
      </c>
      <c r="BR1253" s="12" t="str">
        <f t="shared" si="209"/>
        <v/>
      </c>
    </row>
    <row r="1254" spans="1:70" ht="14.25" customHeight="1">
      <c r="A1254" s="26"/>
      <c r="C1254" s="26"/>
      <c r="D1254" s="27"/>
      <c r="E1254" s="27"/>
      <c r="BE1254" s="10" t="str">
        <f t="shared" si="200"/>
        <v/>
      </c>
      <c r="BF1254" s="8" t="str">
        <f t="shared" si="201"/>
        <v/>
      </c>
      <c r="BG1254" s="11" t="str">
        <f t="shared" si="202"/>
        <v/>
      </c>
      <c r="BH1254" s="8" t="str">
        <f t="shared" si="203"/>
        <v/>
      </c>
      <c r="BI1254" s="8" t="str">
        <f t="shared" si="204"/>
        <v/>
      </c>
      <c r="BJ1254" s="9" t="str">
        <f t="shared" si="205"/>
        <v/>
      </c>
      <c r="BK1254" s="9" t="str">
        <f>IF($B1254="","",COUNTIFS($B$5:$B1254,$B1254,$BF$5:$BF1254,$BF1254))</f>
        <v/>
      </c>
      <c r="BL1254" s="9" t="str">
        <f>IF($B1254="","",COUNTIFS($B$5:$B1254,$B1254,$BH$5:$BH1254,$BH1254))</f>
        <v/>
      </c>
      <c r="BM1254" s="9" t="str">
        <f t="shared" si="206"/>
        <v/>
      </c>
      <c r="BN1254" s="9" t="str">
        <f t="shared" si="207"/>
        <v/>
      </c>
      <c r="BO1254" s="9">
        <f t="shared" si="208"/>
        <v>0</v>
      </c>
      <c r="BR1254" s="12" t="str">
        <f t="shared" si="209"/>
        <v/>
      </c>
    </row>
    <row r="1255" spans="1:70" ht="14.25" customHeight="1">
      <c r="A1255" s="26"/>
      <c r="C1255" s="26"/>
      <c r="D1255" s="27"/>
      <c r="E1255" s="27"/>
      <c r="BE1255" s="10" t="str">
        <f t="shared" si="200"/>
        <v/>
      </c>
      <c r="BF1255" s="8" t="str">
        <f t="shared" si="201"/>
        <v/>
      </c>
      <c r="BG1255" s="11" t="str">
        <f t="shared" si="202"/>
        <v/>
      </c>
      <c r="BH1255" s="8" t="str">
        <f t="shared" si="203"/>
        <v/>
      </c>
      <c r="BI1255" s="8" t="str">
        <f t="shared" si="204"/>
        <v/>
      </c>
      <c r="BJ1255" s="9" t="str">
        <f t="shared" si="205"/>
        <v/>
      </c>
      <c r="BK1255" s="9" t="str">
        <f>IF($B1255="","",COUNTIFS($B$5:$B1255,$B1255,$BF$5:$BF1255,$BF1255))</f>
        <v/>
      </c>
      <c r="BL1255" s="9" t="str">
        <f>IF($B1255="","",COUNTIFS($B$5:$B1255,$B1255,$BH$5:$BH1255,$BH1255))</f>
        <v/>
      </c>
      <c r="BM1255" s="9" t="str">
        <f t="shared" si="206"/>
        <v/>
      </c>
      <c r="BN1255" s="9" t="str">
        <f t="shared" si="207"/>
        <v/>
      </c>
      <c r="BO1255" s="9">
        <f t="shared" si="208"/>
        <v>0</v>
      </c>
      <c r="BR1255" s="12" t="str">
        <f t="shared" si="209"/>
        <v/>
      </c>
    </row>
    <row r="1256" spans="1:70" ht="14.25" customHeight="1">
      <c r="A1256" s="26"/>
      <c r="C1256" s="26"/>
      <c r="D1256" s="27"/>
      <c r="E1256" s="27"/>
      <c r="BE1256" s="10" t="str">
        <f t="shared" si="200"/>
        <v/>
      </c>
      <c r="BF1256" s="8" t="str">
        <f t="shared" si="201"/>
        <v/>
      </c>
      <c r="BG1256" s="11" t="str">
        <f t="shared" si="202"/>
        <v/>
      </c>
      <c r="BH1256" s="8" t="str">
        <f t="shared" si="203"/>
        <v/>
      </c>
      <c r="BI1256" s="8" t="str">
        <f t="shared" si="204"/>
        <v/>
      </c>
      <c r="BJ1256" s="9" t="str">
        <f t="shared" si="205"/>
        <v/>
      </c>
      <c r="BK1256" s="9" t="str">
        <f>IF($B1256="","",COUNTIFS($B$5:$B1256,$B1256,$BF$5:$BF1256,$BF1256))</f>
        <v/>
      </c>
      <c r="BL1256" s="9" t="str">
        <f>IF($B1256="","",COUNTIFS($B$5:$B1256,$B1256,$BH$5:$BH1256,$BH1256))</f>
        <v/>
      </c>
      <c r="BM1256" s="9" t="str">
        <f t="shared" si="206"/>
        <v/>
      </c>
      <c r="BN1256" s="9" t="str">
        <f t="shared" si="207"/>
        <v/>
      </c>
      <c r="BO1256" s="9">
        <f t="shared" si="208"/>
        <v>0</v>
      </c>
      <c r="BR1256" s="12" t="str">
        <f t="shared" si="209"/>
        <v/>
      </c>
    </row>
    <row r="1257" spans="1:70" ht="14.25" customHeight="1">
      <c r="A1257" s="26"/>
      <c r="C1257" s="26"/>
      <c r="D1257" s="27"/>
      <c r="E1257" s="27"/>
      <c r="BE1257" s="10" t="str">
        <f t="shared" si="200"/>
        <v/>
      </c>
      <c r="BF1257" s="8" t="str">
        <f t="shared" si="201"/>
        <v/>
      </c>
      <c r="BG1257" s="11" t="str">
        <f t="shared" si="202"/>
        <v/>
      </c>
      <c r="BH1257" s="8" t="str">
        <f t="shared" si="203"/>
        <v/>
      </c>
      <c r="BI1257" s="8" t="str">
        <f t="shared" si="204"/>
        <v/>
      </c>
      <c r="BJ1257" s="9" t="str">
        <f t="shared" si="205"/>
        <v/>
      </c>
      <c r="BK1257" s="9" t="str">
        <f>IF($B1257="","",COUNTIFS($B$5:$B1257,$B1257,$BF$5:$BF1257,$BF1257))</f>
        <v/>
      </c>
      <c r="BL1257" s="9" t="str">
        <f>IF($B1257="","",COUNTIFS($B$5:$B1257,$B1257,$BH$5:$BH1257,$BH1257))</f>
        <v/>
      </c>
      <c r="BM1257" s="9" t="str">
        <f t="shared" si="206"/>
        <v/>
      </c>
      <c r="BN1257" s="9" t="str">
        <f t="shared" si="207"/>
        <v/>
      </c>
      <c r="BO1257" s="9">
        <f t="shared" si="208"/>
        <v>0</v>
      </c>
      <c r="BR1257" s="12" t="str">
        <f t="shared" si="209"/>
        <v/>
      </c>
    </row>
    <row r="1258" spans="1:70" ht="14.25" customHeight="1">
      <c r="A1258" s="26"/>
      <c r="C1258" s="26"/>
      <c r="D1258" s="27"/>
      <c r="E1258" s="27"/>
      <c r="BE1258" s="10" t="str">
        <f t="shared" si="200"/>
        <v/>
      </c>
      <c r="BF1258" s="8" t="str">
        <f t="shared" si="201"/>
        <v/>
      </c>
      <c r="BG1258" s="11" t="str">
        <f t="shared" si="202"/>
        <v/>
      </c>
      <c r="BH1258" s="8" t="str">
        <f t="shared" si="203"/>
        <v/>
      </c>
      <c r="BI1258" s="8" t="str">
        <f t="shared" si="204"/>
        <v/>
      </c>
      <c r="BJ1258" s="9" t="str">
        <f t="shared" si="205"/>
        <v/>
      </c>
      <c r="BK1258" s="9" t="str">
        <f>IF($B1258="","",COUNTIFS($B$5:$B1258,$B1258,$BF$5:$BF1258,$BF1258))</f>
        <v/>
      </c>
      <c r="BL1258" s="9" t="str">
        <f>IF($B1258="","",COUNTIFS($B$5:$B1258,$B1258,$BH$5:$BH1258,$BH1258))</f>
        <v/>
      </c>
      <c r="BM1258" s="9" t="str">
        <f t="shared" si="206"/>
        <v/>
      </c>
      <c r="BN1258" s="9" t="str">
        <f t="shared" si="207"/>
        <v/>
      </c>
      <c r="BO1258" s="9">
        <f t="shared" si="208"/>
        <v>0</v>
      </c>
      <c r="BR1258" s="12" t="str">
        <f t="shared" si="209"/>
        <v/>
      </c>
    </row>
    <row r="1259" spans="1:70" ht="14.25" customHeight="1">
      <c r="A1259" s="26"/>
      <c r="C1259" s="26"/>
      <c r="D1259" s="27"/>
      <c r="E1259" s="27"/>
      <c r="BE1259" s="10" t="str">
        <f t="shared" si="200"/>
        <v/>
      </c>
      <c r="BF1259" s="8" t="str">
        <f t="shared" si="201"/>
        <v/>
      </c>
      <c r="BG1259" s="11" t="str">
        <f t="shared" si="202"/>
        <v/>
      </c>
      <c r="BH1259" s="8" t="str">
        <f t="shared" si="203"/>
        <v/>
      </c>
      <c r="BI1259" s="8" t="str">
        <f t="shared" si="204"/>
        <v/>
      </c>
      <c r="BJ1259" s="9" t="str">
        <f t="shared" si="205"/>
        <v/>
      </c>
      <c r="BK1259" s="9" t="str">
        <f>IF($B1259="","",COUNTIFS($B$5:$B1259,$B1259,$BF$5:$BF1259,$BF1259))</f>
        <v/>
      </c>
      <c r="BL1259" s="9" t="str">
        <f>IF($B1259="","",COUNTIFS($B$5:$B1259,$B1259,$BH$5:$BH1259,$BH1259))</f>
        <v/>
      </c>
      <c r="BM1259" s="9" t="str">
        <f t="shared" si="206"/>
        <v/>
      </c>
      <c r="BN1259" s="9" t="str">
        <f t="shared" si="207"/>
        <v/>
      </c>
      <c r="BO1259" s="9">
        <f t="shared" si="208"/>
        <v>0</v>
      </c>
      <c r="BR1259" s="12" t="str">
        <f t="shared" si="209"/>
        <v/>
      </c>
    </row>
    <row r="1260" spans="1:70" ht="14.25" customHeight="1">
      <c r="A1260" s="26"/>
      <c r="C1260" s="26"/>
      <c r="D1260" s="27"/>
      <c r="E1260" s="27"/>
      <c r="BE1260" s="10" t="str">
        <f t="shared" si="200"/>
        <v/>
      </c>
      <c r="BF1260" s="8" t="str">
        <f t="shared" si="201"/>
        <v/>
      </c>
      <c r="BG1260" s="11" t="str">
        <f t="shared" si="202"/>
        <v/>
      </c>
      <c r="BH1260" s="8" t="str">
        <f t="shared" si="203"/>
        <v/>
      </c>
      <c r="BI1260" s="8" t="str">
        <f t="shared" si="204"/>
        <v/>
      </c>
      <c r="BJ1260" s="9" t="str">
        <f t="shared" si="205"/>
        <v/>
      </c>
      <c r="BK1260" s="9" t="str">
        <f>IF($B1260="","",COUNTIFS($B$5:$B1260,$B1260,$BF$5:$BF1260,$BF1260))</f>
        <v/>
      </c>
      <c r="BL1260" s="9" t="str">
        <f>IF($B1260="","",COUNTIFS($B$5:$B1260,$B1260,$BH$5:$BH1260,$BH1260))</f>
        <v/>
      </c>
      <c r="BM1260" s="9" t="str">
        <f t="shared" si="206"/>
        <v/>
      </c>
      <c r="BN1260" s="9" t="str">
        <f t="shared" si="207"/>
        <v/>
      </c>
      <c r="BO1260" s="9">
        <f t="shared" si="208"/>
        <v>0</v>
      </c>
      <c r="BR1260" s="12" t="str">
        <f t="shared" si="209"/>
        <v/>
      </c>
    </row>
    <row r="1261" spans="1:70" ht="14.25" customHeight="1">
      <c r="A1261" s="26"/>
      <c r="C1261" s="26"/>
      <c r="D1261" s="27"/>
      <c r="E1261" s="27"/>
      <c r="BE1261" s="10" t="str">
        <f t="shared" si="200"/>
        <v/>
      </c>
      <c r="BF1261" s="8" t="str">
        <f t="shared" si="201"/>
        <v/>
      </c>
      <c r="BG1261" s="11" t="str">
        <f t="shared" si="202"/>
        <v/>
      </c>
      <c r="BH1261" s="8" t="str">
        <f t="shared" si="203"/>
        <v/>
      </c>
      <c r="BI1261" s="8" t="str">
        <f t="shared" si="204"/>
        <v/>
      </c>
      <c r="BJ1261" s="9" t="str">
        <f t="shared" si="205"/>
        <v/>
      </c>
      <c r="BK1261" s="9" t="str">
        <f>IF($B1261="","",COUNTIFS($B$5:$B1261,$B1261,$BF$5:$BF1261,$BF1261))</f>
        <v/>
      </c>
      <c r="BL1261" s="9" t="str">
        <f>IF($B1261="","",COUNTIFS($B$5:$B1261,$B1261,$BH$5:$BH1261,$BH1261))</f>
        <v/>
      </c>
      <c r="BM1261" s="9" t="str">
        <f t="shared" si="206"/>
        <v/>
      </c>
      <c r="BN1261" s="9" t="str">
        <f t="shared" si="207"/>
        <v/>
      </c>
      <c r="BO1261" s="9">
        <f t="shared" si="208"/>
        <v>0</v>
      </c>
      <c r="BR1261" s="12" t="str">
        <f t="shared" si="209"/>
        <v/>
      </c>
    </row>
    <row r="1262" spans="1:70" ht="14.25" customHeight="1">
      <c r="A1262" s="26"/>
      <c r="C1262" s="26"/>
      <c r="D1262" s="27"/>
      <c r="E1262" s="27"/>
      <c r="BE1262" s="10" t="str">
        <f t="shared" si="200"/>
        <v/>
      </c>
      <c r="BF1262" s="8" t="str">
        <f t="shared" si="201"/>
        <v/>
      </c>
      <c r="BG1262" s="11" t="str">
        <f t="shared" si="202"/>
        <v/>
      </c>
      <c r="BH1262" s="8" t="str">
        <f t="shared" si="203"/>
        <v/>
      </c>
      <c r="BI1262" s="8" t="str">
        <f t="shared" si="204"/>
        <v/>
      </c>
      <c r="BJ1262" s="9" t="str">
        <f t="shared" si="205"/>
        <v/>
      </c>
      <c r="BK1262" s="9" t="str">
        <f>IF($B1262="","",COUNTIFS($B$5:$B1262,$B1262,$BF$5:$BF1262,$BF1262))</f>
        <v/>
      </c>
      <c r="BL1262" s="9" t="str">
        <f>IF($B1262="","",COUNTIFS($B$5:$B1262,$B1262,$BH$5:$BH1262,$BH1262))</f>
        <v/>
      </c>
      <c r="BM1262" s="9" t="str">
        <f t="shared" si="206"/>
        <v/>
      </c>
      <c r="BN1262" s="9" t="str">
        <f t="shared" si="207"/>
        <v/>
      </c>
      <c r="BO1262" s="9">
        <f t="shared" si="208"/>
        <v>0</v>
      </c>
      <c r="BR1262" s="12" t="str">
        <f t="shared" si="209"/>
        <v/>
      </c>
    </row>
    <row r="1263" spans="1:70" ht="14.25" customHeight="1">
      <c r="A1263" s="26"/>
      <c r="C1263" s="26"/>
      <c r="D1263" s="27"/>
      <c r="E1263" s="27"/>
      <c r="BE1263" s="10" t="str">
        <f t="shared" si="200"/>
        <v/>
      </c>
      <c r="BF1263" s="8" t="str">
        <f t="shared" si="201"/>
        <v/>
      </c>
      <c r="BG1263" s="11" t="str">
        <f t="shared" si="202"/>
        <v/>
      </c>
      <c r="BH1263" s="8" t="str">
        <f t="shared" si="203"/>
        <v/>
      </c>
      <c r="BI1263" s="8" t="str">
        <f t="shared" si="204"/>
        <v/>
      </c>
      <c r="BJ1263" s="9" t="str">
        <f t="shared" si="205"/>
        <v/>
      </c>
      <c r="BK1263" s="9" t="str">
        <f>IF($B1263="","",COUNTIFS($B$5:$B1263,$B1263,$BF$5:$BF1263,$BF1263))</f>
        <v/>
      </c>
      <c r="BL1263" s="9" t="str">
        <f>IF($B1263="","",COUNTIFS($B$5:$B1263,$B1263,$BH$5:$BH1263,$BH1263))</f>
        <v/>
      </c>
      <c r="BM1263" s="9" t="str">
        <f t="shared" si="206"/>
        <v/>
      </c>
      <c r="BN1263" s="9" t="str">
        <f t="shared" si="207"/>
        <v/>
      </c>
      <c r="BO1263" s="9">
        <f t="shared" si="208"/>
        <v>0</v>
      </c>
      <c r="BR1263" s="12" t="str">
        <f t="shared" si="209"/>
        <v/>
      </c>
    </row>
    <row r="1264" spans="1:70" ht="14.25" customHeight="1">
      <c r="A1264" s="26"/>
      <c r="C1264" s="26"/>
      <c r="D1264" s="27"/>
      <c r="E1264" s="27"/>
      <c r="BE1264" s="10" t="str">
        <f t="shared" si="200"/>
        <v/>
      </c>
      <c r="BF1264" s="8" t="str">
        <f t="shared" si="201"/>
        <v/>
      </c>
      <c r="BG1264" s="11" t="str">
        <f t="shared" si="202"/>
        <v/>
      </c>
      <c r="BH1264" s="8" t="str">
        <f t="shared" si="203"/>
        <v/>
      </c>
      <c r="BI1264" s="8" t="str">
        <f t="shared" si="204"/>
        <v/>
      </c>
      <c r="BJ1264" s="9" t="str">
        <f t="shared" si="205"/>
        <v/>
      </c>
      <c r="BK1264" s="9" t="str">
        <f>IF($B1264="","",COUNTIFS($B$5:$B1264,$B1264,$BF$5:$BF1264,$BF1264))</f>
        <v/>
      </c>
      <c r="BL1264" s="9" t="str">
        <f>IF($B1264="","",COUNTIFS($B$5:$B1264,$B1264,$BH$5:$BH1264,$BH1264))</f>
        <v/>
      </c>
      <c r="BM1264" s="9" t="str">
        <f t="shared" si="206"/>
        <v/>
      </c>
      <c r="BN1264" s="9" t="str">
        <f t="shared" si="207"/>
        <v/>
      </c>
      <c r="BO1264" s="9">
        <f t="shared" si="208"/>
        <v>0</v>
      </c>
      <c r="BR1264" s="12" t="str">
        <f t="shared" si="209"/>
        <v/>
      </c>
    </row>
    <row r="1265" spans="1:70" ht="14.25" customHeight="1">
      <c r="A1265" s="26"/>
      <c r="C1265" s="26"/>
      <c r="D1265" s="27"/>
      <c r="E1265" s="27"/>
      <c r="BE1265" s="10" t="str">
        <f t="shared" si="200"/>
        <v/>
      </c>
      <c r="BF1265" s="8" t="str">
        <f t="shared" si="201"/>
        <v/>
      </c>
      <c r="BG1265" s="11" t="str">
        <f t="shared" si="202"/>
        <v/>
      </c>
      <c r="BH1265" s="8" t="str">
        <f t="shared" si="203"/>
        <v/>
      </c>
      <c r="BI1265" s="8" t="str">
        <f t="shared" si="204"/>
        <v/>
      </c>
      <c r="BJ1265" s="9" t="str">
        <f t="shared" si="205"/>
        <v/>
      </c>
      <c r="BK1265" s="9" t="str">
        <f>IF($B1265="","",COUNTIFS($B$5:$B1265,$B1265,$BF$5:$BF1265,$BF1265))</f>
        <v/>
      </c>
      <c r="BL1265" s="9" t="str">
        <f>IF($B1265="","",COUNTIFS($B$5:$B1265,$B1265,$BH$5:$BH1265,$BH1265))</f>
        <v/>
      </c>
      <c r="BM1265" s="9" t="str">
        <f t="shared" si="206"/>
        <v/>
      </c>
      <c r="BN1265" s="9" t="str">
        <f t="shared" si="207"/>
        <v/>
      </c>
      <c r="BO1265" s="9">
        <f t="shared" si="208"/>
        <v>0</v>
      </c>
      <c r="BR1265" s="12" t="str">
        <f t="shared" si="209"/>
        <v/>
      </c>
    </row>
    <row r="1266" spans="1:70" ht="14.25" customHeight="1">
      <c r="A1266" s="26"/>
      <c r="C1266" s="26"/>
      <c r="D1266" s="27"/>
      <c r="E1266" s="27"/>
      <c r="BE1266" s="10" t="str">
        <f t="shared" si="200"/>
        <v/>
      </c>
      <c r="BF1266" s="8" t="str">
        <f t="shared" si="201"/>
        <v/>
      </c>
      <c r="BG1266" s="11" t="str">
        <f t="shared" si="202"/>
        <v/>
      </c>
      <c r="BH1266" s="8" t="str">
        <f t="shared" si="203"/>
        <v/>
      </c>
      <c r="BI1266" s="8" t="str">
        <f t="shared" si="204"/>
        <v/>
      </c>
      <c r="BJ1266" s="9" t="str">
        <f t="shared" si="205"/>
        <v/>
      </c>
      <c r="BK1266" s="9" t="str">
        <f>IF($B1266="","",COUNTIFS($B$5:$B1266,$B1266,$BF$5:$BF1266,$BF1266))</f>
        <v/>
      </c>
      <c r="BL1266" s="9" t="str">
        <f>IF($B1266="","",COUNTIFS($B$5:$B1266,$B1266,$BH$5:$BH1266,$BH1266))</f>
        <v/>
      </c>
      <c r="BM1266" s="9" t="str">
        <f t="shared" si="206"/>
        <v/>
      </c>
      <c r="BN1266" s="9" t="str">
        <f t="shared" si="207"/>
        <v/>
      </c>
      <c r="BO1266" s="9">
        <f t="shared" si="208"/>
        <v>0</v>
      </c>
      <c r="BR1266" s="12" t="str">
        <f t="shared" si="209"/>
        <v/>
      </c>
    </row>
    <row r="1267" spans="1:70" ht="14.25" customHeight="1">
      <c r="A1267" s="26"/>
      <c r="C1267" s="26"/>
      <c r="D1267" s="27"/>
      <c r="E1267" s="27"/>
      <c r="BE1267" s="10" t="str">
        <f t="shared" si="200"/>
        <v/>
      </c>
      <c r="BF1267" s="8" t="str">
        <f t="shared" si="201"/>
        <v/>
      </c>
      <c r="BG1267" s="11" t="str">
        <f t="shared" si="202"/>
        <v/>
      </c>
      <c r="BH1267" s="8" t="str">
        <f t="shared" si="203"/>
        <v/>
      </c>
      <c r="BI1267" s="8" t="str">
        <f t="shared" si="204"/>
        <v/>
      </c>
      <c r="BJ1267" s="9" t="str">
        <f t="shared" si="205"/>
        <v/>
      </c>
      <c r="BK1267" s="9" t="str">
        <f>IF($B1267="","",COUNTIFS($B$5:$B1267,$B1267,$BF$5:$BF1267,$BF1267))</f>
        <v/>
      </c>
      <c r="BL1267" s="9" t="str">
        <f>IF($B1267="","",COUNTIFS($B$5:$B1267,$B1267,$BH$5:$BH1267,$BH1267))</f>
        <v/>
      </c>
      <c r="BM1267" s="9" t="str">
        <f t="shared" si="206"/>
        <v/>
      </c>
      <c r="BN1267" s="9" t="str">
        <f t="shared" si="207"/>
        <v/>
      </c>
      <c r="BO1267" s="9">
        <f t="shared" si="208"/>
        <v>0</v>
      </c>
      <c r="BR1267" s="12" t="str">
        <f t="shared" si="209"/>
        <v/>
      </c>
    </row>
    <row r="1268" spans="1:70" ht="14.25" customHeight="1">
      <c r="A1268" s="26"/>
      <c r="C1268" s="26"/>
      <c r="D1268" s="27"/>
      <c r="E1268" s="27"/>
      <c r="BE1268" s="10" t="str">
        <f t="shared" si="200"/>
        <v/>
      </c>
      <c r="BF1268" s="8" t="str">
        <f t="shared" si="201"/>
        <v/>
      </c>
      <c r="BG1268" s="11" t="str">
        <f t="shared" si="202"/>
        <v/>
      </c>
      <c r="BH1268" s="8" t="str">
        <f t="shared" si="203"/>
        <v/>
      </c>
      <c r="BI1268" s="8" t="str">
        <f t="shared" si="204"/>
        <v/>
      </c>
      <c r="BJ1268" s="9" t="str">
        <f t="shared" si="205"/>
        <v/>
      </c>
      <c r="BK1268" s="9" t="str">
        <f>IF($B1268="","",COUNTIFS($B$5:$B1268,$B1268,$BF$5:$BF1268,$BF1268))</f>
        <v/>
      </c>
      <c r="BL1268" s="9" t="str">
        <f>IF($B1268="","",COUNTIFS($B$5:$B1268,$B1268,$BH$5:$BH1268,$BH1268))</f>
        <v/>
      </c>
      <c r="BM1268" s="9" t="str">
        <f t="shared" si="206"/>
        <v/>
      </c>
      <c r="BN1268" s="9" t="str">
        <f t="shared" si="207"/>
        <v/>
      </c>
      <c r="BO1268" s="9">
        <f t="shared" si="208"/>
        <v>0</v>
      </c>
      <c r="BR1268" s="12" t="str">
        <f t="shared" si="209"/>
        <v/>
      </c>
    </row>
    <row r="1269" spans="1:70" ht="14.25" customHeight="1">
      <c r="A1269" s="26"/>
      <c r="C1269" s="26"/>
      <c r="D1269" s="27"/>
      <c r="E1269" s="27"/>
      <c r="BE1269" s="10" t="str">
        <f t="shared" si="200"/>
        <v/>
      </c>
      <c r="BF1269" s="8" t="str">
        <f t="shared" si="201"/>
        <v/>
      </c>
      <c r="BG1269" s="11" t="str">
        <f t="shared" si="202"/>
        <v/>
      </c>
      <c r="BH1269" s="8" t="str">
        <f t="shared" si="203"/>
        <v/>
      </c>
      <c r="BI1269" s="8" t="str">
        <f t="shared" si="204"/>
        <v/>
      </c>
      <c r="BJ1269" s="9" t="str">
        <f t="shared" si="205"/>
        <v/>
      </c>
      <c r="BK1269" s="9" t="str">
        <f>IF($B1269="","",COUNTIFS($B$5:$B1269,$B1269,$BF$5:$BF1269,$BF1269))</f>
        <v/>
      </c>
      <c r="BL1269" s="9" t="str">
        <f>IF($B1269="","",COUNTIFS($B$5:$B1269,$B1269,$BH$5:$BH1269,$BH1269))</f>
        <v/>
      </c>
      <c r="BM1269" s="9" t="str">
        <f t="shared" si="206"/>
        <v/>
      </c>
      <c r="BN1269" s="9" t="str">
        <f t="shared" si="207"/>
        <v/>
      </c>
      <c r="BO1269" s="9">
        <f t="shared" si="208"/>
        <v>0</v>
      </c>
      <c r="BR1269" s="12" t="str">
        <f t="shared" si="209"/>
        <v/>
      </c>
    </row>
    <row r="1270" spans="1:70" ht="14.25" customHeight="1">
      <c r="A1270" s="26"/>
      <c r="C1270" s="26"/>
      <c r="D1270" s="27"/>
      <c r="E1270" s="27"/>
      <c r="BE1270" s="10" t="str">
        <f t="shared" si="200"/>
        <v/>
      </c>
      <c r="BF1270" s="8" t="str">
        <f t="shared" si="201"/>
        <v/>
      </c>
      <c r="BG1270" s="11" t="str">
        <f t="shared" si="202"/>
        <v/>
      </c>
      <c r="BH1270" s="8" t="str">
        <f t="shared" si="203"/>
        <v/>
      </c>
      <c r="BI1270" s="8" t="str">
        <f t="shared" si="204"/>
        <v/>
      </c>
      <c r="BJ1270" s="9" t="str">
        <f t="shared" si="205"/>
        <v/>
      </c>
      <c r="BK1270" s="9" t="str">
        <f>IF($B1270="","",COUNTIFS($B$5:$B1270,$B1270,$BF$5:$BF1270,$BF1270))</f>
        <v/>
      </c>
      <c r="BL1270" s="9" t="str">
        <f>IF($B1270="","",COUNTIFS($B$5:$B1270,$B1270,$BH$5:$BH1270,$BH1270))</f>
        <v/>
      </c>
      <c r="BM1270" s="9" t="str">
        <f t="shared" si="206"/>
        <v/>
      </c>
      <c r="BN1270" s="9" t="str">
        <f t="shared" si="207"/>
        <v/>
      </c>
      <c r="BO1270" s="9">
        <f t="shared" si="208"/>
        <v>0</v>
      </c>
      <c r="BR1270" s="12" t="str">
        <f t="shared" si="209"/>
        <v/>
      </c>
    </row>
    <row r="1271" spans="1:70" ht="14.25" customHeight="1">
      <c r="A1271" s="26"/>
      <c r="C1271" s="26"/>
      <c r="D1271" s="27"/>
      <c r="E1271" s="27"/>
      <c r="BE1271" s="10" t="str">
        <f t="shared" si="200"/>
        <v/>
      </c>
      <c r="BF1271" s="8" t="str">
        <f t="shared" si="201"/>
        <v/>
      </c>
      <c r="BG1271" s="11" t="str">
        <f t="shared" si="202"/>
        <v/>
      </c>
      <c r="BH1271" s="8" t="str">
        <f t="shared" si="203"/>
        <v/>
      </c>
      <c r="BI1271" s="8" t="str">
        <f t="shared" si="204"/>
        <v/>
      </c>
      <c r="BJ1271" s="9" t="str">
        <f t="shared" si="205"/>
        <v/>
      </c>
      <c r="BK1271" s="9" t="str">
        <f>IF($B1271="","",COUNTIFS($B$5:$B1271,$B1271,$BF$5:$BF1271,$BF1271))</f>
        <v/>
      </c>
      <c r="BL1271" s="9" t="str">
        <f>IF($B1271="","",COUNTIFS($B$5:$B1271,$B1271,$BH$5:$BH1271,$BH1271))</f>
        <v/>
      </c>
      <c r="BM1271" s="9" t="str">
        <f t="shared" si="206"/>
        <v/>
      </c>
      <c r="BN1271" s="9" t="str">
        <f t="shared" si="207"/>
        <v/>
      </c>
      <c r="BO1271" s="9">
        <f t="shared" si="208"/>
        <v>0</v>
      </c>
      <c r="BR1271" s="12" t="str">
        <f t="shared" si="209"/>
        <v/>
      </c>
    </row>
    <row r="1272" spans="1:70" ht="14.25" customHeight="1">
      <c r="A1272" s="26"/>
      <c r="C1272" s="26"/>
      <c r="D1272" s="27"/>
      <c r="E1272" s="27"/>
      <c r="BE1272" s="10" t="str">
        <f t="shared" si="200"/>
        <v/>
      </c>
      <c r="BF1272" s="8" t="str">
        <f t="shared" si="201"/>
        <v/>
      </c>
      <c r="BG1272" s="11" t="str">
        <f t="shared" si="202"/>
        <v/>
      </c>
      <c r="BH1272" s="8" t="str">
        <f t="shared" si="203"/>
        <v/>
      </c>
      <c r="BI1272" s="8" t="str">
        <f t="shared" si="204"/>
        <v/>
      </c>
      <c r="BJ1272" s="9" t="str">
        <f t="shared" si="205"/>
        <v/>
      </c>
      <c r="BK1272" s="9" t="str">
        <f>IF($B1272="","",COUNTIFS($B$5:$B1272,$B1272,$BF$5:$BF1272,$BF1272))</f>
        <v/>
      </c>
      <c r="BL1272" s="9" t="str">
        <f>IF($B1272="","",COUNTIFS($B$5:$B1272,$B1272,$BH$5:$BH1272,$BH1272))</f>
        <v/>
      </c>
      <c r="BM1272" s="9" t="str">
        <f t="shared" si="206"/>
        <v/>
      </c>
      <c r="BN1272" s="9" t="str">
        <f t="shared" si="207"/>
        <v/>
      </c>
      <c r="BO1272" s="9">
        <f t="shared" si="208"/>
        <v>0</v>
      </c>
      <c r="BR1272" s="12" t="str">
        <f t="shared" si="209"/>
        <v/>
      </c>
    </row>
    <row r="1273" spans="1:70" ht="14.25" customHeight="1">
      <c r="A1273" s="26"/>
      <c r="C1273" s="26"/>
      <c r="D1273" s="27"/>
      <c r="E1273" s="27"/>
      <c r="BE1273" s="10" t="str">
        <f t="shared" si="200"/>
        <v/>
      </c>
      <c r="BF1273" s="8" t="str">
        <f t="shared" si="201"/>
        <v/>
      </c>
      <c r="BG1273" s="11" t="str">
        <f t="shared" si="202"/>
        <v/>
      </c>
      <c r="BH1273" s="8" t="str">
        <f t="shared" si="203"/>
        <v/>
      </c>
      <c r="BI1273" s="8" t="str">
        <f t="shared" si="204"/>
        <v/>
      </c>
      <c r="BJ1273" s="9" t="str">
        <f t="shared" si="205"/>
        <v/>
      </c>
      <c r="BK1273" s="9" t="str">
        <f>IF($B1273="","",COUNTIFS($B$5:$B1273,$B1273,$BF$5:$BF1273,$BF1273))</f>
        <v/>
      </c>
      <c r="BL1273" s="9" t="str">
        <f>IF($B1273="","",COUNTIFS($B$5:$B1273,$B1273,$BH$5:$BH1273,$BH1273))</f>
        <v/>
      </c>
      <c r="BM1273" s="9" t="str">
        <f t="shared" si="206"/>
        <v/>
      </c>
      <c r="BN1273" s="9" t="str">
        <f t="shared" si="207"/>
        <v/>
      </c>
      <c r="BO1273" s="9">
        <f t="shared" si="208"/>
        <v>0</v>
      </c>
      <c r="BR1273" s="12" t="str">
        <f t="shared" si="209"/>
        <v/>
      </c>
    </row>
    <row r="1274" spans="1:70" ht="14.25" customHeight="1">
      <c r="A1274" s="26"/>
      <c r="C1274" s="26"/>
      <c r="D1274" s="27"/>
      <c r="E1274" s="27"/>
      <c r="BE1274" s="10" t="str">
        <f t="shared" si="200"/>
        <v/>
      </c>
      <c r="BF1274" s="8" t="str">
        <f t="shared" si="201"/>
        <v/>
      </c>
      <c r="BG1274" s="11" t="str">
        <f t="shared" si="202"/>
        <v/>
      </c>
      <c r="BH1274" s="8" t="str">
        <f t="shared" si="203"/>
        <v/>
      </c>
      <c r="BI1274" s="8" t="str">
        <f t="shared" si="204"/>
        <v/>
      </c>
      <c r="BJ1274" s="9" t="str">
        <f t="shared" si="205"/>
        <v/>
      </c>
      <c r="BK1274" s="9" t="str">
        <f>IF($B1274="","",COUNTIFS($B$5:$B1274,$B1274,$BF$5:$BF1274,$BF1274))</f>
        <v/>
      </c>
      <c r="BL1274" s="9" t="str">
        <f>IF($B1274="","",COUNTIFS($B$5:$B1274,$B1274,$BH$5:$BH1274,$BH1274))</f>
        <v/>
      </c>
      <c r="BM1274" s="9" t="str">
        <f t="shared" si="206"/>
        <v/>
      </c>
      <c r="BN1274" s="9" t="str">
        <f t="shared" si="207"/>
        <v/>
      </c>
      <c r="BO1274" s="9">
        <f t="shared" si="208"/>
        <v>0</v>
      </c>
      <c r="BR1274" s="12" t="str">
        <f t="shared" si="209"/>
        <v/>
      </c>
    </row>
    <row r="1275" spans="1:70" ht="14.25" customHeight="1">
      <c r="A1275" s="26"/>
      <c r="C1275" s="26"/>
      <c r="D1275" s="27"/>
      <c r="E1275" s="27"/>
      <c r="BE1275" s="10" t="str">
        <f t="shared" si="200"/>
        <v/>
      </c>
      <c r="BF1275" s="8" t="str">
        <f t="shared" si="201"/>
        <v/>
      </c>
      <c r="BG1275" s="11" t="str">
        <f t="shared" si="202"/>
        <v/>
      </c>
      <c r="BH1275" s="8" t="str">
        <f t="shared" si="203"/>
        <v/>
      </c>
      <c r="BI1275" s="8" t="str">
        <f t="shared" si="204"/>
        <v/>
      </c>
      <c r="BJ1275" s="9" t="str">
        <f t="shared" si="205"/>
        <v/>
      </c>
      <c r="BK1275" s="9" t="str">
        <f>IF($B1275="","",COUNTIFS($B$5:$B1275,$B1275,$BF$5:$BF1275,$BF1275))</f>
        <v/>
      </c>
      <c r="BL1275" s="9" t="str">
        <f>IF($B1275="","",COUNTIFS($B$5:$B1275,$B1275,$BH$5:$BH1275,$BH1275))</f>
        <v/>
      </c>
      <c r="BM1275" s="9" t="str">
        <f t="shared" si="206"/>
        <v/>
      </c>
      <c r="BN1275" s="9" t="str">
        <f t="shared" si="207"/>
        <v/>
      </c>
      <c r="BO1275" s="9">
        <f t="shared" si="208"/>
        <v>0</v>
      </c>
      <c r="BR1275" s="12" t="str">
        <f t="shared" si="209"/>
        <v/>
      </c>
    </row>
    <row r="1276" spans="1:70" ht="14.25" customHeight="1">
      <c r="A1276" s="26"/>
      <c r="C1276" s="26"/>
      <c r="D1276" s="27"/>
      <c r="E1276" s="27"/>
      <c r="BE1276" s="10" t="str">
        <f t="shared" si="200"/>
        <v/>
      </c>
      <c r="BF1276" s="8" t="str">
        <f t="shared" si="201"/>
        <v/>
      </c>
      <c r="BG1276" s="11" t="str">
        <f t="shared" si="202"/>
        <v/>
      </c>
      <c r="BH1276" s="8" t="str">
        <f t="shared" si="203"/>
        <v/>
      </c>
      <c r="BI1276" s="8" t="str">
        <f t="shared" si="204"/>
        <v/>
      </c>
      <c r="BJ1276" s="9" t="str">
        <f t="shared" si="205"/>
        <v/>
      </c>
      <c r="BK1276" s="9" t="str">
        <f>IF($B1276="","",COUNTIFS($B$5:$B1276,$B1276,$BF$5:$BF1276,$BF1276))</f>
        <v/>
      </c>
      <c r="BL1276" s="9" t="str">
        <f>IF($B1276="","",COUNTIFS($B$5:$B1276,$B1276,$BH$5:$BH1276,$BH1276))</f>
        <v/>
      </c>
      <c r="BM1276" s="9" t="str">
        <f t="shared" si="206"/>
        <v/>
      </c>
      <c r="BN1276" s="9" t="str">
        <f t="shared" si="207"/>
        <v/>
      </c>
      <c r="BO1276" s="9">
        <f t="shared" si="208"/>
        <v>0</v>
      </c>
      <c r="BR1276" s="12" t="str">
        <f t="shared" si="209"/>
        <v/>
      </c>
    </row>
    <row r="1277" spans="1:70" ht="14.25" customHeight="1">
      <c r="A1277" s="26"/>
      <c r="C1277" s="26"/>
      <c r="D1277" s="27"/>
      <c r="E1277" s="27"/>
      <c r="BE1277" s="10" t="str">
        <f t="shared" si="200"/>
        <v/>
      </c>
      <c r="BF1277" s="8" t="str">
        <f t="shared" si="201"/>
        <v/>
      </c>
      <c r="BG1277" s="11" t="str">
        <f t="shared" si="202"/>
        <v/>
      </c>
      <c r="BH1277" s="8" t="str">
        <f t="shared" si="203"/>
        <v/>
      </c>
      <c r="BI1277" s="8" t="str">
        <f t="shared" si="204"/>
        <v/>
      </c>
      <c r="BJ1277" s="9" t="str">
        <f t="shared" si="205"/>
        <v/>
      </c>
      <c r="BK1277" s="9" t="str">
        <f>IF($B1277="","",COUNTIFS($B$5:$B1277,$B1277,$BF$5:$BF1277,$BF1277))</f>
        <v/>
      </c>
      <c r="BL1277" s="9" t="str">
        <f>IF($B1277="","",COUNTIFS($B$5:$B1277,$B1277,$BH$5:$BH1277,$BH1277))</f>
        <v/>
      </c>
      <c r="BM1277" s="9" t="str">
        <f t="shared" si="206"/>
        <v/>
      </c>
      <c r="BN1277" s="9" t="str">
        <f t="shared" si="207"/>
        <v/>
      </c>
      <c r="BO1277" s="9">
        <f t="shared" si="208"/>
        <v>0</v>
      </c>
      <c r="BR1277" s="12" t="str">
        <f t="shared" si="209"/>
        <v/>
      </c>
    </row>
    <row r="1278" spans="1:70" ht="14.25" customHeight="1">
      <c r="A1278" s="26"/>
      <c r="C1278" s="26"/>
      <c r="D1278" s="27"/>
      <c r="E1278" s="27"/>
      <c r="BE1278" s="10" t="str">
        <f t="shared" si="200"/>
        <v/>
      </c>
      <c r="BF1278" s="8" t="str">
        <f t="shared" si="201"/>
        <v/>
      </c>
      <c r="BG1278" s="11" t="str">
        <f t="shared" si="202"/>
        <v/>
      </c>
      <c r="BH1278" s="8" t="str">
        <f t="shared" si="203"/>
        <v/>
      </c>
      <c r="BI1278" s="8" t="str">
        <f t="shared" si="204"/>
        <v/>
      </c>
      <c r="BJ1278" s="9" t="str">
        <f t="shared" si="205"/>
        <v/>
      </c>
      <c r="BK1278" s="9" t="str">
        <f>IF($B1278="","",COUNTIFS($B$5:$B1278,$B1278,$BF$5:$BF1278,$BF1278))</f>
        <v/>
      </c>
      <c r="BL1278" s="9" t="str">
        <f>IF($B1278="","",COUNTIFS($B$5:$B1278,$B1278,$BH$5:$BH1278,$BH1278))</f>
        <v/>
      </c>
      <c r="BM1278" s="9" t="str">
        <f t="shared" si="206"/>
        <v/>
      </c>
      <c r="BN1278" s="9" t="str">
        <f t="shared" si="207"/>
        <v/>
      </c>
      <c r="BO1278" s="9">
        <f t="shared" si="208"/>
        <v>0</v>
      </c>
      <c r="BR1278" s="12" t="str">
        <f t="shared" si="209"/>
        <v/>
      </c>
    </row>
    <row r="1279" spans="1:70" ht="14.25" customHeight="1">
      <c r="A1279" s="26"/>
      <c r="C1279" s="26"/>
      <c r="D1279" s="27"/>
      <c r="E1279" s="27"/>
      <c r="BE1279" s="10" t="str">
        <f t="shared" si="200"/>
        <v/>
      </c>
      <c r="BF1279" s="8" t="str">
        <f t="shared" si="201"/>
        <v/>
      </c>
      <c r="BG1279" s="11" t="str">
        <f t="shared" si="202"/>
        <v/>
      </c>
      <c r="BH1279" s="8" t="str">
        <f t="shared" si="203"/>
        <v/>
      </c>
      <c r="BI1279" s="8" t="str">
        <f t="shared" si="204"/>
        <v/>
      </c>
      <c r="BJ1279" s="9" t="str">
        <f t="shared" si="205"/>
        <v/>
      </c>
      <c r="BK1279" s="9" t="str">
        <f>IF($B1279="","",COUNTIFS($B$5:$B1279,$B1279,$BF$5:$BF1279,$BF1279))</f>
        <v/>
      </c>
      <c r="BL1279" s="9" t="str">
        <f>IF($B1279="","",COUNTIFS($B$5:$B1279,$B1279,$BH$5:$BH1279,$BH1279))</f>
        <v/>
      </c>
      <c r="BM1279" s="9" t="str">
        <f t="shared" si="206"/>
        <v/>
      </c>
      <c r="BN1279" s="9" t="str">
        <f t="shared" si="207"/>
        <v/>
      </c>
      <c r="BO1279" s="9">
        <f t="shared" si="208"/>
        <v>0</v>
      </c>
      <c r="BR1279" s="12" t="str">
        <f t="shared" si="209"/>
        <v/>
      </c>
    </row>
    <row r="1280" spans="1:70" ht="14.25" customHeight="1">
      <c r="A1280" s="26"/>
      <c r="C1280" s="26"/>
      <c r="D1280" s="27"/>
      <c r="E1280" s="27"/>
      <c r="BE1280" s="10" t="str">
        <f t="shared" si="200"/>
        <v/>
      </c>
      <c r="BF1280" s="8" t="str">
        <f t="shared" si="201"/>
        <v/>
      </c>
      <c r="BG1280" s="11" t="str">
        <f t="shared" si="202"/>
        <v/>
      </c>
      <c r="BH1280" s="8" t="str">
        <f t="shared" si="203"/>
        <v/>
      </c>
      <c r="BI1280" s="8" t="str">
        <f t="shared" si="204"/>
        <v/>
      </c>
      <c r="BJ1280" s="9" t="str">
        <f t="shared" si="205"/>
        <v/>
      </c>
      <c r="BK1280" s="9" t="str">
        <f>IF($B1280="","",COUNTIFS($B$5:$B1280,$B1280,$BF$5:$BF1280,$BF1280))</f>
        <v/>
      </c>
      <c r="BL1280" s="9" t="str">
        <f>IF($B1280="","",COUNTIFS($B$5:$B1280,$B1280,$BH$5:$BH1280,$BH1280))</f>
        <v/>
      </c>
      <c r="BM1280" s="9" t="str">
        <f t="shared" si="206"/>
        <v/>
      </c>
      <c r="BN1280" s="9" t="str">
        <f t="shared" si="207"/>
        <v/>
      </c>
      <c r="BO1280" s="9">
        <f t="shared" si="208"/>
        <v>0</v>
      </c>
      <c r="BR1280" s="12" t="str">
        <f t="shared" si="209"/>
        <v/>
      </c>
    </row>
    <row r="1281" spans="1:70" ht="14.25" customHeight="1">
      <c r="A1281" s="26"/>
      <c r="C1281" s="26"/>
      <c r="D1281" s="27"/>
      <c r="E1281" s="27"/>
      <c r="BE1281" s="10" t="str">
        <f t="shared" si="200"/>
        <v/>
      </c>
      <c r="BF1281" s="8" t="str">
        <f t="shared" si="201"/>
        <v/>
      </c>
      <c r="BG1281" s="11" t="str">
        <f t="shared" si="202"/>
        <v/>
      </c>
      <c r="BH1281" s="8" t="str">
        <f t="shared" si="203"/>
        <v/>
      </c>
      <c r="BI1281" s="8" t="str">
        <f t="shared" si="204"/>
        <v/>
      </c>
      <c r="BJ1281" s="9" t="str">
        <f t="shared" si="205"/>
        <v/>
      </c>
      <c r="BK1281" s="9" t="str">
        <f>IF($B1281="","",COUNTIFS($B$5:$B1281,$B1281,$BF$5:$BF1281,$BF1281))</f>
        <v/>
      </c>
      <c r="BL1281" s="9" t="str">
        <f>IF($B1281="","",COUNTIFS($B$5:$B1281,$B1281,$BH$5:$BH1281,$BH1281))</f>
        <v/>
      </c>
      <c r="BM1281" s="9" t="str">
        <f t="shared" si="206"/>
        <v/>
      </c>
      <c r="BN1281" s="9" t="str">
        <f t="shared" si="207"/>
        <v/>
      </c>
      <c r="BO1281" s="9">
        <f t="shared" si="208"/>
        <v>0</v>
      </c>
      <c r="BR1281" s="12" t="str">
        <f t="shared" si="209"/>
        <v/>
      </c>
    </row>
    <row r="1282" spans="1:70" ht="14.25" customHeight="1">
      <c r="A1282" s="26"/>
      <c r="C1282" s="26"/>
      <c r="D1282" s="27"/>
      <c r="E1282" s="27"/>
      <c r="BE1282" s="10" t="str">
        <f t="shared" si="200"/>
        <v/>
      </c>
      <c r="BF1282" s="8" t="str">
        <f t="shared" si="201"/>
        <v/>
      </c>
      <c r="BG1282" s="11" t="str">
        <f t="shared" si="202"/>
        <v/>
      </c>
      <c r="BH1282" s="8" t="str">
        <f t="shared" si="203"/>
        <v/>
      </c>
      <c r="BI1282" s="8" t="str">
        <f t="shared" si="204"/>
        <v/>
      </c>
      <c r="BJ1282" s="9" t="str">
        <f t="shared" si="205"/>
        <v/>
      </c>
      <c r="BK1282" s="9" t="str">
        <f>IF($B1282="","",COUNTIFS($B$5:$B1282,$B1282,$BF$5:$BF1282,$BF1282))</f>
        <v/>
      </c>
      <c r="BL1282" s="9" t="str">
        <f>IF($B1282="","",COUNTIFS($B$5:$B1282,$B1282,$BH$5:$BH1282,$BH1282))</f>
        <v/>
      </c>
      <c r="BM1282" s="9" t="str">
        <f t="shared" si="206"/>
        <v/>
      </c>
      <c r="BN1282" s="9" t="str">
        <f t="shared" si="207"/>
        <v/>
      </c>
      <c r="BO1282" s="9">
        <f t="shared" si="208"/>
        <v>0</v>
      </c>
      <c r="BR1282" s="12" t="str">
        <f t="shared" si="209"/>
        <v/>
      </c>
    </row>
    <row r="1283" spans="1:70" ht="14.25" customHeight="1">
      <c r="A1283" s="26"/>
      <c r="C1283" s="26"/>
      <c r="D1283" s="27"/>
      <c r="E1283" s="27"/>
      <c r="BE1283" s="10" t="str">
        <f t="shared" si="200"/>
        <v/>
      </c>
      <c r="BF1283" s="8" t="str">
        <f t="shared" si="201"/>
        <v/>
      </c>
      <c r="BG1283" s="11" t="str">
        <f t="shared" si="202"/>
        <v/>
      </c>
      <c r="BH1283" s="8" t="str">
        <f t="shared" si="203"/>
        <v/>
      </c>
      <c r="BI1283" s="8" t="str">
        <f t="shared" si="204"/>
        <v/>
      </c>
      <c r="BJ1283" s="9" t="str">
        <f t="shared" si="205"/>
        <v/>
      </c>
      <c r="BK1283" s="9" t="str">
        <f>IF($B1283="","",COUNTIFS($B$5:$B1283,$B1283,$BF$5:$BF1283,$BF1283))</f>
        <v/>
      </c>
      <c r="BL1283" s="9" t="str">
        <f>IF($B1283="","",COUNTIFS($B$5:$B1283,$B1283,$BH$5:$BH1283,$BH1283))</f>
        <v/>
      </c>
      <c r="BM1283" s="9" t="str">
        <f t="shared" si="206"/>
        <v/>
      </c>
      <c r="BN1283" s="9" t="str">
        <f t="shared" si="207"/>
        <v/>
      </c>
      <c r="BO1283" s="9">
        <f t="shared" si="208"/>
        <v>0</v>
      </c>
      <c r="BR1283" s="12" t="str">
        <f t="shared" si="209"/>
        <v/>
      </c>
    </row>
    <row r="1284" spans="1:70" ht="14.25" customHeight="1">
      <c r="A1284" s="26"/>
      <c r="C1284" s="26"/>
      <c r="D1284" s="27"/>
      <c r="E1284" s="27"/>
      <c r="BE1284" s="10" t="str">
        <f t="shared" si="200"/>
        <v/>
      </c>
      <c r="BF1284" s="8" t="str">
        <f t="shared" si="201"/>
        <v/>
      </c>
      <c r="BG1284" s="11" t="str">
        <f t="shared" si="202"/>
        <v/>
      </c>
      <c r="BH1284" s="8" t="str">
        <f t="shared" si="203"/>
        <v/>
      </c>
      <c r="BI1284" s="8" t="str">
        <f t="shared" si="204"/>
        <v/>
      </c>
      <c r="BJ1284" s="9" t="str">
        <f t="shared" si="205"/>
        <v/>
      </c>
      <c r="BK1284" s="9" t="str">
        <f>IF($B1284="","",COUNTIFS($B$5:$B1284,$B1284,$BF$5:$BF1284,$BF1284))</f>
        <v/>
      </c>
      <c r="BL1284" s="9" t="str">
        <f>IF($B1284="","",COUNTIFS($B$5:$B1284,$B1284,$BH$5:$BH1284,$BH1284))</f>
        <v/>
      </c>
      <c r="BM1284" s="9" t="str">
        <f t="shared" si="206"/>
        <v/>
      </c>
      <c r="BN1284" s="9" t="str">
        <f t="shared" si="207"/>
        <v/>
      </c>
      <c r="BO1284" s="9">
        <f t="shared" si="208"/>
        <v>0</v>
      </c>
      <c r="BR1284" s="12" t="str">
        <f t="shared" si="209"/>
        <v/>
      </c>
    </row>
    <row r="1285" spans="1:70" ht="14.25" customHeight="1">
      <c r="A1285" s="26"/>
      <c r="C1285" s="26"/>
      <c r="D1285" s="27"/>
      <c r="E1285" s="27"/>
      <c r="BE1285" s="10" t="str">
        <f t="shared" si="200"/>
        <v/>
      </c>
      <c r="BF1285" s="8" t="str">
        <f t="shared" si="201"/>
        <v/>
      </c>
      <c r="BG1285" s="11" t="str">
        <f t="shared" si="202"/>
        <v/>
      </c>
      <c r="BH1285" s="8" t="str">
        <f t="shared" si="203"/>
        <v/>
      </c>
      <c r="BI1285" s="8" t="str">
        <f t="shared" si="204"/>
        <v/>
      </c>
      <c r="BJ1285" s="9" t="str">
        <f t="shared" si="205"/>
        <v/>
      </c>
      <c r="BK1285" s="9" t="str">
        <f>IF($B1285="","",COUNTIFS($B$5:$B1285,$B1285,$BF$5:$BF1285,$BF1285))</f>
        <v/>
      </c>
      <c r="BL1285" s="9" t="str">
        <f>IF($B1285="","",COUNTIFS($B$5:$B1285,$B1285,$BH$5:$BH1285,$BH1285))</f>
        <v/>
      </c>
      <c r="BM1285" s="9" t="str">
        <f t="shared" si="206"/>
        <v/>
      </c>
      <c r="BN1285" s="9" t="str">
        <f t="shared" si="207"/>
        <v/>
      </c>
      <c r="BO1285" s="9">
        <f t="shared" si="208"/>
        <v>0</v>
      </c>
      <c r="BR1285" s="12" t="str">
        <f t="shared" si="209"/>
        <v/>
      </c>
    </row>
    <row r="1286" spans="1:70" ht="14.25" customHeight="1">
      <c r="A1286" s="26"/>
      <c r="C1286" s="26"/>
      <c r="D1286" s="27"/>
      <c r="E1286" s="27"/>
      <c r="BE1286" s="10" t="str">
        <f t="shared" si="200"/>
        <v/>
      </c>
      <c r="BF1286" s="8" t="str">
        <f t="shared" si="201"/>
        <v/>
      </c>
      <c r="BG1286" s="11" t="str">
        <f t="shared" si="202"/>
        <v/>
      </c>
      <c r="BH1286" s="8" t="str">
        <f t="shared" si="203"/>
        <v/>
      </c>
      <c r="BI1286" s="8" t="str">
        <f t="shared" si="204"/>
        <v/>
      </c>
      <c r="BJ1286" s="9" t="str">
        <f t="shared" si="205"/>
        <v/>
      </c>
      <c r="BK1286" s="9" t="str">
        <f>IF($B1286="","",COUNTIFS($B$5:$B1286,$B1286,$BF$5:$BF1286,$BF1286))</f>
        <v/>
      </c>
      <c r="BL1286" s="9" t="str">
        <f>IF($B1286="","",COUNTIFS($B$5:$B1286,$B1286,$BH$5:$BH1286,$BH1286))</f>
        <v/>
      </c>
      <c r="BM1286" s="9" t="str">
        <f t="shared" si="206"/>
        <v/>
      </c>
      <c r="BN1286" s="9" t="str">
        <f t="shared" si="207"/>
        <v/>
      </c>
      <c r="BO1286" s="9">
        <f t="shared" si="208"/>
        <v>0</v>
      </c>
      <c r="BR1286" s="12" t="str">
        <f t="shared" si="209"/>
        <v/>
      </c>
    </row>
    <row r="1287" spans="1:70" ht="14.25" customHeight="1">
      <c r="A1287" s="26"/>
      <c r="C1287" s="26"/>
      <c r="D1287" s="27"/>
      <c r="E1287" s="27"/>
      <c r="BE1287" s="10" t="str">
        <f t="shared" si="200"/>
        <v/>
      </c>
      <c r="BF1287" s="8" t="str">
        <f t="shared" si="201"/>
        <v/>
      </c>
      <c r="BG1287" s="11" t="str">
        <f t="shared" si="202"/>
        <v/>
      </c>
      <c r="BH1287" s="8" t="str">
        <f t="shared" si="203"/>
        <v/>
      </c>
      <c r="BI1287" s="8" t="str">
        <f t="shared" si="204"/>
        <v/>
      </c>
      <c r="BJ1287" s="9" t="str">
        <f t="shared" si="205"/>
        <v/>
      </c>
      <c r="BK1287" s="9" t="str">
        <f>IF($B1287="","",COUNTIFS($B$5:$B1287,$B1287,$BF$5:$BF1287,$BF1287))</f>
        <v/>
      </c>
      <c r="BL1287" s="9" t="str">
        <f>IF($B1287="","",COUNTIFS($B$5:$B1287,$B1287,$BH$5:$BH1287,$BH1287))</f>
        <v/>
      </c>
      <c r="BM1287" s="9" t="str">
        <f t="shared" si="206"/>
        <v/>
      </c>
      <c r="BN1287" s="9" t="str">
        <f t="shared" si="207"/>
        <v/>
      </c>
      <c r="BO1287" s="9">
        <f t="shared" si="208"/>
        <v>0</v>
      </c>
      <c r="BR1287" s="12" t="str">
        <f t="shared" si="209"/>
        <v/>
      </c>
    </row>
    <row r="1288" spans="1:70" ht="14.25" customHeight="1">
      <c r="A1288" s="26"/>
      <c r="C1288" s="26"/>
      <c r="D1288" s="27"/>
      <c r="E1288" s="27"/>
      <c r="BE1288" s="10" t="str">
        <f t="shared" si="200"/>
        <v/>
      </c>
      <c r="BF1288" s="8" t="str">
        <f t="shared" si="201"/>
        <v/>
      </c>
      <c r="BG1288" s="11" t="str">
        <f t="shared" si="202"/>
        <v/>
      </c>
      <c r="BH1288" s="8" t="str">
        <f t="shared" si="203"/>
        <v/>
      </c>
      <c r="BI1288" s="8" t="str">
        <f t="shared" si="204"/>
        <v/>
      </c>
      <c r="BJ1288" s="9" t="str">
        <f t="shared" si="205"/>
        <v/>
      </c>
      <c r="BK1288" s="9" t="str">
        <f>IF($B1288="","",COUNTIFS($B$5:$B1288,$B1288,$BF$5:$BF1288,$BF1288))</f>
        <v/>
      </c>
      <c r="BL1288" s="9" t="str">
        <f>IF($B1288="","",COUNTIFS($B$5:$B1288,$B1288,$BH$5:$BH1288,$BH1288))</f>
        <v/>
      </c>
      <c r="BM1288" s="9" t="str">
        <f t="shared" si="206"/>
        <v/>
      </c>
      <c r="BN1288" s="9" t="str">
        <f t="shared" si="207"/>
        <v/>
      </c>
      <c r="BO1288" s="9">
        <f t="shared" si="208"/>
        <v>0</v>
      </c>
      <c r="BR1288" s="12" t="str">
        <f t="shared" si="209"/>
        <v/>
      </c>
    </row>
    <row r="1289" spans="1:70" ht="14.25" customHeight="1">
      <c r="A1289" s="26"/>
      <c r="C1289" s="26"/>
      <c r="D1289" s="27"/>
      <c r="E1289" s="27"/>
      <c r="BE1289" s="10" t="str">
        <f t="shared" si="200"/>
        <v/>
      </c>
      <c r="BF1289" s="8" t="str">
        <f t="shared" si="201"/>
        <v/>
      </c>
      <c r="BG1289" s="11" t="str">
        <f t="shared" si="202"/>
        <v/>
      </c>
      <c r="BH1289" s="8" t="str">
        <f t="shared" si="203"/>
        <v/>
      </c>
      <c r="BI1289" s="8" t="str">
        <f t="shared" si="204"/>
        <v/>
      </c>
      <c r="BJ1289" s="9" t="str">
        <f t="shared" si="205"/>
        <v/>
      </c>
      <c r="BK1289" s="9" t="str">
        <f>IF($B1289="","",COUNTIFS($B$5:$B1289,$B1289,$BF$5:$BF1289,$BF1289))</f>
        <v/>
      </c>
      <c r="BL1289" s="9" t="str">
        <f>IF($B1289="","",COUNTIFS($B$5:$B1289,$B1289,$BH$5:$BH1289,$BH1289))</f>
        <v/>
      </c>
      <c r="BM1289" s="9" t="str">
        <f t="shared" si="206"/>
        <v/>
      </c>
      <c r="BN1289" s="9" t="str">
        <f t="shared" si="207"/>
        <v/>
      </c>
      <c r="BO1289" s="9">
        <f t="shared" si="208"/>
        <v>0</v>
      </c>
      <c r="BR1289" s="12" t="str">
        <f t="shared" si="209"/>
        <v/>
      </c>
    </row>
    <row r="1290" spans="1:70" ht="14.25" customHeight="1">
      <c r="A1290" s="26"/>
      <c r="C1290" s="26"/>
      <c r="D1290" s="27"/>
      <c r="E1290" s="27"/>
      <c r="BE1290" s="10" t="str">
        <f t="shared" si="200"/>
        <v/>
      </c>
      <c r="BF1290" s="8" t="str">
        <f t="shared" si="201"/>
        <v/>
      </c>
      <c r="BG1290" s="11" t="str">
        <f t="shared" si="202"/>
        <v/>
      </c>
      <c r="BH1290" s="8" t="str">
        <f t="shared" si="203"/>
        <v/>
      </c>
      <c r="BI1290" s="8" t="str">
        <f t="shared" si="204"/>
        <v/>
      </c>
      <c r="BJ1290" s="9" t="str">
        <f t="shared" si="205"/>
        <v/>
      </c>
      <c r="BK1290" s="9" t="str">
        <f>IF($B1290="","",COUNTIFS($B$5:$B1290,$B1290,$BF$5:$BF1290,$BF1290))</f>
        <v/>
      </c>
      <c r="BL1290" s="9" t="str">
        <f>IF($B1290="","",COUNTIFS($B$5:$B1290,$B1290,$BH$5:$BH1290,$BH1290))</f>
        <v/>
      </c>
      <c r="BM1290" s="9" t="str">
        <f t="shared" si="206"/>
        <v/>
      </c>
      <c r="BN1290" s="9" t="str">
        <f t="shared" si="207"/>
        <v/>
      </c>
      <c r="BO1290" s="9">
        <f t="shared" si="208"/>
        <v>0</v>
      </c>
      <c r="BR1290" s="12" t="str">
        <f t="shared" si="209"/>
        <v/>
      </c>
    </row>
    <row r="1291" spans="1:70" ht="14.25" customHeight="1">
      <c r="A1291" s="26"/>
      <c r="C1291" s="26"/>
      <c r="D1291" s="27"/>
      <c r="E1291" s="27"/>
      <c r="BE1291" s="10" t="str">
        <f t="shared" si="200"/>
        <v/>
      </c>
      <c r="BF1291" s="8" t="str">
        <f t="shared" si="201"/>
        <v/>
      </c>
      <c r="BG1291" s="11" t="str">
        <f t="shared" si="202"/>
        <v/>
      </c>
      <c r="BH1291" s="8" t="str">
        <f t="shared" si="203"/>
        <v/>
      </c>
      <c r="BI1291" s="8" t="str">
        <f t="shared" si="204"/>
        <v/>
      </c>
      <c r="BJ1291" s="9" t="str">
        <f t="shared" si="205"/>
        <v/>
      </c>
      <c r="BK1291" s="9" t="str">
        <f>IF($B1291="","",COUNTIFS($B$5:$B1291,$B1291,$BF$5:$BF1291,$BF1291))</f>
        <v/>
      </c>
      <c r="BL1291" s="9" t="str">
        <f>IF($B1291="","",COUNTIFS($B$5:$B1291,$B1291,$BH$5:$BH1291,$BH1291))</f>
        <v/>
      </c>
      <c r="BM1291" s="9" t="str">
        <f t="shared" si="206"/>
        <v/>
      </c>
      <c r="BN1291" s="9" t="str">
        <f t="shared" si="207"/>
        <v/>
      </c>
      <c r="BO1291" s="9">
        <f t="shared" si="208"/>
        <v>0</v>
      </c>
      <c r="BR1291" s="12" t="str">
        <f t="shared" si="209"/>
        <v/>
      </c>
    </row>
    <row r="1292" spans="1:70" ht="14.25" customHeight="1">
      <c r="A1292" s="26"/>
      <c r="C1292" s="26"/>
      <c r="D1292" s="27"/>
      <c r="E1292" s="27"/>
      <c r="BE1292" s="10" t="str">
        <f t="shared" si="200"/>
        <v/>
      </c>
      <c r="BF1292" s="8" t="str">
        <f t="shared" si="201"/>
        <v/>
      </c>
      <c r="BG1292" s="11" t="str">
        <f t="shared" si="202"/>
        <v/>
      </c>
      <c r="BH1292" s="8" t="str">
        <f t="shared" si="203"/>
        <v/>
      </c>
      <c r="BI1292" s="8" t="str">
        <f t="shared" si="204"/>
        <v/>
      </c>
      <c r="BJ1292" s="9" t="str">
        <f t="shared" si="205"/>
        <v/>
      </c>
      <c r="BK1292" s="9" t="str">
        <f>IF($B1292="","",COUNTIFS($B$5:$B1292,$B1292,$BF$5:$BF1292,$BF1292))</f>
        <v/>
      </c>
      <c r="BL1292" s="9" t="str">
        <f>IF($B1292="","",COUNTIFS($B$5:$B1292,$B1292,$BH$5:$BH1292,$BH1292))</f>
        <v/>
      </c>
      <c r="BM1292" s="9" t="str">
        <f t="shared" si="206"/>
        <v/>
      </c>
      <c r="BN1292" s="9" t="str">
        <f t="shared" si="207"/>
        <v/>
      </c>
      <c r="BO1292" s="9">
        <f t="shared" si="208"/>
        <v>0</v>
      </c>
      <c r="BR1292" s="12" t="str">
        <f t="shared" si="209"/>
        <v/>
      </c>
    </row>
    <row r="1293" spans="1:70" ht="14.25" customHeight="1">
      <c r="A1293" s="26"/>
      <c r="C1293" s="26"/>
      <c r="D1293" s="27"/>
      <c r="E1293" s="27"/>
      <c r="BE1293" s="10" t="str">
        <f t="shared" si="200"/>
        <v/>
      </c>
      <c r="BF1293" s="8" t="str">
        <f t="shared" si="201"/>
        <v/>
      </c>
      <c r="BG1293" s="11" t="str">
        <f t="shared" si="202"/>
        <v/>
      </c>
      <c r="BH1293" s="8" t="str">
        <f t="shared" si="203"/>
        <v/>
      </c>
      <c r="BI1293" s="8" t="str">
        <f t="shared" si="204"/>
        <v/>
      </c>
      <c r="BJ1293" s="9" t="str">
        <f t="shared" si="205"/>
        <v/>
      </c>
      <c r="BK1293" s="9" t="str">
        <f>IF($B1293="","",COUNTIFS($B$5:$B1293,$B1293,$BF$5:$BF1293,$BF1293))</f>
        <v/>
      </c>
      <c r="BL1293" s="9" t="str">
        <f>IF($B1293="","",COUNTIFS($B$5:$B1293,$B1293,$BH$5:$BH1293,$BH1293))</f>
        <v/>
      </c>
      <c r="BM1293" s="9" t="str">
        <f t="shared" si="206"/>
        <v/>
      </c>
      <c r="BN1293" s="9" t="str">
        <f t="shared" si="207"/>
        <v/>
      </c>
      <c r="BO1293" s="9">
        <f t="shared" si="208"/>
        <v>0</v>
      </c>
      <c r="BR1293" s="12" t="str">
        <f t="shared" si="209"/>
        <v/>
      </c>
    </row>
    <row r="1294" spans="1:70" ht="14.25" customHeight="1">
      <c r="A1294" s="26"/>
      <c r="C1294" s="26"/>
      <c r="D1294" s="27"/>
      <c r="E1294" s="27"/>
      <c r="BE1294" s="10" t="str">
        <f t="shared" si="200"/>
        <v/>
      </c>
      <c r="BF1294" s="8" t="str">
        <f t="shared" si="201"/>
        <v/>
      </c>
      <c r="BG1294" s="11" t="str">
        <f t="shared" si="202"/>
        <v/>
      </c>
      <c r="BH1294" s="8" t="str">
        <f t="shared" si="203"/>
        <v/>
      </c>
      <c r="BI1294" s="8" t="str">
        <f t="shared" si="204"/>
        <v/>
      </c>
      <c r="BJ1294" s="9" t="str">
        <f t="shared" si="205"/>
        <v/>
      </c>
      <c r="BK1294" s="9" t="str">
        <f>IF($B1294="","",COUNTIFS($B$5:$B1294,$B1294,$BF$5:$BF1294,$BF1294))</f>
        <v/>
      </c>
      <c r="BL1294" s="9" t="str">
        <f>IF($B1294="","",COUNTIFS($B$5:$B1294,$B1294,$BH$5:$BH1294,$BH1294))</f>
        <v/>
      </c>
      <c r="BM1294" s="9" t="str">
        <f t="shared" si="206"/>
        <v/>
      </c>
      <c r="BN1294" s="9" t="str">
        <f t="shared" si="207"/>
        <v/>
      </c>
      <c r="BO1294" s="9">
        <f t="shared" si="208"/>
        <v>0</v>
      </c>
      <c r="BR1294" s="12" t="str">
        <f t="shared" si="209"/>
        <v/>
      </c>
    </row>
    <row r="1295" spans="1:70" ht="14.25" customHeight="1">
      <c r="A1295" s="26"/>
      <c r="C1295" s="26"/>
      <c r="D1295" s="27"/>
      <c r="E1295" s="27"/>
      <c r="BE1295" s="10" t="str">
        <f t="shared" si="200"/>
        <v/>
      </c>
      <c r="BF1295" s="8" t="str">
        <f t="shared" si="201"/>
        <v/>
      </c>
      <c r="BG1295" s="11" t="str">
        <f t="shared" si="202"/>
        <v/>
      </c>
      <c r="BH1295" s="8" t="str">
        <f t="shared" si="203"/>
        <v/>
      </c>
      <c r="BI1295" s="8" t="str">
        <f t="shared" si="204"/>
        <v/>
      </c>
      <c r="BJ1295" s="9" t="str">
        <f t="shared" si="205"/>
        <v/>
      </c>
      <c r="BK1295" s="9" t="str">
        <f>IF($B1295="","",COUNTIFS($B$5:$B1295,$B1295,$BF$5:$BF1295,$BF1295))</f>
        <v/>
      </c>
      <c r="BL1295" s="9" t="str">
        <f>IF($B1295="","",COUNTIFS($B$5:$B1295,$B1295,$BH$5:$BH1295,$BH1295))</f>
        <v/>
      </c>
      <c r="BM1295" s="9" t="str">
        <f t="shared" si="206"/>
        <v/>
      </c>
      <c r="BN1295" s="9" t="str">
        <f t="shared" si="207"/>
        <v/>
      </c>
      <c r="BO1295" s="9">
        <f t="shared" si="208"/>
        <v>0</v>
      </c>
      <c r="BR1295" s="12" t="str">
        <f t="shared" si="209"/>
        <v/>
      </c>
    </row>
    <row r="1296" spans="1:70" ht="14.25" customHeight="1">
      <c r="A1296" s="26"/>
      <c r="C1296" s="26"/>
      <c r="D1296" s="27"/>
      <c r="E1296" s="27"/>
      <c r="BE1296" s="10" t="str">
        <f t="shared" si="200"/>
        <v/>
      </c>
      <c r="BF1296" s="8" t="str">
        <f t="shared" si="201"/>
        <v/>
      </c>
      <c r="BG1296" s="11" t="str">
        <f t="shared" si="202"/>
        <v/>
      </c>
      <c r="BH1296" s="8" t="str">
        <f t="shared" si="203"/>
        <v/>
      </c>
      <c r="BI1296" s="8" t="str">
        <f t="shared" si="204"/>
        <v/>
      </c>
      <c r="BJ1296" s="9" t="str">
        <f t="shared" si="205"/>
        <v/>
      </c>
      <c r="BK1296" s="9" t="str">
        <f>IF($B1296="","",COUNTIFS($B$5:$B1296,$B1296,$BF$5:$BF1296,$BF1296))</f>
        <v/>
      </c>
      <c r="BL1296" s="9" t="str">
        <f>IF($B1296="","",COUNTIFS($B$5:$B1296,$B1296,$BH$5:$BH1296,$BH1296))</f>
        <v/>
      </c>
      <c r="BM1296" s="9" t="str">
        <f t="shared" si="206"/>
        <v/>
      </c>
      <c r="BN1296" s="9" t="str">
        <f t="shared" si="207"/>
        <v/>
      </c>
      <c r="BO1296" s="9">
        <f t="shared" si="208"/>
        <v>0</v>
      </c>
      <c r="BR1296" s="12" t="str">
        <f t="shared" si="209"/>
        <v/>
      </c>
    </row>
    <row r="1297" spans="1:70" ht="14.25" customHeight="1">
      <c r="A1297" s="26"/>
      <c r="C1297" s="26"/>
      <c r="D1297" s="27"/>
      <c r="E1297" s="27"/>
      <c r="BE1297" s="10" t="str">
        <f t="shared" si="200"/>
        <v/>
      </c>
      <c r="BF1297" s="8" t="str">
        <f t="shared" si="201"/>
        <v/>
      </c>
      <c r="BG1297" s="11" t="str">
        <f t="shared" si="202"/>
        <v/>
      </c>
      <c r="BH1297" s="8" t="str">
        <f t="shared" si="203"/>
        <v/>
      </c>
      <c r="BI1297" s="8" t="str">
        <f t="shared" si="204"/>
        <v/>
      </c>
      <c r="BJ1297" s="9" t="str">
        <f t="shared" si="205"/>
        <v/>
      </c>
      <c r="BK1297" s="9" t="str">
        <f>IF($B1297="","",COUNTIFS($B$5:$B1297,$B1297,$BF$5:$BF1297,$BF1297))</f>
        <v/>
      </c>
      <c r="BL1297" s="9" t="str">
        <f>IF($B1297="","",COUNTIFS($B$5:$B1297,$B1297,$BH$5:$BH1297,$BH1297))</f>
        <v/>
      </c>
      <c r="BM1297" s="9" t="str">
        <f t="shared" si="206"/>
        <v/>
      </c>
      <c r="BN1297" s="9" t="str">
        <f t="shared" si="207"/>
        <v/>
      </c>
      <c r="BO1297" s="9">
        <f t="shared" si="208"/>
        <v>0</v>
      </c>
      <c r="BR1297" s="12" t="str">
        <f t="shared" si="209"/>
        <v/>
      </c>
    </row>
    <row r="1298" spans="1:70" ht="14.25" customHeight="1">
      <c r="A1298" s="26"/>
      <c r="C1298" s="26"/>
      <c r="D1298" s="27"/>
      <c r="E1298" s="27"/>
      <c r="BE1298" s="10" t="str">
        <f t="shared" si="200"/>
        <v/>
      </c>
      <c r="BF1298" s="8" t="str">
        <f t="shared" si="201"/>
        <v/>
      </c>
      <c r="BG1298" s="11" t="str">
        <f t="shared" si="202"/>
        <v/>
      </c>
      <c r="BH1298" s="8" t="str">
        <f t="shared" si="203"/>
        <v/>
      </c>
      <c r="BI1298" s="8" t="str">
        <f t="shared" si="204"/>
        <v/>
      </c>
      <c r="BJ1298" s="9" t="str">
        <f t="shared" si="205"/>
        <v/>
      </c>
      <c r="BK1298" s="9" t="str">
        <f>IF($B1298="","",COUNTIFS($B$5:$B1298,$B1298,$BF$5:$BF1298,$BF1298))</f>
        <v/>
      </c>
      <c r="BL1298" s="9" t="str">
        <f>IF($B1298="","",COUNTIFS($B$5:$B1298,$B1298,$BH$5:$BH1298,$BH1298))</f>
        <v/>
      </c>
      <c r="BM1298" s="9" t="str">
        <f t="shared" si="206"/>
        <v/>
      </c>
      <c r="BN1298" s="9" t="str">
        <f t="shared" si="207"/>
        <v/>
      </c>
      <c r="BO1298" s="9">
        <f t="shared" si="208"/>
        <v>0</v>
      </c>
      <c r="BR1298" s="12" t="str">
        <f t="shared" si="209"/>
        <v/>
      </c>
    </row>
    <row r="1299" spans="1:70" ht="14.25" customHeight="1">
      <c r="A1299" s="26"/>
      <c r="C1299" s="26"/>
      <c r="D1299" s="27"/>
      <c r="E1299" s="27"/>
      <c r="BE1299" s="10" t="str">
        <f t="shared" si="200"/>
        <v/>
      </c>
      <c r="BF1299" s="8" t="str">
        <f t="shared" si="201"/>
        <v/>
      </c>
      <c r="BG1299" s="11" t="str">
        <f t="shared" si="202"/>
        <v/>
      </c>
      <c r="BH1299" s="8" t="str">
        <f t="shared" si="203"/>
        <v/>
      </c>
      <c r="BI1299" s="8" t="str">
        <f t="shared" si="204"/>
        <v/>
      </c>
      <c r="BJ1299" s="9" t="str">
        <f t="shared" si="205"/>
        <v/>
      </c>
      <c r="BK1299" s="9" t="str">
        <f>IF($B1299="","",COUNTIFS($B$5:$B1299,$B1299,$BF$5:$BF1299,$BF1299))</f>
        <v/>
      </c>
      <c r="BL1299" s="9" t="str">
        <f>IF($B1299="","",COUNTIFS($B$5:$B1299,$B1299,$BH$5:$BH1299,$BH1299))</f>
        <v/>
      </c>
      <c r="BM1299" s="9" t="str">
        <f t="shared" si="206"/>
        <v/>
      </c>
      <c r="BN1299" s="9" t="str">
        <f t="shared" si="207"/>
        <v/>
      </c>
      <c r="BO1299" s="9">
        <f t="shared" si="208"/>
        <v>0</v>
      </c>
      <c r="BR1299" s="12" t="str">
        <f t="shared" si="209"/>
        <v/>
      </c>
    </row>
    <row r="1300" spans="1:70" ht="14.25" customHeight="1">
      <c r="A1300" s="26"/>
      <c r="C1300" s="26"/>
      <c r="D1300" s="27"/>
      <c r="E1300" s="27"/>
      <c r="BE1300" s="10" t="str">
        <f t="shared" si="200"/>
        <v/>
      </c>
      <c r="BF1300" s="8" t="str">
        <f t="shared" si="201"/>
        <v/>
      </c>
      <c r="BG1300" s="11" t="str">
        <f t="shared" si="202"/>
        <v/>
      </c>
      <c r="BH1300" s="8" t="str">
        <f t="shared" si="203"/>
        <v/>
      </c>
      <c r="BI1300" s="8" t="str">
        <f t="shared" si="204"/>
        <v/>
      </c>
      <c r="BJ1300" s="9" t="str">
        <f t="shared" si="205"/>
        <v/>
      </c>
      <c r="BK1300" s="9" t="str">
        <f>IF($B1300="","",COUNTIFS($B$5:$B1300,$B1300,$BF$5:$BF1300,$BF1300))</f>
        <v/>
      </c>
      <c r="BL1300" s="9" t="str">
        <f>IF($B1300="","",COUNTIFS($B$5:$B1300,$B1300,$BH$5:$BH1300,$BH1300))</f>
        <v/>
      </c>
      <c r="BM1300" s="9" t="str">
        <f t="shared" si="206"/>
        <v/>
      </c>
      <c r="BN1300" s="9" t="str">
        <f t="shared" si="207"/>
        <v/>
      </c>
      <c r="BO1300" s="9">
        <f t="shared" si="208"/>
        <v>0</v>
      </c>
      <c r="BR1300" s="12" t="str">
        <f t="shared" si="209"/>
        <v/>
      </c>
    </row>
    <row r="1301" spans="1:70" ht="14.25" customHeight="1">
      <c r="A1301" s="26"/>
      <c r="C1301" s="26"/>
      <c r="D1301" s="27"/>
      <c r="E1301" s="27"/>
      <c r="BE1301" s="10" t="str">
        <f t="shared" si="200"/>
        <v/>
      </c>
      <c r="BF1301" s="8" t="str">
        <f t="shared" si="201"/>
        <v/>
      </c>
      <c r="BG1301" s="11" t="str">
        <f t="shared" si="202"/>
        <v/>
      </c>
      <c r="BH1301" s="8" t="str">
        <f t="shared" si="203"/>
        <v/>
      </c>
      <c r="BI1301" s="8" t="str">
        <f t="shared" si="204"/>
        <v/>
      </c>
      <c r="BJ1301" s="9" t="str">
        <f t="shared" si="205"/>
        <v/>
      </c>
      <c r="BK1301" s="9" t="str">
        <f>IF($B1301="","",COUNTIFS($B$5:$B1301,$B1301,$BF$5:$BF1301,$BF1301))</f>
        <v/>
      </c>
      <c r="BL1301" s="9" t="str">
        <f>IF($B1301="","",COUNTIFS($B$5:$B1301,$B1301,$BH$5:$BH1301,$BH1301))</f>
        <v/>
      </c>
      <c r="BM1301" s="9" t="str">
        <f t="shared" si="206"/>
        <v/>
      </c>
      <c r="BN1301" s="9" t="str">
        <f t="shared" si="207"/>
        <v/>
      </c>
      <c r="BO1301" s="9">
        <f t="shared" si="208"/>
        <v>0</v>
      </c>
      <c r="BR1301" s="12" t="str">
        <f t="shared" si="209"/>
        <v/>
      </c>
    </row>
    <row r="1302" spans="1:70" ht="14.25" customHeight="1">
      <c r="A1302" s="26"/>
      <c r="C1302" s="26"/>
      <c r="D1302" s="27"/>
      <c r="E1302" s="27"/>
      <c r="BE1302" s="10" t="str">
        <f t="shared" si="200"/>
        <v/>
      </c>
      <c r="BF1302" s="8" t="str">
        <f t="shared" si="201"/>
        <v/>
      </c>
      <c r="BG1302" s="11" t="str">
        <f t="shared" si="202"/>
        <v/>
      </c>
      <c r="BH1302" s="8" t="str">
        <f t="shared" si="203"/>
        <v/>
      </c>
      <c r="BI1302" s="8" t="str">
        <f t="shared" si="204"/>
        <v/>
      </c>
      <c r="BJ1302" s="9" t="str">
        <f t="shared" si="205"/>
        <v/>
      </c>
      <c r="BK1302" s="9" t="str">
        <f>IF($B1302="","",COUNTIFS($B$5:$B1302,$B1302,$BF$5:$BF1302,$BF1302))</f>
        <v/>
      </c>
      <c r="BL1302" s="9" t="str">
        <f>IF($B1302="","",COUNTIFS($B$5:$B1302,$B1302,$BH$5:$BH1302,$BH1302))</f>
        <v/>
      </c>
      <c r="BM1302" s="9" t="str">
        <f t="shared" si="206"/>
        <v/>
      </c>
      <c r="BN1302" s="9" t="str">
        <f t="shared" si="207"/>
        <v/>
      </c>
      <c r="BO1302" s="9">
        <f t="shared" si="208"/>
        <v>0</v>
      </c>
      <c r="BR1302" s="12" t="str">
        <f t="shared" si="209"/>
        <v/>
      </c>
    </row>
    <row r="1303" spans="1:70" ht="14.25" customHeight="1">
      <c r="A1303" s="26"/>
      <c r="C1303" s="26"/>
      <c r="D1303" s="27"/>
      <c r="E1303" s="27"/>
      <c r="BE1303" s="10" t="str">
        <f t="shared" si="200"/>
        <v/>
      </c>
      <c r="BF1303" s="8" t="str">
        <f t="shared" si="201"/>
        <v/>
      </c>
      <c r="BG1303" s="11" t="str">
        <f t="shared" si="202"/>
        <v/>
      </c>
      <c r="BH1303" s="8" t="str">
        <f t="shared" si="203"/>
        <v/>
      </c>
      <c r="BI1303" s="8" t="str">
        <f t="shared" si="204"/>
        <v/>
      </c>
      <c r="BJ1303" s="9" t="str">
        <f t="shared" si="205"/>
        <v/>
      </c>
      <c r="BK1303" s="9" t="str">
        <f>IF($B1303="","",COUNTIFS($B$5:$B1303,$B1303,$BF$5:$BF1303,$BF1303))</f>
        <v/>
      </c>
      <c r="BL1303" s="9" t="str">
        <f>IF($B1303="","",COUNTIFS($B$5:$B1303,$B1303,$BH$5:$BH1303,$BH1303))</f>
        <v/>
      </c>
      <c r="BM1303" s="9" t="str">
        <f t="shared" si="206"/>
        <v/>
      </c>
      <c r="BN1303" s="9" t="str">
        <f t="shared" si="207"/>
        <v/>
      </c>
      <c r="BO1303" s="9">
        <f t="shared" si="208"/>
        <v>0</v>
      </c>
      <c r="BR1303" s="12" t="str">
        <f t="shared" si="209"/>
        <v/>
      </c>
    </row>
    <row r="1304" spans="1:70" ht="14.25" customHeight="1">
      <c r="A1304" s="26"/>
      <c r="C1304" s="26"/>
      <c r="D1304" s="27"/>
      <c r="E1304" s="27"/>
      <c r="BE1304" s="10" t="str">
        <f t="shared" si="200"/>
        <v/>
      </c>
      <c r="BF1304" s="8" t="str">
        <f t="shared" si="201"/>
        <v/>
      </c>
      <c r="BG1304" s="11" t="str">
        <f t="shared" si="202"/>
        <v/>
      </c>
      <c r="BH1304" s="8" t="str">
        <f t="shared" si="203"/>
        <v/>
      </c>
      <c r="BI1304" s="8" t="str">
        <f t="shared" si="204"/>
        <v/>
      </c>
      <c r="BJ1304" s="9" t="str">
        <f t="shared" si="205"/>
        <v/>
      </c>
      <c r="BK1304" s="9" t="str">
        <f>IF($B1304="","",COUNTIFS($B$5:$B1304,$B1304,$BF$5:$BF1304,$BF1304))</f>
        <v/>
      </c>
      <c r="BL1304" s="9" t="str">
        <f>IF($B1304="","",COUNTIFS($B$5:$B1304,$B1304,$BH$5:$BH1304,$BH1304))</f>
        <v/>
      </c>
      <c r="BM1304" s="9" t="str">
        <f t="shared" si="206"/>
        <v/>
      </c>
      <c r="BN1304" s="9" t="str">
        <f t="shared" si="207"/>
        <v/>
      </c>
      <c r="BO1304" s="9">
        <f t="shared" si="208"/>
        <v>0</v>
      </c>
      <c r="BR1304" s="12" t="str">
        <f t="shared" si="209"/>
        <v/>
      </c>
    </row>
    <row r="1305" spans="1:70" ht="14.25" customHeight="1">
      <c r="A1305" s="26"/>
      <c r="C1305" s="26"/>
      <c r="D1305" s="27"/>
      <c r="E1305" s="27"/>
      <c r="BE1305" s="10" t="str">
        <f t="shared" si="200"/>
        <v/>
      </c>
      <c r="BF1305" s="8" t="str">
        <f t="shared" si="201"/>
        <v/>
      </c>
      <c r="BG1305" s="11" t="str">
        <f t="shared" si="202"/>
        <v/>
      </c>
      <c r="BH1305" s="8" t="str">
        <f t="shared" si="203"/>
        <v/>
      </c>
      <c r="BI1305" s="8" t="str">
        <f t="shared" si="204"/>
        <v/>
      </c>
      <c r="BJ1305" s="9" t="str">
        <f t="shared" si="205"/>
        <v/>
      </c>
      <c r="BK1305" s="9" t="str">
        <f>IF($B1305="","",COUNTIFS($B$5:$B1305,$B1305,$BF$5:$BF1305,$BF1305))</f>
        <v/>
      </c>
      <c r="BL1305" s="9" t="str">
        <f>IF($B1305="","",COUNTIFS($B$5:$B1305,$B1305,$BH$5:$BH1305,$BH1305))</f>
        <v/>
      </c>
      <c r="BM1305" s="9" t="str">
        <f t="shared" si="206"/>
        <v/>
      </c>
      <c r="BN1305" s="9" t="str">
        <f t="shared" si="207"/>
        <v/>
      </c>
      <c r="BO1305" s="9">
        <f t="shared" si="208"/>
        <v>0</v>
      </c>
      <c r="BR1305" s="12" t="str">
        <f t="shared" si="209"/>
        <v/>
      </c>
    </row>
    <row r="1306" spans="1:70" ht="14.25" customHeight="1">
      <c r="A1306" s="26"/>
      <c r="C1306" s="26"/>
      <c r="D1306" s="27"/>
      <c r="E1306" s="27"/>
      <c r="BE1306" s="10" t="str">
        <f t="shared" si="200"/>
        <v/>
      </c>
      <c r="BF1306" s="8" t="str">
        <f t="shared" si="201"/>
        <v/>
      </c>
      <c r="BG1306" s="11" t="str">
        <f t="shared" si="202"/>
        <v/>
      </c>
      <c r="BH1306" s="8" t="str">
        <f t="shared" si="203"/>
        <v/>
      </c>
      <c r="BI1306" s="8" t="str">
        <f t="shared" si="204"/>
        <v/>
      </c>
      <c r="BJ1306" s="9" t="str">
        <f t="shared" si="205"/>
        <v/>
      </c>
      <c r="BK1306" s="9" t="str">
        <f>IF($B1306="","",COUNTIFS($B$5:$B1306,$B1306,$BF$5:$BF1306,$BF1306))</f>
        <v/>
      </c>
      <c r="BL1306" s="9" t="str">
        <f>IF($B1306="","",COUNTIFS($B$5:$B1306,$B1306,$BH$5:$BH1306,$BH1306))</f>
        <v/>
      </c>
      <c r="BM1306" s="9" t="str">
        <f t="shared" si="206"/>
        <v/>
      </c>
      <c r="BN1306" s="9" t="str">
        <f t="shared" si="207"/>
        <v/>
      </c>
      <c r="BO1306" s="9">
        <f t="shared" si="208"/>
        <v>0</v>
      </c>
      <c r="BR1306" s="12" t="str">
        <f t="shared" si="209"/>
        <v/>
      </c>
    </row>
    <row r="1307" spans="1:70" ht="14.25" customHeight="1">
      <c r="A1307" s="26"/>
      <c r="C1307" s="26"/>
      <c r="D1307" s="27"/>
      <c r="E1307" s="27"/>
      <c r="BE1307" s="10" t="str">
        <f t="shared" si="200"/>
        <v/>
      </c>
      <c r="BF1307" s="8" t="str">
        <f t="shared" si="201"/>
        <v/>
      </c>
      <c r="BG1307" s="11" t="str">
        <f t="shared" si="202"/>
        <v/>
      </c>
      <c r="BH1307" s="8" t="str">
        <f t="shared" si="203"/>
        <v/>
      </c>
      <c r="BI1307" s="8" t="str">
        <f t="shared" si="204"/>
        <v/>
      </c>
      <c r="BJ1307" s="9" t="str">
        <f t="shared" si="205"/>
        <v/>
      </c>
      <c r="BK1307" s="9" t="str">
        <f>IF($B1307="","",COUNTIFS($B$5:$B1307,$B1307,$BF$5:$BF1307,$BF1307))</f>
        <v/>
      </c>
      <c r="BL1307" s="9" t="str">
        <f>IF($B1307="","",COUNTIFS($B$5:$B1307,$B1307,$BH$5:$BH1307,$BH1307))</f>
        <v/>
      </c>
      <c r="BM1307" s="9" t="str">
        <f t="shared" si="206"/>
        <v/>
      </c>
      <c r="BN1307" s="9" t="str">
        <f t="shared" si="207"/>
        <v/>
      </c>
      <c r="BO1307" s="9">
        <f t="shared" si="208"/>
        <v>0</v>
      </c>
      <c r="BR1307" s="12" t="str">
        <f t="shared" si="209"/>
        <v/>
      </c>
    </row>
    <row r="1308" spans="1:70" ht="14.25" customHeight="1">
      <c r="A1308" s="26"/>
      <c r="C1308" s="26"/>
      <c r="D1308" s="27"/>
      <c r="E1308" s="27"/>
      <c r="BE1308" s="10" t="str">
        <f t="shared" si="200"/>
        <v/>
      </c>
      <c r="BF1308" s="8" t="str">
        <f t="shared" si="201"/>
        <v/>
      </c>
      <c r="BG1308" s="11" t="str">
        <f t="shared" si="202"/>
        <v/>
      </c>
      <c r="BH1308" s="8" t="str">
        <f t="shared" si="203"/>
        <v/>
      </c>
      <c r="BI1308" s="8" t="str">
        <f t="shared" si="204"/>
        <v/>
      </c>
      <c r="BJ1308" s="9" t="str">
        <f t="shared" si="205"/>
        <v/>
      </c>
      <c r="BK1308" s="9" t="str">
        <f>IF($B1308="","",COUNTIFS($B$5:$B1308,$B1308,$BF$5:$BF1308,$BF1308))</f>
        <v/>
      </c>
      <c r="BL1308" s="9" t="str">
        <f>IF($B1308="","",COUNTIFS($B$5:$B1308,$B1308,$BH$5:$BH1308,$BH1308))</f>
        <v/>
      </c>
      <c r="BM1308" s="9" t="str">
        <f t="shared" si="206"/>
        <v/>
      </c>
      <c r="BN1308" s="9" t="str">
        <f t="shared" si="207"/>
        <v/>
      </c>
      <c r="BO1308" s="9">
        <f t="shared" si="208"/>
        <v>0</v>
      </c>
      <c r="BR1308" s="12" t="str">
        <f t="shared" si="209"/>
        <v/>
      </c>
    </row>
    <row r="1309" spans="1:70" ht="14.25" customHeight="1">
      <c r="A1309" s="26"/>
      <c r="C1309" s="26"/>
      <c r="D1309" s="27"/>
      <c r="E1309" s="27"/>
      <c r="BE1309" s="10" t="str">
        <f t="shared" ref="BE1309:BE1372" si="210">IF($B1309="","",IF(COUNT($H1309,$J1309,$L1309,$N1309,$P1309,$R1309)&gt;0,SUM($H1309,$J1309,$L1309,$N1309,$P1309,$R1309),SUM($T1309,$V1309,$X1309,$Z1309,$AB1309,$AD1309,$AF1309,$AH1309,$AJ1309,$AL1309,$AN1309,$AP1309,$AR1309,$AT1309,$AV1309,$AX1309,$AZ1309)))</f>
        <v/>
      </c>
      <c r="BF1309" s="8" t="str">
        <f t="shared" ref="BF1309:BF1372" si="211">IF($C1309="","",DATE(YEAR($C1309),MONTH($C1309),1))</f>
        <v/>
      </c>
      <c r="BG1309" s="11" t="str">
        <f t="shared" ref="BG1309:BG1372" si="212">IF($BF1309="","",TEXT($BF1309,"mmmm yyyy"))</f>
        <v/>
      </c>
      <c r="BH1309" s="8" t="str">
        <f t="shared" ref="BH1309:BH1372" si="213">IF($C1309="","",$C1309-WEEKDAY($C1309,2)+1)</f>
        <v/>
      </c>
      <c r="BI1309" s="8" t="str">
        <f t="shared" ref="BI1309:BI1372" si="214">IF($BH1309="","",$BH1309+6)</f>
        <v/>
      </c>
      <c r="BJ1309" s="9" t="str">
        <f t="shared" ref="BJ1309:BJ1372" si="215">IF($BH1309="","",TEXT($BH1309,"dd/mm/yyyy")&amp;" - "&amp;TEXT($BI1309,"dd/mm/yyyy"))</f>
        <v/>
      </c>
      <c r="BK1309" s="9" t="str">
        <f>IF($B1309="","",COUNTIFS($B$5:$B1309,$B1309,$BF$5:$BF1309,$BF1309))</f>
        <v/>
      </c>
      <c r="BL1309" s="9" t="str">
        <f>IF($B1309="","",COUNTIFS($B$5:$B1309,$B1309,$BH$5:$BH1309,$BH1309))</f>
        <v/>
      </c>
      <c r="BM1309" s="9" t="str">
        <f t="shared" ref="BM1309:BM1372" si="216">IF($B1309="","",TEXT($BK1309,"00")&amp;"|"&amp;$B1309&amp;"|"&amp;TEXT($BF1309,"yyyymmdd"))</f>
        <v/>
      </c>
      <c r="BN1309" s="9" t="str">
        <f t="shared" ref="BN1309:BN1372" si="217">IF($B1309="","",TEXT($BL1309,"00")&amp;"|"&amp;$B1309&amp;"|"&amp;TEXT($BH1309,"yyyymmdd"))</f>
        <v/>
      </c>
      <c r="BO1309" s="9">
        <f t="shared" ref="BO1309:BO1372" si="218">IF(OR($BB1309="YES",$BB1309="Yes",$BB1309="Y",$BB1309=1),1,0)</f>
        <v>0</v>
      </c>
      <c r="BR1309" s="12" t="str">
        <f t="shared" ref="BR1309:BR1372" si="219">IF($C1309="","",IF($C1309&gt;=DATE(2026,6,1),"QA-2026-06",IF($C1309&gt;=DATE(2026,5,1),"May 2026+",IF($C1309&gt;=DATE(2026,4,1),"April 2026",IF($C1309&gt;=DATE(2026,3,1),"March 2026","Jan-Feb 2026")))))</f>
        <v/>
      </c>
    </row>
    <row r="1310" spans="1:70" ht="14.25" customHeight="1">
      <c r="A1310" s="26"/>
      <c r="C1310" s="26"/>
      <c r="D1310" s="27"/>
      <c r="E1310" s="27"/>
      <c r="BE1310" s="10" t="str">
        <f t="shared" si="210"/>
        <v/>
      </c>
      <c r="BF1310" s="8" t="str">
        <f t="shared" si="211"/>
        <v/>
      </c>
      <c r="BG1310" s="11" t="str">
        <f t="shared" si="212"/>
        <v/>
      </c>
      <c r="BH1310" s="8" t="str">
        <f t="shared" si="213"/>
        <v/>
      </c>
      <c r="BI1310" s="8" t="str">
        <f t="shared" si="214"/>
        <v/>
      </c>
      <c r="BJ1310" s="9" t="str">
        <f t="shared" si="215"/>
        <v/>
      </c>
      <c r="BK1310" s="9" t="str">
        <f>IF($B1310="","",COUNTIFS($B$5:$B1310,$B1310,$BF$5:$BF1310,$BF1310))</f>
        <v/>
      </c>
      <c r="BL1310" s="9" t="str">
        <f>IF($B1310="","",COUNTIFS($B$5:$B1310,$B1310,$BH$5:$BH1310,$BH1310))</f>
        <v/>
      </c>
      <c r="BM1310" s="9" t="str">
        <f t="shared" si="216"/>
        <v/>
      </c>
      <c r="BN1310" s="9" t="str">
        <f t="shared" si="217"/>
        <v/>
      </c>
      <c r="BO1310" s="9">
        <f t="shared" si="218"/>
        <v>0</v>
      </c>
      <c r="BR1310" s="12" t="str">
        <f t="shared" si="219"/>
        <v/>
      </c>
    </row>
    <row r="1311" spans="1:70" ht="14.25" customHeight="1">
      <c r="A1311" s="26"/>
      <c r="C1311" s="26"/>
      <c r="D1311" s="27"/>
      <c r="E1311" s="27"/>
      <c r="BE1311" s="10" t="str">
        <f t="shared" si="210"/>
        <v/>
      </c>
      <c r="BF1311" s="8" t="str">
        <f t="shared" si="211"/>
        <v/>
      </c>
      <c r="BG1311" s="11" t="str">
        <f t="shared" si="212"/>
        <v/>
      </c>
      <c r="BH1311" s="8" t="str">
        <f t="shared" si="213"/>
        <v/>
      </c>
      <c r="BI1311" s="8" t="str">
        <f t="shared" si="214"/>
        <v/>
      </c>
      <c r="BJ1311" s="9" t="str">
        <f t="shared" si="215"/>
        <v/>
      </c>
      <c r="BK1311" s="9" t="str">
        <f>IF($B1311="","",COUNTIFS($B$5:$B1311,$B1311,$BF$5:$BF1311,$BF1311))</f>
        <v/>
      </c>
      <c r="BL1311" s="9" t="str">
        <f>IF($B1311="","",COUNTIFS($B$5:$B1311,$B1311,$BH$5:$BH1311,$BH1311))</f>
        <v/>
      </c>
      <c r="BM1311" s="9" t="str">
        <f t="shared" si="216"/>
        <v/>
      </c>
      <c r="BN1311" s="9" t="str">
        <f t="shared" si="217"/>
        <v/>
      </c>
      <c r="BO1311" s="9">
        <f t="shared" si="218"/>
        <v>0</v>
      </c>
      <c r="BR1311" s="12" t="str">
        <f t="shared" si="219"/>
        <v/>
      </c>
    </row>
    <row r="1312" spans="1:70" ht="14.25" customHeight="1">
      <c r="A1312" s="26"/>
      <c r="C1312" s="26"/>
      <c r="D1312" s="27"/>
      <c r="E1312" s="27"/>
      <c r="BE1312" s="10" t="str">
        <f t="shared" si="210"/>
        <v/>
      </c>
      <c r="BF1312" s="8" t="str">
        <f t="shared" si="211"/>
        <v/>
      </c>
      <c r="BG1312" s="11" t="str">
        <f t="shared" si="212"/>
        <v/>
      </c>
      <c r="BH1312" s="8" t="str">
        <f t="shared" si="213"/>
        <v/>
      </c>
      <c r="BI1312" s="8" t="str">
        <f t="shared" si="214"/>
        <v/>
      </c>
      <c r="BJ1312" s="9" t="str">
        <f t="shared" si="215"/>
        <v/>
      </c>
      <c r="BK1312" s="9" t="str">
        <f>IF($B1312="","",COUNTIFS($B$5:$B1312,$B1312,$BF$5:$BF1312,$BF1312))</f>
        <v/>
      </c>
      <c r="BL1312" s="9" t="str">
        <f>IF($B1312="","",COUNTIFS($B$5:$B1312,$B1312,$BH$5:$BH1312,$BH1312))</f>
        <v/>
      </c>
      <c r="BM1312" s="9" t="str">
        <f t="shared" si="216"/>
        <v/>
      </c>
      <c r="BN1312" s="9" t="str">
        <f t="shared" si="217"/>
        <v/>
      </c>
      <c r="BO1312" s="9">
        <f t="shared" si="218"/>
        <v>0</v>
      </c>
      <c r="BR1312" s="12" t="str">
        <f t="shared" si="219"/>
        <v/>
      </c>
    </row>
    <row r="1313" spans="1:70" ht="14.25" customHeight="1">
      <c r="A1313" s="26"/>
      <c r="C1313" s="26"/>
      <c r="D1313" s="27"/>
      <c r="E1313" s="27"/>
      <c r="BE1313" s="10" t="str">
        <f t="shared" si="210"/>
        <v/>
      </c>
      <c r="BF1313" s="8" t="str">
        <f t="shared" si="211"/>
        <v/>
      </c>
      <c r="BG1313" s="11" t="str">
        <f t="shared" si="212"/>
        <v/>
      </c>
      <c r="BH1313" s="8" t="str">
        <f t="shared" si="213"/>
        <v/>
      </c>
      <c r="BI1313" s="8" t="str">
        <f t="shared" si="214"/>
        <v/>
      </c>
      <c r="BJ1313" s="9" t="str">
        <f t="shared" si="215"/>
        <v/>
      </c>
      <c r="BK1313" s="9" t="str">
        <f>IF($B1313="","",COUNTIFS($B$5:$B1313,$B1313,$BF$5:$BF1313,$BF1313))</f>
        <v/>
      </c>
      <c r="BL1313" s="9" t="str">
        <f>IF($B1313="","",COUNTIFS($B$5:$B1313,$B1313,$BH$5:$BH1313,$BH1313))</f>
        <v/>
      </c>
      <c r="BM1313" s="9" t="str">
        <f t="shared" si="216"/>
        <v/>
      </c>
      <c r="BN1313" s="9" t="str">
        <f t="shared" si="217"/>
        <v/>
      </c>
      <c r="BO1313" s="9">
        <f t="shared" si="218"/>
        <v>0</v>
      </c>
      <c r="BR1313" s="12" t="str">
        <f t="shared" si="219"/>
        <v/>
      </c>
    </row>
    <row r="1314" spans="1:70" ht="14.25" customHeight="1">
      <c r="A1314" s="26"/>
      <c r="C1314" s="26"/>
      <c r="D1314" s="27"/>
      <c r="E1314" s="27"/>
      <c r="BE1314" s="10" t="str">
        <f t="shared" si="210"/>
        <v/>
      </c>
      <c r="BF1314" s="8" t="str">
        <f t="shared" si="211"/>
        <v/>
      </c>
      <c r="BG1314" s="11" t="str">
        <f t="shared" si="212"/>
        <v/>
      </c>
      <c r="BH1314" s="8" t="str">
        <f t="shared" si="213"/>
        <v/>
      </c>
      <c r="BI1314" s="8" t="str">
        <f t="shared" si="214"/>
        <v/>
      </c>
      <c r="BJ1314" s="9" t="str">
        <f t="shared" si="215"/>
        <v/>
      </c>
      <c r="BK1314" s="9" t="str">
        <f>IF($B1314="","",COUNTIFS($B$5:$B1314,$B1314,$BF$5:$BF1314,$BF1314))</f>
        <v/>
      </c>
      <c r="BL1314" s="9" t="str">
        <f>IF($B1314="","",COUNTIFS($B$5:$B1314,$B1314,$BH$5:$BH1314,$BH1314))</f>
        <v/>
      </c>
      <c r="BM1314" s="9" t="str">
        <f t="shared" si="216"/>
        <v/>
      </c>
      <c r="BN1314" s="9" t="str">
        <f t="shared" si="217"/>
        <v/>
      </c>
      <c r="BO1314" s="9">
        <f t="shared" si="218"/>
        <v>0</v>
      </c>
      <c r="BR1314" s="12" t="str">
        <f t="shared" si="219"/>
        <v/>
      </c>
    </row>
    <row r="1315" spans="1:70" ht="14.25" customHeight="1">
      <c r="A1315" s="26"/>
      <c r="C1315" s="26"/>
      <c r="D1315" s="27"/>
      <c r="E1315" s="27"/>
      <c r="BE1315" s="10" t="str">
        <f t="shared" si="210"/>
        <v/>
      </c>
      <c r="BF1315" s="8" t="str">
        <f t="shared" si="211"/>
        <v/>
      </c>
      <c r="BG1315" s="11" t="str">
        <f t="shared" si="212"/>
        <v/>
      </c>
      <c r="BH1315" s="8" t="str">
        <f t="shared" si="213"/>
        <v/>
      </c>
      <c r="BI1315" s="8" t="str">
        <f t="shared" si="214"/>
        <v/>
      </c>
      <c r="BJ1315" s="9" t="str">
        <f t="shared" si="215"/>
        <v/>
      </c>
      <c r="BK1315" s="9" t="str">
        <f>IF($B1315="","",COUNTIFS($B$5:$B1315,$B1315,$BF$5:$BF1315,$BF1315))</f>
        <v/>
      </c>
      <c r="BL1315" s="9" t="str">
        <f>IF($B1315="","",COUNTIFS($B$5:$B1315,$B1315,$BH$5:$BH1315,$BH1315))</f>
        <v/>
      </c>
      <c r="BM1315" s="9" t="str">
        <f t="shared" si="216"/>
        <v/>
      </c>
      <c r="BN1315" s="9" t="str">
        <f t="shared" si="217"/>
        <v/>
      </c>
      <c r="BO1315" s="9">
        <f t="shared" si="218"/>
        <v>0</v>
      </c>
      <c r="BR1315" s="12" t="str">
        <f t="shared" si="219"/>
        <v/>
      </c>
    </row>
    <row r="1316" spans="1:70" ht="14.25" customHeight="1">
      <c r="A1316" s="26"/>
      <c r="C1316" s="26"/>
      <c r="D1316" s="27"/>
      <c r="E1316" s="27"/>
      <c r="BE1316" s="10" t="str">
        <f t="shared" si="210"/>
        <v/>
      </c>
      <c r="BF1316" s="8" t="str">
        <f t="shared" si="211"/>
        <v/>
      </c>
      <c r="BG1316" s="11" t="str">
        <f t="shared" si="212"/>
        <v/>
      </c>
      <c r="BH1316" s="8" t="str">
        <f t="shared" si="213"/>
        <v/>
      </c>
      <c r="BI1316" s="8" t="str">
        <f t="shared" si="214"/>
        <v/>
      </c>
      <c r="BJ1316" s="9" t="str">
        <f t="shared" si="215"/>
        <v/>
      </c>
      <c r="BK1316" s="9" t="str">
        <f>IF($B1316="","",COUNTIFS($B$5:$B1316,$B1316,$BF$5:$BF1316,$BF1316))</f>
        <v/>
      </c>
      <c r="BL1316" s="9" t="str">
        <f>IF($B1316="","",COUNTIFS($B$5:$B1316,$B1316,$BH$5:$BH1316,$BH1316))</f>
        <v/>
      </c>
      <c r="BM1316" s="9" t="str">
        <f t="shared" si="216"/>
        <v/>
      </c>
      <c r="BN1316" s="9" t="str">
        <f t="shared" si="217"/>
        <v/>
      </c>
      <c r="BO1316" s="9">
        <f t="shared" si="218"/>
        <v>0</v>
      </c>
      <c r="BR1316" s="12" t="str">
        <f t="shared" si="219"/>
        <v/>
      </c>
    </row>
    <row r="1317" spans="1:70" ht="14.25" customHeight="1">
      <c r="A1317" s="26"/>
      <c r="C1317" s="26"/>
      <c r="D1317" s="27"/>
      <c r="E1317" s="27"/>
      <c r="BE1317" s="10" t="str">
        <f t="shared" si="210"/>
        <v/>
      </c>
      <c r="BF1317" s="8" t="str">
        <f t="shared" si="211"/>
        <v/>
      </c>
      <c r="BG1317" s="11" t="str">
        <f t="shared" si="212"/>
        <v/>
      </c>
      <c r="BH1317" s="8" t="str">
        <f t="shared" si="213"/>
        <v/>
      </c>
      <c r="BI1317" s="8" t="str">
        <f t="shared" si="214"/>
        <v/>
      </c>
      <c r="BJ1317" s="9" t="str">
        <f t="shared" si="215"/>
        <v/>
      </c>
      <c r="BK1317" s="9" t="str">
        <f>IF($B1317="","",COUNTIFS($B$5:$B1317,$B1317,$BF$5:$BF1317,$BF1317))</f>
        <v/>
      </c>
      <c r="BL1317" s="9" t="str">
        <f>IF($B1317="","",COUNTIFS($B$5:$B1317,$B1317,$BH$5:$BH1317,$BH1317))</f>
        <v/>
      </c>
      <c r="BM1317" s="9" t="str">
        <f t="shared" si="216"/>
        <v/>
      </c>
      <c r="BN1317" s="9" t="str">
        <f t="shared" si="217"/>
        <v/>
      </c>
      <c r="BO1317" s="9">
        <f t="shared" si="218"/>
        <v>0</v>
      </c>
      <c r="BR1317" s="12" t="str">
        <f t="shared" si="219"/>
        <v/>
      </c>
    </row>
    <row r="1318" spans="1:70" ht="14.25" customHeight="1">
      <c r="A1318" s="26"/>
      <c r="C1318" s="26"/>
      <c r="D1318" s="27"/>
      <c r="E1318" s="27"/>
      <c r="BE1318" s="10" t="str">
        <f t="shared" si="210"/>
        <v/>
      </c>
      <c r="BF1318" s="8" t="str">
        <f t="shared" si="211"/>
        <v/>
      </c>
      <c r="BG1318" s="11" t="str">
        <f t="shared" si="212"/>
        <v/>
      </c>
      <c r="BH1318" s="8" t="str">
        <f t="shared" si="213"/>
        <v/>
      </c>
      <c r="BI1318" s="8" t="str">
        <f t="shared" si="214"/>
        <v/>
      </c>
      <c r="BJ1318" s="9" t="str">
        <f t="shared" si="215"/>
        <v/>
      </c>
      <c r="BK1318" s="9" t="str">
        <f>IF($B1318="","",COUNTIFS($B$5:$B1318,$B1318,$BF$5:$BF1318,$BF1318))</f>
        <v/>
      </c>
      <c r="BL1318" s="9" t="str">
        <f>IF($B1318="","",COUNTIFS($B$5:$B1318,$B1318,$BH$5:$BH1318,$BH1318))</f>
        <v/>
      </c>
      <c r="BM1318" s="9" t="str">
        <f t="shared" si="216"/>
        <v/>
      </c>
      <c r="BN1318" s="9" t="str">
        <f t="shared" si="217"/>
        <v/>
      </c>
      <c r="BO1318" s="9">
        <f t="shared" si="218"/>
        <v>0</v>
      </c>
      <c r="BR1318" s="12" t="str">
        <f t="shared" si="219"/>
        <v/>
      </c>
    </row>
    <row r="1319" spans="1:70" ht="14.25" customHeight="1">
      <c r="A1319" s="26"/>
      <c r="C1319" s="26"/>
      <c r="D1319" s="27"/>
      <c r="E1319" s="27"/>
      <c r="BE1319" s="10" t="str">
        <f t="shared" si="210"/>
        <v/>
      </c>
      <c r="BF1319" s="8" t="str">
        <f t="shared" si="211"/>
        <v/>
      </c>
      <c r="BG1319" s="11" t="str">
        <f t="shared" si="212"/>
        <v/>
      </c>
      <c r="BH1319" s="8" t="str">
        <f t="shared" si="213"/>
        <v/>
      </c>
      <c r="BI1319" s="8" t="str">
        <f t="shared" si="214"/>
        <v/>
      </c>
      <c r="BJ1319" s="9" t="str">
        <f t="shared" si="215"/>
        <v/>
      </c>
      <c r="BK1319" s="9" t="str">
        <f>IF($B1319="","",COUNTIFS($B$5:$B1319,$B1319,$BF$5:$BF1319,$BF1319))</f>
        <v/>
      </c>
      <c r="BL1319" s="9" t="str">
        <f>IF($B1319="","",COUNTIFS($B$5:$B1319,$B1319,$BH$5:$BH1319,$BH1319))</f>
        <v/>
      </c>
      <c r="BM1319" s="9" t="str">
        <f t="shared" si="216"/>
        <v/>
      </c>
      <c r="BN1319" s="9" t="str">
        <f t="shared" si="217"/>
        <v/>
      </c>
      <c r="BO1319" s="9">
        <f t="shared" si="218"/>
        <v>0</v>
      </c>
      <c r="BR1319" s="12" t="str">
        <f t="shared" si="219"/>
        <v/>
      </c>
    </row>
    <row r="1320" spans="1:70" ht="14.25" customHeight="1">
      <c r="A1320" s="26"/>
      <c r="C1320" s="26"/>
      <c r="D1320" s="27"/>
      <c r="E1320" s="27"/>
      <c r="BE1320" s="10" t="str">
        <f t="shared" si="210"/>
        <v/>
      </c>
      <c r="BF1320" s="8" t="str">
        <f t="shared" si="211"/>
        <v/>
      </c>
      <c r="BG1320" s="11" t="str">
        <f t="shared" si="212"/>
        <v/>
      </c>
      <c r="BH1320" s="8" t="str">
        <f t="shared" si="213"/>
        <v/>
      </c>
      <c r="BI1320" s="8" t="str">
        <f t="shared" si="214"/>
        <v/>
      </c>
      <c r="BJ1320" s="9" t="str">
        <f t="shared" si="215"/>
        <v/>
      </c>
      <c r="BK1320" s="9" t="str">
        <f>IF($B1320="","",COUNTIFS($B$5:$B1320,$B1320,$BF$5:$BF1320,$BF1320))</f>
        <v/>
      </c>
      <c r="BL1320" s="9" t="str">
        <f>IF($B1320="","",COUNTIFS($B$5:$B1320,$B1320,$BH$5:$BH1320,$BH1320))</f>
        <v/>
      </c>
      <c r="BM1320" s="9" t="str">
        <f t="shared" si="216"/>
        <v/>
      </c>
      <c r="BN1320" s="9" t="str">
        <f t="shared" si="217"/>
        <v/>
      </c>
      <c r="BO1320" s="9">
        <f t="shared" si="218"/>
        <v>0</v>
      </c>
      <c r="BR1320" s="12" t="str">
        <f t="shared" si="219"/>
        <v/>
      </c>
    </row>
    <row r="1321" spans="1:70" ht="14.25" customHeight="1">
      <c r="A1321" s="26"/>
      <c r="C1321" s="26"/>
      <c r="D1321" s="27"/>
      <c r="E1321" s="27"/>
      <c r="BE1321" s="10" t="str">
        <f t="shared" si="210"/>
        <v/>
      </c>
      <c r="BF1321" s="8" t="str">
        <f t="shared" si="211"/>
        <v/>
      </c>
      <c r="BG1321" s="11" t="str">
        <f t="shared" si="212"/>
        <v/>
      </c>
      <c r="BH1321" s="8" t="str">
        <f t="shared" si="213"/>
        <v/>
      </c>
      <c r="BI1321" s="8" t="str">
        <f t="shared" si="214"/>
        <v/>
      </c>
      <c r="BJ1321" s="9" t="str">
        <f t="shared" si="215"/>
        <v/>
      </c>
      <c r="BK1321" s="9" t="str">
        <f>IF($B1321="","",COUNTIFS($B$5:$B1321,$B1321,$BF$5:$BF1321,$BF1321))</f>
        <v/>
      </c>
      <c r="BL1321" s="9" t="str">
        <f>IF($B1321="","",COUNTIFS($B$5:$B1321,$B1321,$BH$5:$BH1321,$BH1321))</f>
        <v/>
      </c>
      <c r="BM1321" s="9" t="str">
        <f t="shared" si="216"/>
        <v/>
      </c>
      <c r="BN1321" s="9" t="str">
        <f t="shared" si="217"/>
        <v/>
      </c>
      <c r="BO1321" s="9">
        <f t="shared" si="218"/>
        <v>0</v>
      </c>
      <c r="BR1321" s="12" t="str">
        <f t="shared" si="219"/>
        <v/>
      </c>
    </row>
    <row r="1322" spans="1:70" ht="14.25" customHeight="1">
      <c r="A1322" s="26"/>
      <c r="C1322" s="26"/>
      <c r="D1322" s="27"/>
      <c r="E1322" s="27"/>
      <c r="BE1322" s="10" t="str">
        <f t="shared" si="210"/>
        <v/>
      </c>
      <c r="BF1322" s="8" t="str">
        <f t="shared" si="211"/>
        <v/>
      </c>
      <c r="BG1322" s="11" t="str">
        <f t="shared" si="212"/>
        <v/>
      </c>
      <c r="BH1322" s="8" t="str">
        <f t="shared" si="213"/>
        <v/>
      </c>
      <c r="BI1322" s="8" t="str">
        <f t="shared" si="214"/>
        <v/>
      </c>
      <c r="BJ1322" s="9" t="str">
        <f t="shared" si="215"/>
        <v/>
      </c>
      <c r="BK1322" s="9" t="str">
        <f>IF($B1322="","",COUNTIFS($B$5:$B1322,$B1322,$BF$5:$BF1322,$BF1322))</f>
        <v/>
      </c>
      <c r="BL1322" s="9" t="str">
        <f>IF($B1322="","",COUNTIFS($B$5:$B1322,$B1322,$BH$5:$BH1322,$BH1322))</f>
        <v/>
      </c>
      <c r="BM1322" s="9" t="str">
        <f t="shared" si="216"/>
        <v/>
      </c>
      <c r="BN1322" s="9" t="str">
        <f t="shared" si="217"/>
        <v/>
      </c>
      <c r="BO1322" s="9">
        <f t="shared" si="218"/>
        <v>0</v>
      </c>
      <c r="BR1322" s="12" t="str">
        <f t="shared" si="219"/>
        <v/>
      </c>
    </row>
    <row r="1323" spans="1:70" ht="14.25" customHeight="1">
      <c r="A1323" s="26"/>
      <c r="C1323" s="26"/>
      <c r="D1323" s="27"/>
      <c r="E1323" s="27"/>
      <c r="BE1323" s="10" t="str">
        <f t="shared" si="210"/>
        <v/>
      </c>
      <c r="BF1323" s="8" t="str">
        <f t="shared" si="211"/>
        <v/>
      </c>
      <c r="BG1323" s="11" t="str">
        <f t="shared" si="212"/>
        <v/>
      </c>
      <c r="BH1323" s="8" t="str">
        <f t="shared" si="213"/>
        <v/>
      </c>
      <c r="BI1323" s="8" t="str">
        <f t="shared" si="214"/>
        <v/>
      </c>
      <c r="BJ1323" s="9" t="str">
        <f t="shared" si="215"/>
        <v/>
      </c>
      <c r="BK1323" s="9" t="str">
        <f>IF($B1323="","",COUNTIFS($B$5:$B1323,$B1323,$BF$5:$BF1323,$BF1323))</f>
        <v/>
      </c>
      <c r="BL1323" s="9" t="str">
        <f>IF($B1323="","",COUNTIFS($B$5:$B1323,$B1323,$BH$5:$BH1323,$BH1323))</f>
        <v/>
      </c>
      <c r="BM1323" s="9" t="str">
        <f t="shared" si="216"/>
        <v/>
      </c>
      <c r="BN1323" s="9" t="str">
        <f t="shared" si="217"/>
        <v/>
      </c>
      <c r="BO1323" s="9">
        <f t="shared" si="218"/>
        <v>0</v>
      </c>
      <c r="BR1323" s="12" t="str">
        <f t="shared" si="219"/>
        <v/>
      </c>
    </row>
    <row r="1324" spans="1:70" ht="14.25" customHeight="1">
      <c r="A1324" s="26"/>
      <c r="C1324" s="26"/>
      <c r="D1324" s="27"/>
      <c r="E1324" s="27"/>
      <c r="BE1324" s="10" t="str">
        <f t="shared" si="210"/>
        <v/>
      </c>
      <c r="BF1324" s="8" t="str">
        <f t="shared" si="211"/>
        <v/>
      </c>
      <c r="BG1324" s="11" t="str">
        <f t="shared" si="212"/>
        <v/>
      </c>
      <c r="BH1324" s="8" t="str">
        <f t="shared" si="213"/>
        <v/>
      </c>
      <c r="BI1324" s="8" t="str">
        <f t="shared" si="214"/>
        <v/>
      </c>
      <c r="BJ1324" s="9" t="str">
        <f t="shared" si="215"/>
        <v/>
      </c>
      <c r="BK1324" s="9" t="str">
        <f>IF($B1324="","",COUNTIFS($B$5:$B1324,$B1324,$BF$5:$BF1324,$BF1324))</f>
        <v/>
      </c>
      <c r="BL1324" s="9" t="str">
        <f>IF($B1324="","",COUNTIFS($B$5:$B1324,$B1324,$BH$5:$BH1324,$BH1324))</f>
        <v/>
      </c>
      <c r="BM1324" s="9" t="str">
        <f t="shared" si="216"/>
        <v/>
      </c>
      <c r="BN1324" s="9" t="str">
        <f t="shared" si="217"/>
        <v/>
      </c>
      <c r="BO1324" s="9">
        <f t="shared" si="218"/>
        <v>0</v>
      </c>
      <c r="BR1324" s="12" t="str">
        <f t="shared" si="219"/>
        <v/>
      </c>
    </row>
    <row r="1325" spans="1:70" ht="14.25" customHeight="1">
      <c r="A1325" s="26"/>
      <c r="C1325" s="26"/>
      <c r="D1325" s="27"/>
      <c r="E1325" s="27"/>
      <c r="BE1325" s="10" t="str">
        <f t="shared" si="210"/>
        <v/>
      </c>
      <c r="BF1325" s="8" t="str">
        <f t="shared" si="211"/>
        <v/>
      </c>
      <c r="BG1325" s="11" t="str">
        <f t="shared" si="212"/>
        <v/>
      </c>
      <c r="BH1325" s="8" t="str">
        <f t="shared" si="213"/>
        <v/>
      </c>
      <c r="BI1325" s="8" t="str">
        <f t="shared" si="214"/>
        <v/>
      </c>
      <c r="BJ1325" s="9" t="str">
        <f t="shared" si="215"/>
        <v/>
      </c>
      <c r="BK1325" s="9" t="str">
        <f>IF($B1325="","",COUNTIFS($B$5:$B1325,$B1325,$BF$5:$BF1325,$BF1325))</f>
        <v/>
      </c>
      <c r="BL1325" s="9" t="str">
        <f>IF($B1325="","",COUNTIFS($B$5:$B1325,$B1325,$BH$5:$BH1325,$BH1325))</f>
        <v/>
      </c>
      <c r="BM1325" s="9" t="str">
        <f t="shared" si="216"/>
        <v/>
      </c>
      <c r="BN1325" s="9" t="str">
        <f t="shared" si="217"/>
        <v/>
      </c>
      <c r="BO1325" s="9">
        <f t="shared" si="218"/>
        <v>0</v>
      </c>
      <c r="BR1325" s="12" t="str">
        <f t="shared" si="219"/>
        <v/>
      </c>
    </row>
    <row r="1326" spans="1:70" ht="14.25" customHeight="1">
      <c r="A1326" s="26"/>
      <c r="C1326" s="26"/>
      <c r="D1326" s="27"/>
      <c r="E1326" s="27"/>
      <c r="BE1326" s="10" t="str">
        <f t="shared" si="210"/>
        <v/>
      </c>
      <c r="BF1326" s="8" t="str">
        <f t="shared" si="211"/>
        <v/>
      </c>
      <c r="BG1326" s="11" t="str">
        <f t="shared" si="212"/>
        <v/>
      </c>
      <c r="BH1326" s="8" t="str">
        <f t="shared" si="213"/>
        <v/>
      </c>
      <c r="BI1326" s="8" t="str">
        <f t="shared" si="214"/>
        <v/>
      </c>
      <c r="BJ1326" s="9" t="str">
        <f t="shared" si="215"/>
        <v/>
      </c>
      <c r="BK1326" s="9" t="str">
        <f>IF($B1326="","",COUNTIFS($B$5:$B1326,$B1326,$BF$5:$BF1326,$BF1326))</f>
        <v/>
      </c>
      <c r="BL1326" s="9" t="str">
        <f>IF($B1326="","",COUNTIFS($B$5:$B1326,$B1326,$BH$5:$BH1326,$BH1326))</f>
        <v/>
      </c>
      <c r="BM1326" s="9" t="str">
        <f t="shared" si="216"/>
        <v/>
      </c>
      <c r="BN1326" s="9" t="str">
        <f t="shared" si="217"/>
        <v/>
      </c>
      <c r="BO1326" s="9">
        <f t="shared" si="218"/>
        <v>0</v>
      </c>
      <c r="BR1326" s="12" t="str">
        <f t="shared" si="219"/>
        <v/>
      </c>
    </row>
    <row r="1327" spans="1:70" ht="14.25" customHeight="1">
      <c r="A1327" s="26"/>
      <c r="C1327" s="26"/>
      <c r="D1327" s="27"/>
      <c r="E1327" s="27"/>
      <c r="BE1327" s="10" t="str">
        <f t="shared" si="210"/>
        <v/>
      </c>
      <c r="BF1327" s="8" t="str">
        <f t="shared" si="211"/>
        <v/>
      </c>
      <c r="BG1327" s="11" t="str">
        <f t="shared" si="212"/>
        <v/>
      </c>
      <c r="BH1327" s="8" t="str">
        <f t="shared" si="213"/>
        <v/>
      </c>
      <c r="BI1327" s="8" t="str">
        <f t="shared" si="214"/>
        <v/>
      </c>
      <c r="BJ1327" s="9" t="str">
        <f t="shared" si="215"/>
        <v/>
      </c>
      <c r="BK1327" s="9" t="str">
        <f>IF($B1327="","",COUNTIFS($B$5:$B1327,$B1327,$BF$5:$BF1327,$BF1327))</f>
        <v/>
      </c>
      <c r="BL1327" s="9" t="str">
        <f>IF($B1327="","",COUNTIFS($B$5:$B1327,$B1327,$BH$5:$BH1327,$BH1327))</f>
        <v/>
      </c>
      <c r="BM1327" s="9" t="str">
        <f t="shared" si="216"/>
        <v/>
      </c>
      <c r="BN1327" s="9" t="str">
        <f t="shared" si="217"/>
        <v/>
      </c>
      <c r="BO1327" s="9">
        <f t="shared" si="218"/>
        <v>0</v>
      </c>
      <c r="BR1327" s="12" t="str">
        <f t="shared" si="219"/>
        <v/>
      </c>
    </row>
    <row r="1328" spans="1:70" ht="14.25" customHeight="1">
      <c r="A1328" s="26"/>
      <c r="C1328" s="26"/>
      <c r="D1328" s="27"/>
      <c r="E1328" s="27"/>
      <c r="BE1328" s="10" t="str">
        <f t="shared" si="210"/>
        <v/>
      </c>
      <c r="BF1328" s="8" t="str">
        <f t="shared" si="211"/>
        <v/>
      </c>
      <c r="BG1328" s="11" t="str">
        <f t="shared" si="212"/>
        <v/>
      </c>
      <c r="BH1328" s="8" t="str">
        <f t="shared" si="213"/>
        <v/>
      </c>
      <c r="BI1328" s="8" t="str">
        <f t="shared" si="214"/>
        <v/>
      </c>
      <c r="BJ1328" s="9" t="str">
        <f t="shared" si="215"/>
        <v/>
      </c>
      <c r="BK1328" s="9" t="str">
        <f>IF($B1328="","",COUNTIFS($B$5:$B1328,$B1328,$BF$5:$BF1328,$BF1328))</f>
        <v/>
      </c>
      <c r="BL1328" s="9" t="str">
        <f>IF($B1328="","",COUNTIFS($B$5:$B1328,$B1328,$BH$5:$BH1328,$BH1328))</f>
        <v/>
      </c>
      <c r="BM1328" s="9" t="str">
        <f t="shared" si="216"/>
        <v/>
      </c>
      <c r="BN1328" s="9" t="str">
        <f t="shared" si="217"/>
        <v/>
      </c>
      <c r="BO1328" s="9">
        <f t="shared" si="218"/>
        <v>0</v>
      </c>
      <c r="BR1328" s="12" t="str">
        <f t="shared" si="219"/>
        <v/>
      </c>
    </row>
    <row r="1329" spans="1:70" ht="14.25" customHeight="1">
      <c r="A1329" s="26"/>
      <c r="C1329" s="26"/>
      <c r="D1329" s="27"/>
      <c r="E1329" s="27"/>
      <c r="BE1329" s="10" t="str">
        <f t="shared" si="210"/>
        <v/>
      </c>
      <c r="BF1329" s="8" t="str">
        <f t="shared" si="211"/>
        <v/>
      </c>
      <c r="BG1329" s="11" t="str">
        <f t="shared" si="212"/>
        <v/>
      </c>
      <c r="BH1329" s="8" t="str">
        <f t="shared" si="213"/>
        <v/>
      </c>
      <c r="BI1329" s="8" t="str">
        <f t="shared" si="214"/>
        <v/>
      </c>
      <c r="BJ1329" s="9" t="str">
        <f t="shared" si="215"/>
        <v/>
      </c>
      <c r="BK1329" s="9" t="str">
        <f>IF($B1329="","",COUNTIFS($B$5:$B1329,$B1329,$BF$5:$BF1329,$BF1329))</f>
        <v/>
      </c>
      <c r="BL1329" s="9" t="str">
        <f>IF($B1329="","",COUNTIFS($B$5:$B1329,$B1329,$BH$5:$BH1329,$BH1329))</f>
        <v/>
      </c>
      <c r="BM1329" s="9" t="str">
        <f t="shared" si="216"/>
        <v/>
      </c>
      <c r="BN1329" s="9" t="str">
        <f t="shared" si="217"/>
        <v/>
      </c>
      <c r="BO1329" s="9">
        <f t="shared" si="218"/>
        <v>0</v>
      </c>
      <c r="BR1329" s="12" t="str">
        <f t="shared" si="219"/>
        <v/>
      </c>
    </row>
    <row r="1330" spans="1:70" ht="14.25" customHeight="1">
      <c r="A1330" s="26"/>
      <c r="C1330" s="26"/>
      <c r="D1330" s="27"/>
      <c r="E1330" s="27"/>
      <c r="BE1330" s="10" t="str">
        <f t="shared" si="210"/>
        <v/>
      </c>
      <c r="BF1330" s="8" t="str">
        <f t="shared" si="211"/>
        <v/>
      </c>
      <c r="BG1330" s="11" t="str">
        <f t="shared" si="212"/>
        <v/>
      </c>
      <c r="BH1330" s="8" t="str">
        <f t="shared" si="213"/>
        <v/>
      </c>
      <c r="BI1330" s="8" t="str">
        <f t="shared" si="214"/>
        <v/>
      </c>
      <c r="BJ1330" s="9" t="str">
        <f t="shared" si="215"/>
        <v/>
      </c>
      <c r="BK1330" s="9" t="str">
        <f>IF($B1330="","",COUNTIFS($B$5:$B1330,$B1330,$BF$5:$BF1330,$BF1330))</f>
        <v/>
      </c>
      <c r="BL1330" s="9" t="str">
        <f>IF($B1330="","",COUNTIFS($B$5:$B1330,$B1330,$BH$5:$BH1330,$BH1330))</f>
        <v/>
      </c>
      <c r="BM1330" s="9" t="str">
        <f t="shared" si="216"/>
        <v/>
      </c>
      <c r="BN1330" s="9" t="str">
        <f t="shared" si="217"/>
        <v/>
      </c>
      <c r="BO1330" s="9">
        <f t="shared" si="218"/>
        <v>0</v>
      </c>
      <c r="BR1330" s="12" t="str">
        <f t="shared" si="219"/>
        <v/>
      </c>
    </row>
    <row r="1331" spans="1:70" ht="14.25" customHeight="1">
      <c r="A1331" s="26"/>
      <c r="C1331" s="26"/>
      <c r="D1331" s="27"/>
      <c r="E1331" s="27"/>
      <c r="BE1331" s="10" t="str">
        <f t="shared" si="210"/>
        <v/>
      </c>
      <c r="BF1331" s="8" t="str">
        <f t="shared" si="211"/>
        <v/>
      </c>
      <c r="BG1331" s="11" t="str">
        <f t="shared" si="212"/>
        <v/>
      </c>
      <c r="BH1331" s="8" t="str">
        <f t="shared" si="213"/>
        <v/>
      </c>
      <c r="BI1331" s="8" t="str">
        <f t="shared" si="214"/>
        <v/>
      </c>
      <c r="BJ1331" s="9" t="str">
        <f t="shared" si="215"/>
        <v/>
      </c>
      <c r="BK1331" s="9" t="str">
        <f>IF($B1331="","",COUNTIFS($B$5:$B1331,$B1331,$BF$5:$BF1331,$BF1331))</f>
        <v/>
      </c>
      <c r="BL1331" s="9" t="str">
        <f>IF($B1331="","",COUNTIFS($B$5:$B1331,$B1331,$BH$5:$BH1331,$BH1331))</f>
        <v/>
      </c>
      <c r="BM1331" s="9" t="str">
        <f t="shared" si="216"/>
        <v/>
      </c>
      <c r="BN1331" s="9" t="str">
        <f t="shared" si="217"/>
        <v/>
      </c>
      <c r="BO1331" s="9">
        <f t="shared" si="218"/>
        <v>0</v>
      </c>
      <c r="BR1331" s="12" t="str">
        <f t="shared" si="219"/>
        <v/>
      </c>
    </row>
    <row r="1332" spans="1:70" ht="14.25" customHeight="1">
      <c r="A1332" s="26"/>
      <c r="C1332" s="26"/>
      <c r="D1332" s="27"/>
      <c r="E1332" s="27"/>
      <c r="BE1332" s="10" t="str">
        <f t="shared" si="210"/>
        <v/>
      </c>
      <c r="BF1332" s="8" t="str">
        <f t="shared" si="211"/>
        <v/>
      </c>
      <c r="BG1332" s="11" t="str">
        <f t="shared" si="212"/>
        <v/>
      </c>
      <c r="BH1332" s="8" t="str">
        <f t="shared" si="213"/>
        <v/>
      </c>
      <c r="BI1332" s="8" t="str">
        <f t="shared" si="214"/>
        <v/>
      </c>
      <c r="BJ1332" s="9" t="str">
        <f t="shared" si="215"/>
        <v/>
      </c>
      <c r="BK1332" s="9" t="str">
        <f>IF($B1332="","",COUNTIFS($B$5:$B1332,$B1332,$BF$5:$BF1332,$BF1332))</f>
        <v/>
      </c>
      <c r="BL1332" s="9" t="str">
        <f>IF($B1332="","",COUNTIFS($B$5:$B1332,$B1332,$BH$5:$BH1332,$BH1332))</f>
        <v/>
      </c>
      <c r="BM1332" s="9" t="str">
        <f t="shared" si="216"/>
        <v/>
      </c>
      <c r="BN1332" s="9" t="str">
        <f t="shared" si="217"/>
        <v/>
      </c>
      <c r="BO1332" s="9">
        <f t="shared" si="218"/>
        <v>0</v>
      </c>
      <c r="BR1332" s="12" t="str">
        <f t="shared" si="219"/>
        <v/>
      </c>
    </row>
    <row r="1333" spans="1:70" ht="14.25" customHeight="1">
      <c r="A1333" s="26"/>
      <c r="C1333" s="26"/>
      <c r="D1333" s="27"/>
      <c r="E1333" s="27"/>
      <c r="BE1333" s="10" t="str">
        <f t="shared" si="210"/>
        <v/>
      </c>
      <c r="BF1333" s="8" t="str">
        <f t="shared" si="211"/>
        <v/>
      </c>
      <c r="BG1333" s="11" t="str">
        <f t="shared" si="212"/>
        <v/>
      </c>
      <c r="BH1333" s="8" t="str">
        <f t="shared" si="213"/>
        <v/>
      </c>
      <c r="BI1333" s="8" t="str">
        <f t="shared" si="214"/>
        <v/>
      </c>
      <c r="BJ1333" s="9" t="str">
        <f t="shared" si="215"/>
        <v/>
      </c>
      <c r="BK1333" s="9" t="str">
        <f>IF($B1333="","",COUNTIFS($B$5:$B1333,$B1333,$BF$5:$BF1333,$BF1333))</f>
        <v/>
      </c>
      <c r="BL1333" s="9" t="str">
        <f>IF($B1333="","",COUNTIFS($B$5:$B1333,$B1333,$BH$5:$BH1333,$BH1333))</f>
        <v/>
      </c>
      <c r="BM1333" s="9" t="str">
        <f t="shared" si="216"/>
        <v/>
      </c>
      <c r="BN1333" s="9" t="str">
        <f t="shared" si="217"/>
        <v/>
      </c>
      <c r="BO1333" s="9">
        <f t="shared" si="218"/>
        <v>0</v>
      </c>
      <c r="BR1333" s="12" t="str">
        <f t="shared" si="219"/>
        <v/>
      </c>
    </row>
    <row r="1334" spans="1:70" ht="14.25" customHeight="1">
      <c r="A1334" s="26"/>
      <c r="C1334" s="26"/>
      <c r="D1334" s="27"/>
      <c r="E1334" s="27"/>
      <c r="BE1334" s="10" t="str">
        <f t="shared" si="210"/>
        <v/>
      </c>
      <c r="BF1334" s="8" t="str">
        <f t="shared" si="211"/>
        <v/>
      </c>
      <c r="BG1334" s="11" t="str">
        <f t="shared" si="212"/>
        <v/>
      </c>
      <c r="BH1334" s="8" t="str">
        <f t="shared" si="213"/>
        <v/>
      </c>
      <c r="BI1334" s="8" t="str">
        <f t="shared" si="214"/>
        <v/>
      </c>
      <c r="BJ1334" s="9" t="str">
        <f t="shared" si="215"/>
        <v/>
      </c>
      <c r="BK1334" s="9" t="str">
        <f>IF($B1334="","",COUNTIFS($B$5:$B1334,$B1334,$BF$5:$BF1334,$BF1334))</f>
        <v/>
      </c>
      <c r="BL1334" s="9" t="str">
        <f>IF($B1334="","",COUNTIFS($B$5:$B1334,$B1334,$BH$5:$BH1334,$BH1334))</f>
        <v/>
      </c>
      <c r="BM1334" s="9" t="str">
        <f t="shared" si="216"/>
        <v/>
      </c>
      <c r="BN1334" s="9" t="str">
        <f t="shared" si="217"/>
        <v/>
      </c>
      <c r="BO1334" s="9">
        <f t="shared" si="218"/>
        <v>0</v>
      </c>
      <c r="BR1334" s="12" t="str">
        <f t="shared" si="219"/>
        <v/>
      </c>
    </row>
    <row r="1335" spans="1:70" ht="14.25" customHeight="1">
      <c r="A1335" s="26"/>
      <c r="C1335" s="26"/>
      <c r="D1335" s="27"/>
      <c r="E1335" s="27"/>
      <c r="BE1335" s="10" t="str">
        <f t="shared" si="210"/>
        <v/>
      </c>
      <c r="BF1335" s="8" t="str">
        <f t="shared" si="211"/>
        <v/>
      </c>
      <c r="BG1335" s="11" t="str">
        <f t="shared" si="212"/>
        <v/>
      </c>
      <c r="BH1335" s="8" t="str">
        <f t="shared" si="213"/>
        <v/>
      </c>
      <c r="BI1335" s="8" t="str">
        <f t="shared" si="214"/>
        <v/>
      </c>
      <c r="BJ1335" s="9" t="str">
        <f t="shared" si="215"/>
        <v/>
      </c>
      <c r="BK1335" s="9" t="str">
        <f>IF($B1335="","",COUNTIFS($B$5:$B1335,$B1335,$BF$5:$BF1335,$BF1335))</f>
        <v/>
      </c>
      <c r="BL1335" s="9" t="str">
        <f>IF($B1335="","",COUNTIFS($B$5:$B1335,$B1335,$BH$5:$BH1335,$BH1335))</f>
        <v/>
      </c>
      <c r="BM1335" s="9" t="str">
        <f t="shared" si="216"/>
        <v/>
      </c>
      <c r="BN1335" s="9" t="str">
        <f t="shared" si="217"/>
        <v/>
      </c>
      <c r="BO1335" s="9">
        <f t="shared" si="218"/>
        <v>0</v>
      </c>
      <c r="BR1335" s="12" t="str">
        <f t="shared" si="219"/>
        <v/>
      </c>
    </row>
    <row r="1336" spans="1:70" ht="14.25" customHeight="1">
      <c r="A1336" s="26"/>
      <c r="C1336" s="26"/>
      <c r="D1336" s="27"/>
      <c r="E1336" s="27"/>
      <c r="BE1336" s="10" t="str">
        <f t="shared" si="210"/>
        <v/>
      </c>
      <c r="BF1336" s="8" t="str">
        <f t="shared" si="211"/>
        <v/>
      </c>
      <c r="BG1336" s="11" t="str">
        <f t="shared" si="212"/>
        <v/>
      </c>
      <c r="BH1336" s="8" t="str">
        <f t="shared" si="213"/>
        <v/>
      </c>
      <c r="BI1336" s="8" t="str">
        <f t="shared" si="214"/>
        <v/>
      </c>
      <c r="BJ1336" s="9" t="str">
        <f t="shared" si="215"/>
        <v/>
      </c>
      <c r="BK1336" s="9" t="str">
        <f>IF($B1336="","",COUNTIFS($B$5:$B1336,$B1336,$BF$5:$BF1336,$BF1336))</f>
        <v/>
      </c>
      <c r="BL1336" s="9" t="str">
        <f>IF($B1336="","",COUNTIFS($B$5:$B1336,$B1336,$BH$5:$BH1336,$BH1336))</f>
        <v/>
      </c>
      <c r="BM1336" s="9" t="str">
        <f t="shared" si="216"/>
        <v/>
      </c>
      <c r="BN1336" s="9" t="str">
        <f t="shared" si="217"/>
        <v/>
      </c>
      <c r="BO1336" s="9">
        <f t="shared" si="218"/>
        <v>0</v>
      </c>
      <c r="BR1336" s="12" t="str">
        <f t="shared" si="219"/>
        <v/>
      </c>
    </row>
    <row r="1337" spans="1:70" ht="14.25" customHeight="1">
      <c r="A1337" s="26"/>
      <c r="C1337" s="26"/>
      <c r="D1337" s="27"/>
      <c r="E1337" s="27"/>
      <c r="BE1337" s="10" t="str">
        <f t="shared" si="210"/>
        <v/>
      </c>
      <c r="BF1337" s="8" t="str">
        <f t="shared" si="211"/>
        <v/>
      </c>
      <c r="BG1337" s="11" t="str">
        <f t="shared" si="212"/>
        <v/>
      </c>
      <c r="BH1337" s="8" t="str">
        <f t="shared" si="213"/>
        <v/>
      </c>
      <c r="BI1337" s="8" t="str">
        <f t="shared" si="214"/>
        <v/>
      </c>
      <c r="BJ1337" s="9" t="str">
        <f t="shared" si="215"/>
        <v/>
      </c>
      <c r="BK1337" s="9" t="str">
        <f>IF($B1337="","",COUNTIFS($B$5:$B1337,$B1337,$BF$5:$BF1337,$BF1337))</f>
        <v/>
      </c>
      <c r="BL1337" s="9" t="str">
        <f>IF($B1337="","",COUNTIFS($B$5:$B1337,$B1337,$BH$5:$BH1337,$BH1337))</f>
        <v/>
      </c>
      <c r="BM1337" s="9" t="str">
        <f t="shared" si="216"/>
        <v/>
      </c>
      <c r="BN1337" s="9" t="str">
        <f t="shared" si="217"/>
        <v/>
      </c>
      <c r="BO1337" s="9">
        <f t="shared" si="218"/>
        <v>0</v>
      </c>
      <c r="BR1337" s="12" t="str">
        <f t="shared" si="219"/>
        <v/>
      </c>
    </row>
    <row r="1338" spans="1:70" ht="14.25" customHeight="1">
      <c r="A1338" s="26"/>
      <c r="C1338" s="26"/>
      <c r="D1338" s="27"/>
      <c r="E1338" s="27"/>
      <c r="BE1338" s="10" t="str">
        <f t="shared" si="210"/>
        <v/>
      </c>
      <c r="BF1338" s="8" t="str">
        <f t="shared" si="211"/>
        <v/>
      </c>
      <c r="BG1338" s="11" t="str">
        <f t="shared" si="212"/>
        <v/>
      </c>
      <c r="BH1338" s="8" t="str">
        <f t="shared" si="213"/>
        <v/>
      </c>
      <c r="BI1338" s="8" t="str">
        <f t="shared" si="214"/>
        <v/>
      </c>
      <c r="BJ1338" s="9" t="str">
        <f t="shared" si="215"/>
        <v/>
      </c>
      <c r="BK1338" s="9" t="str">
        <f>IF($B1338="","",COUNTIFS($B$5:$B1338,$B1338,$BF$5:$BF1338,$BF1338))</f>
        <v/>
      </c>
      <c r="BL1338" s="9" t="str">
        <f>IF($B1338="","",COUNTIFS($B$5:$B1338,$B1338,$BH$5:$BH1338,$BH1338))</f>
        <v/>
      </c>
      <c r="BM1338" s="9" t="str">
        <f t="shared" si="216"/>
        <v/>
      </c>
      <c r="BN1338" s="9" t="str">
        <f t="shared" si="217"/>
        <v/>
      </c>
      <c r="BO1338" s="9">
        <f t="shared" si="218"/>
        <v>0</v>
      </c>
      <c r="BR1338" s="12" t="str">
        <f t="shared" si="219"/>
        <v/>
      </c>
    </row>
    <row r="1339" spans="1:70" ht="14.25" customHeight="1">
      <c r="A1339" s="26"/>
      <c r="C1339" s="26"/>
      <c r="D1339" s="27"/>
      <c r="E1339" s="27"/>
      <c r="BE1339" s="10" t="str">
        <f t="shared" si="210"/>
        <v/>
      </c>
      <c r="BF1339" s="8" t="str">
        <f t="shared" si="211"/>
        <v/>
      </c>
      <c r="BG1339" s="11" t="str">
        <f t="shared" si="212"/>
        <v/>
      </c>
      <c r="BH1339" s="8" t="str">
        <f t="shared" si="213"/>
        <v/>
      </c>
      <c r="BI1339" s="8" t="str">
        <f t="shared" si="214"/>
        <v/>
      </c>
      <c r="BJ1339" s="9" t="str">
        <f t="shared" si="215"/>
        <v/>
      </c>
      <c r="BK1339" s="9" t="str">
        <f>IF($B1339="","",COUNTIFS($B$5:$B1339,$B1339,$BF$5:$BF1339,$BF1339))</f>
        <v/>
      </c>
      <c r="BL1339" s="9" t="str">
        <f>IF($B1339="","",COUNTIFS($B$5:$B1339,$B1339,$BH$5:$BH1339,$BH1339))</f>
        <v/>
      </c>
      <c r="BM1339" s="9" t="str">
        <f t="shared" si="216"/>
        <v/>
      </c>
      <c r="BN1339" s="9" t="str">
        <f t="shared" si="217"/>
        <v/>
      </c>
      <c r="BO1339" s="9">
        <f t="shared" si="218"/>
        <v>0</v>
      </c>
      <c r="BR1339" s="12" t="str">
        <f t="shared" si="219"/>
        <v/>
      </c>
    </row>
    <row r="1340" spans="1:70" ht="14.25" customHeight="1">
      <c r="A1340" s="26"/>
      <c r="C1340" s="26"/>
      <c r="D1340" s="27"/>
      <c r="E1340" s="27"/>
      <c r="BE1340" s="10" t="str">
        <f t="shared" si="210"/>
        <v/>
      </c>
      <c r="BF1340" s="8" t="str">
        <f t="shared" si="211"/>
        <v/>
      </c>
      <c r="BG1340" s="11" t="str">
        <f t="shared" si="212"/>
        <v/>
      </c>
      <c r="BH1340" s="8" t="str">
        <f t="shared" si="213"/>
        <v/>
      </c>
      <c r="BI1340" s="8" t="str">
        <f t="shared" si="214"/>
        <v/>
      </c>
      <c r="BJ1340" s="9" t="str">
        <f t="shared" si="215"/>
        <v/>
      </c>
      <c r="BK1340" s="9" t="str">
        <f>IF($B1340="","",COUNTIFS($B$5:$B1340,$B1340,$BF$5:$BF1340,$BF1340))</f>
        <v/>
      </c>
      <c r="BL1340" s="9" t="str">
        <f>IF($B1340="","",COUNTIFS($B$5:$B1340,$B1340,$BH$5:$BH1340,$BH1340))</f>
        <v/>
      </c>
      <c r="BM1340" s="9" t="str">
        <f t="shared" si="216"/>
        <v/>
      </c>
      <c r="BN1340" s="9" t="str">
        <f t="shared" si="217"/>
        <v/>
      </c>
      <c r="BO1340" s="9">
        <f t="shared" si="218"/>
        <v>0</v>
      </c>
      <c r="BR1340" s="12" t="str">
        <f t="shared" si="219"/>
        <v/>
      </c>
    </row>
    <row r="1341" spans="1:70" ht="14.25" customHeight="1">
      <c r="A1341" s="26"/>
      <c r="C1341" s="26"/>
      <c r="D1341" s="27"/>
      <c r="E1341" s="27"/>
      <c r="BE1341" s="10" t="str">
        <f t="shared" si="210"/>
        <v/>
      </c>
      <c r="BF1341" s="8" t="str">
        <f t="shared" si="211"/>
        <v/>
      </c>
      <c r="BG1341" s="11" t="str">
        <f t="shared" si="212"/>
        <v/>
      </c>
      <c r="BH1341" s="8" t="str">
        <f t="shared" si="213"/>
        <v/>
      </c>
      <c r="BI1341" s="8" t="str">
        <f t="shared" si="214"/>
        <v/>
      </c>
      <c r="BJ1341" s="9" t="str">
        <f t="shared" si="215"/>
        <v/>
      </c>
      <c r="BK1341" s="9" t="str">
        <f>IF($B1341="","",COUNTIFS($B$5:$B1341,$B1341,$BF$5:$BF1341,$BF1341))</f>
        <v/>
      </c>
      <c r="BL1341" s="9" t="str">
        <f>IF($B1341="","",COUNTIFS($B$5:$B1341,$B1341,$BH$5:$BH1341,$BH1341))</f>
        <v/>
      </c>
      <c r="BM1341" s="9" t="str">
        <f t="shared" si="216"/>
        <v/>
      </c>
      <c r="BN1341" s="9" t="str">
        <f t="shared" si="217"/>
        <v/>
      </c>
      <c r="BO1341" s="9">
        <f t="shared" si="218"/>
        <v>0</v>
      </c>
      <c r="BR1341" s="12" t="str">
        <f t="shared" si="219"/>
        <v/>
      </c>
    </row>
    <row r="1342" spans="1:70" ht="14.25" customHeight="1">
      <c r="A1342" s="26"/>
      <c r="C1342" s="26"/>
      <c r="D1342" s="27"/>
      <c r="E1342" s="27"/>
      <c r="BE1342" s="10" t="str">
        <f t="shared" si="210"/>
        <v/>
      </c>
      <c r="BF1342" s="8" t="str">
        <f t="shared" si="211"/>
        <v/>
      </c>
      <c r="BG1342" s="11" t="str">
        <f t="shared" si="212"/>
        <v/>
      </c>
      <c r="BH1342" s="8" t="str">
        <f t="shared" si="213"/>
        <v/>
      </c>
      <c r="BI1342" s="8" t="str">
        <f t="shared" si="214"/>
        <v/>
      </c>
      <c r="BJ1342" s="9" t="str">
        <f t="shared" si="215"/>
        <v/>
      </c>
      <c r="BK1342" s="9" t="str">
        <f>IF($B1342="","",COUNTIFS($B$5:$B1342,$B1342,$BF$5:$BF1342,$BF1342))</f>
        <v/>
      </c>
      <c r="BL1342" s="9" t="str">
        <f>IF($B1342="","",COUNTIFS($B$5:$B1342,$B1342,$BH$5:$BH1342,$BH1342))</f>
        <v/>
      </c>
      <c r="BM1342" s="9" t="str">
        <f t="shared" si="216"/>
        <v/>
      </c>
      <c r="BN1342" s="9" t="str">
        <f t="shared" si="217"/>
        <v/>
      </c>
      <c r="BO1342" s="9">
        <f t="shared" si="218"/>
        <v>0</v>
      </c>
      <c r="BR1342" s="12" t="str">
        <f t="shared" si="219"/>
        <v/>
      </c>
    </row>
    <row r="1343" spans="1:70" ht="14.25" customHeight="1">
      <c r="A1343" s="26"/>
      <c r="C1343" s="26"/>
      <c r="D1343" s="27"/>
      <c r="E1343" s="27"/>
      <c r="BE1343" s="10" t="str">
        <f t="shared" si="210"/>
        <v/>
      </c>
      <c r="BF1343" s="8" t="str">
        <f t="shared" si="211"/>
        <v/>
      </c>
      <c r="BG1343" s="11" t="str">
        <f t="shared" si="212"/>
        <v/>
      </c>
      <c r="BH1343" s="8" t="str">
        <f t="shared" si="213"/>
        <v/>
      </c>
      <c r="BI1343" s="8" t="str">
        <f t="shared" si="214"/>
        <v/>
      </c>
      <c r="BJ1343" s="9" t="str">
        <f t="shared" si="215"/>
        <v/>
      </c>
      <c r="BK1343" s="9" t="str">
        <f>IF($B1343="","",COUNTIFS($B$5:$B1343,$B1343,$BF$5:$BF1343,$BF1343))</f>
        <v/>
      </c>
      <c r="BL1343" s="9" t="str">
        <f>IF($B1343="","",COUNTIFS($B$5:$B1343,$B1343,$BH$5:$BH1343,$BH1343))</f>
        <v/>
      </c>
      <c r="BM1343" s="9" t="str">
        <f t="shared" si="216"/>
        <v/>
      </c>
      <c r="BN1343" s="9" t="str">
        <f t="shared" si="217"/>
        <v/>
      </c>
      <c r="BO1343" s="9">
        <f t="shared" si="218"/>
        <v>0</v>
      </c>
      <c r="BR1343" s="12" t="str">
        <f t="shared" si="219"/>
        <v/>
      </c>
    </row>
    <row r="1344" spans="1:70" ht="14.25" customHeight="1">
      <c r="A1344" s="26"/>
      <c r="C1344" s="26"/>
      <c r="D1344" s="27"/>
      <c r="E1344" s="27"/>
      <c r="BE1344" s="10" t="str">
        <f t="shared" si="210"/>
        <v/>
      </c>
      <c r="BF1344" s="8" t="str">
        <f t="shared" si="211"/>
        <v/>
      </c>
      <c r="BG1344" s="11" t="str">
        <f t="shared" si="212"/>
        <v/>
      </c>
      <c r="BH1344" s="8" t="str">
        <f t="shared" si="213"/>
        <v/>
      </c>
      <c r="BI1344" s="8" t="str">
        <f t="shared" si="214"/>
        <v/>
      </c>
      <c r="BJ1344" s="9" t="str">
        <f t="shared" si="215"/>
        <v/>
      </c>
      <c r="BK1344" s="9" t="str">
        <f>IF($B1344="","",COUNTIFS($B$5:$B1344,$B1344,$BF$5:$BF1344,$BF1344))</f>
        <v/>
      </c>
      <c r="BL1344" s="9" t="str">
        <f>IF($B1344="","",COUNTIFS($B$5:$B1344,$B1344,$BH$5:$BH1344,$BH1344))</f>
        <v/>
      </c>
      <c r="BM1344" s="9" t="str">
        <f t="shared" si="216"/>
        <v/>
      </c>
      <c r="BN1344" s="9" t="str">
        <f t="shared" si="217"/>
        <v/>
      </c>
      <c r="BO1344" s="9">
        <f t="shared" si="218"/>
        <v>0</v>
      </c>
      <c r="BR1344" s="12" t="str">
        <f t="shared" si="219"/>
        <v/>
      </c>
    </row>
    <row r="1345" spans="1:70" ht="14.25" customHeight="1">
      <c r="A1345" s="26"/>
      <c r="C1345" s="26"/>
      <c r="D1345" s="27"/>
      <c r="E1345" s="27"/>
      <c r="BE1345" s="10" t="str">
        <f t="shared" si="210"/>
        <v/>
      </c>
      <c r="BF1345" s="8" t="str">
        <f t="shared" si="211"/>
        <v/>
      </c>
      <c r="BG1345" s="11" t="str">
        <f t="shared" si="212"/>
        <v/>
      </c>
      <c r="BH1345" s="8" t="str">
        <f t="shared" si="213"/>
        <v/>
      </c>
      <c r="BI1345" s="8" t="str">
        <f t="shared" si="214"/>
        <v/>
      </c>
      <c r="BJ1345" s="9" t="str">
        <f t="shared" si="215"/>
        <v/>
      </c>
      <c r="BK1345" s="9" t="str">
        <f>IF($B1345="","",COUNTIFS($B$5:$B1345,$B1345,$BF$5:$BF1345,$BF1345))</f>
        <v/>
      </c>
      <c r="BL1345" s="9" t="str">
        <f>IF($B1345="","",COUNTIFS($B$5:$B1345,$B1345,$BH$5:$BH1345,$BH1345))</f>
        <v/>
      </c>
      <c r="BM1345" s="9" t="str">
        <f t="shared" si="216"/>
        <v/>
      </c>
      <c r="BN1345" s="9" t="str">
        <f t="shared" si="217"/>
        <v/>
      </c>
      <c r="BO1345" s="9">
        <f t="shared" si="218"/>
        <v>0</v>
      </c>
      <c r="BR1345" s="12" t="str">
        <f t="shared" si="219"/>
        <v/>
      </c>
    </row>
    <row r="1346" spans="1:70" ht="14.25" customHeight="1">
      <c r="A1346" s="26"/>
      <c r="C1346" s="26"/>
      <c r="D1346" s="27"/>
      <c r="E1346" s="27"/>
      <c r="BE1346" s="10" t="str">
        <f t="shared" si="210"/>
        <v/>
      </c>
      <c r="BF1346" s="8" t="str">
        <f t="shared" si="211"/>
        <v/>
      </c>
      <c r="BG1346" s="11" t="str">
        <f t="shared" si="212"/>
        <v/>
      </c>
      <c r="BH1346" s="8" t="str">
        <f t="shared" si="213"/>
        <v/>
      </c>
      <c r="BI1346" s="8" t="str">
        <f t="shared" si="214"/>
        <v/>
      </c>
      <c r="BJ1346" s="9" t="str">
        <f t="shared" si="215"/>
        <v/>
      </c>
      <c r="BK1346" s="9" t="str">
        <f>IF($B1346="","",COUNTIFS($B$5:$B1346,$B1346,$BF$5:$BF1346,$BF1346))</f>
        <v/>
      </c>
      <c r="BL1346" s="9" t="str">
        <f>IF($B1346="","",COUNTIFS($B$5:$B1346,$B1346,$BH$5:$BH1346,$BH1346))</f>
        <v/>
      </c>
      <c r="BM1346" s="9" t="str">
        <f t="shared" si="216"/>
        <v/>
      </c>
      <c r="BN1346" s="9" t="str">
        <f t="shared" si="217"/>
        <v/>
      </c>
      <c r="BO1346" s="9">
        <f t="shared" si="218"/>
        <v>0</v>
      </c>
      <c r="BR1346" s="12" t="str">
        <f t="shared" si="219"/>
        <v/>
      </c>
    </row>
    <row r="1347" spans="1:70" ht="14.25" customHeight="1">
      <c r="A1347" s="26"/>
      <c r="C1347" s="26"/>
      <c r="D1347" s="27"/>
      <c r="E1347" s="27"/>
      <c r="BE1347" s="10" t="str">
        <f t="shared" si="210"/>
        <v/>
      </c>
      <c r="BF1347" s="8" t="str">
        <f t="shared" si="211"/>
        <v/>
      </c>
      <c r="BG1347" s="11" t="str">
        <f t="shared" si="212"/>
        <v/>
      </c>
      <c r="BH1347" s="8" t="str">
        <f t="shared" si="213"/>
        <v/>
      </c>
      <c r="BI1347" s="8" t="str">
        <f t="shared" si="214"/>
        <v/>
      </c>
      <c r="BJ1347" s="9" t="str">
        <f t="shared" si="215"/>
        <v/>
      </c>
      <c r="BK1347" s="9" t="str">
        <f>IF($B1347="","",COUNTIFS($B$5:$B1347,$B1347,$BF$5:$BF1347,$BF1347))</f>
        <v/>
      </c>
      <c r="BL1347" s="9" t="str">
        <f>IF($B1347="","",COUNTIFS($B$5:$B1347,$B1347,$BH$5:$BH1347,$BH1347))</f>
        <v/>
      </c>
      <c r="BM1347" s="9" t="str">
        <f t="shared" si="216"/>
        <v/>
      </c>
      <c r="BN1347" s="9" t="str">
        <f t="shared" si="217"/>
        <v/>
      </c>
      <c r="BO1347" s="9">
        <f t="shared" si="218"/>
        <v>0</v>
      </c>
      <c r="BR1347" s="12" t="str">
        <f t="shared" si="219"/>
        <v/>
      </c>
    </row>
    <row r="1348" spans="1:70" ht="14.25" customHeight="1">
      <c r="A1348" s="26"/>
      <c r="C1348" s="26"/>
      <c r="D1348" s="27"/>
      <c r="E1348" s="27"/>
      <c r="BE1348" s="10" t="str">
        <f t="shared" si="210"/>
        <v/>
      </c>
      <c r="BF1348" s="8" t="str">
        <f t="shared" si="211"/>
        <v/>
      </c>
      <c r="BG1348" s="11" t="str">
        <f t="shared" si="212"/>
        <v/>
      </c>
      <c r="BH1348" s="8" t="str">
        <f t="shared" si="213"/>
        <v/>
      </c>
      <c r="BI1348" s="8" t="str">
        <f t="shared" si="214"/>
        <v/>
      </c>
      <c r="BJ1348" s="9" t="str">
        <f t="shared" si="215"/>
        <v/>
      </c>
      <c r="BK1348" s="9" t="str">
        <f>IF($B1348="","",COUNTIFS($B$5:$B1348,$B1348,$BF$5:$BF1348,$BF1348))</f>
        <v/>
      </c>
      <c r="BL1348" s="9" t="str">
        <f>IF($B1348="","",COUNTIFS($B$5:$B1348,$B1348,$BH$5:$BH1348,$BH1348))</f>
        <v/>
      </c>
      <c r="BM1348" s="9" t="str">
        <f t="shared" si="216"/>
        <v/>
      </c>
      <c r="BN1348" s="9" t="str">
        <f t="shared" si="217"/>
        <v/>
      </c>
      <c r="BO1348" s="9">
        <f t="shared" si="218"/>
        <v>0</v>
      </c>
      <c r="BR1348" s="12" t="str">
        <f t="shared" si="219"/>
        <v/>
      </c>
    </row>
    <row r="1349" spans="1:70" ht="14.25" customHeight="1">
      <c r="A1349" s="26"/>
      <c r="C1349" s="26"/>
      <c r="D1349" s="27"/>
      <c r="E1349" s="27"/>
      <c r="BE1349" s="10" t="str">
        <f t="shared" si="210"/>
        <v/>
      </c>
      <c r="BF1349" s="8" t="str">
        <f t="shared" si="211"/>
        <v/>
      </c>
      <c r="BG1349" s="11" t="str">
        <f t="shared" si="212"/>
        <v/>
      </c>
      <c r="BH1349" s="8" t="str">
        <f t="shared" si="213"/>
        <v/>
      </c>
      <c r="BI1349" s="8" t="str">
        <f t="shared" si="214"/>
        <v/>
      </c>
      <c r="BJ1349" s="9" t="str">
        <f t="shared" si="215"/>
        <v/>
      </c>
      <c r="BK1349" s="9" t="str">
        <f>IF($B1349="","",COUNTIFS($B$5:$B1349,$B1349,$BF$5:$BF1349,$BF1349))</f>
        <v/>
      </c>
      <c r="BL1349" s="9" t="str">
        <f>IF($B1349="","",COUNTIFS($B$5:$B1349,$B1349,$BH$5:$BH1349,$BH1349))</f>
        <v/>
      </c>
      <c r="BM1349" s="9" t="str">
        <f t="shared" si="216"/>
        <v/>
      </c>
      <c r="BN1349" s="9" t="str">
        <f t="shared" si="217"/>
        <v/>
      </c>
      <c r="BO1349" s="9">
        <f t="shared" si="218"/>
        <v>0</v>
      </c>
      <c r="BR1349" s="12" t="str">
        <f t="shared" si="219"/>
        <v/>
      </c>
    </row>
    <row r="1350" spans="1:70" ht="14.25" customHeight="1">
      <c r="A1350" s="26"/>
      <c r="C1350" s="26"/>
      <c r="D1350" s="27"/>
      <c r="E1350" s="27"/>
      <c r="BE1350" s="10" t="str">
        <f t="shared" si="210"/>
        <v/>
      </c>
      <c r="BF1350" s="8" t="str">
        <f t="shared" si="211"/>
        <v/>
      </c>
      <c r="BG1350" s="11" t="str">
        <f t="shared" si="212"/>
        <v/>
      </c>
      <c r="BH1350" s="8" t="str">
        <f t="shared" si="213"/>
        <v/>
      </c>
      <c r="BI1350" s="8" t="str">
        <f t="shared" si="214"/>
        <v/>
      </c>
      <c r="BJ1350" s="9" t="str">
        <f t="shared" si="215"/>
        <v/>
      </c>
      <c r="BK1350" s="9" t="str">
        <f>IF($B1350="","",COUNTIFS($B$5:$B1350,$B1350,$BF$5:$BF1350,$BF1350))</f>
        <v/>
      </c>
      <c r="BL1350" s="9" t="str">
        <f>IF($B1350="","",COUNTIFS($B$5:$B1350,$B1350,$BH$5:$BH1350,$BH1350))</f>
        <v/>
      </c>
      <c r="BM1350" s="9" t="str">
        <f t="shared" si="216"/>
        <v/>
      </c>
      <c r="BN1350" s="9" t="str">
        <f t="shared" si="217"/>
        <v/>
      </c>
      <c r="BO1350" s="9">
        <f t="shared" si="218"/>
        <v>0</v>
      </c>
      <c r="BR1350" s="12" t="str">
        <f t="shared" si="219"/>
        <v/>
      </c>
    </row>
    <row r="1351" spans="1:70" ht="14.25" customHeight="1">
      <c r="A1351" s="26"/>
      <c r="C1351" s="26"/>
      <c r="D1351" s="27"/>
      <c r="E1351" s="27"/>
      <c r="BE1351" s="10" t="str">
        <f t="shared" si="210"/>
        <v/>
      </c>
      <c r="BF1351" s="8" t="str">
        <f t="shared" si="211"/>
        <v/>
      </c>
      <c r="BG1351" s="11" t="str">
        <f t="shared" si="212"/>
        <v/>
      </c>
      <c r="BH1351" s="8" t="str">
        <f t="shared" si="213"/>
        <v/>
      </c>
      <c r="BI1351" s="8" t="str">
        <f t="shared" si="214"/>
        <v/>
      </c>
      <c r="BJ1351" s="9" t="str">
        <f t="shared" si="215"/>
        <v/>
      </c>
      <c r="BK1351" s="9" t="str">
        <f>IF($B1351="","",COUNTIFS($B$5:$B1351,$B1351,$BF$5:$BF1351,$BF1351))</f>
        <v/>
      </c>
      <c r="BL1351" s="9" t="str">
        <f>IF($B1351="","",COUNTIFS($B$5:$B1351,$B1351,$BH$5:$BH1351,$BH1351))</f>
        <v/>
      </c>
      <c r="BM1351" s="9" t="str">
        <f t="shared" si="216"/>
        <v/>
      </c>
      <c r="BN1351" s="9" t="str">
        <f t="shared" si="217"/>
        <v/>
      </c>
      <c r="BO1351" s="9">
        <f t="shared" si="218"/>
        <v>0</v>
      </c>
      <c r="BR1351" s="12" t="str">
        <f t="shared" si="219"/>
        <v/>
      </c>
    </row>
    <row r="1352" spans="1:70" ht="14.25" customHeight="1">
      <c r="A1352" s="26"/>
      <c r="C1352" s="26"/>
      <c r="D1352" s="27"/>
      <c r="E1352" s="27"/>
      <c r="BE1352" s="10" t="str">
        <f t="shared" si="210"/>
        <v/>
      </c>
      <c r="BF1352" s="8" t="str">
        <f t="shared" si="211"/>
        <v/>
      </c>
      <c r="BG1352" s="11" t="str">
        <f t="shared" si="212"/>
        <v/>
      </c>
      <c r="BH1352" s="8" t="str">
        <f t="shared" si="213"/>
        <v/>
      </c>
      <c r="BI1352" s="8" t="str">
        <f t="shared" si="214"/>
        <v/>
      </c>
      <c r="BJ1352" s="9" t="str">
        <f t="shared" si="215"/>
        <v/>
      </c>
      <c r="BK1352" s="9" t="str">
        <f>IF($B1352="","",COUNTIFS($B$5:$B1352,$B1352,$BF$5:$BF1352,$BF1352))</f>
        <v/>
      </c>
      <c r="BL1352" s="9" t="str">
        <f>IF($B1352="","",COUNTIFS($B$5:$B1352,$B1352,$BH$5:$BH1352,$BH1352))</f>
        <v/>
      </c>
      <c r="BM1352" s="9" t="str">
        <f t="shared" si="216"/>
        <v/>
      </c>
      <c r="BN1352" s="9" t="str">
        <f t="shared" si="217"/>
        <v/>
      </c>
      <c r="BO1352" s="9">
        <f t="shared" si="218"/>
        <v>0</v>
      </c>
      <c r="BR1352" s="12" t="str">
        <f t="shared" si="219"/>
        <v/>
      </c>
    </row>
    <row r="1353" spans="1:70" ht="14.25" customHeight="1">
      <c r="A1353" s="26"/>
      <c r="C1353" s="26"/>
      <c r="D1353" s="27"/>
      <c r="E1353" s="27"/>
      <c r="BE1353" s="10" t="str">
        <f t="shared" si="210"/>
        <v/>
      </c>
      <c r="BF1353" s="8" t="str">
        <f t="shared" si="211"/>
        <v/>
      </c>
      <c r="BG1353" s="11" t="str">
        <f t="shared" si="212"/>
        <v/>
      </c>
      <c r="BH1353" s="8" t="str">
        <f t="shared" si="213"/>
        <v/>
      </c>
      <c r="BI1353" s="8" t="str">
        <f t="shared" si="214"/>
        <v/>
      </c>
      <c r="BJ1353" s="9" t="str">
        <f t="shared" si="215"/>
        <v/>
      </c>
      <c r="BK1353" s="9" t="str">
        <f>IF($B1353="","",COUNTIFS($B$5:$B1353,$B1353,$BF$5:$BF1353,$BF1353))</f>
        <v/>
      </c>
      <c r="BL1353" s="9" t="str">
        <f>IF($B1353="","",COUNTIFS($B$5:$B1353,$B1353,$BH$5:$BH1353,$BH1353))</f>
        <v/>
      </c>
      <c r="BM1353" s="9" t="str">
        <f t="shared" si="216"/>
        <v/>
      </c>
      <c r="BN1353" s="9" t="str">
        <f t="shared" si="217"/>
        <v/>
      </c>
      <c r="BO1353" s="9">
        <f t="shared" si="218"/>
        <v>0</v>
      </c>
      <c r="BR1353" s="12" t="str">
        <f t="shared" si="219"/>
        <v/>
      </c>
    </row>
    <row r="1354" spans="1:70" ht="14.25" customHeight="1">
      <c r="A1354" s="26"/>
      <c r="C1354" s="26"/>
      <c r="D1354" s="27"/>
      <c r="E1354" s="27"/>
      <c r="BE1354" s="10" t="str">
        <f t="shared" si="210"/>
        <v/>
      </c>
      <c r="BF1354" s="8" t="str">
        <f t="shared" si="211"/>
        <v/>
      </c>
      <c r="BG1354" s="11" t="str">
        <f t="shared" si="212"/>
        <v/>
      </c>
      <c r="BH1354" s="8" t="str">
        <f t="shared" si="213"/>
        <v/>
      </c>
      <c r="BI1354" s="8" t="str">
        <f t="shared" si="214"/>
        <v/>
      </c>
      <c r="BJ1354" s="9" t="str">
        <f t="shared" si="215"/>
        <v/>
      </c>
      <c r="BK1354" s="9" t="str">
        <f>IF($B1354="","",COUNTIFS($B$5:$B1354,$B1354,$BF$5:$BF1354,$BF1354))</f>
        <v/>
      </c>
      <c r="BL1354" s="9" t="str">
        <f>IF($B1354="","",COUNTIFS($B$5:$B1354,$B1354,$BH$5:$BH1354,$BH1354))</f>
        <v/>
      </c>
      <c r="BM1354" s="9" t="str">
        <f t="shared" si="216"/>
        <v/>
      </c>
      <c r="BN1354" s="9" t="str">
        <f t="shared" si="217"/>
        <v/>
      </c>
      <c r="BO1354" s="9">
        <f t="shared" si="218"/>
        <v>0</v>
      </c>
      <c r="BR1354" s="12" t="str">
        <f t="shared" si="219"/>
        <v/>
      </c>
    </row>
    <row r="1355" spans="1:70" ht="14.25" customHeight="1">
      <c r="A1355" s="26"/>
      <c r="C1355" s="26"/>
      <c r="D1355" s="27"/>
      <c r="E1355" s="27"/>
      <c r="BE1355" s="10" t="str">
        <f t="shared" si="210"/>
        <v/>
      </c>
      <c r="BF1355" s="8" t="str">
        <f t="shared" si="211"/>
        <v/>
      </c>
      <c r="BG1355" s="11" t="str">
        <f t="shared" si="212"/>
        <v/>
      </c>
      <c r="BH1355" s="8" t="str">
        <f t="shared" si="213"/>
        <v/>
      </c>
      <c r="BI1355" s="8" t="str">
        <f t="shared" si="214"/>
        <v/>
      </c>
      <c r="BJ1355" s="9" t="str">
        <f t="shared" si="215"/>
        <v/>
      </c>
      <c r="BK1355" s="9" t="str">
        <f>IF($B1355="","",COUNTIFS($B$5:$B1355,$B1355,$BF$5:$BF1355,$BF1355))</f>
        <v/>
      </c>
      <c r="BL1355" s="9" t="str">
        <f>IF($B1355="","",COUNTIFS($B$5:$B1355,$B1355,$BH$5:$BH1355,$BH1355))</f>
        <v/>
      </c>
      <c r="BM1355" s="9" t="str">
        <f t="shared" si="216"/>
        <v/>
      </c>
      <c r="BN1355" s="9" t="str">
        <f t="shared" si="217"/>
        <v/>
      </c>
      <c r="BO1355" s="9">
        <f t="shared" si="218"/>
        <v>0</v>
      </c>
      <c r="BR1355" s="12" t="str">
        <f t="shared" si="219"/>
        <v/>
      </c>
    </row>
    <row r="1356" spans="1:70" ht="14.25" customHeight="1">
      <c r="A1356" s="26"/>
      <c r="C1356" s="26"/>
      <c r="D1356" s="27"/>
      <c r="E1356" s="27"/>
      <c r="BE1356" s="10" t="str">
        <f t="shared" si="210"/>
        <v/>
      </c>
      <c r="BF1356" s="8" t="str">
        <f t="shared" si="211"/>
        <v/>
      </c>
      <c r="BG1356" s="11" t="str">
        <f t="shared" si="212"/>
        <v/>
      </c>
      <c r="BH1356" s="8" t="str">
        <f t="shared" si="213"/>
        <v/>
      </c>
      <c r="BI1356" s="8" t="str">
        <f t="shared" si="214"/>
        <v/>
      </c>
      <c r="BJ1356" s="9" t="str">
        <f t="shared" si="215"/>
        <v/>
      </c>
      <c r="BK1356" s="9" t="str">
        <f>IF($B1356="","",COUNTIFS($B$5:$B1356,$B1356,$BF$5:$BF1356,$BF1356))</f>
        <v/>
      </c>
      <c r="BL1356" s="9" t="str">
        <f>IF($B1356="","",COUNTIFS($B$5:$B1356,$B1356,$BH$5:$BH1356,$BH1356))</f>
        <v/>
      </c>
      <c r="BM1356" s="9" t="str">
        <f t="shared" si="216"/>
        <v/>
      </c>
      <c r="BN1356" s="9" t="str">
        <f t="shared" si="217"/>
        <v/>
      </c>
      <c r="BO1356" s="9">
        <f t="shared" si="218"/>
        <v>0</v>
      </c>
      <c r="BR1356" s="12" t="str">
        <f t="shared" si="219"/>
        <v/>
      </c>
    </row>
    <row r="1357" spans="1:70" ht="14.25" customHeight="1">
      <c r="A1357" s="26"/>
      <c r="C1357" s="26"/>
      <c r="D1357" s="27"/>
      <c r="E1357" s="27"/>
      <c r="BE1357" s="10" t="str">
        <f t="shared" si="210"/>
        <v/>
      </c>
      <c r="BF1357" s="8" t="str">
        <f t="shared" si="211"/>
        <v/>
      </c>
      <c r="BG1357" s="11" t="str">
        <f t="shared" si="212"/>
        <v/>
      </c>
      <c r="BH1357" s="8" t="str">
        <f t="shared" si="213"/>
        <v/>
      </c>
      <c r="BI1357" s="8" t="str">
        <f t="shared" si="214"/>
        <v/>
      </c>
      <c r="BJ1357" s="9" t="str">
        <f t="shared" si="215"/>
        <v/>
      </c>
      <c r="BK1357" s="9" t="str">
        <f>IF($B1357="","",COUNTIFS($B$5:$B1357,$B1357,$BF$5:$BF1357,$BF1357))</f>
        <v/>
      </c>
      <c r="BL1357" s="9" t="str">
        <f>IF($B1357="","",COUNTIFS($B$5:$B1357,$B1357,$BH$5:$BH1357,$BH1357))</f>
        <v/>
      </c>
      <c r="BM1357" s="9" t="str">
        <f t="shared" si="216"/>
        <v/>
      </c>
      <c r="BN1357" s="9" t="str">
        <f t="shared" si="217"/>
        <v/>
      </c>
      <c r="BO1357" s="9">
        <f t="shared" si="218"/>
        <v>0</v>
      </c>
      <c r="BR1357" s="12" t="str">
        <f t="shared" si="219"/>
        <v/>
      </c>
    </row>
    <row r="1358" spans="1:70" ht="14.25" customHeight="1">
      <c r="A1358" s="26"/>
      <c r="C1358" s="26"/>
      <c r="D1358" s="27"/>
      <c r="E1358" s="27"/>
      <c r="BE1358" s="10" t="str">
        <f t="shared" si="210"/>
        <v/>
      </c>
      <c r="BF1358" s="8" t="str">
        <f t="shared" si="211"/>
        <v/>
      </c>
      <c r="BG1358" s="11" t="str">
        <f t="shared" si="212"/>
        <v/>
      </c>
      <c r="BH1358" s="8" t="str">
        <f t="shared" si="213"/>
        <v/>
      </c>
      <c r="BI1358" s="8" t="str">
        <f t="shared" si="214"/>
        <v/>
      </c>
      <c r="BJ1358" s="9" t="str">
        <f t="shared" si="215"/>
        <v/>
      </c>
      <c r="BK1358" s="9" t="str">
        <f>IF($B1358="","",COUNTIFS($B$5:$B1358,$B1358,$BF$5:$BF1358,$BF1358))</f>
        <v/>
      </c>
      <c r="BL1358" s="9" t="str">
        <f>IF($B1358="","",COUNTIFS($B$5:$B1358,$B1358,$BH$5:$BH1358,$BH1358))</f>
        <v/>
      </c>
      <c r="BM1358" s="9" t="str">
        <f t="shared" si="216"/>
        <v/>
      </c>
      <c r="BN1358" s="9" t="str">
        <f t="shared" si="217"/>
        <v/>
      </c>
      <c r="BO1358" s="9">
        <f t="shared" si="218"/>
        <v>0</v>
      </c>
      <c r="BR1358" s="12" t="str">
        <f t="shared" si="219"/>
        <v/>
      </c>
    </row>
    <row r="1359" spans="1:70" ht="14.25" customHeight="1">
      <c r="A1359" s="26"/>
      <c r="C1359" s="26"/>
      <c r="D1359" s="27"/>
      <c r="E1359" s="27"/>
      <c r="BE1359" s="10" t="str">
        <f t="shared" si="210"/>
        <v/>
      </c>
      <c r="BF1359" s="8" t="str">
        <f t="shared" si="211"/>
        <v/>
      </c>
      <c r="BG1359" s="11" t="str">
        <f t="shared" si="212"/>
        <v/>
      </c>
      <c r="BH1359" s="8" t="str">
        <f t="shared" si="213"/>
        <v/>
      </c>
      <c r="BI1359" s="8" t="str">
        <f t="shared" si="214"/>
        <v/>
      </c>
      <c r="BJ1359" s="9" t="str">
        <f t="shared" si="215"/>
        <v/>
      </c>
      <c r="BK1359" s="9" t="str">
        <f>IF($B1359="","",COUNTIFS($B$5:$B1359,$B1359,$BF$5:$BF1359,$BF1359))</f>
        <v/>
      </c>
      <c r="BL1359" s="9" t="str">
        <f>IF($B1359="","",COUNTIFS($B$5:$B1359,$B1359,$BH$5:$BH1359,$BH1359))</f>
        <v/>
      </c>
      <c r="BM1359" s="9" t="str">
        <f t="shared" si="216"/>
        <v/>
      </c>
      <c r="BN1359" s="9" t="str">
        <f t="shared" si="217"/>
        <v/>
      </c>
      <c r="BO1359" s="9">
        <f t="shared" si="218"/>
        <v>0</v>
      </c>
      <c r="BR1359" s="12" t="str">
        <f t="shared" si="219"/>
        <v/>
      </c>
    </row>
    <row r="1360" spans="1:70" ht="14.25" customHeight="1">
      <c r="A1360" s="26"/>
      <c r="C1360" s="26"/>
      <c r="D1360" s="27"/>
      <c r="E1360" s="27"/>
      <c r="BE1360" s="10" t="str">
        <f t="shared" si="210"/>
        <v/>
      </c>
      <c r="BF1360" s="8" t="str">
        <f t="shared" si="211"/>
        <v/>
      </c>
      <c r="BG1360" s="11" t="str">
        <f t="shared" si="212"/>
        <v/>
      </c>
      <c r="BH1360" s="8" t="str">
        <f t="shared" si="213"/>
        <v/>
      </c>
      <c r="BI1360" s="8" t="str">
        <f t="shared" si="214"/>
        <v/>
      </c>
      <c r="BJ1360" s="9" t="str">
        <f t="shared" si="215"/>
        <v/>
      </c>
      <c r="BK1360" s="9" t="str">
        <f>IF($B1360="","",COUNTIFS($B$5:$B1360,$B1360,$BF$5:$BF1360,$BF1360))</f>
        <v/>
      </c>
      <c r="BL1360" s="9" t="str">
        <f>IF($B1360="","",COUNTIFS($B$5:$B1360,$B1360,$BH$5:$BH1360,$BH1360))</f>
        <v/>
      </c>
      <c r="BM1360" s="9" t="str">
        <f t="shared" si="216"/>
        <v/>
      </c>
      <c r="BN1360" s="9" t="str">
        <f t="shared" si="217"/>
        <v/>
      </c>
      <c r="BO1360" s="9">
        <f t="shared" si="218"/>
        <v>0</v>
      </c>
      <c r="BR1360" s="12" t="str">
        <f t="shared" si="219"/>
        <v/>
      </c>
    </row>
    <row r="1361" spans="1:70" ht="14.25" customHeight="1">
      <c r="A1361" s="26"/>
      <c r="C1361" s="26"/>
      <c r="D1361" s="27"/>
      <c r="E1361" s="27"/>
      <c r="BE1361" s="10" t="str">
        <f t="shared" si="210"/>
        <v/>
      </c>
      <c r="BF1361" s="8" t="str">
        <f t="shared" si="211"/>
        <v/>
      </c>
      <c r="BG1361" s="11" t="str">
        <f t="shared" si="212"/>
        <v/>
      </c>
      <c r="BH1361" s="8" t="str">
        <f t="shared" si="213"/>
        <v/>
      </c>
      <c r="BI1361" s="8" t="str">
        <f t="shared" si="214"/>
        <v/>
      </c>
      <c r="BJ1361" s="9" t="str">
        <f t="shared" si="215"/>
        <v/>
      </c>
      <c r="BK1361" s="9" t="str">
        <f>IF($B1361="","",COUNTIFS($B$5:$B1361,$B1361,$BF$5:$BF1361,$BF1361))</f>
        <v/>
      </c>
      <c r="BL1361" s="9" t="str">
        <f>IF($B1361="","",COUNTIFS($B$5:$B1361,$B1361,$BH$5:$BH1361,$BH1361))</f>
        <v/>
      </c>
      <c r="BM1361" s="9" t="str">
        <f t="shared" si="216"/>
        <v/>
      </c>
      <c r="BN1361" s="9" t="str">
        <f t="shared" si="217"/>
        <v/>
      </c>
      <c r="BO1361" s="9">
        <f t="shared" si="218"/>
        <v>0</v>
      </c>
      <c r="BR1361" s="12" t="str">
        <f t="shared" si="219"/>
        <v/>
      </c>
    </row>
    <row r="1362" spans="1:70" ht="14.25" customHeight="1">
      <c r="A1362" s="26"/>
      <c r="C1362" s="26"/>
      <c r="D1362" s="27"/>
      <c r="E1362" s="27"/>
      <c r="BE1362" s="10" t="str">
        <f t="shared" si="210"/>
        <v/>
      </c>
      <c r="BF1362" s="8" t="str">
        <f t="shared" si="211"/>
        <v/>
      </c>
      <c r="BG1362" s="11" t="str">
        <f t="shared" si="212"/>
        <v/>
      </c>
      <c r="BH1362" s="8" t="str">
        <f t="shared" si="213"/>
        <v/>
      </c>
      <c r="BI1362" s="8" t="str">
        <f t="shared" si="214"/>
        <v/>
      </c>
      <c r="BJ1362" s="9" t="str">
        <f t="shared" si="215"/>
        <v/>
      </c>
      <c r="BK1362" s="9" t="str">
        <f>IF($B1362="","",COUNTIFS($B$5:$B1362,$B1362,$BF$5:$BF1362,$BF1362))</f>
        <v/>
      </c>
      <c r="BL1362" s="9" t="str">
        <f>IF($B1362="","",COUNTIFS($B$5:$B1362,$B1362,$BH$5:$BH1362,$BH1362))</f>
        <v/>
      </c>
      <c r="BM1362" s="9" t="str">
        <f t="shared" si="216"/>
        <v/>
      </c>
      <c r="BN1362" s="9" t="str">
        <f t="shared" si="217"/>
        <v/>
      </c>
      <c r="BO1362" s="9">
        <f t="shared" si="218"/>
        <v>0</v>
      </c>
      <c r="BR1362" s="12" t="str">
        <f t="shared" si="219"/>
        <v/>
      </c>
    </row>
    <row r="1363" spans="1:70" ht="14.25" customHeight="1">
      <c r="A1363" s="26"/>
      <c r="C1363" s="26"/>
      <c r="D1363" s="27"/>
      <c r="E1363" s="27"/>
      <c r="BE1363" s="10" t="str">
        <f t="shared" si="210"/>
        <v/>
      </c>
      <c r="BF1363" s="8" t="str">
        <f t="shared" si="211"/>
        <v/>
      </c>
      <c r="BG1363" s="11" t="str">
        <f t="shared" si="212"/>
        <v/>
      </c>
      <c r="BH1363" s="8" t="str">
        <f t="shared" si="213"/>
        <v/>
      </c>
      <c r="BI1363" s="8" t="str">
        <f t="shared" si="214"/>
        <v/>
      </c>
      <c r="BJ1363" s="9" t="str">
        <f t="shared" si="215"/>
        <v/>
      </c>
      <c r="BK1363" s="9" t="str">
        <f>IF($B1363="","",COUNTIFS($B$5:$B1363,$B1363,$BF$5:$BF1363,$BF1363))</f>
        <v/>
      </c>
      <c r="BL1363" s="9" t="str">
        <f>IF($B1363="","",COUNTIFS($B$5:$B1363,$B1363,$BH$5:$BH1363,$BH1363))</f>
        <v/>
      </c>
      <c r="BM1363" s="9" t="str">
        <f t="shared" si="216"/>
        <v/>
      </c>
      <c r="BN1363" s="9" t="str">
        <f t="shared" si="217"/>
        <v/>
      </c>
      <c r="BO1363" s="9">
        <f t="shared" si="218"/>
        <v>0</v>
      </c>
      <c r="BR1363" s="12" t="str">
        <f t="shared" si="219"/>
        <v/>
      </c>
    </row>
    <row r="1364" spans="1:70" ht="14.25" customHeight="1">
      <c r="A1364" s="26"/>
      <c r="C1364" s="26"/>
      <c r="D1364" s="27"/>
      <c r="E1364" s="27"/>
      <c r="BE1364" s="10" t="str">
        <f t="shared" si="210"/>
        <v/>
      </c>
      <c r="BF1364" s="8" t="str">
        <f t="shared" si="211"/>
        <v/>
      </c>
      <c r="BG1364" s="11" t="str">
        <f t="shared" si="212"/>
        <v/>
      </c>
      <c r="BH1364" s="8" t="str">
        <f t="shared" si="213"/>
        <v/>
      </c>
      <c r="BI1364" s="8" t="str">
        <f t="shared" si="214"/>
        <v/>
      </c>
      <c r="BJ1364" s="9" t="str">
        <f t="shared" si="215"/>
        <v/>
      </c>
      <c r="BK1364" s="9" t="str">
        <f>IF($B1364="","",COUNTIFS($B$5:$B1364,$B1364,$BF$5:$BF1364,$BF1364))</f>
        <v/>
      </c>
      <c r="BL1364" s="9" t="str">
        <f>IF($B1364="","",COUNTIFS($B$5:$B1364,$B1364,$BH$5:$BH1364,$BH1364))</f>
        <v/>
      </c>
      <c r="BM1364" s="9" t="str">
        <f t="shared" si="216"/>
        <v/>
      </c>
      <c r="BN1364" s="9" t="str">
        <f t="shared" si="217"/>
        <v/>
      </c>
      <c r="BO1364" s="9">
        <f t="shared" si="218"/>
        <v>0</v>
      </c>
      <c r="BR1364" s="12" t="str">
        <f t="shared" si="219"/>
        <v/>
      </c>
    </row>
    <row r="1365" spans="1:70" ht="14.25" customHeight="1">
      <c r="A1365" s="26"/>
      <c r="C1365" s="26"/>
      <c r="D1365" s="27"/>
      <c r="E1365" s="27"/>
      <c r="BE1365" s="10" t="str">
        <f t="shared" si="210"/>
        <v/>
      </c>
      <c r="BF1365" s="8" t="str">
        <f t="shared" si="211"/>
        <v/>
      </c>
      <c r="BG1365" s="11" t="str">
        <f t="shared" si="212"/>
        <v/>
      </c>
      <c r="BH1365" s="8" t="str">
        <f t="shared" si="213"/>
        <v/>
      </c>
      <c r="BI1365" s="8" t="str">
        <f t="shared" si="214"/>
        <v/>
      </c>
      <c r="BJ1365" s="9" t="str">
        <f t="shared" si="215"/>
        <v/>
      </c>
      <c r="BK1365" s="9" t="str">
        <f>IF($B1365="","",COUNTIFS($B$5:$B1365,$B1365,$BF$5:$BF1365,$BF1365))</f>
        <v/>
      </c>
      <c r="BL1365" s="9" t="str">
        <f>IF($B1365="","",COUNTIFS($B$5:$B1365,$B1365,$BH$5:$BH1365,$BH1365))</f>
        <v/>
      </c>
      <c r="BM1365" s="9" t="str">
        <f t="shared" si="216"/>
        <v/>
      </c>
      <c r="BN1365" s="9" t="str">
        <f t="shared" si="217"/>
        <v/>
      </c>
      <c r="BO1365" s="9">
        <f t="shared" si="218"/>
        <v>0</v>
      </c>
      <c r="BR1365" s="12" t="str">
        <f t="shared" si="219"/>
        <v/>
      </c>
    </row>
    <row r="1366" spans="1:70" ht="14.25" customHeight="1">
      <c r="A1366" s="26"/>
      <c r="C1366" s="26"/>
      <c r="D1366" s="27"/>
      <c r="E1366" s="27"/>
      <c r="BE1366" s="10" t="str">
        <f t="shared" si="210"/>
        <v/>
      </c>
      <c r="BF1366" s="8" t="str">
        <f t="shared" si="211"/>
        <v/>
      </c>
      <c r="BG1366" s="11" t="str">
        <f t="shared" si="212"/>
        <v/>
      </c>
      <c r="BH1366" s="8" t="str">
        <f t="shared" si="213"/>
        <v/>
      </c>
      <c r="BI1366" s="8" t="str">
        <f t="shared" si="214"/>
        <v/>
      </c>
      <c r="BJ1366" s="9" t="str">
        <f t="shared" si="215"/>
        <v/>
      </c>
      <c r="BK1366" s="9" t="str">
        <f>IF($B1366="","",COUNTIFS($B$5:$B1366,$B1366,$BF$5:$BF1366,$BF1366))</f>
        <v/>
      </c>
      <c r="BL1366" s="9" t="str">
        <f>IF($B1366="","",COUNTIFS($B$5:$B1366,$B1366,$BH$5:$BH1366,$BH1366))</f>
        <v/>
      </c>
      <c r="BM1366" s="9" t="str">
        <f t="shared" si="216"/>
        <v/>
      </c>
      <c r="BN1366" s="9" t="str">
        <f t="shared" si="217"/>
        <v/>
      </c>
      <c r="BO1366" s="9">
        <f t="shared" si="218"/>
        <v>0</v>
      </c>
      <c r="BR1366" s="12" t="str">
        <f t="shared" si="219"/>
        <v/>
      </c>
    </row>
    <row r="1367" spans="1:70" ht="14.25" customHeight="1">
      <c r="A1367" s="26"/>
      <c r="C1367" s="26"/>
      <c r="D1367" s="27"/>
      <c r="E1367" s="27"/>
      <c r="BE1367" s="10" t="str">
        <f t="shared" si="210"/>
        <v/>
      </c>
      <c r="BF1367" s="8" t="str">
        <f t="shared" si="211"/>
        <v/>
      </c>
      <c r="BG1367" s="11" t="str">
        <f t="shared" si="212"/>
        <v/>
      </c>
      <c r="BH1367" s="8" t="str">
        <f t="shared" si="213"/>
        <v/>
      </c>
      <c r="BI1367" s="8" t="str">
        <f t="shared" si="214"/>
        <v/>
      </c>
      <c r="BJ1367" s="9" t="str">
        <f t="shared" si="215"/>
        <v/>
      </c>
      <c r="BK1367" s="9" t="str">
        <f>IF($B1367="","",COUNTIFS($B$5:$B1367,$B1367,$BF$5:$BF1367,$BF1367))</f>
        <v/>
      </c>
      <c r="BL1367" s="9" t="str">
        <f>IF($B1367="","",COUNTIFS($B$5:$B1367,$B1367,$BH$5:$BH1367,$BH1367))</f>
        <v/>
      </c>
      <c r="BM1367" s="9" t="str">
        <f t="shared" si="216"/>
        <v/>
      </c>
      <c r="BN1367" s="9" t="str">
        <f t="shared" si="217"/>
        <v/>
      </c>
      <c r="BO1367" s="9">
        <f t="shared" si="218"/>
        <v>0</v>
      </c>
      <c r="BR1367" s="12" t="str">
        <f t="shared" si="219"/>
        <v/>
      </c>
    </row>
    <row r="1368" spans="1:70" ht="14.25" customHeight="1">
      <c r="A1368" s="26"/>
      <c r="C1368" s="26"/>
      <c r="D1368" s="27"/>
      <c r="E1368" s="27"/>
      <c r="BE1368" s="10" t="str">
        <f t="shared" si="210"/>
        <v/>
      </c>
      <c r="BF1368" s="8" t="str">
        <f t="shared" si="211"/>
        <v/>
      </c>
      <c r="BG1368" s="11" t="str">
        <f t="shared" si="212"/>
        <v/>
      </c>
      <c r="BH1368" s="8" t="str">
        <f t="shared" si="213"/>
        <v/>
      </c>
      <c r="BI1368" s="8" t="str">
        <f t="shared" si="214"/>
        <v/>
      </c>
      <c r="BJ1368" s="9" t="str">
        <f t="shared" si="215"/>
        <v/>
      </c>
      <c r="BK1368" s="9" t="str">
        <f>IF($B1368="","",COUNTIFS($B$5:$B1368,$B1368,$BF$5:$BF1368,$BF1368))</f>
        <v/>
      </c>
      <c r="BL1368" s="9" t="str">
        <f>IF($B1368="","",COUNTIFS($B$5:$B1368,$B1368,$BH$5:$BH1368,$BH1368))</f>
        <v/>
      </c>
      <c r="BM1368" s="9" t="str">
        <f t="shared" si="216"/>
        <v/>
      </c>
      <c r="BN1368" s="9" t="str">
        <f t="shared" si="217"/>
        <v/>
      </c>
      <c r="BO1368" s="9">
        <f t="shared" si="218"/>
        <v>0</v>
      </c>
      <c r="BR1368" s="12" t="str">
        <f t="shared" si="219"/>
        <v/>
      </c>
    </row>
    <row r="1369" spans="1:70" ht="14.25" customHeight="1">
      <c r="A1369" s="26"/>
      <c r="C1369" s="26"/>
      <c r="D1369" s="27"/>
      <c r="E1369" s="27"/>
      <c r="BE1369" s="10" t="str">
        <f t="shared" si="210"/>
        <v/>
      </c>
      <c r="BF1369" s="8" t="str">
        <f t="shared" si="211"/>
        <v/>
      </c>
      <c r="BG1369" s="11" t="str">
        <f t="shared" si="212"/>
        <v/>
      </c>
      <c r="BH1369" s="8" t="str">
        <f t="shared" si="213"/>
        <v/>
      </c>
      <c r="BI1369" s="8" t="str">
        <f t="shared" si="214"/>
        <v/>
      </c>
      <c r="BJ1369" s="9" t="str">
        <f t="shared" si="215"/>
        <v/>
      </c>
      <c r="BK1369" s="9" t="str">
        <f>IF($B1369="","",COUNTIFS($B$5:$B1369,$B1369,$BF$5:$BF1369,$BF1369))</f>
        <v/>
      </c>
      <c r="BL1369" s="9" t="str">
        <f>IF($B1369="","",COUNTIFS($B$5:$B1369,$B1369,$BH$5:$BH1369,$BH1369))</f>
        <v/>
      </c>
      <c r="BM1369" s="9" t="str">
        <f t="shared" si="216"/>
        <v/>
      </c>
      <c r="BN1369" s="9" t="str">
        <f t="shared" si="217"/>
        <v/>
      </c>
      <c r="BO1369" s="9">
        <f t="shared" si="218"/>
        <v>0</v>
      </c>
      <c r="BR1369" s="12" t="str">
        <f t="shared" si="219"/>
        <v/>
      </c>
    </row>
    <row r="1370" spans="1:70" ht="14.25" customHeight="1">
      <c r="A1370" s="26"/>
      <c r="C1370" s="26"/>
      <c r="D1370" s="27"/>
      <c r="E1370" s="27"/>
      <c r="BE1370" s="10" t="str">
        <f t="shared" si="210"/>
        <v/>
      </c>
      <c r="BF1370" s="8" t="str">
        <f t="shared" si="211"/>
        <v/>
      </c>
      <c r="BG1370" s="11" t="str">
        <f t="shared" si="212"/>
        <v/>
      </c>
      <c r="BH1370" s="8" t="str">
        <f t="shared" si="213"/>
        <v/>
      </c>
      <c r="BI1370" s="8" t="str">
        <f t="shared" si="214"/>
        <v/>
      </c>
      <c r="BJ1370" s="9" t="str">
        <f t="shared" si="215"/>
        <v/>
      </c>
      <c r="BK1370" s="9" t="str">
        <f>IF($B1370="","",COUNTIFS($B$5:$B1370,$B1370,$BF$5:$BF1370,$BF1370))</f>
        <v/>
      </c>
      <c r="BL1370" s="9" t="str">
        <f>IF($B1370="","",COUNTIFS($B$5:$B1370,$B1370,$BH$5:$BH1370,$BH1370))</f>
        <v/>
      </c>
      <c r="BM1370" s="9" t="str">
        <f t="shared" si="216"/>
        <v/>
      </c>
      <c r="BN1370" s="9" t="str">
        <f t="shared" si="217"/>
        <v/>
      </c>
      <c r="BO1370" s="9">
        <f t="shared" si="218"/>
        <v>0</v>
      </c>
      <c r="BR1370" s="12" t="str">
        <f t="shared" si="219"/>
        <v/>
      </c>
    </row>
    <row r="1371" spans="1:70" ht="14.25" customHeight="1">
      <c r="A1371" s="26"/>
      <c r="C1371" s="26"/>
      <c r="D1371" s="27"/>
      <c r="E1371" s="27"/>
      <c r="BE1371" s="10" t="str">
        <f t="shared" si="210"/>
        <v/>
      </c>
      <c r="BF1371" s="8" t="str">
        <f t="shared" si="211"/>
        <v/>
      </c>
      <c r="BG1371" s="11" t="str">
        <f t="shared" si="212"/>
        <v/>
      </c>
      <c r="BH1371" s="8" t="str">
        <f t="shared" si="213"/>
        <v/>
      </c>
      <c r="BI1371" s="8" t="str">
        <f t="shared" si="214"/>
        <v/>
      </c>
      <c r="BJ1371" s="9" t="str">
        <f t="shared" si="215"/>
        <v/>
      </c>
      <c r="BK1371" s="9" t="str">
        <f>IF($B1371="","",COUNTIFS($B$5:$B1371,$B1371,$BF$5:$BF1371,$BF1371))</f>
        <v/>
      </c>
      <c r="BL1371" s="9" t="str">
        <f>IF($B1371="","",COUNTIFS($B$5:$B1371,$B1371,$BH$5:$BH1371,$BH1371))</f>
        <v/>
      </c>
      <c r="BM1371" s="9" t="str">
        <f t="shared" si="216"/>
        <v/>
      </c>
      <c r="BN1371" s="9" t="str">
        <f t="shared" si="217"/>
        <v/>
      </c>
      <c r="BO1371" s="9">
        <f t="shared" si="218"/>
        <v>0</v>
      </c>
      <c r="BR1371" s="12" t="str">
        <f t="shared" si="219"/>
        <v/>
      </c>
    </row>
    <row r="1372" spans="1:70" ht="14.25" customHeight="1">
      <c r="A1372" s="26"/>
      <c r="C1372" s="26"/>
      <c r="D1372" s="27"/>
      <c r="E1372" s="27"/>
      <c r="BE1372" s="10" t="str">
        <f t="shared" si="210"/>
        <v/>
      </c>
      <c r="BF1372" s="8" t="str">
        <f t="shared" si="211"/>
        <v/>
      </c>
      <c r="BG1372" s="11" t="str">
        <f t="shared" si="212"/>
        <v/>
      </c>
      <c r="BH1372" s="8" t="str">
        <f t="shared" si="213"/>
        <v/>
      </c>
      <c r="BI1372" s="8" t="str">
        <f t="shared" si="214"/>
        <v/>
      </c>
      <c r="BJ1372" s="9" t="str">
        <f t="shared" si="215"/>
        <v/>
      </c>
      <c r="BK1372" s="9" t="str">
        <f>IF($B1372="","",COUNTIFS($B$5:$B1372,$B1372,$BF$5:$BF1372,$BF1372))</f>
        <v/>
      </c>
      <c r="BL1372" s="9" t="str">
        <f>IF($B1372="","",COUNTIFS($B$5:$B1372,$B1372,$BH$5:$BH1372,$BH1372))</f>
        <v/>
      </c>
      <c r="BM1372" s="9" t="str">
        <f t="shared" si="216"/>
        <v/>
      </c>
      <c r="BN1372" s="9" t="str">
        <f t="shared" si="217"/>
        <v/>
      </c>
      <c r="BO1372" s="9">
        <f t="shared" si="218"/>
        <v>0</v>
      </c>
      <c r="BR1372" s="12" t="str">
        <f t="shared" si="219"/>
        <v/>
      </c>
    </row>
    <row r="1373" spans="1:70" ht="14.25" customHeight="1">
      <c r="A1373" s="26"/>
      <c r="C1373" s="26"/>
      <c r="D1373" s="27"/>
      <c r="E1373" s="27"/>
      <c r="BE1373" s="10" t="str">
        <f t="shared" ref="BE1373:BE1436" si="220">IF($B1373="","",IF(COUNT($H1373,$J1373,$L1373,$N1373,$P1373,$R1373)&gt;0,SUM($H1373,$J1373,$L1373,$N1373,$P1373,$R1373),SUM($T1373,$V1373,$X1373,$Z1373,$AB1373,$AD1373,$AF1373,$AH1373,$AJ1373,$AL1373,$AN1373,$AP1373,$AR1373,$AT1373,$AV1373,$AX1373,$AZ1373)))</f>
        <v/>
      </c>
      <c r="BF1373" s="8" t="str">
        <f t="shared" ref="BF1373:BF1436" si="221">IF($C1373="","",DATE(YEAR($C1373),MONTH($C1373),1))</f>
        <v/>
      </c>
      <c r="BG1373" s="11" t="str">
        <f t="shared" ref="BG1373:BG1436" si="222">IF($BF1373="","",TEXT($BF1373,"mmmm yyyy"))</f>
        <v/>
      </c>
      <c r="BH1373" s="8" t="str">
        <f t="shared" ref="BH1373:BH1436" si="223">IF($C1373="","",$C1373-WEEKDAY($C1373,2)+1)</f>
        <v/>
      </c>
      <c r="BI1373" s="8" t="str">
        <f t="shared" ref="BI1373:BI1436" si="224">IF($BH1373="","",$BH1373+6)</f>
        <v/>
      </c>
      <c r="BJ1373" s="9" t="str">
        <f t="shared" ref="BJ1373:BJ1436" si="225">IF($BH1373="","",TEXT($BH1373,"dd/mm/yyyy")&amp;" - "&amp;TEXT($BI1373,"dd/mm/yyyy"))</f>
        <v/>
      </c>
      <c r="BK1373" s="9" t="str">
        <f>IF($B1373="","",COUNTIFS($B$5:$B1373,$B1373,$BF$5:$BF1373,$BF1373))</f>
        <v/>
      </c>
      <c r="BL1373" s="9" t="str">
        <f>IF($B1373="","",COUNTIFS($B$5:$B1373,$B1373,$BH$5:$BH1373,$BH1373))</f>
        <v/>
      </c>
      <c r="BM1373" s="9" t="str">
        <f t="shared" ref="BM1373:BM1436" si="226">IF($B1373="","",TEXT($BK1373,"00")&amp;"|"&amp;$B1373&amp;"|"&amp;TEXT($BF1373,"yyyymmdd"))</f>
        <v/>
      </c>
      <c r="BN1373" s="9" t="str">
        <f t="shared" ref="BN1373:BN1436" si="227">IF($B1373="","",TEXT($BL1373,"00")&amp;"|"&amp;$B1373&amp;"|"&amp;TEXT($BH1373,"yyyymmdd"))</f>
        <v/>
      </c>
      <c r="BO1373" s="9">
        <f t="shared" ref="BO1373:BO1436" si="228">IF(OR($BB1373="YES",$BB1373="Yes",$BB1373="Y",$BB1373=1),1,0)</f>
        <v>0</v>
      </c>
      <c r="BR1373" s="12" t="str">
        <f t="shared" ref="BR1373:BR1436" si="229">IF($C1373="","",IF($C1373&gt;=DATE(2026,6,1),"QA-2026-06",IF($C1373&gt;=DATE(2026,5,1),"May 2026+",IF($C1373&gt;=DATE(2026,4,1),"April 2026",IF($C1373&gt;=DATE(2026,3,1),"March 2026","Jan-Feb 2026")))))</f>
        <v/>
      </c>
    </row>
    <row r="1374" spans="1:70" ht="14.25" customHeight="1">
      <c r="A1374" s="26"/>
      <c r="C1374" s="26"/>
      <c r="D1374" s="27"/>
      <c r="E1374" s="27"/>
      <c r="BE1374" s="10" t="str">
        <f t="shared" si="220"/>
        <v/>
      </c>
      <c r="BF1374" s="8" t="str">
        <f t="shared" si="221"/>
        <v/>
      </c>
      <c r="BG1374" s="11" t="str">
        <f t="shared" si="222"/>
        <v/>
      </c>
      <c r="BH1374" s="8" t="str">
        <f t="shared" si="223"/>
        <v/>
      </c>
      <c r="BI1374" s="8" t="str">
        <f t="shared" si="224"/>
        <v/>
      </c>
      <c r="BJ1374" s="9" t="str">
        <f t="shared" si="225"/>
        <v/>
      </c>
      <c r="BK1374" s="9" t="str">
        <f>IF($B1374="","",COUNTIFS($B$5:$B1374,$B1374,$BF$5:$BF1374,$BF1374))</f>
        <v/>
      </c>
      <c r="BL1374" s="9" t="str">
        <f>IF($B1374="","",COUNTIFS($B$5:$B1374,$B1374,$BH$5:$BH1374,$BH1374))</f>
        <v/>
      </c>
      <c r="BM1374" s="9" t="str">
        <f t="shared" si="226"/>
        <v/>
      </c>
      <c r="BN1374" s="9" t="str">
        <f t="shared" si="227"/>
        <v/>
      </c>
      <c r="BO1374" s="9">
        <f t="shared" si="228"/>
        <v>0</v>
      </c>
      <c r="BR1374" s="12" t="str">
        <f t="shared" si="229"/>
        <v/>
      </c>
    </row>
    <row r="1375" spans="1:70" ht="14.25" customHeight="1">
      <c r="A1375" s="26"/>
      <c r="C1375" s="26"/>
      <c r="D1375" s="27"/>
      <c r="E1375" s="27"/>
      <c r="BE1375" s="10" t="str">
        <f t="shared" si="220"/>
        <v/>
      </c>
      <c r="BF1375" s="8" t="str">
        <f t="shared" si="221"/>
        <v/>
      </c>
      <c r="BG1375" s="11" t="str">
        <f t="shared" si="222"/>
        <v/>
      </c>
      <c r="BH1375" s="8" t="str">
        <f t="shared" si="223"/>
        <v/>
      </c>
      <c r="BI1375" s="8" t="str">
        <f t="shared" si="224"/>
        <v/>
      </c>
      <c r="BJ1375" s="9" t="str">
        <f t="shared" si="225"/>
        <v/>
      </c>
      <c r="BK1375" s="9" t="str">
        <f>IF($B1375="","",COUNTIFS($B$5:$B1375,$B1375,$BF$5:$BF1375,$BF1375))</f>
        <v/>
      </c>
      <c r="BL1375" s="9" t="str">
        <f>IF($B1375="","",COUNTIFS($B$5:$B1375,$B1375,$BH$5:$BH1375,$BH1375))</f>
        <v/>
      </c>
      <c r="BM1375" s="9" t="str">
        <f t="shared" si="226"/>
        <v/>
      </c>
      <c r="BN1375" s="9" t="str">
        <f t="shared" si="227"/>
        <v/>
      </c>
      <c r="BO1375" s="9">
        <f t="shared" si="228"/>
        <v>0</v>
      </c>
      <c r="BR1375" s="12" t="str">
        <f t="shared" si="229"/>
        <v/>
      </c>
    </row>
    <row r="1376" spans="1:70" ht="14.25" customHeight="1">
      <c r="A1376" s="26"/>
      <c r="C1376" s="26"/>
      <c r="D1376" s="27"/>
      <c r="E1376" s="27"/>
      <c r="BE1376" s="10" t="str">
        <f t="shared" si="220"/>
        <v/>
      </c>
      <c r="BF1376" s="8" t="str">
        <f t="shared" si="221"/>
        <v/>
      </c>
      <c r="BG1376" s="11" t="str">
        <f t="shared" si="222"/>
        <v/>
      </c>
      <c r="BH1376" s="8" t="str">
        <f t="shared" si="223"/>
        <v/>
      </c>
      <c r="BI1376" s="8" t="str">
        <f t="shared" si="224"/>
        <v/>
      </c>
      <c r="BJ1376" s="9" t="str">
        <f t="shared" si="225"/>
        <v/>
      </c>
      <c r="BK1376" s="9" t="str">
        <f>IF($B1376="","",COUNTIFS($B$5:$B1376,$B1376,$BF$5:$BF1376,$BF1376))</f>
        <v/>
      </c>
      <c r="BL1376" s="9" t="str">
        <f>IF($B1376="","",COUNTIFS($B$5:$B1376,$B1376,$BH$5:$BH1376,$BH1376))</f>
        <v/>
      </c>
      <c r="BM1376" s="9" t="str">
        <f t="shared" si="226"/>
        <v/>
      </c>
      <c r="BN1376" s="9" t="str">
        <f t="shared" si="227"/>
        <v/>
      </c>
      <c r="BO1376" s="9">
        <f t="shared" si="228"/>
        <v>0</v>
      </c>
      <c r="BR1376" s="12" t="str">
        <f t="shared" si="229"/>
        <v/>
      </c>
    </row>
    <row r="1377" spans="1:70" ht="14.25" customHeight="1">
      <c r="A1377" s="26"/>
      <c r="C1377" s="26"/>
      <c r="D1377" s="27"/>
      <c r="E1377" s="27"/>
      <c r="BE1377" s="10" t="str">
        <f t="shared" si="220"/>
        <v/>
      </c>
      <c r="BF1377" s="8" t="str">
        <f t="shared" si="221"/>
        <v/>
      </c>
      <c r="BG1377" s="11" t="str">
        <f t="shared" si="222"/>
        <v/>
      </c>
      <c r="BH1377" s="8" t="str">
        <f t="shared" si="223"/>
        <v/>
      </c>
      <c r="BI1377" s="8" t="str">
        <f t="shared" si="224"/>
        <v/>
      </c>
      <c r="BJ1377" s="9" t="str">
        <f t="shared" si="225"/>
        <v/>
      </c>
      <c r="BK1377" s="9" t="str">
        <f>IF($B1377="","",COUNTIFS($B$5:$B1377,$B1377,$BF$5:$BF1377,$BF1377))</f>
        <v/>
      </c>
      <c r="BL1377" s="9" t="str">
        <f>IF($B1377="","",COUNTIFS($B$5:$B1377,$B1377,$BH$5:$BH1377,$BH1377))</f>
        <v/>
      </c>
      <c r="BM1377" s="9" t="str">
        <f t="shared" si="226"/>
        <v/>
      </c>
      <c r="BN1377" s="9" t="str">
        <f t="shared" si="227"/>
        <v/>
      </c>
      <c r="BO1377" s="9">
        <f t="shared" si="228"/>
        <v>0</v>
      </c>
      <c r="BR1377" s="12" t="str">
        <f t="shared" si="229"/>
        <v/>
      </c>
    </row>
    <row r="1378" spans="1:70" ht="14.25" customHeight="1">
      <c r="A1378" s="26"/>
      <c r="C1378" s="26"/>
      <c r="D1378" s="27"/>
      <c r="E1378" s="27"/>
      <c r="BE1378" s="10" t="str">
        <f t="shared" si="220"/>
        <v/>
      </c>
      <c r="BF1378" s="8" t="str">
        <f t="shared" si="221"/>
        <v/>
      </c>
      <c r="BG1378" s="11" t="str">
        <f t="shared" si="222"/>
        <v/>
      </c>
      <c r="BH1378" s="8" t="str">
        <f t="shared" si="223"/>
        <v/>
      </c>
      <c r="BI1378" s="8" t="str">
        <f t="shared" si="224"/>
        <v/>
      </c>
      <c r="BJ1378" s="9" t="str">
        <f t="shared" si="225"/>
        <v/>
      </c>
      <c r="BK1378" s="9" t="str">
        <f>IF($B1378="","",COUNTIFS($B$5:$B1378,$B1378,$BF$5:$BF1378,$BF1378))</f>
        <v/>
      </c>
      <c r="BL1378" s="9" t="str">
        <f>IF($B1378="","",COUNTIFS($B$5:$B1378,$B1378,$BH$5:$BH1378,$BH1378))</f>
        <v/>
      </c>
      <c r="BM1378" s="9" t="str">
        <f t="shared" si="226"/>
        <v/>
      </c>
      <c r="BN1378" s="9" t="str">
        <f t="shared" si="227"/>
        <v/>
      </c>
      <c r="BO1378" s="9">
        <f t="shared" si="228"/>
        <v>0</v>
      </c>
      <c r="BR1378" s="12" t="str">
        <f t="shared" si="229"/>
        <v/>
      </c>
    </row>
    <row r="1379" spans="1:70" ht="14.25" customHeight="1">
      <c r="A1379" s="26"/>
      <c r="C1379" s="26"/>
      <c r="D1379" s="27"/>
      <c r="E1379" s="27"/>
      <c r="BE1379" s="10" t="str">
        <f t="shared" si="220"/>
        <v/>
      </c>
      <c r="BF1379" s="8" t="str">
        <f t="shared" si="221"/>
        <v/>
      </c>
      <c r="BG1379" s="11" t="str">
        <f t="shared" si="222"/>
        <v/>
      </c>
      <c r="BH1379" s="8" t="str">
        <f t="shared" si="223"/>
        <v/>
      </c>
      <c r="BI1379" s="8" t="str">
        <f t="shared" si="224"/>
        <v/>
      </c>
      <c r="BJ1379" s="9" t="str">
        <f t="shared" si="225"/>
        <v/>
      </c>
      <c r="BK1379" s="9" t="str">
        <f>IF($B1379="","",COUNTIFS($B$5:$B1379,$B1379,$BF$5:$BF1379,$BF1379))</f>
        <v/>
      </c>
      <c r="BL1379" s="9" t="str">
        <f>IF($B1379="","",COUNTIFS($B$5:$B1379,$B1379,$BH$5:$BH1379,$BH1379))</f>
        <v/>
      </c>
      <c r="BM1379" s="9" t="str">
        <f t="shared" si="226"/>
        <v/>
      </c>
      <c r="BN1379" s="9" t="str">
        <f t="shared" si="227"/>
        <v/>
      </c>
      <c r="BO1379" s="9">
        <f t="shared" si="228"/>
        <v>0</v>
      </c>
      <c r="BR1379" s="12" t="str">
        <f t="shared" si="229"/>
        <v/>
      </c>
    </row>
    <row r="1380" spans="1:70" ht="14.25" customHeight="1">
      <c r="A1380" s="26"/>
      <c r="C1380" s="26"/>
      <c r="D1380" s="27"/>
      <c r="E1380" s="27"/>
      <c r="BE1380" s="10" t="str">
        <f t="shared" si="220"/>
        <v/>
      </c>
      <c r="BF1380" s="8" t="str">
        <f t="shared" si="221"/>
        <v/>
      </c>
      <c r="BG1380" s="11" t="str">
        <f t="shared" si="222"/>
        <v/>
      </c>
      <c r="BH1380" s="8" t="str">
        <f t="shared" si="223"/>
        <v/>
      </c>
      <c r="BI1380" s="8" t="str">
        <f t="shared" si="224"/>
        <v/>
      </c>
      <c r="BJ1380" s="9" t="str">
        <f t="shared" si="225"/>
        <v/>
      </c>
      <c r="BK1380" s="9" t="str">
        <f>IF($B1380="","",COUNTIFS($B$5:$B1380,$B1380,$BF$5:$BF1380,$BF1380))</f>
        <v/>
      </c>
      <c r="BL1380" s="9" t="str">
        <f>IF($B1380="","",COUNTIFS($B$5:$B1380,$B1380,$BH$5:$BH1380,$BH1380))</f>
        <v/>
      </c>
      <c r="BM1380" s="9" t="str">
        <f t="shared" si="226"/>
        <v/>
      </c>
      <c r="BN1380" s="9" t="str">
        <f t="shared" si="227"/>
        <v/>
      </c>
      <c r="BO1380" s="9">
        <f t="shared" si="228"/>
        <v>0</v>
      </c>
      <c r="BR1380" s="12" t="str">
        <f t="shared" si="229"/>
        <v/>
      </c>
    </row>
    <row r="1381" spans="1:70" ht="14.25" customHeight="1">
      <c r="A1381" s="26"/>
      <c r="C1381" s="26"/>
      <c r="D1381" s="27"/>
      <c r="E1381" s="27"/>
      <c r="BE1381" s="10" t="str">
        <f t="shared" si="220"/>
        <v/>
      </c>
      <c r="BF1381" s="8" t="str">
        <f t="shared" si="221"/>
        <v/>
      </c>
      <c r="BG1381" s="11" t="str">
        <f t="shared" si="222"/>
        <v/>
      </c>
      <c r="BH1381" s="8" t="str">
        <f t="shared" si="223"/>
        <v/>
      </c>
      <c r="BI1381" s="8" t="str">
        <f t="shared" si="224"/>
        <v/>
      </c>
      <c r="BJ1381" s="9" t="str">
        <f t="shared" si="225"/>
        <v/>
      </c>
      <c r="BK1381" s="9" t="str">
        <f>IF($B1381="","",COUNTIFS($B$5:$B1381,$B1381,$BF$5:$BF1381,$BF1381))</f>
        <v/>
      </c>
      <c r="BL1381" s="9" t="str">
        <f>IF($B1381="","",COUNTIFS($B$5:$B1381,$B1381,$BH$5:$BH1381,$BH1381))</f>
        <v/>
      </c>
      <c r="BM1381" s="9" t="str">
        <f t="shared" si="226"/>
        <v/>
      </c>
      <c r="BN1381" s="9" t="str">
        <f t="shared" si="227"/>
        <v/>
      </c>
      <c r="BO1381" s="9">
        <f t="shared" si="228"/>
        <v>0</v>
      </c>
      <c r="BR1381" s="12" t="str">
        <f t="shared" si="229"/>
        <v/>
      </c>
    </row>
    <row r="1382" spans="1:70" ht="14.25" customHeight="1">
      <c r="A1382" s="26"/>
      <c r="C1382" s="26"/>
      <c r="D1382" s="27"/>
      <c r="E1382" s="27"/>
      <c r="BE1382" s="10" t="str">
        <f t="shared" si="220"/>
        <v/>
      </c>
      <c r="BF1382" s="8" t="str">
        <f t="shared" si="221"/>
        <v/>
      </c>
      <c r="BG1382" s="11" t="str">
        <f t="shared" si="222"/>
        <v/>
      </c>
      <c r="BH1382" s="8" t="str">
        <f t="shared" si="223"/>
        <v/>
      </c>
      <c r="BI1382" s="8" t="str">
        <f t="shared" si="224"/>
        <v/>
      </c>
      <c r="BJ1382" s="9" t="str">
        <f t="shared" si="225"/>
        <v/>
      </c>
      <c r="BK1382" s="9" t="str">
        <f>IF($B1382="","",COUNTIFS($B$5:$B1382,$B1382,$BF$5:$BF1382,$BF1382))</f>
        <v/>
      </c>
      <c r="BL1382" s="9" t="str">
        <f>IF($B1382="","",COUNTIFS($B$5:$B1382,$B1382,$BH$5:$BH1382,$BH1382))</f>
        <v/>
      </c>
      <c r="BM1382" s="9" t="str">
        <f t="shared" si="226"/>
        <v/>
      </c>
      <c r="BN1382" s="9" t="str">
        <f t="shared" si="227"/>
        <v/>
      </c>
      <c r="BO1382" s="9">
        <f t="shared" si="228"/>
        <v>0</v>
      </c>
      <c r="BR1382" s="12" t="str">
        <f t="shared" si="229"/>
        <v/>
      </c>
    </row>
    <row r="1383" spans="1:70" ht="14.25" customHeight="1">
      <c r="A1383" s="26"/>
      <c r="C1383" s="26"/>
      <c r="D1383" s="27"/>
      <c r="E1383" s="27"/>
      <c r="BE1383" s="10" t="str">
        <f t="shared" si="220"/>
        <v/>
      </c>
      <c r="BF1383" s="8" t="str">
        <f t="shared" si="221"/>
        <v/>
      </c>
      <c r="BG1383" s="11" t="str">
        <f t="shared" si="222"/>
        <v/>
      </c>
      <c r="BH1383" s="8" t="str">
        <f t="shared" si="223"/>
        <v/>
      </c>
      <c r="BI1383" s="8" t="str">
        <f t="shared" si="224"/>
        <v/>
      </c>
      <c r="BJ1383" s="9" t="str">
        <f t="shared" si="225"/>
        <v/>
      </c>
      <c r="BK1383" s="9" t="str">
        <f>IF($B1383="","",COUNTIFS($B$5:$B1383,$B1383,$BF$5:$BF1383,$BF1383))</f>
        <v/>
      </c>
      <c r="BL1383" s="9" t="str">
        <f>IF($B1383="","",COUNTIFS($B$5:$B1383,$B1383,$BH$5:$BH1383,$BH1383))</f>
        <v/>
      </c>
      <c r="BM1383" s="9" t="str">
        <f t="shared" si="226"/>
        <v/>
      </c>
      <c r="BN1383" s="9" t="str">
        <f t="shared" si="227"/>
        <v/>
      </c>
      <c r="BO1383" s="9">
        <f t="shared" si="228"/>
        <v>0</v>
      </c>
      <c r="BR1383" s="12" t="str">
        <f t="shared" si="229"/>
        <v/>
      </c>
    </row>
    <row r="1384" spans="1:70" ht="14.25" customHeight="1">
      <c r="A1384" s="26"/>
      <c r="C1384" s="26"/>
      <c r="D1384" s="27"/>
      <c r="E1384" s="27"/>
      <c r="BE1384" s="10" t="str">
        <f t="shared" si="220"/>
        <v/>
      </c>
      <c r="BF1384" s="8" t="str">
        <f t="shared" si="221"/>
        <v/>
      </c>
      <c r="BG1384" s="11" t="str">
        <f t="shared" si="222"/>
        <v/>
      </c>
      <c r="BH1384" s="8" t="str">
        <f t="shared" si="223"/>
        <v/>
      </c>
      <c r="BI1384" s="8" t="str">
        <f t="shared" si="224"/>
        <v/>
      </c>
      <c r="BJ1384" s="9" t="str">
        <f t="shared" si="225"/>
        <v/>
      </c>
      <c r="BK1384" s="9" t="str">
        <f>IF($B1384="","",COUNTIFS($B$5:$B1384,$B1384,$BF$5:$BF1384,$BF1384))</f>
        <v/>
      </c>
      <c r="BL1384" s="9" t="str">
        <f>IF($B1384="","",COUNTIFS($B$5:$B1384,$B1384,$BH$5:$BH1384,$BH1384))</f>
        <v/>
      </c>
      <c r="BM1384" s="9" t="str">
        <f t="shared" si="226"/>
        <v/>
      </c>
      <c r="BN1384" s="9" t="str">
        <f t="shared" si="227"/>
        <v/>
      </c>
      <c r="BO1384" s="9">
        <f t="shared" si="228"/>
        <v>0</v>
      </c>
      <c r="BR1384" s="12" t="str">
        <f t="shared" si="229"/>
        <v/>
      </c>
    </row>
    <row r="1385" spans="1:70" ht="14.25" customHeight="1">
      <c r="A1385" s="26"/>
      <c r="C1385" s="26"/>
      <c r="D1385" s="27"/>
      <c r="E1385" s="27"/>
      <c r="BE1385" s="10" t="str">
        <f t="shared" si="220"/>
        <v/>
      </c>
      <c r="BF1385" s="8" t="str">
        <f t="shared" si="221"/>
        <v/>
      </c>
      <c r="BG1385" s="11" t="str">
        <f t="shared" si="222"/>
        <v/>
      </c>
      <c r="BH1385" s="8" t="str">
        <f t="shared" si="223"/>
        <v/>
      </c>
      <c r="BI1385" s="8" t="str">
        <f t="shared" si="224"/>
        <v/>
      </c>
      <c r="BJ1385" s="9" t="str">
        <f t="shared" si="225"/>
        <v/>
      </c>
      <c r="BK1385" s="9" t="str">
        <f>IF($B1385="","",COUNTIFS($B$5:$B1385,$B1385,$BF$5:$BF1385,$BF1385))</f>
        <v/>
      </c>
      <c r="BL1385" s="9" t="str">
        <f>IF($B1385="","",COUNTIFS($B$5:$B1385,$B1385,$BH$5:$BH1385,$BH1385))</f>
        <v/>
      </c>
      <c r="BM1385" s="9" t="str">
        <f t="shared" si="226"/>
        <v/>
      </c>
      <c r="BN1385" s="9" t="str">
        <f t="shared" si="227"/>
        <v/>
      </c>
      <c r="BO1385" s="9">
        <f t="shared" si="228"/>
        <v>0</v>
      </c>
      <c r="BR1385" s="12" t="str">
        <f t="shared" si="229"/>
        <v/>
      </c>
    </row>
    <row r="1386" spans="1:70" ht="14.25" customHeight="1">
      <c r="A1386" s="26"/>
      <c r="C1386" s="26"/>
      <c r="D1386" s="27"/>
      <c r="E1386" s="27"/>
      <c r="BE1386" s="10" t="str">
        <f t="shared" si="220"/>
        <v/>
      </c>
      <c r="BF1386" s="8" t="str">
        <f t="shared" si="221"/>
        <v/>
      </c>
      <c r="BG1386" s="11" t="str">
        <f t="shared" si="222"/>
        <v/>
      </c>
      <c r="BH1386" s="8" t="str">
        <f t="shared" si="223"/>
        <v/>
      </c>
      <c r="BI1386" s="8" t="str">
        <f t="shared" si="224"/>
        <v/>
      </c>
      <c r="BJ1386" s="9" t="str">
        <f t="shared" si="225"/>
        <v/>
      </c>
      <c r="BK1386" s="9" t="str">
        <f>IF($B1386="","",COUNTIFS($B$5:$B1386,$B1386,$BF$5:$BF1386,$BF1386))</f>
        <v/>
      </c>
      <c r="BL1386" s="9" t="str">
        <f>IF($B1386="","",COUNTIFS($B$5:$B1386,$B1386,$BH$5:$BH1386,$BH1386))</f>
        <v/>
      </c>
      <c r="BM1386" s="9" t="str">
        <f t="shared" si="226"/>
        <v/>
      </c>
      <c r="BN1386" s="9" t="str">
        <f t="shared" si="227"/>
        <v/>
      </c>
      <c r="BO1386" s="9">
        <f t="shared" si="228"/>
        <v>0</v>
      </c>
      <c r="BR1386" s="12" t="str">
        <f t="shared" si="229"/>
        <v/>
      </c>
    </row>
    <row r="1387" spans="1:70" ht="14.25" customHeight="1">
      <c r="A1387" s="26"/>
      <c r="C1387" s="26"/>
      <c r="D1387" s="27"/>
      <c r="E1387" s="27"/>
      <c r="BE1387" s="10" t="str">
        <f t="shared" si="220"/>
        <v/>
      </c>
      <c r="BF1387" s="8" t="str">
        <f t="shared" si="221"/>
        <v/>
      </c>
      <c r="BG1387" s="11" t="str">
        <f t="shared" si="222"/>
        <v/>
      </c>
      <c r="BH1387" s="8" t="str">
        <f t="shared" si="223"/>
        <v/>
      </c>
      <c r="BI1387" s="8" t="str">
        <f t="shared" si="224"/>
        <v/>
      </c>
      <c r="BJ1387" s="9" t="str">
        <f t="shared" si="225"/>
        <v/>
      </c>
      <c r="BK1387" s="9" t="str">
        <f>IF($B1387="","",COUNTIFS($B$5:$B1387,$B1387,$BF$5:$BF1387,$BF1387))</f>
        <v/>
      </c>
      <c r="BL1387" s="9" t="str">
        <f>IF($B1387="","",COUNTIFS($B$5:$B1387,$B1387,$BH$5:$BH1387,$BH1387))</f>
        <v/>
      </c>
      <c r="BM1387" s="9" t="str">
        <f t="shared" si="226"/>
        <v/>
      </c>
      <c r="BN1387" s="9" t="str">
        <f t="shared" si="227"/>
        <v/>
      </c>
      <c r="BO1387" s="9">
        <f t="shared" si="228"/>
        <v>0</v>
      </c>
      <c r="BR1387" s="12" t="str">
        <f t="shared" si="229"/>
        <v/>
      </c>
    </row>
    <row r="1388" spans="1:70" ht="14.25" customHeight="1">
      <c r="A1388" s="26"/>
      <c r="C1388" s="26"/>
      <c r="D1388" s="27"/>
      <c r="E1388" s="27"/>
      <c r="BE1388" s="10" t="str">
        <f t="shared" si="220"/>
        <v/>
      </c>
      <c r="BF1388" s="8" t="str">
        <f t="shared" si="221"/>
        <v/>
      </c>
      <c r="BG1388" s="11" t="str">
        <f t="shared" si="222"/>
        <v/>
      </c>
      <c r="BH1388" s="8" t="str">
        <f t="shared" si="223"/>
        <v/>
      </c>
      <c r="BI1388" s="8" t="str">
        <f t="shared" si="224"/>
        <v/>
      </c>
      <c r="BJ1388" s="9" t="str">
        <f t="shared" si="225"/>
        <v/>
      </c>
      <c r="BK1388" s="9" t="str">
        <f>IF($B1388="","",COUNTIFS($B$5:$B1388,$B1388,$BF$5:$BF1388,$BF1388))</f>
        <v/>
      </c>
      <c r="BL1388" s="9" t="str">
        <f>IF($B1388="","",COUNTIFS($B$5:$B1388,$B1388,$BH$5:$BH1388,$BH1388))</f>
        <v/>
      </c>
      <c r="BM1388" s="9" t="str">
        <f t="shared" si="226"/>
        <v/>
      </c>
      <c r="BN1388" s="9" t="str">
        <f t="shared" si="227"/>
        <v/>
      </c>
      <c r="BO1388" s="9">
        <f t="shared" si="228"/>
        <v>0</v>
      </c>
      <c r="BR1388" s="12" t="str">
        <f t="shared" si="229"/>
        <v/>
      </c>
    </row>
    <row r="1389" spans="1:70" ht="14.25" customHeight="1">
      <c r="A1389" s="26"/>
      <c r="C1389" s="26"/>
      <c r="D1389" s="27"/>
      <c r="E1389" s="27"/>
      <c r="BE1389" s="10" t="str">
        <f t="shared" si="220"/>
        <v/>
      </c>
      <c r="BF1389" s="8" t="str">
        <f t="shared" si="221"/>
        <v/>
      </c>
      <c r="BG1389" s="11" t="str">
        <f t="shared" si="222"/>
        <v/>
      </c>
      <c r="BH1389" s="8" t="str">
        <f t="shared" si="223"/>
        <v/>
      </c>
      <c r="BI1389" s="8" t="str">
        <f t="shared" si="224"/>
        <v/>
      </c>
      <c r="BJ1389" s="9" t="str">
        <f t="shared" si="225"/>
        <v/>
      </c>
      <c r="BK1389" s="9" t="str">
        <f>IF($B1389="","",COUNTIFS($B$5:$B1389,$B1389,$BF$5:$BF1389,$BF1389))</f>
        <v/>
      </c>
      <c r="BL1389" s="9" t="str">
        <f>IF($B1389="","",COUNTIFS($B$5:$B1389,$B1389,$BH$5:$BH1389,$BH1389))</f>
        <v/>
      </c>
      <c r="BM1389" s="9" t="str">
        <f t="shared" si="226"/>
        <v/>
      </c>
      <c r="BN1389" s="9" t="str">
        <f t="shared" si="227"/>
        <v/>
      </c>
      <c r="BO1389" s="9">
        <f t="shared" si="228"/>
        <v>0</v>
      </c>
      <c r="BR1389" s="12" t="str">
        <f t="shared" si="229"/>
        <v/>
      </c>
    </row>
    <row r="1390" spans="1:70" ht="14.25" customHeight="1">
      <c r="A1390" s="26"/>
      <c r="C1390" s="26"/>
      <c r="D1390" s="27"/>
      <c r="E1390" s="27"/>
      <c r="BE1390" s="10" t="str">
        <f t="shared" si="220"/>
        <v/>
      </c>
      <c r="BF1390" s="8" t="str">
        <f t="shared" si="221"/>
        <v/>
      </c>
      <c r="BG1390" s="11" t="str">
        <f t="shared" si="222"/>
        <v/>
      </c>
      <c r="BH1390" s="8" t="str">
        <f t="shared" si="223"/>
        <v/>
      </c>
      <c r="BI1390" s="8" t="str">
        <f t="shared" si="224"/>
        <v/>
      </c>
      <c r="BJ1390" s="9" t="str">
        <f t="shared" si="225"/>
        <v/>
      </c>
      <c r="BK1390" s="9" t="str">
        <f>IF($B1390="","",COUNTIFS($B$5:$B1390,$B1390,$BF$5:$BF1390,$BF1390))</f>
        <v/>
      </c>
      <c r="BL1390" s="9" t="str">
        <f>IF($B1390="","",COUNTIFS($B$5:$B1390,$B1390,$BH$5:$BH1390,$BH1390))</f>
        <v/>
      </c>
      <c r="BM1390" s="9" t="str">
        <f t="shared" si="226"/>
        <v/>
      </c>
      <c r="BN1390" s="9" t="str">
        <f t="shared" si="227"/>
        <v/>
      </c>
      <c r="BO1390" s="9">
        <f t="shared" si="228"/>
        <v>0</v>
      </c>
      <c r="BR1390" s="12" t="str">
        <f t="shared" si="229"/>
        <v/>
      </c>
    </row>
    <row r="1391" spans="1:70" ht="14.25" customHeight="1">
      <c r="A1391" s="26"/>
      <c r="C1391" s="26"/>
      <c r="D1391" s="27"/>
      <c r="E1391" s="27"/>
      <c r="BE1391" s="10" t="str">
        <f t="shared" si="220"/>
        <v/>
      </c>
      <c r="BF1391" s="8" t="str">
        <f t="shared" si="221"/>
        <v/>
      </c>
      <c r="BG1391" s="11" t="str">
        <f t="shared" si="222"/>
        <v/>
      </c>
      <c r="BH1391" s="8" t="str">
        <f t="shared" si="223"/>
        <v/>
      </c>
      <c r="BI1391" s="8" t="str">
        <f t="shared" si="224"/>
        <v/>
      </c>
      <c r="BJ1391" s="9" t="str">
        <f t="shared" si="225"/>
        <v/>
      </c>
      <c r="BK1391" s="9" t="str">
        <f>IF($B1391="","",COUNTIFS($B$5:$B1391,$B1391,$BF$5:$BF1391,$BF1391))</f>
        <v/>
      </c>
      <c r="BL1391" s="9" t="str">
        <f>IF($B1391="","",COUNTIFS($B$5:$B1391,$B1391,$BH$5:$BH1391,$BH1391))</f>
        <v/>
      </c>
      <c r="BM1391" s="9" t="str">
        <f t="shared" si="226"/>
        <v/>
      </c>
      <c r="BN1391" s="9" t="str">
        <f t="shared" si="227"/>
        <v/>
      </c>
      <c r="BO1391" s="9">
        <f t="shared" si="228"/>
        <v>0</v>
      </c>
      <c r="BR1391" s="12" t="str">
        <f t="shared" si="229"/>
        <v/>
      </c>
    </row>
    <row r="1392" spans="1:70" ht="14.25" customHeight="1">
      <c r="A1392" s="26"/>
      <c r="C1392" s="26"/>
      <c r="D1392" s="27"/>
      <c r="E1392" s="27"/>
      <c r="BE1392" s="10" t="str">
        <f t="shared" si="220"/>
        <v/>
      </c>
      <c r="BF1392" s="8" t="str">
        <f t="shared" si="221"/>
        <v/>
      </c>
      <c r="BG1392" s="11" t="str">
        <f t="shared" si="222"/>
        <v/>
      </c>
      <c r="BH1392" s="8" t="str">
        <f t="shared" si="223"/>
        <v/>
      </c>
      <c r="BI1392" s="8" t="str">
        <f t="shared" si="224"/>
        <v/>
      </c>
      <c r="BJ1392" s="9" t="str">
        <f t="shared" si="225"/>
        <v/>
      </c>
      <c r="BK1392" s="9" t="str">
        <f>IF($B1392="","",COUNTIFS($B$5:$B1392,$B1392,$BF$5:$BF1392,$BF1392))</f>
        <v/>
      </c>
      <c r="BL1392" s="9" t="str">
        <f>IF($B1392="","",COUNTIFS($B$5:$B1392,$B1392,$BH$5:$BH1392,$BH1392))</f>
        <v/>
      </c>
      <c r="BM1392" s="9" t="str">
        <f t="shared" si="226"/>
        <v/>
      </c>
      <c r="BN1392" s="9" t="str">
        <f t="shared" si="227"/>
        <v/>
      </c>
      <c r="BO1392" s="9">
        <f t="shared" si="228"/>
        <v>0</v>
      </c>
      <c r="BR1392" s="12" t="str">
        <f t="shared" si="229"/>
        <v/>
      </c>
    </row>
    <row r="1393" spans="1:70" ht="14.25" customHeight="1">
      <c r="A1393" s="26"/>
      <c r="C1393" s="26"/>
      <c r="D1393" s="27"/>
      <c r="E1393" s="27"/>
      <c r="BE1393" s="10" t="str">
        <f t="shared" si="220"/>
        <v/>
      </c>
      <c r="BF1393" s="8" t="str">
        <f t="shared" si="221"/>
        <v/>
      </c>
      <c r="BG1393" s="11" t="str">
        <f t="shared" si="222"/>
        <v/>
      </c>
      <c r="BH1393" s="8" t="str">
        <f t="shared" si="223"/>
        <v/>
      </c>
      <c r="BI1393" s="8" t="str">
        <f t="shared" si="224"/>
        <v/>
      </c>
      <c r="BJ1393" s="9" t="str">
        <f t="shared" si="225"/>
        <v/>
      </c>
      <c r="BK1393" s="9" t="str">
        <f>IF($B1393="","",COUNTIFS($B$5:$B1393,$B1393,$BF$5:$BF1393,$BF1393))</f>
        <v/>
      </c>
      <c r="BL1393" s="9" t="str">
        <f>IF($B1393="","",COUNTIFS($B$5:$B1393,$B1393,$BH$5:$BH1393,$BH1393))</f>
        <v/>
      </c>
      <c r="BM1393" s="9" t="str">
        <f t="shared" si="226"/>
        <v/>
      </c>
      <c r="BN1393" s="9" t="str">
        <f t="shared" si="227"/>
        <v/>
      </c>
      <c r="BO1393" s="9">
        <f t="shared" si="228"/>
        <v>0</v>
      </c>
      <c r="BR1393" s="12" t="str">
        <f t="shared" si="229"/>
        <v/>
      </c>
    </row>
    <row r="1394" spans="1:70" ht="14.25" customHeight="1">
      <c r="A1394" s="26"/>
      <c r="C1394" s="26"/>
      <c r="D1394" s="27"/>
      <c r="E1394" s="27"/>
      <c r="BE1394" s="10" t="str">
        <f t="shared" si="220"/>
        <v/>
      </c>
      <c r="BF1394" s="8" t="str">
        <f t="shared" si="221"/>
        <v/>
      </c>
      <c r="BG1394" s="11" t="str">
        <f t="shared" si="222"/>
        <v/>
      </c>
      <c r="BH1394" s="8" t="str">
        <f t="shared" si="223"/>
        <v/>
      </c>
      <c r="BI1394" s="8" t="str">
        <f t="shared" si="224"/>
        <v/>
      </c>
      <c r="BJ1394" s="9" t="str">
        <f t="shared" si="225"/>
        <v/>
      </c>
      <c r="BK1394" s="9" t="str">
        <f>IF($B1394="","",COUNTIFS($B$5:$B1394,$B1394,$BF$5:$BF1394,$BF1394))</f>
        <v/>
      </c>
      <c r="BL1394" s="9" t="str">
        <f>IF($B1394="","",COUNTIFS($B$5:$B1394,$B1394,$BH$5:$BH1394,$BH1394))</f>
        <v/>
      </c>
      <c r="BM1394" s="9" t="str">
        <f t="shared" si="226"/>
        <v/>
      </c>
      <c r="BN1394" s="9" t="str">
        <f t="shared" si="227"/>
        <v/>
      </c>
      <c r="BO1394" s="9">
        <f t="shared" si="228"/>
        <v>0</v>
      </c>
      <c r="BR1394" s="12" t="str">
        <f t="shared" si="229"/>
        <v/>
      </c>
    </row>
    <row r="1395" spans="1:70" ht="14.25" customHeight="1">
      <c r="A1395" s="26"/>
      <c r="C1395" s="26"/>
      <c r="D1395" s="27"/>
      <c r="E1395" s="27"/>
      <c r="BE1395" s="10" t="str">
        <f t="shared" si="220"/>
        <v/>
      </c>
      <c r="BF1395" s="8" t="str">
        <f t="shared" si="221"/>
        <v/>
      </c>
      <c r="BG1395" s="11" t="str">
        <f t="shared" si="222"/>
        <v/>
      </c>
      <c r="BH1395" s="8" t="str">
        <f t="shared" si="223"/>
        <v/>
      </c>
      <c r="BI1395" s="8" t="str">
        <f t="shared" si="224"/>
        <v/>
      </c>
      <c r="BJ1395" s="9" t="str">
        <f t="shared" si="225"/>
        <v/>
      </c>
      <c r="BK1395" s="9" t="str">
        <f>IF($B1395="","",COUNTIFS($B$5:$B1395,$B1395,$BF$5:$BF1395,$BF1395))</f>
        <v/>
      </c>
      <c r="BL1395" s="9" t="str">
        <f>IF($B1395="","",COUNTIFS($B$5:$B1395,$B1395,$BH$5:$BH1395,$BH1395))</f>
        <v/>
      </c>
      <c r="BM1395" s="9" t="str">
        <f t="shared" si="226"/>
        <v/>
      </c>
      <c r="BN1395" s="9" t="str">
        <f t="shared" si="227"/>
        <v/>
      </c>
      <c r="BO1395" s="9">
        <f t="shared" si="228"/>
        <v>0</v>
      </c>
      <c r="BR1395" s="12" t="str">
        <f t="shared" si="229"/>
        <v/>
      </c>
    </row>
    <row r="1396" spans="1:70" ht="14.25" customHeight="1">
      <c r="A1396" s="26"/>
      <c r="C1396" s="26"/>
      <c r="D1396" s="27"/>
      <c r="E1396" s="27"/>
      <c r="BE1396" s="10" t="str">
        <f t="shared" si="220"/>
        <v/>
      </c>
      <c r="BF1396" s="8" t="str">
        <f t="shared" si="221"/>
        <v/>
      </c>
      <c r="BG1396" s="11" t="str">
        <f t="shared" si="222"/>
        <v/>
      </c>
      <c r="BH1396" s="8" t="str">
        <f t="shared" si="223"/>
        <v/>
      </c>
      <c r="BI1396" s="8" t="str">
        <f t="shared" si="224"/>
        <v/>
      </c>
      <c r="BJ1396" s="9" t="str">
        <f t="shared" si="225"/>
        <v/>
      </c>
      <c r="BK1396" s="9" t="str">
        <f>IF($B1396="","",COUNTIFS($B$5:$B1396,$B1396,$BF$5:$BF1396,$BF1396))</f>
        <v/>
      </c>
      <c r="BL1396" s="9" t="str">
        <f>IF($B1396="","",COUNTIFS($B$5:$B1396,$B1396,$BH$5:$BH1396,$BH1396))</f>
        <v/>
      </c>
      <c r="BM1396" s="9" t="str">
        <f t="shared" si="226"/>
        <v/>
      </c>
      <c r="BN1396" s="9" t="str">
        <f t="shared" si="227"/>
        <v/>
      </c>
      <c r="BO1396" s="9">
        <f t="shared" si="228"/>
        <v>0</v>
      </c>
      <c r="BR1396" s="12" t="str">
        <f t="shared" si="229"/>
        <v/>
      </c>
    </row>
    <row r="1397" spans="1:70" ht="14.25" customHeight="1">
      <c r="A1397" s="26"/>
      <c r="C1397" s="26"/>
      <c r="D1397" s="27"/>
      <c r="E1397" s="27"/>
      <c r="BE1397" s="10" t="str">
        <f t="shared" si="220"/>
        <v/>
      </c>
      <c r="BF1397" s="8" t="str">
        <f t="shared" si="221"/>
        <v/>
      </c>
      <c r="BG1397" s="11" t="str">
        <f t="shared" si="222"/>
        <v/>
      </c>
      <c r="BH1397" s="8" t="str">
        <f t="shared" si="223"/>
        <v/>
      </c>
      <c r="BI1397" s="8" t="str">
        <f t="shared" si="224"/>
        <v/>
      </c>
      <c r="BJ1397" s="9" t="str">
        <f t="shared" si="225"/>
        <v/>
      </c>
      <c r="BK1397" s="9" t="str">
        <f>IF($B1397="","",COUNTIFS($B$5:$B1397,$B1397,$BF$5:$BF1397,$BF1397))</f>
        <v/>
      </c>
      <c r="BL1397" s="9" t="str">
        <f>IF($B1397="","",COUNTIFS($B$5:$B1397,$B1397,$BH$5:$BH1397,$BH1397))</f>
        <v/>
      </c>
      <c r="BM1397" s="9" t="str">
        <f t="shared" si="226"/>
        <v/>
      </c>
      <c r="BN1397" s="9" t="str">
        <f t="shared" si="227"/>
        <v/>
      </c>
      <c r="BO1397" s="9">
        <f t="shared" si="228"/>
        <v>0</v>
      </c>
      <c r="BR1397" s="12" t="str">
        <f t="shared" si="229"/>
        <v/>
      </c>
    </row>
    <row r="1398" spans="1:70" ht="14.25" customHeight="1">
      <c r="A1398" s="26"/>
      <c r="C1398" s="26"/>
      <c r="D1398" s="27"/>
      <c r="E1398" s="27"/>
      <c r="BE1398" s="10" t="str">
        <f t="shared" si="220"/>
        <v/>
      </c>
      <c r="BF1398" s="8" t="str">
        <f t="shared" si="221"/>
        <v/>
      </c>
      <c r="BG1398" s="11" t="str">
        <f t="shared" si="222"/>
        <v/>
      </c>
      <c r="BH1398" s="8" t="str">
        <f t="shared" si="223"/>
        <v/>
      </c>
      <c r="BI1398" s="8" t="str">
        <f t="shared" si="224"/>
        <v/>
      </c>
      <c r="BJ1398" s="9" t="str">
        <f t="shared" si="225"/>
        <v/>
      </c>
      <c r="BK1398" s="9" t="str">
        <f>IF($B1398="","",COUNTIFS($B$5:$B1398,$B1398,$BF$5:$BF1398,$BF1398))</f>
        <v/>
      </c>
      <c r="BL1398" s="9" t="str">
        <f>IF($B1398="","",COUNTIFS($B$5:$B1398,$B1398,$BH$5:$BH1398,$BH1398))</f>
        <v/>
      </c>
      <c r="BM1398" s="9" t="str">
        <f t="shared" si="226"/>
        <v/>
      </c>
      <c r="BN1398" s="9" t="str">
        <f t="shared" si="227"/>
        <v/>
      </c>
      <c r="BO1398" s="9">
        <f t="shared" si="228"/>
        <v>0</v>
      </c>
      <c r="BR1398" s="12" t="str">
        <f t="shared" si="229"/>
        <v/>
      </c>
    </row>
    <row r="1399" spans="1:70" ht="14.25" customHeight="1">
      <c r="A1399" s="26"/>
      <c r="C1399" s="26"/>
      <c r="D1399" s="27"/>
      <c r="E1399" s="27"/>
      <c r="BE1399" s="10" t="str">
        <f t="shared" si="220"/>
        <v/>
      </c>
      <c r="BF1399" s="8" t="str">
        <f t="shared" si="221"/>
        <v/>
      </c>
      <c r="BG1399" s="11" t="str">
        <f t="shared" si="222"/>
        <v/>
      </c>
      <c r="BH1399" s="8" t="str">
        <f t="shared" si="223"/>
        <v/>
      </c>
      <c r="BI1399" s="8" t="str">
        <f t="shared" si="224"/>
        <v/>
      </c>
      <c r="BJ1399" s="9" t="str">
        <f t="shared" si="225"/>
        <v/>
      </c>
      <c r="BK1399" s="9" t="str">
        <f>IF($B1399="","",COUNTIFS($B$5:$B1399,$B1399,$BF$5:$BF1399,$BF1399))</f>
        <v/>
      </c>
      <c r="BL1399" s="9" t="str">
        <f>IF($B1399="","",COUNTIFS($B$5:$B1399,$B1399,$BH$5:$BH1399,$BH1399))</f>
        <v/>
      </c>
      <c r="BM1399" s="9" t="str">
        <f t="shared" si="226"/>
        <v/>
      </c>
      <c r="BN1399" s="9" t="str">
        <f t="shared" si="227"/>
        <v/>
      </c>
      <c r="BO1399" s="9">
        <f t="shared" si="228"/>
        <v>0</v>
      </c>
      <c r="BR1399" s="12" t="str">
        <f t="shared" si="229"/>
        <v/>
      </c>
    </row>
    <row r="1400" spans="1:70" ht="14.25" customHeight="1">
      <c r="A1400" s="26"/>
      <c r="C1400" s="26"/>
      <c r="D1400" s="27"/>
      <c r="E1400" s="27"/>
      <c r="BE1400" s="10" t="str">
        <f t="shared" si="220"/>
        <v/>
      </c>
      <c r="BF1400" s="8" t="str">
        <f t="shared" si="221"/>
        <v/>
      </c>
      <c r="BG1400" s="11" t="str">
        <f t="shared" si="222"/>
        <v/>
      </c>
      <c r="BH1400" s="8" t="str">
        <f t="shared" si="223"/>
        <v/>
      </c>
      <c r="BI1400" s="8" t="str">
        <f t="shared" si="224"/>
        <v/>
      </c>
      <c r="BJ1400" s="9" t="str">
        <f t="shared" si="225"/>
        <v/>
      </c>
      <c r="BK1400" s="9" t="str">
        <f>IF($B1400="","",COUNTIFS($B$5:$B1400,$B1400,$BF$5:$BF1400,$BF1400))</f>
        <v/>
      </c>
      <c r="BL1400" s="9" t="str">
        <f>IF($B1400="","",COUNTIFS($B$5:$B1400,$B1400,$BH$5:$BH1400,$BH1400))</f>
        <v/>
      </c>
      <c r="BM1400" s="9" t="str">
        <f t="shared" si="226"/>
        <v/>
      </c>
      <c r="BN1400" s="9" t="str">
        <f t="shared" si="227"/>
        <v/>
      </c>
      <c r="BO1400" s="9">
        <f t="shared" si="228"/>
        <v>0</v>
      </c>
      <c r="BR1400" s="12" t="str">
        <f t="shared" si="229"/>
        <v/>
      </c>
    </row>
    <row r="1401" spans="1:70" ht="14.25" customHeight="1">
      <c r="A1401" s="26"/>
      <c r="C1401" s="26"/>
      <c r="D1401" s="27"/>
      <c r="E1401" s="27"/>
      <c r="BE1401" s="10" t="str">
        <f t="shared" si="220"/>
        <v/>
      </c>
      <c r="BF1401" s="8" t="str">
        <f t="shared" si="221"/>
        <v/>
      </c>
      <c r="BG1401" s="11" t="str">
        <f t="shared" si="222"/>
        <v/>
      </c>
      <c r="BH1401" s="8" t="str">
        <f t="shared" si="223"/>
        <v/>
      </c>
      <c r="BI1401" s="8" t="str">
        <f t="shared" si="224"/>
        <v/>
      </c>
      <c r="BJ1401" s="9" t="str">
        <f t="shared" si="225"/>
        <v/>
      </c>
      <c r="BK1401" s="9" t="str">
        <f>IF($B1401="","",COUNTIFS($B$5:$B1401,$B1401,$BF$5:$BF1401,$BF1401))</f>
        <v/>
      </c>
      <c r="BL1401" s="9" t="str">
        <f>IF($B1401="","",COUNTIFS($B$5:$B1401,$B1401,$BH$5:$BH1401,$BH1401))</f>
        <v/>
      </c>
      <c r="BM1401" s="9" t="str">
        <f t="shared" si="226"/>
        <v/>
      </c>
      <c r="BN1401" s="9" t="str">
        <f t="shared" si="227"/>
        <v/>
      </c>
      <c r="BO1401" s="9">
        <f t="shared" si="228"/>
        <v>0</v>
      </c>
      <c r="BR1401" s="12" t="str">
        <f t="shared" si="229"/>
        <v/>
      </c>
    </row>
    <row r="1402" spans="1:70" ht="14.25" customHeight="1">
      <c r="A1402" s="26"/>
      <c r="C1402" s="26"/>
      <c r="D1402" s="27"/>
      <c r="E1402" s="27"/>
      <c r="BE1402" s="10" t="str">
        <f t="shared" si="220"/>
        <v/>
      </c>
      <c r="BF1402" s="8" t="str">
        <f t="shared" si="221"/>
        <v/>
      </c>
      <c r="BG1402" s="11" t="str">
        <f t="shared" si="222"/>
        <v/>
      </c>
      <c r="BH1402" s="8" t="str">
        <f t="shared" si="223"/>
        <v/>
      </c>
      <c r="BI1402" s="8" t="str">
        <f t="shared" si="224"/>
        <v/>
      </c>
      <c r="BJ1402" s="9" t="str">
        <f t="shared" si="225"/>
        <v/>
      </c>
      <c r="BK1402" s="9" t="str">
        <f>IF($B1402="","",COUNTIFS($B$5:$B1402,$B1402,$BF$5:$BF1402,$BF1402))</f>
        <v/>
      </c>
      <c r="BL1402" s="9" t="str">
        <f>IF($B1402="","",COUNTIFS($B$5:$B1402,$B1402,$BH$5:$BH1402,$BH1402))</f>
        <v/>
      </c>
      <c r="BM1402" s="9" t="str">
        <f t="shared" si="226"/>
        <v/>
      </c>
      <c r="BN1402" s="9" t="str">
        <f t="shared" si="227"/>
        <v/>
      </c>
      <c r="BO1402" s="9">
        <f t="shared" si="228"/>
        <v>0</v>
      </c>
      <c r="BR1402" s="12" t="str">
        <f t="shared" si="229"/>
        <v/>
      </c>
    </row>
    <row r="1403" spans="1:70" ht="14.25" customHeight="1">
      <c r="A1403" s="26"/>
      <c r="C1403" s="26"/>
      <c r="D1403" s="27"/>
      <c r="E1403" s="27"/>
      <c r="BE1403" s="10" t="str">
        <f t="shared" si="220"/>
        <v/>
      </c>
      <c r="BF1403" s="8" t="str">
        <f t="shared" si="221"/>
        <v/>
      </c>
      <c r="BG1403" s="11" t="str">
        <f t="shared" si="222"/>
        <v/>
      </c>
      <c r="BH1403" s="8" t="str">
        <f t="shared" si="223"/>
        <v/>
      </c>
      <c r="BI1403" s="8" t="str">
        <f t="shared" si="224"/>
        <v/>
      </c>
      <c r="BJ1403" s="9" t="str">
        <f t="shared" si="225"/>
        <v/>
      </c>
      <c r="BK1403" s="9" t="str">
        <f>IF($B1403="","",COUNTIFS($B$5:$B1403,$B1403,$BF$5:$BF1403,$BF1403))</f>
        <v/>
      </c>
      <c r="BL1403" s="9" t="str">
        <f>IF($B1403="","",COUNTIFS($B$5:$B1403,$B1403,$BH$5:$BH1403,$BH1403))</f>
        <v/>
      </c>
      <c r="BM1403" s="9" t="str">
        <f t="shared" si="226"/>
        <v/>
      </c>
      <c r="BN1403" s="9" t="str">
        <f t="shared" si="227"/>
        <v/>
      </c>
      <c r="BO1403" s="9">
        <f t="shared" si="228"/>
        <v>0</v>
      </c>
      <c r="BR1403" s="12" t="str">
        <f t="shared" si="229"/>
        <v/>
      </c>
    </row>
    <row r="1404" spans="1:70" ht="14.25" customHeight="1">
      <c r="A1404" s="26"/>
      <c r="C1404" s="26"/>
      <c r="D1404" s="27"/>
      <c r="E1404" s="27"/>
      <c r="BE1404" s="10" t="str">
        <f t="shared" si="220"/>
        <v/>
      </c>
      <c r="BF1404" s="8" t="str">
        <f t="shared" si="221"/>
        <v/>
      </c>
      <c r="BG1404" s="11" t="str">
        <f t="shared" si="222"/>
        <v/>
      </c>
      <c r="BH1404" s="8" t="str">
        <f t="shared" si="223"/>
        <v/>
      </c>
      <c r="BI1404" s="8" t="str">
        <f t="shared" si="224"/>
        <v/>
      </c>
      <c r="BJ1404" s="9" t="str">
        <f t="shared" si="225"/>
        <v/>
      </c>
      <c r="BK1404" s="9" t="str">
        <f>IF($B1404="","",COUNTIFS($B$5:$B1404,$B1404,$BF$5:$BF1404,$BF1404))</f>
        <v/>
      </c>
      <c r="BL1404" s="9" t="str">
        <f>IF($B1404="","",COUNTIFS($B$5:$B1404,$B1404,$BH$5:$BH1404,$BH1404))</f>
        <v/>
      </c>
      <c r="BM1404" s="9" t="str">
        <f t="shared" si="226"/>
        <v/>
      </c>
      <c r="BN1404" s="9" t="str">
        <f t="shared" si="227"/>
        <v/>
      </c>
      <c r="BO1404" s="9">
        <f t="shared" si="228"/>
        <v>0</v>
      </c>
      <c r="BR1404" s="12" t="str">
        <f t="shared" si="229"/>
        <v/>
      </c>
    </row>
    <row r="1405" spans="1:70" ht="14.25" customHeight="1">
      <c r="A1405" s="26"/>
      <c r="C1405" s="26"/>
      <c r="D1405" s="27"/>
      <c r="E1405" s="27"/>
      <c r="BE1405" s="10" t="str">
        <f t="shared" si="220"/>
        <v/>
      </c>
      <c r="BF1405" s="8" t="str">
        <f t="shared" si="221"/>
        <v/>
      </c>
      <c r="BG1405" s="11" t="str">
        <f t="shared" si="222"/>
        <v/>
      </c>
      <c r="BH1405" s="8" t="str">
        <f t="shared" si="223"/>
        <v/>
      </c>
      <c r="BI1405" s="8" t="str">
        <f t="shared" si="224"/>
        <v/>
      </c>
      <c r="BJ1405" s="9" t="str">
        <f t="shared" si="225"/>
        <v/>
      </c>
      <c r="BK1405" s="9" t="str">
        <f>IF($B1405="","",COUNTIFS($B$5:$B1405,$B1405,$BF$5:$BF1405,$BF1405))</f>
        <v/>
      </c>
      <c r="BL1405" s="9" t="str">
        <f>IF($B1405="","",COUNTIFS($B$5:$B1405,$B1405,$BH$5:$BH1405,$BH1405))</f>
        <v/>
      </c>
      <c r="BM1405" s="9" t="str">
        <f t="shared" si="226"/>
        <v/>
      </c>
      <c r="BN1405" s="9" t="str">
        <f t="shared" si="227"/>
        <v/>
      </c>
      <c r="BO1405" s="9">
        <f t="shared" si="228"/>
        <v>0</v>
      </c>
      <c r="BR1405" s="12" t="str">
        <f t="shared" si="229"/>
        <v/>
      </c>
    </row>
    <row r="1406" spans="1:70" ht="14.25" customHeight="1">
      <c r="A1406" s="26"/>
      <c r="C1406" s="26"/>
      <c r="D1406" s="27"/>
      <c r="E1406" s="27"/>
      <c r="BE1406" s="10" t="str">
        <f t="shared" si="220"/>
        <v/>
      </c>
      <c r="BF1406" s="8" t="str">
        <f t="shared" si="221"/>
        <v/>
      </c>
      <c r="BG1406" s="11" t="str">
        <f t="shared" si="222"/>
        <v/>
      </c>
      <c r="BH1406" s="8" t="str">
        <f t="shared" si="223"/>
        <v/>
      </c>
      <c r="BI1406" s="8" t="str">
        <f t="shared" si="224"/>
        <v/>
      </c>
      <c r="BJ1406" s="9" t="str">
        <f t="shared" si="225"/>
        <v/>
      </c>
      <c r="BK1406" s="9" t="str">
        <f>IF($B1406="","",COUNTIFS($B$5:$B1406,$B1406,$BF$5:$BF1406,$BF1406))</f>
        <v/>
      </c>
      <c r="BL1406" s="9" t="str">
        <f>IF($B1406="","",COUNTIFS($B$5:$B1406,$B1406,$BH$5:$BH1406,$BH1406))</f>
        <v/>
      </c>
      <c r="BM1406" s="9" t="str">
        <f t="shared" si="226"/>
        <v/>
      </c>
      <c r="BN1406" s="9" t="str">
        <f t="shared" si="227"/>
        <v/>
      </c>
      <c r="BO1406" s="9">
        <f t="shared" si="228"/>
        <v>0</v>
      </c>
      <c r="BR1406" s="12" t="str">
        <f t="shared" si="229"/>
        <v/>
      </c>
    </row>
    <row r="1407" spans="1:70" ht="14.25" customHeight="1">
      <c r="A1407" s="26"/>
      <c r="C1407" s="26"/>
      <c r="D1407" s="27"/>
      <c r="E1407" s="27"/>
      <c r="BE1407" s="10" t="str">
        <f t="shared" si="220"/>
        <v/>
      </c>
      <c r="BF1407" s="8" t="str">
        <f t="shared" si="221"/>
        <v/>
      </c>
      <c r="BG1407" s="11" t="str">
        <f t="shared" si="222"/>
        <v/>
      </c>
      <c r="BH1407" s="8" t="str">
        <f t="shared" si="223"/>
        <v/>
      </c>
      <c r="BI1407" s="8" t="str">
        <f t="shared" si="224"/>
        <v/>
      </c>
      <c r="BJ1407" s="9" t="str">
        <f t="shared" si="225"/>
        <v/>
      </c>
      <c r="BK1407" s="9" t="str">
        <f>IF($B1407="","",COUNTIFS($B$5:$B1407,$B1407,$BF$5:$BF1407,$BF1407))</f>
        <v/>
      </c>
      <c r="BL1407" s="9" t="str">
        <f>IF($B1407="","",COUNTIFS($B$5:$B1407,$B1407,$BH$5:$BH1407,$BH1407))</f>
        <v/>
      </c>
      <c r="BM1407" s="9" t="str">
        <f t="shared" si="226"/>
        <v/>
      </c>
      <c r="BN1407" s="9" t="str">
        <f t="shared" si="227"/>
        <v/>
      </c>
      <c r="BO1407" s="9">
        <f t="shared" si="228"/>
        <v>0</v>
      </c>
      <c r="BR1407" s="12" t="str">
        <f t="shared" si="229"/>
        <v/>
      </c>
    </row>
    <row r="1408" spans="1:70" ht="14.25" customHeight="1">
      <c r="A1408" s="26"/>
      <c r="C1408" s="26"/>
      <c r="D1408" s="27"/>
      <c r="E1408" s="27"/>
      <c r="BE1408" s="10" t="str">
        <f t="shared" si="220"/>
        <v/>
      </c>
      <c r="BF1408" s="8" t="str">
        <f t="shared" si="221"/>
        <v/>
      </c>
      <c r="BG1408" s="11" t="str">
        <f t="shared" si="222"/>
        <v/>
      </c>
      <c r="BH1408" s="8" t="str">
        <f t="shared" si="223"/>
        <v/>
      </c>
      <c r="BI1408" s="8" t="str">
        <f t="shared" si="224"/>
        <v/>
      </c>
      <c r="BJ1408" s="9" t="str">
        <f t="shared" si="225"/>
        <v/>
      </c>
      <c r="BK1408" s="9" t="str">
        <f>IF($B1408="","",COUNTIFS($B$5:$B1408,$B1408,$BF$5:$BF1408,$BF1408))</f>
        <v/>
      </c>
      <c r="BL1408" s="9" t="str">
        <f>IF($B1408="","",COUNTIFS($B$5:$B1408,$B1408,$BH$5:$BH1408,$BH1408))</f>
        <v/>
      </c>
      <c r="BM1408" s="9" t="str">
        <f t="shared" si="226"/>
        <v/>
      </c>
      <c r="BN1408" s="9" t="str">
        <f t="shared" si="227"/>
        <v/>
      </c>
      <c r="BO1408" s="9">
        <f t="shared" si="228"/>
        <v>0</v>
      </c>
      <c r="BR1408" s="12" t="str">
        <f t="shared" si="229"/>
        <v/>
      </c>
    </row>
    <row r="1409" spans="1:70" ht="14.25" customHeight="1">
      <c r="A1409" s="26"/>
      <c r="C1409" s="26"/>
      <c r="D1409" s="27"/>
      <c r="E1409" s="27"/>
      <c r="BE1409" s="10" t="str">
        <f t="shared" si="220"/>
        <v/>
      </c>
      <c r="BF1409" s="8" t="str">
        <f t="shared" si="221"/>
        <v/>
      </c>
      <c r="BG1409" s="11" t="str">
        <f t="shared" si="222"/>
        <v/>
      </c>
      <c r="BH1409" s="8" t="str">
        <f t="shared" si="223"/>
        <v/>
      </c>
      <c r="BI1409" s="8" t="str">
        <f t="shared" si="224"/>
        <v/>
      </c>
      <c r="BJ1409" s="9" t="str">
        <f t="shared" si="225"/>
        <v/>
      </c>
      <c r="BK1409" s="9" t="str">
        <f>IF($B1409="","",COUNTIFS($B$5:$B1409,$B1409,$BF$5:$BF1409,$BF1409))</f>
        <v/>
      </c>
      <c r="BL1409" s="9" t="str">
        <f>IF($B1409="","",COUNTIFS($B$5:$B1409,$B1409,$BH$5:$BH1409,$BH1409))</f>
        <v/>
      </c>
      <c r="BM1409" s="9" t="str">
        <f t="shared" si="226"/>
        <v/>
      </c>
      <c r="BN1409" s="9" t="str">
        <f t="shared" si="227"/>
        <v/>
      </c>
      <c r="BO1409" s="9">
        <f t="shared" si="228"/>
        <v>0</v>
      </c>
      <c r="BR1409" s="12" t="str">
        <f t="shared" si="229"/>
        <v/>
      </c>
    </row>
    <row r="1410" spans="1:70" ht="14.25" customHeight="1">
      <c r="A1410" s="26"/>
      <c r="C1410" s="26"/>
      <c r="D1410" s="27"/>
      <c r="E1410" s="27"/>
      <c r="BE1410" s="10" t="str">
        <f t="shared" si="220"/>
        <v/>
      </c>
      <c r="BF1410" s="8" t="str">
        <f t="shared" si="221"/>
        <v/>
      </c>
      <c r="BG1410" s="11" t="str">
        <f t="shared" si="222"/>
        <v/>
      </c>
      <c r="BH1410" s="8" t="str">
        <f t="shared" si="223"/>
        <v/>
      </c>
      <c r="BI1410" s="8" t="str">
        <f t="shared" si="224"/>
        <v/>
      </c>
      <c r="BJ1410" s="9" t="str">
        <f t="shared" si="225"/>
        <v/>
      </c>
      <c r="BK1410" s="9" t="str">
        <f>IF($B1410="","",COUNTIFS($B$5:$B1410,$B1410,$BF$5:$BF1410,$BF1410))</f>
        <v/>
      </c>
      <c r="BL1410" s="9" t="str">
        <f>IF($B1410="","",COUNTIFS($B$5:$B1410,$B1410,$BH$5:$BH1410,$BH1410))</f>
        <v/>
      </c>
      <c r="BM1410" s="9" t="str">
        <f t="shared" si="226"/>
        <v/>
      </c>
      <c r="BN1410" s="9" t="str">
        <f t="shared" si="227"/>
        <v/>
      </c>
      <c r="BO1410" s="9">
        <f t="shared" si="228"/>
        <v>0</v>
      </c>
      <c r="BR1410" s="12" t="str">
        <f t="shared" si="229"/>
        <v/>
      </c>
    </row>
    <row r="1411" spans="1:70" ht="14.25" customHeight="1">
      <c r="A1411" s="26"/>
      <c r="C1411" s="26"/>
      <c r="D1411" s="27"/>
      <c r="E1411" s="27"/>
      <c r="BE1411" s="10" t="str">
        <f t="shared" si="220"/>
        <v/>
      </c>
      <c r="BF1411" s="8" t="str">
        <f t="shared" si="221"/>
        <v/>
      </c>
      <c r="BG1411" s="11" t="str">
        <f t="shared" si="222"/>
        <v/>
      </c>
      <c r="BH1411" s="8" t="str">
        <f t="shared" si="223"/>
        <v/>
      </c>
      <c r="BI1411" s="8" t="str">
        <f t="shared" si="224"/>
        <v/>
      </c>
      <c r="BJ1411" s="9" t="str">
        <f t="shared" si="225"/>
        <v/>
      </c>
      <c r="BK1411" s="9" t="str">
        <f>IF($B1411="","",COUNTIFS($B$5:$B1411,$B1411,$BF$5:$BF1411,$BF1411))</f>
        <v/>
      </c>
      <c r="BL1411" s="9" t="str">
        <f>IF($B1411="","",COUNTIFS($B$5:$B1411,$B1411,$BH$5:$BH1411,$BH1411))</f>
        <v/>
      </c>
      <c r="BM1411" s="9" t="str">
        <f t="shared" si="226"/>
        <v/>
      </c>
      <c r="BN1411" s="9" t="str">
        <f t="shared" si="227"/>
        <v/>
      </c>
      <c r="BO1411" s="9">
        <f t="shared" si="228"/>
        <v>0</v>
      </c>
      <c r="BR1411" s="12" t="str">
        <f t="shared" si="229"/>
        <v/>
      </c>
    </row>
    <row r="1412" spans="1:70" ht="14.25" customHeight="1">
      <c r="A1412" s="26"/>
      <c r="C1412" s="26"/>
      <c r="D1412" s="27"/>
      <c r="E1412" s="27"/>
      <c r="BE1412" s="10" t="str">
        <f t="shared" si="220"/>
        <v/>
      </c>
      <c r="BF1412" s="8" t="str">
        <f t="shared" si="221"/>
        <v/>
      </c>
      <c r="BG1412" s="11" t="str">
        <f t="shared" si="222"/>
        <v/>
      </c>
      <c r="BH1412" s="8" t="str">
        <f t="shared" si="223"/>
        <v/>
      </c>
      <c r="BI1412" s="8" t="str">
        <f t="shared" si="224"/>
        <v/>
      </c>
      <c r="BJ1412" s="9" t="str">
        <f t="shared" si="225"/>
        <v/>
      </c>
      <c r="BK1412" s="9" t="str">
        <f>IF($B1412="","",COUNTIFS($B$5:$B1412,$B1412,$BF$5:$BF1412,$BF1412))</f>
        <v/>
      </c>
      <c r="BL1412" s="9" t="str">
        <f>IF($B1412="","",COUNTIFS($B$5:$B1412,$B1412,$BH$5:$BH1412,$BH1412))</f>
        <v/>
      </c>
      <c r="BM1412" s="9" t="str">
        <f t="shared" si="226"/>
        <v/>
      </c>
      <c r="BN1412" s="9" t="str">
        <f t="shared" si="227"/>
        <v/>
      </c>
      <c r="BO1412" s="9">
        <f t="shared" si="228"/>
        <v>0</v>
      </c>
      <c r="BR1412" s="12" t="str">
        <f t="shared" si="229"/>
        <v/>
      </c>
    </row>
    <row r="1413" spans="1:70" ht="14.25" customHeight="1">
      <c r="A1413" s="26"/>
      <c r="C1413" s="26"/>
      <c r="D1413" s="27"/>
      <c r="E1413" s="27"/>
      <c r="BE1413" s="10" t="str">
        <f t="shared" si="220"/>
        <v/>
      </c>
      <c r="BF1413" s="8" t="str">
        <f t="shared" si="221"/>
        <v/>
      </c>
      <c r="BG1413" s="11" t="str">
        <f t="shared" si="222"/>
        <v/>
      </c>
      <c r="BH1413" s="8" t="str">
        <f t="shared" si="223"/>
        <v/>
      </c>
      <c r="BI1413" s="8" t="str">
        <f t="shared" si="224"/>
        <v/>
      </c>
      <c r="BJ1413" s="9" t="str">
        <f t="shared" si="225"/>
        <v/>
      </c>
      <c r="BK1413" s="9" t="str">
        <f>IF($B1413="","",COUNTIFS($B$5:$B1413,$B1413,$BF$5:$BF1413,$BF1413))</f>
        <v/>
      </c>
      <c r="BL1413" s="9" t="str">
        <f>IF($B1413="","",COUNTIFS($B$5:$B1413,$B1413,$BH$5:$BH1413,$BH1413))</f>
        <v/>
      </c>
      <c r="BM1413" s="9" t="str">
        <f t="shared" si="226"/>
        <v/>
      </c>
      <c r="BN1413" s="9" t="str">
        <f t="shared" si="227"/>
        <v/>
      </c>
      <c r="BO1413" s="9">
        <f t="shared" si="228"/>
        <v>0</v>
      </c>
      <c r="BR1413" s="12" t="str">
        <f t="shared" si="229"/>
        <v/>
      </c>
    </row>
    <row r="1414" spans="1:70" ht="14.25" customHeight="1">
      <c r="A1414" s="26"/>
      <c r="C1414" s="26"/>
      <c r="D1414" s="27"/>
      <c r="E1414" s="27"/>
      <c r="BE1414" s="10" t="str">
        <f t="shared" si="220"/>
        <v/>
      </c>
      <c r="BF1414" s="8" t="str">
        <f t="shared" si="221"/>
        <v/>
      </c>
      <c r="BG1414" s="11" t="str">
        <f t="shared" si="222"/>
        <v/>
      </c>
      <c r="BH1414" s="8" t="str">
        <f t="shared" si="223"/>
        <v/>
      </c>
      <c r="BI1414" s="8" t="str">
        <f t="shared" si="224"/>
        <v/>
      </c>
      <c r="BJ1414" s="9" t="str">
        <f t="shared" si="225"/>
        <v/>
      </c>
      <c r="BK1414" s="9" t="str">
        <f>IF($B1414="","",COUNTIFS($B$5:$B1414,$B1414,$BF$5:$BF1414,$BF1414))</f>
        <v/>
      </c>
      <c r="BL1414" s="9" t="str">
        <f>IF($B1414="","",COUNTIFS($B$5:$B1414,$B1414,$BH$5:$BH1414,$BH1414))</f>
        <v/>
      </c>
      <c r="BM1414" s="9" t="str">
        <f t="shared" si="226"/>
        <v/>
      </c>
      <c r="BN1414" s="9" t="str">
        <f t="shared" si="227"/>
        <v/>
      </c>
      <c r="BO1414" s="9">
        <f t="shared" si="228"/>
        <v>0</v>
      </c>
      <c r="BR1414" s="12" t="str">
        <f t="shared" si="229"/>
        <v/>
      </c>
    </row>
    <row r="1415" spans="1:70" ht="14.25" customHeight="1">
      <c r="A1415" s="26"/>
      <c r="C1415" s="26"/>
      <c r="D1415" s="27"/>
      <c r="E1415" s="27"/>
      <c r="BE1415" s="10" t="str">
        <f t="shared" si="220"/>
        <v/>
      </c>
      <c r="BF1415" s="8" t="str">
        <f t="shared" si="221"/>
        <v/>
      </c>
      <c r="BG1415" s="11" t="str">
        <f t="shared" si="222"/>
        <v/>
      </c>
      <c r="BH1415" s="8" t="str">
        <f t="shared" si="223"/>
        <v/>
      </c>
      <c r="BI1415" s="8" t="str">
        <f t="shared" si="224"/>
        <v/>
      </c>
      <c r="BJ1415" s="9" t="str">
        <f t="shared" si="225"/>
        <v/>
      </c>
      <c r="BK1415" s="9" t="str">
        <f>IF($B1415="","",COUNTIFS($B$5:$B1415,$B1415,$BF$5:$BF1415,$BF1415))</f>
        <v/>
      </c>
      <c r="BL1415" s="9" t="str">
        <f>IF($B1415="","",COUNTIFS($B$5:$B1415,$B1415,$BH$5:$BH1415,$BH1415))</f>
        <v/>
      </c>
      <c r="BM1415" s="9" t="str">
        <f t="shared" si="226"/>
        <v/>
      </c>
      <c r="BN1415" s="9" t="str">
        <f t="shared" si="227"/>
        <v/>
      </c>
      <c r="BO1415" s="9">
        <f t="shared" si="228"/>
        <v>0</v>
      </c>
      <c r="BR1415" s="12" t="str">
        <f t="shared" si="229"/>
        <v/>
      </c>
    </row>
    <row r="1416" spans="1:70" ht="14.25" customHeight="1">
      <c r="A1416" s="26"/>
      <c r="C1416" s="26"/>
      <c r="D1416" s="27"/>
      <c r="E1416" s="27"/>
      <c r="BE1416" s="10" t="str">
        <f t="shared" si="220"/>
        <v/>
      </c>
      <c r="BF1416" s="8" t="str">
        <f t="shared" si="221"/>
        <v/>
      </c>
      <c r="BG1416" s="11" t="str">
        <f t="shared" si="222"/>
        <v/>
      </c>
      <c r="BH1416" s="8" t="str">
        <f t="shared" si="223"/>
        <v/>
      </c>
      <c r="BI1416" s="8" t="str">
        <f t="shared" si="224"/>
        <v/>
      </c>
      <c r="BJ1416" s="9" t="str">
        <f t="shared" si="225"/>
        <v/>
      </c>
      <c r="BK1416" s="9" t="str">
        <f>IF($B1416="","",COUNTIFS($B$5:$B1416,$B1416,$BF$5:$BF1416,$BF1416))</f>
        <v/>
      </c>
      <c r="BL1416" s="9" t="str">
        <f>IF($B1416="","",COUNTIFS($B$5:$B1416,$B1416,$BH$5:$BH1416,$BH1416))</f>
        <v/>
      </c>
      <c r="BM1416" s="9" t="str">
        <f t="shared" si="226"/>
        <v/>
      </c>
      <c r="BN1416" s="9" t="str">
        <f t="shared" si="227"/>
        <v/>
      </c>
      <c r="BO1416" s="9">
        <f t="shared" si="228"/>
        <v>0</v>
      </c>
      <c r="BR1416" s="12" t="str">
        <f t="shared" si="229"/>
        <v/>
      </c>
    </row>
    <row r="1417" spans="1:70" ht="14.25" customHeight="1">
      <c r="A1417" s="26"/>
      <c r="C1417" s="26"/>
      <c r="D1417" s="27"/>
      <c r="E1417" s="27"/>
      <c r="BE1417" s="10" t="str">
        <f t="shared" si="220"/>
        <v/>
      </c>
      <c r="BF1417" s="8" t="str">
        <f t="shared" si="221"/>
        <v/>
      </c>
      <c r="BG1417" s="11" t="str">
        <f t="shared" si="222"/>
        <v/>
      </c>
      <c r="BH1417" s="8" t="str">
        <f t="shared" si="223"/>
        <v/>
      </c>
      <c r="BI1417" s="8" t="str">
        <f t="shared" si="224"/>
        <v/>
      </c>
      <c r="BJ1417" s="9" t="str">
        <f t="shared" si="225"/>
        <v/>
      </c>
      <c r="BK1417" s="9" t="str">
        <f>IF($B1417="","",COUNTIFS($B$5:$B1417,$B1417,$BF$5:$BF1417,$BF1417))</f>
        <v/>
      </c>
      <c r="BL1417" s="9" t="str">
        <f>IF($B1417="","",COUNTIFS($B$5:$B1417,$B1417,$BH$5:$BH1417,$BH1417))</f>
        <v/>
      </c>
      <c r="BM1417" s="9" t="str">
        <f t="shared" si="226"/>
        <v/>
      </c>
      <c r="BN1417" s="9" t="str">
        <f t="shared" si="227"/>
        <v/>
      </c>
      <c r="BO1417" s="9">
        <f t="shared" si="228"/>
        <v>0</v>
      </c>
      <c r="BR1417" s="12" t="str">
        <f t="shared" si="229"/>
        <v/>
      </c>
    </row>
    <row r="1418" spans="1:70" ht="14.25" customHeight="1">
      <c r="A1418" s="26"/>
      <c r="C1418" s="26"/>
      <c r="D1418" s="27"/>
      <c r="E1418" s="27"/>
      <c r="BE1418" s="10" t="str">
        <f t="shared" si="220"/>
        <v/>
      </c>
      <c r="BF1418" s="8" t="str">
        <f t="shared" si="221"/>
        <v/>
      </c>
      <c r="BG1418" s="11" t="str">
        <f t="shared" si="222"/>
        <v/>
      </c>
      <c r="BH1418" s="8" t="str">
        <f t="shared" si="223"/>
        <v/>
      </c>
      <c r="BI1418" s="8" t="str">
        <f t="shared" si="224"/>
        <v/>
      </c>
      <c r="BJ1418" s="9" t="str">
        <f t="shared" si="225"/>
        <v/>
      </c>
      <c r="BK1418" s="9" t="str">
        <f>IF($B1418="","",COUNTIFS($B$5:$B1418,$B1418,$BF$5:$BF1418,$BF1418))</f>
        <v/>
      </c>
      <c r="BL1418" s="9" t="str">
        <f>IF($B1418="","",COUNTIFS($B$5:$B1418,$B1418,$BH$5:$BH1418,$BH1418))</f>
        <v/>
      </c>
      <c r="BM1418" s="9" t="str">
        <f t="shared" si="226"/>
        <v/>
      </c>
      <c r="BN1418" s="9" t="str">
        <f t="shared" si="227"/>
        <v/>
      </c>
      <c r="BO1418" s="9">
        <f t="shared" si="228"/>
        <v>0</v>
      </c>
      <c r="BR1418" s="12" t="str">
        <f t="shared" si="229"/>
        <v/>
      </c>
    </row>
    <row r="1419" spans="1:70" ht="14.25" customHeight="1">
      <c r="A1419" s="26"/>
      <c r="C1419" s="26"/>
      <c r="D1419" s="27"/>
      <c r="E1419" s="27"/>
      <c r="BE1419" s="10" t="str">
        <f t="shared" si="220"/>
        <v/>
      </c>
      <c r="BF1419" s="8" t="str">
        <f t="shared" si="221"/>
        <v/>
      </c>
      <c r="BG1419" s="11" t="str">
        <f t="shared" si="222"/>
        <v/>
      </c>
      <c r="BH1419" s="8" t="str">
        <f t="shared" si="223"/>
        <v/>
      </c>
      <c r="BI1419" s="8" t="str">
        <f t="shared" si="224"/>
        <v/>
      </c>
      <c r="BJ1419" s="9" t="str">
        <f t="shared" si="225"/>
        <v/>
      </c>
      <c r="BK1419" s="9" t="str">
        <f>IF($B1419="","",COUNTIFS($B$5:$B1419,$B1419,$BF$5:$BF1419,$BF1419))</f>
        <v/>
      </c>
      <c r="BL1419" s="9" t="str">
        <f>IF($B1419="","",COUNTIFS($B$5:$B1419,$B1419,$BH$5:$BH1419,$BH1419))</f>
        <v/>
      </c>
      <c r="BM1419" s="9" t="str">
        <f t="shared" si="226"/>
        <v/>
      </c>
      <c r="BN1419" s="9" t="str">
        <f t="shared" si="227"/>
        <v/>
      </c>
      <c r="BO1419" s="9">
        <f t="shared" si="228"/>
        <v>0</v>
      </c>
      <c r="BR1419" s="12" t="str">
        <f t="shared" si="229"/>
        <v/>
      </c>
    </row>
    <row r="1420" spans="1:70" ht="14.25" customHeight="1">
      <c r="A1420" s="26"/>
      <c r="C1420" s="26"/>
      <c r="D1420" s="27"/>
      <c r="E1420" s="27"/>
      <c r="BE1420" s="10" t="str">
        <f t="shared" si="220"/>
        <v/>
      </c>
      <c r="BF1420" s="8" t="str">
        <f t="shared" si="221"/>
        <v/>
      </c>
      <c r="BG1420" s="11" t="str">
        <f t="shared" si="222"/>
        <v/>
      </c>
      <c r="BH1420" s="8" t="str">
        <f t="shared" si="223"/>
        <v/>
      </c>
      <c r="BI1420" s="8" t="str">
        <f t="shared" si="224"/>
        <v/>
      </c>
      <c r="BJ1420" s="9" t="str">
        <f t="shared" si="225"/>
        <v/>
      </c>
      <c r="BK1420" s="9" t="str">
        <f>IF($B1420="","",COUNTIFS($B$5:$B1420,$B1420,$BF$5:$BF1420,$BF1420))</f>
        <v/>
      </c>
      <c r="BL1420" s="9" t="str">
        <f>IF($B1420="","",COUNTIFS($B$5:$B1420,$B1420,$BH$5:$BH1420,$BH1420))</f>
        <v/>
      </c>
      <c r="BM1420" s="9" t="str">
        <f t="shared" si="226"/>
        <v/>
      </c>
      <c r="BN1420" s="9" t="str">
        <f t="shared" si="227"/>
        <v/>
      </c>
      <c r="BO1420" s="9">
        <f t="shared" si="228"/>
        <v>0</v>
      </c>
      <c r="BR1420" s="12" t="str">
        <f t="shared" si="229"/>
        <v/>
      </c>
    </row>
    <row r="1421" spans="1:70" ht="14.25" customHeight="1">
      <c r="A1421" s="26"/>
      <c r="C1421" s="26"/>
      <c r="D1421" s="27"/>
      <c r="E1421" s="27"/>
      <c r="BE1421" s="10" t="str">
        <f t="shared" si="220"/>
        <v/>
      </c>
      <c r="BF1421" s="8" t="str">
        <f t="shared" si="221"/>
        <v/>
      </c>
      <c r="BG1421" s="11" t="str">
        <f t="shared" si="222"/>
        <v/>
      </c>
      <c r="BH1421" s="8" t="str">
        <f t="shared" si="223"/>
        <v/>
      </c>
      <c r="BI1421" s="8" t="str">
        <f t="shared" si="224"/>
        <v/>
      </c>
      <c r="BJ1421" s="9" t="str">
        <f t="shared" si="225"/>
        <v/>
      </c>
      <c r="BK1421" s="9" t="str">
        <f>IF($B1421="","",COUNTIFS($B$5:$B1421,$B1421,$BF$5:$BF1421,$BF1421))</f>
        <v/>
      </c>
      <c r="BL1421" s="9" t="str">
        <f>IF($B1421="","",COUNTIFS($B$5:$B1421,$B1421,$BH$5:$BH1421,$BH1421))</f>
        <v/>
      </c>
      <c r="BM1421" s="9" t="str">
        <f t="shared" si="226"/>
        <v/>
      </c>
      <c r="BN1421" s="9" t="str">
        <f t="shared" si="227"/>
        <v/>
      </c>
      <c r="BO1421" s="9">
        <f t="shared" si="228"/>
        <v>0</v>
      </c>
      <c r="BR1421" s="12" t="str">
        <f t="shared" si="229"/>
        <v/>
      </c>
    </row>
    <row r="1422" spans="1:70" ht="14.25" customHeight="1">
      <c r="A1422" s="26"/>
      <c r="C1422" s="26"/>
      <c r="D1422" s="27"/>
      <c r="E1422" s="27"/>
      <c r="BE1422" s="10" t="str">
        <f t="shared" si="220"/>
        <v/>
      </c>
      <c r="BF1422" s="8" t="str">
        <f t="shared" si="221"/>
        <v/>
      </c>
      <c r="BG1422" s="11" t="str">
        <f t="shared" si="222"/>
        <v/>
      </c>
      <c r="BH1422" s="8" t="str">
        <f t="shared" si="223"/>
        <v/>
      </c>
      <c r="BI1422" s="8" t="str">
        <f t="shared" si="224"/>
        <v/>
      </c>
      <c r="BJ1422" s="9" t="str">
        <f t="shared" si="225"/>
        <v/>
      </c>
      <c r="BK1422" s="9" t="str">
        <f>IF($B1422="","",COUNTIFS($B$5:$B1422,$B1422,$BF$5:$BF1422,$BF1422))</f>
        <v/>
      </c>
      <c r="BL1422" s="9" t="str">
        <f>IF($B1422="","",COUNTIFS($B$5:$B1422,$B1422,$BH$5:$BH1422,$BH1422))</f>
        <v/>
      </c>
      <c r="BM1422" s="9" t="str">
        <f t="shared" si="226"/>
        <v/>
      </c>
      <c r="BN1422" s="9" t="str">
        <f t="shared" si="227"/>
        <v/>
      </c>
      <c r="BO1422" s="9">
        <f t="shared" si="228"/>
        <v>0</v>
      </c>
      <c r="BR1422" s="12" t="str">
        <f t="shared" si="229"/>
        <v/>
      </c>
    </row>
    <row r="1423" spans="1:70" ht="14.25" customHeight="1">
      <c r="A1423" s="26"/>
      <c r="C1423" s="26"/>
      <c r="D1423" s="27"/>
      <c r="E1423" s="27"/>
      <c r="BE1423" s="10" t="str">
        <f t="shared" si="220"/>
        <v/>
      </c>
      <c r="BF1423" s="8" t="str">
        <f t="shared" si="221"/>
        <v/>
      </c>
      <c r="BG1423" s="11" t="str">
        <f t="shared" si="222"/>
        <v/>
      </c>
      <c r="BH1423" s="8" t="str">
        <f t="shared" si="223"/>
        <v/>
      </c>
      <c r="BI1423" s="8" t="str">
        <f t="shared" si="224"/>
        <v/>
      </c>
      <c r="BJ1423" s="9" t="str">
        <f t="shared" si="225"/>
        <v/>
      </c>
      <c r="BK1423" s="9" t="str">
        <f>IF($B1423="","",COUNTIFS($B$5:$B1423,$B1423,$BF$5:$BF1423,$BF1423))</f>
        <v/>
      </c>
      <c r="BL1423" s="9" t="str">
        <f>IF($B1423="","",COUNTIFS($B$5:$B1423,$B1423,$BH$5:$BH1423,$BH1423))</f>
        <v/>
      </c>
      <c r="BM1423" s="9" t="str">
        <f t="shared" si="226"/>
        <v/>
      </c>
      <c r="BN1423" s="9" t="str">
        <f t="shared" si="227"/>
        <v/>
      </c>
      <c r="BO1423" s="9">
        <f t="shared" si="228"/>
        <v>0</v>
      </c>
      <c r="BR1423" s="12" t="str">
        <f t="shared" si="229"/>
        <v/>
      </c>
    </row>
    <row r="1424" spans="1:70" ht="14.25" customHeight="1">
      <c r="A1424" s="26"/>
      <c r="C1424" s="26"/>
      <c r="D1424" s="27"/>
      <c r="E1424" s="27"/>
      <c r="BE1424" s="10" t="str">
        <f t="shared" si="220"/>
        <v/>
      </c>
      <c r="BF1424" s="8" t="str">
        <f t="shared" si="221"/>
        <v/>
      </c>
      <c r="BG1424" s="11" t="str">
        <f t="shared" si="222"/>
        <v/>
      </c>
      <c r="BH1424" s="8" t="str">
        <f t="shared" si="223"/>
        <v/>
      </c>
      <c r="BI1424" s="8" t="str">
        <f t="shared" si="224"/>
        <v/>
      </c>
      <c r="BJ1424" s="9" t="str">
        <f t="shared" si="225"/>
        <v/>
      </c>
      <c r="BK1424" s="9" t="str">
        <f>IF($B1424="","",COUNTIFS($B$5:$B1424,$B1424,$BF$5:$BF1424,$BF1424))</f>
        <v/>
      </c>
      <c r="BL1424" s="9" t="str">
        <f>IF($B1424="","",COUNTIFS($B$5:$B1424,$B1424,$BH$5:$BH1424,$BH1424))</f>
        <v/>
      </c>
      <c r="BM1424" s="9" t="str">
        <f t="shared" si="226"/>
        <v/>
      </c>
      <c r="BN1424" s="9" t="str">
        <f t="shared" si="227"/>
        <v/>
      </c>
      <c r="BO1424" s="9">
        <f t="shared" si="228"/>
        <v>0</v>
      </c>
      <c r="BR1424" s="12" t="str">
        <f t="shared" si="229"/>
        <v/>
      </c>
    </row>
    <row r="1425" spans="1:70" ht="14.25" customHeight="1">
      <c r="A1425" s="26"/>
      <c r="C1425" s="26"/>
      <c r="D1425" s="27"/>
      <c r="E1425" s="27"/>
      <c r="BE1425" s="10" t="str">
        <f t="shared" si="220"/>
        <v/>
      </c>
      <c r="BF1425" s="8" t="str">
        <f t="shared" si="221"/>
        <v/>
      </c>
      <c r="BG1425" s="11" t="str">
        <f t="shared" si="222"/>
        <v/>
      </c>
      <c r="BH1425" s="8" t="str">
        <f t="shared" si="223"/>
        <v/>
      </c>
      <c r="BI1425" s="8" t="str">
        <f t="shared" si="224"/>
        <v/>
      </c>
      <c r="BJ1425" s="9" t="str">
        <f t="shared" si="225"/>
        <v/>
      </c>
      <c r="BK1425" s="9" t="str">
        <f>IF($B1425="","",COUNTIFS($B$5:$B1425,$B1425,$BF$5:$BF1425,$BF1425))</f>
        <v/>
      </c>
      <c r="BL1425" s="9" t="str">
        <f>IF($B1425="","",COUNTIFS($B$5:$B1425,$B1425,$BH$5:$BH1425,$BH1425))</f>
        <v/>
      </c>
      <c r="BM1425" s="9" t="str">
        <f t="shared" si="226"/>
        <v/>
      </c>
      <c r="BN1425" s="9" t="str">
        <f t="shared" si="227"/>
        <v/>
      </c>
      <c r="BO1425" s="9">
        <f t="shared" si="228"/>
        <v>0</v>
      </c>
      <c r="BR1425" s="12" t="str">
        <f t="shared" si="229"/>
        <v/>
      </c>
    </row>
    <row r="1426" spans="1:70" ht="14.25" customHeight="1">
      <c r="A1426" s="26"/>
      <c r="C1426" s="26"/>
      <c r="D1426" s="27"/>
      <c r="E1426" s="27"/>
      <c r="BE1426" s="10" t="str">
        <f t="shared" si="220"/>
        <v/>
      </c>
      <c r="BF1426" s="8" t="str">
        <f t="shared" si="221"/>
        <v/>
      </c>
      <c r="BG1426" s="11" t="str">
        <f t="shared" si="222"/>
        <v/>
      </c>
      <c r="BH1426" s="8" t="str">
        <f t="shared" si="223"/>
        <v/>
      </c>
      <c r="BI1426" s="8" t="str">
        <f t="shared" si="224"/>
        <v/>
      </c>
      <c r="BJ1426" s="9" t="str">
        <f t="shared" si="225"/>
        <v/>
      </c>
      <c r="BK1426" s="9" t="str">
        <f>IF($B1426="","",COUNTIFS($B$5:$B1426,$B1426,$BF$5:$BF1426,$BF1426))</f>
        <v/>
      </c>
      <c r="BL1426" s="9" t="str">
        <f>IF($B1426="","",COUNTIFS($B$5:$B1426,$B1426,$BH$5:$BH1426,$BH1426))</f>
        <v/>
      </c>
      <c r="BM1426" s="9" t="str">
        <f t="shared" si="226"/>
        <v/>
      </c>
      <c r="BN1426" s="9" t="str">
        <f t="shared" si="227"/>
        <v/>
      </c>
      <c r="BO1426" s="9">
        <f t="shared" si="228"/>
        <v>0</v>
      </c>
      <c r="BR1426" s="12" t="str">
        <f t="shared" si="229"/>
        <v/>
      </c>
    </row>
    <row r="1427" spans="1:70" ht="14.25" customHeight="1">
      <c r="A1427" s="26"/>
      <c r="C1427" s="26"/>
      <c r="D1427" s="27"/>
      <c r="E1427" s="27"/>
      <c r="BE1427" s="10" t="str">
        <f t="shared" si="220"/>
        <v/>
      </c>
      <c r="BF1427" s="8" t="str">
        <f t="shared" si="221"/>
        <v/>
      </c>
      <c r="BG1427" s="11" t="str">
        <f t="shared" si="222"/>
        <v/>
      </c>
      <c r="BH1427" s="8" t="str">
        <f t="shared" si="223"/>
        <v/>
      </c>
      <c r="BI1427" s="8" t="str">
        <f t="shared" si="224"/>
        <v/>
      </c>
      <c r="BJ1427" s="9" t="str">
        <f t="shared" si="225"/>
        <v/>
      </c>
      <c r="BK1427" s="9" t="str">
        <f>IF($B1427="","",COUNTIFS($B$5:$B1427,$B1427,$BF$5:$BF1427,$BF1427))</f>
        <v/>
      </c>
      <c r="BL1427" s="9" t="str">
        <f>IF($B1427="","",COUNTIFS($B$5:$B1427,$B1427,$BH$5:$BH1427,$BH1427))</f>
        <v/>
      </c>
      <c r="BM1427" s="9" t="str">
        <f t="shared" si="226"/>
        <v/>
      </c>
      <c r="BN1427" s="9" t="str">
        <f t="shared" si="227"/>
        <v/>
      </c>
      <c r="BO1427" s="9">
        <f t="shared" si="228"/>
        <v>0</v>
      </c>
      <c r="BR1427" s="12" t="str">
        <f t="shared" si="229"/>
        <v/>
      </c>
    </row>
    <row r="1428" spans="1:70" ht="14.25" customHeight="1">
      <c r="A1428" s="26"/>
      <c r="C1428" s="26"/>
      <c r="D1428" s="27"/>
      <c r="E1428" s="27"/>
      <c r="BE1428" s="10" t="str">
        <f t="shared" si="220"/>
        <v/>
      </c>
      <c r="BF1428" s="8" t="str">
        <f t="shared" si="221"/>
        <v/>
      </c>
      <c r="BG1428" s="11" t="str">
        <f t="shared" si="222"/>
        <v/>
      </c>
      <c r="BH1428" s="8" t="str">
        <f t="shared" si="223"/>
        <v/>
      </c>
      <c r="BI1428" s="8" t="str">
        <f t="shared" si="224"/>
        <v/>
      </c>
      <c r="BJ1428" s="9" t="str">
        <f t="shared" si="225"/>
        <v/>
      </c>
      <c r="BK1428" s="9" t="str">
        <f>IF($B1428="","",COUNTIFS($B$5:$B1428,$B1428,$BF$5:$BF1428,$BF1428))</f>
        <v/>
      </c>
      <c r="BL1428" s="9" t="str">
        <f>IF($B1428="","",COUNTIFS($B$5:$B1428,$B1428,$BH$5:$BH1428,$BH1428))</f>
        <v/>
      </c>
      <c r="BM1428" s="9" t="str">
        <f t="shared" si="226"/>
        <v/>
      </c>
      <c r="BN1428" s="9" t="str">
        <f t="shared" si="227"/>
        <v/>
      </c>
      <c r="BO1428" s="9">
        <f t="shared" si="228"/>
        <v>0</v>
      </c>
      <c r="BR1428" s="12" t="str">
        <f t="shared" si="229"/>
        <v/>
      </c>
    </row>
    <row r="1429" spans="1:70" ht="14.25" customHeight="1">
      <c r="A1429" s="26"/>
      <c r="C1429" s="26"/>
      <c r="D1429" s="27"/>
      <c r="E1429" s="27"/>
      <c r="BE1429" s="10" t="str">
        <f t="shared" si="220"/>
        <v/>
      </c>
      <c r="BF1429" s="8" t="str">
        <f t="shared" si="221"/>
        <v/>
      </c>
      <c r="BG1429" s="11" t="str">
        <f t="shared" si="222"/>
        <v/>
      </c>
      <c r="BH1429" s="8" t="str">
        <f t="shared" si="223"/>
        <v/>
      </c>
      <c r="BI1429" s="8" t="str">
        <f t="shared" si="224"/>
        <v/>
      </c>
      <c r="BJ1429" s="9" t="str">
        <f t="shared" si="225"/>
        <v/>
      </c>
      <c r="BK1429" s="9" t="str">
        <f>IF($B1429="","",COUNTIFS($B$5:$B1429,$B1429,$BF$5:$BF1429,$BF1429))</f>
        <v/>
      </c>
      <c r="BL1429" s="9" t="str">
        <f>IF($B1429="","",COUNTIFS($B$5:$B1429,$B1429,$BH$5:$BH1429,$BH1429))</f>
        <v/>
      </c>
      <c r="BM1429" s="9" t="str">
        <f t="shared" si="226"/>
        <v/>
      </c>
      <c r="BN1429" s="9" t="str">
        <f t="shared" si="227"/>
        <v/>
      </c>
      <c r="BO1429" s="9">
        <f t="shared" si="228"/>
        <v>0</v>
      </c>
      <c r="BR1429" s="12" t="str">
        <f t="shared" si="229"/>
        <v/>
      </c>
    </row>
    <row r="1430" spans="1:70" ht="14.25" customHeight="1">
      <c r="A1430" s="26"/>
      <c r="C1430" s="26"/>
      <c r="D1430" s="27"/>
      <c r="E1430" s="27"/>
      <c r="BE1430" s="10" t="str">
        <f t="shared" si="220"/>
        <v/>
      </c>
      <c r="BF1430" s="8" t="str">
        <f t="shared" si="221"/>
        <v/>
      </c>
      <c r="BG1430" s="11" t="str">
        <f t="shared" si="222"/>
        <v/>
      </c>
      <c r="BH1430" s="8" t="str">
        <f t="shared" si="223"/>
        <v/>
      </c>
      <c r="BI1430" s="8" t="str">
        <f t="shared" si="224"/>
        <v/>
      </c>
      <c r="BJ1430" s="9" t="str">
        <f t="shared" si="225"/>
        <v/>
      </c>
      <c r="BK1430" s="9" t="str">
        <f>IF($B1430="","",COUNTIFS($B$5:$B1430,$B1430,$BF$5:$BF1430,$BF1430))</f>
        <v/>
      </c>
      <c r="BL1430" s="9" t="str">
        <f>IF($B1430="","",COUNTIFS($B$5:$B1430,$B1430,$BH$5:$BH1430,$BH1430))</f>
        <v/>
      </c>
      <c r="BM1430" s="9" t="str">
        <f t="shared" si="226"/>
        <v/>
      </c>
      <c r="BN1430" s="9" t="str">
        <f t="shared" si="227"/>
        <v/>
      </c>
      <c r="BO1430" s="9">
        <f t="shared" si="228"/>
        <v>0</v>
      </c>
      <c r="BR1430" s="12" t="str">
        <f t="shared" si="229"/>
        <v/>
      </c>
    </row>
    <row r="1431" spans="1:70" ht="14.25" customHeight="1">
      <c r="A1431" s="26"/>
      <c r="C1431" s="26"/>
      <c r="D1431" s="27"/>
      <c r="E1431" s="27"/>
      <c r="BE1431" s="10" t="str">
        <f t="shared" si="220"/>
        <v/>
      </c>
      <c r="BF1431" s="8" t="str">
        <f t="shared" si="221"/>
        <v/>
      </c>
      <c r="BG1431" s="11" t="str">
        <f t="shared" si="222"/>
        <v/>
      </c>
      <c r="BH1431" s="8" t="str">
        <f t="shared" si="223"/>
        <v/>
      </c>
      <c r="BI1431" s="8" t="str">
        <f t="shared" si="224"/>
        <v/>
      </c>
      <c r="BJ1431" s="9" t="str">
        <f t="shared" si="225"/>
        <v/>
      </c>
      <c r="BK1431" s="9" t="str">
        <f>IF($B1431="","",COUNTIFS($B$5:$B1431,$B1431,$BF$5:$BF1431,$BF1431))</f>
        <v/>
      </c>
      <c r="BL1431" s="9" t="str">
        <f>IF($B1431="","",COUNTIFS($B$5:$B1431,$B1431,$BH$5:$BH1431,$BH1431))</f>
        <v/>
      </c>
      <c r="BM1431" s="9" t="str">
        <f t="shared" si="226"/>
        <v/>
      </c>
      <c r="BN1431" s="9" t="str">
        <f t="shared" si="227"/>
        <v/>
      </c>
      <c r="BO1431" s="9">
        <f t="shared" si="228"/>
        <v>0</v>
      </c>
      <c r="BR1431" s="12" t="str">
        <f t="shared" si="229"/>
        <v/>
      </c>
    </row>
    <row r="1432" spans="1:70" ht="14.25" customHeight="1">
      <c r="A1432" s="26"/>
      <c r="C1432" s="26"/>
      <c r="D1432" s="27"/>
      <c r="E1432" s="27"/>
      <c r="BE1432" s="10" t="str">
        <f t="shared" si="220"/>
        <v/>
      </c>
      <c r="BF1432" s="8" t="str">
        <f t="shared" si="221"/>
        <v/>
      </c>
      <c r="BG1432" s="11" t="str">
        <f t="shared" si="222"/>
        <v/>
      </c>
      <c r="BH1432" s="8" t="str">
        <f t="shared" si="223"/>
        <v/>
      </c>
      <c r="BI1432" s="8" t="str">
        <f t="shared" si="224"/>
        <v/>
      </c>
      <c r="BJ1432" s="9" t="str">
        <f t="shared" si="225"/>
        <v/>
      </c>
      <c r="BK1432" s="9" t="str">
        <f>IF($B1432="","",COUNTIFS($B$5:$B1432,$B1432,$BF$5:$BF1432,$BF1432))</f>
        <v/>
      </c>
      <c r="BL1432" s="9" t="str">
        <f>IF($B1432="","",COUNTIFS($B$5:$B1432,$B1432,$BH$5:$BH1432,$BH1432))</f>
        <v/>
      </c>
      <c r="BM1432" s="9" t="str">
        <f t="shared" si="226"/>
        <v/>
      </c>
      <c r="BN1432" s="9" t="str">
        <f t="shared" si="227"/>
        <v/>
      </c>
      <c r="BO1432" s="9">
        <f t="shared" si="228"/>
        <v>0</v>
      </c>
      <c r="BR1432" s="12" t="str">
        <f t="shared" si="229"/>
        <v/>
      </c>
    </row>
    <row r="1433" spans="1:70" ht="14.25" customHeight="1">
      <c r="A1433" s="26"/>
      <c r="C1433" s="26"/>
      <c r="D1433" s="27"/>
      <c r="E1433" s="27"/>
      <c r="BE1433" s="10" t="str">
        <f t="shared" si="220"/>
        <v/>
      </c>
      <c r="BF1433" s="8" t="str">
        <f t="shared" si="221"/>
        <v/>
      </c>
      <c r="BG1433" s="11" t="str">
        <f t="shared" si="222"/>
        <v/>
      </c>
      <c r="BH1433" s="8" t="str">
        <f t="shared" si="223"/>
        <v/>
      </c>
      <c r="BI1433" s="8" t="str">
        <f t="shared" si="224"/>
        <v/>
      </c>
      <c r="BJ1433" s="9" t="str">
        <f t="shared" si="225"/>
        <v/>
      </c>
      <c r="BK1433" s="9" t="str">
        <f>IF($B1433="","",COUNTIFS($B$5:$B1433,$B1433,$BF$5:$BF1433,$BF1433))</f>
        <v/>
      </c>
      <c r="BL1433" s="9" t="str">
        <f>IF($B1433="","",COUNTIFS($B$5:$B1433,$B1433,$BH$5:$BH1433,$BH1433))</f>
        <v/>
      </c>
      <c r="BM1433" s="9" t="str">
        <f t="shared" si="226"/>
        <v/>
      </c>
      <c r="BN1433" s="9" t="str">
        <f t="shared" si="227"/>
        <v/>
      </c>
      <c r="BO1433" s="9">
        <f t="shared" si="228"/>
        <v>0</v>
      </c>
      <c r="BR1433" s="12" t="str">
        <f t="shared" si="229"/>
        <v/>
      </c>
    </row>
    <row r="1434" spans="1:70" ht="14.25" customHeight="1">
      <c r="A1434" s="26"/>
      <c r="C1434" s="26"/>
      <c r="D1434" s="27"/>
      <c r="E1434" s="27"/>
      <c r="BE1434" s="10" t="str">
        <f t="shared" si="220"/>
        <v/>
      </c>
      <c r="BF1434" s="8" t="str">
        <f t="shared" si="221"/>
        <v/>
      </c>
      <c r="BG1434" s="11" t="str">
        <f t="shared" si="222"/>
        <v/>
      </c>
      <c r="BH1434" s="8" t="str">
        <f t="shared" si="223"/>
        <v/>
      </c>
      <c r="BI1434" s="8" t="str">
        <f t="shared" si="224"/>
        <v/>
      </c>
      <c r="BJ1434" s="9" t="str">
        <f t="shared" si="225"/>
        <v/>
      </c>
      <c r="BK1434" s="9" t="str">
        <f>IF($B1434="","",COUNTIFS($B$5:$B1434,$B1434,$BF$5:$BF1434,$BF1434))</f>
        <v/>
      </c>
      <c r="BL1434" s="9" t="str">
        <f>IF($B1434="","",COUNTIFS($B$5:$B1434,$B1434,$BH$5:$BH1434,$BH1434))</f>
        <v/>
      </c>
      <c r="BM1434" s="9" t="str">
        <f t="shared" si="226"/>
        <v/>
      </c>
      <c r="BN1434" s="9" t="str">
        <f t="shared" si="227"/>
        <v/>
      </c>
      <c r="BO1434" s="9">
        <f t="shared" si="228"/>
        <v>0</v>
      </c>
      <c r="BR1434" s="12" t="str">
        <f t="shared" si="229"/>
        <v/>
      </c>
    </row>
    <row r="1435" spans="1:70" ht="14.25" customHeight="1">
      <c r="A1435" s="26"/>
      <c r="C1435" s="26"/>
      <c r="D1435" s="27"/>
      <c r="E1435" s="27"/>
      <c r="BE1435" s="10" t="str">
        <f t="shared" si="220"/>
        <v/>
      </c>
      <c r="BF1435" s="8" t="str">
        <f t="shared" si="221"/>
        <v/>
      </c>
      <c r="BG1435" s="11" t="str">
        <f t="shared" si="222"/>
        <v/>
      </c>
      <c r="BH1435" s="8" t="str">
        <f t="shared" si="223"/>
        <v/>
      </c>
      <c r="BI1435" s="8" t="str">
        <f t="shared" si="224"/>
        <v/>
      </c>
      <c r="BJ1435" s="9" t="str">
        <f t="shared" si="225"/>
        <v/>
      </c>
      <c r="BK1435" s="9" t="str">
        <f>IF($B1435="","",COUNTIFS($B$5:$B1435,$B1435,$BF$5:$BF1435,$BF1435))</f>
        <v/>
      </c>
      <c r="BL1435" s="9" t="str">
        <f>IF($B1435="","",COUNTIFS($B$5:$B1435,$B1435,$BH$5:$BH1435,$BH1435))</f>
        <v/>
      </c>
      <c r="BM1435" s="9" t="str">
        <f t="shared" si="226"/>
        <v/>
      </c>
      <c r="BN1435" s="9" t="str">
        <f t="shared" si="227"/>
        <v/>
      </c>
      <c r="BO1435" s="9">
        <f t="shared" si="228"/>
        <v>0</v>
      </c>
      <c r="BR1435" s="12" t="str">
        <f t="shared" si="229"/>
        <v/>
      </c>
    </row>
    <row r="1436" spans="1:70" ht="14.25" customHeight="1">
      <c r="A1436" s="26"/>
      <c r="C1436" s="26"/>
      <c r="D1436" s="27"/>
      <c r="E1436" s="27"/>
      <c r="BE1436" s="10" t="str">
        <f t="shared" si="220"/>
        <v/>
      </c>
      <c r="BF1436" s="8" t="str">
        <f t="shared" si="221"/>
        <v/>
      </c>
      <c r="BG1436" s="11" t="str">
        <f t="shared" si="222"/>
        <v/>
      </c>
      <c r="BH1436" s="8" t="str">
        <f t="shared" si="223"/>
        <v/>
      </c>
      <c r="BI1436" s="8" t="str">
        <f t="shared" si="224"/>
        <v/>
      </c>
      <c r="BJ1436" s="9" t="str">
        <f t="shared" si="225"/>
        <v/>
      </c>
      <c r="BK1436" s="9" t="str">
        <f>IF($B1436="","",COUNTIFS($B$5:$B1436,$B1436,$BF$5:$BF1436,$BF1436))</f>
        <v/>
      </c>
      <c r="BL1436" s="9" t="str">
        <f>IF($B1436="","",COUNTIFS($B$5:$B1436,$B1436,$BH$5:$BH1436,$BH1436))</f>
        <v/>
      </c>
      <c r="BM1436" s="9" t="str">
        <f t="shared" si="226"/>
        <v/>
      </c>
      <c r="BN1436" s="9" t="str">
        <f t="shared" si="227"/>
        <v/>
      </c>
      <c r="BO1436" s="9">
        <f t="shared" si="228"/>
        <v>0</v>
      </c>
      <c r="BR1436" s="12" t="str">
        <f t="shared" si="229"/>
        <v/>
      </c>
    </row>
    <row r="1437" spans="1:70" ht="14.25" customHeight="1">
      <c r="A1437" s="26"/>
      <c r="C1437" s="26"/>
      <c r="D1437" s="27"/>
      <c r="E1437" s="27"/>
      <c r="BE1437" s="10" t="str">
        <f t="shared" ref="BE1437:BE1500" si="230">IF($B1437="","",IF(COUNT($H1437,$J1437,$L1437,$N1437,$P1437,$R1437)&gt;0,SUM($H1437,$J1437,$L1437,$N1437,$P1437,$R1437),SUM($T1437,$V1437,$X1437,$Z1437,$AB1437,$AD1437,$AF1437,$AH1437,$AJ1437,$AL1437,$AN1437,$AP1437,$AR1437,$AT1437,$AV1437,$AX1437,$AZ1437)))</f>
        <v/>
      </c>
      <c r="BF1437" s="8" t="str">
        <f t="shared" ref="BF1437:BF1500" si="231">IF($C1437="","",DATE(YEAR($C1437),MONTH($C1437),1))</f>
        <v/>
      </c>
      <c r="BG1437" s="11" t="str">
        <f t="shared" ref="BG1437:BG1500" si="232">IF($BF1437="","",TEXT($BF1437,"mmmm yyyy"))</f>
        <v/>
      </c>
      <c r="BH1437" s="8" t="str">
        <f t="shared" ref="BH1437:BH1500" si="233">IF($C1437="","",$C1437-WEEKDAY($C1437,2)+1)</f>
        <v/>
      </c>
      <c r="BI1437" s="8" t="str">
        <f t="shared" ref="BI1437:BI1500" si="234">IF($BH1437="","",$BH1437+6)</f>
        <v/>
      </c>
      <c r="BJ1437" s="9" t="str">
        <f t="shared" ref="BJ1437:BJ1500" si="235">IF($BH1437="","",TEXT($BH1437,"dd/mm/yyyy")&amp;" - "&amp;TEXT($BI1437,"dd/mm/yyyy"))</f>
        <v/>
      </c>
      <c r="BK1437" s="9" t="str">
        <f>IF($B1437="","",COUNTIFS($B$5:$B1437,$B1437,$BF$5:$BF1437,$BF1437))</f>
        <v/>
      </c>
      <c r="BL1437" s="9" t="str">
        <f>IF($B1437="","",COUNTIFS($B$5:$B1437,$B1437,$BH$5:$BH1437,$BH1437))</f>
        <v/>
      </c>
      <c r="BM1437" s="9" t="str">
        <f t="shared" ref="BM1437:BM1500" si="236">IF($B1437="","",TEXT($BK1437,"00")&amp;"|"&amp;$B1437&amp;"|"&amp;TEXT($BF1437,"yyyymmdd"))</f>
        <v/>
      </c>
      <c r="BN1437" s="9" t="str">
        <f t="shared" ref="BN1437:BN1500" si="237">IF($B1437="","",TEXT($BL1437,"00")&amp;"|"&amp;$B1437&amp;"|"&amp;TEXT($BH1437,"yyyymmdd"))</f>
        <v/>
      </c>
      <c r="BO1437" s="9">
        <f t="shared" ref="BO1437:BO1500" si="238">IF(OR($BB1437="YES",$BB1437="Yes",$BB1437="Y",$BB1437=1),1,0)</f>
        <v>0</v>
      </c>
      <c r="BR1437" s="12" t="str">
        <f t="shared" ref="BR1437:BR1500" si="239">IF($C1437="","",IF($C1437&gt;=DATE(2026,6,1),"QA-2026-06",IF($C1437&gt;=DATE(2026,5,1),"May 2026+",IF($C1437&gt;=DATE(2026,4,1),"April 2026",IF($C1437&gt;=DATE(2026,3,1),"March 2026","Jan-Feb 2026")))))</f>
        <v/>
      </c>
    </row>
    <row r="1438" spans="1:70" ht="14.25" customHeight="1">
      <c r="A1438" s="26"/>
      <c r="C1438" s="26"/>
      <c r="D1438" s="27"/>
      <c r="E1438" s="27"/>
      <c r="BE1438" s="10" t="str">
        <f t="shared" si="230"/>
        <v/>
      </c>
      <c r="BF1438" s="8" t="str">
        <f t="shared" si="231"/>
        <v/>
      </c>
      <c r="BG1438" s="11" t="str">
        <f t="shared" si="232"/>
        <v/>
      </c>
      <c r="BH1438" s="8" t="str">
        <f t="shared" si="233"/>
        <v/>
      </c>
      <c r="BI1438" s="8" t="str">
        <f t="shared" si="234"/>
        <v/>
      </c>
      <c r="BJ1438" s="9" t="str">
        <f t="shared" si="235"/>
        <v/>
      </c>
      <c r="BK1438" s="9" t="str">
        <f>IF($B1438="","",COUNTIFS($B$5:$B1438,$B1438,$BF$5:$BF1438,$BF1438))</f>
        <v/>
      </c>
      <c r="BL1438" s="9" t="str">
        <f>IF($B1438="","",COUNTIFS($B$5:$B1438,$B1438,$BH$5:$BH1438,$BH1438))</f>
        <v/>
      </c>
      <c r="BM1438" s="9" t="str">
        <f t="shared" si="236"/>
        <v/>
      </c>
      <c r="BN1438" s="9" t="str">
        <f t="shared" si="237"/>
        <v/>
      </c>
      <c r="BO1438" s="9">
        <f t="shared" si="238"/>
        <v>0</v>
      </c>
      <c r="BR1438" s="12" t="str">
        <f t="shared" si="239"/>
        <v/>
      </c>
    </row>
    <row r="1439" spans="1:70" ht="14.25" customHeight="1">
      <c r="A1439" s="26"/>
      <c r="C1439" s="26"/>
      <c r="D1439" s="27"/>
      <c r="E1439" s="27"/>
      <c r="BE1439" s="10" t="str">
        <f t="shared" si="230"/>
        <v/>
      </c>
      <c r="BF1439" s="8" t="str">
        <f t="shared" si="231"/>
        <v/>
      </c>
      <c r="BG1439" s="11" t="str">
        <f t="shared" si="232"/>
        <v/>
      </c>
      <c r="BH1439" s="8" t="str">
        <f t="shared" si="233"/>
        <v/>
      </c>
      <c r="BI1439" s="8" t="str">
        <f t="shared" si="234"/>
        <v/>
      </c>
      <c r="BJ1439" s="9" t="str">
        <f t="shared" si="235"/>
        <v/>
      </c>
      <c r="BK1439" s="9" t="str">
        <f>IF($B1439="","",COUNTIFS($B$5:$B1439,$B1439,$BF$5:$BF1439,$BF1439))</f>
        <v/>
      </c>
      <c r="BL1439" s="9" t="str">
        <f>IF($B1439="","",COUNTIFS($B$5:$B1439,$B1439,$BH$5:$BH1439,$BH1439))</f>
        <v/>
      </c>
      <c r="BM1439" s="9" t="str">
        <f t="shared" si="236"/>
        <v/>
      </c>
      <c r="BN1439" s="9" t="str">
        <f t="shared" si="237"/>
        <v/>
      </c>
      <c r="BO1439" s="9">
        <f t="shared" si="238"/>
        <v>0</v>
      </c>
      <c r="BR1439" s="12" t="str">
        <f t="shared" si="239"/>
        <v/>
      </c>
    </row>
    <row r="1440" spans="1:70" ht="14.25" customHeight="1">
      <c r="A1440" s="26"/>
      <c r="C1440" s="26"/>
      <c r="D1440" s="27"/>
      <c r="E1440" s="27"/>
      <c r="BE1440" s="10" t="str">
        <f t="shared" si="230"/>
        <v/>
      </c>
      <c r="BF1440" s="8" t="str">
        <f t="shared" si="231"/>
        <v/>
      </c>
      <c r="BG1440" s="11" t="str">
        <f t="shared" si="232"/>
        <v/>
      </c>
      <c r="BH1440" s="8" t="str">
        <f t="shared" si="233"/>
        <v/>
      </c>
      <c r="BI1440" s="8" t="str">
        <f t="shared" si="234"/>
        <v/>
      </c>
      <c r="BJ1440" s="9" t="str">
        <f t="shared" si="235"/>
        <v/>
      </c>
      <c r="BK1440" s="9" t="str">
        <f>IF($B1440="","",COUNTIFS($B$5:$B1440,$B1440,$BF$5:$BF1440,$BF1440))</f>
        <v/>
      </c>
      <c r="BL1440" s="9" t="str">
        <f>IF($B1440="","",COUNTIFS($B$5:$B1440,$B1440,$BH$5:$BH1440,$BH1440))</f>
        <v/>
      </c>
      <c r="BM1440" s="9" t="str">
        <f t="shared" si="236"/>
        <v/>
      </c>
      <c r="BN1440" s="9" t="str">
        <f t="shared" si="237"/>
        <v/>
      </c>
      <c r="BO1440" s="9">
        <f t="shared" si="238"/>
        <v>0</v>
      </c>
      <c r="BR1440" s="12" t="str">
        <f t="shared" si="239"/>
        <v/>
      </c>
    </row>
    <row r="1441" spans="1:70" ht="14.25" customHeight="1">
      <c r="A1441" s="26"/>
      <c r="C1441" s="26"/>
      <c r="D1441" s="27"/>
      <c r="E1441" s="27"/>
      <c r="BE1441" s="10" t="str">
        <f t="shared" si="230"/>
        <v/>
      </c>
      <c r="BF1441" s="8" t="str">
        <f t="shared" si="231"/>
        <v/>
      </c>
      <c r="BG1441" s="11" t="str">
        <f t="shared" si="232"/>
        <v/>
      </c>
      <c r="BH1441" s="8" t="str">
        <f t="shared" si="233"/>
        <v/>
      </c>
      <c r="BI1441" s="8" t="str">
        <f t="shared" si="234"/>
        <v/>
      </c>
      <c r="BJ1441" s="9" t="str">
        <f t="shared" si="235"/>
        <v/>
      </c>
      <c r="BK1441" s="9" t="str">
        <f>IF($B1441="","",COUNTIFS($B$5:$B1441,$B1441,$BF$5:$BF1441,$BF1441))</f>
        <v/>
      </c>
      <c r="BL1441" s="9" t="str">
        <f>IF($B1441="","",COUNTIFS($B$5:$B1441,$B1441,$BH$5:$BH1441,$BH1441))</f>
        <v/>
      </c>
      <c r="BM1441" s="9" t="str">
        <f t="shared" si="236"/>
        <v/>
      </c>
      <c r="BN1441" s="9" t="str">
        <f t="shared" si="237"/>
        <v/>
      </c>
      <c r="BO1441" s="9">
        <f t="shared" si="238"/>
        <v>0</v>
      </c>
      <c r="BR1441" s="12" t="str">
        <f t="shared" si="239"/>
        <v/>
      </c>
    </row>
    <row r="1442" spans="1:70" ht="14.25" customHeight="1">
      <c r="A1442" s="26"/>
      <c r="C1442" s="26"/>
      <c r="D1442" s="27"/>
      <c r="E1442" s="27"/>
      <c r="BE1442" s="10" t="str">
        <f t="shared" si="230"/>
        <v/>
      </c>
      <c r="BF1442" s="8" t="str">
        <f t="shared" si="231"/>
        <v/>
      </c>
      <c r="BG1442" s="11" t="str">
        <f t="shared" si="232"/>
        <v/>
      </c>
      <c r="BH1442" s="8" t="str">
        <f t="shared" si="233"/>
        <v/>
      </c>
      <c r="BI1442" s="8" t="str">
        <f t="shared" si="234"/>
        <v/>
      </c>
      <c r="BJ1442" s="9" t="str">
        <f t="shared" si="235"/>
        <v/>
      </c>
      <c r="BK1442" s="9" t="str">
        <f>IF($B1442="","",COUNTIFS($B$5:$B1442,$B1442,$BF$5:$BF1442,$BF1442))</f>
        <v/>
      </c>
      <c r="BL1442" s="9" t="str">
        <f>IF($B1442="","",COUNTIFS($B$5:$B1442,$B1442,$BH$5:$BH1442,$BH1442))</f>
        <v/>
      </c>
      <c r="BM1442" s="9" t="str">
        <f t="shared" si="236"/>
        <v/>
      </c>
      <c r="BN1442" s="9" t="str">
        <f t="shared" si="237"/>
        <v/>
      </c>
      <c r="BO1442" s="9">
        <f t="shared" si="238"/>
        <v>0</v>
      </c>
      <c r="BR1442" s="12" t="str">
        <f t="shared" si="239"/>
        <v/>
      </c>
    </row>
    <row r="1443" spans="1:70" ht="14.25" customHeight="1">
      <c r="A1443" s="26"/>
      <c r="C1443" s="26"/>
      <c r="D1443" s="27"/>
      <c r="E1443" s="27"/>
      <c r="BE1443" s="10" t="str">
        <f t="shared" si="230"/>
        <v/>
      </c>
      <c r="BF1443" s="8" t="str">
        <f t="shared" si="231"/>
        <v/>
      </c>
      <c r="BG1443" s="11" t="str">
        <f t="shared" si="232"/>
        <v/>
      </c>
      <c r="BH1443" s="8" t="str">
        <f t="shared" si="233"/>
        <v/>
      </c>
      <c r="BI1443" s="8" t="str">
        <f t="shared" si="234"/>
        <v/>
      </c>
      <c r="BJ1443" s="9" t="str">
        <f t="shared" si="235"/>
        <v/>
      </c>
      <c r="BK1443" s="9" t="str">
        <f>IF($B1443="","",COUNTIFS($B$5:$B1443,$B1443,$BF$5:$BF1443,$BF1443))</f>
        <v/>
      </c>
      <c r="BL1443" s="9" t="str">
        <f>IF($B1443="","",COUNTIFS($B$5:$B1443,$B1443,$BH$5:$BH1443,$BH1443))</f>
        <v/>
      </c>
      <c r="BM1443" s="9" t="str">
        <f t="shared" si="236"/>
        <v/>
      </c>
      <c r="BN1443" s="9" t="str">
        <f t="shared" si="237"/>
        <v/>
      </c>
      <c r="BO1443" s="9">
        <f t="shared" si="238"/>
        <v>0</v>
      </c>
      <c r="BR1443" s="12" t="str">
        <f t="shared" si="239"/>
        <v/>
      </c>
    </row>
    <row r="1444" spans="1:70" ht="14.25" customHeight="1">
      <c r="A1444" s="26"/>
      <c r="C1444" s="26"/>
      <c r="D1444" s="27"/>
      <c r="E1444" s="27"/>
      <c r="BE1444" s="10" t="str">
        <f t="shared" si="230"/>
        <v/>
      </c>
      <c r="BF1444" s="8" t="str">
        <f t="shared" si="231"/>
        <v/>
      </c>
      <c r="BG1444" s="11" t="str">
        <f t="shared" si="232"/>
        <v/>
      </c>
      <c r="BH1444" s="8" t="str">
        <f t="shared" si="233"/>
        <v/>
      </c>
      <c r="BI1444" s="8" t="str">
        <f t="shared" si="234"/>
        <v/>
      </c>
      <c r="BJ1444" s="9" t="str">
        <f t="shared" si="235"/>
        <v/>
      </c>
      <c r="BK1444" s="9" t="str">
        <f>IF($B1444="","",COUNTIFS($B$5:$B1444,$B1444,$BF$5:$BF1444,$BF1444))</f>
        <v/>
      </c>
      <c r="BL1444" s="9" t="str">
        <f>IF($B1444="","",COUNTIFS($B$5:$B1444,$B1444,$BH$5:$BH1444,$BH1444))</f>
        <v/>
      </c>
      <c r="BM1444" s="9" t="str">
        <f t="shared" si="236"/>
        <v/>
      </c>
      <c r="BN1444" s="9" t="str">
        <f t="shared" si="237"/>
        <v/>
      </c>
      <c r="BO1444" s="9">
        <f t="shared" si="238"/>
        <v>0</v>
      </c>
      <c r="BR1444" s="12" t="str">
        <f t="shared" si="239"/>
        <v/>
      </c>
    </row>
    <row r="1445" spans="1:70" ht="14.25" customHeight="1">
      <c r="A1445" s="26"/>
      <c r="C1445" s="26"/>
      <c r="D1445" s="27"/>
      <c r="E1445" s="27"/>
      <c r="BE1445" s="10" t="str">
        <f t="shared" si="230"/>
        <v/>
      </c>
      <c r="BF1445" s="8" t="str">
        <f t="shared" si="231"/>
        <v/>
      </c>
      <c r="BG1445" s="11" t="str">
        <f t="shared" si="232"/>
        <v/>
      </c>
      <c r="BH1445" s="8" t="str">
        <f t="shared" si="233"/>
        <v/>
      </c>
      <c r="BI1445" s="8" t="str">
        <f t="shared" si="234"/>
        <v/>
      </c>
      <c r="BJ1445" s="9" t="str">
        <f t="shared" si="235"/>
        <v/>
      </c>
      <c r="BK1445" s="9" t="str">
        <f>IF($B1445="","",COUNTIFS($B$5:$B1445,$B1445,$BF$5:$BF1445,$BF1445))</f>
        <v/>
      </c>
      <c r="BL1445" s="9" t="str">
        <f>IF($B1445="","",COUNTIFS($B$5:$B1445,$B1445,$BH$5:$BH1445,$BH1445))</f>
        <v/>
      </c>
      <c r="BM1445" s="9" t="str">
        <f t="shared" si="236"/>
        <v/>
      </c>
      <c r="BN1445" s="9" t="str">
        <f t="shared" si="237"/>
        <v/>
      </c>
      <c r="BO1445" s="9">
        <f t="shared" si="238"/>
        <v>0</v>
      </c>
      <c r="BR1445" s="12" t="str">
        <f t="shared" si="239"/>
        <v/>
      </c>
    </row>
    <row r="1446" spans="1:70" ht="14.25" customHeight="1">
      <c r="A1446" s="26"/>
      <c r="C1446" s="26"/>
      <c r="D1446" s="27"/>
      <c r="E1446" s="27"/>
      <c r="BE1446" s="10" t="str">
        <f t="shared" si="230"/>
        <v/>
      </c>
      <c r="BF1446" s="8" t="str">
        <f t="shared" si="231"/>
        <v/>
      </c>
      <c r="BG1446" s="11" t="str">
        <f t="shared" si="232"/>
        <v/>
      </c>
      <c r="BH1446" s="8" t="str">
        <f t="shared" si="233"/>
        <v/>
      </c>
      <c r="BI1446" s="8" t="str">
        <f t="shared" si="234"/>
        <v/>
      </c>
      <c r="BJ1446" s="9" t="str">
        <f t="shared" si="235"/>
        <v/>
      </c>
      <c r="BK1446" s="9" t="str">
        <f>IF($B1446="","",COUNTIFS($B$5:$B1446,$B1446,$BF$5:$BF1446,$BF1446))</f>
        <v/>
      </c>
      <c r="BL1446" s="9" t="str">
        <f>IF($B1446="","",COUNTIFS($B$5:$B1446,$B1446,$BH$5:$BH1446,$BH1446))</f>
        <v/>
      </c>
      <c r="BM1446" s="9" t="str">
        <f t="shared" si="236"/>
        <v/>
      </c>
      <c r="BN1446" s="9" t="str">
        <f t="shared" si="237"/>
        <v/>
      </c>
      <c r="BO1446" s="9">
        <f t="shared" si="238"/>
        <v>0</v>
      </c>
      <c r="BR1446" s="12" t="str">
        <f t="shared" si="239"/>
        <v/>
      </c>
    </row>
    <row r="1447" spans="1:70" ht="14.25" customHeight="1">
      <c r="A1447" s="26"/>
      <c r="C1447" s="26"/>
      <c r="D1447" s="27"/>
      <c r="E1447" s="27"/>
      <c r="BE1447" s="10" t="str">
        <f t="shared" si="230"/>
        <v/>
      </c>
      <c r="BF1447" s="8" t="str">
        <f t="shared" si="231"/>
        <v/>
      </c>
      <c r="BG1447" s="11" t="str">
        <f t="shared" si="232"/>
        <v/>
      </c>
      <c r="BH1447" s="8" t="str">
        <f t="shared" si="233"/>
        <v/>
      </c>
      <c r="BI1447" s="8" t="str">
        <f t="shared" si="234"/>
        <v/>
      </c>
      <c r="BJ1447" s="9" t="str">
        <f t="shared" si="235"/>
        <v/>
      </c>
      <c r="BK1447" s="9" t="str">
        <f>IF($B1447="","",COUNTIFS($B$5:$B1447,$B1447,$BF$5:$BF1447,$BF1447))</f>
        <v/>
      </c>
      <c r="BL1447" s="9" t="str">
        <f>IF($B1447="","",COUNTIFS($B$5:$B1447,$B1447,$BH$5:$BH1447,$BH1447))</f>
        <v/>
      </c>
      <c r="BM1447" s="9" t="str">
        <f t="shared" si="236"/>
        <v/>
      </c>
      <c r="BN1447" s="9" t="str">
        <f t="shared" si="237"/>
        <v/>
      </c>
      <c r="BO1447" s="9">
        <f t="shared" si="238"/>
        <v>0</v>
      </c>
      <c r="BR1447" s="12" t="str">
        <f t="shared" si="239"/>
        <v/>
      </c>
    </row>
    <row r="1448" spans="1:70" ht="14.25" customHeight="1">
      <c r="A1448" s="26"/>
      <c r="C1448" s="26"/>
      <c r="D1448" s="27"/>
      <c r="E1448" s="27"/>
      <c r="BE1448" s="10" t="str">
        <f t="shared" si="230"/>
        <v/>
      </c>
      <c r="BF1448" s="8" t="str">
        <f t="shared" si="231"/>
        <v/>
      </c>
      <c r="BG1448" s="11" t="str">
        <f t="shared" si="232"/>
        <v/>
      </c>
      <c r="BH1448" s="8" t="str">
        <f t="shared" si="233"/>
        <v/>
      </c>
      <c r="BI1448" s="8" t="str">
        <f t="shared" si="234"/>
        <v/>
      </c>
      <c r="BJ1448" s="9" t="str">
        <f t="shared" si="235"/>
        <v/>
      </c>
      <c r="BK1448" s="9" t="str">
        <f>IF($B1448="","",COUNTIFS($B$5:$B1448,$B1448,$BF$5:$BF1448,$BF1448))</f>
        <v/>
      </c>
      <c r="BL1448" s="9" t="str">
        <f>IF($B1448="","",COUNTIFS($B$5:$B1448,$B1448,$BH$5:$BH1448,$BH1448))</f>
        <v/>
      </c>
      <c r="BM1448" s="9" t="str">
        <f t="shared" si="236"/>
        <v/>
      </c>
      <c r="BN1448" s="9" t="str">
        <f t="shared" si="237"/>
        <v/>
      </c>
      <c r="BO1448" s="9">
        <f t="shared" si="238"/>
        <v>0</v>
      </c>
      <c r="BR1448" s="12" t="str">
        <f t="shared" si="239"/>
        <v/>
      </c>
    </row>
    <row r="1449" spans="1:70" ht="14.25" customHeight="1">
      <c r="A1449" s="26"/>
      <c r="C1449" s="26"/>
      <c r="D1449" s="27"/>
      <c r="E1449" s="27"/>
      <c r="BE1449" s="10" t="str">
        <f t="shared" si="230"/>
        <v/>
      </c>
      <c r="BF1449" s="8" t="str">
        <f t="shared" si="231"/>
        <v/>
      </c>
      <c r="BG1449" s="11" t="str">
        <f t="shared" si="232"/>
        <v/>
      </c>
      <c r="BH1449" s="8" t="str">
        <f t="shared" si="233"/>
        <v/>
      </c>
      <c r="BI1449" s="8" t="str">
        <f t="shared" si="234"/>
        <v/>
      </c>
      <c r="BJ1449" s="9" t="str">
        <f t="shared" si="235"/>
        <v/>
      </c>
      <c r="BK1449" s="9" t="str">
        <f>IF($B1449="","",COUNTIFS($B$5:$B1449,$B1449,$BF$5:$BF1449,$BF1449))</f>
        <v/>
      </c>
      <c r="BL1449" s="9" t="str">
        <f>IF($B1449="","",COUNTIFS($B$5:$B1449,$B1449,$BH$5:$BH1449,$BH1449))</f>
        <v/>
      </c>
      <c r="BM1449" s="9" t="str">
        <f t="shared" si="236"/>
        <v/>
      </c>
      <c r="BN1449" s="9" t="str">
        <f t="shared" si="237"/>
        <v/>
      </c>
      <c r="BO1449" s="9">
        <f t="shared" si="238"/>
        <v>0</v>
      </c>
      <c r="BR1449" s="12" t="str">
        <f t="shared" si="239"/>
        <v/>
      </c>
    </row>
    <row r="1450" spans="1:70" ht="14.25" customHeight="1">
      <c r="A1450" s="26"/>
      <c r="C1450" s="26"/>
      <c r="D1450" s="27"/>
      <c r="E1450" s="27"/>
      <c r="BE1450" s="10" t="str">
        <f t="shared" si="230"/>
        <v/>
      </c>
      <c r="BF1450" s="8" t="str">
        <f t="shared" si="231"/>
        <v/>
      </c>
      <c r="BG1450" s="11" t="str">
        <f t="shared" si="232"/>
        <v/>
      </c>
      <c r="BH1450" s="8" t="str">
        <f t="shared" si="233"/>
        <v/>
      </c>
      <c r="BI1450" s="8" t="str">
        <f t="shared" si="234"/>
        <v/>
      </c>
      <c r="BJ1450" s="9" t="str">
        <f t="shared" si="235"/>
        <v/>
      </c>
      <c r="BK1450" s="9" t="str">
        <f>IF($B1450="","",COUNTIFS($B$5:$B1450,$B1450,$BF$5:$BF1450,$BF1450))</f>
        <v/>
      </c>
      <c r="BL1450" s="9" t="str">
        <f>IF($B1450="","",COUNTIFS($B$5:$B1450,$B1450,$BH$5:$BH1450,$BH1450))</f>
        <v/>
      </c>
      <c r="BM1450" s="9" t="str">
        <f t="shared" si="236"/>
        <v/>
      </c>
      <c r="BN1450" s="9" t="str">
        <f t="shared" si="237"/>
        <v/>
      </c>
      <c r="BO1450" s="9">
        <f t="shared" si="238"/>
        <v>0</v>
      </c>
      <c r="BR1450" s="12" t="str">
        <f t="shared" si="239"/>
        <v/>
      </c>
    </row>
    <row r="1451" spans="1:70" ht="14.25" customHeight="1">
      <c r="A1451" s="26"/>
      <c r="C1451" s="26"/>
      <c r="D1451" s="27"/>
      <c r="E1451" s="27"/>
      <c r="BE1451" s="10" t="str">
        <f t="shared" si="230"/>
        <v/>
      </c>
      <c r="BF1451" s="8" t="str">
        <f t="shared" si="231"/>
        <v/>
      </c>
      <c r="BG1451" s="11" t="str">
        <f t="shared" si="232"/>
        <v/>
      </c>
      <c r="BH1451" s="8" t="str">
        <f t="shared" si="233"/>
        <v/>
      </c>
      <c r="BI1451" s="8" t="str">
        <f t="shared" si="234"/>
        <v/>
      </c>
      <c r="BJ1451" s="9" t="str">
        <f t="shared" si="235"/>
        <v/>
      </c>
      <c r="BK1451" s="9" t="str">
        <f>IF($B1451="","",COUNTIFS($B$5:$B1451,$B1451,$BF$5:$BF1451,$BF1451))</f>
        <v/>
      </c>
      <c r="BL1451" s="9" t="str">
        <f>IF($B1451="","",COUNTIFS($B$5:$B1451,$B1451,$BH$5:$BH1451,$BH1451))</f>
        <v/>
      </c>
      <c r="BM1451" s="9" t="str">
        <f t="shared" si="236"/>
        <v/>
      </c>
      <c r="BN1451" s="9" t="str">
        <f t="shared" si="237"/>
        <v/>
      </c>
      <c r="BO1451" s="9">
        <f t="shared" si="238"/>
        <v>0</v>
      </c>
      <c r="BR1451" s="12" t="str">
        <f t="shared" si="239"/>
        <v/>
      </c>
    </row>
    <row r="1452" spans="1:70" ht="14.25" customHeight="1">
      <c r="A1452" s="26"/>
      <c r="C1452" s="26"/>
      <c r="D1452" s="27"/>
      <c r="E1452" s="27"/>
      <c r="BE1452" s="10" t="str">
        <f t="shared" si="230"/>
        <v/>
      </c>
      <c r="BF1452" s="8" t="str">
        <f t="shared" si="231"/>
        <v/>
      </c>
      <c r="BG1452" s="11" t="str">
        <f t="shared" si="232"/>
        <v/>
      </c>
      <c r="BH1452" s="8" t="str">
        <f t="shared" si="233"/>
        <v/>
      </c>
      <c r="BI1452" s="8" t="str">
        <f t="shared" si="234"/>
        <v/>
      </c>
      <c r="BJ1452" s="9" t="str">
        <f t="shared" si="235"/>
        <v/>
      </c>
      <c r="BK1452" s="9" t="str">
        <f>IF($B1452="","",COUNTIFS($B$5:$B1452,$B1452,$BF$5:$BF1452,$BF1452))</f>
        <v/>
      </c>
      <c r="BL1452" s="9" t="str">
        <f>IF($B1452="","",COUNTIFS($B$5:$B1452,$B1452,$BH$5:$BH1452,$BH1452))</f>
        <v/>
      </c>
      <c r="BM1452" s="9" t="str">
        <f t="shared" si="236"/>
        <v/>
      </c>
      <c r="BN1452" s="9" t="str">
        <f t="shared" si="237"/>
        <v/>
      </c>
      <c r="BO1452" s="9">
        <f t="shared" si="238"/>
        <v>0</v>
      </c>
      <c r="BR1452" s="12" t="str">
        <f t="shared" si="239"/>
        <v/>
      </c>
    </row>
    <row r="1453" spans="1:70" ht="14.25" customHeight="1">
      <c r="A1453" s="26"/>
      <c r="C1453" s="26"/>
      <c r="D1453" s="27"/>
      <c r="E1453" s="27"/>
      <c r="BE1453" s="10" t="str">
        <f t="shared" si="230"/>
        <v/>
      </c>
      <c r="BF1453" s="8" t="str">
        <f t="shared" si="231"/>
        <v/>
      </c>
      <c r="BG1453" s="11" t="str">
        <f t="shared" si="232"/>
        <v/>
      </c>
      <c r="BH1453" s="8" t="str">
        <f t="shared" si="233"/>
        <v/>
      </c>
      <c r="BI1453" s="8" t="str">
        <f t="shared" si="234"/>
        <v/>
      </c>
      <c r="BJ1453" s="9" t="str">
        <f t="shared" si="235"/>
        <v/>
      </c>
      <c r="BK1453" s="9" t="str">
        <f>IF($B1453="","",COUNTIFS($B$5:$B1453,$B1453,$BF$5:$BF1453,$BF1453))</f>
        <v/>
      </c>
      <c r="BL1453" s="9" t="str">
        <f>IF($B1453="","",COUNTIFS($B$5:$B1453,$B1453,$BH$5:$BH1453,$BH1453))</f>
        <v/>
      </c>
      <c r="BM1453" s="9" t="str">
        <f t="shared" si="236"/>
        <v/>
      </c>
      <c r="BN1453" s="9" t="str">
        <f t="shared" si="237"/>
        <v/>
      </c>
      <c r="BO1453" s="9">
        <f t="shared" si="238"/>
        <v>0</v>
      </c>
      <c r="BR1453" s="12" t="str">
        <f t="shared" si="239"/>
        <v/>
      </c>
    </row>
    <row r="1454" spans="1:70" ht="14.25" customHeight="1">
      <c r="A1454" s="26"/>
      <c r="C1454" s="26"/>
      <c r="D1454" s="27"/>
      <c r="E1454" s="27"/>
      <c r="BE1454" s="10" t="str">
        <f t="shared" si="230"/>
        <v/>
      </c>
      <c r="BF1454" s="8" t="str">
        <f t="shared" si="231"/>
        <v/>
      </c>
      <c r="BG1454" s="11" t="str">
        <f t="shared" si="232"/>
        <v/>
      </c>
      <c r="BH1454" s="8" t="str">
        <f t="shared" si="233"/>
        <v/>
      </c>
      <c r="BI1454" s="8" t="str">
        <f t="shared" si="234"/>
        <v/>
      </c>
      <c r="BJ1454" s="9" t="str">
        <f t="shared" si="235"/>
        <v/>
      </c>
      <c r="BK1454" s="9" t="str">
        <f>IF($B1454="","",COUNTIFS($B$5:$B1454,$B1454,$BF$5:$BF1454,$BF1454))</f>
        <v/>
      </c>
      <c r="BL1454" s="9" t="str">
        <f>IF($B1454="","",COUNTIFS($B$5:$B1454,$B1454,$BH$5:$BH1454,$BH1454))</f>
        <v/>
      </c>
      <c r="BM1454" s="9" t="str">
        <f t="shared" si="236"/>
        <v/>
      </c>
      <c r="BN1454" s="9" t="str">
        <f t="shared" si="237"/>
        <v/>
      </c>
      <c r="BO1454" s="9">
        <f t="shared" si="238"/>
        <v>0</v>
      </c>
      <c r="BR1454" s="12" t="str">
        <f t="shared" si="239"/>
        <v/>
      </c>
    </row>
    <row r="1455" spans="1:70" ht="14.25" customHeight="1">
      <c r="A1455" s="26"/>
      <c r="C1455" s="26"/>
      <c r="D1455" s="27"/>
      <c r="E1455" s="27"/>
      <c r="BE1455" s="10" t="str">
        <f t="shared" si="230"/>
        <v/>
      </c>
      <c r="BF1455" s="8" t="str">
        <f t="shared" si="231"/>
        <v/>
      </c>
      <c r="BG1455" s="11" t="str">
        <f t="shared" si="232"/>
        <v/>
      </c>
      <c r="BH1455" s="8" t="str">
        <f t="shared" si="233"/>
        <v/>
      </c>
      <c r="BI1455" s="8" t="str">
        <f t="shared" si="234"/>
        <v/>
      </c>
      <c r="BJ1455" s="9" t="str">
        <f t="shared" si="235"/>
        <v/>
      </c>
      <c r="BK1455" s="9" t="str">
        <f>IF($B1455="","",COUNTIFS($B$5:$B1455,$B1455,$BF$5:$BF1455,$BF1455))</f>
        <v/>
      </c>
      <c r="BL1455" s="9" t="str">
        <f>IF($B1455="","",COUNTIFS($B$5:$B1455,$B1455,$BH$5:$BH1455,$BH1455))</f>
        <v/>
      </c>
      <c r="BM1455" s="9" t="str">
        <f t="shared" si="236"/>
        <v/>
      </c>
      <c r="BN1455" s="9" t="str">
        <f t="shared" si="237"/>
        <v/>
      </c>
      <c r="BO1455" s="9">
        <f t="shared" si="238"/>
        <v>0</v>
      </c>
      <c r="BR1455" s="12" t="str">
        <f t="shared" si="239"/>
        <v/>
      </c>
    </row>
    <row r="1456" spans="1:70" ht="14.25" customHeight="1">
      <c r="A1456" s="26"/>
      <c r="C1456" s="26"/>
      <c r="D1456" s="27"/>
      <c r="E1456" s="27"/>
      <c r="BE1456" s="10" t="str">
        <f t="shared" si="230"/>
        <v/>
      </c>
      <c r="BF1456" s="8" t="str">
        <f t="shared" si="231"/>
        <v/>
      </c>
      <c r="BG1456" s="11" t="str">
        <f t="shared" si="232"/>
        <v/>
      </c>
      <c r="BH1456" s="8" t="str">
        <f t="shared" si="233"/>
        <v/>
      </c>
      <c r="BI1456" s="8" t="str">
        <f t="shared" si="234"/>
        <v/>
      </c>
      <c r="BJ1456" s="9" t="str">
        <f t="shared" si="235"/>
        <v/>
      </c>
      <c r="BK1456" s="9" t="str">
        <f>IF($B1456="","",COUNTIFS($B$5:$B1456,$B1456,$BF$5:$BF1456,$BF1456))</f>
        <v/>
      </c>
      <c r="BL1456" s="9" t="str">
        <f>IF($B1456="","",COUNTIFS($B$5:$B1456,$B1456,$BH$5:$BH1456,$BH1456))</f>
        <v/>
      </c>
      <c r="BM1456" s="9" t="str">
        <f t="shared" si="236"/>
        <v/>
      </c>
      <c r="BN1456" s="9" t="str">
        <f t="shared" si="237"/>
        <v/>
      </c>
      <c r="BO1456" s="9">
        <f t="shared" si="238"/>
        <v>0</v>
      </c>
      <c r="BR1456" s="12" t="str">
        <f t="shared" si="239"/>
        <v/>
      </c>
    </row>
    <row r="1457" spans="1:70" ht="14.25" customHeight="1">
      <c r="A1457" s="26"/>
      <c r="C1457" s="26"/>
      <c r="D1457" s="27"/>
      <c r="E1457" s="27"/>
      <c r="BE1457" s="10" t="str">
        <f t="shared" si="230"/>
        <v/>
      </c>
      <c r="BF1457" s="8" t="str">
        <f t="shared" si="231"/>
        <v/>
      </c>
      <c r="BG1457" s="11" t="str">
        <f t="shared" si="232"/>
        <v/>
      </c>
      <c r="BH1457" s="8" t="str">
        <f t="shared" si="233"/>
        <v/>
      </c>
      <c r="BI1457" s="8" t="str">
        <f t="shared" si="234"/>
        <v/>
      </c>
      <c r="BJ1457" s="9" t="str">
        <f t="shared" si="235"/>
        <v/>
      </c>
      <c r="BK1457" s="9" t="str">
        <f>IF($B1457="","",COUNTIFS($B$5:$B1457,$B1457,$BF$5:$BF1457,$BF1457))</f>
        <v/>
      </c>
      <c r="BL1457" s="9" t="str">
        <f>IF($B1457="","",COUNTIFS($B$5:$B1457,$B1457,$BH$5:$BH1457,$BH1457))</f>
        <v/>
      </c>
      <c r="BM1457" s="9" t="str">
        <f t="shared" si="236"/>
        <v/>
      </c>
      <c r="BN1457" s="9" t="str">
        <f t="shared" si="237"/>
        <v/>
      </c>
      <c r="BO1457" s="9">
        <f t="shared" si="238"/>
        <v>0</v>
      </c>
      <c r="BR1457" s="12" t="str">
        <f t="shared" si="239"/>
        <v/>
      </c>
    </row>
    <row r="1458" spans="1:70" ht="14.25" customHeight="1">
      <c r="A1458" s="26"/>
      <c r="C1458" s="26"/>
      <c r="D1458" s="27"/>
      <c r="E1458" s="27"/>
      <c r="BE1458" s="10" t="str">
        <f t="shared" si="230"/>
        <v/>
      </c>
      <c r="BF1458" s="8" t="str">
        <f t="shared" si="231"/>
        <v/>
      </c>
      <c r="BG1458" s="11" t="str">
        <f t="shared" si="232"/>
        <v/>
      </c>
      <c r="BH1458" s="8" t="str">
        <f t="shared" si="233"/>
        <v/>
      </c>
      <c r="BI1458" s="8" t="str">
        <f t="shared" si="234"/>
        <v/>
      </c>
      <c r="BJ1458" s="9" t="str">
        <f t="shared" si="235"/>
        <v/>
      </c>
      <c r="BK1458" s="9" t="str">
        <f>IF($B1458="","",COUNTIFS($B$5:$B1458,$B1458,$BF$5:$BF1458,$BF1458))</f>
        <v/>
      </c>
      <c r="BL1458" s="9" t="str">
        <f>IF($B1458="","",COUNTIFS($B$5:$B1458,$B1458,$BH$5:$BH1458,$BH1458))</f>
        <v/>
      </c>
      <c r="BM1458" s="9" t="str">
        <f t="shared" si="236"/>
        <v/>
      </c>
      <c r="BN1458" s="9" t="str">
        <f t="shared" si="237"/>
        <v/>
      </c>
      <c r="BO1458" s="9">
        <f t="shared" si="238"/>
        <v>0</v>
      </c>
      <c r="BR1458" s="12" t="str">
        <f t="shared" si="239"/>
        <v/>
      </c>
    </row>
    <row r="1459" spans="1:70" ht="14.25" customHeight="1">
      <c r="A1459" s="26"/>
      <c r="C1459" s="26"/>
      <c r="D1459" s="27"/>
      <c r="E1459" s="27"/>
      <c r="BE1459" s="10" t="str">
        <f t="shared" si="230"/>
        <v/>
      </c>
      <c r="BF1459" s="8" t="str">
        <f t="shared" si="231"/>
        <v/>
      </c>
      <c r="BG1459" s="11" t="str">
        <f t="shared" si="232"/>
        <v/>
      </c>
      <c r="BH1459" s="8" t="str">
        <f t="shared" si="233"/>
        <v/>
      </c>
      <c r="BI1459" s="8" t="str">
        <f t="shared" si="234"/>
        <v/>
      </c>
      <c r="BJ1459" s="9" t="str">
        <f t="shared" si="235"/>
        <v/>
      </c>
      <c r="BK1459" s="9" t="str">
        <f>IF($B1459="","",COUNTIFS($B$5:$B1459,$B1459,$BF$5:$BF1459,$BF1459))</f>
        <v/>
      </c>
      <c r="BL1459" s="9" t="str">
        <f>IF($B1459="","",COUNTIFS($B$5:$B1459,$B1459,$BH$5:$BH1459,$BH1459))</f>
        <v/>
      </c>
      <c r="BM1459" s="9" t="str">
        <f t="shared" si="236"/>
        <v/>
      </c>
      <c r="BN1459" s="9" t="str">
        <f t="shared" si="237"/>
        <v/>
      </c>
      <c r="BO1459" s="9">
        <f t="shared" si="238"/>
        <v>0</v>
      </c>
      <c r="BR1459" s="12" t="str">
        <f t="shared" si="239"/>
        <v/>
      </c>
    </row>
    <row r="1460" spans="1:70" ht="14.25" customHeight="1">
      <c r="A1460" s="26"/>
      <c r="C1460" s="26"/>
      <c r="D1460" s="27"/>
      <c r="E1460" s="27"/>
      <c r="BE1460" s="10" t="str">
        <f t="shared" si="230"/>
        <v/>
      </c>
      <c r="BF1460" s="8" t="str">
        <f t="shared" si="231"/>
        <v/>
      </c>
      <c r="BG1460" s="11" t="str">
        <f t="shared" si="232"/>
        <v/>
      </c>
      <c r="BH1460" s="8" t="str">
        <f t="shared" si="233"/>
        <v/>
      </c>
      <c r="BI1460" s="8" t="str">
        <f t="shared" si="234"/>
        <v/>
      </c>
      <c r="BJ1460" s="9" t="str">
        <f t="shared" si="235"/>
        <v/>
      </c>
      <c r="BK1460" s="9" t="str">
        <f>IF($B1460="","",COUNTIFS($B$5:$B1460,$B1460,$BF$5:$BF1460,$BF1460))</f>
        <v/>
      </c>
      <c r="BL1460" s="9" t="str">
        <f>IF($B1460="","",COUNTIFS($B$5:$B1460,$B1460,$BH$5:$BH1460,$BH1460))</f>
        <v/>
      </c>
      <c r="BM1460" s="9" t="str">
        <f t="shared" si="236"/>
        <v/>
      </c>
      <c r="BN1460" s="9" t="str">
        <f t="shared" si="237"/>
        <v/>
      </c>
      <c r="BO1460" s="9">
        <f t="shared" si="238"/>
        <v>0</v>
      </c>
      <c r="BR1460" s="12" t="str">
        <f t="shared" si="239"/>
        <v/>
      </c>
    </row>
    <row r="1461" spans="1:70" ht="14.25" customHeight="1">
      <c r="A1461" s="26"/>
      <c r="C1461" s="26"/>
      <c r="D1461" s="27"/>
      <c r="E1461" s="27"/>
      <c r="BE1461" s="10" t="str">
        <f t="shared" si="230"/>
        <v/>
      </c>
      <c r="BF1461" s="8" t="str">
        <f t="shared" si="231"/>
        <v/>
      </c>
      <c r="BG1461" s="11" t="str">
        <f t="shared" si="232"/>
        <v/>
      </c>
      <c r="BH1461" s="8" t="str">
        <f t="shared" si="233"/>
        <v/>
      </c>
      <c r="BI1461" s="8" t="str">
        <f t="shared" si="234"/>
        <v/>
      </c>
      <c r="BJ1461" s="9" t="str">
        <f t="shared" si="235"/>
        <v/>
      </c>
      <c r="BK1461" s="9" t="str">
        <f>IF($B1461="","",COUNTIFS($B$5:$B1461,$B1461,$BF$5:$BF1461,$BF1461))</f>
        <v/>
      </c>
      <c r="BL1461" s="9" t="str">
        <f>IF($B1461="","",COUNTIFS($B$5:$B1461,$B1461,$BH$5:$BH1461,$BH1461))</f>
        <v/>
      </c>
      <c r="BM1461" s="9" t="str">
        <f t="shared" si="236"/>
        <v/>
      </c>
      <c r="BN1461" s="9" t="str">
        <f t="shared" si="237"/>
        <v/>
      </c>
      <c r="BO1461" s="9">
        <f t="shared" si="238"/>
        <v>0</v>
      </c>
      <c r="BR1461" s="12" t="str">
        <f t="shared" si="239"/>
        <v/>
      </c>
    </row>
    <row r="1462" spans="1:70" ht="14.25" customHeight="1">
      <c r="A1462" s="26"/>
      <c r="C1462" s="26"/>
      <c r="D1462" s="27"/>
      <c r="E1462" s="27"/>
      <c r="BE1462" s="10" t="str">
        <f t="shared" si="230"/>
        <v/>
      </c>
      <c r="BF1462" s="8" t="str">
        <f t="shared" si="231"/>
        <v/>
      </c>
      <c r="BG1462" s="11" t="str">
        <f t="shared" si="232"/>
        <v/>
      </c>
      <c r="BH1462" s="8" t="str">
        <f t="shared" si="233"/>
        <v/>
      </c>
      <c r="BI1462" s="8" t="str">
        <f t="shared" si="234"/>
        <v/>
      </c>
      <c r="BJ1462" s="9" t="str">
        <f t="shared" si="235"/>
        <v/>
      </c>
      <c r="BK1462" s="9" t="str">
        <f>IF($B1462="","",COUNTIFS($B$5:$B1462,$B1462,$BF$5:$BF1462,$BF1462))</f>
        <v/>
      </c>
      <c r="BL1462" s="9" t="str">
        <f>IF($B1462="","",COUNTIFS($B$5:$B1462,$B1462,$BH$5:$BH1462,$BH1462))</f>
        <v/>
      </c>
      <c r="BM1462" s="9" t="str">
        <f t="shared" si="236"/>
        <v/>
      </c>
      <c r="BN1462" s="9" t="str">
        <f t="shared" si="237"/>
        <v/>
      </c>
      <c r="BO1462" s="9">
        <f t="shared" si="238"/>
        <v>0</v>
      </c>
      <c r="BR1462" s="12" t="str">
        <f t="shared" si="239"/>
        <v/>
      </c>
    </row>
    <row r="1463" spans="1:70" ht="14.25" customHeight="1">
      <c r="A1463" s="26"/>
      <c r="C1463" s="26"/>
      <c r="D1463" s="27"/>
      <c r="E1463" s="27"/>
      <c r="BE1463" s="10" t="str">
        <f t="shared" si="230"/>
        <v/>
      </c>
      <c r="BF1463" s="8" t="str">
        <f t="shared" si="231"/>
        <v/>
      </c>
      <c r="BG1463" s="11" t="str">
        <f t="shared" si="232"/>
        <v/>
      </c>
      <c r="BH1463" s="8" t="str">
        <f t="shared" si="233"/>
        <v/>
      </c>
      <c r="BI1463" s="8" t="str">
        <f t="shared" si="234"/>
        <v/>
      </c>
      <c r="BJ1463" s="9" t="str">
        <f t="shared" si="235"/>
        <v/>
      </c>
      <c r="BK1463" s="9" t="str">
        <f>IF($B1463="","",COUNTIFS($B$5:$B1463,$B1463,$BF$5:$BF1463,$BF1463))</f>
        <v/>
      </c>
      <c r="BL1463" s="9" t="str">
        <f>IF($B1463="","",COUNTIFS($B$5:$B1463,$B1463,$BH$5:$BH1463,$BH1463))</f>
        <v/>
      </c>
      <c r="BM1463" s="9" t="str">
        <f t="shared" si="236"/>
        <v/>
      </c>
      <c r="BN1463" s="9" t="str">
        <f t="shared" si="237"/>
        <v/>
      </c>
      <c r="BO1463" s="9">
        <f t="shared" si="238"/>
        <v>0</v>
      </c>
      <c r="BR1463" s="12" t="str">
        <f t="shared" si="239"/>
        <v/>
      </c>
    </row>
    <row r="1464" spans="1:70" ht="14.25" customHeight="1">
      <c r="A1464" s="26"/>
      <c r="C1464" s="26"/>
      <c r="D1464" s="27"/>
      <c r="E1464" s="27"/>
      <c r="BE1464" s="10" t="str">
        <f t="shared" si="230"/>
        <v/>
      </c>
      <c r="BF1464" s="8" t="str">
        <f t="shared" si="231"/>
        <v/>
      </c>
      <c r="BG1464" s="11" t="str">
        <f t="shared" si="232"/>
        <v/>
      </c>
      <c r="BH1464" s="8" t="str">
        <f t="shared" si="233"/>
        <v/>
      </c>
      <c r="BI1464" s="8" t="str">
        <f t="shared" si="234"/>
        <v/>
      </c>
      <c r="BJ1464" s="9" t="str">
        <f t="shared" si="235"/>
        <v/>
      </c>
      <c r="BK1464" s="9" t="str">
        <f>IF($B1464="","",COUNTIFS($B$5:$B1464,$B1464,$BF$5:$BF1464,$BF1464))</f>
        <v/>
      </c>
      <c r="BL1464" s="9" t="str">
        <f>IF($B1464="","",COUNTIFS($B$5:$B1464,$B1464,$BH$5:$BH1464,$BH1464))</f>
        <v/>
      </c>
      <c r="BM1464" s="9" t="str">
        <f t="shared" si="236"/>
        <v/>
      </c>
      <c r="BN1464" s="9" t="str">
        <f t="shared" si="237"/>
        <v/>
      </c>
      <c r="BO1464" s="9">
        <f t="shared" si="238"/>
        <v>0</v>
      </c>
      <c r="BR1464" s="12" t="str">
        <f t="shared" si="239"/>
        <v/>
      </c>
    </row>
    <row r="1465" spans="1:70" ht="14.25" customHeight="1">
      <c r="A1465" s="26"/>
      <c r="C1465" s="26"/>
      <c r="D1465" s="27"/>
      <c r="E1465" s="27"/>
      <c r="BE1465" s="10" t="str">
        <f t="shared" si="230"/>
        <v/>
      </c>
      <c r="BF1465" s="8" t="str">
        <f t="shared" si="231"/>
        <v/>
      </c>
      <c r="BG1465" s="11" t="str">
        <f t="shared" si="232"/>
        <v/>
      </c>
      <c r="BH1465" s="8" t="str">
        <f t="shared" si="233"/>
        <v/>
      </c>
      <c r="BI1465" s="8" t="str">
        <f t="shared" si="234"/>
        <v/>
      </c>
      <c r="BJ1465" s="9" t="str">
        <f t="shared" si="235"/>
        <v/>
      </c>
      <c r="BK1465" s="9" t="str">
        <f>IF($B1465="","",COUNTIFS($B$5:$B1465,$B1465,$BF$5:$BF1465,$BF1465))</f>
        <v/>
      </c>
      <c r="BL1465" s="9" t="str">
        <f>IF($B1465="","",COUNTIFS($B$5:$B1465,$B1465,$BH$5:$BH1465,$BH1465))</f>
        <v/>
      </c>
      <c r="BM1465" s="9" t="str">
        <f t="shared" si="236"/>
        <v/>
      </c>
      <c r="BN1465" s="9" t="str">
        <f t="shared" si="237"/>
        <v/>
      </c>
      <c r="BO1465" s="9">
        <f t="shared" si="238"/>
        <v>0</v>
      </c>
      <c r="BR1465" s="12" t="str">
        <f t="shared" si="239"/>
        <v/>
      </c>
    </row>
    <row r="1466" spans="1:70" ht="14.25" customHeight="1">
      <c r="A1466" s="26"/>
      <c r="C1466" s="26"/>
      <c r="D1466" s="27"/>
      <c r="E1466" s="27"/>
      <c r="BE1466" s="10" t="str">
        <f t="shared" si="230"/>
        <v/>
      </c>
      <c r="BF1466" s="8" t="str">
        <f t="shared" si="231"/>
        <v/>
      </c>
      <c r="BG1466" s="11" t="str">
        <f t="shared" si="232"/>
        <v/>
      </c>
      <c r="BH1466" s="8" t="str">
        <f t="shared" si="233"/>
        <v/>
      </c>
      <c r="BI1466" s="8" t="str">
        <f t="shared" si="234"/>
        <v/>
      </c>
      <c r="BJ1466" s="9" t="str">
        <f t="shared" si="235"/>
        <v/>
      </c>
      <c r="BK1466" s="9" t="str">
        <f>IF($B1466="","",COUNTIFS($B$5:$B1466,$B1466,$BF$5:$BF1466,$BF1466))</f>
        <v/>
      </c>
      <c r="BL1466" s="9" t="str">
        <f>IF($B1466="","",COUNTIFS($B$5:$B1466,$B1466,$BH$5:$BH1466,$BH1466))</f>
        <v/>
      </c>
      <c r="BM1466" s="9" t="str">
        <f t="shared" si="236"/>
        <v/>
      </c>
      <c r="BN1466" s="9" t="str">
        <f t="shared" si="237"/>
        <v/>
      </c>
      <c r="BO1466" s="9">
        <f t="shared" si="238"/>
        <v>0</v>
      </c>
      <c r="BR1466" s="12" t="str">
        <f t="shared" si="239"/>
        <v/>
      </c>
    </row>
    <row r="1467" spans="1:70" ht="14.25" customHeight="1">
      <c r="A1467" s="26"/>
      <c r="C1467" s="26"/>
      <c r="D1467" s="27"/>
      <c r="E1467" s="27"/>
      <c r="BE1467" s="10" t="str">
        <f t="shared" si="230"/>
        <v/>
      </c>
      <c r="BF1467" s="8" t="str">
        <f t="shared" si="231"/>
        <v/>
      </c>
      <c r="BG1467" s="11" t="str">
        <f t="shared" si="232"/>
        <v/>
      </c>
      <c r="BH1467" s="8" t="str">
        <f t="shared" si="233"/>
        <v/>
      </c>
      <c r="BI1467" s="8" t="str">
        <f t="shared" si="234"/>
        <v/>
      </c>
      <c r="BJ1467" s="9" t="str">
        <f t="shared" si="235"/>
        <v/>
      </c>
      <c r="BK1467" s="9" t="str">
        <f>IF($B1467="","",COUNTIFS($B$5:$B1467,$B1467,$BF$5:$BF1467,$BF1467))</f>
        <v/>
      </c>
      <c r="BL1467" s="9" t="str">
        <f>IF($B1467="","",COUNTIFS($B$5:$B1467,$B1467,$BH$5:$BH1467,$BH1467))</f>
        <v/>
      </c>
      <c r="BM1467" s="9" t="str">
        <f t="shared" si="236"/>
        <v/>
      </c>
      <c r="BN1467" s="9" t="str">
        <f t="shared" si="237"/>
        <v/>
      </c>
      <c r="BO1467" s="9">
        <f t="shared" si="238"/>
        <v>0</v>
      </c>
      <c r="BR1467" s="12" t="str">
        <f t="shared" si="239"/>
        <v/>
      </c>
    </row>
    <row r="1468" spans="1:70" ht="14.25" customHeight="1">
      <c r="A1468" s="26"/>
      <c r="C1468" s="26"/>
      <c r="D1468" s="27"/>
      <c r="E1468" s="27"/>
      <c r="BE1468" s="10" t="str">
        <f t="shared" si="230"/>
        <v/>
      </c>
      <c r="BF1468" s="8" t="str">
        <f t="shared" si="231"/>
        <v/>
      </c>
      <c r="BG1468" s="11" t="str">
        <f t="shared" si="232"/>
        <v/>
      </c>
      <c r="BH1468" s="8" t="str">
        <f t="shared" si="233"/>
        <v/>
      </c>
      <c r="BI1468" s="8" t="str">
        <f t="shared" si="234"/>
        <v/>
      </c>
      <c r="BJ1468" s="9" t="str">
        <f t="shared" si="235"/>
        <v/>
      </c>
      <c r="BK1468" s="9" t="str">
        <f>IF($B1468="","",COUNTIFS($B$5:$B1468,$B1468,$BF$5:$BF1468,$BF1468))</f>
        <v/>
      </c>
      <c r="BL1468" s="9" t="str">
        <f>IF($B1468="","",COUNTIFS($B$5:$B1468,$B1468,$BH$5:$BH1468,$BH1468))</f>
        <v/>
      </c>
      <c r="BM1468" s="9" t="str">
        <f t="shared" si="236"/>
        <v/>
      </c>
      <c r="BN1468" s="9" t="str">
        <f t="shared" si="237"/>
        <v/>
      </c>
      <c r="BO1468" s="9">
        <f t="shared" si="238"/>
        <v>0</v>
      </c>
      <c r="BR1468" s="12" t="str">
        <f t="shared" si="239"/>
        <v/>
      </c>
    </row>
    <row r="1469" spans="1:70" ht="14.25" customHeight="1">
      <c r="A1469" s="26"/>
      <c r="C1469" s="26"/>
      <c r="D1469" s="27"/>
      <c r="E1469" s="27"/>
      <c r="BE1469" s="10" t="str">
        <f t="shared" si="230"/>
        <v/>
      </c>
      <c r="BF1469" s="8" t="str">
        <f t="shared" si="231"/>
        <v/>
      </c>
      <c r="BG1469" s="11" t="str">
        <f t="shared" si="232"/>
        <v/>
      </c>
      <c r="BH1469" s="8" t="str">
        <f t="shared" si="233"/>
        <v/>
      </c>
      <c r="BI1469" s="8" t="str">
        <f t="shared" si="234"/>
        <v/>
      </c>
      <c r="BJ1469" s="9" t="str">
        <f t="shared" si="235"/>
        <v/>
      </c>
      <c r="BK1469" s="9" t="str">
        <f>IF($B1469="","",COUNTIFS($B$5:$B1469,$B1469,$BF$5:$BF1469,$BF1469))</f>
        <v/>
      </c>
      <c r="BL1469" s="9" t="str">
        <f>IF($B1469="","",COUNTIFS($B$5:$B1469,$B1469,$BH$5:$BH1469,$BH1469))</f>
        <v/>
      </c>
      <c r="BM1469" s="9" t="str">
        <f t="shared" si="236"/>
        <v/>
      </c>
      <c r="BN1469" s="9" t="str">
        <f t="shared" si="237"/>
        <v/>
      </c>
      <c r="BO1469" s="9">
        <f t="shared" si="238"/>
        <v>0</v>
      </c>
      <c r="BR1469" s="12" t="str">
        <f t="shared" si="239"/>
        <v/>
      </c>
    </row>
    <row r="1470" spans="1:70" ht="14.25" customHeight="1">
      <c r="A1470" s="26"/>
      <c r="C1470" s="26"/>
      <c r="D1470" s="27"/>
      <c r="E1470" s="27"/>
      <c r="BE1470" s="10" t="str">
        <f t="shared" si="230"/>
        <v/>
      </c>
      <c r="BF1470" s="8" t="str">
        <f t="shared" si="231"/>
        <v/>
      </c>
      <c r="BG1470" s="11" t="str">
        <f t="shared" si="232"/>
        <v/>
      </c>
      <c r="BH1470" s="8" t="str">
        <f t="shared" si="233"/>
        <v/>
      </c>
      <c r="BI1470" s="8" t="str">
        <f t="shared" si="234"/>
        <v/>
      </c>
      <c r="BJ1470" s="9" t="str">
        <f t="shared" si="235"/>
        <v/>
      </c>
      <c r="BK1470" s="9" t="str">
        <f>IF($B1470="","",COUNTIFS($B$5:$B1470,$B1470,$BF$5:$BF1470,$BF1470))</f>
        <v/>
      </c>
      <c r="BL1470" s="9" t="str">
        <f>IF($B1470="","",COUNTIFS($B$5:$B1470,$B1470,$BH$5:$BH1470,$BH1470))</f>
        <v/>
      </c>
      <c r="BM1470" s="9" t="str">
        <f t="shared" si="236"/>
        <v/>
      </c>
      <c r="BN1470" s="9" t="str">
        <f t="shared" si="237"/>
        <v/>
      </c>
      <c r="BO1470" s="9">
        <f t="shared" si="238"/>
        <v>0</v>
      </c>
      <c r="BR1470" s="12" t="str">
        <f t="shared" si="239"/>
        <v/>
      </c>
    </row>
    <row r="1471" spans="1:70" ht="14.25" customHeight="1">
      <c r="A1471" s="26"/>
      <c r="C1471" s="26"/>
      <c r="D1471" s="27"/>
      <c r="E1471" s="27"/>
      <c r="BE1471" s="10" t="str">
        <f t="shared" si="230"/>
        <v/>
      </c>
      <c r="BF1471" s="8" t="str">
        <f t="shared" si="231"/>
        <v/>
      </c>
      <c r="BG1471" s="11" t="str">
        <f t="shared" si="232"/>
        <v/>
      </c>
      <c r="BH1471" s="8" t="str">
        <f t="shared" si="233"/>
        <v/>
      </c>
      <c r="BI1471" s="8" t="str">
        <f t="shared" si="234"/>
        <v/>
      </c>
      <c r="BJ1471" s="9" t="str">
        <f t="shared" si="235"/>
        <v/>
      </c>
      <c r="BK1471" s="9" t="str">
        <f>IF($B1471="","",COUNTIFS($B$5:$B1471,$B1471,$BF$5:$BF1471,$BF1471))</f>
        <v/>
      </c>
      <c r="BL1471" s="9" t="str">
        <f>IF($B1471="","",COUNTIFS($B$5:$B1471,$B1471,$BH$5:$BH1471,$BH1471))</f>
        <v/>
      </c>
      <c r="BM1471" s="9" t="str">
        <f t="shared" si="236"/>
        <v/>
      </c>
      <c r="BN1471" s="9" t="str">
        <f t="shared" si="237"/>
        <v/>
      </c>
      <c r="BO1471" s="9">
        <f t="shared" si="238"/>
        <v>0</v>
      </c>
      <c r="BR1471" s="12" t="str">
        <f t="shared" si="239"/>
        <v/>
      </c>
    </row>
    <row r="1472" spans="1:70" ht="14.25" customHeight="1">
      <c r="A1472" s="26"/>
      <c r="C1472" s="26"/>
      <c r="D1472" s="27"/>
      <c r="E1472" s="27"/>
      <c r="BE1472" s="10" t="str">
        <f t="shared" si="230"/>
        <v/>
      </c>
      <c r="BF1472" s="8" t="str">
        <f t="shared" si="231"/>
        <v/>
      </c>
      <c r="BG1472" s="11" t="str">
        <f t="shared" si="232"/>
        <v/>
      </c>
      <c r="BH1472" s="8" t="str">
        <f t="shared" si="233"/>
        <v/>
      </c>
      <c r="BI1472" s="8" t="str">
        <f t="shared" si="234"/>
        <v/>
      </c>
      <c r="BJ1472" s="9" t="str">
        <f t="shared" si="235"/>
        <v/>
      </c>
      <c r="BK1472" s="9" t="str">
        <f>IF($B1472="","",COUNTIFS($B$5:$B1472,$B1472,$BF$5:$BF1472,$BF1472))</f>
        <v/>
      </c>
      <c r="BL1472" s="9" t="str">
        <f>IF($B1472="","",COUNTIFS($B$5:$B1472,$B1472,$BH$5:$BH1472,$BH1472))</f>
        <v/>
      </c>
      <c r="BM1472" s="9" t="str">
        <f t="shared" si="236"/>
        <v/>
      </c>
      <c r="BN1472" s="9" t="str">
        <f t="shared" si="237"/>
        <v/>
      </c>
      <c r="BO1472" s="9">
        <f t="shared" si="238"/>
        <v>0</v>
      </c>
      <c r="BR1472" s="12" t="str">
        <f t="shared" si="239"/>
        <v/>
      </c>
    </row>
    <row r="1473" spans="1:70" ht="14.25" customHeight="1">
      <c r="A1473" s="26"/>
      <c r="C1473" s="26"/>
      <c r="D1473" s="27"/>
      <c r="E1473" s="27"/>
      <c r="BE1473" s="10" t="str">
        <f t="shared" si="230"/>
        <v/>
      </c>
      <c r="BF1473" s="8" t="str">
        <f t="shared" si="231"/>
        <v/>
      </c>
      <c r="BG1473" s="11" t="str">
        <f t="shared" si="232"/>
        <v/>
      </c>
      <c r="BH1473" s="8" t="str">
        <f t="shared" si="233"/>
        <v/>
      </c>
      <c r="BI1473" s="8" t="str">
        <f t="shared" si="234"/>
        <v/>
      </c>
      <c r="BJ1473" s="9" t="str">
        <f t="shared" si="235"/>
        <v/>
      </c>
      <c r="BK1473" s="9" t="str">
        <f>IF($B1473="","",COUNTIFS($B$5:$B1473,$B1473,$BF$5:$BF1473,$BF1473))</f>
        <v/>
      </c>
      <c r="BL1473" s="9" t="str">
        <f>IF($B1473="","",COUNTIFS($B$5:$B1473,$B1473,$BH$5:$BH1473,$BH1473))</f>
        <v/>
      </c>
      <c r="BM1473" s="9" t="str">
        <f t="shared" si="236"/>
        <v/>
      </c>
      <c r="BN1473" s="9" t="str">
        <f t="shared" si="237"/>
        <v/>
      </c>
      <c r="BO1473" s="9">
        <f t="shared" si="238"/>
        <v>0</v>
      </c>
      <c r="BR1473" s="12" t="str">
        <f t="shared" si="239"/>
        <v/>
      </c>
    </row>
    <row r="1474" spans="1:70" ht="14.25" customHeight="1">
      <c r="A1474" s="26"/>
      <c r="C1474" s="26"/>
      <c r="D1474" s="27"/>
      <c r="E1474" s="27"/>
      <c r="BE1474" s="10" t="str">
        <f t="shared" si="230"/>
        <v/>
      </c>
      <c r="BF1474" s="8" t="str">
        <f t="shared" si="231"/>
        <v/>
      </c>
      <c r="BG1474" s="11" t="str">
        <f t="shared" si="232"/>
        <v/>
      </c>
      <c r="BH1474" s="8" t="str">
        <f t="shared" si="233"/>
        <v/>
      </c>
      <c r="BI1474" s="8" t="str">
        <f t="shared" si="234"/>
        <v/>
      </c>
      <c r="BJ1474" s="9" t="str">
        <f t="shared" si="235"/>
        <v/>
      </c>
      <c r="BK1474" s="9" t="str">
        <f>IF($B1474="","",COUNTIFS($B$5:$B1474,$B1474,$BF$5:$BF1474,$BF1474))</f>
        <v/>
      </c>
      <c r="BL1474" s="9" t="str">
        <f>IF($B1474="","",COUNTIFS($B$5:$B1474,$B1474,$BH$5:$BH1474,$BH1474))</f>
        <v/>
      </c>
      <c r="BM1474" s="9" t="str">
        <f t="shared" si="236"/>
        <v/>
      </c>
      <c r="BN1474" s="9" t="str">
        <f t="shared" si="237"/>
        <v/>
      </c>
      <c r="BO1474" s="9">
        <f t="shared" si="238"/>
        <v>0</v>
      </c>
      <c r="BR1474" s="12" t="str">
        <f t="shared" si="239"/>
        <v/>
      </c>
    </row>
    <row r="1475" spans="1:70" ht="14.25" customHeight="1">
      <c r="A1475" s="26"/>
      <c r="C1475" s="26"/>
      <c r="D1475" s="27"/>
      <c r="E1475" s="27"/>
      <c r="BE1475" s="10" t="str">
        <f t="shared" si="230"/>
        <v/>
      </c>
      <c r="BF1475" s="8" t="str">
        <f t="shared" si="231"/>
        <v/>
      </c>
      <c r="BG1475" s="11" t="str">
        <f t="shared" si="232"/>
        <v/>
      </c>
      <c r="BH1475" s="8" t="str">
        <f t="shared" si="233"/>
        <v/>
      </c>
      <c r="BI1475" s="8" t="str">
        <f t="shared" si="234"/>
        <v/>
      </c>
      <c r="BJ1475" s="9" t="str">
        <f t="shared" si="235"/>
        <v/>
      </c>
      <c r="BK1475" s="9" t="str">
        <f>IF($B1475="","",COUNTIFS($B$5:$B1475,$B1475,$BF$5:$BF1475,$BF1475))</f>
        <v/>
      </c>
      <c r="BL1475" s="9" t="str">
        <f>IF($B1475="","",COUNTIFS($B$5:$B1475,$B1475,$BH$5:$BH1475,$BH1475))</f>
        <v/>
      </c>
      <c r="BM1475" s="9" t="str">
        <f t="shared" si="236"/>
        <v/>
      </c>
      <c r="BN1475" s="9" t="str">
        <f t="shared" si="237"/>
        <v/>
      </c>
      <c r="BO1475" s="9">
        <f t="shared" si="238"/>
        <v>0</v>
      </c>
      <c r="BR1475" s="12" t="str">
        <f t="shared" si="239"/>
        <v/>
      </c>
    </row>
    <row r="1476" spans="1:70" ht="14.25" customHeight="1">
      <c r="A1476" s="26"/>
      <c r="C1476" s="26"/>
      <c r="D1476" s="27"/>
      <c r="E1476" s="27"/>
      <c r="BE1476" s="10" t="str">
        <f t="shared" si="230"/>
        <v/>
      </c>
      <c r="BF1476" s="8" t="str">
        <f t="shared" si="231"/>
        <v/>
      </c>
      <c r="BG1476" s="11" t="str">
        <f t="shared" si="232"/>
        <v/>
      </c>
      <c r="BH1476" s="8" t="str">
        <f t="shared" si="233"/>
        <v/>
      </c>
      <c r="BI1476" s="8" t="str">
        <f t="shared" si="234"/>
        <v/>
      </c>
      <c r="BJ1476" s="9" t="str">
        <f t="shared" si="235"/>
        <v/>
      </c>
      <c r="BK1476" s="9" t="str">
        <f>IF($B1476="","",COUNTIFS($B$5:$B1476,$B1476,$BF$5:$BF1476,$BF1476))</f>
        <v/>
      </c>
      <c r="BL1476" s="9" t="str">
        <f>IF($B1476="","",COUNTIFS($B$5:$B1476,$B1476,$BH$5:$BH1476,$BH1476))</f>
        <v/>
      </c>
      <c r="BM1476" s="9" t="str">
        <f t="shared" si="236"/>
        <v/>
      </c>
      <c r="BN1476" s="9" t="str">
        <f t="shared" si="237"/>
        <v/>
      </c>
      <c r="BO1476" s="9">
        <f t="shared" si="238"/>
        <v>0</v>
      </c>
      <c r="BR1476" s="12" t="str">
        <f t="shared" si="239"/>
        <v/>
      </c>
    </row>
    <row r="1477" spans="1:70" ht="14.25" customHeight="1">
      <c r="A1477" s="26"/>
      <c r="C1477" s="26"/>
      <c r="D1477" s="27"/>
      <c r="E1477" s="27"/>
      <c r="BE1477" s="10" t="str">
        <f t="shared" si="230"/>
        <v/>
      </c>
      <c r="BF1477" s="8" t="str">
        <f t="shared" si="231"/>
        <v/>
      </c>
      <c r="BG1477" s="11" t="str">
        <f t="shared" si="232"/>
        <v/>
      </c>
      <c r="BH1477" s="8" t="str">
        <f t="shared" si="233"/>
        <v/>
      </c>
      <c r="BI1477" s="8" t="str">
        <f t="shared" si="234"/>
        <v/>
      </c>
      <c r="BJ1477" s="9" t="str">
        <f t="shared" si="235"/>
        <v/>
      </c>
      <c r="BK1477" s="9" t="str">
        <f>IF($B1477="","",COUNTIFS($B$5:$B1477,$B1477,$BF$5:$BF1477,$BF1477))</f>
        <v/>
      </c>
      <c r="BL1477" s="9" t="str">
        <f>IF($B1477="","",COUNTIFS($B$5:$B1477,$B1477,$BH$5:$BH1477,$BH1477))</f>
        <v/>
      </c>
      <c r="BM1477" s="9" t="str">
        <f t="shared" si="236"/>
        <v/>
      </c>
      <c r="BN1477" s="9" t="str">
        <f t="shared" si="237"/>
        <v/>
      </c>
      <c r="BO1477" s="9">
        <f t="shared" si="238"/>
        <v>0</v>
      </c>
      <c r="BR1477" s="12" t="str">
        <f t="shared" si="239"/>
        <v/>
      </c>
    </row>
    <row r="1478" spans="1:70" ht="14.25" customHeight="1">
      <c r="A1478" s="26"/>
      <c r="C1478" s="26"/>
      <c r="D1478" s="27"/>
      <c r="E1478" s="27"/>
      <c r="BE1478" s="10" t="str">
        <f t="shared" si="230"/>
        <v/>
      </c>
      <c r="BF1478" s="8" t="str">
        <f t="shared" si="231"/>
        <v/>
      </c>
      <c r="BG1478" s="11" t="str">
        <f t="shared" si="232"/>
        <v/>
      </c>
      <c r="BH1478" s="8" t="str">
        <f t="shared" si="233"/>
        <v/>
      </c>
      <c r="BI1478" s="8" t="str">
        <f t="shared" si="234"/>
        <v/>
      </c>
      <c r="BJ1478" s="9" t="str">
        <f t="shared" si="235"/>
        <v/>
      </c>
      <c r="BK1478" s="9" t="str">
        <f>IF($B1478="","",COUNTIFS($B$5:$B1478,$B1478,$BF$5:$BF1478,$BF1478))</f>
        <v/>
      </c>
      <c r="BL1478" s="9" t="str">
        <f>IF($B1478="","",COUNTIFS($B$5:$B1478,$B1478,$BH$5:$BH1478,$BH1478))</f>
        <v/>
      </c>
      <c r="BM1478" s="9" t="str">
        <f t="shared" si="236"/>
        <v/>
      </c>
      <c r="BN1478" s="9" t="str">
        <f t="shared" si="237"/>
        <v/>
      </c>
      <c r="BO1478" s="9">
        <f t="shared" si="238"/>
        <v>0</v>
      </c>
      <c r="BR1478" s="12" t="str">
        <f t="shared" si="239"/>
        <v/>
      </c>
    </row>
    <row r="1479" spans="1:70" ht="14.25" customHeight="1">
      <c r="A1479" s="26"/>
      <c r="C1479" s="26"/>
      <c r="D1479" s="27"/>
      <c r="E1479" s="27"/>
      <c r="BE1479" s="10" t="str">
        <f t="shared" si="230"/>
        <v/>
      </c>
      <c r="BF1479" s="8" t="str">
        <f t="shared" si="231"/>
        <v/>
      </c>
      <c r="BG1479" s="11" t="str">
        <f t="shared" si="232"/>
        <v/>
      </c>
      <c r="BH1479" s="8" t="str">
        <f t="shared" si="233"/>
        <v/>
      </c>
      <c r="BI1479" s="8" t="str">
        <f t="shared" si="234"/>
        <v/>
      </c>
      <c r="BJ1479" s="9" t="str">
        <f t="shared" si="235"/>
        <v/>
      </c>
      <c r="BK1479" s="9" t="str">
        <f>IF($B1479="","",COUNTIFS($B$5:$B1479,$B1479,$BF$5:$BF1479,$BF1479))</f>
        <v/>
      </c>
      <c r="BL1479" s="9" t="str">
        <f>IF($B1479="","",COUNTIFS($B$5:$B1479,$B1479,$BH$5:$BH1479,$BH1479))</f>
        <v/>
      </c>
      <c r="BM1479" s="9" t="str">
        <f t="shared" si="236"/>
        <v/>
      </c>
      <c r="BN1479" s="9" t="str">
        <f t="shared" si="237"/>
        <v/>
      </c>
      <c r="BO1479" s="9">
        <f t="shared" si="238"/>
        <v>0</v>
      </c>
      <c r="BR1479" s="12" t="str">
        <f t="shared" si="239"/>
        <v/>
      </c>
    </row>
    <row r="1480" spans="1:70" ht="14.25" customHeight="1">
      <c r="A1480" s="26"/>
      <c r="C1480" s="26"/>
      <c r="D1480" s="27"/>
      <c r="E1480" s="27"/>
      <c r="BE1480" s="10" t="str">
        <f t="shared" si="230"/>
        <v/>
      </c>
      <c r="BF1480" s="8" t="str">
        <f t="shared" si="231"/>
        <v/>
      </c>
      <c r="BG1480" s="11" t="str">
        <f t="shared" si="232"/>
        <v/>
      </c>
      <c r="BH1480" s="8" t="str">
        <f t="shared" si="233"/>
        <v/>
      </c>
      <c r="BI1480" s="8" t="str">
        <f t="shared" si="234"/>
        <v/>
      </c>
      <c r="BJ1480" s="9" t="str">
        <f t="shared" si="235"/>
        <v/>
      </c>
      <c r="BK1480" s="9" t="str">
        <f>IF($B1480="","",COUNTIFS($B$5:$B1480,$B1480,$BF$5:$BF1480,$BF1480))</f>
        <v/>
      </c>
      <c r="BL1480" s="9" t="str">
        <f>IF($B1480="","",COUNTIFS($B$5:$B1480,$B1480,$BH$5:$BH1480,$BH1480))</f>
        <v/>
      </c>
      <c r="BM1480" s="9" t="str">
        <f t="shared" si="236"/>
        <v/>
      </c>
      <c r="BN1480" s="9" t="str">
        <f t="shared" si="237"/>
        <v/>
      </c>
      <c r="BO1480" s="9">
        <f t="shared" si="238"/>
        <v>0</v>
      </c>
      <c r="BR1480" s="12" t="str">
        <f t="shared" si="239"/>
        <v/>
      </c>
    </row>
    <row r="1481" spans="1:70" ht="14.25" customHeight="1">
      <c r="A1481" s="26"/>
      <c r="C1481" s="26"/>
      <c r="D1481" s="27"/>
      <c r="E1481" s="27"/>
      <c r="BE1481" s="10" t="str">
        <f t="shared" si="230"/>
        <v/>
      </c>
      <c r="BF1481" s="8" t="str">
        <f t="shared" si="231"/>
        <v/>
      </c>
      <c r="BG1481" s="11" t="str">
        <f t="shared" si="232"/>
        <v/>
      </c>
      <c r="BH1481" s="8" t="str">
        <f t="shared" si="233"/>
        <v/>
      </c>
      <c r="BI1481" s="8" t="str">
        <f t="shared" si="234"/>
        <v/>
      </c>
      <c r="BJ1481" s="9" t="str">
        <f t="shared" si="235"/>
        <v/>
      </c>
      <c r="BK1481" s="9" t="str">
        <f>IF($B1481="","",COUNTIFS($B$5:$B1481,$B1481,$BF$5:$BF1481,$BF1481))</f>
        <v/>
      </c>
      <c r="BL1481" s="9" t="str">
        <f>IF($B1481="","",COUNTIFS($B$5:$B1481,$B1481,$BH$5:$BH1481,$BH1481))</f>
        <v/>
      </c>
      <c r="BM1481" s="9" t="str">
        <f t="shared" si="236"/>
        <v/>
      </c>
      <c r="BN1481" s="9" t="str">
        <f t="shared" si="237"/>
        <v/>
      </c>
      <c r="BO1481" s="9">
        <f t="shared" si="238"/>
        <v>0</v>
      </c>
      <c r="BR1481" s="12" t="str">
        <f t="shared" si="239"/>
        <v/>
      </c>
    </row>
    <row r="1482" spans="1:70" ht="14.25" customHeight="1">
      <c r="A1482" s="26"/>
      <c r="C1482" s="26"/>
      <c r="D1482" s="27"/>
      <c r="E1482" s="27"/>
      <c r="BE1482" s="10" t="str">
        <f t="shared" si="230"/>
        <v/>
      </c>
      <c r="BF1482" s="8" t="str">
        <f t="shared" si="231"/>
        <v/>
      </c>
      <c r="BG1482" s="11" t="str">
        <f t="shared" si="232"/>
        <v/>
      </c>
      <c r="BH1482" s="8" t="str">
        <f t="shared" si="233"/>
        <v/>
      </c>
      <c r="BI1482" s="8" t="str">
        <f t="shared" si="234"/>
        <v/>
      </c>
      <c r="BJ1482" s="9" t="str">
        <f t="shared" si="235"/>
        <v/>
      </c>
      <c r="BK1482" s="9" t="str">
        <f>IF($B1482="","",COUNTIFS($B$5:$B1482,$B1482,$BF$5:$BF1482,$BF1482))</f>
        <v/>
      </c>
      <c r="BL1482" s="9" t="str">
        <f>IF($B1482="","",COUNTIFS($B$5:$B1482,$B1482,$BH$5:$BH1482,$BH1482))</f>
        <v/>
      </c>
      <c r="BM1482" s="9" t="str">
        <f t="shared" si="236"/>
        <v/>
      </c>
      <c r="BN1482" s="9" t="str">
        <f t="shared" si="237"/>
        <v/>
      </c>
      <c r="BO1482" s="9">
        <f t="shared" si="238"/>
        <v>0</v>
      </c>
      <c r="BR1482" s="12" t="str">
        <f t="shared" si="239"/>
        <v/>
      </c>
    </row>
    <row r="1483" spans="1:70" ht="14.25" customHeight="1">
      <c r="A1483" s="26"/>
      <c r="C1483" s="26"/>
      <c r="D1483" s="27"/>
      <c r="E1483" s="27"/>
      <c r="BE1483" s="10" t="str">
        <f t="shared" si="230"/>
        <v/>
      </c>
      <c r="BF1483" s="8" t="str">
        <f t="shared" si="231"/>
        <v/>
      </c>
      <c r="BG1483" s="11" t="str">
        <f t="shared" si="232"/>
        <v/>
      </c>
      <c r="BH1483" s="8" t="str">
        <f t="shared" si="233"/>
        <v/>
      </c>
      <c r="BI1483" s="8" t="str">
        <f t="shared" si="234"/>
        <v/>
      </c>
      <c r="BJ1483" s="9" t="str">
        <f t="shared" si="235"/>
        <v/>
      </c>
      <c r="BK1483" s="9" t="str">
        <f>IF($B1483="","",COUNTIFS($B$5:$B1483,$B1483,$BF$5:$BF1483,$BF1483))</f>
        <v/>
      </c>
      <c r="BL1483" s="9" t="str">
        <f>IF($B1483="","",COUNTIFS($B$5:$B1483,$B1483,$BH$5:$BH1483,$BH1483))</f>
        <v/>
      </c>
      <c r="BM1483" s="9" t="str">
        <f t="shared" si="236"/>
        <v/>
      </c>
      <c r="BN1483" s="9" t="str">
        <f t="shared" si="237"/>
        <v/>
      </c>
      <c r="BO1483" s="9">
        <f t="shared" si="238"/>
        <v>0</v>
      </c>
      <c r="BR1483" s="12" t="str">
        <f t="shared" si="239"/>
        <v/>
      </c>
    </row>
    <row r="1484" spans="1:70" ht="14.25" customHeight="1">
      <c r="A1484" s="26"/>
      <c r="C1484" s="26"/>
      <c r="D1484" s="27"/>
      <c r="E1484" s="27"/>
      <c r="BE1484" s="10" t="str">
        <f t="shared" si="230"/>
        <v/>
      </c>
      <c r="BF1484" s="8" t="str">
        <f t="shared" si="231"/>
        <v/>
      </c>
      <c r="BG1484" s="11" t="str">
        <f t="shared" si="232"/>
        <v/>
      </c>
      <c r="BH1484" s="8" t="str">
        <f t="shared" si="233"/>
        <v/>
      </c>
      <c r="BI1484" s="8" t="str">
        <f t="shared" si="234"/>
        <v/>
      </c>
      <c r="BJ1484" s="9" t="str">
        <f t="shared" si="235"/>
        <v/>
      </c>
      <c r="BK1484" s="9" t="str">
        <f>IF($B1484="","",COUNTIFS($B$5:$B1484,$B1484,$BF$5:$BF1484,$BF1484))</f>
        <v/>
      </c>
      <c r="BL1484" s="9" t="str">
        <f>IF($B1484="","",COUNTIFS($B$5:$B1484,$B1484,$BH$5:$BH1484,$BH1484))</f>
        <v/>
      </c>
      <c r="BM1484" s="9" t="str">
        <f t="shared" si="236"/>
        <v/>
      </c>
      <c r="BN1484" s="9" t="str">
        <f t="shared" si="237"/>
        <v/>
      </c>
      <c r="BO1484" s="9">
        <f t="shared" si="238"/>
        <v>0</v>
      </c>
      <c r="BR1484" s="12" t="str">
        <f t="shared" si="239"/>
        <v/>
      </c>
    </row>
    <row r="1485" spans="1:70" ht="14.25" customHeight="1">
      <c r="A1485" s="26"/>
      <c r="C1485" s="26"/>
      <c r="D1485" s="27"/>
      <c r="E1485" s="27"/>
      <c r="BE1485" s="10" t="str">
        <f t="shared" si="230"/>
        <v/>
      </c>
      <c r="BF1485" s="8" t="str">
        <f t="shared" si="231"/>
        <v/>
      </c>
      <c r="BG1485" s="11" t="str">
        <f t="shared" si="232"/>
        <v/>
      </c>
      <c r="BH1485" s="8" t="str">
        <f t="shared" si="233"/>
        <v/>
      </c>
      <c r="BI1485" s="8" t="str">
        <f t="shared" si="234"/>
        <v/>
      </c>
      <c r="BJ1485" s="9" t="str">
        <f t="shared" si="235"/>
        <v/>
      </c>
      <c r="BK1485" s="9" t="str">
        <f>IF($B1485="","",COUNTIFS($B$5:$B1485,$B1485,$BF$5:$BF1485,$BF1485))</f>
        <v/>
      </c>
      <c r="BL1485" s="9" t="str">
        <f>IF($B1485="","",COUNTIFS($B$5:$B1485,$B1485,$BH$5:$BH1485,$BH1485))</f>
        <v/>
      </c>
      <c r="BM1485" s="9" t="str">
        <f t="shared" si="236"/>
        <v/>
      </c>
      <c r="BN1485" s="9" t="str">
        <f t="shared" si="237"/>
        <v/>
      </c>
      <c r="BO1485" s="9">
        <f t="shared" si="238"/>
        <v>0</v>
      </c>
      <c r="BR1485" s="12" t="str">
        <f t="shared" si="239"/>
        <v/>
      </c>
    </row>
    <row r="1486" spans="1:70" ht="14.25" customHeight="1">
      <c r="A1486" s="26"/>
      <c r="C1486" s="26"/>
      <c r="D1486" s="27"/>
      <c r="E1486" s="27"/>
      <c r="BE1486" s="10" t="str">
        <f t="shared" si="230"/>
        <v/>
      </c>
      <c r="BF1486" s="8" t="str">
        <f t="shared" si="231"/>
        <v/>
      </c>
      <c r="BG1486" s="11" t="str">
        <f t="shared" si="232"/>
        <v/>
      </c>
      <c r="BH1486" s="8" t="str">
        <f t="shared" si="233"/>
        <v/>
      </c>
      <c r="BI1486" s="8" t="str">
        <f t="shared" si="234"/>
        <v/>
      </c>
      <c r="BJ1486" s="9" t="str">
        <f t="shared" si="235"/>
        <v/>
      </c>
      <c r="BK1486" s="9" t="str">
        <f>IF($B1486="","",COUNTIFS($B$5:$B1486,$B1486,$BF$5:$BF1486,$BF1486))</f>
        <v/>
      </c>
      <c r="BL1486" s="9" t="str">
        <f>IF($B1486="","",COUNTIFS($B$5:$B1486,$B1486,$BH$5:$BH1486,$BH1486))</f>
        <v/>
      </c>
      <c r="BM1486" s="9" t="str">
        <f t="shared" si="236"/>
        <v/>
      </c>
      <c r="BN1486" s="9" t="str">
        <f t="shared" si="237"/>
        <v/>
      </c>
      <c r="BO1486" s="9">
        <f t="shared" si="238"/>
        <v>0</v>
      </c>
      <c r="BR1486" s="12" t="str">
        <f t="shared" si="239"/>
        <v/>
      </c>
    </row>
    <row r="1487" spans="1:70" ht="14.25" customHeight="1">
      <c r="A1487" s="26"/>
      <c r="C1487" s="26"/>
      <c r="D1487" s="27"/>
      <c r="E1487" s="27"/>
      <c r="BE1487" s="10" t="str">
        <f t="shared" si="230"/>
        <v/>
      </c>
      <c r="BF1487" s="8" t="str">
        <f t="shared" si="231"/>
        <v/>
      </c>
      <c r="BG1487" s="11" t="str">
        <f t="shared" si="232"/>
        <v/>
      </c>
      <c r="BH1487" s="8" t="str">
        <f t="shared" si="233"/>
        <v/>
      </c>
      <c r="BI1487" s="8" t="str">
        <f t="shared" si="234"/>
        <v/>
      </c>
      <c r="BJ1487" s="9" t="str">
        <f t="shared" si="235"/>
        <v/>
      </c>
      <c r="BK1487" s="9" t="str">
        <f>IF($B1487="","",COUNTIFS($B$5:$B1487,$B1487,$BF$5:$BF1487,$BF1487))</f>
        <v/>
      </c>
      <c r="BL1487" s="9" t="str">
        <f>IF($B1487="","",COUNTIFS($B$5:$B1487,$B1487,$BH$5:$BH1487,$BH1487))</f>
        <v/>
      </c>
      <c r="BM1487" s="9" t="str">
        <f t="shared" si="236"/>
        <v/>
      </c>
      <c r="BN1487" s="9" t="str">
        <f t="shared" si="237"/>
        <v/>
      </c>
      <c r="BO1487" s="9">
        <f t="shared" si="238"/>
        <v>0</v>
      </c>
      <c r="BR1487" s="12" t="str">
        <f t="shared" si="239"/>
        <v/>
      </c>
    </row>
    <row r="1488" spans="1:70" ht="14.25" customHeight="1">
      <c r="A1488" s="26"/>
      <c r="C1488" s="26"/>
      <c r="D1488" s="27"/>
      <c r="E1488" s="27"/>
      <c r="BE1488" s="10" t="str">
        <f t="shared" si="230"/>
        <v/>
      </c>
      <c r="BF1488" s="8" t="str">
        <f t="shared" si="231"/>
        <v/>
      </c>
      <c r="BG1488" s="11" t="str">
        <f t="shared" si="232"/>
        <v/>
      </c>
      <c r="BH1488" s="8" t="str">
        <f t="shared" si="233"/>
        <v/>
      </c>
      <c r="BI1488" s="8" t="str">
        <f t="shared" si="234"/>
        <v/>
      </c>
      <c r="BJ1488" s="9" t="str">
        <f t="shared" si="235"/>
        <v/>
      </c>
      <c r="BK1488" s="9" t="str">
        <f>IF($B1488="","",COUNTIFS($B$5:$B1488,$B1488,$BF$5:$BF1488,$BF1488))</f>
        <v/>
      </c>
      <c r="BL1488" s="9" t="str">
        <f>IF($B1488="","",COUNTIFS($B$5:$B1488,$B1488,$BH$5:$BH1488,$BH1488))</f>
        <v/>
      </c>
      <c r="BM1488" s="9" t="str">
        <f t="shared" si="236"/>
        <v/>
      </c>
      <c r="BN1488" s="9" t="str">
        <f t="shared" si="237"/>
        <v/>
      </c>
      <c r="BO1488" s="9">
        <f t="shared" si="238"/>
        <v>0</v>
      </c>
      <c r="BR1488" s="12" t="str">
        <f t="shared" si="239"/>
        <v/>
      </c>
    </row>
    <row r="1489" spans="1:70" ht="14.25" customHeight="1">
      <c r="A1489" s="26"/>
      <c r="C1489" s="26"/>
      <c r="D1489" s="27"/>
      <c r="E1489" s="27"/>
      <c r="BE1489" s="10" t="str">
        <f t="shared" si="230"/>
        <v/>
      </c>
      <c r="BF1489" s="8" t="str">
        <f t="shared" si="231"/>
        <v/>
      </c>
      <c r="BG1489" s="11" t="str">
        <f t="shared" si="232"/>
        <v/>
      </c>
      <c r="BH1489" s="8" t="str">
        <f t="shared" si="233"/>
        <v/>
      </c>
      <c r="BI1489" s="8" t="str">
        <f t="shared" si="234"/>
        <v/>
      </c>
      <c r="BJ1489" s="9" t="str">
        <f t="shared" si="235"/>
        <v/>
      </c>
      <c r="BK1489" s="9" t="str">
        <f>IF($B1489="","",COUNTIFS($B$5:$B1489,$B1489,$BF$5:$BF1489,$BF1489))</f>
        <v/>
      </c>
      <c r="BL1489" s="9" t="str">
        <f>IF($B1489="","",COUNTIFS($B$5:$B1489,$B1489,$BH$5:$BH1489,$BH1489))</f>
        <v/>
      </c>
      <c r="BM1489" s="9" t="str">
        <f t="shared" si="236"/>
        <v/>
      </c>
      <c r="BN1489" s="9" t="str">
        <f t="shared" si="237"/>
        <v/>
      </c>
      <c r="BO1489" s="9">
        <f t="shared" si="238"/>
        <v>0</v>
      </c>
      <c r="BR1489" s="12" t="str">
        <f t="shared" si="239"/>
        <v/>
      </c>
    </row>
    <row r="1490" spans="1:70" ht="14.25" customHeight="1">
      <c r="A1490" s="26"/>
      <c r="C1490" s="26"/>
      <c r="D1490" s="27"/>
      <c r="E1490" s="27"/>
      <c r="BE1490" s="10" t="str">
        <f t="shared" si="230"/>
        <v/>
      </c>
      <c r="BF1490" s="8" t="str">
        <f t="shared" si="231"/>
        <v/>
      </c>
      <c r="BG1490" s="11" t="str">
        <f t="shared" si="232"/>
        <v/>
      </c>
      <c r="BH1490" s="8" t="str">
        <f t="shared" si="233"/>
        <v/>
      </c>
      <c r="BI1490" s="8" t="str">
        <f t="shared" si="234"/>
        <v/>
      </c>
      <c r="BJ1490" s="9" t="str">
        <f t="shared" si="235"/>
        <v/>
      </c>
      <c r="BK1490" s="9" t="str">
        <f>IF($B1490="","",COUNTIFS($B$5:$B1490,$B1490,$BF$5:$BF1490,$BF1490))</f>
        <v/>
      </c>
      <c r="BL1490" s="9" t="str">
        <f>IF($B1490="","",COUNTIFS($B$5:$B1490,$B1490,$BH$5:$BH1490,$BH1490))</f>
        <v/>
      </c>
      <c r="BM1490" s="9" t="str">
        <f t="shared" si="236"/>
        <v/>
      </c>
      <c r="BN1490" s="9" t="str">
        <f t="shared" si="237"/>
        <v/>
      </c>
      <c r="BO1490" s="9">
        <f t="shared" si="238"/>
        <v>0</v>
      </c>
      <c r="BR1490" s="12" t="str">
        <f t="shared" si="239"/>
        <v/>
      </c>
    </row>
    <row r="1491" spans="1:70" ht="14.25" customHeight="1">
      <c r="A1491" s="26"/>
      <c r="C1491" s="26"/>
      <c r="D1491" s="27"/>
      <c r="E1491" s="27"/>
      <c r="BE1491" s="10" t="str">
        <f t="shared" si="230"/>
        <v/>
      </c>
      <c r="BF1491" s="8" t="str">
        <f t="shared" si="231"/>
        <v/>
      </c>
      <c r="BG1491" s="11" t="str">
        <f t="shared" si="232"/>
        <v/>
      </c>
      <c r="BH1491" s="8" t="str">
        <f t="shared" si="233"/>
        <v/>
      </c>
      <c r="BI1491" s="8" t="str">
        <f t="shared" si="234"/>
        <v/>
      </c>
      <c r="BJ1491" s="9" t="str">
        <f t="shared" si="235"/>
        <v/>
      </c>
      <c r="BK1491" s="9" t="str">
        <f>IF($B1491="","",COUNTIFS($B$5:$B1491,$B1491,$BF$5:$BF1491,$BF1491))</f>
        <v/>
      </c>
      <c r="BL1491" s="9" t="str">
        <f>IF($B1491="","",COUNTIFS($B$5:$B1491,$B1491,$BH$5:$BH1491,$BH1491))</f>
        <v/>
      </c>
      <c r="BM1491" s="9" t="str">
        <f t="shared" si="236"/>
        <v/>
      </c>
      <c r="BN1491" s="9" t="str">
        <f t="shared" si="237"/>
        <v/>
      </c>
      <c r="BO1491" s="9">
        <f t="shared" si="238"/>
        <v>0</v>
      </c>
      <c r="BR1491" s="12" t="str">
        <f t="shared" si="239"/>
        <v/>
      </c>
    </row>
    <row r="1492" spans="1:70" ht="14.25" customHeight="1">
      <c r="A1492" s="26"/>
      <c r="C1492" s="26"/>
      <c r="D1492" s="27"/>
      <c r="E1492" s="27"/>
      <c r="BE1492" s="10" t="str">
        <f t="shared" si="230"/>
        <v/>
      </c>
      <c r="BF1492" s="8" t="str">
        <f t="shared" si="231"/>
        <v/>
      </c>
      <c r="BG1492" s="11" t="str">
        <f t="shared" si="232"/>
        <v/>
      </c>
      <c r="BH1492" s="8" t="str">
        <f t="shared" si="233"/>
        <v/>
      </c>
      <c r="BI1492" s="8" t="str">
        <f t="shared" si="234"/>
        <v/>
      </c>
      <c r="BJ1492" s="9" t="str">
        <f t="shared" si="235"/>
        <v/>
      </c>
      <c r="BK1492" s="9" t="str">
        <f>IF($B1492="","",COUNTIFS($B$5:$B1492,$B1492,$BF$5:$BF1492,$BF1492))</f>
        <v/>
      </c>
      <c r="BL1492" s="9" t="str">
        <f>IF($B1492="","",COUNTIFS($B$5:$B1492,$B1492,$BH$5:$BH1492,$BH1492))</f>
        <v/>
      </c>
      <c r="BM1492" s="9" t="str">
        <f t="shared" si="236"/>
        <v/>
      </c>
      <c r="BN1492" s="9" t="str">
        <f t="shared" si="237"/>
        <v/>
      </c>
      <c r="BO1492" s="9">
        <f t="shared" si="238"/>
        <v>0</v>
      </c>
      <c r="BR1492" s="12" t="str">
        <f t="shared" si="239"/>
        <v/>
      </c>
    </row>
    <row r="1493" spans="1:70" ht="14.25" customHeight="1">
      <c r="A1493" s="26"/>
      <c r="C1493" s="26"/>
      <c r="D1493" s="27"/>
      <c r="E1493" s="27"/>
      <c r="BE1493" s="10" t="str">
        <f t="shared" si="230"/>
        <v/>
      </c>
      <c r="BF1493" s="8" t="str">
        <f t="shared" si="231"/>
        <v/>
      </c>
      <c r="BG1493" s="11" t="str">
        <f t="shared" si="232"/>
        <v/>
      </c>
      <c r="BH1493" s="8" t="str">
        <f t="shared" si="233"/>
        <v/>
      </c>
      <c r="BI1493" s="8" t="str">
        <f t="shared" si="234"/>
        <v/>
      </c>
      <c r="BJ1493" s="9" t="str">
        <f t="shared" si="235"/>
        <v/>
      </c>
      <c r="BK1493" s="9" t="str">
        <f>IF($B1493="","",COUNTIFS($B$5:$B1493,$B1493,$BF$5:$BF1493,$BF1493))</f>
        <v/>
      </c>
      <c r="BL1493" s="9" t="str">
        <f>IF($B1493="","",COUNTIFS($B$5:$B1493,$B1493,$BH$5:$BH1493,$BH1493))</f>
        <v/>
      </c>
      <c r="BM1493" s="9" t="str">
        <f t="shared" si="236"/>
        <v/>
      </c>
      <c r="BN1493" s="9" t="str">
        <f t="shared" si="237"/>
        <v/>
      </c>
      <c r="BO1493" s="9">
        <f t="shared" si="238"/>
        <v>0</v>
      </c>
      <c r="BR1493" s="12" t="str">
        <f t="shared" si="239"/>
        <v/>
      </c>
    </row>
    <row r="1494" spans="1:70" ht="14.25" customHeight="1">
      <c r="A1494" s="26"/>
      <c r="C1494" s="26"/>
      <c r="D1494" s="27"/>
      <c r="E1494" s="27"/>
      <c r="BE1494" s="10" t="str">
        <f t="shared" si="230"/>
        <v/>
      </c>
      <c r="BF1494" s="8" t="str">
        <f t="shared" si="231"/>
        <v/>
      </c>
      <c r="BG1494" s="11" t="str">
        <f t="shared" si="232"/>
        <v/>
      </c>
      <c r="BH1494" s="8" t="str">
        <f t="shared" si="233"/>
        <v/>
      </c>
      <c r="BI1494" s="8" t="str">
        <f t="shared" si="234"/>
        <v/>
      </c>
      <c r="BJ1494" s="9" t="str">
        <f t="shared" si="235"/>
        <v/>
      </c>
      <c r="BK1494" s="9" t="str">
        <f>IF($B1494="","",COUNTIFS($B$5:$B1494,$B1494,$BF$5:$BF1494,$BF1494))</f>
        <v/>
      </c>
      <c r="BL1494" s="9" t="str">
        <f>IF($B1494="","",COUNTIFS($B$5:$B1494,$B1494,$BH$5:$BH1494,$BH1494))</f>
        <v/>
      </c>
      <c r="BM1494" s="9" t="str">
        <f t="shared" si="236"/>
        <v/>
      </c>
      <c r="BN1494" s="9" t="str">
        <f t="shared" si="237"/>
        <v/>
      </c>
      <c r="BO1494" s="9">
        <f t="shared" si="238"/>
        <v>0</v>
      </c>
      <c r="BR1494" s="12" t="str">
        <f t="shared" si="239"/>
        <v/>
      </c>
    </row>
    <row r="1495" spans="1:70" ht="14.25" customHeight="1">
      <c r="A1495" s="26"/>
      <c r="C1495" s="26"/>
      <c r="D1495" s="27"/>
      <c r="E1495" s="27"/>
      <c r="BE1495" s="10" t="str">
        <f t="shared" si="230"/>
        <v/>
      </c>
      <c r="BF1495" s="8" t="str">
        <f t="shared" si="231"/>
        <v/>
      </c>
      <c r="BG1495" s="11" t="str">
        <f t="shared" si="232"/>
        <v/>
      </c>
      <c r="BH1495" s="8" t="str">
        <f t="shared" si="233"/>
        <v/>
      </c>
      <c r="BI1495" s="8" t="str">
        <f t="shared" si="234"/>
        <v/>
      </c>
      <c r="BJ1495" s="9" t="str">
        <f t="shared" si="235"/>
        <v/>
      </c>
      <c r="BK1495" s="9" t="str">
        <f>IF($B1495="","",COUNTIFS($B$5:$B1495,$B1495,$BF$5:$BF1495,$BF1495))</f>
        <v/>
      </c>
      <c r="BL1495" s="9" t="str">
        <f>IF($B1495="","",COUNTIFS($B$5:$B1495,$B1495,$BH$5:$BH1495,$BH1495))</f>
        <v/>
      </c>
      <c r="BM1495" s="9" t="str">
        <f t="shared" si="236"/>
        <v/>
      </c>
      <c r="BN1495" s="9" t="str">
        <f t="shared" si="237"/>
        <v/>
      </c>
      <c r="BO1495" s="9">
        <f t="shared" si="238"/>
        <v>0</v>
      </c>
      <c r="BR1495" s="12" t="str">
        <f t="shared" si="239"/>
        <v/>
      </c>
    </row>
    <row r="1496" spans="1:70" ht="14.25" customHeight="1">
      <c r="A1496" s="26"/>
      <c r="C1496" s="26"/>
      <c r="D1496" s="27"/>
      <c r="E1496" s="27"/>
      <c r="BE1496" s="10" t="str">
        <f t="shared" si="230"/>
        <v/>
      </c>
      <c r="BF1496" s="8" t="str">
        <f t="shared" si="231"/>
        <v/>
      </c>
      <c r="BG1496" s="11" t="str">
        <f t="shared" si="232"/>
        <v/>
      </c>
      <c r="BH1496" s="8" t="str">
        <f t="shared" si="233"/>
        <v/>
      </c>
      <c r="BI1496" s="8" t="str">
        <f t="shared" si="234"/>
        <v/>
      </c>
      <c r="BJ1496" s="9" t="str">
        <f t="shared" si="235"/>
        <v/>
      </c>
      <c r="BK1496" s="9" t="str">
        <f>IF($B1496="","",COUNTIFS($B$5:$B1496,$B1496,$BF$5:$BF1496,$BF1496))</f>
        <v/>
      </c>
      <c r="BL1496" s="9" t="str">
        <f>IF($B1496="","",COUNTIFS($B$5:$B1496,$B1496,$BH$5:$BH1496,$BH1496))</f>
        <v/>
      </c>
      <c r="BM1496" s="9" t="str">
        <f t="shared" si="236"/>
        <v/>
      </c>
      <c r="BN1496" s="9" t="str">
        <f t="shared" si="237"/>
        <v/>
      </c>
      <c r="BO1496" s="9">
        <f t="shared" si="238"/>
        <v>0</v>
      </c>
      <c r="BR1496" s="12" t="str">
        <f t="shared" si="239"/>
        <v/>
      </c>
    </row>
    <row r="1497" spans="1:70" ht="14.25" customHeight="1">
      <c r="A1497" s="26"/>
      <c r="C1497" s="26"/>
      <c r="D1497" s="27"/>
      <c r="E1497" s="27"/>
      <c r="BE1497" s="10" t="str">
        <f t="shared" si="230"/>
        <v/>
      </c>
      <c r="BF1497" s="8" t="str">
        <f t="shared" si="231"/>
        <v/>
      </c>
      <c r="BG1497" s="11" t="str">
        <f t="shared" si="232"/>
        <v/>
      </c>
      <c r="BH1497" s="8" t="str">
        <f t="shared" si="233"/>
        <v/>
      </c>
      <c r="BI1497" s="8" t="str">
        <f t="shared" si="234"/>
        <v/>
      </c>
      <c r="BJ1497" s="9" t="str">
        <f t="shared" si="235"/>
        <v/>
      </c>
      <c r="BK1497" s="9" t="str">
        <f>IF($B1497="","",COUNTIFS($B$5:$B1497,$B1497,$BF$5:$BF1497,$BF1497))</f>
        <v/>
      </c>
      <c r="BL1497" s="9" t="str">
        <f>IF($B1497="","",COUNTIFS($B$5:$B1497,$B1497,$BH$5:$BH1497,$BH1497))</f>
        <v/>
      </c>
      <c r="BM1497" s="9" t="str">
        <f t="shared" si="236"/>
        <v/>
      </c>
      <c r="BN1497" s="9" t="str">
        <f t="shared" si="237"/>
        <v/>
      </c>
      <c r="BO1497" s="9">
        <f t="shared" si="238"/>
        <v>0</v>
      </c>
      <c r="BR1497" s="12" t="str">
        <f t="shared" si="239"/>
        <v/>
      </c>
    </row>
    <row r="1498" spans="1:70" ht="14.25" customHeight="1">
      <c r="A1498" s="26"/>
      <c r="C1498" s="26"/>
      <c r="D1498" s="27"/>
      <c r="E1498" s="27"/>
      <c r="BE1498" s="10" t="str">
        <f t="shared" si="230"/>
        <v/>
      </c>
      <c r="BF1498" s="8" t="str">
        <f t="shared" si="231"/>
        <v/>
      </c>
      <c r="BG1498" s="11" t="str">
        <f t="shared" si="232"/>
        <v/>
      </c>
      <c r="BH1498" s="8" t="str">
        <f t="shared" si="233"/>
        <v/>
      </c>
      <c r="BI1498" s="8" t="str">
        <f t="shared" si="234"/>
        <v/>
      </c>
      <c r="BJ1498" s="9" t="str">
        <f t="shared" si="235"/>
        <v/>
      </c>
      <c r="BK1498" s="9" t="str">
        <f>IF($B1498="","",COUNTIFS($B$5:$B1498,$B1498,$BF$5:$BF1498,$BF1498))</f>
        <v/>
      </c>
      <c r="BL1498" s="9" t="str">
        <f>IF($B1498="","",COUNTIFS($B$5:$B1498,$B1498,$BH$5:$BH1498,$BH1498))</f>
        <v/>
      </c>
      <c r="BM1498" s="9" t="str">
        <f t="shared" si="236"/>
        <v/>
      </c>
      <c r="BN1498" s="9" t="str">
        <f t="shared" si="237"/>
        <v/>
      </c>
      <c r="BO1498" s="9">
        <f t="shared" si="238"/>
        <v>0</v>
      </c>
      <c r="BR1498" s="12" t="str">
        <f t="shared" si="239"/>
        <v/>
      </c>
    </row>
    <row r="1499" spans="1:70" ht="14.25" customHeight="1">
      <c r="A1499" s="26"/>
      <c r="C1499" s="26"/>
      <c r="D1499" s="27"/>
      <c r="E1499" s="27"/>
      <c r="BE1499" s="10" t="str">
        <f t="shared" si="230"/>
        <v/>
      </c>
      <c r="BF1499" s="8" t="str">
        <f t="shared" si="231"/>
        <v/>
      </c>
      <c r="BG1499" s="11" t="str">
        <f t="shared" si="232"/>
        <v/>
      </c>
      <c r="BH1499" s="8" t="str">
        <f t="shared" si="233"/>
        <v/>
      </c>
      <c r="BI1499" s="8" t="str">
        <f t="shared" si="234"/>
        <v/>
      </c>
      <c r="BJ1499" s="9" t="str">
        <f t="shared" si="235"/>
        <v/>
      </c>
      <c r="BK1499" s="9" t="str">
        <f>IF($B1499="","",COUNTIFS($B$5:$B1499,$B1499,$BF$5:$BF1499,$BF1499))</f>
        <v/>
      </c>
      <c r="BL1499" s="9" t="str">
        <f>IF($B1499="","",COUNTIFS($B$5:$B1499,$B1499,$BH$5:$BH1499,$BH1499))</f>
        <v/>
      </c>
      <c r="BM1499" s="9" t="str">
        <f t="shared" si="236"/>
        <v/>
      </c>
      <c r="BN1499" s="9" t="str">
        <f t="shared" si="237"/>
        <v/>
      </c>
      <c r="BO1499" s="9">
        <f t="shared" si="238"/>
        <v>0</v>
      </c>
      <c r="BR1499" s="12" t="str">
        <f t="shared" si="239"/>
        <v/>
      </c>
    </row>
    <row r="1500" spans="1:70" ht="14.25" customHeight="1">
      <c r="A1500" s="26"/>
      <c r="C1500" s="26"/>
      <c r="D1500" s="27"/>
      <c r="E1500" s="27"/>
      <c r="BE1500" s="10" t="str">
        <f t="shared" si="230"/>
        <v/>
      </c>
      <c r="BF1500" s="8" t="str">
        <f t="shared" si="231"/>
        <v/>
      </c>
      <c r="BG1500" s="11" t="str">
        <f t="shared" si="232"/>
        <v/>
      </c>
      <c r="BH1500" s="8" t="str">
        <f t="shared" si="233"/>
        <v/>
      </c>
      <c r="BI1500" s="8" t="str">
        <f t="shared" si="234"/>
        <v/>
      </c>
      <c r="BJ1500" s="9" t="str">
        <f t="shared" si="235"/>
        <v/>
      </c>
      <c r="BK1500" s="9" t="str">
        <f>IF($B1500="","",COUNTIFS($B$5:$B1500,$B1500,$BF$5:$BF1500,$BF1500))</f>
        <v/>
      </c>
      <c r="BL1500" s="9" t="str">
        <f>IF($B1500="","",COUNTIFS($B$5:$B1500,$B1500,$BH$5:$BH1500,$BH1500))</f>
        <v/>
      </c>
      <c r="BM1500" s="9" t="str">
        <f t="shared" si="236"/>
        <v/>
      </c>
      <c r="BN1500" s="9" t="str">
        <f t="shared" si="237"/>
        <v/>
      </c>
      <c r="BO1500" s="9">
        <f t="shared" si="238"/>
        <v>0</v>
      </c>
      <c r="BR1500" s="12" t="str">
        <f t="shared" si="239"/>
        <v/>
      </c>
    </row>
    <row r="1501" spans="1:70" ht="14.25" customHeight="1">
      <c r="A1501" s="26"/>
      <c r="C1501" s="26"/>
      <c r="D1501" s="27"/>
      <c r="E1501" s="27"/>
      <c r="BE1501" s="10" t="str">
        <f t="shared" ref="BE1501:BE1564" si="240">IF($B1501="","",IF(COUNT($H1501,$J1501,$L1501,$N1501,$P1501,$R1501)&gt;0,SUM($H1501,$J1501,$L1501,$N1501,$P1501,$R1501),SUM($T1501,$V1501,$X1501,$Z1501,$AB1501,$AD1501,$AF1501,$AH1501,$AJ1501,$AL1501,$AN1501,$AP1501,$AR1501,$AT1501,$AV1501,$AX1501,$AZ1501)))</f>
        <v/>
      </c>
      <c r="BF1501" s="8" t="str">
        <f t="shared" ref="BF1501:BF1564" si="241">IF($C1501="","",DATE(YEAR($C1501),MONTH($C1501),1))</f>
        <v/>
      </c>
      <c r="BG1501" s="11" t="str">
        <f t="shared" ref="BG1501:BG1564" si="242">IF($BF1501="","",TEXT($BF1501,"mmmm yyyy"))</f>
        <v/>
      </c>
      <c r="BH1501" s="8" t="str">
        <f t="shared" ref="BH1501:BH1564" si="243">IF($C1501="","",$C1501-WEEKDAY($C1501,2)+1)</f>
        <v/>
      </c>
      <c r="BI1501" s="8" t="str">
        <f t="shared" ref="BI1501:BI1564" si="244">IF($BH1501="","",$BH1501+6)</f>
        <v/>
      </c>
      <c r="BJ1501" s="9" t="str">
        <f t="shared" ref="BJ1501:BJ1564" si="245">IF($BH1501="","",TEXT($BH1501,"dd/mm/yyyy")&amp;" - "&amp;TEXT($BI1501,"dd/mm/yyyy"))</f>
        <v/>
      </c>
      <c r="BK1501" s="9" t="str">
        <f>IF($B1501="","",COUNTIFS($B$5:$B1501,$B1501,$BF$5:$BF1501,$BF1501))</f>
        <v/>
      </c>
      <c r="BL1501" s="9" t="str">
        <f>IF($B1501="","",COUNTIFS($B$5:$B1501,$B1501,$BH$5:$BH1501,$BH1501))</f>
        <v/>
      </c>
      <c r="BM1501" s="9" t="str">
        <f t="shared" ref="BM1501:BM1564" si="246">IF($B1501="","",TEXT($BK1501,"00")&amp;"|"&amp;$B1501&amp;"|"&amp;TEXT($BF1501,"yyyymmdd"))</f>
        <v/>
      </c>
      <c r="BN1501" s="9" t="str">
        <f t="shared" ref="BN1501:BN1564" si="247">IF($B1501="","",TEXT($BL1501,"00")&amp;"|"&amp;$B1501&amp;"|"&amp;TEXT($BH1501,"yyyymmdd"))</f>
        <v/>
      </c>
      <c r="BO1501" s="9">
        <f t="shared" ref="BO1501:BO1564" si="248">IF(OR($BB1501="YES",$BB1501="Yes",$BB1501="Y",$BB1501=1),1,0)</f>
        <v>0</v>
      </c>
      <c r="BR1501" s="12" t="str">
        <f t="shared" ref="BR1501:BR1564" si="249">IF($C1501="","",IF($C1501&gt;=DATE(2026,6,1),"QA-2026-06",IF($C1501&gt;=DATE(2026,5,1),"May 2026+",IF($C1501&gt;=DATE(2026,4,1),"April 2026",IF($C1501&gt;=DATE(2026,3,1),"March 2026","Jan-Feb 2026")))))</f>
        <v/>
      </c>
    </row>
    <row r="1502" spans="1:70" ht="14.25" customHeight="1">
      <c r="A1502" s="26"/>
      <c r="C1502" s="26"/>
      <c r="D1502" s="27"/>
      <c r="E1502" s="27"/>
      <c r="BE1502" s="10" t="str">
        <f t="shared" si="240"/>
        <v/>
      </c>
      <c r="BF1502" s="8" t="str">
        <f t="shared" si="241"/>
        <v/>
      </c>
      <c r="BG1502" s="11" t="str">
        <f t="shared" si="242"/>
        <v/>
      </c>
      <c r="BH1502" s="8" t="str">
        <f t="shared" si="243"/>
        <v/>
      </c>
      <c r="BI1502" s="8" t="str">
        <f t="shared" si="244"/>
        <v/>
      </c>
      <c r="BJ1502" s="9" t="str">
        <f t="shared" si="245"/>
        <v/>
      </c>
      <c r="BK1502" s="9" t="str">
        <f>IF($B1502="","",COUNTIFS($B$5:$B1502,$B1502,$BF$5:$BF1502,$BF1502))</f>
        <v/>
      </c>
      <c r="BL1502" s="9" t="str">
        <f>IF($B1502="","",COUNTIFS($B$5:$B1502,$B1502,$BH$5:$BH1502,$BH1502))</f>
        <v/>
      </c>
      <c r="BM1502" s="9" t="str">
        <f t="shared" si="246"/>
        <v/>
      </c>
      <c r="BN1502" s="9" t="str">
        <f t="shared" si="247"/>
        <v/>
      </c>
      <c r="BO1502" s="9">
        <f t="shared" si="248"/>
        <v>0</v>
      </c>
      <c r="BR1502" s="12" t="str">
        <f t="shared" si="249"/>
        <v/>
      </c>
    </row>
    <row r="1503" spans="1:70" ht="14.25" customHeight="1">
      <c r="A1503" s="26"/>
      <c r="C1503" s="26"/>
      <c r="D1503" s="27"/>
      <c r="E1503" s="27"/>
      <c r="BE1503" s="10" t="str">
        <f t="shared" si="240"/>
        <v/>
      </c>
      <c r="BF1503" s="8" t="str">
        <f t="shared" si="241"/>
        <v/>
      </c>
      <c r="BG1503" s="11" t="str">
        <f t="shared" si="242"/>
        <v/>
      </c>
      <c r="BH1503" s="8" t="str">
        <f t="shared" si="243"/>
        <v/>
      </c>
      <c r="BI1503" s="8" t="str">
        <f t="shared" si="244"/>
        <v/>
      </c>
      <c r="BJ1503" s="9" t="str">
        <f t="shared" si="245"/>
        <v/>
      </c>
      <c r="BK1503" s="9" t="str">
        <f>IF($B1503="","",COUNTIFS($B$5:$B1503,$B1503,$BF$5:$BF1503,$BF1503))</f>
        <v/>
      </c>
      <c r="BL1503" s="9" t="str">
        <f>IF($B1503="","",COUNTIFS($B$5:$B1503,$B1503,$BH$5:$BH1503,$BH1503))</f>
        <v/>
      </c>
      <c r="BM1503" s="9" t="str">
        <f t="shared" si="246"/>
        <v/>
      </c>
      <c r="BN1503" s="9" t="str">
        <f t="shared" si="247"/>
        <v/>
      </c>
      <c r="BO1503" s="9">
        <f t="shared" si="248"/>
        <v>0</v>
      </c>
      <c r="BR1503" s="12" t="str">
        <f t="shared" si="249"/>
        <v/>
      </c>
    </row>
    <row r="1504" spans="1:70" ht="14.25" customHeight="1">
      <c r="A1504" s="26"/>
      <c r="C1504" s="26"/>
      <c r="D1504" s="27"/>
      <c r="E1504" s="27"/>
      <c r="BE1504" s="10" t="str">
        <f t="shared" si="240"/>
        <v/>
      </c>
      <c r="BF1504" s="8" t="str">
        <f t="shared" si="241"/>
        <v/>
      </c>
      <c r="BG1504" s="11" t="str">
        <f t="shared" si="242"/>
        <v/>
      </c>
      <c r="BH1504" s="8" t="str">
        <f t="shared" si="243"/>
        <v/>
      </c>
      <c r="BI1504" s="8" t="str">
        <f t="shared" si="244"/>
        <v/>
      </c>
      <c r="BJ1504" s="9" t="str">
        <f t="shared" si="245"/>
        <v/>
      </c>
      <c r="BK1504" s="9" t="str">
        <f>IF($B1504="","",COUNTIFS($B$5:$B1504,$B1504,$BF$5:$BF1504,$BF1504))</f>
        <v/>
      </c>
      <c r="BL1504" s="9" t="str">
        <f>IF($B1504="","",COUNTIFS($B$5:$B1504,$B1504,$BH$5:$BH1504,$BH1504))</f>
        <v/>
      </c>
      <c r="BM1504" s="9" t="str">
        <f t="shared" si="246"/>
        <v/>
      </c>
      <c r="BN1504" s="9" t="str">
        <f t="shared" si="247"/>
        <v/>
      </c>
      <c r="BO1504" s="9">
        <f t="shared" si="248"/>
        <v>0</v>
      </c>
      <c r="BR1504" s="12" t="str">
        <f t="shared" si="249"/>
        <v/>
      </c>
    </row>
    <row r="1505" spans="1:70" ht="14.25" customHeight="1">
      <c r="A1505" s="26"/>
      <c r="C1505" s="26"/>
      <c r="D1505" s="27"/>
      <c r="E1505" s="27"/>
      <c r="BE1505" s="10" t="str">
        <f t="shared" si="240"/>
        <v/>
      </c>
      <c r="BF1505" s="8" t="str">
        <f t="shared" si="241"/>
        <v/>
      </c>
      <c r="BG1505" s="11" t="str">
        <f t="shared" si="242"/>
        <v/>
      </c>
      <c r="BH1505" s="8" t="str">
        <f t="shared" si="243"/>
        <v/>
      </c>
      <c r="BI1505" s="8" t="str">
        <f t="shared" si="244"/>
        <v/>
      </c>
      <c r="BJ1505" s="9" t="str">
        <f t="shared" si="245"/>
        <v/>
      </c>
      <c r="BK1505" s="9" t="str">
        <f>IF($B1505="","",COUNTIFS($B$5:$B1505,$B1505,$BF$5:$BF1505,$BF1505))</f>
        <v/>
      </c>
      <c r="BL1505" s="9" t="str">
        <f>IF($B1505="","",COUNTIFS($B$5:$B1505,$B1505,$BH$5:$BH1505,$BH1505))</f>
        <v/>
      </c>
      <c r="BM1505" s="9" t="str">
        <f t="shared" si="246"/>
        <v/>
      </c>
      <c r="BN1505" s="9" t="str">
        <f t="shared" si="247"/>
        <v/>
      </c>
      <c r="BO1505" s="9">
        <f t="shared" si="248"/>
        <v>0</v>
      </c>
      <c r="BR1505" s="12" t="str">
        <f t="shared" si="249"/>
        <v/>
      </c>
    </row>
    <row r="1506" spans="1:70" ht="14.25" customHeight="1">
      <c r="A1506" s="26"/>
      <c r="C1506" s="26"/>
      <c r="D1506" s="27"/>
      <c r="E1506" s="27"/>
      <c r="BE1506" s="10" t="str">
        <f t="shared" si="240"/>
        <v/>
      </c>
      <c r="BF1506" s="8" t="str">
        <f t="shared" si="241"/>
        <v/>
      </c>
      <c r="BG1506" s="11" t="str">
        <f t="shared" si="242"/>
        <v/>
      </c>
      <c r="BH1506" s="8" t="str">
        <f t="shared" si="243"/>
        <v/>
      </c>
      <c r="BI1506" s="8" t="str">
        <f t="shared" si="244"/>
        <v/>
      </c>
      <c r="BJ1506" s="9" t="str">
        <f t="shared" si="245"/>
        <v/>
      </c>
      <c r="BK1506" s="9" t="str">
        <f>IF($B1506="","",COUNTIFS($B$5:$B1506,$B1506,$BF$5:$BF1506,$BF1506))</f>
        <v/>
      </c>
      <c r="BL1506" s="9" t="str">
        <f>IF($B1506="","",COUNTIFS($B$5:$B1506,$B1506,$BH$5:$BH1506,$BH1506))</f>
        <v/>
      </c>
      <c r="BM1506" s="9" t="str">
        <f t="shared" si="246"/>
        <v/>
      </c>
      <c r="BN1506" s="9" t="str">
        <f t="shared" si="247"/>
        <v/>
      </c>
      <c r="BO1506" s="9">
        <f t="shared" si="248"/>
        <v>0</v>
      </c>
      <c r="BR1506" s="12" t="str">
        <f t="shared" si="249"/>
        <v/>
      </c>
    </row>
    <row r="1507" spans="1:70" ht="14.25" customHeight="1">
      <c r="A1507" s="26"/>
      <c r="C1507" s="26"/>
      <c r="D1507" s="27"/>
      <c r="E1507" s="27"/>
      <c r="BE1507" s="10" t="str">
        <f t="shared" si="240"/>
        <v/>
      </c>
      <c r="BF1507" s="8" t="str">
        <f t="shared" si="241"/>
        <v/>
      </c>
      <c r="BG1507" s="11" t="str">
        <f t="shared" si="242"/>
        <v/>
      </c>
      <c r="BH1507" s="8" t="str">
        <f t="shared" si="243"/>
        <v/>
      </c>
      <c r="BI1507" s="8" t="str">
        <f t="shared" si="244"/>
        <v/>
      </c>
      <c r="BJ1507" s="9" t="str">
        <f t="shared" si="245"/>
        <v/>
      </c>
      <c r="BK1507" s="9" t="str">
        <f>IF($B1507="","",COUNTIFS($B$5:$B1507,$B1507,$BF$5:$BF1507,$BF1507))</f>
        <v/>
      </c>
      <c r="BL1507" s="9" t="str">
        <f>IF($B1507="","",COUNTIFS($B$5:$B1507,$B1507,$BH$5:$BH1507,$BH1507))</f>
        <v/>
      </c>
      <c r="BM1507" s="9" t="str">
        <f t="shared" si="246"/>
        <v/>
      </c>
      <c r="BN1507" s="9" t="str">
        <f t="shared" si="247"/>
        <v/>
      </c>
      <c r="BO1507" s="9">
        <f t="shared" si="248"/>
        <v>0</v>
      </c>
      <c r="BR1507" s="12" t="str">
        <f t="shared" si="249"/>
        <v/>
      </c>
    </row>
    <row r="1508" spans="1:70" ht="14.25" customHeight="1">
      <c r="A1508" s="26"/>
      <c r="C1508" s="26"/>
      <c r="D1508" s="27"/>
      <c r="E1508" s="27"/>
      <c r="BE1508" s="10" t="str">
        <f t="shared" si="240"/>
        <v/>
      </c>
      <c r="BF1508" s="8" t="str">
        <f t="shared" si="241"/>
        <v/>
      </c>
      <c r="BG1508" s="11" t="str">
        <f t="shared" si="242"/>
        <v/>
      </c>
      <c r="BH1508" s="8" t="str">
        <f t="shared" si="243"/>
        <v/>
      </c>
      <c r="BI1508" s="8" t="str">
        <f t="shared" si="244"/>
        <v/>
      </c>
      <c r="BJ1508" s="9" t="str">
        <f t="shared" si="245"/>
        <v/>
      </c>
      <c r="BK1508" s="9" t="str">
        <f>IF($B1508="","",COUNTIFS($B$5:$B1508,$B1508,$BF$5:$BF1508,$BF1508))</f>
        <v/>
      </c>
      <c r="BL1508" s="9" t="str">
        <f>IF($B1508="","",COUNTIFS($B$5:$B1508,$B1508,$BH$5:$BH1508,$BH1508))</f>
        <v/>
      </c>
      <c r="BM1508" s="9" t="str">
        <f t="shared" si="246"/>
        <v/>
      </c>
      <c r="BN1508" s="9" t="str">
        <f t="shared" si="247"/>
        <v/>
      </c>
      <c r="BO1508" s="9">
        <f t="shared" si="248"/>
        <v>0</v>
      </c>
      <c r="BR1508" s="12" t="str">
        <f t="shared" si="249"/>
        <v/>
      </c>
    </row>
    <row r="1509" spans="1:70" ht="14.25" customHeight="1">
      <c r="A1509" s="26"/>
      <c r="C1509" s="26"/>
      <c r="D1509" s="27"/>
      <c r="E1509" s="27"/>
      <c r="BE1509" s="10" t="str">
        <f t="shared" si="240"/>
        <v/>
      </c>
      <c r="BF1509" s="8" t="str">
        <f t="shared" si="241"/>
        <v/>
      </c>
      <c r="BG1509" s="11" t="str">
        <f t="shared" si="242"/>
        <v/>
      </c>
      <c r="BH1509" s="8" t="str">
        <f t="shared" si="243"/>
        <v/>
      </c>
      <c r="BI1509" s="8" t="str">
        <f t="shared" si="244"/>
        <v/>
      </c>
      <c r="BJ1509" s="9" t="str">
        <f t="shared" si="245"/>
        <v/>
      </c>
      <c r="BK1509" s="9" t="str">
        <f>IF($B1509="","",COUNTIFS($B$5:$B1509,$B1509,$BF$5:$BF1509,$BF1509))</f>
        <v/>
      </c>
      <c r="BL1509" s="9" t="str">
        <f>IF($B1509="","",COUNTIFS($B$5:$B1509,$B1509,$BH$5:$BH1509,$BH1509))</f>
        <v/>
      </c>
      <c r="BM1509" s="9" t="str">
        <f t="shared" si="246"/>
        <v/>
      </c>
      <c r="BN1509" s="9" t="str">
        <f t="shared" si="247"/>
        <v/>
      </c>
      <c r="BO1509" s="9">
        <f t="shared" si="248"/>
        <v>0</v>
      </c>
      <c r="BR1509" s="12" t="str">
        <f t="shared" si="249"/>
        <v/>
      </c>
    </row>
    <row r="1510" spans="1:70" ht="14.25" customHeight="1">
      <c r="A1510" s="26"/>
      <c r="C1510" s="26"/>
      <c r="D1510" s="27"/>
      <c r="E1510" s="27"/>
      <c r="BE1510" s="10" t="str">
        <f t="shared" si="240"/>
        <v/>
      </c>
      <c r="BF1510" s="8" t="str">
        <f t="shared" si="241"/>
        <v/>
      </c>
      <c r="BG1510" s="11" t="str">
        <f t="shared" si="242"/>
        <v/>
      </c>
      <c r="BH1510" s="8" t="str">
        <f t="shared" si="243"/>
        <v/>
      </c>
      <c r="BI1510" s="8" t="str">
        <f t="shared" si="244"/>
        <v/>
      </c>
      <c r="BJ1510" s="9" t="str">
        <f t="shared" si="245"/>
        <v/>
      </c>
      <c r="BK1510" s="9" t="str">
        <f>IF($B1510="","",COUNTIFS($B$5:$B1510,$B1510,$BF$5:$BF1510,$BF1510))</f>
        <v/>
      </c>
      <c r="BL1510" s="9" t="str">
        <f>IF($B1510="","",COUNTIFS($B$5:$B1510,$B1510,$BH$5:$BH1510,$BH1510))</f>
        <v/>
      </c>
      <c r="BM1510" s="9" t="str">
        <f t="shared" si="246"/>
        <v/>
      </c>
      <c r="BN1510" s="9" t="str">
        <f t="shared" si="247"/>
        <v/>
      </c>
      <c r="BO1510" s="9">
        <f t="shared" si="248"/>
        <v>0</v>
      </c>
      <c r="BR1510" s="12" t="str">
        <f t="shared" si="249"/>
        <v/>
      </c>
    </row>
    <row r="1511" spans="1:70" ht="14.25" customHeight="1">
      <c r="A1511" s="26"/>
      <c r="C1511" s="26"/>
      <c r="D1511" s="27"/>
      <c r="E1511" s="27"/>
      <c r="BE1511" s="10" t="str">
        <f t="shared" si="240"/>
        <v/>
      </c>
      <c r="BF1511" s="8" t="str">
        <f t="shared" si="241"/>
        <v/>
      </c>
      <c r="BG1511" s="11" t="str">
        <f t="shared" si="242"/>
        <v/>
      </c>
      <c r="BH1511" s="8" t="str">
        <f t="shared" si="243"/>
        <v/>
      </c>
      <c r="BI1511" s="8" t="str">
        <f t="shared" si="244"/>
        <v/>
      </c>
      <c r="BJ1511" s="9" t="str">
        <f t="shared" si="245"/>
        <v/>
      </c>
      <c r="BK1511" s="9" t="str">
        <f>IF($B1511="","",COUNTIFS($B$5:$B1511,$B1511,$BF$5:$BF1511,$BF1511))</f>
        <v/>
      </c>
      <c r="BL1511" s="9" t="str">
        <f>IF($B1511="","",COUNTIFS($B$5:$B1511,$B1511,$BH$5:$BH1511,$BH1511))</f>
        <v/>
      </c>
      <c r="BM1511" s="9" t="str">
        <f t="shared" si="246"/>
        <v/>
      </c>
      <c r="BN1511" s="9" t="str">
        <f t="shared" si="247"/>
        <v/>
      </c>
      <c r="BO1511" s="9">
        <f t="shared" si="248"/>
        <v>0</v>
      </c>
      <c r="BR1511" s="12" t="str">
        <f t="shared" si="249"/>
        <v/>
      </c>
    </row>
    <row r="1512" spans="1:70" ht="14.25" customHeight="1">
      <c r="A1512" s="26"/>
      <c r="C1512" s="26"/>
      <c r="D1512" s="27"/>
      <c r="E1512" s="27"/>
      <c r="BE1512" s="10" t="str">
        <f t="shared" si="240"/>
        <v/>
      </c>
      <c r="BF1512" s="8" t="str">
        <f t="shared" si="241"/>
        <v/>
      </c>
      <c r="BG1512" s="11" t="str">
        <f t="shared" si="242"/>
        <v/>
      </c>
      <c r="BH1512" s="8" t="str">
        <f t="shared" si="243"/>
        <v/>
      </c>
      <c r="BI1512" s="8" t="str">
        <f t="shared" si="244"/>
        <v/>
      </c>
      <c r="BJ1512" s="9" t="str">
        <f t="shared" si="245"/>
        <v/>
      </c>
      <c r="BK1512" s="9" t="str">
        <f>IF($B1512="","",COUNTIFS($B$5:$B1512,$B1512,$BF$5:$BF1512,$BF1512))</f>
        <v/>
      </c>
      <c r="BL1512" s="9" t="str">
        <f>IF($B1512="","",COUNTIFS($B$5:$B1512,$B1512,$BH$5:$BH1512,$BH1512))</f>
        <v/>
      </c>
      <c r="BM1512" s="9" t="str">
        <f t="shared" si="246"/>
        <v/>
      </c>
      <c r="BN1512" s="9" t="str">
        <f t="shared" si="247"/>
        <v/>
      </c>
      <c r="BO1512" s="9">
        <f t="shared" si="248"/>
        <v>0</v>
      </c>
      <c r="BR1512" s="12" t="str">
        <f t="shared" si="249"/>
        <v/>
      </c>
    </row>
    <row r="1513" spans="1:70" ht="14.25" customHeight="1">
      <c r="A1513" s="26"/>
      <c r="C1513" s="26"/>
      <c r="D1513" s="27"/>
      <c r="E1513" s="27"/>
      <c r="BE1513" s="10" t="str">
        <f t="shared" si="240"/>
        <v/>
      </c>
      <c r="BF1513" s="8" t="str">
        <f t="shared" si="241"/>
        <v/>
      </c>
      <c r="BG1513" s="11" t="str">
        <f t="shared" si="242"/>
        <v/>
      </c>
      <c r="BH1513" s="8" t="str">
        <f t="shared" si="243"/>
        <v/>
      </c>
      <c r="BI1513" s="8" t="str">
        <f t="shared" si="244"/>
        <v/>
      </c>
      <c r="BJ1513" s="9" t="str">
        <f t="shared" si="245"/>
        <v/>
      </c>
      <c r="BK1513" s="9" t="str">
        <f>IF($B1513="","",COUNTIFS($B$5:$B1513,$B1513,$BF$5:$BF1513,$BF1513))</f>
        <v/>
      </c>
      <c r="BL1513" s="9" t="str">
        <f>IF($B1513="","",COUNTIFS($B$5:$B1513,$B1513,$BH$5:$BH1513,$BH1513))</f>
        <v/>
      </c>
      <c r="BM1513" s="9" t="str">
        <f t="shared" si="246"/>
        <v/>
      </c>
      <c r="BN1513" s="9" t="str">
        <f t="shared" si="247"/>
        <v/>
      </c>
      <c r="BO1513" s="9">
        <f t="shared" si="248"/>
        <v>0</v>
      </c>
      <c r="BR1513" s="12" t="str">
        <f t="shared" si="249"/>
        <v/>
      </c>
    </row>
    <row r="1514" spans="1:70" ht="14.25" customHeight="1">
      <c r="A1514" s="26"/>
      <c r="C1514" s="26"/>
      <c r="D1514" s="27"/>
      <c r="E1514" s="27"/>
      <c r="BE1514" s="10" t="str">
        <f t="shared" si="240"/>
        <v/>
      </c>
      <c r="BF1514" s="8" t="str">
        <f t="shared" si="241"/>
        <v/>
      </c>
      <c r="BG1514" s="11" t="str">
        <f t="shared" si="242"/>
        <v/>
      </c>
      <c r="BH1514" s="8" t="str">
        <f t="shared" si="243"/>
        <v/>
      </c>
      <c r="BI1514" s="8" t="str">
        <f t="shared" si="244"/>
        <v/>
      </c>
      <c r="BJ1514" s="9" t="str">
        <f t="shared" si="245"/>
        <v/>
      </c>
      <c r="BK1514" s="9" t="str">
        <f>IF($B1514="","",COUNTIFS($B$5:$B1514,$B1514,$BF$5:$BF1514,$BF1514))</f>
        <v/>
      </c>
      <c r="BL1514" s="9" t="str">
        <f>IF($B1514="","",COUNTIFS($B$5:$B1514,$B1514,$BH$5:$BH1514,$BH1514))</f>
        <v/>
      </c>
      <c r="BM1514" s="9" t="str">
        <f t="shared" si="246"/>
        <v/>
      </c>
      <c r="BN1514" s="9" t="str">
        <f t="shared" si="247"/>
        <v/>
      </c>
      <c r="BO1514" s="9">
        <f t="shared" si="248"/>
        <v>0</v>
      </c>
      <c r="BR1514" s="12" t="str">
        <f t="shared" si="249"/>
        <v/>
      </c>
    </row>
    <row r="1515" spans="1:70" ht="14.25" customHeight="1">
      <c r="A1515" s="26"/>
      <c r="C1515" s="26"/>
      <c r="D1515" s="27"/>
      <c r="E1515" s="27"/>
      <c r="BE1515" s="10" t="str">
        <f t="shared" si="240"/>
        <v/>
      </c>
      <c r="BF1515" s="8" t="str">
        <f t="shared" si="241"/>
        <v/>
      </c>
      <c r="BG1515" s="11" t="str">
        <f t="shared" si="242"/>
        <v/>
      </c>
      <c r="BH1515" s="8" t="str">
        <f t="shared" si="243"/>
        <v/>
      </c>
      <c r="BI1515" s="8" t="str">
        <f t="shared" si="244"/>
        <v/>
      </c>
      <c r="BJ1515" s="9" t="str">
        <f t="shared" si="245"/>
        <v/>
      </c>
      <c r="BK1515" s="9" t="str">
        <f>IF($B1515="","",COUNTIFS($B$5:$B1515,$B1515,$BF$5:$BF1515,$BF1515))</f>
        <v/>
      </c>
      <c r="BL1515" s="9" t="str">
        <f>IF($B1515="","",COUNTIFS($B$5:$B1515,$B1515,$BH$5:$BH1515,$BH1515))</f>
        <v/>
      </c>
      <c r="BM1515" s="9" t="str">
        <f t="shared" si="246"/>
        <v/>
      </c>
      <c r="BN1515" s="9" t="str">
        <f t="shared" si="247"/>
        <v/>
      </c>
      <c r="BO1515" s="9">
        <f t="shared" si="248"/>
        <v>0</v>
      </c>
      <c r="BR1515" s="12" t="str">
        <f t="shared" si="249"/>
        <v/>
      </c>
    </row>
    <row r="1516" spans="1:70" ht="14.25" customHeight="1">
      <c r="A1516" s="26"/>
      <c r="C1516" s="26"/>
      <c r="D1516" s="27"/>
      <c r="E1516" s="27"/>
      <c r="BE1516" s="10" t="str">
        <f t="shared" si="240"/>
        <v/>
      </c>
      <c r="BF1516" s="8" t="str">
        <f t="shared" si="241"/>
        <v/>
      </c>
      <c r="BG1516" s="11" t="str">
        <f t="shared" si="242"/>
        <v/>
      </c>
      <c r="BH1516" s="8" t="str">
        <f t="shared" si="243"/>
        <v/>
      </c>
      <c r="BI1516" s="8" t="str">
        <f t="shared" si="244"/>
        <v/>
      </c>
      <c r="BJ1516" s="9" t="str">
        <f t="shared" si="245"/>
        <v/>
      </c>
      <c r="BK1516" s="9" t="str">
        <f>IF($B1516="","",COUNTIFS($B$5:$B1516,$B1516,$BF$5:$BF1516,$BF1516))</f>
        <v/>
      </c>
      <c r="BL1516" s="9" t="str">
        <f>IF($B1516="","",COUNTIFS($B$5:$B1516,$B1516,$BH$5:$BH1516,$BH1516))</f>
        <v/>
      </c>
      <c r="BM1516" s="9" t="str">
        <f t="shared" si="246"/>
        <v/>
      </c>
      <c r="BN1516" s="9" t="str">
        <f t="shared" si="247"/>
        <v/>
      </c>
      <c r="BO1516" s="9">
        <f t="shared" si="248"/>
        <v>0</v>
      </c>
      <c r="BR1516" s="12" t="str">
        <f t="shared" si="249"/>
        <v/>
      </c>
    </row>
    <row r="1517" spans="1:70" ht="14.25" customHeight="1">
      <c r="A1517" s="26"/>
      <c r="C1517" s="26"/>
      <c r="D1517" s="27"/>
      <c r="E1517" s="27"/>
      <c r="BE1517" s="10" t="str">
        <f t="shared" si="240"/>
        <v/>
      </c>
      <c r="BF1517" s="8" t="str">
        <f t="shared" si="241"/>
        <v/>
      </c>
      <c r="BG1517" s="11" t="str">
        <f t="shared" si="242"/>
        <v/>
      </c>
      <c r="BH1517" s="8" t="str">
        <f t="shared" si="243"/>
        <v/>
      </c>
      <c r="BI1517" s="8" t="str">
        <f t="shared" si="244"/>
        <v/>
      </c>
      <c r="BJ1517" s="9" t="str">
        <f t="shared" si="245"/>
        <v/>
      </c>
      <c r="BK1517" s="9" t="str">
        <f>IF($B1517="","",COUNTIFS($B$5:$B1517,$B1517,$BF$5:$BF1517,$BF1517))</f>
        <v/>
      </c>
      <c r="BL1517" s="9" t="str">
        <f>IF($B1517="","",COUNTIFS($B$5:$B1517,$B1517,$BH$5:$BH1517,$BH1517))</f>
        <v/>
      </c>
      <c r="BM1517" s="9" t="str">
        <f t="shared" si="246"/>
        <v/>
      </c>
      <c r="BN1517" s="9" t="str">
        <f t="shared" si="247"/>
        <v/>
      </c>
      <c r="BO1517" s="9">
        <f t="shared" si="248"/>
        <v>0</v>
      </c>
      <c r="BR1517" s="12" t="str">
        <f t="shared" si="249"/>
        <v/>
      </c>
    </row>
    <row r="1518" spans="1:70" ht="14.25" customHeight="1">
      <c r="A1518" s="26"/>
      <c r="C1518" s="26"/>
      <c r="D1518" s="27"/>
      <c r="E1518" s="27"/>
      <c r="BE1518" s="10" t="str">
        <f t="shared" si="240"/>
        <v/>
      </c>
      <c r="BF1518" s="8" t="str">
        <f t="shared" si="241"/>
        <v/>
      </c>
      <c r="BG1518" s="11" t="str">
        <f t="shared" si="242"/>
        <v/>
      </c>
      <c r="BH1518" s="8" t="str">
        <f t="shared" si="243"/>
        <v/>
      </c>
      <c r="BI1518" s="8" t="str">
        <f t="shared" si="244"/>
        <v/>
      </c>
      <c r="BJ1518" s="9" t="str">
        <f t="shared" si="245"/>
        <v/>
      </c>
      <c r="BK1518" s="9" t="str">
        <f>IF($B1518="","",COUNTIFS($B$5:$B1518,$B1518,$BF$5:$BF1518,$BF1518))</f>
        <v/>
      </c>
      <c r="BL1518" s="9" t="str">
        <f>IF($B1518="","",COUNTIFS($B$5:$B1518,$B1518,$BH$5:$BH1518,$BH1518))</f>
        <v/>
      </c>
      <c r="BM1518" s="9" t="str">
        <f t="shared" si="246"/>
        <v/>
      </c>
      <c r="BN1518" s="9" t="str">
        <f t="shared" si="247"/>
        <v/>
      </c>
      <c r="BO1518" s="9">
        <f t="shared" si="248"/>
        <v>0</v>
      </c>
      <c r="BR1518" s="12" t="str">
        <f t="shared" si="249"/>
        <v/>
      </c>
    </row>
    <row r="1519" spans="1:70" ht="14.25" customHeight="1">
      <c r="A1519" s="26"/>
      <c r="C1519" s="26"/>
      <c r="D1519" s="27"/>
      <c r="E1519" s="27"/>
      <c r="BE1519" s="10" t="str">
        <f t="shared" si="240"/>
        <v/>
      </c>
      <c r="BF1519" s="8" t="str">
        <f t="shared" si="241"/>
        <v/>
      </c>
      <c r="BG1519" s="11" t="str">
        <f t="shared" si="242"/>
        <v/>
      </c>
      <c r="BH1519" s="8" t="str">
        <f t="shared" si="243"/>
        <v/>
      </c>
      <c r="BI1519" s="8" t="str">
        <f t="shared" si="244"/>
        <v/>
      </c>
      <c r="BJ1519" s="9" t="str">
        <f t="shared" si="245"/>
        <v/>
      </c>
      <c r="BK1519" s="9" t="str">
        <f>IF($B1519="","",COUNTIFS($B$5:$B1519,$B1519,$BF$5:$BF1519,$BF1519))</f>
        <v/>
      </c>
      <c r="BL1519" s="9" t="str">
        <f>IF($B1519="","",COUNTIFS($B$5:$B1519,$B1519,$BH$5:$BH1519,$BH1519))</f>
        <v/>
      </c>
      <c r="BM1519" s="9" t="str">
        <f t="shared" si="246"/>
        <v/>
      </c>
      <c r="BN1519" s="9" t="str">
        <f t="shared" si="247"/>
        <v/>
      </c>
      <c r="BO1519" s="9">
        <f t="shared" si="248"/>
        <v>0</v>
      </c>
      <c r="BR1519" s="12" t="str">
        <f t="shared" si="249"/>
        <v/>
      </c>
    </row>
    <row r="1520" spans="1:70" ht="14.25" customHeight="1">
      <c r="A1520" s="26"/>
      <c r="C1520" s="26"/>
      <c r="D1520" s="27"/>
      <c r="E1520" s="27"/>
      <c r="BE1520" s="10" t="str">
        <f t="shared" si="240"/>
        <v/>
      </c>
      <c r="BF1520" s="8" t="str">
        <f t="shared" si="241"/>
        <v/>
      </c>
      <c r="BG1520" s="11" t="str">
        <f t="shared" si="242"/>
        <v/>
      </c>
      <c r="BH1520" s="8" t="str">
        <f t="shared" si="243"/>
        <v/>
      </c>
      <c r="BI1520" s="8" t="str">
        <f t="shared" si="244"/>
        <v/>
      </c>
      <c r="BJ1520" s="9" t="str">
        <f t="shared" si="245"/>
        <v/>
      </c>
      <c r="BK1520" s="9" t="str">
        <f>IF($B1520="","",COUNTIFS($B$5:$B1520,$B1520,$BF$5:$BF1520,$BF1520))</f>
        <v/>
      </c>
      <c r="BL1520" s="9" t="str">
        <f>IF($B1520="","",COUNTIFS($B$5:$B1520,$B1520,$BH$5:$BH1520,$BH1520))</f>
        <v/>
      </c>
      <c r="BM1520" s="9" t="str">
        <f t="shared" si="246"/>
        <v/>
      </c>
      <c r="BN1520" s="9" t="str">
        <f t="shared" si="247"/>
        <v/>
      </c>
      <c r="BO1520" s="9">
        <f t="shared" si="248"/>
        <v>0</v>
      </c>
      <c r="BR1520" s="12" t="str">
        <f t="shared" si="249"/>
        <v/>
      </c>
    </row>
    <row r="1521" spans="1:70" ht="14.25" customHeight="1">
      <c r="A1521" s="26"/>
      <c r="C1521" s="26"/>
      <c r="D1521" s="27"/>
      <c r="E1521" s="27"/>
      <c r="BE1521" s="10" t="str">
        <f t="shared" si="240"/>
        <v/>
      </c>
      <c r="BF1521" s="8" t="str">
        <f t="shared" si="241"/>
        <v/>
      </c>
      <c r="BG1521" s="11" t="str">
        <f t="shared" si="242"/>
        <v/>
      </c>
      <c r="BH1521" s="8" t="str">
        <f t="shared" si="243"/>
        <v/>
      </c>
      <c r="BI1521" s="8" t="str">
        <f t="shared" si="244"/>
        <v/>
      </c>
      <c r="BJ1521" s="9" t="str">
        <f t="shared" si="245"/>
        <v/>
      </c>
      <c r="BK1521" s="9" t="str">
        <f>IF($B1521="","",COUNTIFS($B$5:$B1521,$B1521,$BF$5:$BF1521,$BF1521))</f>
        <v/>
      </c>
      <c r="BL1521" s="9" t="str">
        <f>IF($B1521="","",COUNTIFS($B$5:$B1521,$B1521,$BH$5:$BH1521,$BH1521))</f>
        <v/>
      </c>
      <c r="BM1521" s="9" t="str">
        <f t="shared" si="246"/>
        <v/>
      </c>
      <c r="BN1521" s="9" t="str">
        <f t="shared" si="247"/>
        <v/>
      </c>
      <c r="BO1521" s="9">
        <f t="shared" si="248"/>
        <v>0</v>
      </c>
      <c r="BR1521" s="12" t="str">
        <f t="shared" si="249"/>
        <v/>
      </c>
    </row>
    <row r="1522" spans="1:70" ht="14.25" customHeight="1">
      <c r="A1522" s="26"/>
      <c r="C1522" s="26"/>
      <c r="D1522" s="27"/>
      <c r="E1522" s="27"/>
      <c r="BE1522" s="10" t="str">
        <f t="shared" si="240"/>
        <v/>
      </c>
      <c r="BF1522" s="8" t="str">
        <f t="shared" si="241"/>
        <v/>
      </c>
      <c r="BG1522" s="11" t="str">
        <f t="shared" si="242"/>
        <v/>
      </c>
      <c r="BH1522" s="8" t="str">
        <f t="shared" si="243"/>
        <v/>
      </c>
      <c r="BI1522" s="8" t="str">
        <f t="shared" si="244"/>
        <v/>
      </c>
      <c r="BJ1522" s="9" t="str">
        <f t="shared" si="245"/>
        <v/>
      </c>
      <c r="BK1522" s="9" t="str">
        <f>IF($B1522="","",COUNTIFS($B$5:$B1522,$B1522,$BF$5:$BF1522,$BF1522))</f>
        <v/>
      </c>
      <c r="BL1522" s="9" t="str">
        <f>IF($B1522="","",COUNTIFS($B$5:$B1522,$B1522,$BH$5:$BH1522,$BH1522))</f>
        <v/>
      </c>
      <c r="BM1522" s="9" t="str">
        <f t="shared" si="246"/>
        <v/>
      </c>
      <c r="BN1522" s="9" t="str">
        <f t="shared" si="247"/>
        <v/>
      </c>
      <c r="BO1522" s="9">
        <f t="shared" si="248"/>
        <v>0</v>
      </c>
      <c r="BR1522" s="12" t="str">
        <f t="shared" si="249"/>
        <v/>
      </c>
    </row>
    <row r="1523" spans="1:70" ht="14.25" customHeight="1">
      <c r="A1523" s="26"/>
      <c r="C1523" s="26"/>
      <c r="D1523" s="27"/>
      <c r="E1523" s="27"/>
      <c r="BE1523" s="10" t="str">
        <f t="shared" si="240"/>
        <v/>
      </c>
      <c r="BF1523" s="8" t="str">
        <f t="shared" si="241"/>
        <v/>
      </c>
      <c r="BG1523" s="11" t="str">
        <f t="shared" si="242"/>
        <v/>
      </c>
      <c r="BH1523" s="8" t="str">
        <f t="shared" si="243"/>
        <v/>
      </c>
      <c r="BI1523" s="8" t="str">
        <f t="shared" si="244"/>
        <v/>
      </c>
      <c r="BJ1523" s="9" t="str">
        <f t="shared" si="245"/>
        <v/>
      </c>
      <c r="BK1523" s="9" t="str">
        <f>IF($B1523="","",COUNTIFS($B$5:$B1523,$B1523,$BF$5:$BF1523,$BF1523))</f>
        <v/>
      </c>
      <c r="BL1523" s="9" t="str">
        <f>IF($B1523="","",COUNTIFS($B$5:$B1523,$B1523,$BH$5:$BH1523,$BH1523))</f>
        <v/>
      </c>
      <c r="BM1523" s="9" t="str">
        <f t="shared" si="246"/>
        <v/>
      </c>
      <c r="BN1523" s="9" t="str">
        <f t="shared" si="247"/>
        <v/>
      </c>
      <c r="BO1523" s="9">
        <f t="shared" si="248"/>
        <v>0</v>
      </c>
      <c r="BR1523" s="12" t="str">
        <f t="shared" si="249"/>
        <v/>
      </c>
    </row>
    <row r="1524" spans="1:70" ht="14.25" customHeight="1">
      <c r="A1524" s="26"/>
      <c r="C1524" s="26"/>
      <c r="D1524" s="27"/>
      <c r="E1524" s="27"/>
      <c r="BE1524" s="10" t="str">
        <f t="shared" si="240"/>
        <v/>
      </c>
      <c r="BF1524" s="8" t="str">
        <f t="shared" si="241"/>
        <v/>
      </c>
      <c r="BG1524" s="11" t="str">
        <f t="shared" si="242"/>
        <v/>
      </c>
      <c r="BH1524" s="8" t="str">
        <f t="shared" si="243"/>
        <v/>
      </c>
      <c r="BI1524" s="8" t="str">
        <f t="shared" si="244"/>
        <v/>
      </c>
      <c r="BJ1524" s="9" t="str">
        <f t="shared" si="245"/>
        <v/>
      </c>
      <c r="BK1524" s="9" t="str">
        <f>IF($B1524="","",COUNTIFS($B$5:$B1524,$B1524,$BF$5:$BF1524,$BF1524))</f>
        <v/>
      </c>
      <c r="BL1524" s="9" t="str">
        <f>IF($B1524="","",COUNTIFS($B$5:$B1524,$B1524,$BH$5:$BH1524,$BH1524))</f>
        <v/>
      </c>
      <c r="BM1524" s="9" t="str">
        <f t="shared" si="246"/>
        <v/>
      </c>
      <c r="BN1524" s="9" t="str">
        <f t="shared" si="247"/>
        <v/>
      </c>
      <c r="BO1524" s="9">
        <f t="shared" si="248"/>
        <v>0</v>
      </c>
      <c r="BR1524" s="12" t="str">
        <f t="shared" si="249"/>
        <v/>
      </c>
    </row>
    <row r="1525" spans="1:70" ht="14.25" customHeight="1">
      <c r="A1525" s="26"/>
      <c r="C1525" s="26"/>
      <c r="D1525" s="27"/>
      <c r="E1525" s="27"/>
      <c r="BE1525" s="10" t="str">
        <f t="shared" si="240"/>
        <v/>
      </c>
      <c r="BF1525" s="8" t="str">
        <f t="shared" si="241"/>
        <v/>
      </c>
      <c r="BG1525" s="11" t="str">
        <f t="shared" si="242"/>
        <v/>
      </c>
      <c r="BH1525" s="8" t="str">
        <f t="shared" si="243"/>
        <v/>
      </c>
      <c r="BI1525" s="8" t="str">
        <f t="shared" si="244"/>
        <v/>
      </c>
      <c r="BJ1525" s="9" t="str">
        <f t="shared" si="245"/>
        <v/>
      </c>
      <c r="BK1525" s="9" t="str">
        <f>IF($B1525="","",COUNTIFS($B$5:$B1525,$B1525,$BF$5:$BF1525,$BF1525))</f>
        <v/>
      </c>
      <c r="BL1525" s="9" t="str">
        <f>IF($B1525="","",COUNTIFS($B$5:$B1525,$B1525,$BH$5:$BH1525,$BH1525))</f>
        <v/>
      </c>
      <c r="BM1525" s="9" t="str">
        <f t="shared" si="246"/>
        <v/>
      </c>
      <c r="BN1525" s="9" t="str">
        <f t="shared" si="247"/>
        <v/>
      </c>
      <c r="BO1525" s="9">
        <f t="shared" si="248"/>
        <v>0</v>
      </c>
      <c r="BR1525" s="12" t="str">
        <f t="shared" si="249"/>
        <v/>
      </c>
    </row>
    <row r="1526" spans="1:70" ht="14.25" customHeight="1">
      <c r="A1526" s="26"/>
      <c r="C1526" s="26"/>
      <c r="D1526" s="27"/>
      <c r="E1526" s="27"/>
      <c r="BE1526" s="10" t="str">
        <f t="shared" si="240"/>
        <v/>
      </c>
      <c r="BF1526" s="8" t="str">
        <f t="shared" si="241"/>
        <v/>
      </c>
      <c r="BG1526" s="11" t="str">
        <f t="shared" si="242"/>
        <v/>
      </c>
      <c r="BH1526" s="8" t="str">
        <f t="shared" si="243"/>
        <v/>
      </c>
      <c r="BI1526" s="8" t="str">
        <f t="shared" si="244"/>
        <v/>
      </c>
      <c r="BJ1526" s="9" t="str">
        <f t="shared" si="245"/>
        <v/>
      </c>
      <c r="BK1526" s="9" t="str">
        <f>IF($B1526="","",COUNTIFS($B$5:$B1526,$B1526,$BF$5:$BF1526,$BF1526))</f>
        <v/>
      </c>
      <c r="BL1526" s="9" t="str">
        <f>IF($B1526="","",COUNTIFS($B$5:$B1526,$B1526,$BH$5:$BH1526,$BH1526))</f>
        <v/>
      </c>
      <c r="BM1526" s="9" t="str">
        <f t="shared" si="246"/>
        <v/>
      </c>
      <c r="BN1526" s="9" t="str">
        <f t="shared" si="247"/>
        <v/>
      </c>
      <c r="BO1526" s="9">
        <f t="shared" si="248"/>
        <v>0</v>
      </c>
      <c r="BR1526" s="12" t="str">
        <f t="shared" si="249"/>
        <v/>
      </c>
    </row>
    <row r="1527" spans="1:70" ht="14.25" customHeight="1">
      <c r="A1527" s="26"/>
      <c r="C1527" s="26"/>
      <c r="D1527" s="27"/>
      <c r="E1527" s="27"/>
      <c r="BE1527" s="10" t="str">
        <f t="shared" si="240"/>
        <v/>
      </c>
      <c r="BF1527" s="8" t="str">
        <f t="shared" si="241"/>
        <v/>
      </c>
      <c r="BG1527" s="11" t="str">
        <f t="shared" si="242"/>
        <v/>
      </c>
      <c r="BH1527" s="8" t="str">
        <f t="shared" si="243"/>
        <v/>
      </c>
      <c r="BI1527" s="8" t="str">
        <f t="shared" si="244"/>
        <v/>
      </c>
      <c r="BJ1527" s="9" t="str">
        <f t="shared" si="245"/>
        <v/>
      </c>
      <c r="BK1527" s="9" t="str">
        <f>IF($B1527="","",COUNTIFS($B$5:$B1527,$B1527,$BF$5:$BF1527,$BF1527))</f>
        <v/>
      </c>
      <c r="BL1527" s="9" t="str">
        <f>IF($B1527="","",COUNTIFS($B$5:$B1527,$B1527,$BH$5:$BH1527,$BH1527))</f>
        <v/>
      </c>
      <c r="BM1527" s="9" t="str">
        <f t="shared" si="246"/>
        <v/>
      </c>
      <c r="BN1527" s="9" t="str">
        <f t="shared" si="247"/>
        <v/>
      </c>
      <c r="BO1527" s="9">
        <f t="shared" si="248"/>
        <v>0</v>
      </c>
      <c r="BR1527" s="12" t="str">
        <f t="shared" si="249"/>
        <v/>
      </c>
    </row>
    <row r="1528" spans="1:70" ht="14.25" customHeight="1">
      <c r="A1528" s="26"/>
      <c r="C1528" s="26"/>
      <c r="D1528" s="27"/>
      <c r="E1528" s="27"/>
      <c r="BE1528" s="10" t="str">
        <f t="shared" si="240"/>
        <v/>
      </c>
      <c r="BF1528" s="8" t="str">
        <f t="shared" si="241"/>
        <v/>
      </c>
      <c r="BG1528" s="11" t="str">
        <f t="shared" si="242"/>
        <v/>
      </c>
      <c r="BH1528" s="8" t="str">
        <f t="shared" si="243"/>
        <v/>
      </c>
      <c r="BI1528" s="8" t="str">
        <f t="shared" si="244"/>
        <v/>
      </c>
      <c r="BJ1528" s="9" t="str">
        <f t="shared" si="245"/>
        <v/>
      </c>
      <c r="BK1528" s="9" t="str">
        <f>IF($B1528="","",COUNTIFS($B$5:$B1528,$B1528,$BF$5:$BF1528,$BF1528))</f>
        <v/>
      </c>
      <c r="BL1528" s="9" t="str">
        <f>IF($B1528="","",COUNTIFS($B$5:$B1528,$B1528,$BH$5:$BH1528,$BH1528))</f>
        <v/>
      </c>
      <c r="BM1528" s="9" t="str">
        <f t="shared" si="246"/>
        <v/>
      </c>
      <c r="BN1528" s="9" t="str">
        <f t="shared" si="247"/>
        <v/>
      </c>
      <c r="BO1528" s="9">
        <f t="shared" si="248"/>
        <v>0</v>
      </c>
      <c r="BR1528" s="12" t="str">
        <f t="shared" si="249"/>
        <v/>
      </c>
    </row>
    <row r="1529" spans="1:70" ht="14.25" customHeight="1">
      <c r="A1529" s="26"/>
      <c r="C1529" s="26"/>
      <c r="D1529" s="27"/>
      <c r="E1529" s="27"/>
      <c r="BE1529" s="10" t="str">
        <f t="shared" si="240"/>
        <v/>
      </c>
      <c r="BF1529" s="8" t="str">
        <f t="shared" si="241"/>
        <v/>
      </c>
      <c r="BG1529" s="11" t="str">
        <f t="shared" si="242"/>
        <v/>
      </c>
      <c r="BH1529" s="8" t="str">
        <f t="shared" si="243"/>
        <v/>
      </c>
      <c r="BI1529" s="8" t="str">
        <f t="shared" si="244"/>
        <v/>
      </c>
      <c r="BJ1529" s="9" t="str">
        <f t="shared" si="245"/>
        <v/>
      </c>
      <c r="BK1529" s="9" t="str">
        <f>IF($B1529="","",COUNTIFS($B$5:$B1529,$B1529,$BF$5:$BF1529,$BF1529))</f>
        <v/>
      </c>
      <c r="BL1529" s="9" t="str">
        <f>IF($B1529="","",COUNTIFS($B$5:$B1529,$B1529,$BH$5:$BH1529,$BH1529))</f>
        <v/>
      </c>
      <c r="BM1529" s="9" t="str">
        <f t="shared" si="246"/>
        <v/>
      </c>
      <c r="BN1529" s="9" t="str">
        <f t="shared" si="247"/>
        <v/>
      </c>
      <c r="BO1529" s="9">
        <f t="shared" si="248"/>
        <v>0</v>
      </c>
      <c r="BR1529" s="12" t="str">
        <f t="shared" si="249"/>
        <v/>
      </c>
    </row>
    <row r="1530" spans="1:70" ht="14.25" customHeight="1">
      <c r="A1530" s="26"/>
      <c r="C1530" s="26"/>
      <c r="D1530" s="27"/>
      <c r="E1530" s="27"/>
      <c r="BE1530" s="10" t="str">
        <f t="shared" si="240"/>
        <v/>
      </c>
      <c r="BF1530" s="8" t="str">
        <f t="shared" si="241"/>
        <v/>
      </c>
      <c r="BG1530" s="11" t="str">
        <f t="shared" si="242"/>
        <v/>
      </c>
      <c r="BH1530" s="8" t="str">
        <f t="shared" si="243"/>
        <v/>
      </c>
      <c r="BI1530" s="8" t="str">
        <f t="shared" si="244"/>
        <v/>
      </c>
      <c r="BJ1530" s="9" t="str">
        <f t="shared" si="245"/>
        <v/>
      </c>
      <c r="BK1530" s="9" t="str">
        <f>IF($B1530="","",COUNTIFS($B$5:$B1530,$B1530,$BF$5:$BF1530,$BF1530))</f>
        <v/>
      </c>
      <c r="BL1530" s="9" t="str">
        <f>IF($B1530="","",COUNTIFS($B$5:$B1530,$B1530,$BH$5:$BH1530,$BH1530))</f>
        <v/>
      </c>
      <c r="BM1530" s="9" t="str">
        <f t="shared" si="246"/>
        <v/>
      </c>
      <c r="BN1530" s="9" t="str">
        <f t="shared" si="247"/>
        <v/>
      </c>
      <c r="BO1530" s="9">
        <f t="shared" si="248"/>
        <v>0</v>
      </c>
      <c r="BR1530" s="12" t="str">
        <f t="shared" si="249"/>
        <v/>
      </c>
    </row>
    <row r="1531" spans="1:70" ht="14.25" customHeight="1">
      <c r="A1531" s="26"/>
      <c r="C1531" s="26"/>
      <c r="D1531" s="27"/>
      <c r="E1531" s="27"/>
      <c r="BE1531" s="10" t="str">
        <f t="shared" si="240"/>
        <v/>
      </c>
      <c r="BF1531" s="8" t="str">
        <f t="shared" si="241"/>
        <v/>
      </c>
      <c r="BG1531" s="11" t="str">
        <f t="shared" si="242"/>
        <v/>
      </c>
      <c r="BH1531" s="8" t="str">
        <f t="shared" si="243"/>
        <v/>
      </c>
      <c r="BI1531" s="8" t="str">
        <f t="shared" si="244"/>
        <v/>
      </c>
      <c r="BJ1531" s="9" t="str">
        <f t="shared" si="245"/>
        <v/>
      </c>
      <c r="BK1531" s="9" t="str">
        <f>IF($B1531="","",COUNTIFS($B$5:$B1531,$B1531,$BF$5:$BF1531,$BF1531))</f>
        <v/>
      </c>
      <c r="BL1531" s="9" t="str">
        <f>IF($B1531="","",COUNTIFS($B$5:$B1531,$B1531,$BH$5:$BH1531,$BH1531))</f>
        <v/>
      </c>
      <c r="BM1531" s="9" t="str">
        <f t="shared" si="246"/>
        <v/>
      </c>
      <c r="BN1531" s="9" t="str">
        <f t="shared" si="247"/>
        <v/>
      </c>
      <c r="BO1531" s="9">
        <f t="shared" si="248"/>
        <v>0</v>
      </c>
      <c r="BR1531" s="12" t="str">
        <f t="shared" si="249"/>
        <v/>
      </c>
    </row>
    <row r="1532" spans="1:70" ht="14.25" customHeight="1">
      <c r="A1532" s="26"/>
      <c r="C1532" s="26"/>
      <c r="D1532" s="27"/>
      <c r="E1532" s="27"/>
      <c r="BE1532" s="10" t="str">
        <f t="shared" si="240"/>
        <v/>
      </c>
      <c r="BF1532" s="8" t="str">
        <f t="shared" si="241"/>
        <v/>
      </c>
      <c r="BG1532" s="11" t="str">
        <f t="shared" si="242"/>
        <v/>
      </c>
      <c r="BH1532" s="8" t="str">
        <f t="shared" si="243"/>
        <v/>
      </c>
      <c r="BI1532" s="8" t="str">
        <f t="shared" si="244"/>
        <v/>
      </c>
      <c r="BJ1532" s="9" t="str">
        <f t="shared" si="245"/>
        <v/>
      </c>
      <c r="BK1532" s="9" t="str">
        <f>IF($B1532="","",COUNTIFS($B$5:$B1532,$B1532,$BF$5:$BF1532,$BF1532))</f>
        <v/>
      </c>
      <c r="BL1532" s="9" t="str">
        <f>IF($B1532="","",COUNTIFS($B$5:$B1532,$B1532,$BH$5:$BH1532,$BH1532))</f>
        <v/>
      </c>
      <c r="BM1532" s="9" t="str">
        <f t="shared" si="246"/>
        <v/>
      </c>
      <c r="BN1532" s="9" t="str">
        <f t="shared" si="247"/>
        <v/>
      </c>
      <c r="BO1532" s="9">
        <f t="shared" si="248"/>
        <v>0</v>
      </c>
      <c r="BR1532" s="12" t="str">
        <f t="shared" si="249"/>
        <v/>
      </c>
    </row>
    <row r="1533" spans="1:70" ht="14.25" customHeight="1">
      <c r="A1533" s="26"/>
      <c r="C1533" s="26"/>
      <c r="D1533" s="27"/>
      <c r="E1533" s="27"/>
      <c r="BE1533" s="10" t="str">
        <f t="shared" si="240"/>
        <v/>
      </c>
      <c r="BF1533" s="8" t="str">
        <f t="shared" si="241"/>
        <v/>
      </c>
      <c r="BG1533" s="11" t="str">
        <f t="shared" si="242"/>
        <v/>
      </c>
      <c r="BH1533" s="8" t="str">
        <f t="shared" si="243"/>
        <v/>
      </c>
      <c r="BI1533" s="8" t="str">
        <f t="shared" si="244"/>
        <v/>
      </c>
      <c r="BJ1533" s="9" t="str">
        <f t="shared" si="245"/>
        <v/>
      </c>
      <c r="BK1533" s="9" t="str">
        <f>IF($B1533="","",COUNTIFS($B$5:$B1533,$B1533,$BF$5:$BF1533,$BF1533))</f>
        <v/>
      </c>
      <c r="BL1533" s="9" t="str">
        <f>IF($B1533="","",COUNTIFS($B$5:$B1533,$B1533,$BH$5:$BH1533,$BH1533))</f>
        <v/>
      </c>
      <c r="BM1533" s="9" t="str">
        <f t="shared" si="246"/>
        <v/>
      </c>
      <c r="BN1533" s="9" t="str">
        <f t="shared" si="247"/>
        <v/>
      </c>
      <c r="BO1533" s="9">
        <f t="shared" si="248"/>
        <v>0</v>
      </c>
      <c r="BR1533" s="12" t="str">
        <f t="shared" si="249"/>
        <v/>
      </c>
    </row>
    <row r="1534" spans="1:70" ht="14.25" customHeight="1">
      <c r="A1534" s="26"/>
      <c r="C1534" s="26"/>
      <c r="D1534" s="27"/>
      <c r="E1534" s="27"/>
      <c r="BE1534" s="10" t="str">
        <f t="shared" si="240"/>
        <v/>
      </c>
      <c r="BF1534" s="8" t="str">
        <f t="shared" si="241"/>
        <v/>
      </c>
      <c r="BG1534" s="11" t="str">
        <f t="shared" si="242"/>
        <v/>
      </c>
      <c r="BH1534" s="8" t="str">
        <f t="shared" si="243"/>
        <v/>
      </c>
      <c r="BI1534" s="8" t="str">
        <f t="shared" si="244"/>
        <v/>
      </c>
      <c r="BJ1534" s="9" t="str">
        <f t="shared" si="245"/>
        <v/>
      </c>
      <c r="BK1534" s="9" t="str">
        <f>IF($B1534="","",COUNTIFS($B$5:$B1534,$B1534,$BF$5:$BF1534,$BF1534))</f>
        <v/>
      </c>
      <c r="BL1534" s="9" t="str">
        <f>IF($B1534="","",COUNTIFS($B$5:$B1534,$B1534,$BH$5:$BH1534,$BH1534))</f>
        <v/>
      </c>
      <c r="BM1534" s="9" t="str">
        <f t="shared" si="246"/>
        <v/>
      </c>
      <c r="BN1534" s="9" t="str">
        <f t="shared" si="247"/>
        <v/>
      </c>
      <c r="BO1534" s="9">
        <f t="shared" si="248"/>
        <v>0</v>
      </c>
      <c r="BR1534" s="12" t="str">
        <f t="shared" si="249"/>
        <v/>
      </c>
    </row>
    <row r="1535" spans="1:70" ht="14.25" customHeight="1">
      <c r="A1535" s="26"/>
      <c r="C1535" s="26"/>
      <c r="D1535" s="27"/>
      <c r="E1535" s="27"/>
      <c r="BE1535" s="10" t="str">
        <f t="shared" si="240"/>
        <v/>
      </c>
      <c r="BF1535" s="8" t="str">
        <f t="shared" si="241"/>
        <v/>
      </c>
      <c r="BG1535" s="11" t="str">
        <f t="shared" si="242"/>
        <v/>
      </c>
      <c r="BH1535" s="8" t="str">
        <f t="shared" si="243"/>
        <v/>
      </c>
      <c r="BI1535" s="8" t="str">
        <f t="shared" si="244"/>
        <v/>
      </c>
      <c r="BJ1535" s="9" t="str">
        <f t="shared" si="245"/>
        <v/>
      </c>
      <c r="BK1535" s="9" t="str">
        <f>IF($B1535="","",COUNTIFS($B$5:$B1535,$B1535,$BF$5:$BF1535,$BF1535))</f>
        <v/>
      </c>
      <c r="BL1535" s="9" t="str">
        <f>IF($B1535="","",COUNTIFS($B$5:$B1535,$B1535,$BH$5:$BH1535,$BH1535))</f>
        <v/>
      </c>
      <c r="BM1535" s="9" t="str">
        <f t="shared" si="246"/>
        <v/>
      </c>
      <c r="BN1535" s="9" t="str">
        <f t="shared" si="247"/>
        <v/>
      </c>
      <c r="BO1535" s="9">
        <f t="shared" si="248"/>
        <v>0</v>
      </c>
      <c r="BR1535" s="12" t="str">
        <f t="shared" si="249"/>
        <v/>
      </c>
    </row>
    <row r="1536" spans="1:70" ht="14.25" customHeight="1">
      <c r="A1536" s="26"/>
      <c r="C1536" s="26"/>
      <c r="D1536" s="27"/>
      <c r="E1536" s="27"/>
      <c r="BE1536" s="10" t="str">
        <f t="shared" si="240"/>
        <v/>
      </c>
      <c r="BF1536" s="8" t="str">
        <f t="shared" si="241"/>
        <v/>
      </c>
      <c r="BG1536" s="11" t="str">
        <f t="shared" si="242"/>
        <v/>
      </c>
      <c r="BH1536" s="8" t="str">
        <f t="shared" si="243"/>
        <v/>
      </c>
      <c r="BI1536" s="8" t="str">
        <f t="shared" si="244"/>
        <v/>
      </c>
      <c r="BJ1536" s="9" t="str">
        <f t="shared" si="245"/>
        <v/>
      </c>
      <c r="BK1536" s="9" t="str">
        <f>IF($B1536="","",COUNTIFS($B$5:$B1536,$B1536,$BF$5:$BF1536,$BF1536))</f>
        <v/>
      </c>
      <c r="BL1536" s="9" t="str">
        <f>IF($B1536="","",COUNTIFS($B$5:$B1536,$B1536,$BH$5:$BH1536,$BH1536))</f>
        <v/>
      </c>
      <c r="BM1536" s="9" t="str">
        <f t="shared" si="246"/>
        <v/>
      </c>
      <c r="BN1536" s="9" t="str">
        <f t="shared" si="247"/>
        <v/>
      </c>
      <c r="BO1536" s="9">
        <f t="shared" si="248"/>
        <v>0</v>
      </c>
      <c r="BR1536" s="12" t="str">
        <f t="shared" si="249"/>
        <v/>
      </c>
    </row>
    <row r="1537" spans="1:70" ht="14.25" customHeight="1">
      <c r="A1537" s="26"/>
      <c r="C1537" s="26"/>
      <c r="D1537" s="27"/>
      <c r="E1537" s="27"/>
      <c r="BE1537" s="10" t="str">
        <f t="shared" si="240"/>
        <v/>
      </c>
      <c r="BF1537" s="8" t="str">
        <f t="shared" si="241"/>
        <v/>
      </c>
      <c r="BG1537" s="11" t="str">
        <f t="shared" si="242"/>
        <v/>
      </c>
      <c r="BH1537" s="8" t="str">
        <f t="shared" si="243"/>
        <v/>
      </c>
      <c r="BI1537" s="8" t="str">
        <f t="shared" si="244"/>
        <v/>
      </c>
      <c r="BJ1537" s="9" t="str">
        <f t="shared" si="245"/>
        <v/>
      </c>
      <c r="BK1537" s="9" t="str">
        <f>IF($B1537="","",COUNTIFS($B$5:$B1537,$B1537,$BF$5:$BF1537,$BF1537))</f>
        <v/>
      </c>
      <c r="BL1537" s="9" t="str">
        <f>IF($B1537="","",COUNTIFS($B$5:$B1537,$B1537,$BH$5:$BH1537,$BH1537))</f>
        <v/>
      </c>
      <c r="BM1537" s="9" t="str">
        <f t="shared" si="246"/>
        <v/>
      </c>
      <c r="BN1537" s="9" t="str">
        <f t="shared" si="247"/>
        <v/>
      </c>
      <c r="BO1537" s="9">
        <f t="shared" si="248"/>
        <v>0</v>
      </c>
      <c r="BR1537" s="12" t="str">
        <f t="shared" si="249"/>
        <v/>
      </c>
    </row>
    <row r="1538" spans="1:70" ht="14.25" customHeight="1">
      <c r="A1538" s="26"/>
      <c r="C1538" s="26"/>
      <c r="D1538" s="27"/>
      <c r="E1538" s="27"/>
      <c r="BE1538" s="10" t="str">
        <f t="shared" si="240"/>
        <v/>
      </c>
      <c r="BF1538" s="8" t="str">
        <f t="shared" si="241"/>
        <v/>
      </c>
      <c r="BG1538" s="11" t="str">
        <f t="shared" si="242"/>
        <v/>
      </c>
      <c r="BH1538" s="8" t="str">
        <f t="shared" si="243"/>
        <v/>
      </c>
      <c r="BI1538" s="8" t="str">
        <f t="shared" si="244"/>
        <v/>
      </c>
      <c r="BJ1538" s="9" t="str">
        <f t="shared" si="245"/>
        <v/>
      </c>
      <c r="BK1538" s="9" t="str">
        <f>IF($B1538="","",COUNTIFS($B$5:$B1538,$B1538,$BF$5:$BF1538,$BF1538))</f>
        <v/>
      </c>
      <c r="BL1538" s="9" t="str">
        <f>IF($B1538="","",COUNTIFS($B$5:$B1538,$B1538,$BH$5:$BH1538,$BH1538))</f>
        <v/>
      </c>
      <c r="BM1538" s="9" t="str">
        <f t="shared" si="246"/>
        <v/>
      </c>
      <c r="BN1538" s="9" t="str">
        <f t="shared" si="247"/>
        <v/>
      </c>
      <c r="BO1538" s="9">
        <f t="shared" si="248"/>
        <v>0</v>
      </c>
      <c r="BR1538" s="12" t="str">
        <f t="shared" si="249"/>
        <v/>
      </c>
    </row>
    <row r="1539" spans="1:70" ht="14.25" customHeight="1">
      <c r="A1539" s="26"/>
      <c r="C1539" s="26"/>
      <c r="D1539" s="27"/>
      <c r="E1539" s="27"/>
      <c r="BE1539" s="10" t="str">
        <f t="shared" si="240"/>
        <v/>
      </c>
      <c r="BF1539" s="8" t="str">
        <f t="shared" si="241"/>
        <v/>
      </c>
      <c r="BG1539" s="11" t="str">
        <f t="shared" si="242"/>
        <v/>
      </c>
      <c r="BH1539" s="8" t="str">
        <f t="shared" si="243"/>
        <v/>
      </c>
      <c r="BI1539" s="8" t="str">
        <f t="shared" si="244"/>
        <v/>
      </c>
      <c r="BJ1539" s="9" t="str">
        <f t="shared" si="245"/>
        <v/>
      </c>
      <c r="BK1539" s="9" t="str">
        <f>IF($B1539="","",COUNTIFS($B$5:$B1539,$B1539,$BF$5:$BF1539,$BF1539))</f>
        <v/>
      </c>
      <c r="BL1539" s="9" t="str">
        <f>IF($B1539="","",COUNTIFS($B$5:$B1539,$B1539,$BH$5:$BH1539,$BH1539))</f>
        <v/>
      </c>
      <c r="BM1539" s="9" t="str">
        <f t="shared" si="246"/>
        <v/>
      </c>
      <c r="BN1539" s="9" t="str">
        <f t="shared" si="247"/>
        <v/>
      </c>
      <c r="BO1539" s="9">
        <f t="shared" si="248"/>
        <v>0</v>
      </c>
      <c r="BR1539" s="12" t="str">
        <f t="shared" si="249"/>
        <v/>
      </c>
    </row>
    <row r="1540" spans="1:70" ht="14.25" customHeight="1">
      <c r="A1540" s="26"/>
      <c r="C1540" s="26"/>
      <c r="D1540" s="27"/>
      <c r="E1540" s="27"/>
      <c r="BE1540" s="10" t="str">
        <f t="shared" si="240"/>
        <v/>
      </c>
      <c r="BF1540" s="8" t="str">
        <f t="shared" si="241"/>
        <v/>
      </c>
      <c r="BG1540" s="11" t="str">
        <f t="shared" si="242"/>
        <v/>
      </c>
      <c r="BH1540" s="8" t="str">
        <f t="shared" si="243"/>
        <v/>
      </c>
      <c r="BI1540" s="8" t="str">
        <f t="shared" si="244"/>
        <v/>
      </c>
      <c r="BJ1540" s="9" t="str">
        <f t="shared" si="245"/>
        <v/>
      </c>
      <c r="BK1540" s="9" t="str">
        <f>IF($B1540="","",COUNTIFS($B$5:$B1540,$B1540,$BF$5:$BF1540,$BF1540))</f>
        <v/>
      </c>
      <c r="BL1540" s="9" t="str">
        <f>IF($B1540="","",COUNTIFS($B$5:$B1540,$B1540,$BH$5:$BH1540,$BH1540))</f>
        <v/>
      </c>
      <c r="BM1540" s="9" t="str">
        <f t="shared" si="246"/>
        <v/>
      </c>
      <c r="BN1540" s="9" t="str">
        <f t="shared" si="247"/>
        <v/>
      </c>
      <c r="BO1540" s="9">
        <f t="shared" si="248"/>
        <v>0</v>
      </c>
      <c r="BR1540" s="12" t="str">
        <f t="shared" si="249"/>
        <v/>
      </c>
    </row>
    <row r="1541" spans="1:70" ht="14.25" customHeight="1">
      <c r="A1541" s="26"/>
      <c r="C1541" s="26"/>
      <c r="D1541" s="27"/>
      <c r="E1541" s="27"/>
      <c r="BE1541" s="10" t="str">
        <f t="shared" si="240"/>
        <v/>
      </c>
      <c r="BF1541" s="8" t="str">
        <f t="shared" si="241"/>
        <v/>
      </c>
      <c r="BG1541" s="11" t="str">
        <f t="shared" si="242"/>
        <v/>
      </c>
      <c r="BH1541" s="8" t="str">
        <f t="shared" si="243"/>
        <v/>
      </c>
      <c r="BI1541" s="8" t="str">
        <f t="shared" si="244"/>
        <v/>
      </c>
      <c r="BJ1541" s="9" t="str">
        <f t="shared" si="245"/>
        <v/>
      </c>
      <c r="BK1541" s="9" t="str">
        <f>IF($B1541="","",COUNTIFS($B$5:$B1541,$B1541,$BF$5:$BF1541,$BF1541))</f>
        <v/>
      </c>
      <c r="BL1541" s="9" t="str">
        <f>IF($B1541="","",COUNTIFS($B$5:$B1541,$B1541,$BH$5:$BH1541,$BH1541))</f>
        <v/>
      </c>
      <c r="BM1541" s="9" t="str">
        <f t="shared" si="246"/>
        <v/>
      </c>
      <c r="BN1541" s="9" t="str">
        <f t="shared" si="247"/>
        <v/>
      </c>
      <c r="BO1541" s="9">
        <f t="shared" si="248"/>
        <v>0</v>
      </c>
      <c r="BR1541" s="12" t="str">
        <f t="shared" si="249"/>
        <v/>
      </c>
    </row>
    <row r="1542" spans="1:70" ht="14.25" customHeight="1">
      <c r="A1542" s="26"/>
      <c r="C1542" s="26"/>
      <c r="D1542" s="27"/>
      <c r="E1542" s="27"/>
      <c r="BE1542" s="10" t="str">
        <f t="shared" si="240"/>
        <v/>
      </c>
      <c r="BF1542" s="8" t="str">
        <f t="shared" si="241"/>
        <v/>
      </c>
      <c r="BG1542" s="11" t="str">
        <f t="shared" si="242"/>
        <v/>
      </c>
      <c r="BH1542" s="8" t="str">
        <f t="shared" si="243"/>
        <v/>
      </c>
      <c r="BI1542" s="8" t="str">
        <f t="shared" si="244"/>
        <v/>
      </c>
      <c r="BJ1542" s="9" t="str">
        <f t="shared" si="245"/>
        <v/>
      </c>
      <c r="BK1542" s="9" t="str">
        <f>IF($B1542="","",COUNTIFS($B$5:$B1542,$B1542,$BF$5:$BF1542,$BF1542))</f>
        <v/>
      </c>
      <c r="BL1542" s="9" t="str">
        <f>IF($B1542="","",COUNTIFS($B$5:$B1542,$B1542,$BH$5:$BH1542,$BH1542))</f>
        <v/>
      </c>
      <c r="BM1542" s="9" t="str">
        <f t="shared" si="246"/>
        <v/>
      </c>
      <c r="BN1542" s="9" t="str">
        <f t="shared" si="247"/>
        <v/>
      </c>
      <c r="BO1542" s="9">
        <f t="shared" si="248"/>
        <v>0</v>
      </c>
      <c r="BR1542" s="12" t="str">
        <f t="shared" si="249"/>
        <v/>
      </c>
    </row>
    <row r="1543" spans="1:70" ht="14.25" customHeight="1">
      <c r="A1543" s="26"/>
      <c r="C1543" s="26"/>
      <c r="D1543" s="27"/>
      <c r="E1543" s="27"/>
      <c r="BE1543" s="10" t="str">
        <f t="shared" si="240"/>
        <v/>
      </c>
      <c r="BF1543" s="8" t="str">
        <f t="shared" si="241"/>
        <v/>
      </c>
      <c r="BG1543" s="11" t="str">
        <f t="shared" si="242"/>
        <v/>
      </c>
      <c r="BH1543" s="8" t="str">
        <f t="shared" si="243"/>
        <v/>
      </c>
      <c r="BI1543" s="8" t="str">
        <f t="shared" si="244"/>
        <v/>
      </c>
      <c r="BJ1543" s="9" t="str">
        <f t="shared" si="245"/>
        <v/>
      </c>
      <c r="BK1543" s="9" t="str">
        <f>IF($B1543="","",COUNTIFS($B$5:$B1543,$B1543,$BF$5:$BF1543,$BF1543))</f>
        <v/>
      </c>
      <c r="BL1543" s="9" t="str">
        <f>IF($B1543="","",COUNTIFS($B$5:$B1543,$B1543,$BH$5:$BH1543,$BH1543))</f>
        <v/>
      </c>
      <c r="BM1543" s="9" t="str">
        <f t="shared" si="246"/>
        <v/>
      </c>
      <c r="BN1543" s="9" t="str">
        <f t="shared" si="247"/>
        <v/>
      </c>
      <c r="BO1543" s="9">
        <f t="shared" si="248"/>
        <v>0</v>
      </c>
      <c r="BR1543" s="12" t="str">
        <f t="shared" si="249"/>
        <v/>
      </c>
    </row>
    <row r="1544" spans="1:70" ht="14.25" customHeight="1">
      <c r="A1544" s="26"/>
      <c r="C1544" s="26"/>
      <c r="D1544" s="27"/>
      <c r="E1544" s="27"/>
      <c r="BE1544" s="10" t="str">
        <f t="shared" si="240"/>
        <v/>
      </c>
      <c r="BF1544" s="8" t="str">
        <f t="shared" si="241"/>
        <v/>
      </c>
      <c r="BG1544" s="11" t="str">
        <f t="shared" si="242"/>
        <v/>
      </c>
      <c r="BH1544" s="8" t="str">
        <f t="shared" si="243"/>
        <v/>
      </c>
      <c r="BI1544" s="8" t="str">
        <f t="shared" si="244"/>
        <v/>
      </c>
      <c r="BJ1544" s="9" t="str">
        <f t="shared" si="245"/>
        <v/>
      </c>
      <c r="BK1544" s="9" t="str">
        <f>IF($B1544="","",COUNTIFS($B$5:$B1544,$B1544,$BF$5:$BF1544,$BF1544))</f>
        <v/>
      </c>
      <c r="BL1544" s="9" t="str">
        <f>IF($B1544="","",COUNTIFS($B$5:$B1544,$B1544,$BH$5:$BH1544,$BH1544))</f>
        <v/>
      </c>
      <c r="BM1544" s="9" t="str">
        <f t="shared" si="246"/>
        <v/>
      </c>
      <c r="BN1544" s="9" t="str">
        <f t="shared" si="247"/>
        <v/>
      </c>
      <c r="BO1544" s="9">
        <f t="shared" si="248"/>
        <v>0</v>
      </c>
      <c r="BR1544" s="12" t="str">
        <f t="shared" si="249"/>
        <v/>
      </c>
    </row>
    <row r="1545" spans="1:70" ht="14.25" customHeight="1">
      <c r="A1545" s="26"/>
      <c r="C1545" s="26"/>
      <c r="D1545" s="27"/>
      <c r="E1545" s="27"/>
      <c r="BE1545" s="10" t="str">
        <f t="shared" si="240"/>
        <v/>
      </c>
      <c r="BF1545" s="8" t="str">
        <f t="shared" si="241"/>
        <v/>
      </c>
      <c r="BG1545" s="11" t="str">
        <f t="shared" si="242"/>
        <v/>
      </c>
      <c r="BH1545" s="8" t="str">
        <f t="shared" si="243"/>
        <v/>
      </c>
      <c r="BI1545" s="8" t="str">
        <f t="shared" si="244"/>
        <v/>
      </c>
      <c r="BJ1545" s="9" t="str">
        <f t="shared" si="245"/>
        <v/>
      </c>
      <c r="BK1545" s="9" t="str">
        <f>IF($B1545="","",COUNTIFS($B$5:$B1545,$B1545,$BF$5:$BF1545,$BF1545))</f>
        <v/>
      </c>
      <c r="BL1545" s="9" t="str">
        <f>IF($B1545="","",COUNTIFS($B$5:$B1545,$B1545,$BH$5:$BH1545,$BH1545))</f>
        <v/>
      </c>
      <c r="BM1545" s="9" t="str">
        <f t="shared" si="246"/>
        <v/>
      </c>
      <c r="BN1545" s="9" t="str">
        <f t="shared" si="247"/>
        <v/>
      </c>
      <c r="BO1545" s="9">
        <f t="shared" si="248"/>
        <v>0</v>
      </c>
      <c r="BR1545" s="12" t="str">
        <f t="shared" si="249"/>
        <v/>
      </c>
    </row>
    <row r="1546" spans="1:70" ht="14.25" customHeight="1">
      <c r="A1546" s="26"/>
      <c r="C1546" s="26"/>
      <c r="D1546" s="27"/>
      <c r="E1546" s="27"/>
      <c r="BE1546" s="10" t="str">
        <f t="shared" si="240"/>
        <v/>
      </c>
      <c r="BF1546" s="8" t="str">
        <f t="shared" si="241"/>
        <v/>
      </c>
      <c r="BG1546" s="11" t="str">
        <f t="shared" si="242"/>
        <v/>
      </c>
      <c r="BH1546" s="8" t="str">
        <f t="shared" si="243"/>
        <v/>
      </c>
      <c r="BI1546" s="8" t="str">
        <f t="shared" si="244"/>
        <v/>
      </c>
      <c r="BJ1546" s="9" t="str">
        <f t="shared" si="245"/>
        <v/>
      </c>
      <c r="BK1546" s="9" t="str">
        <f>IF($B1546="","",COUNTIFS($B$5:$B1546,$B1546,$BF$5:$BF1546,$BF1546))</f>
        <v/>
      </c>
      <c r="BL1546" s="9" t="str">
        <f>IF($B1546="","",COUNTIFS($B$5:$B1546,$B1546,$BH$5:$BH1546,$BH1546))</f>
        <v/>
      </c>
      <c r="BM1546" s="9" t="str">
        <f t="shared" si="246"/>
        <v/>
      </c>
      <c r="BN1546" s="9" t="str">
        <f t="shared" si="247"/>
        <v/>
      </c>
      <c r="BO1546" s="9">
        <f t="shared" si="248"/>
        <v>0</v>
      </c>
      <c r="BR1546" s="12" t="str">
        <f t="shared" si="249"/>
        <v/>
      </c>
    </row>
    <row r="1547" spans="1:70" ht="14.25" customHeight="1">
      <c r="A1547" s="26"/>
      <c r="C1547" s="26"/>
      <c r="D1547" s="27"/>
      <c r="E1547" s="27"/>
      <c r="BE1547" s="10" t="str">
        <f t="shared" si="240"/>
        <v/>
      </c>
      <c r="BF1547" s="8" t="str">
        <f t="shared" si="241"/>
        <v/>
      </c>
      <c r="BG1547" s="11" t="str">
        <f t="shared" si="242"/>
        <v/>
      </c>
      <c r="BH1547" s="8" t="str">
        <f t="shared" si="243"/>
        <v/>
      </c>
      <c r="BI1547" s="8" t="str">
        <f t="shared" si="244"/>
        <v/>
      </c>
      <c r="BJ1547" s="9" t="str">
        <f t="shared" si="245"/>
        <v/>
      </c>
      <c r="BK1547" s="9" t="str">
        <f>IF($B1547="","",COUNTIFS($B$5:$B1547,$B1547,$BF$5:$BF1547,$BF1547))</f>
        <v/>
      </c>
      <c r="BL1547" s="9" t="str">
        <f>IF($B1547="","",COUNTIFS($B$5:$B1547,$B1547,$BH$5:$BH1547,$BH1547))</f>
        <v/>
      </c>
      <c r="BM1547" s="9" t="str">
        <f t="shared" si="246"/>
        <v/>
      </c>
      <c r="BN1547" s="9" t="str">
        <f t="shared" si="247"/>
        <v/>
      </c>
      <c r="BO1547" s="9">
        <f t="shared" si="248"/>
        <v>0</v>
      </c>
      <c r="BR1547" s="12" t="str">
        <f t="shared" si="249"/>
        <v/>
      </c>
    </row>
    <row r="1548" spans="1:70" ht="14.25" customHeight="1">
      <c r="A1548" s="26"/>
      <c r="C1548" s="26"/>
      <c r="D1548" s="27"/>
      <c r="E1548" s="27"/>
      <c r="BE1548" s="10" t="str">
        <f t="shared" si="240"/>
        <v/>
      </c>
      <c r="BF1548" s="8" t="str">
        <f t="shared" si="241"/>
        <v/>
      </c>
      <c r="BG1548" s="11" t="str">
        <f t="shared" si="242"/>
        <v/>
      </c>
      <c r="BH1548" s="8" t="str">
        <f t="shared" si="243"/>
        <v/>
      </c>
      <c r="BI1548" s="8" t="str">
        <f t="shared" si="244"/>
        <v/>
      </c>
      <c r="BJ1548" s="9" t="str">
        <f t="shared" si="245"/>
        <v/>
      </c>
      <c r="BK1548" s="9" t="str">
        <f>IF($B1548="","",COUNTIFS($B$5:$B1548,$B1548,$BF$5:$BF1548,$BF1548))</f>
        <v/>
      </c>
      <c r="BL1548" s="9" t="str">
        <f>IF($B1548="","",COUNTIFS($B$5:$B1548,$B1548,$BH$5:$BH1548,$BH1548))</f>
        <v/>
      </c>
      <c r="BM1548" s="9" t="str">
        <f t="shared" si="246"/>
        <v/>
      </c>
      <c r="BN1548" s="9" t="str">
        <f t="shared" si="247"/>
        <v/>
      </c>
      <c r="BO1548" s="9">
        <f t="shared" si="248"/>
        <v>0</v>
      </c>
      <c r="BR1548" s="12" t="str">
        <f t="shared" si="249"/>
        <v/>
      </c>
    </row>
    <row r="1549" spans="1:70" ht="14.25" customHeight="1">
      <c r="A1549" s="26"/>
      <c r="C1549" s="26"/>
      <c r="D1549" s="27"/>
      <c r="E1549" s="27"/>
      <c r="BE1549" s="10" t="str">
        <f t="shared" si="240"/>
        <v/>
      </c>
      <c r="BF1549" s="8" t="str">
        <f t="shared" si="241"/>
        <v/>
      </c>
      <c r="BG1549" s="11" t="str">
        <f t="shared" si="242"/>
        <v/>
      </c>
      <c r="BH1549" s="8" t="str">
        <f t="shared" si="243"/>
        <v/>
      </c>
      <c r="BI1549" s="8" t="str">
        <f t="shared" si="244"/>
        <v/>
      </c>
      <c r="BJ1549" s="9" t="str">
        <f t="shared" si="245"/>
        <v/>
      </c>
      <c r="BK1549" s="9" t="str">
        <f>IF($B1549="","",COUNTIFS($B$5:$B1549,$B1549,$BF$5:$BF1549,$BF1549))</f>
        <v/>
      </c>
      <c r="BL1549" s="9" t="str">
        <f>IF($B1549="","",COUNTIFS($B$5:$B1549,$B1549,$BH$5:$BH1549,$BH1549))</f>
        <v/>
      </c>
      <c r="BM1549" s="9" t="str">
        <f t="shared" si="246"/>
        <v/>
      </c>
      <c r="BN1549" s="9" t="str">
        <f t="shared" si="247"/>
        <v/>
      </c>
      <c r="BO1549" s="9">
        <f t="shared" si="248"/>
        <v>0</v>
      </c>
      <c r="BR1549" s="12" t="str">
        <f t="shared" si="249"/>
        <v/>
      </c>
    </row>
    <row r="1550" spans="1:70" ht="14.25" customHeight="1">
      <c r="A1550" s="26"/>
      <c r="C1550" s="26"/>
      <c r="D1550" s="27"/>
      <c r="E1550" s="27"/>
      <c r="BE1550" s="10" t="str">
        <f t="shared" si="240"/>
        <v/>
      </c>
      <c r="BF1550" s="8" t="str">
        <f t="shared" si="241"/>
        <v/>
      </c>
      <c r="BG1550" s="11" t="str">
        <f t="shared" si="242"/>
        <v/>
      </c>
      <c r="BH1550" s="8" t="str">
        <f t="shared" si="243"/>
        <v/>
      </c>
      <c r="BI1550" s="8" t="str">
        <f t="shared" si="244"/>
        <v/>
      </c>
      <c r="BJ1550" s="9" t="str">
        <f t="shared" si="245"/>
        <v/>
      </c>
      <c r="BK1550" s="9" t="str">
        <f>IF($B1550="","",COUNTIFS($B$5:$B1550,$B1550,$BF$5:$BF1550,$BF1550))</f>
        <v/>
      </c>
      <c r="BL1550" s="9" t="str">
        <f>IF($B1550="","",COUNTIFS($B$5:$B1550,$B1550,$BH$5:$BH1550,$BH1550))</f>
        <v/>
      </c>
      <c r="BM1550" s="9" t="str">
        <f t="shared" si="246"/>
        <v/>
      </c>
      <c r="BN1550" s="9" t="str">
        <f t="shared" si="247"/>
        <v/>
      </c>
      <c r="BO1550" s="9">
        <f t="shared" si="248"/>
        <v>0</v>
      </c>
      <c r="BR1550" s="12" t="str">
        <f t="shared" si="249"/>
        <v/>
      </c>
    </row>
    <row r="1551" spans="1:70" ht="14.25" customHeight="1">
      <c r="A1551" s="26"/>
      <c r="C1551" s="26"/>
      <c r="D1551" s="27"/>
      <c r="E1551" s="27"/>
      <c r="BE1551" s="10" t="str">
        <f t="shared" si="240"/>
        <v/>
      </c>
      <c r="BF1551" s="8" t="str">
        <f t="shared" si="241"/>
        <v/>
      </c>
      <c r="BG1551" s="11" t="str">
        <f t="shared" si="242"/>
        <v/>
      </c>
      <c r="BH1551" s="8" t="str">
        <f t="shared" si="243"/>
        <v/>
      </c>
      <c r="BI1551" s="8" t="str">
        <f t="shared" si="244"/>
        <v/>
      </c>
      <c r="BJ1551" s="9" t="str">
        <f t="shared" si="245"/>
        <v/>
      </c>
      <c r="BK1551" s="9" t="str">
        <f>IF($B1551="","",COUNTIFS($B$5:$B1551,$B1551,$BF$5:$BF1551,$BF1551))</f>
        <v/>
      </c>
      <c r="BL1551" s="9" t="str">
        <f>IF($B1551="","",COUNTIFS($B$5:$B1551,$B1551,$BH$5:$BH1551,$BH1551))</f>
        <v/>
      </c>
      <c r="BM1551" s="9" t="str">
        <f t="shared" si="246"/>
        <v/>
      </c>
      <c r="BN1551" s="9" t="str">
        <f t="shared" si="247"/>
        <v/>
      </c>
      <c r="BO1551" s="9">
        <f t="shared" si="248"/>
        <v>0</v>
      </c>
      <c r="BR1551" s="12" t="str">
        <f t="shared" si="249"/>
        <v/>
      </c>
    </row>
    <row r="1552" spans="1:70" ht="14.25" customHeight="1">
      <c r="A1552" s="26"/>
      <c r="C1552" s="26"/>
      <c r="D1552" s="27"/>
      <c r="E1552" s="27"/>
      <c r="BE1552" s="10" t="str">
        <f t="shared" si="240"/>
        <v/>
      </c>
      <c r="BF1552" s="8" t="str">
        <f t="shared" si="241"/>
        <v/>
      </c>
      <c r="BG1552" s="11" t="str">
        <f t="shared" si="242"/>
        <v/>
      </c>
      <c r="BH1552" s="8" t="str">
        <f t="shared" si="243"/>
        <v/>
      </c>
      <c r="BI1552" s="8" t="str">
        <f t="shared" si="244"/>
        <v/>
      </c>
      <c r="BJ1552" s="9" t="str">
        <f t="shared" si="245"/>
        <v/>
      </c>
      <c r="BK1552" s="9" t="str">
        <f>IF($B1552="","",COUNTIFS($B$5:$B1552,$B1552,$BF$5:$BF1552,$BF1552))</f>
        <v/>
      </c>
      <c r="BL1552" s="9" t="str">
        <f>IF($B1552="","",COUNTIFS($B$5:$B1552,$B1552,$BH$5:$BH1552,$BH1552))</f>
        <v/>
      </c>
      <c r="BM1552" s="9" t="str">
        <f t="shared" si="246"/>
        <v/>
      </c>
      <c r="BN1552" s="9" t="str">
        <f t="shared" si="247"/>
        <v/>
      </c>
      <c r="BO1552" s="9">
        <f t="shared" si="248"/>
        <v>0</v>
      </c>
      <c r="BR1552" s="12" t="str">
        <f t="shared" si="249"/>
        <v/>
      </c>
    </row>
    <row r="1553" spans="1:70" ht="14.25" customHeight="1">
      <c r="A1553" s="26"/>
      <c r="C1553" s="26"/>
      <c r="D1553" s="27"/>
      <c r="E1553" s="27"/>
      <c r="BE1553" s="10" t="str">
        <f t="shared" si="240"/>
        <v/>
      </c>
      <c r="BF1553" s="8" t="str">
        <f t="shared" si="241"/>
        <v/>
      </c>
      <c r="BG1553" s="11" t="str">
        <f t="shared" si="242"/>
        <v/>
      </c>
      <c r="BH1553" s="8" t="str">
        <f t="shared" si="243"/>
        <v/>
      </c>
      <c r="BI1553" s="8" t="str">
        <f t="shared" si="244"/>
        <v/>
      </c>
      <c r="BJ1553" s="9" t="str">
        <f t="shared" si="245"/>
        <v/>
      </c>
      <c r="BK1553" s="9" t="str">
        <f>IF($B1553="","",COUNTIFS($B$5:$B1553,$B1553,$BF$5:$BF1553,$BF1553))</f>
        <v/>
      </c>
      <c r="BL1553" s="9" t="str">
        <f>IF($B1553="","",COUNTIFS($B$5:$B1553,$B1553,$BH$5:$BH1553,$BH1553))</f>
        <v/>
      </c>
      <c r="BM1553" s="9" t="str">
        <f t="shared" si="246"/>
        <v/>
      </c>
      <c r="BN1553" s="9" t="str">
        <f t="shared" si="247"/>
        <v/>
      </c>
      <c r="BO1553" s="9">
        <f t="shared" si="248"/>
        <v>0</v>
      </c>
      <c r="BR1553" s="12" t="str">
        <f t="shared" si="249"/>
        <v/>
      </c>
    </row>
    <row r="1554" spans="1:70" ht="14.25" customHeight="1">
      <c r="A1554" s="26"/>
      <c r="C1554" s="26"/>
      <c r="D1554" s="27"/>
      <c r="E1554" s="27"/>
      <c r="BE1554" s="10" t="str">
        <f t="shared" si="240"/>
        <v/>
      </c>
      <c r="BF1554" s="8" t="str">
        <f t="shared" si="241"/>
        <v/>
      </c>
      <c r="BG1554" s="11" t="str">
        <f t="shared" si="242"/>
        <v/>
      </c>
      <c r="BH1554" s="8" t="str">
        <f t="shared" si="243"/>
        <v/>
      </c>
      <c r="BI1554" s="8" t="str">
        <f t="shared" si="244"/>
        <v/>
      </c>
      <c r="BJ1554" s="9" t="str">
        <f t="shared" si="245"/>
        <v/>
      </c>
      <c r="BK1554" s="9" t="str">
        <f>IF($B1554="","",COUNTIFS($B$5:$B1554,$B1554,$BF$5:$BF1554,$BF1554))</f>
        <v/>
      </c>
      <c r="BL1554" s="9" t="str">
        <f>IF($B1554="","",COUNTIFS($B$5:$B1554,$B1554,$BH$5:$BH1554,$BH1554))</f>
        <v/>
      </c>
      <c r="BM1554" s="9" t="str">
        <f t="shared" si="246"/>
        <v/>
      </c>
      <c r="BN1554" s="9" t="str">
        <f t="shared" si="247"/>
        <v/>
      </c>
      <c r="BO1554" s="9">
        <f t="shared" si="248"/>
        <v>0</v>
      </c>
      <c r="BR1554" s="12" t="str">
        <f t="shared" si="249"/>
        <v/>
      </c>
    </row>
    <row r="1555" spans="1:70" ht="14.25" customHeight="1">
      <c r="A1555" s="26"/>
      <c r="C1555" s="26"/>
      <c r="D1555" s="27"/>
      <c r="E1555" s="27"/>
      <c r="BE1555" s="10" t="str">
        <f t="shared" si="240"/>
        <v/>
      </c>
      <c r="BF1555" s="8" t="str">
        <f t="shared" si="241"/>
        <v/>
      </c>
      <c r="BG1555" s="11" t="str">
        <f t="shared" si="242"/>
        <v/>
      </c>
      <c r="BH1555" s="8" t="str">
        <f t="shared" si="243"/>
        <v/>
      </c>
      <c r="BI1555" s="8" t="str">
        <f t="shared" si="244"/>
        <v/>
      </c>
      <c r="BJ1555" s="9" t="str">
        <f t="shared" si="245"/>
        <v/>
      </c>
      <c r="BK1555" s="9" t="str">
        <f>IF($B1555="","",COUNTIFS($B$5:$B1555,$B1555,$BF$5:$BF1555,$BF1555))</f>
        <v/>
      </c>
      <c r="BL1555" s="9" t="str">
        <f>IF($B1555="","",COUNTIFS($B$5:$B1555,$B1555,$BH$5:$BH1555,$BH1555))</f>
        <v/>
      </c>
      <c r="BM1555" s="9" t="str">
        <f t="shared" si="246"/>
        <v/>
      </c>
      <c r="BN1555" s="9" t="str">
        <f t="shared" si="247"/>
        <v/>
      </c>
      <c r="BO1555" s="9">
        <f t="shared" si="248"/>
        <v>0</v>
      </c>
      <c r="BR1555" s="12" t="str">
        <f t="shared" si="249"/>
        <v/>
      </c>
    </row>
    <row r="1556" spans="1:70" ht="14.25" customHeight="1">
      <c r="A1556" s="26"/>
      <c r="C1556" s="26"/>
      <c r="D1556" s="27"/>
      <c r="E1556" s="27"/>
      <c r="BE1556" s="10" t="str">
        <f t="shared" si="240"/>
        <v/>
      </c>
      <c r="BF1556" s="8" t="str">
        <f t="shared" si="241"/>
        <v/>
      </c>
      <c r="BG1556" s="11" t="str">
        <f t="shared" si="242"/>
        <v/>
      </c>
      <c r="BH1556" s="8" t="str">
        <f t="shared" si="243"/>
        <v/>
      </c>
      <c r="BI1556" s="8" t="str">
        <f t="shared" si="244"/>
        <v/>
      </c>
      <c r="BJ1556" s="9" t="str">
        <f t="shared" si="245"/>
        <v/>
      </c>
      <c r="BK1556" s="9" t="str">
        <f>IF($B1556="","",COUNTIFS($B$5:$B1556,$B1556,$BF$5:$BF1556,$BF1556))</f>
        <v/>
      </c>
      <c r="BL1556" s="9" t="str">
        <f>IF($B1556="","",COUNTIFS($B$5:$B1556,$B1556,$BH$5:$BH1556,$BH1556))</f>
        <v/>
      </c>
      <c r="BM1556" s="9" t="str">
        <f t="shared" si="246"/>
        <v/>
      </c>
      <c r="BN1556" s="9" t="str">
        <f t="shared" si="247"/>
        <v/>
      </c>
      <c r="BO1556" s="9">
        <f t="shared" si="248"/>
        <v>0</v>
      </c>
      <c r="BR1556" s="12" t="str">
        <f t="shared" si="249"/>
        <v/>
      </c>
    </row>
    <row r="1557" spans="1:70" ht="14.25" customHeight="1">
      <c r="A1557" s="26"/>
      <c r="C1557" s="26"/>
      <c r="D1557" s="27"/>
      <c r="E1557" s="27"/>
      <c r="BE1557" s="10" t="str">
        <f t="shared" si="240"/>
        <v/>
      </c>
      <c r="BF1557" s="8" t="str">
        <f t="shared" si="241"/>
        <v/>
      </c>
      <c r="BG1557" s="11" t="str">
        <f t="shared" si="242"/>
        <v/>
      </c>
      <c r="BH1557" s="8" t="str">
        <f t="shared" si="243"/>
        <v/>
      </c>
      <c r="BI1557" s="8" t="str">
        <f t="shared" si="244"/>
        <v/>
      </c>
      <c r="BJ1557" s="9" t="str">
        <f t="shared" si="245"/>
        <v/>
      </c>
      <c r="BK1557" s="9" t="str">
        <f>IF($B1557="","",COUNTIFS($B$5:$B1557,$B1557,$BF$5:$BF1557,$BF1557))</f>
        <v/>
      </c>
      <c r="BL1557" s="9" t="str">
        <f>IF($B1557="","",COUNTIFS($B$5:$B1557,$B1557,$BH$5:$BH1557,$BH1557))</f>
        <v/>
      </c>
      <c r="BM1557" s="9" t="str">
        <f t="shared" si="246"/>
        <v/>
      </c>
      <c r="BN1557" s="9" t="str">
        <f t="shared" si="247"/>
        <v/>
      </c>
      <c r="BO1557" s="9">
        <f t="shared" si="248"/>
        <v>0</v>
      </c>
      <c r="BR1557" s="12" t="str">
        <f t="shared" si="249"/>
        <v/>
      </c>
    </row>
    <row r="1558" spans="1:70" ht="14.25" customHeight="1">
      <c r="A1558" s="26"/>
      <c r="C1558" s="26"/>
      <c r="D1558" s="27"/>
      <c r="E1558" s="27"/>
      <c r="BE1558" s="10" t="str">
        <f t="shared" si="240"/>
        <v/>
      </c>
      <c r="BF1558" s="8" t="str">
        <f t="shared" si="241"/>
        <v/>
      </c>
      <c r="BG1558" s="11" t="str">
        <f t="shared" si="242"/>
        <v/>
      </c>
      <c r="BH1558" s="8" t="str">
        <f t="shared" si="243"/>
        <v/>
      </c>
      <c r="BI1558" s="8" t="str">
        <f t="shared" si="244"/>
        <v/>
      </c>
      <c r="BJ1558" s="9" t="str">
        <f t="shared" si="245"/>
        <v/>
      </c>
      <c r="BK1558" s="9" t="str">
        <f>IF($B1558="","",COUNTIFS($B$5:$B1558,$B1558,$BF$5:$BF1558,$BF1558))</f>
        <v/>
      </c>
      <c r="BL1558" s="9" t="str">
        <f>IF($B1558="","",COUNTIFS($B$5:$B1558,$B1558,$BH$5:$BH1558,$BH1558))</f>
        <v/>
      </c>
      <c r="BM1558" s="9" t="str">
        <f t="shared" si="246"/>
        <v/>
      </c>
      <c r="BN1558" s="9" t="str">
        <f t="shared" si="247"/>
        <v/>
      </c>
      <c r="BO1558" s="9">
        <f t="shared" si="248"/>
        <v>0</v>
      </c>
      <c r="BR1558" s="12" t="str">
        <f t="shared" si="249"/>
        <v/>
      </c>
    </row>
    <row r="1559" spans="1:70" ht="14.25" customHeight="1">
      <c r="A1559" s="26"/>
      <c r="C1559" s="26"/>
      <c r="D1559" s="27"/>
      <c r="E1559" s="27"/>
      <c r="BE1559" s="10" t="str">
        <f t="shared" si="240"/>
        <v/>
      </c>
      <c r="BF1559" s="8" t="str">
        <f t="shared" si="241"/>
        <v/>
      </c>
      <c r="BG1559" s="11" t="str">
        <f t="shared" si="242"/>
        <v/>
      </c>
      <c r="BH1559" s="8" t="str">
        <f t="shared" si="243"/>
        <v/>
      </c>
      <c r="BI1559" s="8" t="str">
        <f t="shared" si="244"/>
        <v/>
      </c>
      <c r="BJ1559" s="9" t="str">
        <f t="shared" si="245"/>
        <v/>
      </c>
      <c r="BK1559" s="9" t="str">
        <f>IF($B1559="","",COUNTIFS($B$5:$B1559,$B1559,$BF$5:$BF1559,$BF1559))</f>
        <v/>
      </c>
      <c r="BL1559" s="9" t="str">
        <f>IF($B1559="","",COUNTIFS($B$5:$B1559,$B1559,$BH$5:$BH1559,$BH1559))</f>
        <v/>
      </c>
      <c r="BM1559" s="9" t="str">
        <f t="shared" si="246"/>
        <v/>
      </c>
      <c r="BN1559" s="9" t="str">
        <f t="shared" si="247"/>
        <v/>
      </c>
      <c r="BO1559" s="9">
        <f t="shared" si="248"/>
        <v>0</v>
      </c>
      <c r="BR1559" s="12" t="str">
        <f t="shared" si="249"/>
        <v/>
      </c>
    </row>
    <row r="1560" spans="1:70" ht="14.25" customHeight="1">
      <c r="A1560" s="26"/>
      <c r="C1560" s="26"/>
      <c r="D1560" s="27"/>
      <c r="E1560" s="27"/>
      <c r="BE1560" s="10" t="str">
        <f t="shared" si="240"/>
        <v/>
      </c>
      <c r="BF1560" s="8" t="str">
        <f t="shared" si="241"/>
        <v/>
      </c>
      <c r="BG1560" s="11" t="str">
        <f t="shared" si="242"/>
        <v/>
      </c>
      <c r="BH1560" s="8" t="str">
        <f t="shared" si="243"/>
        <v/>
      </c>
      <c r="BI1560" s="8" t="str">
        <f t="shared" si="244"/>
        <v/>
      </c>
      <c r="BJ1560" s="9" t="str">
        <f t="shared" si="245"/>
        <v/>
      </c>
      <c r="BK1560" s="9" t="str">
        <f>IF($B1560="","",COUNTIFS($B$5:$B1560,$B1560,$BF$5:$BF1560,$BF1560))</f>
        <v/>
      </c>
      <c r="BL1560" s="9" t="str">
        <f>IF($B1560="","",COUNTIFS($B$5:$B1560,$B1560,$BH$5:$BH1560,$BH1560))</f>
        <v/>
      </c>
      <c r="BM1560" s="9" t="str">
        <f t="shared" si="246"/>
        <v/>
      </c>
      <c r="BN1560" s="9" t="str">
        <f t="shared" si="247"/>
        <v/>
      </c>
      <c r="BO1560" s="9">
        <f t="shared" si="248"/>
        <v>0</v>
      </c>
      <c r="BR1560" s="12" t="str">
        <f t="shared" si="249"/>
        <v/>
      </c>
    </row>
    <row r="1561" spans="1:70" ht="14.25" customHeight="1">
      <c r="A1561" s="26"/>
      <c r="C1561" s="26"/>
      <c r="D1561" s="27"/>
      <c r="E1561" s="27"/>
      <c r="BE1561" s="10" t="str">
        <f t="shared" si="240"/>
        <v/>
      </c>
      <c r="BF1561" s="8" t="str">
        <f t="shared" si="241"/>
        <v/>
      </c>
      <c r="BG1561" s="11" t="str">
        <f t="shared" si="242"/>
        <v/>
      </c>
      <c r="BH1561" s="8" t="str">
        <f t="shared" si="243"/>
        <v/>
      </c>
      <c r="BI1561" s="8" t="str">
        <f t="shared" si="244"/>
        <v/>
      </c>
      <c r="BJ1561" s="9" t="str">
        <f t="shared" si="245"/>
        <v/>
      </c>
      <c r="BK1561" s="9" t="str">
        <f>IF($B1561="","",COUNTIFS($B$5:$B1561,$B1561,$BF$5:$BF1561,$BF1561))</f>
        <v/>
      </c>
      <c r="BL1561" s="9" t="str">
        <f>IF($B1561="","",COUNTIFS($B$5:$B1561,$B1561,$BH$5:$BH1561,$BH1561))</f>
        <v/>
      </c>
      <c r="BM1561" s="9" t="str">
        <f t="shared" si="246"/>
        <v/>
      </c>
      <c r="BN1561" s="9" t="str">
        <f t="shared" si="247"/>
        <v/>
      </c>
      <c r="BO1561" s="9">
        <f t="shared" si="248"/>
        <v>0</v>
      </c>
      <c r="BR1561" s="12" t="str">
        <f t="shared" si="249"/>
        <v/>
      </c>
    </row>
    <row r="1562" spans="1:70" ht="14.25" customHeight="1">
      <c r="A1562" s="26"/>
      <c r="C1562" s="26"/>
      <c r="D1562" s="27"/>
      <c r="E1562" s="27"/>
      <c r="BE1562" s="10" t="str">
        <f t="shared" si="240"/>
        <v/>
      </c>
      <c r="BF1562" s="8" t="str">
        <f t="shared" si="241"/>
        <v/>
      </c>
      <c r="BG1562" s="11" t="str">
        <f t="shared" si="242"/>
        <v/>
      </c>
      <c r="BH1562" s="8" t="str">
        <f t="shared" si="243"/>
        <v/>
      </c>
      <c r="BI1562" s="8" t="str">
        <f t="shared" si="244"/>
        <v/>
      </c>
      <c r="BJ1562" s="9" t="str">
        <f t="shared" si="245"/>
        <v/>
      </c>
      <c r="BK1562" s="9" t="str">
        <f>IF($B1562="","",COUNTIFS($B$5:$B1562,$B1562,$BF$5:$BF1562,$BF1562))</f>
        <v/>
      </c>
      <c r="BL1562" s="9" t="str">
        <f>IF($B1562="","",COUNTIFS($B$5:$B1562,$B1562,$BH$5:$BH1562,$BH1562))</f>
        <v/>
      </c>
      <c r="BM1562" s="9" t="str">
        <f t="shared" si="246"/>
        <v/>
      </c>
      <c r="BN1562" s="9" t="str">
        <f t="shared" si="247"/>
        <v/>
      </c>
      <c r="BO1562" s="9">
        <f t="shared" si="248"/>
        <v>0</v>
      </c>
      <c r="BR1562" s="12" t="str">
        <f t="shared" si="249"/>
        <v/>
      </c>
    </row>
    <row r="1563" spans="1:70" ht="14.25" customHeight="1">
      <c r="A1563" s="26"/>
      <c r="C1563" s="26"/>
      <c r="D1563" s="27"/>
      <c r="E1563" s="27"/>
      <c r="BE1563" s="10" t="str">
        <f t="shared" si="240"/>
        <v/>
      </c>
      <c r="BF1563" s="8" t="str">
        <f t="shared" si="241"/>
        <v/>
      </c>
      <c r="BG1563" s="11" t="str">
        <f t="shared" si="242"/>
        <v/>
      </c>
      <c r="BH1563" s="8" t="str">
        <f t="shared" si="243"/>
        <v/>
      </c>
      <c r="BI1563" s="8" t="str">
        <f t="shared" si="244"/>
        <v/>
      </c>
      <c r="BJ1563" s="9" t="str">
        <f t="shared" si="245"/>
        <v/>
      </c>
      <c r="BK1563" s="9" t="str">
        <f>IF($B1563="","",COUNTIFS($B$5:$B1563,$B1563,$BF$5:$BF1563,$BF1563))</f>
        <v/>
      </c>
      <c r="BL1563" s="9" t="str">
        <f>IF($B1563="","",COUNTIFS($B$5:$B1563,$B1563,$BH$5:$BH1563,$BH1563))</f>
        <v/>
      </c>
      <c r="BM1563" s="9" t="str">
        <f t="shared" si="246"/>
        <v/>
      </c>
      <c r="BN1563" s="9" t="str">
        <f t="shared" si="247"/>
        <v/>
      </c>
      <c r="BO1563" s="9">
        <f t="shared" si="248"/>
        <v>0</v>
      </c>
      <c r="BR1563" s="12" t="str">
        <f t="shared" si="249"/>
        <v/>
      </c>
    </row>
    <row r="1564" spans="1:70" ht="14.25" customHeight="1">
      <c r="A1564" s="26"/>
      <c r="C1564" s="26"/>
      <c r="D1564" s="27"/>
      <c r="E1564" s="27"/>
      <c r="BE1564" s="10" t="str">
        <f t="shared" si="240"/>
        <v/>
      </c>
      <c r="BF1564" s="8" t="str">
        <f t="shared" si="241"/>
        <v/>
      </c>
      <c r="BG1564" s="11" t="str">
        <f t="shared" si="242"/>
        <v/>
      </c>
      <c r="BH1564" s="8" t="str">
        <f t="shared" si="243"/>
        <v/>
      </c>
      <c r="BI1564" s="8" t="str">
        <f t="shared" si="244"/>
        <v/>
      </c>
      <c r="BJ1564" s="9" t="str">
        <f t="shared" si="245"/>
        <v/>
      </c>
      <c r="BK1564" s="9" t="str">
        <f>IF($B1564="","",COUNTIFS($B$5:$B1564,$B1564,$BF$5:$BF1564,$BF1564))</f>
        <v/>
      </c>
      <c r="BL1564" s="9" t="str">
        <f>IF($B1564="","",COUNTIFS($B$5:$B1564,$B1564,$BH$5:$BH1564,$BH1564))</f>
        <v/>
      </c>
      <c r="BM1564" s="9" t="str">
        <f t="shared" si="246"/>
        <v/>
      </c>
      <c r="BN1564" s="9" t="str">
        <f t="shared" si="247"/>
        <v/>
      </c>
      <c r="BO1564" s="9">
        <f t="shared" si="248"/>
        <v>0</v>
      </c>
      <c r="BR1564" s="12" t="str">
        <f t="shared" si="249"/>
        <v/>
      </c>
    </row>
    <row r="1565" spans="1:70" ht="14.25" customHeight="1">
      <c r="A1565" s="26"/>
      <c r="C1565" s="26"/>
      <c r="D1565" s="27"/>
      <c r="E1565" s="27"/>
      <c r="BE1565" s="10" t="str">
        <f t="shared" ref="BE1565:BE1628" si="250">IF($B1565="","",IF(COUNT($H1565,$J1565,$L1565,$N1565,$P1565,$R1565)&gt;0,SUM($H1565,$J1565,$L1565,$N1565,$P1565,$R1565),SUM($T1565,$V1565,$X1565,$Z1565,$AB1565,$AD1565,$AF1565,$AH1565,$AJ1565,$AL1565,$AN1565,$AP1565,$AR1565,$AT1565,$AV1565,$AX1565,$AZ1565)))</f>
        <v/>
      </c>
      <c r="BF1565" s="8" t="str">
        <f t="shared" ref="BF1565:BF1628" si="251">IF($C1565="","",DATE(YEAR($C1565),MONTH($C1565),1))</f>
        <v/>
      </c>
      <c r="BG1565" s="11" t="str">
        <f t="shared" ref="BG1565:BG1628" si="252">IF($BF1565="","",TEXT($BF1565,"mmmm yyyy"))</f>
        <v/>
      </c>
      <c r="BH1565" s="8" t="str">
        <f t="shared" ref="BH1565:BH1628" si="253">IF($C1565="","",$C1565-WEEKDAY($C1565,2)+1)</f>
        <v/>
      </c>
      <c r="BI1565" s="8" t="str">
        <f t="shared" ref="BI1565:BI1628" si="254">IF($BH1565="","",$BH1565+6)</f>
        <v/>
      </c>
      <c r="BJ1565" s="9" t="str">
        <f t="shared" ref="BJ1565:BJ1628" si="255">IF($BH1565="","",TEXT($BH1565,"dd/mm/yyyy")&amp;" - "&amp;TEXT($BI1565,"dd/mm/yyyy"))</f>
        <v/>
      </c>
      <c r="BK1565" s="9" t="str">
        <f>IF($B1565="","",COUNTIFS($B$5:$B1565,$B1565,$BF$5:$BF1565,$BF1565))</f>
        <v/>
      </c>
      <c r="BL1565" s="9" t="str">
        <f>IF($B1565="","",COUNTIFS($B$5:$B1565,$B1565,$BH$5:$BH1565,$BH1565))</f>
        <v/>
      </c>
      <c r="BM1565" s="9" t="str">
        <f t="shared" ref="BM1565:BM1628" si="256">IF($B1565="","",TEXT($BK1565,"00")&amp;"|"&amp;$B1565&amp;"|"&amp;TEXT($BF1565,"yyyymmdd"))</f>
        <v/>
      </c>
      <c r="BN1565" s="9" t="str">
        <f t="shared" ref="BN1565:BN1628" si="257">IF($B1565="","",TEXT($BL1565,"00")&amp;"|"&amp;$B1565&amp;"|"&amp;TEXT($BH1565,"yyyymmdd"))</f>
        <v/>
      </c>
      <c r="BO1565" s="9">
        <f t="shared" ref="BO1565:BO1628" si="258">IF(OR($BB1565="YES",$BB1565="Yes",$BB1565="Y",$BB1565=1),1,0)</f>
        <v>0</v>
      </c>
      <c r="BR1565" s="12" t="str">
        <f t="shared" ref="BR1565:BR1628" si="259">IF($C1565="","",IF($C1565&gt;=DATE(2026,6,1),"QA-2026-06",IF($C1565&gt;=DATE(2026,5,1),"May 2026+",IF($C1565&gt;=DATE(2026,4,1),"April 2026",IF($C1565&gt;=DATE(2026,3,1),"March 2026","Jan-Feb 2026")))))</f>
        <v/>
      </c>
    </row>
    <row r="1566" spans="1:70" ht="14.25" customHeight="1">
      <c r="A1566" s="26"/>
      <c r="C1566" s="26"/>
      <c r="D1566" s="27"/>
      <c r="E1566" s="27"/>
      <c r="BE1566" s="10" t="str">
        <f t="shared" si="250"/>
        <v/>
      </c>
      <c r="BF1566" s="8" t="str">
        <f t="shared" si="251"/>
        <v/>
      </c>
      <c r="BG1566" s="11" t="str">
        <f t="shared" si="252"/>
        <v/>
      </c>
      <c r="BH1566" s="8" t="str">
        <f t="shared" si="253"/>
        <v/>
      </c>
      <c r="BI1566" s="8" t="str">
        <f t="shared" si="254"/>
        <v/>
      </c>
      <c r="BJ1566" s="9" t="str">
        <f t="shared" si="255"/>
        <v/>
      </c>
      <c r="BK1566" s="9" t="str">
        <f>IF($B1566="","",COUNTIFS($B$5:$B1566,$B1566,$BF$5:$BF1566,$BF1566))</f>
        <v/>
      </c>
      <c r="BL1566" s="9" t="str">
        <f>IF($B1566="","",COUNTIFS($B$5:$B1566,$B1566,$BH$5:$BH1566,$BH1566))</f>
        <v/>
      </c>
      <c r="BM1566" s="9" t="str">
        <f t="shared" si="256"/>
        <v/>
      </c>
      <c r="BN1566" s="9" t="str">
        <f t="shared" si="257"/>
        <v/>
      </c>
      <c r="BO1566" s="9">
        <f t="shared" si="258"/>
        <v>0</v>
      </c>
      <c r="BR1566" s="12" t="str">
        <f t="shared" si="259"/>
        <v/>
      </c>
    </row>
    <row r="1567" spans="1:70" ht="14.25" customHeight="1">
      <c r="A1567" s="26"/>
      <c r="C1567" s="26"/>
      <c r="D1567" s="27"/>
      <c r="E1567" s="27"/>
      <c r="BE1567" s="10" t="str">
        <f t="shared" si="250"/>
        <v/>
      </c>
      <c r="BF1567" s="8" t="str">
        <f t="shared" si="251"/>
        <v/>
      </c>
      <c r="BG1567" s="11" t="str">
        <f t="shared" si="252"/>
        <v/>
      </c>
      <c r="BH1567" s="8" t="str">
        <f t="shared" si="253"/>
        <v/>
      </c>
      <c r="BI1567" s="8" t="str">
        <f t="shared" si="254"/>
        <v/>
      </c>
      <c r="BJ1567" s="9" t="str">
        <f t="shared" si="255"/>
        <v/>
      </c>
      <c r="BK1567" s="9" t="str">
        <f>IF($B1567="","",COUNTIFS($B$5:$B1567,$B1567,$BF$5:$BF1567,$BF1567))</f>
        <v/>
      </c>
      <c r="BL1567" s="9" t="str">
        <f>IF($B1567="","",COUNTIFS($B$5:$B1567,$B1567,$BH$5:$BH1567,$BH1567))</f>
        <v/>
      </c>
      <c r="BM1567" s="9" t="str">
        <f t="shared" si="256"/>
        <v/>
      </c>
      <c r="BN1567" s="9" t="str">
        <f t="shared" si="257"/>
        <v/>
      </c>
      <c r="BO1567" s="9">
        <f t="shared" si="258"/>
        <v>0</v>
      </c>
      <c r="BR1567" s="12" t="str">
        <f t="shared" si="259"/>
        <v/>
      </c>
    </row>
    <row r="1568" spans="1:70" ht="14.25" customHeight="1">
      <c r="A1568" s="26"/>
      <c r="C1568" s="26"/>
      <c r="D1568" s="27"/>
      <c r="E1568" s="27"/>
      <c r="BE1568" s="10" t="str">
        <f t="shared" si="250"/>
        <v/>
      </c>
      <c r="BF1568" s="8" t="str">
        <f t="shared" si="251"/>
        <v/>
      </c>
      <c r="BG1568" s="11" t="str">
        <f t="shared" si="252"/>
        <v/>
      </c>
      <c r="BH1568" s="8" t="str">
        <f t="shared" si="253"/>
        <v/>
      </c>
      <c r="BI1568" s="8" t="str">
        <f t="shared" si="254"/>
        <v/>
      </c>
      <c r="BJ1568" s="9" t="str">
        <f t="shared" si="255"/>
        <v/>
      </c>
      <c r="BK1568" s="9" t="str">
        <f>IF($B1568="","",COUNTIFS($B$5:$B1568,$B1568,$BF$5:$BF1568,$BF1568))</f>
        <v/>
      </c>
      <c r="BL1568" s="9" t="str">
        <f>IF($B1568="","",COUNTIFS($B$5:$B1568,$B1568,$BH$5:$BH1568,$BH1568))</f>
        <v/>
      </c>
      <c r="BM1568" s="9" t="str">
        <f t="shared" si="256"/>
        <v/>
      </c>
      <c r="BN1568" s="9" t="str">
        <f t="shared" si="257"/>
        <v/>
      </c>
      <c r="BO1568" s="9">
        <f t="shared" si="258"/>
        <v>0</v>
      </c>
      <c r="BR1568" s="12" t="str">
        <f t="shared" si="259"/>
        <v/>
      </c>
    </row>
    <row r="1569" spans="1:70" ht="14.25" customHeight="1">
      <c r="A1569" s="26"/>
      <c r="C1569" s="26"/>
      <c r="D1569" s="27"/>
      <c r="E1569" s="27"/>
      <c r="BE1569" s="10" t="str">
        <f t="shared" si="250"/>
        <v/>
      </c>
      <c r="BF1569" s="8" t="str">
        <f t="shared" si="251"/>
        <v/>
      </c>
      <c r="BG1569" s="11" t="str">
        <f t="shared" si="252"/>
        <v/>
      </c>
      <c r="BH1569" s="8" t="str">
        <f t="shared" si="253"/>
        <v/>
      </c>
      <c r="BI1569" s="8" t="str">
        <f t="shared" si="254"/>
        <v/>
      </c>
      <c r="BJ1569" s="9" t="str">
        <f t="shared" si="255"/>
        <v/>
      </c>
      <c r="BK1569" s="9" t="str">
        <f>IF($B1569="","",COUNTIFS($B$5:$B1569,$B1569,$BF$5:$BF1569,$BF1569))</f>
        <v/>
      </c>
      <c r="BL1569" s="9" t="str">
        <f>IF($B1569="","",COUNTIFS($B$5:$B1569,$B1569,$BH$5:$BH1569,$BH1569))</f>
        <v/>
      </c>
      <c r="BM1569" s="9" t="str">
        <f t="shared" si="256"/>
        <v/>
      </c>
      <c r="BN1569" s="9" t="str">
        <f t="shared" si="257"/>
        <v/>
      </c>
      <c r="BO1569" s="9">
        <f t="shared" si="258"/>
        <v>0</v>
      </c>
      <c r="BR1569" s="12" t="str">
        <f t="shared" si="259"/>
        <v/>
      </c>
    </row>
    <row r="1570" spans="1:70" ht="14.25" customHeight="1">
      <c r="A1570" s="26"/>
      <c r="C1570" s="26"/>
      <c r="D1570" s="27"/>
      <c r="E1570" s="27"/>
      <c r="BE1570" s="10" t="str">
        <f t="shared" si="250"/>
        <v/>
      </c>
      <c r="BF1570" s="8" t="str">
        <f t="shared" si="251"/>
        <v/>
      </c>
      <c r="BG1570" s="11" t="str">
        <f t="shared" si="252"/>
        <v/>
      </c>
      <c r="BH1570" s="8" t="str">
        <f t="shared" si="253"/>
        <v/>
      </c>
      <c r="BI1570" s="8" t="str">
        <f t="shared" si="254"/>
        <v/>
      </c>
      <c r="BJ1570" s="9" t="str">
        <f t="shared" si="255"/>
        <v/>
      </c>
      <c r="BK1570" s="9" t="str">
        <f>IF($B1570="","",COUNTIFS($B$5:$B1570,$B1570,$BF$5:$BF1570,$BF1570))</f>
        <v/>
      </c>
      <c r="BL1570" s="9" t="str">
        <f>IF($B1570="","",COUNTIFS($B$5:$B1570,$B1570,$BH$5:$BH1570,$BH1570))</f>
        <v/>
      </c>
      <c r="BM1570" s="9" t="str">
        <f t="shared" si="256"/>
        <v/>
      </c>
      <c r="BN1570" s="9" t="str">
        <f t="shared" si="257"/>
        <v/>
      </c>
      <c r="BO1570" s="9">
        <f t="shared" si="258"/>
        <v>0</v>
      </c>
      <c r="BR1570" s="12" t="str">
        <f t="shared" si="259"/>
        <v/>
      </c>
    </row>
    <row r="1571" spans="1:70" ht="14.25" customHeight="1">
      <c r="A1571" s="26"/>
      <c r="C1571" s="26"/>
      <c r="D1571" s="27"/>
      <c r="E1571" s="27"/>
      <c r="BE1571" s="10" t="str">
        <f t="shared" si="250"/>
        <v/>
      </c>
      <c r="BF1571" s="8" t="str">
        <f t="shared" si="251"/>
        <v/>
      </c>
      <c r="BG1571" s="11" t="str">
        <f t="shared" si="252"/>
        <v/>
      </c>
      <c r="BH1571" s="8" t="str">
        <f t="shared" si="253"/>
        <v/>
      </c>
      <c r="BI1571" s="8" t="str">
        <f t="shared" si="254"/>
        <v/>
      </c>
      <c r="BJ1571" s="9" t="str">
        <f t="shared" si="255"/>
        <v/>
      </c>
      <c r="BK1571" s="9" t="str">
        <f>IF($B1571="","",COUNTIFS($B$5:$B1571,$B1571,$BF$5:$BF1571,$BF1571))</f>
        <v/>
      </c>
      <c r="BL1571" s="9" t="str">
        <f>IF($B1571="","",COUNTIFS($B$5:$B1571,$B1571,$BH$5:$BH1571,$BH1571))</f>
        <v/>
      </c>
      <c r="BM1571" s="9" t="str">
        <f t="shared" si="256"/>
        <v/>
      </c>
      <c r="BN1571" s="9" t="str">
        <f t="shared" si="257"/>
        <v/>
      </c>
      <c r="BO1571" s="9">
        <f t="shared" si="258"/>
        <v>0</v>
      </c>
      <c r="BR1571" s="12" t="str">
        <f t="shared" si="259"/>
        <v/>
      </c>
    </row>
    <row r="1572" spans="1:70" ht="14.25" customHeight="1">
      <c r="A1572" s="26"/>
      <c r="C1572" s="26"/>
      <c r="D1572" s="27"/>
      <c r="E1572" s="27"/>
      <c r="BE1572" s="10" t="str">
        <f t="shared" si="250"/>
        <v/>
      </c>
      <c r="BF1572" s="8" t="str">
        <f t="shared" si="251"/>
        <v/>
      </c>
      <c r="BG1572" s="11" t="str">
        <f t="shared" si="252"/>
        <v/>
      </c>
      <c r="BH1572" s="8" t="str">
        <f t="shared" si="253"/>
        <v/>
      </c>
      <c r="BI1572" s="8" t="str">
        <f t="shared" si="254"/>
        <v/>
      </c>
      <c r="BJ1572" s="9" t="str">
        <f t="shared" si="255"/>
        <v/>
      </c>
      <c r="BK1572" s="9" t="str">
        <f>IF($B1572="","",COUNTIFS($B$5:$B1572,$B1572,$BF$5:$BF1572,$BF1572))</f>
        <v/>
      </c>
      <c r="BL1572" s="9" t="str">
        <f>IF($B1572="","",COUNTIFS($B$5:$B1572,$B1572,$BH$5:$BH1572,$BH1572))</f>
        <v/>
      </c>
      <c r="BM1572" s="9" t="str">
        <f t="shared" si="256"/>
        <v/>
      </c>
      <c r="BN1572" s="9" t="str">
        <f t="shared" si="257"/>
        <v/>
      </c>
      <c r="BO1572" s="9">
        <f t="shared" si="258"/>
        <v>0</v>
      </c>
      <c r="BR1572" s="12" t="str">
        <f t="shared" si="259"/>
        <v/>
      </c>
    </row>
    <row r="1573" spans="1:70" ht="14.25" customHeight="1">
      <c r="A1573" s="26"/>
      <c r="C1573" s="26"/>
      <c r="D1573" s="27"/>
      <c r="E1573" s="27"/>
      <c r="BE1573" s="10" t="str">
        <f t="shared" si="250"/>
        <v/>
      </c>
      <c r="BF1573" s="8" t="str">
        <f t="shared" si="251"/>
        <v/>
      </c>
      <c r="BG1573" s="11" t="str">
        <f t="shared" si="252"/>
        <v/>
      </c>
      <c r="BH1573" s="8" t="str">
        <f t="shared" si="253"/>
        <v/>
      </c>
      <c r="BI1573" s="8" t="str">
        <f t="shared" si="254"/>
        <v/>
      </c>
      <c r="BJ1573" s="9" t="str">
        <f t="shared" si="255"/>
        <v/>
      </c>
      <c r="BK1573" s="9" t="str">
        <f>IF($B1573="","",COUNTIFS($B$5:$B1573,$B1573,$BF$5:$BF1573,$BF1573))</f>
        <v/>
      </c>
      <c r="BL1573" s="9" t="str">
        <f>IF($B1573="","",COUNTIFS($B$5:$B1573,$B1573,$BH$5:$BH1573,$BH1573))</f>
        <v/>
      </c>
      <c r="BM1573" s="9" t="str">
        <f t="shared" si="256"/>
        <v/>
      </c>
      <c r="BN1573" s="9" t="str">
        <f t="shared" si="257"/>
        <v/>
      </c>
      <c r="BO1573" s="9">
        <f t="shared" si="258"/>
        <v>0</v>
      </c>
      <c r="BR1573" s="12" t="str">
        <f t="shared" si="259"/>
        <v/>
      </c>
    </row>
    <row r="1574" spans="1:70" ht="14.25" customHeight="1">
      <c r="A1574" s="26"/>
      <c r="C1574" s="26"/>
      <c r="D1574" s="27"/>
      <c r="E1574" s="27"/>
      <c r="BE1574" s="10" t="str">
        <f t="shared" si="250"/>
        <v/>
      </c>
      <c r="BF1574" s="8" t="str">
        <f t="shared" si="251"/>
        <v/>
      </c>
      <c r="BG1574" s="11" t="str">
        <f t="shared" si="252"/>
        <v/>
      </c>
      <c r="BH1574" s="8" t="str">
        <f t="shared" si="253"/>
        <v/>
      </c>
      <c r="BI1574" s="8" t="str">
        <f t="shared" si="254"/>
        <v/>
      </c>
      <c r="BJ1574" s="9" t="str">
        <f t="shared" si="255"/>
        <v/>
      </c>
      <c r="BK1574" s="9" t="str">
        <f>IF($B1574="","",COUNTIFS($B$5:$B1574,$B1574,$BF$5:$BF1574,$BF1574))</f>
        <v/>
      </c>
      <c r="BL1574" s="9" t="str">
        <f>IF($B1574="","",COUNTIFS($B$5:$B1574,$B1574,$BH$5:$BH1574,$BH1574))</f>
        <v/>
      </c>
      <c r="BM1574" s="9" t="str">
        <f t="shared" si="256"/>
        <v/>
      </c>
      <c r="BN1574" s="9" t="str">
        <f t="shared" si="257"/>
        <v/>
      </c>
      <c r="BO1574" s="9">
        <f t="shared" si="258"/>
        <v>0</v>
      </c>
      <c r="BR1574" s="12" t="str">
        <f t="shared" si="259"/>
        <v/>
      </c>
    </row>
    <row r="1575" spans="1:70" ht="14.25" customHeight="1">
      <c r="A1575" s="26"/>
      <c r="C1575" s="26"/>
      <c r="D1575" s="27"/>
      <c r="E1575" s="27"/>
      <c r="BE1575" s="10" t="str">
        <f t="shared" si="250"/>
        <v/>
      </c>
      <c r="BF1575" s="8" t="str">
        <f t="shared" si="251"/>
        <v/>
      </c>
      <c r="BG1575" s="11" t="str">
        <f t="shared" si="252"/>
        <v/>
      </c>
      <c r="BH1575" s="8" t="str">
        <f t="shared" si="253"/>
        <v/>
      </c>
      <c r="BI1575" s="8" t="str">
        <f t="shared" si="254"/>
        <v/>
      </c>
      <c r="BJ1575" s="9" t="str">
        <f t="shared" si="255"/>
        <v/>
      </c>
      <c r="BK1575" s="9" t="str">
        <f>IF($B1575="","",COUNTIFS($B$5:$B1575,$B1575,$BF$5:$BF1575,$BF1575))</f>
        <v/>
      </c>
      <c r="BL1575" s="9" t="str">
        <f>IF($B1575="","",COUNTIFS($B$5:$B1575,$B1575,$BH$5:$BH1575,$BH1575))</f>
        <v/>
      </c>
      <c r="BM1575" s="9" t="str">
        <f t="shared" si="256"/>
        <v/>
      </c>
      <c r="BN1575" s="9" t="str">
        <f t="shared" si="257"/>
        <v/>
      </c>
      <c r="BO1575" s="9">
        <f t="shared" si="258"/>
        <v>0</v>
      </c>
      <c r="BR1575" s="12" t="str">
        <f t="shared" si="259"/>
        <v/>
      </c>
    </row>
    <row r="1576" spans="1:70" ht="14.25" customHeight="1">
      <c r="A1576" s="26"/>
      <c r="C1576" s="26"/>
      <c r="D1576" s="27"/>
      <c r="E1576" s="27"/>
      <c r="BE1576" s="10" t="str">
        <f t="shared" si="250"/>
        <v/>
      </c>
      <c r="BF1576" s="8" t="str">
        <f t="shared" si="251"/>
        <v/>
      </c>
      <c r="BG1576" s="11" t="str">
        <f t="shared" si="252"/>
        <v/>
      </c>
      <c r="BH1576" s="8" t="str">
        <f t="shared" si="253"/>
        <v/>
      </c>
      <c r="BI1576" s="8" t="str">
        <f t="shared" si="254"/>
        <v/>
      </c>
      <c r="BJ1576" s="9" t="str">
        <f t="shared" si="255"/>
        <v/>
      </c>
      <c r="BK1576" s="9" t="str">
        <f>IF($B1576="","",COUNTIFS($B$5:$B1576,$B1576,$BF$5:$BF1576,$BF1576))</f>
        <v/>
      </c>
      <c r="BL1576" s="9" t="str">
        <f>IF($B1576="","",COUNTIFS($B$5:$B1576,$B1576,$BH$5:$BH1576,$BH1576))</f>
        <v/>
      </c>
      <c r="BM1576" s="9" t="str">
        <f t="shared" si="256"/>
        <v/>
      </c>
      <c r="BN1576" s="9" t="str">
        <f t="shared" si="257"/>
        <v/>
      </c>
      <c r="BO1576" s="9">
        <f t="shared" si="258"/>
        <v>0</v>
      </c>
      <c r="BR1576" s="12" t="str">
        <f t="shared" si="259"/>
        <v/>
      </c>
    </row>
    <row r="1577" spans="1:70" ht="14.25" customHeight="1">
      <c r="A1577" s="26"/>
      <c r="C1577" s="26"/>
      <c r="D1577" s="27"/>
      <c r="E1577" s="27"/>
      <c r="BE1577" s="10" t="str">
        <f t="shared" si="250"/>
        <v/>
      </c>
      <c r="BF1577" s="8" t="str">
        <f t="shared" si="251"/>
        <v/>
      </c>
      <c r="BG1577" s="11" t="str">
        <f t="shared" si="252"/>
        <v/>
      </c>
      <c r="BH1577" s="8" t="str">
        <f t="shared" si="253"/>
        <v/>
      </c>
      <c r="BI1577" s="8" t="str">
        <f t="shared" si="254"/>
        <v/>
      </c>
      <c r="BJ1577" s="9" t="str">
        <f t="shared" si="255"/>
        <v/>
      </c>
      <c r="BK1577" s="9" t="str">
        <f>IF($B1577="","",COUNTIFS($B$5:$B1577,$B1577,$BF$5:$BF1577,$BF1577))</f>
        <v/>
      </c>
      <c r="BL1577" s="9" t="str">
        <f>IF($B1577="","",COUNTIFS($B$5:$B1577,$B1577,$BH$5:$BH1577,$BH1577))</f>
        <v/>
      </c>
      <c r="BM1577" s="9" t="str">
        <f t="shared" si="256"/>
        <v/>
      </c>
      <c r="BN1577" s="9" t="str">
        <f t="shared" si="257"/>
        <v/>
      </c>
      <c r="BO1577" s="9">
        <f t="shared" si="258"/>
        <v>0</v>
      </c>
      <c r="BR1577" s="12" t="str">
        <f t="shared" si="259"/>
        <v/>
      </c>
    </row>
    <row r="1578" spans="1:70" ht="14.25" customHeight="1">
      <c r="A1578" s="26"/>
      <c r="C1578" s="26"/>
      <c r="D1578" s="27"/>
      <c r="E1578" s="27"/>
      <c r="BE1578" s="10" t="str">
        <f t="shared" si="250"/>
        <v/>
      </c>
      <c r="BF1578" s="8" t="str">
        <f t="shared" si="251"/>
        <v/>
      </c>
      <c r="BG1578" s="11" t="str">
        <f t="shared" si="252"/>
        <v/>
      </c>
      <c r="BH1578" s="8" t="str">
        <f t="shared" si="253"/>
        <v/>
      </c>
      <c r="BI1578" s="8" t="str">
        <f t="shared" si="254"/>
        <v/>
      </c>
      <c r="BJ1578" s="9" t="str">
        <f t="shared" si="255"/>
        <v/>
      </c>
      <c r="BK1578" s="9" t="str">
        <f>IF($B1578="","",COUNTIFS($B$5:$B1578,$B1578,$BF$5:$BF1578,$BF1578))</f>
        <v/>
      </c>
      <c r="BL1578" s="9" t="str">
        <f>IF($B1578="","",COUNTIFS($B$5:$B1578,$B1578,$BH$5:$BH1578,$BH1578))</f>
        <v/>
      </c>
      <c r="BM1578" s="9" t="str">
        <f t="shared" si="256"/>
        <v/>
      </c>
      <c r="BN1578" s="9" t="str">
        <f t="shared" si="257"/>
        <v/>
      </c>
      <c r="BO1578" s="9">
        <f t="shared" si="258"/>
        <v>0</v>
      </c>
      <c r="BR1578" s="12" t="str">
        <f t="shared" si="259"/>
        <v/>
      </c>
    </row>
    <row r="1579" spans="1:70" ht="14.25" customHeight="1">
      <c r="A1579" s="26"/>
      <c r="C1579" s="26"/>
      <c r="D1579" s="27"/>
      <c r="E1579" s="27"/>
      <c r="BE1579" s="10" t="str">
        <f t="shared" si="250"/>
        <v/>
      </c>
      <c r="BF1579" s="8" t="str">
        <f t="shared" si="251"/>
        <v/>
      </c>
      <c r="BG1579" s="11" t="str">
        <f t="shared" si="252"/>
        <v/>
      </c>
      <c r="BH1579" s="8" t="str">
        <f t="shared" si="253"/>
        <v/>
      </c>
      <c r="BI1579" s="8" t="str">
        <f t="shared" si="254"/>
        <v/>
      </c>
      <c r="BJ1579" s="9" t="str">
        <f t="shared" si="255"/>
        <v/>
      </c>
      <c r="BK1579" s="9" t="str">
        <f>IF($B1579="","",COUNTIFS($B$5:$B1579,$B1579,$BF$5:$BF1579,$BF1579))</f>
        <v/>
      </c>
      <c r="BL1579" s="9" t="str">
        <f>IF($B1579="","",COUNTIFS($B$5:$B1579,$B1579,$BH$5:$BH1579,$BH1579))</f>
        <v/>
      </c>
      <c r="BM1579" s="9" t="str">
        <f t="shared" si="256"/>
        <v/>
      </c>
      <c r="BN1579" s="9" t="str">
        <f t="shared" si="257"/>
        <v/>
      </c>
      <c r="BO1579" s="9">
        <f t="shared" si="258"/>
        <v>0</v>
      </c>
      <c r="BR1579" s="12" t="str">
        <f t="shared" si="259"/>
        <v/>
      </c>
    </row>
    <row r="1580" spans="1:70" ht="14.25" customHeight="1">
      <c r="A1580" s="26"/>
      <c r="C1580" s="26"/>
      <c r="D1580" s="27"/>
      <c r="E1580" s="27"/>
      <c r="BE1580" s="10" t="str">
        <f t="shared" si="250"/>
        <v/>
      </c>
      <c r="BF1580" s="8" t="str">
        <f t="shared" si="251"/>
        <v/>
      </c>
      <c r="BG1580" s="11" t="str">
        <f t="shared" si="252"/>
        <v/>
      </c>
      <c r="BH1580" s="8" t="str">
        <f t="shared" si="253"/>
        <v/>
      </c>
      <c r="BI1580" s="8" t="str">
        <f t="shared" si="254"/>
        <v/>
      </c>
      <c r="BJ1580" s="9" t="str">
        <f t="shared" si="255"/>
        <v/>
      </c>
      <c r="BK1580" s="9" t="str">
        <f>IF($B1580="","",COUNTIFS($B$5:$B1580,$B1580,$BF$5:$BF1580,$BF1580))</f>
        <v/>
      </c>
      <c r="BL1580" s="9" t="str">
        <f>IF($B1580="","",COUNTIFS($B$5:$B1580,$B1580,$BH$5:$BH1580,$BH1580))</f>
        <v/>
      </c>
      <c r="BM1580" s="9" t="str">
        <f t="shared" si="256"/>
        <v/>
      </c>
      <c r="BN1580" s="9" t="str">
        <f t="shared" si="257"/>
        <v/>
      </c>
      <c r="BO1580" s="9">
        <f t="shared" si="258"/>
        <v>0</v>
      </c>
      <c r="BR1580" s="12" t="str">
        <f t="shared" si="259"/>
        <v/>
      </c>
    </row>
    <row r="1581" spans="1:70" ht="14.25" customHeight="1">
      <c r="A1581" s="26"/>
      <c r="C1581" s="26"/>
      <c r="D1581" s="27"/>
      <c r="E1581" s="27"/>
      <c r="BE1581" s="10" t="str">
        <f t="shared" si="250"/>
        <v/>
      </c>
      <c r="BF1581" s="8" t="str">
        <f t="shared" si="251"/>
        <v/>
      </c>
      <c r="BG1581" s="11" t="str">
        <f t="shared" si="252"/>
        <v/>
      </c>
      <c r="BH1581" s="8" t="str">
        <f t="shared" si="253"/>
        <v/>
      </c>
      <c r="BI1581" s="8" t="str">
        <f t="shared" si="254"/>
        <v/>
      </c>
      <c r="BJ1581" s="9" t="str">
        <f t="shared" si="255"/>
        <v/>
      </c>
      <c r="BK1581" s="9" t="str">
        <f>IF($B1581="","",COUNTIFS($B$5:$B1581,$B1581,$BF$5:$BF1581,$BF1581))</f>
        <v/>
      </c>
      <c r="BL1581" s="9" t="str">
        <f>IF($B1581="","",COUNTIFS($B$5:$B1581,$B1581,$BH$5:$BH1581,$BH1581))</f>
        <v/>
      </c>
      <c r="BM1581" s="9" t="str">
        <f t="shared" si="256"/>
        <v/>
      </c>
      <c r="BN1581" s="9" t="str">
        <f t="shared" si="257"/>
        <v/>
      </c>
      <c r="BO1581" s="9">
        <f t="shared" si="258"/>
        <v>0</v>
      </c>
      <c r="BR1581" s="12" t="str">
        <f t="shared" si="259"/>
        <v/>
      </c>
    </row>
    <row r="1582" spans="1:70" ht="14.25" customHeight="1">
      <c r="A1582" s="26"/>
      <c r="C1582" s="26"/>
      <c r="D1582" s="27"/>
      <c r="E1582" s="27"/>
      <c r="BE1582" s="10" t="str">
        <f t="shared" si="250"/>
        <v/>
      </c>
      <c r="BF1582" s="8" t="str">
        <f t="shared" si="251"/>
        <v/>
      </c>
      <c r="BG1582" s="11" t="str">
        <f t="shared" si="252"/>
        <v/>
      </c>
      <c r="BH1582" s="8" t="str">
        <f t="shared" si="253"/>
        <v/>
      </c>
      <c r="BI1582" s="8" t="str">
        <f t="shared" si="254"/>
        <v/>
      </c>
      <c r="BJ1582" s="9" t="str">
        <f t="shared" si="255"/>
        <v/>
      </c>
      <c r="BK1582" s="9" t="str">
        <f>IF($B1582="","",COUNTIFS($B$5:$B1582,$B1582,$BF$5:$BF1582,$BF1582))</f>
        <v/>
      </c>
      <c r="BL1582" s="9" t="str">
        <f>IF($B1582="","",COUNTIFS($B$5:$B1582,$B1582,$BH$5:$BH1582,$BH1582))</f>
        <v/>
      </c>
      <c r="BM1582" s="9" t="str">
        <f t="shared" si="256"/>
        <v/>
      </c>
      <c r="BN1582" s="9" t="str">
        <f t="shared" si="257"/>
        <v/>
      </c>
      <c r="BO1582" s="9">
        <f t="shared" si="258"/>
        <v>0</v>
      </c>
      <c r="BR1582" s="12" t="str">
        <f t="shared" si="259"/>
        <v/>
      </c>
    </row>
    <row r="1583" spans="1:70" ht="14.25" customHeight="1">
      <c r="A1583" s="26"/>
      <c r="C1583" s="26"/>
      <c r="D1583" s="27"/>
      <c r="E1583" s="27"/>
      <c r="BE1583" s="10" t="str">
        <f t="shared" si="250"/>
        <v/>
      </c>
      <c r="BF1583" s="8" t="str">
        <f t="shared" si="251"/>
        <v/>
      </c>
      <c r="BG1583" s="11" t="str">
        <f t="shared" si="252"/>
        <v/>
      </c>
      <c r="BH1583" s="8" t="str">
        <f t="shared" si="253"/>
        <v/>
      </c>
      <c r="BI1583" s="8" t="str">
        <f t="shared" si="254"/>
        <v/>
      </c>
      <c r="BJ1583" s="9" t="str">
        <f t="shared" si="255"/>
        <v/>
      </c>
      <c r="BK1583" s="9" t="str">
        <f>IF($B1583="","",COUNTIFS($B$5:$B1583,$B1583,$BF$5:$BF1583,$BF1583))</f>
        <v/>
      </c>
      <c r="BL1583" s="9" t="str">
        <f>IF($B1583="","",COUNTIFS($B$5:$B1583,$B1583,$BH$5:$BH1583,$BH1583))</f>
        <v/>
      </c>
      <c r="BM1583" s="9" t="str">
        <f t="shared" si="256"/>
        <v/>
      </c>
      <c r="BN1583" s="9" t="str">
        <f t="shared" si="257"/>
        <v/>
      </c>
      <c r="BO1583" s="9">
        <f t="shared" si="258"/>
        <v>0</v>
      </c>
      <c r="BR1583" s="12" t="str">
        <f t="shared" si="259"/>
        <v/>
      </c>
    </row>
    <row r="1584" spans="1:70" ht="14.25" customHeight="1">
      <c r="A1584" s="26"/>
      <c r="C1584" s="26"/>
      <c r="D1584" s="27"/>
      <c r="E1584" s="27"/>
      <c r="BE1584" s="10" t="str">
        <f t="shared" si="250"/>
        <v/>
      </c>
      <c r="BF1584" s="8" t="str">
        <f t="shared" si="251"/>
        <v/>
      </c>
      <c r="BG1584" s="11" t="str">
        <f t="shared" si="252"/>
        <v/>
      </c>
      <c r="BH1584" s="8" t="str">
        <f t="shared" si="253"/>
        <v/>
      </c>
      <c r="BI1584" s="8" t="str">
        <f t="shared" si="254"/>
        <v/>
      </c>
      <c r="BJ1584" s="9" t="str">
        <f t="shared" si="255"/>
        <v/>
      </c>
      <c r="BK1584" s="9" t="str">
        <f>IF($B1584="","",COUNTIFS($B$5:$B1584,$B1584,$BF$5:$BF1584,$BF1584))</f>
        <v/>
      </c>
      <c r="BL1584" s="9" t="str">
        <f>IF($B1584="","",COUNTIFS($B$5:$B1584,$B1584,$BH$5:$BH1584,$BH1584))</f>
        <v/>
      </c>
      <c r="BM1584" s="9" t="str">
        <f t="shared" si="256"/>
        <v/>
      </c>
      <c r="BN1584" s="9" t="str">
        <f t="shared" si="257"/>
        <v/>
      </c>
      <c r="BO1584" s="9">
        <f t="shared" si="258"/>
        <v>0</v>
      </c>
      <c r="BR1584" s="12" t="str">
        <f t="shared" si="259"/>
        <v/>
      </c>
    </row>
    <row r="1585" spans="1:70" ht="14.25" customHeight="1">
      <c r="A1585" s="26"/>
      <c r="C1585" s="26"/>
      <c r="D1585" s="27"/>
      <c r="E1585" s="27"/>
      <c r="BE1585" s="10" t="str">
        <f t="shared" si="250"/>
        <v/>
      </c>
      <c r="BF1585" s="8" t="str">
        <f t="shared" si="251"/>
        <v/>
      </c>
      <c r="BG1585" s="11" t="str">
        <f t="shared" si="252"/>
        <v/>
      </c>
      <c r="BH1585" s="8" t="str">
        <f t="shared" si="253"/>
        <v/>
      </c>
      <c r="BI1585" s="8" t="str">
        <f t="shared" si="254"/>
        <v/>
      </c>
      <c r="BJ1585" s="9" t="str">
        <f t="shared" si="255"/>
        <v/>
      </c>
      <c r="BK1585" s="9" t="str">
        <f>IF($B1585="","",COUNTIFS($B$5:$B1585,$B1585,$BF$5:$BF1585,$BF1585))</f>
        <v/>
      </c>
      <c r="BL1585" s="9" t="str">
        <f>IF($B1585="","",COUNTIFS($B$5:$B1585,$B1585,$BH$5:$BH1585,$BH1585))</f>
        <v/>
      </c>
      <c r="BM1585" s="9" t="str">
        <f t="shared" si="256"/>
        <v/>
      </c>
      <c r="BN1585" s="9" t="str">
        <f t="shared" si="257"/>
        <v/>
      </c>
      <c r="BO1585" s="9">
        <f t="shared" si="258"/>
        <v>0</v>
      </c>
      <c r="BR1585" s="12" t="str">
        <f t="shared" si="259"/>
        <v/>
      </c>
    </row>
    <row r="1586" spans="1:70" ht="14.25" customHeight="1">
      <c r="A1586" s="26"/>
      <c r="C1586" s="26"/>
      <c r="D1586" s="27"/>
      <c r="E1586" s="27"/>
      <c r="BE1586" s="10" t="str">
        <f t="shared" si="250"/>
        <v/>
      </c>
      <c r="BF1586" s="8" t="str">
        <f t="shared" si="251"/>
        <v/>
      </c>
      <c r="BG1586" s="11" t="str">
        <f t="shared" si="252"/>
        <v/>
      </c>
      <c r="BH1586" s="8" t="str">
        <f t="shared" si="253"/>
        <v/>
      </c>
      <c r="BI1586" s="8" t="str">
        <f t="shared" si="254"/>
        <v/>
      </c>
      <c r="BJ1586" s="9" t="str">
        <f t="shared" si="255"/>
        <v/>
      </c>
      <c r="BK1586" s="9" t="str">
        <f>IF($B1586="","",COUNTIFS($B$5:$B1586,$B1586,$BF$5:$BF1586,$BF1586))</f>
        <v/>
      </c>
      <c r="BL1586" s="9" t="str">
        <f>IF($B1586="","",COUNTIFS($B$5:$B1586,$B1586,$BH$5:$BH1586,$BH1586))</f>
        <v/>
      </c>
      <c r="BM1586" s="9" t="str">
        <f t="shared" si="256"/>
        <v/>
      </c>
      <c r="BN1586" s="9" t="str">
        <f t="shared" si="257"/>
        <v/>
      </c>
      <c r="BO1586" s="9">
        <f t="shared" si="258"/>
        <v>0</v>
      </c>
      <c r="BR1586" s="12" t="str">
        <f t="shared" si="259"/>
        <v/>
      </c>
    </row>
    <row r="1587" spans="1:70" ht="14.25" customHeight="1">
      <c r="A1587" s="26"/>
      <c r="C1587" s="26"/>
      <c r="D1587" s="27"/>
      <c r="E1587" s="27"/>
      <c r="BE1587" s="10" t="str">
        <f t="shared" si="250"/>
        <v/>
      </c>
      <c r="BF1587" s="8" t="str">
        <f t="shared" si="251"/>
        <v/>
      </c>
      <c r="BG1587" s="11" t="str">
        <f t="shared" si="252"/>
        <v/>
      </c>
      <c r="BH1587" s="8" t="str">
        <f t="shared" si="253"/>
        <v/>
      </c>
      <c r="BI1587" s="8" t="str">
        <f t="shared" si="254"/>
        <v/>
      </c>
      <c r="BJ1587" s="9" t="str">
        <f t="shared" si="255"/>
        <v/>
      </c>
      <c r="BK1587" s="9" t="str">
        <f>IF($B1587="","",COUNTIFS($B$5:$B1587,$B1587,$BF$5:$BF1587,$BF1587))</f>
        <v/>
      </c>
      <c r="BL1587" s="9" t="str">
        <f>IF($B1587="","",COUNTIFS($B$5:$B1587,$B1587,$BH$5:$BH1587,$BH1587))</f>
        <v/>
      </c>
      <c r="BM1587" s="9" t="str">
        <f t="shared" si="256"/>
        <v/>
      </c>
      <c r="BN1587" s="9" t="str">
        <f t="shared" si="257"/>
        <v/>
      </c>
      <c r="BO1587" s="9">
        <f t="shared" si="258"/>
        <v>0</v>
      </c>
      <c r="BR1587" s="12" t="str">
        <f t="shared" si="259"/>
        <v/>
      </c>
    </row>
    <row r="1588" spans="1:70" ht="14.25" customHeight="1">
      <c r="A1588" s="26"/>
      <c r="C1588" s="26"/>
      <c r="D1588" s="27"/>
      <c r="E1588" s="27"/>
      <c r="BE1588" s="10" t="str">
        <f t="shared" si="250"/>
        <v/>
      </c>
      <c r="BF1588" s="8" t="str">
        <f t="shared" si="251"/>
        <v/>
      </c>
      <c r="BG1588" s="11" t="str">
        <f t="shared" si="252"/>
        <v/>
      </c>
      <c r="BH1588" s="8" t="str">
        <f t="shared" si="253"/>
        <v/>
      </c>
      <c r="BI1588" s="8" t="str">
        <f t="shared" si="254"/>
        <v/>
      </c>
      <c r="BJ1588" s="9" t="str">
        <f t="shared" si="255"/>
        <v/>
      </c>
      <c r="BK1588" s="9" t="str">
        <f>IF($B1588="","",COUNTIFS($B$5:$B1588,$B1588,$BF$5:$BF1588,$BF1588))</f>
        <v/>
      </c>
      <c r="BL1588" s="9" t="str">
        <f>IF($B1588="","",COUNTIFS($B$5:$B1588,$B1588,$BH$5:$BH1588,$BH1588))</f>
        <v/>
      </c>
      <c r="BM1588" s="9" t="str">
        <f t="shared" si="256"/>
        <v/>
      </c>
      <c r="BN1588" s="9" t="str">
        <f t="shared" si="257"/>
        <v/>
      </c>
      <c r="BO1588" s="9">
        <f t="shared" si="258"/>
        <v>0</v>
      </c>
      <c r="BR1588" s="12" t="str">
        <f t="shared" si="259"/>
        <v/>
      </c>
    </row>
    <row r="1589" spans="1:70" ht="14.25" customHeight="1">
      <c r="A1589" s="26"/>
      <c r="C1589" s="26"/>
      <c r="D1589" s="27"/>
      <c r="E1589" s="27"/>
      <c r="BE1589" s="10" t="str">
        <f t="shared" si="250"/>
        <v/>
      </c>
      <c r="BF1589" s="8" t="str">
        <f t="shared" si="251"/>
        <v/>
      </c>
      <c r="BG1589" s="11" t="str">
        <f t="shared" si="252"/>
        <v/>
      </c>
      <c r="BH1589" s="8" t="str">
        <f t="shared" si="253"/>
        <v/>
      </c>
      <c r="BI1589" s="8" t="str">
        <f t="shared" si="254"/>
        <v/>
      </c>
      <c r="BJ1589" s="9" t="str">
        <f t="shared" si="255"/>
        <v/>
      </c>
      <c r="BK1589" s="9" t="str">
        <f>IF($B1589="","",COUNTIFS($B$5:$B1589,$B1589,$BF$5:$BF1589,$BF1589))</f>
        <v/>
      </c>
      <c r="BL1589" s="9" t="str">
        <f>IF($B1589="","",COUNTIFS($B$5:$B1589,$B1589,$BH$5:$BH1589,$BH1589))</f>
        <v/>
      </c>
      <c r="BM1589" s="9" t="str">
        <f t="shared" si="256"/>
        <v/>
      </c>
      <c r="BN1589" s="9" t="str">
        <f t="shared" si="257"/>
        <v/>
      </c>
      <c r="BO1589" s="9">
        <f t="shared" si="258"/>
        <v>0</v>
      </c>
      <c r="BR1589" s="12" t="str">
        <f t="shared" si="259"/>
        <v/>
      </c>
    </row>
    <row r="1590" spans="1:70" ht="14.25" customHeight="1">
      <c r="A1590" s="26"/>
      <c r="C1590" s="26"/>
      <c r="D1590" s="27"/>
      <c r="E1590" s="27"/>
      <c r="BE1590" s="10" t="str">
        <f t="shared" si="250"/>
        <v/>
      </c>
      <c r="BF1590" s="8" t="str">
        <f t="shared" si="251"/>
        <v/>
      </c>
      <c r="BG1590" s="11" t="str">
        <f t="shared" si="252"/>
        <v/>
      </c>
      <c r="BH1590" s="8" t="str">
        <f t="shared" si="253"/>
        <v/>
      </c>
      <c r="BI1590" s="8" t="str">
        <f t="shared" si="254"/>
        <v/>
      </c>
      <c r="BJ1590" s="9" t="str">
        <f t="shared" si="255"/>
        <v/>
      </c>
      <c r="BK1590" s="9" t="str">
        <f>IF($B1590="","",COUNTIFS($B$5:$B1590,$B1590,$BF$5:$BF1590,$BF1590))</f>
        <v/>
      </c>
      <c r="BL1590" s="9" t="str">
        <f>IF($B1590="","",COUNTIFS($B$5:$B1590,$B1590,$BH$5:$BH1590,$BH1590))</f>
        <v/>
      </c>
      <c r="BM1590" s="9" t="str">
        <f t="shared" si="256"/>
        <v/>
      </c>
      <c r="BN1590" s="9" t="str">
        <f t="shared" si="257"/>
        <v/>
      </c>
      <c r="BO1590" s="9">
        <f t="shared" si="258"/>
        <v>0</v>
      </c>
      <c r="BR1590" s="12" t="str">
        <f t="shared" si="259"/>
        <v/>
      </c>
    </row>
    <row r="1591" spans="1:70" ht="14.25" customHeight="1">
      <c r="A1591" s="26"/>
      <c r="C1591" s="26"/>
      <c r="D1591" s="27"/>
      <c r="E1591" s="27"/>
      <c r="BE1591" s="10" t="str">
        <f t="shared" si="250"/>
        <v/>
      </c>
      <c r="BF1591" s="8" t="str">
        <f t="shared" si="251"/>
        <v/>
      </c>
      <c r="BG1591" s="11" t="str">
        <f t="shared" si="252"/>
        <v/>
      </c>
      <c r="BH1591" s="8" t="str">
        <f t="shared" si="253"/>
        <v/>
      </c>
      <c r="BI1591" s="8" t="str">
        <f t="shared" si="254"/>
        <v/>
      </c>
      <c r="BJ1591" s="9" t="str">
        <f t="shared" si="255"/>
        <v/>
      </c>
      <c r="BK1591" s="9" t="str">
        <f>IF($B1591="","",COUNTIFS($B$5:$B1591,$B1591,$BF$5:$BF1591,$BF1591))</f>
        <v/>
      </c>
      <c r="BL1591" s="9" t="str">
        <f>IF($B1591="","",COUNTIFS($B$5:$B1591,$B1591,$BH$5:$BH1591,$BH1591))</f>
        <v/>
      </c>
      <c r="BM1591" s="9" t="str">
        <f t="shared" si="256"/>
        <v/>
      </c>
      <c r="BN1591" s="9" t="str">
        <f t="shared" si="257"/>
        <v/>
      </c>
      <c r="BO1591" s="9">
        <f t="shared" si="258"/>
        <v>0</v>
      </c>
      <c r="BR1591" s="12" t="str">
        <f t="shared" si="259"/>
        <v/>
      </c>
    </row>
    <row r="1592" spans="1:70" ht="14.25" customHeight="1">
      <c r="A1592" s="26"/>
      <c r="C1592" s="26"/>
      <c r="D1592" s="27"/>
      <c r="E1592" s="27"/>
      <c r="BE1592" s="10" t="str">
        <f t="shared" si="250"/>
        <v/>
      </c>
      <c r="BF1592" s="8" t="str">
        <f t="shared" si="251"/>
        <v/>
      </c>
      <c r="BG1592" s="11" t="str">
        <f t="shared" si="252"/>
        <v/>
      </c>
      <c r="BH1592" s="8" t="str">
        <f t="shared" si="253"/>
        <v/>
      </c>
      <c r="BI1592" s="8" t="str">
        <f t="shared" si="254"/>
        <v/>
      </c>
      <c r="BJ1592" s="9" t="str">
        <f t="shared" si="255"/>
        <v/>
      </c>
      <c r="BK1592" s="9" t="str">
        <f>IF($B1592="","",COUNTIFS($B$5:$B1592,$B1592,$BF$5:$BF1592,$BF1592))</f>
        <v/>
      </c>
      <c r="BL1592" s="9" t="str">
        <f>IF($B1592="","",COUNTIFS($B$5:$B1592,$B1592,$BH$5:$BH1592,$BH1592))</f>
        <v/>
      </c>
      <c r="BM1592" s="9" t="str">
        <f t="shared" si="256"/>
        <v/>
      </c>
      <c r="BN1592" s="9" t="str">
        <f t="shared" si="257"/>
        <v/>
      </c>
      <c r="BO1592" s="9">
        <f t="shared" si="258"/>
        <v>0</v>
      </c>
      <c r="BR1592" s="12" t="str">
        <f t="shared" si="259"/>
        <v/>
      </c>
    </row>
    <row r="1593" spans="1:70" ht="14.25" customHeight="1">
      <c r="A1593" s="26"/>
      <c r="C1593" s="26"/>
      <c r="D1593" s="27"/>
      <c r="E1593" s="27"/>
      <c r="BE1593" s="10" t="str">
        <f t="shared" si="250"/>
        <v/>
      </c>
      <c r="BF1593" s="8" t="str">
        <f t="shared" si="251"/>
        <v/>
      </c>
      <c r="BG1593" s="11" t="str">
        <f t="shared" si="252"/>
        <v/>
      </c>
      <c r="BH1593" s="8" t="str">
        <f t="shared" si="253"/>
        <v/>
      </c>
      <c r="BI1593" s="8" t="str">
        <f t="shared" si="254"/>
        <v/>
      </c>
      <c r="BJ1593" s="9" t="str">
        <f t="shared" si="255"/>
        <v/>
      </c>
      <c r="BK1593" s="9" t="str">
        <f>IF($B1593="","",COUNTIFS($B$5:$B1593,$B1593,$BF$5:$BF1593,$BF1593))</f>
        <v/>
      </c>
      <c r="BL1593" s="9" t="str">
        <f>IF($B1593="","",COUNTIFS($B$5:$B1593,$B1593,$BH$5:$BH1593,$BH1593))</f>
        <v/>
      </c>
      <c r="BM1593" s="9" t="str">
        <f t="shared" si="256"/>
        <v/>
      </c>
      <c r="BN1593" s="9" t="str">
        <f t="shared" si="257"/>
        <v/>
      </c>
      <c r="BO1593" s="9">
        <f t="shared" si="258"/>
        <v>0</v>
      </c>
      <c r="BR1593" s="12" t="str">
        <f t="shared" si="259"/>
        <v/>
      </c>
    </row>
    <row r="1594" spans="1:70" ht="14.25" customHeight="1">
      <c r="A1594" s="26"/>
      <c r="C1594" s="26"/>
      <c r="D1594" s="27"/>
      <c r="E1594" s="27"/>
      <c r="BE1594" s="10" t="str">
        <f t="shared" si="250"/>
        <v/>
      </c>
      <c r="BF1594" s="8" t="str">
        <f t="shared" si="251"/>
        <v/>
      </c>
      <c r="BG1594" s="11" t="str">
        <f t="shared" si="252"/>
        <v/>
      </c>
      <c r="BH1594" s="8" t="str">
        <f t="shared" si="253"/>
        <v/>
      </c>
      <c r="BI1594" s="8" t="str">
        <f t="shared" si="254"/>
        <v/>
      </c>
      <c r="BJ1594" s="9" t="str">
        <f t="shared" si="255"/>
        <v/>
      </c>
      <c r="BK1594" s="9" t="str">
        <f>IF($B1594="","",COUNTIFS($B$5:$B1594,$B1594,$BF$5:$BF1594,$BF1594))</f>
        <v/>
      </c>
      <c r="BL1594" s="9" t="str">
        <f>IF($B1594="","",COUNTIFS($B$5:$B1594,$B1594,$BH$5:$BH1594,$BH1594))</f>
        <v/>
      </c>
      <c r="BM1594" s="9" t="str">
        <f t="shared" si="256"/>
        <v/>
      </c>
      <c r="BN1594" s="9" t="str">
        <f t="shared" si="257"/>
        <v/>
      </c>
      <c r="BO1594" s="9">
        <f t="shared" si="258"/>
        <v>0</v>
      </c>
      <c r="BR1594" s="12" t="str">
        <f t="shared" si="259"/>
        <v/>
      </c>
    </row>
    <row r="1595" spans="1:70" ht="14.25" customHeight="1">
      <c r="A1595" s="26"/>
      <c r="C1595" s="26"/>
      <c r="D1595" s="27"/>
      <c r="E1595" s="27"/>
      <c r="BE1595" s="10" t="str">
        <f t="shared" si="250"/>
        <v/>
      </c>
      <c r="BF1595" s="8" t="str">
        <f t="shared" si="251"/>
        <v/>
      </c>
      <c r="BG1595" s="11" t="str">
        <f t="shared" si="252"/>
        <v/>
      </c>
      <c r="BH1595" s="8" t="str">
        <f t="shared" si="253"/>
        <v/>
      </c>
      <c r="BI1595" s="8" t="str">
        <f t="shared" si="254"/>
        <v/>
      </c>
      <c r="BJ1595" s="9" t="str">
        <f t="shared" si="255"/>
        <v/>
      </c>
      <c r="BK1595" s="9" t="str">
        <f>IF($B1595="","",COUNTIFS($B$5:$B1595,$B1595,$BF$5:$BF1595,$BF1595))</f>
        <v/>
      </c>
      <c r="BL1595" s="9" t="str">
        <f>IF($B1595="","",COUNTIFS($B$5:$B1595,$B1595,$BH$5:$BH1595,$BH1595))</f>
        <v/>
      </c>
      <c r="BM1595" s="9" t="str">
        <f t="shared" si="256"/>
        <v/>
      </c>
      <c r="BN1595" s="9" t="str">
        <f t="shared" si="257"/>
        <v/>
      </c>
      <c r="BO1595" s="9">
        <f t="shared" si="258"/>
        <v>0</v>
      </c>
      <c r="BR1595" s="12" t="str">
        <f t="shared" si="259"/>
        <v/>
      </c>
    </row>
    <row r="1596" spans="1:70" ht="14.25" customHeight="1">
      <c r="A1596" s="26"/>
      <c r="C1596" s="26"/>
      <c r="D1596" s="27"/>
      <c r="E1596" s="27"/>
      <c r="BE1596" s="10" t="str">
        <f t="shared" si="250"/>
        <v/>
      </c>
      <c r="BF1596" s="8" t="str">
        <f t="shared" si="251"/>
        <v/>
      </c>
      <c r="BG1596" s="11" t="str">
        <f t="shared" si="252"/>
        <v/>
      </c>
      <c r="BH1596" s="8" t="str">
        <f t="shared" si="253"/>
        <v/>
      </c>
      <c r="BI1596" s="8" t="str">
        <f t="shared" si="254"/>
        <v/>
      </c>
      <c r="BJ1596" s="9" t="str">
        <f t="shared" si="255"/>
        <v/>
      </c>
      <c r="BK1596" s="9" t="str">
        <f>IF($B1596="","",COUNTIFS($B$5:$B1596,$B1596,$BF$5:$BF1596,$BF1596))</f>
        <v/>
      </c>
      <c r="BL1596" s="9" t="str">
        <f>IF($B1596="","",COUNTIFS($B$5:$B1596,$B1596,$BH$5:$BH1596,$BH1596))</f>
        <v/>
      </c>
      <c r="BM1596" s="9" t="str">
        <f t="shared" si="256"/>
        <v/>
      </c>
      <c r="BN1596" s="9" t="str">
        <f t="shared" si="257"/>
        <v/>
      </c>
      <c r="BO1596" s="9">
        <f t="shared" si="258"/>
        <v>0</v>
      </c>
      <c r="BR1596" s="12" t="str">
        <f t="shared" si="259"/>
        <v/>
      </c>
    </row>
    <row r="1597" spans="1:70" ht="14.25" customHeight="1">
      <c r="A1597" s="26"/>
      <c r="C1597" s="26"/>
      <c r="D1597" s="27"/>
      <c r="E1597" s="27"/>
      <c r="BE1597" s="10" t="str">
        <f t="shared" si="250"/>
        <v/>
      </c>
      <c r="BF1597" s="8" t="str">
        <f t="shared" si="251"/>
        <v/>
      </c>
      <c r="BG1597" s="11" t="str">
        <f t="shared" si="252"/>
        <v/>
      </c>
      <c r="BH1597" s="8" t="str">
        <f t="shared" si="253"/>
        <v/>
      </c>
      <c r="BI1597" s="8" t="str">
        <f t="shared" si="254"/>
        <v/>
      </c>
      <c r="BJ1597" s="9" t="str">
        <f t="shared" si="255"/>
        <v/>
      </c>
      <c r="BK1597" s="9" t="str">
        <f>IF($B1597="","",COUNTIFS($B$5:$B1597,$B1597,$BF$5:$BF1597,$BF1597))</f>
        <v/>
      </c>
      <c r="BL1597" s="9" t="str">
        <f>IF($B1597="","",COUNTIFS($B$5:$B1597,$B1597,$BH$5:$BH1597,$BH1597))</f>
        <v/>
      </c>
      <c r="BM1597" s="9" t="str">
        <f t="shared" si="256"/>
        <v/>
      </c>
      <c r="BN1597" s="9" t="str">
        <f t="shared" si="257"/>
        <v/>
      </c>
      <c r="BO1597" s="9">
        <f t="shared" si="258"/>
        <v>0</v>
      </c>
      <c r="BR1597" s="12" t="str">
        <f t="shared" si="259"/>
        <v/>
      </c>
    </row>
    <row r="1598" spans="1:70" ht="14.25" customHeight="1">
      <c r="A1598" s="26"/>
      <c r="C1598" s="26"/>
      <c r="D1598" s="27"/>
      <c r="E1598" s="27"/>
      <c r="BE1598" s="10" t="str">
        <f t="shared" si="250"/>
        <v/>
      </c>
      <c r="BF1598" s="8" t="str">
        <f t="shared" si="251"/>
        <v/>
      </c>
      <c r="BG1598" s="11" t="str">
        <f t="shared" si="252"/>
        <v/>
      </c>
      <c r="BH1598" s="8" t="str">
        <f t="shared" si="253"/>
        <v/>
      </c>
      <c r="BI1598" s="8" t="str">
        <f t="shared" si="254"/>
        <v/>
      </c>
      <c r="BJ1598" s="9" t="str">
        <f t="shared" si="255"/>
        <v/>
      </c>
      <c r="BK1598" s="9" t="str">
        <f>IF($B1598="","",COUNTIFS($B$5:$B1598,$B1598,$BF$5:$BF1598,$BF1598))</f>
        <v/>
      </c>
      <c r="BL1598" s="9" t="str">
        <f>IF($B1598="","",COUNTIFS($B$5:$B1598,$B1598,$BH$5:$BH1598,$BH1598))</f>
        <v/>
      </c>
      <c r="BM1598" s="9" t="str">
        <f t="shared" si="256"/>
        <v/>
      </c>
      <c r="BN1598" s="9" t="str">
        <f t="shared" si="257"/>
        <v/>
      </c>
      <c r="BO1598" s="9">
        <f t="shared" si="258"/>
        <v>0</v>
      </c>
      <c r="BR1598" s="12" t="str">
        <f t="shared" si="259"/>
        <v/>
      </c>
    </row>
    <row r="1599" spans="1:70" ht="14.25" customHeight="1">
      <c r="A1599" s="26"/>
      <c r="C1599" s="26"/>
      <c r="D1599" s="27"/>
      <c r="E1599" s="27"/>
      <c r="BE1599" s="10" t="str">
        <f t="shared" si="250"/>
        <v/>
      </c>
      <c r="BF1599" s="8" t="str">
        <f t="shared" si="251"/>
        <v/>
      </c>
      <c r="BG1599" s="11" t="str">
        <f t="shared" si="252"/>
        <v/>
      </c>
      <c r="BH1599" s="8" t="str">
        <f t="shared" si="253"/>
        <v/>
      </c>
      <c r="BI1599" s="8" t="str">
        <f t="shared" si="254"/>
        <v/>
      </c>
      <c r="BJ1599" s="9" t="str">
        <f t="shared" si="255"/>
        <v/>
      </c>
      <c r="BK1599" s="9" t="str">
        <f>IF($B1599="","",COUNTIFS($B$5:$B1599,$B1599,$BF$5:$BF1599,$BF1599))</f>
        <v/>
      </c>
      <c r="BL1599" s="9" t="str">
        <f>IF($B1599="","",COUNTIFS($B$5:$B1599,$B1599,$BH$5:$BH1599,$BH1599))</f>
        <v/>
      </c>
      <c r="BM1599" s="9" t="str">
        <f t="shared" si="256"/>
        <v/>
      </c>
      <c r="BN1599" s="9" t="str">
        <f t="shared" si="257"/>
        <v/>
      </c>
      <c r="BO1599" s="9">
        <f t="shared" si="258"/>
        <v>0</v>
      </c>
      <c r="BR1599" s="12" t="str">
        <f t="shared" si="259"/>
        <v/>
      </c>
    </row>
    <row r="1600" spans="1:70" ht="14.25" customHeight="1">
      <c r="A1600" s="26"/>
      <c r="C1600" s="26"/>
      <c r="D1600" s="27"/>
      <c r="E1600" s="27"/>
      <c r="BE1600" s="10" t="str">
        <f t="shared" si="250"/>
        <v/>
      </c>
      <c r="BF1600" s="8" t="str">
        <f t="shared" si="251"/>
        <v/>
      </c>
      <c r="BG1600" s="11" t="str">
        <f t="shared" si="252"/>
        <v/>
      </c>
      <c r="BH1600" s="8" t="str">
        <f t="shared" si="253"/>
        <v/>
      </c>
      <c r="BI1600" s="8" t="str">
        <f t="shared" si="254"/>
        <v/>
      </c>
      <c r="BJ1600" s="9" t="str">
        <f t="shared" si="255"/>
        <v/>
      </c>
      <c r="BK1600" s="9" t="str">
        <f>IF($B1600="","",COUNTIFS($B$5:$B1600,$B1600,$BF$5:$BF1600,$BF1600))</f>
        <v/>
      </c>
      <c r="BL1600" s="9" t="str">
        <f>IF($B1600="","",COUNTIFS($B$5:$B1600,$B1600,$BH$5:$BH1600,$BH1600))</f>
        <v/>
      </c>
      <c r="BM1600" s="9" t="str">
        <f t="shared" si="256"/>
        <v/>
      </c>
      <c r="BN1600" s="9" t="str">
        <f t="shared" si="257"/>
        <v/>
      </c>
      <c r="BO1600" s="9">
        <f t="shared" si="258"/>
        <v>0</v>
      </c>
      <c r="BR1600" s="12" t="str">
        <f t="shared" si="259"/>
        <v/>
      </c>
    </row>
    <row r="1601" spans="1:70" ht="14.25" customHeight="1">
      <c r="A1601" s="26"/>
      <c r="C1601" s="26"/>
      <c r="D1601" s="27"/>
      <c r="E1601" s="27"/>
      <c r="BE1601" s="10" t="str">
        <f t="shared" si="250"/>
        <v/>
      </c>
      <c r="BF1601" s="8" t="str">
        <f t="shared" si="251"/>
        <v/>
      </c>
      <c r="BG1601" s="11" t="str">
        <f t="shared" si="252"/>
        <v/>
      </c>
      <c r="BH1601" s="8" t="str">
        <f t="shared" si="253"/>
        <v/>
      </c>
      <c r="BI1601" s="8" t="str">
        <f t="shared" si="254"/>
        <v/>
      </c>
      <c r="BJ1601" s="9" t="str">
        <f t="shared" si="255"/>
        <v/>
      </c>
      <c r="BK1601" s="9" t="str">
        <f>IF($B1601="","",COUNTIFS($B$5:$B1601,$B1601,$BF$5:$BF1601,$BF1601))</f>
        <v/>
      </c>
      <c r="BL1601" s="9" t="str">
        <f>IF($B1601="","",COUNTIFS($B$5:$B1601,$B1601,$BH$5:$BH1601,$BH1601))</f>
        <v/>
      </c>
      <c r="BM1601" s="9" t="str">
        <f t="shared" si="256"/>
        <v/>
      </c>
      <c r="BN1601" s="9" t="str">
        <f t="shared" si="257"/>
        <v/>
      </c>
      <c r="BO1601" s="9">
        <f t="shared" si="258"/>
        <v>0</v>
      </c>
      <c r="BR1601" s="12" t="str">
        <f t="shared" si="259"/>
        <v/>
      </c>
    </row>
    <row r="1602" spans="1:70" ht="14.25" customHeight="1">
      <c r="A1602" s="26"/>
      <c r="C1602" s="26"/>
      <c r="D1602" s="27"/>
      <c r="E1602" s="27"/>
      <c r="BE1602" s="10" t="str">
        <f t="shared" si="250"/>
        <v/>
      </c>
      <c r="BF1602" s="8" t="str">
        <f t="shared" si="251"/>
        <v/>
      </c>
      <c r="BG1602" s="11" t="str">
        <f t="shared" si="252"/>
        <v/>
      </c>
      <c r="BH1602" s="8" t="str">
        <f t="shared" si="253"/>
        <v/>
      </c>
      <c r="BI1602" s="8" t="str">
        <f t="shared" si="254"/>
        <v/>
      </c>
      <c r="BJ1602" s="9" t="str">
        <f t="shared" si="255"/>
        <v/>
      </c>
      <c r="BK1602" s="9" t="str">
        <f>IF($B1602="","",COUNTIFS($B$5:$B1602,$B1602,$BF$5:$BF1602,$BF1602))</f>
        <v/>
      </c>
      <c r="BL1602" s="9" t="str">
        <f>IF($B1602="","",COUNTIFS($B$5:$B1602,$B1602,$BH$5:$BH1602,$BH1602))</f>
        <v/>
      </c>
      <c r="BM1602" s="9" t="str">
        <f t="shared" si="256"/>
        <v/>
      </c>
      <c r="BN1602" s="9" t="str">
        <f t="shared" si="257"/>
        <v/>
      </c>
      <c r="BO1602" s="9">
        <f t="shared" si="258"/>
        <v>0</v>
      </c>
      <c r="BR1602" s="12" t="str">
        <f t="shared" si="259"/>
        <v/>
      </c>
    </row>
    <row r="1603" spans="1:70" ht="14.25" customHeight="1">
      <c r="A1603" s="26"/>
      <c r="C1603" s="26"/>
      <c r="D1603" s="27"/>
      <c r="E1603" s="27"/>
      <c r="BE1603" s="10" t="str">
        <f t="shared" si="250"/>
        <v/>
      </c>
      <c r="BF1603" s="8" t="str">
        <f t="shared" si="251"/>
        <v/>
      </c>
      <c r="BG1603" s="11" t="str">
        <f t="shared" si="252"/>
        <v/>
      </c>
      <c r="BH1603" s="8" t="str">
        <f t="shared" si="253"/>
        <v/>
      </c>
      <c r="BI1603" s="8" t="str">
        <f t="shared" si="254"/>
        <v/>
      </c>
      <c r="BJ1603" s="9" t="str">
        <f t="shared" si="255"/>
        <v/>
      </c>
      <c r="BK1603" s="9" t="str">
        <f>IF($B1603="","",COUNTIFS($B$5:$B1603,$B1603,$BF$5:$BF1603,$BF1603))</f>
        <v/>
      </c>
      <c r="BL1603" s="9" t="str">
        <f>IF($B1603="","",COUNTIFS($B$5:$B1603,$B1603,$BH$5:$BH1603,$BH1603))</f>
        <v/>
      </c>
      <c r="BM1603" s="9" t="str">
        <f t="shared" si="256"/>
        <v/>
      </c>
      <c r="BN1603" s="9" t="str">
        <f t="shared" si="257"/>
        <v/>
      </c>
      <c r="BO1603" s="9">
        <f t="shared" si="258"/>
        <v>0</v>
      </c>
      <c r="BR1603" s="12" t="str">
        <f t="shared" si="259"/>
        <v/>
      </c>
    </row>
    <row r="1604" spans="1:70" ht="14.25" customHeight="1">
      <c r="A1604" s="26"/>
      <c r="C1604" s="26"/>
      <c r="D1604" s="27"/>
      <c r="E1604" s="27"/>
      <c r="BE1604" s="10" t="str">
        <f t="shared" si="250"/>
        <v/>
      </c>
      <c r="BF1604" s="8" t="str">
        <f t="shared" si="251"/>
        <v/>
      </c>
      <c r="BG1604" s="11" t="str">
        <f t="shared" si="252"/>
        <v/>
      </c>
      <c r="BH1604" s="8" t="str">
        <f t="shared" si="253"/>
        <v/>
      </c>
      <c r="BI1604" s="8" t="str">
        <f t="shared" si="254"/>
        <v/>
      </c>
      <c r="BJ1604" s="9" t="str">
        <f t="shared" si="255"/>
        <v/>
      </c>
      <c r="BK1604" s="9" t="str">
        <f>IF($B1604="","",COUNTIFS($B$5:$B1604,$B1604,$BF$5:$BF1604,$BF1604))</f>
        <v/>
      </c>
      <c r="BL1604" s="9" t="str">
        <f>IF($B1604="","",COUNTIFS($B$5:$B1604,$B1604,$BH$5:$BH1604,$BH1604))</f>
        <v/>
      </c>
      <c r="BM1604" s="9" t="str">
        <f t="shared" si="256"/>
        <v/>
      </c>
      <c r="BN1604" s="9" t="str">
        <f t="shared" si="257"/>
        <v/>
      </c>
      <c r="BO1604" s="9">
        <f t="shared" si="258"/>
        <v>0</v>
      </c>
      <c r="BR1604" s="12" t="str">
        <f t="shared" si="259"/>
        <v/>
      </c>
    </row>
    <row r="1605" spans="1:70" ht="14.25" customHeight="1">
      <c r="A1605" s="26"/>
      <c r="C1605" s="26"/>
      <c r="D1605" s="27"/>
      <c r="E1605" s="27"/>
      <c r="BE1605" s="10" t="str">
        <f t="shared" si="250"/>
        <v/>
      </c>
      <c r="BF1605" s="8" t="str">
        <f t="shared" si="251"/>
        <v/>
      </c>
      <c r="BG1605" s="11" t="str">
        <f t="shared" si="252"/>
        <v/>
      </c>
      <c r="BH1605" s="8" t="str">
        <f t="shared" si="253"/>
        <v/>
      </c>
      <c r="BI1605" s="8" t="str">
        <f t="shared" si="254"/>
        <v/>
      </c>
      <c r="BJ1605" s="9" t="str">
        <f t="shared" si="255"/>
        <v/>
      </c>
      <c r="BK1605" s="9" t="str">
        <f>IF($B1605="","",COUNTIFS($B$5:$B1605,$B1605,$BF$5:$BF1605,$BF1605))</f>
        <v/>
      </c>
      <c r="BL1605" s="9" t="str">
        <f>IF($B1605="","",COUNTIFS($B$5:$B1605,$B1605,$BH$5:$BH1605,$BH1605))</f>
        <v/>
      </c>
      <c r="BM1605" s="9" t="str">
        <f t="shared" si="256"/>
        <v/>
      </c>
      <c r="BN1605" s="9" t="str">
        <f t="shared" si="257"/>
        <v/>
      </c>
      <c r="BO1605" s="9">
        <f t="shared" si="258"/>
        <v>0</v>
      </c>
      <c r="BR1605" s="12" t="str">
        <f t="shared" si="259"/>
        <v/>
      </c>
    </row>
    <row r="1606" spans="1:70" ht="14.25" customHeight="1">
      <c r="A1606" s="26"/>
      <c r="C1606" s="26"/>
      <c r="D1606" s="27"/>
      <c r="E1606" s="27"/>
      <c r="BE1606" s="10" t="str">
        <f t="shared" si="250"/>
        <v/>
      </c>
      <c r="BF1606" s="8" t="str">
        <f t="shared" si="251"/>
        <v/>
      </c>
      <c r="BG1606" s="11" t="str">
        <f t="shared" si="252"/>
        <v/>
      </c>
      <c r="BH1606" s="8" t="str">
        <f t="shared" si="253"/>
        <v/>
      </c>
      <c r="BI1606" s="8" t="str">
        <f t="shared" si="254"/>
        <v/>
      </c>
      <c r="BJ1606" s="9" t="str">
        <f t="shared" si="255"/>
        <v/>
      </c>
      <c r="BK1606" s="9" t="str">
        <f>IF($B1606="","",COUNTIFS($B$5:$B1606,$B1606,$BF$5:$BF1606,$BF1606))</f>
        <v/>
      </c>
      <c r="BL1606" s="9" t="str">
        <f>IF($B1606="","",COUNTIFS($B$5:$B1606,$B1606,$BH$5:$BH1606,$BH1606))</f>
        <v/>
      </c>
      <c r="BM1606" s="9" t="str">
        <f t="shared" si="256"/>
        <v/>
      </c>
      <c r="BN1606" s="9" t="str">
        <f t="shared" si="257"/>
        <v/>
      </c>
      <c r="BO1606" s="9">
        <f t="shared" si="258"/>
        <v>0</v>
      </c>
      <c r="BR1606" s="12" t="str">
        <f t="shared" si="259"/>
        <v/>
      </c>
    </row>
    <row r="1607" spans="1:70" ht="14.25" customHeight="1">
      <c r="A1607" s="26"/>
      <c r="C1607" s="26"/>
      <c r="D1607" s="27"/>
      <c r="E1607" s="27"/>
      <c r="BE1607" s="10" t="str">
        <f t="shared" si="250"/>
        <v/>
      </c>
      <c r="BF1607" s="8" t="str">
        <f t="shared" si="251"/>
        <v/>
      </c>
      <c r="BG1607" s="11" t="str">
        <f t="shared" si="252"/>
        <v/>
      </c>
      <c r="BH1607" s="8" t="str">
        <f t="shared" si="253"/>
        <v/>
      </c>
      <c r="BI1607" s="8" t="str">
        <f t="shared" si="254"/>
        <v/>
      </c>
      <c r="BJ1607" s="9" t="str">
        <f t="shared" si="255"/>
        <v/>
      </c>
      <c r="BK1607" s="9" t="str">
        <f>IF($B1607="","",COUNTIFS($B$5:$B1607,$B1607,$BF$5:$BF1607,$BF1607))</f>
        <v/>
      </c>
      <c r="BL1607" s="9" t="str">
        <f>IF($B1607="","",COUNTIFS($B$5:$B1607,$B1607,$BH$5:$BH1607,$BH1607))</f>
        <v/>
      </c>
      <c r="BM1607" s="9" t="str">
        <f t="shared" si="256"/>
        <v/>
      </c>
      <c r="BN1607" s="9" t="str">
        <f t="shared" si="257"/>
        <v/>
      </c>
      <c r="BO1607" s="9">
        <f t="shared" si="258"/>
        <v>0</v>
      </c>
      <c r="BR1607" s="12" t="str">
        <f t="shared" si="259"/>
        <v/>
      </c>
    </row>
    <row r="1608" spans="1:70" ht="14.25" customHeight="1">
      <c r="A1608" s="26"/>
      <c r="C1608" s="26"/>
      <c r="D1608" s="27"/>
      <c r="E1608" s="27"/>
      <c r="BE1608" s="10" t="str">
        <f t="shared" si="250"/>
        <v/>
      </c>
      <c r="BF1608" s="8" t="str">
        <f t="shared" si="251"/>
        <v/>
      </c>
      <c r="BG1608" s="11" t="str">
        <f t="shared" si="252"/>
        <v/>
      </c>
      <c r="BH1608" s="8" t="str">
        <f t="shared" si="253"/>
        <v/>
      </c>
      <c r="BI1608" s="8" t="str">
        <f t="shared" si="254"/>
        <v/>
      </c>
      <c r="BJ1608" s="9" t="str">
        <f t="shared" si="255"/>
        <v/>
      </c>
      <c r="BK1608" s="9" t="str">
        <f>IF($B1608="","",COUNTIFS($B$5:$B1608,$B1608,$BF$5:$BF1608,$BF1608))</f>
        <v/>
      </c>
      <c r="BL1608" s="9" t="str">
        <f>IF($B1608="","",COUNTIFS($B$5:$B1608,$B1608,$BH$5:$BH1608,$BH1608))</f>
        <v/>
      </c>
      <c r="BM1608" s="9" t="str">
        <f t="shared" si="256"/>
        <v/>
      </c>
      <c r="BN1608" s="9" t="str">
        <f t="shared" si="257"/>
        <v/>
      </c>
      <c r="BO1608" s="9">
        <f t="shared" si="258"/>
        <v>0</v>
      </c>
      <c r="BR1608" s="12" t="str">
        <f t="shared" si="259"/>
        <v/>
      </c>
    </row>
    <row r="1609" spans="1:70" ht="14.25" customHeight="1">
      <c r="A1609" s="26"/>
      <c r="C1609" s="26"/>
      <c r="D1609" s="27"/>
      <c r="E1609" s="27"/>
      <c r="BE1609" s="10" t="str">
        <f t="shared" si="250"/>
        <v/>
      </c>
      <c r="BF1609" s="8" t="str">
        <f t="shared" si="251"/>
        <v/>
      </c>
      <c r="BG1609" s="11" t="str">
        <f t="shared" si="252"/>
        <v/>
      </c>
      <c r="BH1609" s="8" t="str">
        <f t="shared" si="253"/>
        <v/>
      </c>
      <c r="BI1609" s="8" t="str">
        <f t="shared" si="254"/>
        <v/>
      </c>
      <c r="BJ1609" s="9" t="str">
        <f t="shared" si="255"/>
        <v/>
      </c>
      <c r="BK1609" s="9" t="str">
        <f>IF($B1609="","",COUNTIFS($B$5:$B1609,$B1609,$BF$5:$BF1609,$BF1609))</f>
        <v/>
      </c>
      <c r="BL1609" s="9" t="str">
        <f>IF($B1609="","",COUNTIFS($B$5:$B1609,$B1609,$BH$5:$BH1609,$BH1609))</f>
        <v/>
      </c>
      <c r="BM1609" s="9" t="str">
        <f t="shared" si="256"/>
        <v/>
      </c>
      <c r="BN1609" s="9" t="str">
        <f t="shared" si="257"/>
        <v/>
      </c>
      <c r="BO1609" s="9">
        <f t="shared" si="258"/>
        <v>0</v>
      </c>
      <c r="BR1609" s="12" t="str">
        <f t="shared" si="259"/>
        <v/>
      </c>
    </row>
    <row r="1610" spans="1:70" ht="14.25" customHeight="1">
      <c r="A1610" s="26"/>
      <c r="C1610" s="26"/>
      <c r="D1610" s="27"/>
      <c r="E1610" s="27"/>
      <c r="BE1610" s="10" t="str">
        <f t="shared" si="250"/>
        <v/>
      </c>
      <c r="BF1610" s="8" t="str">
        <f t="shared" si="251"/>
        <v/>
      </c>
      <c r="BG1610" s="11" t="str">
        <f t="shared" si="252"/>
        <v/>
      </c>
      <c r="BH1610" s="8" t="str">
        <f t="shared" si="253"/>
        <v/>
      </c>
      <c r="BI1610" s="8" t="str">
        <f t="shared" si="254"/>
        <v/>
      </c>
      <c r="BJ1610" s="9" t="str">
        <f t="shared" si="255"/>
        <v/>
      </c>
      <c r="BK1610" s="9" t="str">
        <f>IF($B1610="","",COUNTIFS($B$5:$B1610,$B1610,$BF$5:$BF1610,$BF1610))</f>
        <v/>
      </c>
      <c r="BL1610" s="9" t="str">
        <f>IF($B1610="","",COUNTIFS($B$5:$B1610,$B1610,$BH$5:$BH1610,$BH1610))</f>
        <v/>
      </c>
      <c r="BM1610" s="9" t="str">
        <f t="shared" si="256"/>
        <v/>
      </c>
      <c r="BN1610" s="9" t="str">
        <f t="shared" si="257"/>
        <v/>
      </c>
      <c r="BO1610" s="9">
        <f t="shared" si="258"/>
        <v>0</v>
      </c>
      <c r="BR1610" s="12" t="str">
        <f t="shared" si="259"/>
        <v/>
      </c>
    </row>
    <row r="1611" spans="1:70" ht="14.25" customHeight="1">
      <c r="A1611" s="26"/>
      <c r="C1611" s="26"/>
      <c r="D1611" s="27"/>
      <c r="E1611" s="27"/>
      <c r="BE1611" s="10" t="str">
        <f t="shared" si="250"/>
        <v/>
      </c>
      <c r="BF1611" s="8" t="str">
        <f t="shared" si="251"/>
        <v/>
      </c>
      <c r="BG1611" s="11" t="str">
        <f t="shared" si="252"/>
        <v/>
      </c>
      <c r="BH1611" s="8" t="str">
        <f t="shared" si="253"/>
        <v/>
      </c>
      <c r="BI1611" s="8" t="str">
        <f t="shared" si="254"/>
        <v/>
      </c>
      <c r="BJ1611" s="9" t="str">
        <f t="shared" si="255"/>
        <v/>
      </c>
      <c r="BK1611" s="9" t="str">
        <f>IF($B1611="","",COUNTIFS($B$5:$B1611,$B1611,$BF$5:$BF1611,$BF1611))</f>
        <v/>
      </c>
      <c r="BL1611" s="9" t="str">
        <f>IF($B1611="","",COUNTIFS($B$5:$B1611,$B1611,$BH$5:$BH1611,$BH1611))</f>
        <v/>
      </c>
      <c r="BM1611" s="9" t="str">
        <f t="shared" si="256"/>
        <v/>
      </c>
      <c r="BN1611" s="9" t="str">
        <f t="shared" si="257"/>
        <v/>
      </c>
      <c r="BO1611" s="9">
        <f t="shared" si="258"/>
        <v>0</v>
      </c>
      <c r="BR1611" s="12" t="str">
        <f t="shared" si="259"/>
        <v/>
      </c>
    </row>
    <row r="1612" spans="1:70" ht="14.25" customHeight="1">
      <c r="A1612" s="26"/>
      <c r="C1612" s="26"/>
      <c r="D1612" s="27"/>
      <c r="E1612" s="27"/>
      <c r="BE1612" s="10" t="str">
        <f t="shared" si="250"/>
        <v/>
      </c>
      <c r="BF1612" s="8" t="str">
        <f t="shared" si="251"/>
        <v/>
      </c>
      <c r="BG1612" s="11" t="str">
        <f t="shared" si="252"/>
        <v/>
      </c>
      <c r="BH1612" s="8" t="str">
        <f t="shared" si="253"/>
        <v/>
      </c>
      <c r="BI1612" s="8" t="str">
        <f t="shared" si="254"/>
        <v/>
      </c>
      <c r="BJ1612" s="9" t="str">
        <f t="shared" si="255"/>
        <v/>
      </c>
      <c r="BK1612" s="9" t="str">
        <f>IF($B1612="","",COUNTIFS($B$5:$B1612,$B1612,$BF$5:$BF1612,$BF1612))</f>
        <v/>
      </c>
      <c r="BL1612" s="9" t="str">
        <f>IF($B1612="","",COUNTIFS($B$5:$B1612,$B1612,$BH$5:$BH1612,$BH1612))</f>
        <v/>
      </c>
      <c r="BM1612" s="9" t="str">
        <f t="shared" si="256"/>
        <v/>
      </c>
      <c r="BN1612" s="9" t="str">
        <f t="shared" si="257"/>
        <v/>
      </c>
      <c r="BO1612" s="9">
        <f t="shared" si="258"/>
        <v>0</v>
      </c>
      <c r="BR1612" s="12" t="str">
        <f t="shared" si="259"/>
        <v/>
      </c>
    </row>
    <row r="1613" spans="1:70" ht="14.25" customHeight="1">
      <c r="A1613" s="26"/>
      <c r="C1613" s="26"/>
      <c r="D1613" s="27"/>
      <c r="E1613" s="27"/>
      <c r="BE1613" s="10" t="str">
        <f t="shared" si="250"/>
        <v/>
      </c>
      <c r="BF1613" s="8" t="str">
        <f t="shared" si="251"/>
        <v/>
      </c>
      <c r="BG1613" s="11" t="str">
        <f t="shared" si="252"/>
        <v/>
      </c>
      <c r="BH1613" s="8" t="str">
        <f t="shared" si="253"/>
        <v/>
      </c>
      <c r="BI1613" s="8" t="str">
        <f t="shared" si="254"/>
        <v/>
      </c>
      <c r="BJ1613" s="9" t="str">
        <f t="shared" si="255"/>
        <v/>
      </c>
      <c r="BK1613" s="9" t="str">
        <f>IF($B1613="","",COUNTIFS($B$5:$B1613,$B1613,$BF$5:$BF1613,$BF1613))</f>
        <v/>
      </c>
      <c r="BL1613" s="9" t="str">
        <f>IF($B1613="","",COUNTIFS($B$5:$B1613,$B1613,$BH$5:$BH1613,$BH1613))</f>
        <v/>
      </c>
      <c r="BM1613" s="9" t="str">
        <f t="shared" si="256"/>
        <v/>
      </c>
      <c r="BN1613" s="9" t="str">
        <f t="shared" si="257"/>
        <v/>
      </c>
      <c r="BO1613" s="9">
        <f t="shared" si="258"/>
        <v>0</v>
      </c>
      <c r="BR1613" s="12" t="str">
        <f t="shared" si="259"/>
        <v/>
      </c>
    </row>
    <row r="1614" spans="1:70" ht="14.25" customHeight="1">
      <c r="A1614" s="26"/>
      <c r="C1614" s="26"/>
      <c r="D1614" s="27"/>
      <c r="E1614" s="27"/>
      <c r="BE1614" s="10" t="str">
        <f t="shared" si="250"/>
        <v/>
      </c>
      <c r="BF1614" s="8" t="str">
        <f t="shared" si="251"/>
        <v/>
      </c>
      <c r="BG1614" s="11" t="str">
        <f t="shared" si="252"/>
        <v/>
      </c>
      <c r="BH1614" s="8" t="str">
        <f t="shared" si="253"/>
        <v/>
      </c>
      <c r="BI1614" s="8" t="str">
        <f t="shared" si="254"/>
        <v/>
      </c>
      <c r="BJ1614" s="9" t="str">
        <f t="shared" si="255"/>
        <v/>
      </c>
      <c r="BK1614" s="9" t="str">
        <f>IF($B1614="","",COUNTIFS($B$5:$B1614,$B1614,$BF$5:$BF1614,$BF1614))</f>
        <v/>
      </c>
      <c r="BL1614" s="9" t="str">
        <f>IF($B1614="","",COUNTIFS($B$5:$B1614,$B1614,$BH$5:$BH1614,$BH1614))</f>
        <v/>
      </c>
      <c r="BM1614" s="9" t="str">
        <f t="shared" si="256"/>
        <v/>
      </c>
      <c r="BN1614" s="9" t="str">
        <f t="shared" si="257"/>
        <v/>
      </c>
      <c r="BO1614" s="9">
        <f t="shared" si="258"/>
        <v>0</v>
      </c>
      <c r="BR1614" s="12" t="str">
        <f t="shared" si="259"/>
        <v/>
      </c>
    </row>
    <row r="1615" spans="1:70" ht="14.25" customHeight="1">
      <c r="A1615" s="26"/>
      <c r="C1615" s="26"/>
      <c r="D1615" s="27"/>
      <c r="E1615" s="27"/>
      <c r="BE1615" s="10" t="str">
        <f t="shared" si="250"/>
        <v/>
      </c>
      <c r="BF1615" s="8" t="str">
        <f t="shared" si="251"/>
        <v/>
      </c>
      <c r="BG1615" s="11" t="str">
        <f t="shared" si="252"/>
        <v/>
      </c>
      <c r="BH1615" s="8" t="str">
        <f t="shared" si="253"/>
        <v/>
      </c>
      <c r="BI1615" s="8" t="str">
        <f t="shared" si="254"/>
        <v/>
      </c>
      <c r="BJ1615" s="9" t="str">
        <f t="shared" si="255"/>
        <v/>
      </c>
      <c r="BK1615" s="9" t="str">
        <f>IF($B1615="","",COUNTIFS($B$5:$B1615,$B1615,$BF$5:$BF1615,$BF1615))</f>
        <v/>
      </c>
      <c r="BL1615" s="9" t="str">
        <f>IF($B1615="","",COUNTIFS($B$5:$B1615,$B1615,$BH$5:$BH1615,$BH1615))</f>
        <v/>
      </c>
      <c r="BM1615" s="9" t="str">
        <f t="shared" si="256"/>
        <v/>
      </c>
      <c r="BN1615" s="9" t="str">
        <f t="shared" si="257"/>
        <v/>
      </c>
      <c r="BO1615" s="9">
        <f t="shared" si="258"/>
        <v>0</v>
      </c>
      <c r="BR1615" s="12" t="str">
        <f t="shared" si="259"/>
        <v/>
      </c>
    </row>
    <row r="1616" spans="1:70" ht="14.25" customHeight="1">
      <c r="A1616" s="26"/>
      <c r="C1616" s="26"/>
      <c r="D1616" s="27"/>
      <c r="E1616" s="27"/>
      <c r="BE1616" s="10" t="str">
        <f t="shared" si="250"/>
        <v/>
      </c>
      <c r="BF1616" s="8" t="str">
        <f t="shared" si="251"/>
        <v/>
      </c>
      <c r="BG1616" s="11" t="str">
        <f t="shared" si="252"/>
        <v/>
      </c>
      <c r="BH1616" s="8" t="str">
        <f t="shared" si="253"/>
        <v/>
      </c>
      <c r="BI1616" s="8" t="str">
        <f t="shared" si="254"/>
        <v/>
      </c>
      <c r="BJ1616" s="9" t="str">
        <f t="shared" si="255"/>
        <v/>
      </c>
      <c r="BK1616" s="9" t="str">
        <f>IF($B1616="","",COUNTIFS($B$5:$B1616,$B1616,$BF$5:$BF1616,$BF1616))</f>
        <v/>
      </c>
      <c r="BL1616" s="9" t="str">
        <f>IF($B1616="","",COUNTIFS($B$5:$B1616,$B1616,$BH$5:$BH1616,$BH1616))</f>
        <v/>
      </c>
      <c r="BM1616" s="9" t="str">
        <f t="shared" si="256"/>
        <v/>
      </c>
      <c r="BN1616" s="9" t="str">
        <f t="shared" si="257"/>
        <v/>
      </c>
      <c r="BO1616" s="9">
        <f t="shared" si="258"/>
        <v>0</v>
      </c>
      <c r="BR1616" s="12" t="str">
        <f t="shared" si="259"/>
        <v/>
      </c>
    </row>
    <row r="1617" spans="1:70" ht="14.25" customHeight="1">
      <c r="A1617" s="26"/>
      <c r="C1617" s="26"/>
      <c r="D1617" s="27"/>
      <c r="E1617" s="27"/>
      <c r="BE1617" s="10" t="str">
        <f t="shared" si="250"/>
        <v/>
      </c>
      <c r="BF1617" s="8" t="str">
        <f t="shared" si="251"/>
        <v/>
      </c>
      <c r="BG1617" s="11" t="str">
        <f t="shared" si="252"/>
        <v/>
      </c>
      <c r="BH1617" s="8" t="str">
        <f t="shared" si="253"/>
        <v/>
      </c>
      <c r="BI1617" s="8" t="str">
        <f t="shared" si="254"/>
        <v/>
      </c>
      <c r="BJ1617" s="9" t="str">
        <f t="shared" si="255"/>
        <v/>
      </c>
      <c r="BK1617" s="9" t="str">
        <f>IF($B1617="","",COUNTIFS($B$5:$B1617,$B1617,$BF$5:$BF1617,$BF1617))</f>
        <v/>
      </c>
      <c r="BL1617" s="9" t="str">
        <f>IF($B1617="","",COUNTIFS($B$5:$B1617,$B1617,$BH$5:$BH1617,$BH1617))</f>
        <v/>
      </c>
      <c r="BM1617" s="9" t="str">
        <f t="shared" si="256"/>
        <v/>
      </c>
      <c r="BN1617" s="9" t="str">
        <f t="shared" si="257"/>
        <v/>
      </c>
      <c r="BO1617" s="9">
        <f t="shared" si="258"/>
        <v>0</v>
      </c>
      <c r="BR1617" s="12" t="str">
        <f t="shared" si="259"/>
        <v/>
      </c>
    </row>
    <row r="1618" spans="1:70" ht="14.25" customHeight="1">
      <c r="A1618" s="26"/>
      <c r="C1618" s="26"/>
      <c r="D1618" s="27"/>
      <c r="E1618" s="27"/>
      <c r="BE1618" s="10" t="str">
        <f t="shared" si="250"/>
        <v/>
      </c>
      <c r="BF1618" s="8" t="str">
        <f t="shared" si="251"/>
        <v/>
      </c>
      <c r="BG1618" s="11" t="str">
        <f t="shared" si="252"/>
        <v/>
      </c>
      <c r="BH1618" s="8" t="str">
        <f t="shared" si="253"/>
        <v/>
      </c>
      <c r="BI1618" s="8" t="str">
        <f t="shared" si="254"/>
        <v/>
      </c>
      <c r="BJ1618" s="9" t="str">
        <f t="shared" si="255"/>
        <v/>
      </c>
      <c r="BK1618" s="9" t="str">
        <f>IF($B1618="","",COUNTIFS($B$5:$B1618,$B1618,$BF$5:$BF1618,$BF1618))</f>
        <v/>
      </c>
      <c r="BL1618" s="9" t="str">
        <f>IF($B1618="","",COUNTIFS($B$5:$B1618,$B1618,$BH$5:$BH1618,$BH1618))</f>
        <v/>
      </c>
      <c r="BM1618" s="9" t="str">
        <f t="shared" si="256"/>
        <v/>
      </c>
      <c r="BN1618" s="9" t="str">
        <f t="shared" si="257"/>
        <v/>
      </c>
      <c r="BO1618" s="9">
        <f t="shared" si="258"/>
        <v>0</v>
      </c>
      <c r="BR1618" s="12" t="str">
        <f t="shared" si="259"/>
        <v/>
      </c>
    </row>
    <row r="1619" spans="1:70" ht="14.25" customHeight="1">
      <c r="A1619" s="26"/>
      <c r="C1619" s="26"/>
      <c r="D1619" s="27"/>
      <c r="E1619" s="27"/>
      <c r="BE1619" s="10" t="str">
        <f t="shared" si="250"/>
        <v/>
      </c>
      <c r="BF1619" s="8" t="str">
        <f t="shared" si="251"/>
        <v/>
      </c>
      <c r="BG1619" s="11" t="str">
        <f t="shared" si="252"/>
        <v/>
      </c>
      <c r="BH1619" s="8" t="str">
        <f t="shared" si="253"/>
        <v/>
      </c>
      <c r="BI1619" s="8" t="str">
        <f t="shared" si="254"/>
        <v/>
      </c>
      <c r="BJ1619" s="9" t="str">
        <f t="shared" si="255"/>
        <v/>
      </c>
      <c r="BK1619" s="9" t="str">
        <f>IF($B1619="","",COUNTIFS($B$5:$B1619,$B1619,$BF$5:$BF1619,$BF1619))</f>
        <v/>
      </c>
      <c r="BL1619" s="9" t="str">
        <f>IF($B1619="","",COUNTIFS($B$5:$B1619,$B1619,$BH$5:$BH1619,$BH1619))</f>
        <v/>
      </c>
      <c r="BM1619" s="9" t="str">
        <f t="shared" si="256"/>
        <v/>
      </c>
      <c r="BN1619" s="9" t="str">
        <f t="shared" si="257"/>
        <v/>
      </c>
      <c r="BO1619" s="9">
        <f t="shared" si="258"/>
        <v>0</v>
      </c>
      <c r="BR1619" s="12" t="str">
        <f t="shared" si="259"/>
        <v/>
      </c>
    </row>
    <row r="1620" spans="1:70" ht="14.25" customHeight="1">
      <c r="A1620" s="26"/>
      <c r="C1620" s="26"/>
      <c r="D1620" s="27"/>
      <c r="E1620" s="27"/>
      <c r="BE1620" s="10" t="str">
        <f t="shared" si="250"/>
        <v/>
      </c>
      <c r="BF1620" s="8" t="str">
        <f t="shared" si="251"/>
        <v/>
      </c>
      <c r="BG1620" s="11" t="str">
        <f t="shared" si="252"/>
        <v/>
      </c>
      <c r="BH1620" s="8" t="str">
        <f t="shared" si="253"/>
        <v/>
      </c>
      <c r="BI1620" s="8" t="str">
        <f t="shared" si="254"/>
        <v/>
      </c>
      <c r="BJ1620" s="9" t="str">
        <f t="shared" si="255"/>
        <v/>
      </c>
      <c r="BK1620" s="9" t="str">
        <f>IF($B1620="","",COUNTIFS($B$5:$B1620,$B1620,$BF$5:$BF1620,$BF1620))</f>
        <v/>
      </c>
      <c r="BL1620" s="9" t="str">
        <f>IF($B1620="","",COUNTIFS($B$5:$B1620,$B1620,$BH$5:$BH1620,$BH1620))</f>
        <v/>
      </c>
      <c r="BM1620" s="9" t="str">
        <f t="shared" si="256"/>
        <v/>
      </c>
      <c r="BN1620" s="9" t="str">
        <f t="shared" si="257"/>
        <v/>
      </c>
      <c r="BO1620" s="9">
        <f t="shared" si="258"/>
        <v>0</v>
      </c>
      <c r="BR1620" s="12" t="str">
        <f t="shared" si="259"/>
        <v/>
      </c>
    </row>
    <row r="1621" spans="1:70" ht="14.25" customHeight="1">
      <c r="A1621" s="26"/>
      <c r="C1621" s="26"/>
      <c r="D1621" s="27"/>
      <c r="E1621" s="27"/>
      <c r="BE1621" s="10" t="str">
        <f t="shared" si="250"/>
        <v/>
      </c>
      <c r="BF1621" s="8" t="str">
        <f t="shared" si="251"/>
        <v/>
      </c>
      <c r="BG1621" s="11" t="str">
        <f t="shared" si="252"/>
        <v/>
      </c>
      <c r="BH1621" s="8" t="str">
        <f t="shared" si="253"/>
        <v/>
      </c>
      <c r="BI1621" s="8" t="str">
        <f t="shared" si="254"/>
        <v/>
      </c>
      <c r="BJ1621" s="9" t="str">
        <f t="shared" si="255"/>
        <v/>
      </c>
      <c r="BK1621" s="9" t="str">
        <f>IF($B1621="","",COUNTIFS($B$5:$B1621,$B1621,$BF$5:$BF1621,$BF1621))</f>
        <v/>
      </c>
      <c r="BL1621" s="9" t="str">
        <f>IF($B1621="","",COUNTIFS($B$5:$B1621,$B1621,$BH$5:$BH1621,$BH1621))</f>
        <v/>
      </c>
      <c r="BM1621" s="9" t="str">
        <f t="shared" si="256"/>
        <v/>
      </c>
      <c r="BN1621" s="9" t="str">
        <f t="shared" si="257"/>
        <v/>
      </c>
      <c r="BO1621" s="9">
        <f t="shared" si="258"/>
        <v>0</v>
      </c>
      <c r="BR1621" s="12" t="str">
        <f t="shared" si="259"/>
        <v/>
      </c>
    </row>
    <row r="1622" spans="1:70" ht="14.25" customHeight="1">
      <c r="A1622" s="26"/>
      <c r="C1622" s="26"/>
      <c r="D1622" s="27"/>
      <c r="E1622" s="27"/>
      <c r="BE1622" s="10" t="str">
        <f t="shared" si="250"/>
        <v/>
      </c>
      <c r="BF1622" s="8" t="str">
        <f t="shared" si="251"/>
        <v/>
      </c>
      <c r="BG1622" s="11" t="str">
        <f t="shared" si="252"/>
        <v/>
      </c>
      <c r="BH1622" s="8" t="str">
        <f t="shared" si="253"/>
        <v/>
      </c>
      <c r="BI1622" s="8" t="str">
        <f t="shared" si="254"/>
        <v/>
      </c>
      <c r="BJ1622" s="9" t="str">
        <f t="shared" si="255"/>
        <v/>
      </c>
      <c r="BK1622" s="9" t="str">
        <f>IF($B1622="","",COUNTIFS($B$5:$B1622,$B1622,$BF$5:$BF1622,$BF1622))</f>
        <v/>
      </c>
      <c r="BL1622" s="9" t="str">
        <f>IF($B1622="","",COUNTIFS($B$5:$B1622,$B1622,$BH$5:$BH1622,$BH1622))</f>
        <v/>
      </c>
      <c r="BM1622" s="9" t="str">
        <f t="shared" si="256"/>
        <v/>
      </c>
      <c r="BN1622" s="9" t="str">
        <f t="shared" si="257"/>
        <v/>
      </c>
      <c r="BO1622" s="9">
        <f t="shared" si="258"/>
        <v>0</v>
      </c>
      <c r="BR1622" s="12" t="str">
        <f t="shared" si="259"/>
        <v/>
      </c>
    </row>
    <row r="1623" spans="1:70" ht="14.25" customHeight="1">
      <c r="A1623" s="26"/>
      <c r="C1623" s="26"/>
      <c r="D1623" s="27"/>
      <c r="E1623" s="27"/>
      <c r="BE1623" s="10" t="str">
        <f t="shared" si="250"/>
        <v/>
      </c>
      <c r="BF1623" s="8" t="str">
        <f t="shared" si="251"/>
        <v/>
      </c>
      <c r="BG1623" s="11" t="str">
        <f t="shared" si="252"/>
        <v/>
      </c>
      <c r="BH1623" s="8" t="str">
        <f t="shared" si="253"/>
        <v/>
      </c>
      <c r="BI1623" s="8" t="str">
        <f t="shared" si="254"/>
        <v/>
      </c>
      <c r="BJ1623" s="9" t="str">
        <f t="shared" si="255"/>
        <v/>
      </c>
      <c r="BK1623" s="9" t="str">
        <f>IF($B1623="","",COUNTIFS($B$5:$B1623,$B1623,$BF$5:$BF1623,$BF1623))</f>
        <v/>
      </c>
      <c r="BL1623" s="9" t="str">
        <f>IF($B1623="","",COUNTIFS($B$5:$B1623,$B1623,$BH$5:$BH1623,$BH1623))</f>
        <v/>
      </c>
      <c r="BM1623" s="9" t="str">
        <f t="shared" si="256"/>
        <v/>
      </c>
      <c r="BN1623" s="9" t="str">
        <f t="shared" si="257"/>
        <v/>
      </c>
      <c r="BO1623" s="9">
        <f t="shared" si="258"/>
        <v>0</v>
      </c>
      <c r="BR1623" s="12" t="str">
        <f t="shared" si="259"/>
        <v/>
      </c>
    </row>
    <row r="1624" spans="1:70" ht="14.25" customHeight="1">
      <c r="A1624" s="26"/>
      <c r="C1624" s="26"/>
      <c r="D1624" s="27"/>
      <c r="E1624" s="27"/>
      <c r="BE1624" s="10" t="str">
        <f t="shared" si="250"/>
        <v/>
      </c>
      <c r="BF1624" s="8" t="str">
        <f t="shared" si="251"/>
        <v/>
      </c>
      <c r="BG1624" s="11" t="str">
        <f t="shared" si="252"/>
        <v/>
      </c>
      <c r="BH1624" s="8" t="str">
        <f t="shared" si="253"/>
        <v/>
      </c>
      <c r="BI1624" s="8" t="str">
        <f t="shared" si="254"/>
        <v/>
      </c>
      <c r="BJ1624" s="9" t="str">
        <f t="shared" si="255"/>
        <v/>
      </c>
      <c r="BK1624" s="9" t="str">
        <f>IF($B1624="","",COUNTIFS($B$5:$B1624,$B1624,$BF$5:$BF1624,$BF1624))</f>
        <v/>
      </c>
      <c r="BL1624" s="9" t="str">
        <f>IF($B1624="","",COUNTIFS($B$5:$B1624,$B1624,$BH$5:$BH1624,$BH1624))</f>
        <v/>
      </c>
      <c r="BM1624" s="9" t="str">
        <f t="shared" si="256"/>
        <v/>
      </c>
      <c r="BN1624" s="9" t="str">
        <f t="shared" si="257"/>
        <v/>
      </c>
      <c r="BO1624" s="9">
        <f t="shared" si="258"/>
        <v>0</v>
      </c>
      <c r="BR1624" s="12" t="str">
        <f t="shared" si="259"/>
        <v/>
      </c>
    </row>
    <row r="1625" spans="1:70" ht="14.25" customHeight="1">
      <c r="A1625" s="26"/>
      <c r="C1625" s="26"/>
      <c r="D1625" s="27"/>
      <c r="E1625" s="27"/>
      <c r="BE1625" s="10" t="str">
        <f t="shared" si="250"/>
        <v/>
      </c>
      <c r="BF1625" s="8" t="str">
        <f t="shared" si="251"/>
        <v/>
      </c>
      <c r="BG1625" s="11" t="str">
        <f t="shared" si="252"/>
        <v/>
      </c>
      <c r="BH1625" s="8" t="str">
        <f t="shared" si="253"/>
        <v/>
      </c>
      <c r="BI1625" s="8" t="str">
        <f t="shared" si="254"/>
        <v/>
      </c>
      <c r="BJ1625" s="9" t="str">
        <f t="shared" si="255"/>
        <v/>
      </c>
      <c r="BK1625" s="9" t="str">
        <f>IF($B1625="","",COUNTIFS($B$5:$B1625,$B1625,$BF$5:$BF1625,$BF1625))</f>
        <v/>
      </c>
      <c r="BL1625" s="9" t="str">
        <f>IF($B1625="","",COUNTIFS($B$5:$B1625,$B1625,$BH$5:$BH1625,$BH1625))</f>
        <v/>
      </c>
      <c r="BM1625" s="9" t="str">
        <f t="shared" si="256"/>
        <v/>
      </c>
      <c r="BN1625" s="9" t="str">
        <f t="shared" si="257"/>
        <v/>
      </c>
      <c r="BO1625" s="9">
        <f t="shared" si="258"/>
        <v>0</v>
      </c>
      <c r="BR1625" s="12" t="str">
        <f t="shared" si="259"/>
        <v/>
      </c>
    </row>
    <row r="1626" spans="1:70" ht="14.25" customHeight="1">
      <c r="A1626" s="26"/>
      <c r="C1626" s="26"/>
      <c r="D1626" s="27"/>
      <c r="E1626" s="27"/>
      <c r="BE1626" s="10" t="str">
        <f t="shared" si="250"/>
        <v/>
      </c>
      <c r="BF1626" s="8" t="str">
        <f t="shared" si="251"/>
        <v/>
      </c>
      <c r="BG1626" s="11" t="str">
        <f t="shared" si="252"/>
        <v/>
      </c>
      <c r="BH1626" s="8" t="str">
        <f t="shared" si="253"/>
        <v/>
      </c>
      <c r="BI1626" s="8" t="str">
        <f t="shared" si="254"/>
        <v/>
      </c>
      <c r="BJ1626" s="9" t="str">
        <f t="shared" si="255"/>
        <v/>
      </c>
      <c r="BK1626" s="9" t="str">
        <f>IF($B1626="","",COUNTIFS($B$5:$B1626,$B1626,$BF$5:$BF1626,$BF1626))</f>
        <v/>
      </c>
      <c r="BL1626" s="9" t="str">
        <f>IF($B1626="","",COUNTIFS($B$5:$B1626,$B1626,$BH$5:$BH1626,$BH1626))</f>
        <v/>
      </c>
      <c r="BM1626" s="9" t="str">
        <f t="shared" si="256"/>
        <v/>
      </c>
      <c r="BN1626" s="9" t="str">
        <f t="shared" si="257"/>
        <v/>
      </c>
      <c r="BO1626" s="9">
        <f t="shared" si="258"/>
        <v>0</v>
      </c>
      <c r="BR1626" s="12" t="str">
        <f t="shared" si="259"/>
        <v/>
      </c>
    </row>
    <row r="1627" spans="1:70" ht="14.25" customHeight="1">
      <c r="A1627" s="26"/>
      <c r="C1627" s="26"/>
      <c r="D1627" s="27"/>
      <c r="E1627" s="27"/>
      <c r="BE1627" s="10" t="str">
        <f t="shared" si="250"/>
        <v/>
      </c>
      <c r="BF1627" s="8" t="str">
        <f t="shared" si="251"/>
        <v/>
      </c>
      <c r="BG1627" s="11" t="str">
        <f t="shared" si="252"/>
        <v/>
      </c>
      <c r="BH1627" s="8" t="str">
        <f t="shared" si="253"/>
        <v/>
      </c>
      <c r="BI1627" s="8" t="str">
        <f t="shared" si="254"/>
        <v/>
      </c>
      <c r="BJ1627" s="9" t="str">
        <f t="shared" si="255"/>
        <v/>
      </c>
      <c r="BK1627" s="9" t="str">
        <f>IF($B1627="","",COUNTIFS($B$5:$B1627,$B1627,$BF$5:$BF1627,$BF1627))</f>
        <v/>
      </c>
      <c r="BL1627" s="9" t="str">
        <f>IF($B1627="","",COUNTIFS($B$5:$B1627,$B1627,$BH$5:$BH1627,$BH1627))</f>
        <v/>
      </c>
      <c r="BM1627" s="9" t="str">
        <f t="shared" si="256"/>
        <v/>
      </c>
      <c r="BN1627" s="9" t="str">
        <f t="shared" si="257"/>
        <v/>
      </c>
      <c r="BO1627" s="9">
        <f t="shared" si="258"/>
        <v>0</v>
      </c>
      <c r="BR1627" s="12" t="str">
        <f t="shared" si="259"/>
        <v/>
      </c>
    </row>
    <row r="1628" spans="1:70" ht="14.25" customHeight="1">
      <c r="A1628" s="26"/>
      <c r="C1628" s="26"/>
      <c r="D1628" s="27"/>
      <c r="E1628" s="27"/>
      <c r="BE1628" s="10" t="str">
        <f t="shared" si="250"/>
        <v/>
      </c>
      <c r="BF1628" s="8" t="str">
        <f t="shared" si="251"/>
        <v/>
      </c>
      <c r="BG1628" s="11" t="str">
        <f t="shared" si="252"/>
        <v/>
      </c>
      <c r="BH1628" s="8" t="str">
        <f t="shared" si="253"/>
        <v/>
      </c>
      <c r="BI1628" s="8" t="str">
        <f t="shared" si="254"/>
        <v/>
      </c>
      <c r="BJ1628" s="9" t="str">
        <f t="shared" si="255"/>
        <v/>
      </c>
      <c r="BK1628" s="9" t="str">
        <f>IF($B1628="","",COUNTIFS($B$5:$B1628,$B1628,$BF$5:$BF1628,$BF1628))</f>
        <v/>
      </c>
      <c r="BL1628" s="9" t="str">
        <f>IF($B1628="","",COUNTIFS($B$5:$B1628,$B1628,$BH$5:$BH1628,$BH1628))</f>
        <v/>
      </c>
      <c r="BM1628" s="9" t="str">
        <f t="shared" si="256"/>
        <v/>
      </c>
      <c r="BN1628" s="9" t="str">
        <f t="shared" si="257"/>
        <v/>
      </c>
      <c r="BO1628" s="9">
        <f t="shared" si="258"/>
        <v>0</v>
      </c>
      <c r="BR1628" s="12" t="str">
        <f t="shared" si="259"/>
        <v/>
      </c>
    </row>
    <row r="1629" spans="1:70" ht="14.25" customHeight="1">
      <c r="A1629" s="26"/>
      <c r="C1629" s="26"/>
      <c r="D1629" s="27"/>
      <c r="E1629" s="27"/>
      <c r="BE1629" s="10" t="str">
        <f t="shared" ref="BE1629:BE1692" si="260">IF($B1629="","",IF(COUNT($H1629,$J1629,$L1629,$N1629,$P1629,$R1629)&gt;0,SUM($H1629,$J1629,$L1629,$N1629,$P1629,$R1629),SUM($T1629,$V1629,$X1629,$Z1629,$AB1629,$AD1629,$AF1629,$AH1629,$AJ1629,$AL1629,$AN1629,$AP1629,$AR1629,$AT1629,$AV1629,$AX1629,$AZ1629)))</f>
        <v/>
      </c>
      <c r="BF1629" s="8" t="str">
        <f t="shared" ref="BF1629:BF1692" si="261">IF($C1629="","",DATE(YEAR($C1629),MONTH($C1629),1))</f>
        <v/>
      </c>
      <c r="BG1629" s="11" t="str">
        <f t="shared" ref="BG1629:BG1692" si="262">IF($BF1629="","",TEXT($BF1629,"mmmm yyyy"))</f>
        <v/>
      </c>
      <c r="BH1629" s="8" t="str">
        <f t="shared" ref="BH1629:BH1692" si="263">IF($C1629="","",$C1629-WEEKDAY($C1629,2)+1)</f>
        <v/>
      </c>
      <c r="BI1629" s="8" t="str">
        <f t="shared" ref="BI1629:BI1692" si="264">IF($BH1629="","",$BH1629+6)</f>
        <v/>
      </c>
      <c r="BJ1629" s="9" t="str">
        <f t="shared" ref="BJ1629:BJ1692" si="265">IF($BH1629="","",TEXT($BH1629,"dd/mm/yyyy")&amp;" - "&amp;TEXT($BI1629,"dd/mm/yyyy"))</f>
        <v/>
      </c>
      <c r="BK1629" s="9" t="str">
        <f>IF($B1629="","",COUNTIFS($B$5:$B1629,$B1629,$BF$5:$BF1629,$BF1629))</f>
        <v/>
      </c>
      <c r="BL1629" s="9" t="str">
        <f>IF($B1629="","",COUNTIFS($B$5:$B1629,$B1629,$BH$5:$BH1629,$BH1629))</f>
        <v/>
      </c>
      <c r="BM1629" s="9" t="str">
        <f t="shared" ref="BM1629:BM1692" si="266">IF($B1629="","",TEXT($BK1629,"00")&amp;"|"&amp;$B1629&amp;"|"&amp;TEXT($BF1629,"yyyymmdd"))</f>
        <v/>
      </c>
      <c r="BN1629" s="9" t="str">
        <f t="shared" ref="BN1629:BN1692" si="267">IF($B1629="","",TEXT($BL1629,"00")&amp;"|"&amp;$B1629&amp;"|"&amp;TEXT($BH1629,"yyyymmdd"))</f>
        <v/>
      </c>
      <c r="BO1629" s="9">
        <f t="shared" ref="BO1629:BO1692" si="268">IF(OR($BB1629="YES",$BB1629="Yes",$BB1629="Y",$BB1629=1),1,0)</f>
        <v>0</v>
      </c>
      <c r="BR1629" s="12" t="str">
        <f t="shared" ref="BR1629:BR1692" si="269">IF($C1629="","",IF($C1629&gt;=DATE(2026,6,1),"QA-2026-06",IF($C1629&gt;=DATE(2026,5,1),"May 2026+",IF($C1629&gt;=DATE(2026,4,1),"April 2026",IF($C1629&gt;=DATE(2026,3,1),"March 2026","Jan-Feb 2026")))))</f>
        <v/>
      </c>
    </row>
    <row r="1630" spans="1:70" ht="14.25" customHeight="1">
      <c r="A1630" s="26"/>
      <c r="C1630" s="26"/>
      <c r="D1630" s="27"/>
      <c r="E1630" s="27"/>
      <c r="BE1630" s="10" t="str">
        <f t="shared" si="260"/>
        <v/>
      </c>
      <c r="BF1630" s="8" t="str">
        <f t="shared" si="261"/>
        <v/>
      </c>
      <c r="BG1630" s="11" t="str">
        <f t="shared" si="262"/>
        <v/>
      </c>
      <c r="BH1630" s="8" t="str">
        <f t="shared" si="263"/>
        <v/>
      </c>
      <c r="BI1630" s="8" t="str">
        <f t="shared" si="264"/>
        <v/>
      </c>
      <c r="BJ1630" s="9" t="str">
        <f t="shared" si="265"/>
        <v/>
      </c>
      <c r="BK1630" s="9" t="str">
        <f>IF($B1630="","",COUNTIFS($B$5:$B1630,$B1630,$BF$5:$BF1630,$BF1630))</f>
        <v/>
      </c>
      <c r="BL1630" s="9" t="str">
        <f>IF($B1630="","",COUNTIFS($B$5:$B1630,$B1630,$BH$5:$BH1630,$BH1630))</f>
        <v/>
      </c>
      <c r="BM1630" s="9" t="str">
        <f t="shared" si="266"/>
        <v/>
      </c>
      <c r="BN1630" s="9" t="str">
        <f t="shared" si="267"/>
        <v/>
      </c>
      <c r="BO1630" s="9">
        <f t="shared" si="268"/>
        <v>0</v>
      </c>
      <c r="BR1630" s="12" t="str">
        <f t="shared" si="269"/>
        <v/>
      </c>
    </row>
    <row r="1631" spans="1:70" ht="14.25" customHeight="1">
      <c r="A1631" s="26"/>
      <c r="C1631" s="26"/>
      <c r="D1631" s="27"/>
      <c r="E1631" s="27"/>
      <c r="BE1631" s="10" t="str">
        <f t="shared" si="260"/>
        <v/>
      </c>
      <c r="BF1631" s="8" t="str">
        <f t="shared" si="261"/>
        <v/>
      </c>
      <c r="BG1631" s="11" t="str">
        <f t="shared" si="262"/>
        <v/>
      </c>
      <c r="BH1631" s="8" t="str">
        <f t="shared" si="263"/>
        <v/>
      </c>
      <c r="BI1631" s="8" t="str">
        <f t="shared" si="264"/>
        <v/>
      </c>
      <c r="BJ1631" s="9" t="str">
        <f t="shared" si="265"/>
        <v/>
      </c>
      <c r="BK1631" s="9" t="str">
        <f>IF($B1631="","",COUNTIFS($B$5:$B1631,$B1631,$BF$5:$BF1631,$BF1631))</f>
        <v/>
      </c>
      <c r="BL1631" s="9" t="str">
        <f>IF($B1631="","",COUNTIFS($B$5:$B1631,$B1631,$BH$5:$BH1631,$BH1631))</f>
        <v/>
      </c>
      <c r="BM1631" s="9" t="str">
        <f t="shared" si="266"/>
        <v/>
      </c>
      <c r="BN1631" s="9" t="str">
        <f t="shared" si="267"/>
        <v/>
      </c>
      <c r="BO1631" s="9">
        <f t="shared" si="268"/>
        <v>0</v>
      </c>
      <c r="BR1631" s="12" t="str">
        <f t="shared" si="269"/>
        <v/>
      </c>
    </row>
    <row r="1632" spans="1:70" ht="14.25" customHeight="1">
      <c r="A1632" s="26"/>
      <c r="C1632" s="26"/>
      <c r="D1632" s="27"/>
      <c r="E1632" s="27"/>
      <c r="BE1632" s="10" t="str">
        <f t="shared" si="260"/>
        <v/>
      </c>
      <c r="BF1632" s="8" t="str">
        <f t="shared" si="261"/>
        <v/>
      </c>
      <c r="BG1632" s="11" t="str">
        <f t="shared" si="262"/>
        <v/>
      </c>
      <c r="BH1632" s="8" t="str">
        <f t="shared" si="263"/>
        <v/>
      </c>
      <c r="BI1632" s="8" t="str">
        <f t="shared" si="264"/>
        <v/>
      </c>
      <c r="BJ1632" s="9" t="str">
        <f t="shared" si="265"/>
        <v/>
      </c>
      <c r="BK1632" s="9" t="str">
        <f>IF($B1632="","",COUNTIFS($B$5:$B1632,$B1632,$BF$5:$BF1632,$BF1632))</f>
        <v/>
      </c>
      <c r="BL1632" s="9" t="str">
        <f>IF($B1632="","",COUNTIFS($B$5:$B1632,$B1632,$BH$5:$BH1632,$BH1632))</f>
        <v/>
      </c>
      <c r="BM1632" s="9" t="str">
        <f t="shared" si="266"/>
        <v/>
      </c>
      <c r="BN1632" s="9" t="str">
        <f t="shared" si="267"/>
        <v/>
      </c>
      <c r="BO1632" s="9">
        <f t="shared" si="268"/>
        <v>0</v>
      </c>
      <c r="BR1632" s="12" t="str">
        <f t="shared" si="269"/>
        <v/>
      </c>
    </row>
    <row r="1633" spans="1:70" ht="14.25" customHeight="1">
      <c r="A1633" s="26"/>
      <c r="C1633" s="26"/>
      <c r="D1633" s="27"/>
      <c r="E1633" s="27"/>
      <c r="BE1633" s="10" t="str">
        <f t="shared" si="260"/>
        <v/>
      </c>
      <c r="BF1633" s="8" t="str">
        <f t="shared" si="261"/>
        <v/>
      </c>
      <c r="BG1633" s="11" t="str">
        <f t="shared" si="262"/>
        <v/>
      </c>
      <c r="BH1633" s="8" t="str">
        <f t="shared" si="263"/>
        <v/>
      </c>
      <c r="BI1633" s="8" t="str">
        <f t="shared" si="264"/>
        <v/>
      </c>
      <c r="BJ1633" s="9" t="str">
        <f t="shared" si="265"/>
        <v/>
      </c>
      <c r="BK1633" s="9" t="str">
        <f>IF($B1633="","",COUNTIFS($B$5:$B1633,$B1633,$BF$5:$BF1633,$BF1633))</f>
        <v/>
      </c>
      <c r="BL1633" s="9" t="str">
        <f>IF($B1633="","",COUNTIFS($B$5:$B1633,$B1633,$BH$5:$BH1633,$BH1633))</f>
        <v/>
      </c>
      <c r="BM1633" s="9" t="str">
        <f t="shared" si="266"/>
        <v/>
      </c>
      <c r="BN1633" s="9" t="str">
        <f t="shared" si="267"/>
        <v/>
      </c>
      <c r="BO1633" s="9">
        <f t="shared" si="268"/>
        <v>0</v>
      </c>
      <c r="BR1633" s="12" t="str">
        <f t="shared" si="269"/>
        <v/>
      </c>
    </row>
    <row r="1634" spans="1:70" ht="14.25" customHeight="1">
      <c r="A1634" s="26"/>
      <c r="C1634" s="26"/>
      <c r="D1634" s="27"/>
      <c r="E1634" s="27"/>
      <c r="BE1634" s="10" t="str">
        <f t="shared" si="260"/>
        <v/>
      </c>
      <c r="BF1634" s="8" t="str">
        <f t="shared" si="261"/>
        <v/>
      </c>
      <c r="BG1634" s="11" t="str">
        <f t="shared" si="262"/>
        <v/>
      </c>
      <c r="BH1634" s="8" t="str">
        <f t="shared" si="263"/>
        <v/>
      </c>
      <c r="BI1634" s="8" t="str">
        <f t="shared" si="264"/>
        <v/>
      </c>
      <c r="BJ1634" s="9" t="str">
        <f t="shared" si="265"/>
        <v/>
      </c>
      <c r="BK1634" s="9" t="str">
        <f>IF($B1634="","",COUNTIFS($B$5:$B1634,$B1634,$BF$5:$BF1634,$BF1634))</f>
        <v/>
      </c>
      <c r="BL1634" s="9" t="str">
        <f>IF($B1634="","",COUNTIFS($B$5:$B1634,$B1634,$BH$5:$BH1634,$BH1634))</f>
        <v/>
      </c>
      <c r="BM1634" s="9" t="str">
        <f t="shared" si="266"/>
        <v/>
      </c>
      <c r="BN1634" s="9" t="str">
        <f t="shared" si="267"/>
        <v/>
      </c>
      <c r="BO1634" s="9">
        <f t="shared" si="268"/>
        <v>0</v>
      </c>
      <c r="BR1634" s="12" t="str">
        <f t="shared" si="269"/>
        <v/>
      </c>
    </row>
    <row r="1635" spans="1:70" ht="14.25" customHeight="1">
      <c r="A1635" s="26"/>
      <c r="C1635" s="26"/>
      <c r="D1635" s="27"/>
      <c r="E1635" s="27"/>
      <c r="BE1635" s="10" t="str">
        <f t="shared" si="260"/>
        <v/>
      </c>
      <c r="BF1635" s="8" t="str">
        <f t="shared" si="261"/>
        <v/>
      </c>
      <c r="BG1635" s="11" t="str">
        <f t="shared" si="262"/>
        <v/>
      </c>
      <c r="BH1635" s="8" t="str">
        <f t="shared" si="263"/>
        <v/>
      </c>
      <c r="BI1635" s="8" t="str">
        <f t="shared" si="264"/>
        <v/>
      </c>
      <c r="BJ1635" s="9" t="str">
        <f t="shared" si="265"/>
        <v/>
      </c>
      <c r="BK1635" s="9" t="str">
        <f>IF($B1635="","",COUNTIFS($B$5:$B1635,$B1635,$BF$5:$BF1635,$BF1635))</f>
        <v/>
      </c>
      <c r="BL1635" s="9" t="str">
        <f>IF($B1635="","",COUNTIFS($B$5:$B1635,$B1635,$BH$5:$BH1635,$BH1635))</f>
        <v/>
      </c>
      <c r="BM1635" s="9" t="str">
        <f t="shared" si="266"/>
        <v/>
      </c>
      <c r="BN1635" s="9" t="str">
        <f t="shared" si="267"/>
        <v/>
      </c>
      <c r="BO1635" s="9">
        <f t="shared" si="268"/>
        <v>0</v>
      </c>
      <c r="BR1635" s="12" t="str">
        <f t="shared" si="269"/>
        <v/>
      </c>
    </row>
    <row r="1636" spans="1:70" ht="14.25" customHeight="1">
      <c r="A1636" s="26"/>
      <c r="C1636" s="26"/>
      <c r="D1636" s="27"/>
      <c r="E1636" s="27"/>
      <c r="BE1636" s="10" t="str">
        <f t="shared" si="260"/>
        <v/>
      </c>
      <c r="BF1636" s="8" t="str">
        <f t="shared" si="261"/>
        <v/>
      </c>
      <c r="BG1636" s="11" t="str">
        <f t="shared" si="262"/>
        <v/>
      </c>
      <c r="BH1636" s="8" t="str">
        <f t="shared" si="263"/>
        <v/>
      </c>
      <c r="BI1636" s="8" t="str">
        <f t="shared" si="264"/>
        <v/>
      </c>
      <c r="BJ1636" s="9" t="str">
        <f t="shared" si="265"/>
        <v/>
      </c>
      <c r="BK1636" s="9" t="str">
        <f>IF($B1636="","",COUNTIFS($B$5:$B1636,$B1636,$BF$5:$BF1636,$BF1636))</f>
        <v/>
      </c>
      <c r="BL1636" s="9" t="str">
        <f>IF($B1636="","",COUNTIFS($B$5:$B1636,$B1636,$BH$5:$BH1636,$BH1636))</f>
        <v/>
      </c>
      <c r="BM1636" s="9" t="str">
        <f t="shared" si="266"/>
        <v/>
      </c>
      <c r="BN1636" s="9" t="str">
        <f t="shared" si="267"/>
        <v/>
      </c>
      <c r="BO1636" s="9">
        <f t="shared" si="268"/>
        <v>0</v>
      </c>
      <c r="BR1636" s="12" t="str">
        <f t="shared" si="269"/>
        <v/>
      </c>
    </row>
    <row r="1637" spans="1:70" ht="14.25" customHeight="1">
      <c r="A1637" s="26"/>
      <c r="C1637" s="26"/>
      <c r="D1637" s="27"/>
      <c r="E1637" s="27"/>
      <c r="BE1637" s="10" t="str">
        <f t="shared" si="260"/>
        <v/>
      </c>
      <c r="BF1637" s="8" t="str">
        <f t="shared" si="261"/>
        <v/>
      </c>
      <c r="BG1637" s="11" t="str">
        <f t="shared" si="262"/>
        <v/>
      </c>
      <c r="BH1637" s="8" t="str">
        <f t="shared" si="263"/>
        <v/>
      </c>
      <c r="BI1637" s="8" t="str">
        <f t="shared" si="264"/>
        <v/>
      </c>
      <c r="BJ1637" s="9" t="str">
        <f t="shared" si="265"/>
        <v/>
      </c>
      <c r="BK1637" s="9" t="str">
        <f>IF($B1637="","",COUNTIFS($B$5:$B1637,$B1637,$BF$5:$BF1637,$BF1637))</f>
        <v/>
      </c>
      <c r="BL1637" s="9" t="str">
        <f>IF($B1637="","",COUNTIFS($B$5:$B1637,$B1637,$BH$5:$BH1637,$BH1637))</f>
        <v/>
      </c>
      <c r="BM1637" s="9" t="str">
        <f t="shared" si="266"/>
        <v/>
      </c>
      <c r="BN1637" s="9" t="str">
        <f t="shared" si="267"/>
        <v/>
      </c>
      <c r="BO1637" s="9">
        <f t="shared" si="268"/>
        <v>0</v>
      </c>
      <c r="BR1637" s="12" t="str">
        <f t="shared" si="269"/>
        <v/>
      </c>
    </row>
    <row r="1638" spans="1:70" ht="14.25" customHeight="1">
      <c r="A1638" s="26"/>
      <c r="C1638" s="26"/>
      <c r="D1638" s="27"/>
      <c r="E1638" s="27"/>
      <c r="BE1638" s="10" t="str">
        <f t="shared" si="260"/>
        <v/>
      </c>
      <c r="BF1638" s="8" t="str">
        <f t="shared" si="261"/>
        <v/>
      </c>
      <c r="BG1638" s="11" t="str">
        <f t="shared" si="262"/>
        <v/>
      </c>
      <c r="BH1638" s="8" t="str">
        <f t="shared" si="263"/>
        <v/>
      </c>
      <c r="BI1638" s="8" t="str">
        <f t="shared" si="264"/>
        <v/>
      </c>
      <c r="BJ1638" s="9" t="str">
        <f t="shared" si="265"/>
        <v/>
      </c>
      <c r="BK1638" s="9" t="str">
        <f>IF($B1638="","",COUNTIFS($B$5:$B1638,$B1638,$BF$5:$BF1638,$BF1638))</f>
        <v/>
      </c>
      <c r="BL1638" s="9" t="str">
        <f>IF($B1638="","",COUNTIFS($B$5:$B1638,$B1638,$BH$5:$BH1638,$BH1638))</f>
        <v/>
      </c>
      <c r="BM1638" s="9" t="str">
        <f t="shared" si="266"/>
        <v/>
      </c>
      <c r="BN1638" s="9" t="str">
        <f t="shared" si="267"/>
        <v/>
      </c>
      <c r="BO1638" s="9">
        <f t="shared" si="268"/>
        <v>0</v>
      </c>
      <c r="BR1638" s="12" t="str">
        <f t="shared" si="269"/>
        <v/>
      </c>
    </row>
    <row r="1639" spans="1:70" ht="14.25" customHeight="1">
      <c r="A1639" s="26"/>
      <c r="C1639" s="26"/>
      <c r="D1639" s="27"/>
      <c r="E1639" s="27"/>
      <c r="BE1639" s="10" t="str">
        <f t="shared" si="260"/>
        <v/>
      </c>
      <c r="BF1639" s="8" t="str">
        <f t="shared" si="261"/>
        <v/>
      </c>
      <c r="BG1639" s="11" t="str">
        <f t="shared" si="262"/>
        <v/>
      </c>
      <c r="BH1639" s="8" t="str">
        <f t="shared" si="263"/>
        <v/>
      </c>
      <c r="BI1639" s="8" t="str">
        <f t="shared" si="264"/>
        <v/>
      </c>
      <c r="BJ1639" s="9" t="str">
        <f t="shared" si="265"/>
        <v/>
      </c>
      <c r="BK1639" s="9" t="str">
        <f>IF($B1639="","",COUNTIFS($B$5:$B1639,$B1639,$BF$5:$BF1639,$BF1639))</f>
        <v/>
      </c>
      <c r="BL1639" s="9" t="str">
        <f>IF($B1639="","",COUNTIFS($B$5:$B1639,$B1639,$BH$5:$BH1639,$BH1639))</f>
        <v/>
      </c>
      <c r="BM1639" s="9" t="str">
        <f t="shared" si="266"/>
        <v/>
      </c>
      <c r="BN1639" s="9" t="str">
        <f t="shared" si="267"/>
        <v/>
      </c>
      <c r="BO1639" s="9">
        <f t="shared" si="268"/>
        <v>0</v>
      </c>
      <c r="BR1639" s="12" t="str">
        <f t="shared" si="269"/>
        <v/>
      </c>
    </row>
    <row r="1640" spans="1:70" ht="14.25" customHeight="1">
      <c r="A1640" s="26"/>
      <c r="C1640" s="26"/>
      <c r="D1640" s="27"/>
      <c r="E1640" s="27"/>
      <c r="BE1640" s="10" t="str">
        <f t="shared" si="260"/>
        <v/>
      </c>
      <c r="BF1640" s="8" t="str">
        <f t="shared" si="261"/>
        <v/>
      </c>
      <c r="BG1640" s="11" t="str">
        <f t="shared" si="262"/>
        <v/>
      </c>
      <c r="BH1640" s="8" t="str">
        <f t="shared" si="263"/>
        <v/>
      </c>
      <c r="BI1640" s="8" t="str">
        <f t="shared" si="264"/>
        <v/>
      </c>
      <c r="BJ1640" s="9" t="str">
        <f t="shared" si="265"/>
        <v/>
      </c>
      <c r="BK1640" s="9" t="str">
        <f>IF($B1640="","",COUNTIFS($B$5:$B1640,$B1640,$BF$5:$BF1640,$BF1640))</f>
        <v/>
      </c>
      <c r="BL1640" s="9" t="str">
        <f>IF($B1640="","",COUNTIFS($B$5:$B1640,$B1640,$BH$5:$BH1640,$BH1640))</f>
        <v/>
      </c>
      <c r="BM1640" s="9" t="str">
        <f t="shared" si="266"/>
        <v/>
      </c>
      <c r="BN1640" s="9" t="str">
        <f t="shared" si="267"/>
        <v/>
      </c>
      <c r="BO1640" s="9">
        <f t="shared" si="268"/>
        <v>0</v>
      </c>
      <c r="BR1640" s="12" t="str">
        <f t="shared" si="269"/>
        <v/>
      </c>
    </row>
    <row r="1641" spans="1:70" ht="14.25" customHeight="1">
      <c r="A1641" s="26"/>
      <c r="C1641" s="26"/>
      <c r="D1641" s="27"/>
      <c r="E1641" s="27"/>
      <c r="BE1641" s="10" t="str">
        <f t="shared" si="260"/>
        <v/>
      </c>
      <c r="BF1641" s="8" t="str">
        <f t="shared" si="261"/>
        <v/>
      </c>
      <c r="BG1641" s="11" t="str">
        <f t="shared" si="262"/>
        <v/>
      </c>
      <c r="BH1641" s="8" t="str">
        <f t="shared" si="263"/>
        <v/>
      </c>
      <c r="BI1641" s="8" t="str">
        <f t="shared" si="264"/>
        <v/>
      </c>
      <c r="BJ1641" s="9" t="str">
        <f t="shared" si="265"/>
        <v/>
      </c>
      <c r="BK1641" s="9" t="str">
        <f>IF($B1641="","",COUNTIFS($B$5:$B1641,$B1641,$BF$5:$BF1641,$BF1641))</f>
        <v/>
      </c>
      <c r="BL1641" s="9" t="str">
        <f>IF($B1641="","",COUNTIFS($B$5:$B1641,$B1641,$BH$5:$BH1641,$BH1641))</f>
        <v/>
      </c>
      <c r="BM1641" s="9" t="str">
        <f t="shared" si="266"/>
        <v/>
      </c>
      <c r="BN1641" s="9" t="str">
        <f t="shared" si="267"/>
        <v/>
      </c>
      <c r="BO1641" s="9">
        <f t="shared" si="268"/>
        <v>0</v>
      </c>
      <c r="BR1641" s="12" t="str">
        <f t="shared" si="269"/>
        <v/>
      </c>
    </row>
    <row r="1642" spans="1:70" ht="14.25" customHeight="1">
      <c r="A1642" s="26"/>
      <c r="C1642" s="26"/>
      <c r="D1642" s="27"/>
      <c r="E1642" s="27"/>
      <c r="BE1642" s="10" t="str">
        <f t="shared" si="260"/>
        <v/>
      </c>
      <c r="BF1642" s="8" t="str">
        <f t="shared" si="261"/>
        <v/>
      </c>
      <c r="BG1642" s="11" t="str">
        <f t="shared" si="262"/>
        <v/>
      </c>
      <c r="BH1642" s="8" t="str">
        <f t="shared" si="263"/>
        <v/>
      </c>
      <c r="BI1642" s="8" t="str">
        <f t="shared" si="264"/>
        <v/>
      </c>
      <c r="BJ1642" s="9" t="str">
        <f t="shared" si="265"/>
        <v/>
      </c>
      <c r="BK1642" s="9" t="str">
        <f>IF($B1642="","",COUNTIFS($B$5:$B1642,$B1642,$BF$5:$BF1642,$BF1642))</f>
        <v/>
      </c>
      <c r="BL1642" s="9" t="str">
        <f>IF($B1642="","",COUNTIFS($B$5:$B1642,$B1642,$BH$5:$BH1642,$BH1642))</f>
        <v/>
      </c>
      <c r="BM1642" s="9" t="str">
        <f t="shared" si="266"/>
        <v/>
      </c>
      <c r="BN1642" s="9" t="str">
        <f t="shared" si="267"/>
        <v/>
      </c>
      <c r="BO1642" s="9">
        <f t="shared" si="268"/>
        <v>0</v>
      </c>
      <c r="BR1642" s="12" t="str">
        <f t="shared" si="269"/>
        <v/>
      </c>
    </row>
    <row r="1643" spans="1:70" ht="14.25" customHeight="1">
      <c r="A1643" s="26"/>
      <c r="C1643" s="26"/>
      <c r="D1643" s="27"/>
      <c r="E1643" s="27"/>
      <c r="BE1643" s="10" t="str">
        <f t="shared" si="260"/>
        <v/>
      </c>
      <c r="BF1643" s="8" t="str">
        <f t="shared" si="261"/>
        <v/>
      </c>
      <c r="BG1643" s="11" t="str">
        <f t="shared" si="262"/>
        <v/>
      </c>
      <c r="BH1643" s="8" t="str">
        <f t="shared" si="263"/>
        <v/>
      </c>
      <c r="BI1643" s="8" t="str">
        <f t="shared" si="264"/>
        <v/>
      </c>
      <c r="BJ1643" s="9" t="str">
        <f t="shared" si="265"/>
        <v/>
      </c>
      <c r="BK1643" s="9" t="str">
        <f>IF($B1643="","",COUNTIFS($B$5:$B1643,$B1643,$BF$5:$BF1643,$BF1643))</f>
        <v/>
      </c>
      <c r="BL1643" s="9" t="str">
        <f>IF($B1643="","",COUNTIFS($B$5:$B1643,$B1643,$BH$5:$BH1643,$BH1643))</f>
        <v/>
      </c>
      <c r="BM1643" s="9" t="str">
        <f t="shared" si="266"/>
        <v/>
      </c>
      <c r="BN1643" s="9" t="str">
        <f t="shared" si="267"/>
        <v/>
      </c>
      <c r="BO1643" s="9">
        <f t="shared" si="268"/>
        <v>0</v>
      </c>
      <c r="BR1643" s="12" t="str">
        <f t="shared" si="269"/>
        <v/>
      </c>
    </row>
    <row r="1644" spans="1:70" ht="14.25" customHeight="1">
      <c r="A1644" s="26"/>
      <c r="C1644" s="26"/>
      <c r="D1644" s="27"/>
      <c r="E1644" s="27"/>
      <c r="BE1644" s="10" t="str">
        <f t="shared" si="260"/>
        <v/>
      </c>
      <c r="BF1644" s="8" t="str">
        <f t="shared" si="261"/>
        <v/>
      </c>
      <c r="BG1644" s="11" t="str">
        <f t="shared" si="262"/>
        <v/>
      </c>
      <c r="BH1644" s="8" t="str">
        <f t="shared" si="263"/>
        <v/>
      </c>
      <c r="BI1644" s="8" t="str">
        <f t="shared" si="264"/>
        <v/>
      </c>
      <c r="BJ1644" s="9" t="str">
        <f t="shared" si="265"/>
        <v/>
      </c>
      <c r="BK1644" s="9" t="str">
        <f>IF($B1644="","",COUNTIFS($B$5:$B1644,$B1644,$BF$5:$BF1644,$BF1644))</f>
        <v/>
      </c>
      <c r="BL1644" s="9" t="str">
        <f>IF($B1644="","",COUNTIFS($B$5:$B1644,$B1644,$BH$5:$BH1644,$BH1644))</f>
        <v/>
      </c>
      <c r="BM1644" s="9" t="str">
        <f t="shared" si="266"/>
        <v/>
      </c>
      <c r="BN1644" s="9" t="str">
        <f t="shared" si="267"/>
        <v/>
      </c>
      <c r="BO1644" s="9">
        <f t="shared" si="268"/>
        <v>0</v>
      </c>
      <c r="BR1644" s="12" t="str">
        <f t="shared" si="269"/>
        <v/>
      </c>
    </row>
    <row r="1645" spans="1:70" ht="14.25" customHeight="1">
      <c r="A1645" s="26"/>
      <c r="C1645" s="26"/>
      <c r="D1645" s="27"/>
      <c r="E1645" s="27"/>
      <c r="BE1645" s="10" t="str">
        <f t="shared" si="260"/>
        <v/>
      </c>
      <c r="BF1645" s="8" t="str">
        <f t="shared" si="261"/>
        <v/>
      </c>
      <c r="BG1645" s="11" t="str">
        <f t="shared" si="262"/>
        <v/>
      </c>
      <c r="BH1645" s="8" t="str">
        <f t="shared" si="263"/>
        <v/>
      </c>
      <c r="BI1645" s="8" t="str">
        <f t="shared" si="264"/>
        <v/>
      </c>
      <c r="BJ1645" s="9" t="str">
        <f t="shared" si="265"/>
        <v/>
      </c>
      <c r="BK1645" s="9" t="str">
        <f>IF($B1645="","",COUNTIFS($B$5:$B1645,$B1645,$BF$5:$BF1645,$BF1645))</f>
        <v/>
      </c>
      <c r="BL1645" s="9" t="str">
        <f>IF($B1645="","",COUNTIFS($B$5:$B1645,$B1645,$BH$5:$BH1645,$BH1645))</f>
        <v/>
      </c>
      <c r="BM1645" s="9" t="str">
        <f t="shared" si="266"/>
        <v/>
      </c>
      <c r="BN1645" s="9" t="str">
        <f t="shared" si="267"/>
        <v/>
      </c>
      <c r="BO1645" s="9">
        <f t="shared" si="268"/>
        <v>0</v>
      </c>
      <c r="BR1645" s="12" t="str">
        <f t="shared" si="269"/>
        <v/>
      </c>
    </row>
    <row r="1646" spans="1:70" ht="14.25" customHeight="1">
      <c r="A1646" s="26"/>
      <c r="C1646" s="26"/>
      <c r="D1646" s="27"/>
      <c r="E1646" s="27"/>
      <c r="BE1646" s="10" t="str">
        <f t="shared" si="260"/>
        <v/>
      </c>
      <c r="BF1646" s="8" t="str">
        <f t="shared" si="261"/>
        <v/>
      </c>
      <c r="BG1646" s="11" t="str">
        <f t="shared" si="262"/>
        <v/>
      </c>
      <c r="BH1646" s="8" t="str">
        <f t="shared" si="263"/>
        <v/>
      </c>
      <c r="BI1646" s="8" t="str">
        <f t="shared" si="264"/>
        <v/>
      </c>
      <c r="BJ1646" s="9" t="str">
        <f t="shared" si="265"/>
        <v/>
      </c>
      <c r="BK1646" s="9" t="str">
        <f>IF($B1646="","",COUNTIFS($B$5:$B1646,$B1646,$BF$5:$BF1646,$BF1646))</f>
        <v/>
      </c>
      <c r="BL1646" s="9" t="str">
        <f>IF($B1646="","",COUNTIFS($B$5:$B1646,$B1646,$BH$5:$BH1646,$BH1646))</f>
        <v/>
      </c>
      <c r="BM1646" s="9" t="str">
        <f t="shared" si="266"/>
        <v/>
      </c>
      <c r="BN1646" s="9" t="str">
        <f t="shared" si="267"/>
        <v/>
      </c>
      <c r="BO1646" s="9">
        <f t="shared" si="268"/>
        <v>0</v>
      </c>
      <c r="BR1646" s="12" t="str">
        <f t="shared" si="269"/>
        <v/>
      </c>
    </row>
    <row r="1647" spans="1:70" ht="14.25" customHeight="1">
      <c r="A1647" s="26"/>
      <c r="C1647" s="26"/>
      <c r="D1647" s="27"/>
      <c r="E1647" s="27"/>
      <c r="BE1647" s="10" t="str">
        <f t="shared" si="260"/>
        <v/>
      </c>
      <c r="BF1647" s="8" t="str">
        <f t="shared" si="261"/>
        <v/>
      </c>
      <c r="BG1647" s="11" t="str">
        <f t="shared" si="262"/>
        <v/>
      </c>
      <c r="BH1647" s="8" t="str">
        <f t="shared" si="263"/>
        <v/>
      </c>
      <c r="BI1647" s="8" t="str">
        <f t="shared" si="264"/>
        <v/>
      </c>
      <c r="BJ1647" s="9" t="str">
        <f t="shared" si="265"/>
        <v/>
      </c>
      <c r="BK1647" s="9" t="str">
        <f>IF($B1647="","",COUNTIFS($B$5:$B1647,$B1647,$BF$5:$BF1647,$BF1647))</f>
        <v/>
      </c>
      <c r="BL1647" s="9" t="str">
        <f>IF($B1647="","",COUNTIFS($B$5:$B1647,$B1647,$BH$5:$BH1647,$BH1647))</f>
        <v/>
      </c>
      <c r="BM1647" s="9" t="str">
        <f t="shared" si="266"/>
        <v/>
      </c>
      <c r="BN1647" s="9" t="str">
        <f t="shared" si="267"/>
        <v/>
      </c>
      <c r="BO1647" s="9">
        <f t="shared" si="268"/>
        <v>0</v>
      </c>
      <c r="BR1647" s="12" t="str">
        <f t="shared" si="269"/>
        <v/>
      </c>
    </row>
    <row r="1648" spans="1:70" ht="14.25" customHeight="1">
      <c r="A1648" s="26"/>
      <c r="C1648" s="26"/>
      <c r="D1648" s="27"/>
      <c r="E1648" s="27"/>
      <c r="BE1648" s="10" t="str">
        <f t="shared" si="260"/>
        <v/>
      </c>
      <c r="BF1648" s="8" t="str">
        <f t="shared" si="261"/>
        <v/>
      </c>
      <c r="BG1648" s="11" t="str">
        <f t="shared" si="262"/>
        <v/>
      </c>
      <c r="BH1648" s="8" t="str">
        <f t="shared" si="263"/>
        <v/>
      </c>
      <c r="BI1648" s="8" t="str">
        <f t="shared" si="264"/>
        <v/>
      </c>
      <c r="BJ1648" s="9" t="str">
        <f t="shared" si="265"/>
        <v/>
      </c>
      <c r="BK1648" s="9" t="str">
        <f>IF($B1648="","",COUNTIFS($B$5:$B1648,$B1648,$BF$5:$BF1648,$BF1648))</f>
        <v/>
      </c>
      <c r="BL1648" s="9" t="str">
        <f>IF($B1648="","",COUNTIFS($B$5:$B1648,$B1648,$BH$5:$BH1648,$BH1648))</f>
        <v/>
      </c>
      <c r="BM1648" s="9" t="str">
        <f t="shared" si="266"/>
        <v/>
      </c>
      <c r="BN1648" s="9" t="str">
        <f t="shared" si="267"/>
        <v/>
      </c>
      <c r="BO1648" s="9">
        <f t="shared" si="268"/>
        <v>0</v>
      </c>
      <c r="BR1648" s="12" t="str">
        <f t="shared" si="269"/>
        <v/>
      </c>
    </row>
    <row r="1649" spans="1:70" ht="14.25" customHeight="1">
      <c r="A1649" s="26"/>
      <c r="C1649" s="26"/>
      <c r="D1649" s="27"/>
      <c r="E1649" s="27"/>
      <c r="BE1649" s="10" t="str">
        <f t="shared" si="260"/>
        <v/>
      </c>
      <c r="BF1649" s="8" t="str">
        <f t="shared" si="261"/>
        <v/>
      </c>
      <c r="BG1649" s="11" t="str">
        <f t="shared" si="262"/>
        <v/>
      </c>
      <c r="BH1649" s="8" t="str">
        <f t="shared" si="263"/>
        <v/>
      </c>
      <c r="BI1649" s="8" t="str">
        <f t="shared" si="264"/>
        <v/>
      </c>
      <c r="BJ1649" s="9" t="str">
        <f t="shared" si="265"/>
        <v/>
      </c>
      <c r="BK1649" s="9" t="str">
        <f>IF($B1649="","",COUNTIFS($B$5:$B1649,$B1649,$BF$5:$BF1649,$BF1649))</f>
        <v/>
      </c>
      <c r="BL1649" s="9" t="str">
        <f>IF($B1649="","",COUNTIFS($B$5:$B1649,$B1649,$BH$5:$BH1649,$BH1649))</f>
        <v/>
      </c>
      <c r="BM1649" s="9" t="str">
        <f t="shared" si="266"/>
        <v/>
      </c>
      <c r="BN1649" s="9" t="str">
        <f t="shared" si="267"/>
        <v/>
      </c>
      <c r="BO1649" s="9">
        <f t="shared" si="268"/>
        <v>0</v>
      </c>
      <c r="BR1649" s="12" t="str">
        <f t="shared" si="269"/>
        <v/>
      </c>
    </row>
    <row r="1650" spans="1:70" ht="14.25" customHeight="1">
      <c r="A1650" s="26"/>
      <c r="C1650" s="26"/>
      <c r="D1650" s="27"/>
      <c r="E1650" s="27"/>
      <c r="BE1650" s="10" t="str">
        <f t="shared" si="260"/>
        <v/>
      </c>
      <c r="BF1650" s="8" t="str">
        <f t="shared" si="261"/>
        <v/>
      </c>
      <c r="BG1650" s="11" t="str">
        <f t="shared" si="262"/>
        <v/>
      </c>
      <c r="BH1650" s="8" t="str">
        <f t="shared" si="263"/>
        <v/>
      </c>
      <c r="BI1650" s="8" t="str">
        <f t="shared" si="264"/>
        <v/>
      </c>
      <c r="BJ1650" s="9" t="str">
        <f t="shared" si="265"/>
        <v/>
      </c>
      <c r="BK1650" s="9" t="str">
        <f>IF($B1650="","",COUNTIFS($B$5:$B1650,$B1650,$BF$5:$BF1650,$BF1650))</f>
        <v/>
      </c>
      <c r="BL1650" s="9" t="str">
        <f>IF($B1650="","",COUNTIFS($B$5:$B1650,$B1650,$BH$5:$BH1650,$BH1650))</f>
        <v/>
      </c>
      <c r="BM1650" s="9" t="str">
        <f t="shared" si="266"/>
        <v/>
      </c>
      <c r="BN1650" s="9" t="str">
        <f t="shared" si="267"/>
        <v/>
      </c>
      <c r="BO1650" s="9">
        <f t="shared" si="268"/>
        <v>0</v>
      </c>
      <c r="BR1650" s="12" t="str">
        <f t="shared" si="269"/>
        <v/>
      </c>
    </row>
    <row r="1651" spans="1:70" ht="14.25" customHeight="1">
      <c r="A1651" s="26"/>
      <c r="C1651" s="26"/>
      <c r="D1651" s="27"/>
      <c r="E1651" s="27"/>
      <c r="BE1651" s="10" t="str">
        <f t="shared" si="260"/>
        <v/>
      </c>
      <c r="BF1651" s="8" t="str">
        <f t="shared" si="261"/>
        <v/>
      </c>
      <c r="BG1651" s="11" t="str">
        <f t="shared" si="262"/>
        <v/>
      </c>
      <c r="BH1651" s="8" t="str">
        <f t="shared" si="263"/>
        <v/>
      </c>
      <c r="BI1651" s="8" t="str">
        <f t="shared" si="264"/>
        <v/>
      </c>
      <c r="BJ1651" s="9" t="str">
        <f t="shared" si="265"/>
        <v/>
      </c>
      <c r="BK1651" s="9" t="str">
        <f>IF($B1651="","",COUNTIFS($B$5:$B1651,$B1651,$BF$5:$BF1651,$BF1651))</f>
        <v/>
      </c>
      <c r="BL1651" s="9" t="str">
        <f>IF($B1651="","",COUNTIFS($B$5:$B1651,$B1651,$BH$5:$BH1651,$BH1651))</f>
        <v/>
      </c>
      <c r="BM1651" s="9" t="str">
        <f t="shared" si="266"/>
        <v/>
      </c>
      <c r="BN1651" s="9" t="str">
        <f t="shared" si="267"/>
        <v/>
      </c>
      <c r="BO1651" s="9">
        <f t="shared" si="268"/>
        <v>0</v>
      </c>
      <c r="BR1651" s="12" t="str">
        <f t="shared" si="269"/>
        <v/>
      </c>
    </row>
    <row r="1652" spans="1:70" ht="14.25" customHeight="1">
      <c r="A1652" s="26"/>
      <c r="C1652" s="26"/>
      <c r="D1652" s="27"/>
      <c r="E1652" s="27"/>
      <c r="BE1652" s="10" t="str">
        <f t="shared" si="260"/>
        <v/>
      </c>
      <c r="BF1652" s="8" t="str">
        <f t="shared" si="261"/>
        <v/>
      </c>
      <c r="BG1652" s="11" t="str">
        <f t="shared" si="262"/>
        <v/>
      </c>
      <c r="BH1652" s="8" t="str">
        <f t="shared" si="263"/>
        <v/>
      </c>
      <c r="BI1652" s="8" t="str">
        <f t="shared" si="264"/>
        <v/>
      </c>
      <c r="BJ1652" s="9" t="str">
        <f t="shared" si="265"/>
        <v/>
      </c>
      <c r="BK1652" s="9" t="str">
        <f>IF($B1652="","",COUNTIFS($B$5:$B1652,$B1652,$BF$5:$BF1652,$BF1652))</f>
        <v/>
      </c>
      <c r="BL1652" s="9" t="str">
        <f>IF($B1652="","",COUNTIFS($B$5:$B1652,$B1652,$BH$5:$BH1652,$BH1652))</f>
        <v/>
      </c>
      <c r="BM1652" s="9" t="str">
        <f t="shared" si="266"/>
        <v/>
      </c>
      <c r="BN1652" s="9" t="str">
        <f t="shared" si="267"/>
        <v/>
      </c>
      <c r="BO1652" s="9">
        <f t="shared" si="268"/>
        <v>0</v>
      </c>
      <c r="BR1652" s="12" t="str">
        <f t="shared" si="269"/>
        <v/>
      </c>
    </row>
    <row r="1653" spans="1:70" ht="14.25" customHeight="1">
      <c r="A1653" s="26"/>
      <c r="C1653" s="26"/>
      <c r="D1653" s="27"/>
      <c r="E1653" s="27"/>
      <c r="BE1653" s="10" t="str">
        <f t="shared" si="260"/>
        <v/>
      </c>
      <c r="BF1653" s="8" t="str">
        <f t="shared" si="261"/>
        <v/>
      </c>
      <c r="BG1653" s="11" t="str">
        <f t="shared" si="262"/>
        <v/>
      </c>
      <c r="BH1653" s="8" t="str">
        <f t="shared" si="263"/>
        <v/>
      </c>
      <c r="BI1653" s="8" t="str">
        <f t="shared" si="264"/>
        <v/>
      </c>
      <c r="BJ1653" s="9" t="str">
        <f t="shared" si="265"/>
        <v/>
      </c>
      <c r="BK1653" s="9" t="str">
        <f>IF($B1653="","",COUNTIFS($B$5:$B1653,$B1653,$BF$5:$BF1653,$BF1653))</f>
        <v/>
      </c>
      <c r="BL1653" s="9" t="str">
        <f>IF($B1653="","",COUNTIFS($B$5:$B1653,$B1653,$BH$5:$BH1653,$BH1653))</f>
        <v/>
      </c>
      <c r="BM1653" s="9" t="str">
        <f t="shared" si="266"/>
        <v/>
      </c>
      <c r="BN1653" s="9" t="str">
        <f t="shared" si="267"/>
        <v/>
      </c>
      <c r="BO1653" s="9">
        <f t="shared" si="268"/>
        <v>0</v>
      </c>
      <c r="BR1653" s="12" t="str">
        <f t="shared" si="269"/>
        <v/>
      </c>
    </row>
    <row r="1654" spans="1:70" ht="14.25" customHeight="1">
      <c r="A1654" s="26"/>
      <c r="C1654" s="26"/>
      <c r="D1654" s="27"/>
      <c r="E1654" s="27"/>
      <c r="BE1654" s="10" t="str">
        <f t="shared" si="260"/>
        <v/>
      </c>
      <c r="BF1654" s="8" t="str">
        <f t="shared" si="261"/>
        <v/>
      </c>
      <c r="BG1654" s="11" t="str">
        <f t="shared" si="262"/>
        <v/>
      </c>
      <c r="BH1654" s="8" t="str">
        <f t="shared" si="263"/>
        <v/>
      </c>
      <c r="BI1654" s="8" t="str">
        <f t="shared" si="264"/>
        <v/>
      </c>
      <c r="BJ1654" s="9" t="str">
        <f t="shared" si="265"/>
        <v/>
      </c>
      <c r="BK1654" s="9" t="str">
        <f>IF($B1654="","",COUNTIFS($B$5:$B1654,$B1654,$BF$5:$BF1654,$BF1654))</f>
        <v/>
      </c>
      <c r="BL1654" s="9" t="str">
        <f>IF($B1654="","",COUNTIFS($B$5:$B1654,$B1654,$BH$5:$BH1654,$BH1654))</f>
        <v/>
      </c>
      <c r="BM1654" s="9" t="str">
        <f t="shared" si="266"/>
        <v/>
      </c>
      <c r="BN1654" s="9" t="str">
        <f t="shared" si="267"/>
        <v/>
      </c>
      <c r="BO1654" s="9">
        <f t="shared" si="268"/>
        <v>0</v>
      </c>
      <c r="BR1654" s="12" t="str">
        <f t="shared" si="269"/>
        <v/>
      </c>
    </row>
    <row r="1655" spans="1:70" ht="14.25" customHeight="1">
      <c r="A1655" s="26"/>
      <c r="C1655" s="26"/>
      <c r="D1655" s="27"/>
      <c r="E1655" s="27"/>
      <c r="BE1655" s="10" t="str">
        <f t="shared" si="260"/>
        <v/>
      </c>
      <c r="BF1655" s="8" t="str">
        <f t="shared" si="261"/>
        <v/>
      </c>
      <c r="BG1655" s="11" t="str">
        <f t="shared" si="262"/>
        <v/>
      </c>
      <c r="BH1655" s="8" t="str">
        <f t="shared" si="263"/>
        <v/>
      </c>
      <c r="BI1655" s="8" t="str">
        <f t="shared" si="264"/>
        <v/>
      </c>
      <c r="BJ1655" s="9" t="str">
        <f t="shared" si="265"/>
        <v/>
      </c>
      <c r="BK1655" s="9" t="str">
        <f>IF($B1655="","",COUNTIFS($B$5:$B1655,$B1655,$BF$5:$BF1655,$BF1655))</f>
        <v/>
      </c>
      <c r="BL1655" s="9" t="str">
        <f>IF($B1655="","",COUNTIFS($B$5:$B1655,$B1655,$BH$5:$BH1655,$BH1655))</f>
        <v/>
      </c>
      <c r="BM1655" s="9" t="str">
        <f t="shared" si="266"/>
        <v/>
      </c>
      <c r="BN1655" s="9" t="str">
        <f t="shared" si="267"/>
        <v/>
      </c>
      <c r="BO1655" s="9">
        <f t="shared" si="268"/>
        <v>0</v>
      </c>
      <c r="BR1655" s="12" t="str">
        <f t="shared" si="269"/>
        <v/>
      </c>
    </row>
    <row r="1656" spans="1:70" ht="14.25" customHeight="1">
      <c r="A1656" s="26"/>
      <c r="C1656" s="26"/>
      <c r="D1656" s="27"/>
      <c r="E1656" s="27"/>
      <c r="BE1656" s="10" t="str">
        <f t="shared" si="260"/>
        <v/>
      </c>
      <c r="BF1656" s="8" t="str">
        <f t="shared" si="261"/>
        <v/>
      </c>
      <c r="BG1656" s="11" t="str">
        <f t="shared" si="262"/>
        <v/>
      </c>
      <c r="BH1656" s="8" t="str">
        <f t="shared" si="263"/>
        <v/>
      </c>
      <c r="BI1656" s="8" t="str">
        <f t="shared" si="264"/>
        <v/>
      </c>
      <c r="BJ1656" s="9" t="str">
        <f t="shared" si="265"/>
        <v/>
      </c>
      <c r="BK1656" s="9" t="str">
        <f>IF($B1656="","",COUNTIFS($B$5:$B1656,$B1656,$BF$5:$BF1656,$BF1656))</f>
        <v/>
      </c>
      <c r="BL1656" s="9" t="str">
        <f>IF($B1656="","",COUNTIFS($B$5:$B1656,$B1656,$BH$5:$BH1656,$BH1656))</f>
        <v/>
      </c>
      <c r="BM1656" s="9" t="str">
        <f t="shared" si="266"/>
        <v/>
      </c>
      <c r="BN1656" s="9" t="str">
        <f t="shared" si="267"/>
        <v/>
      </c>
      <c r="BO1656" s="9">
        <f t="shared" si="268"/>
        <v>0</v>
      </c>
      <c r="BR1656" s="12" t="str">
        <f t="shared" si="269"/>
        <v/>
      </c>
    </row>
    <row r="1657" spans="1:70" ht="14.25" customHeight="1">
      <c r="A1657" s="26"/>
      <c r="C1657" s="26"/>
      <c r="D1657" s="27"/>
      <c r="E1657" s="27"/>
      <c r="BE1657" s="10" t="str">
        <f t="shared" si="260"/>
        <v/>
      </c>
      <c r="BF1657" s="8" t="str">
        <f t="shared" si="261"/>
        <v/>
      </c>
      <c r="BG1657" s="11" t="str">
        <f t="shared" si="262"/>
        <v/>
      </c>
      <c r="BH1657" s="8" t="str">
        <f t="shared" si="263"/>
        <v/>
      </c>
      <c r="BI1657" s="8" t="str">
        <f t="shared" si="264"/>
        <v/>
      </c>
      <c r="BJ1657" s="9" t="str">
        <f t="shared" si="265"/>
        <v/>
      </c>
      <c r="BK1657" s="9" t="str">
        <f>IF($B1657="","",COUNTIFS($B$5:$B1657,$B1657,$BF$5:$BF1657,$BF1657))</f>
        <v/>
      </c>
      <c r="BL1657" s="9" t="str">
        <f>IF($B1657="","",COUNTIFS($B$5:$B1657,$B1657,$BH$5:$BH1657,$BH1657))</f>
        <v/>
      </c>
      <c r="BM1657" s="9" t="str">
        <f t="shared" si="266"/>
        <v/>
      </c>
      <c r="BN1657" s="9" t="str">
        <f t="shared" si="267"/>
        <v/>
      </c>
      <c r="BO1657" s="9">
        <f t="shared" si="268"/>
        <v>0</v>
      </c>
      <c r="BR1657" s="12" t="str">
        <f t="shared" si="269"/>
        <v/>
      </c>
    </row>
    <row r="1658" spans="1:70" ht="14.25" customHeight="1">
      <c r="A1658" s="26"/>
      <c r="C1658" s="26"/>
      <c r="D1658" s="27"/>
      <c r="E1658" s="27"/>
      <c r="BE1658" s="10" t="str">
        <f t="shared" si="260"/>
        <v/>
      </c>
      <c r="BF1658" s="8" t="str">
        <f t="shared" si="261"/>
        <v/>
      </c>
      <c r="BG1658" s="11" t="str">
        <f t="shared" si="262"/>
        <v/>
      </c>
      <c r="BH1658" s="8" t="str">
        <f t="shared" si="263"/>
        <v/>
      </c>
      <c r="BI1658" s="8" t="str">
        <f t="shared" si="264"/>
        <v/>
      </c>
      <c r="BJ1658" s="9" t="str">
        <f t="shared" si="265"/>
        <v/>
      </c>
      <c r="BK1658" s="9" t="str">
        <f>IF($B1658="","",COUNTIFS($B$5:$B1658,$B1658,$BF$5:$BF1658,$BF1658))</f>
        <v/>
      </c>
      <c r="BL1658" s="9" t="str">
        <f>IF($B1658="","",COUNTIFS($B$5:$B1658,$B1658,$BH$5:$BH1658,$BH1658))</f>
        <v/>
      </c>
      <c r="BM1658" s="9" t="str">
        <f t="shared" si="266"/>
        <v/>
      </c>
      <c r="BN1658" s="9" t="str">
        <f t="shared" si="267"/>
        <v/>
      </c>
      <c r="BO1658" s="9">
        <f t="shared" si="268"/>
        <v>0</v>
      </c>
      <c r="BR1658" s="12" t="str">
        <f t="shared" si="269"/>
        <v/>
      </c>
    </row>
    <row r="1659" spans="1:70" ht="14.25" customHeight="1">
      <c r="A1659" s="26"/>
      <c r="C1659" s="26"/>
      <c r="D1659" s="27"/>
      <c r="E1659" s="27"/>
      <c r="BE1659" s="10" t="str">
        <f t="shared" si="260"/>
        <v/>
      </c>
      <c r="BF1659" s="8" t="str">
        <f t="shared" si="261"/>
        <v/>
      </c>
      <c r="BG1659" s="11" t="str">
        <f t="shared" si="262"/>
        <v/>
      </c>
      <c r="BH1659" s="8" t="str">
        <f t="shared" si="263"/>
        <v/>
      </c>
      <c r="BI1659" s="8" t="str">
        <f t="shared" si="264"/>
        <v/>
      </c>
      <c r="BJ1659" s="9" t="str">
        <f t="shared" si="265"/>
        <v/>
      </c>
      <c r="BK1659" s="9" t="str">
        <f>IF($B1659="","",COUNTIFS($B$5:$B1659,$B1659,$BF$5:$BF1659,$BF1659))</f>
        <v/>
      </c>
      <c r="BL1659" s="9" t="str">
        <f>IF($B1659="","",COUNTIFS($B$5:$B1659,$B1659,$BH$5:$BH1659,$BH1659))</f>
        <v/>
      </c>
      <c r="BM1659" s="9" t="str">
        <f t="shared" si="266"/>
        <v/>
      </c>
      <c r="BN1659" s="9" t="str">
        <f t="shared" si="267"/>
        <v/>
      </c>
      <c r="BO1659" s="9">
        <f t="shared" si="268"/>
        <v>0</v>
      </c>
      <c r="BR1659" s="12" t="str">
        <f t="shared" si="269"/>
        <v/>
      </c>
    </row>
    <row r="1660" spans="1:70" ht="14.25" customHeight="1">
      <c r="A1660" s="26"/>
      <c r="C1660" s="26"/>
      <c r="D1660" s="27"/>
      <c r="E1660" s="27"/>
      <c r="BE1660" s="10" t="str">
        <f t="shared" si="260"/>
        <v/>
      </c>
      <c r="BF1660" s="8" t="str">
        <f t="shared" si="261"/>
        <v/>
      </c>
      <c r="BG1660" s="11" t="str">
        <f t="shared" si="262"/>
        <v/>
      </c>
      <c r="BH1660" s="8" t="str">
        <f t="shared" si="263"/>
        <v/>
      </c>
      <c r="BI1660" s="8" t="str">
        <f t="shared" si="264"/>
        <v/>
      </c>
      <c r="BJ1660" s="9" t="str">
        <f t="shared" si="265"/>
        <v/>
      </c>
      <c r="BK1660" s="9" t="str">
        <f>IF($B1660="","",COUNTIFS($B$5:$B1660,$B1660,$BF$5:$BF1660,$BF1660))</f>
        <v/>
      </c>
      <c r="BL1660" s="9" t="str">
        <f>IF($B1660="","",COUNTIFS($B$5:$B1660,$B1660,$BH$5:$BH1660,$BH1660))</f>
        <v/>
      </c>
      <c r="BM1660" s="9" t="str">
        <f t="shared" si="266"/>
        <v/>
      </c>
      <c r="BN1660" s="9" t="str">
        <f t="shared" si="267"/>
        <v/>
      </c>
      <c r="BO1660" s="9">
        <f t="shared" si="268"/>
        <v>0</v>
      </c>
      <c r="BR1660" s="12" t="str">
        <f t="shared" si="269"/>
        <v/>
      </c>
    </row>
    <row r="1661" spans="1:70" ht="14.25" customHeight="1">
      <c r="A1661" s="26"/>
      <c r="C1661" s="26"/>
      <c r="D1661" s="27"/>
      <c r="E1661" s="27"/>
      <c r="BE1661" s="10" t="str">
        <f t="shared" si="260"/>
        <v/>
      </c>
      <c r="BF1661" s="8" t="str">
        <f t="shared" si="261"/>
        <v/>
      </c>
      <c r="BG1661" s="11" t="str">
        <f t="shared" si="262"/>
        <v/>
      </c>
      <c r="BH1661" s="8" t="str">
        <f t="shared" si="263"/>
        <v/>
      </c>
      <c r="BI1661" s="8" t="str">
        <f t="shared" si="264"/>
        <v/>
      </c>
      <c r="BJ1661" s="9" t="str">
        <f t="shared" si="265"/>
        <v/>
      </c>
      <c r="BK1661" s="9" t="str">
        <f>IF($B1661="","",COUNTIFS($B$5:$B1661,$B1661,$BF$5:$BF1661,$BF1661))</f>
        <v/>
      </c>
      <c r="BL1661" s="9" t="str">
        <f>IF($B1661="","",COUNTIFS($B$5:$B1661,$B1661,$BH$5:$BH1661,$BH1661))</f>
        <v/>
      </c>
      <c r="BM1661" s="9" t="str">
        <f t="shared" si="266"/>
        <v/>
      </c>
      <c r="BN1661" s="9" t="str">
        <f t="shared" si="267"/>
        <v/>
      </c>
      <c r="BO1661" s="9">
        <f t="shared" si="268"/>
        <v>0</v>
      </c>
      <c r="BR1661" s="12" t="str">
        <f t="shared" si="269"/>
        <v/>
      </c>
    </row>
    <row r="1662" spans="1:70" ht="14.25" customHeight="1">
      <c r="A1662" s="26"/>
      <c r="C1662" s="26"/>
      <c r="D1662" s="27"/>
      <c r="E1662" s="27"/>
      <c r="BE1662" s="10" t="str">
        <f t="shared" si="260"/>
        <v/>
      </c>
      <c r="BF1662" s="8" t="str">
        <f t="shared" si="261"/>
        <v/>
      </c>
      <c r="BG1662" s="11" t="str">
        <f t="shared" si="262"/>
        <v/>
      </c>
      <c r="BH1662" s="8" t="str">
        <f t="shared" si="263"/>
        <v/>
      </c>
      <c r="BI1662" s="8" t="str">
        <f t="shared" si="264"/>
        <v/>
      </c>
      <c r="BJ1662" s="9" t="str">
        <f t="shared" si="265"/>
        <v/>
      </c>
      <c r="BK1662" s="9" t="str">
        <f>IF($B1662="","",COUNTIFS($B$5:$B1662,$B1662,$BF$5:$BF1662,$BF1662))</f>
        <v/>
      </c>
      <c r="BL1662" s="9" t="str">
        <f>IF($B1662="","",COUNTIFS($B$5:$B1662,$B1662,$BH$5:$BH1662,$BH1662))</f>
        <v/>
      </c>
      <c r="BM1662" s="9" t="str">
        <f t="shared" si="266"/>
        <v/>
      </c>
      <c r="BN1662" s="9" t="str">
        <f t="shared" si="267"/>
        <v/>
      </c>
      <c r="BO1662" s="9">
        <f t="shared" si="268"/>
        <v>0</v>
      </c>
      <c r="BR1662" s="12" t="str">
        <f t="shared" si="269"/>
        <v/>
      </c>
    </row>
    <row r="1663" spans="1:70" ht="14.25" customHeight="1">
      <c r="A1663" s="26"/>
      <c r="C1663" s="26"/>
      <c r="D1663" s="27"/>
      <c r="E1663" s="27"/>
      <c r="BE1663" s="10" t="str">
        <f t="shared" si="260"/>
        <v/>
      </c>
      <c r="BF1663" s="8" t="str">
        <f t="shared" si="261"/>
        <v/>
      </c>
      <c r="BG1663" s="11" t="str">
        <f t="shared" si="262"/>
        <v/>
      </c>
      <c r="BH1663" s="8" t="str">
        <f t="shared" si="263"/>
        <v/>
      </c>
      <c r="BI1663" s="8" t="str">
        <f t="shared" si="264"/>
        <v/>
      </c>
      <c r="BJ1663" s="9" t="str">
        <f t="shared" si="265"/>
        <v/>
      </c>
      <c r="BK1663" s="9" t="str">
        <f>IF($B1663="","",COUNTIFS($B$5:$B1663,$B1663,$BF$5:$BF1663,$BF1663))</f>
        <v/>
      </c>
      <c r="BL1663" s="9" t="str">
        <f>IF($B1663="","",COUNTIFS($B$5:$B1663,$B1663,$BH$5:$BH1663,$BH1663))</f>
        <v/>
      </c>
      <c r="BM1663" s="9" t="str">
        <f t="shared" si="266"/>
        <v/>
      </c>
      <c r="BN1663" s="9" t="str">
        <f t="shared" si="267"/>
        <v/>
      </c>
      <c r="BO1663" s="9">
        <f t="shared" si="268"/>
        <v>0</v>
      </c>
      <c r="BR1663" s="12" t="str">
        <f t="shared" si="269"/>
        <v/>
      </c>
    </row>
    <row r="1664" spans="1:70" ht="14.25" customHeight="1">
      <c r="A1664" s="26"/>
      <c r="C1664" s="26"/>
      <c r="D1664" s="27"/>
      <c r="E1664" s="27"/>
      <c r="BE1664" s="10" t="str">
        <f t="shared" si="260"/>
        <v/>
      </c>
      <c r="BF1664" s="8" t="str">
        <f t="shared" si="261"/>
        <v/>
      </c>
      <c r="BG1664" s="11" t="str">
        <f t="shared" si="262"/>
        <v/>
      </c>
      <c r="BH1664" s="8" t="str">
        <f t="shared" si="263"/>
        <v/>
      </c>
      <c r="BI1664" s="8" t="str">
        <f t="shared" si="264"/>
        <v/>
      </c>
      <c r="BJ1664" s="9" t="str">
        <f t="shared" si="265"/>
        <v/>
      </c>
      <c r="BK1664" s="9" t="str">
        <f>IF($B1664="","",COUNTIFS($B$5:$B1664,$B1664,$BF$5:$BF1664,$BF1664))</f>
        <v/>
      </c>
      <c r="BL1664" s="9" t="str">
        <f>IF($B1664="","",COUNTIFS($B$5:$B1664,$B1664,$BH$5:$BH1664,$BH1664))</f>
        <v/>
      </c>
      <c r="BM1664" s="9" t="str">
        <f t="shared" si="266"/>
        <v/>
      </c>
      <c r="BN1664" s="9" t="str">
        <f t="shared" si="267"/>
        <v/>
      </c>
      <c r="BO1664" s="9">
        <f t="shared" si="268"/>
        <v>0</v>
      </c>
      <c r="BR1664" s="12" t="str">
        <f t="shared" si="269"/>
        <v/>
      </c>
    </row>
    <row r="1665" spans="1:70" ht="14.25" customHeight="1">
      <c r="A1665" s="26"/>
      <c r="C1665" s="26"/>
      <c r="D1665" s="27"/>
      <c r="E1665" s="27"/>
      <c r="BE1665" s="10" t="str">
        <f t="shared" si="260"/>
        <v/>
      </c>
      <c r="BF1665" s="8" t="str">
        <f t="shared" si="261"/>
        <v/>
      </c>
      <c r="BG1665" s="11" t="str">
        <f t="shared" si="262"/>
        <v/>
      </c>
      <c r="BH1665" s="8" t="str">
        <f t="shared" si="263"/>
        <v/>
      </c>
      <c r="BI1665" s="8" t="str">
        <f t="shared" si="264"/>
        <v/>
      </c>
      <c r="BJ1665" s="9" t="str">
        <f t="shared" si="265"/>
        <v/>
      </c>
      <c r="BK1665" s="9" t="str">
        <f>IF($B1665="","",COUNTIFS($B$5:$B1665,$B1665,$BF$5:$BF1665,$BF1665))</f>
        <v/>
      </c>
      <c r="BL1665" s="9" t="str">
        <f>IF($B1665="","",COUNTIFS($B$5:$B1665,$B1665,$BH$5:$BH1665,$BH1665))</f>
        <v/>
      </c>
      <c r="BM1665" s="9" t="str">
        <f t="shared" si="266"/>
        <v/>
      </c>
      <c r="BN1665" s="9" t="str">
        <f t="shared" si="267"/>
        <v/>
      </c>
      <c r="BO1665" s="9">
        <f t="shared" si="268"/>
        <v>0</v>
      </c>
      <c r="BR1665" s="12" t="str">
        <f t="shared" si="269"/>
        <v/>
      </c>
    </row>
    <row r="1666" spans="1:70" ht="14.25" customHeight="1">
      <c r="A1666" s="26"/>
      <c r="C1666" s="26"/>
      <c r="D1666" s="27"/>
      <c r="E1666" s="27"/>
      <c r="BE1666" s="10" t="str">
        <f t="shared" si="260"/>
        <v/>
      </c>
      <c r="BF1666" s="8" t="str">
        <f t="shared" si="261"/>
        <v/>
      </c>
      <c r="BG1666" s="11" t="str">
        <f t="shared" si="262"/>
        <v/>
      </c>
      <c r="BH1666" s="8" t="str">
        <f t="shared" si="263"/>
        <v/>
      </c>
      <c r="BI1666" s="8" t="str">
        <f t="shared" si="264"/>
        <v/>
      </c>
      <c r="BJ1666" s="9" t="str">
        <f t="shared" si="265"/>
        <v/>
      </c>
      <c r="BK1666" s="9" t="str">
        <f>IF($B1666="","",COUNTIFS($B$5:$B1666,$B1666,$BF$5:$BF1666,$BF1666))</f>
        <v/>
      </c>
      <c r="BL1666" s="9" t="str">
        <f>IF($B1666="","",COUNTIFS($B$5:$B1666,$B1666,$BH$5:$BH1666,$BH1666))</f>
        <v/>
      </c>
      <c r="BM1666" s="9" t="str">
        <f t="shared" si="266"/>
        <v/>
      </c>
      <c r="BN1666" s="9" t="str">
        <f t="shared" si="267"/>
        <v/>
      </c>
      <c r="BO1666" s="9">
        <f t="shared" si="268"/>
        <v>0</v>
      </c>
      <c r="BR1666" s="12" t="str">
        <f t="shared" si="269"/>
        <v/>
      </c>
    </row>
    <row r="1667" spans="1:70" ht="14.25" customHeight="1">
      <c r="A1667" s="26"/>
      <c r="C1667" s="26"/>
      <c r="D1667" s="27"/>
      <c r="E1667" s="27"/>
      <c r="BE1667" s="10" t="str">
        <f t="shared" si="260"/>
        <v/>
      </c>
      <c r="BF1667" s="8" t="str">
        <f t="shared" si="261"/>
        <v/>
      </c>
      <c r="BG1667" s="11" t="str">
        <f t="shared" si="262"/>
        <v/>
      </c>
      <c r="BH1667" s="8" t="str">
        <f t="shared" si="263"/>
        <v/>
      </c>
      <c r="BI1667" s="8" t="str">
        <f t="shared" si="264"/>
        <v/>
      </c>
      <c r="BJ1667" s="9" t="str">
        <f t="shared" si="265"/>
        <v/>
      </c>
      <c r="BK1667" s="9" t="str">
        <f>IF($B1667="","",COUNTIFS($B$5:$B1667,$B1667,$BF$5:$BF1667,$BF1667))</f>
        <v/>
      </c>
      <c r="BL1667" s="9" t="str">
        <f>IF($B1667="","",COUNTIFS($B$5:$B1667,$B1667,$BH$5:$BH1667,$BH1667))</f>
        <v/>
      </c>
      <c r="BM1667" s="9" t="str">
        <f t="shared" si="266"/>
        <v/>
      </c>
      <c r="BN1667" s="9" t="str">
        <f t="shared" si="267"/>
        <v/>
      </c>
      <c r="BO1667" s="9">
        <f t="shared" si="268"/>
        <v>0</v>
      </c>
      <c r="BR1667" s="12" t="str">
        <f t="shared" si="269"/>
        <v/>
      </c>
    </row>
    <row r="1668" spans="1:70" ht="14.25" customHeight="1">
      <c r="A1668" s="26"/>
      <c r="C1668" s="26"/>
      <c r="D1668" s="27"/>
      <c r="E1668" s="27"/>
      <c r="BE1668" s="10" t="str">
        <f t="shared" si="260"/>
        <v/>
      </c>
      <c r="BF1668" s="8" t="str">
        <f t="shared" si="261"/>
        <v/>
      </c>
      <c r="BG1668" s="11" t="str">
        <f t="shared" si="262"/>
        <v/>
      </c>
      <c r="BH1668" s="8" t="str">
        <f t="shared" si="263"/>
        <v/>
      </c>
      <c r="BI1668" s="8" t="str">
        <f t="shared" si="264"/>
        <v/>
      </c>
      <c r="BJ1668" s="9" t="str">
        <f t="shared" si="265"/>
        <v/>
      </c>
      <c r="BK1668" s="9" t="str">
        <f>IF($B1668="","",COUNTIFS($B$5:$B1668,$B1668,$BF$5:$BF1668,$BF1668))</f>
        <v/>
      </c>
      <c r="BL1668" s="9" t="str">
        <f>IF($B1668="","",COUNTIFS($B$5:$B1668,$B1668,$BH$5:$BH1668,$BH1668))</f>
        <v/>
      </c>
      <c r="BM1668" s="9" t="str">
        <f t="shared" si="266"/>
        <v/>
      </c>
      <c r="BN1668" s="9" t="str">
        <f t="shared" si="267"/>
        <v/>
      </c>
      <c r="BO1668" s="9">
        <f t="shared" si="268"/>
        <v>0</v>
      </c>
      <c r="BR1668" s="12" t="str">
        <f t="shared" si="269"/>
        <v/>
      </c>
    </row>
    <row r="1669" spans="1:70" ht="14.25" customHeight="1">
      <c r="A1669" s="26"/>
      <c r="C1669" s="26"/>
      <c r="D1669" s="27"/>
      <c r="E1669" s="27"/>
      <c r="BE1669" s="10" t="str">
        <f t="shared" si="260"/>
        <v/>
      </c>
      <c r="BF1669" s="8" t="str">
        <f t="shared" si="261"/>
        <v/>
      </c>
      <c r="BG1669" s="11" t="str">
        <f t="shared" si="262"/>
        <v/>
      </c>
      <c r="BH1669" s="8" t="str">
        <f t="shared" si="263"/>
        <v/>
      </c>
      <c r="BI1669" s="8" t="str">
        <f t="shared" si="264"/>
        <v/>
      </c>
      <c r="BJ1669" s="9" t="str">
        <f t="shared" si="265"/>
        <v/>
      </c>
      <c r="BK1669" s="9" t="str">
        <f>IF($B1669="","",COUNTIFS($B$5:$B1669,$B1669,$BF$5:$BF1669,$BF1669))</f>
        <v/>
      </c>
      <c r="BL1669" s="9" t="str">
        <f>IF($B1669="","",COUNTIFS($B$5:$B1669,$B1669,$BH$5:$BH1669,$BH1669))</f>
        <v/>
      </c>
      <c r="BM1669" s="9" t="str">
        <f t="shared" si="266"/>
        <v/>
      </c>
      <c r="BN1669" s="9" t="str">
        <f t="shared" si="267"/>
        <v/>
      </c>
      <c r="BO1669" s="9">
        <f t="shared" si="268"/>
        <v>0</v>
      </c>
      <c r="BR1669" s="12" t="str">
        <f t="shared" si="269"/>
        <v/>
      </c>
    </row>
    <row r="1670" spans="1:70" ht="14.25" customHeight="1">
      <c r="A1670" s="26"/>
      <c r="C1670" s="26"/>
      <c r="D1670" s="27"/>
      <c r="E1670" s="27"/>
      <c r="BE1670" s="10" t="str">
        <f t="shared" si="260"/>
        <v/>
      </c>
      <c r="BF1670" s="8" t="str">
        <f t="shared" si="261"/>
        <v/>
      </c>
      <c r="BG1670" s="11" t="str">
        <f t="shared" si="262"/>
        <v/>
      </c>
      <c r="BH1670" s="8" t="str">
        <f t="shared" si="263"/>
        <v/>
      </c>
      <c r="BI1670" s="8" t="str">
        <f t="shared" si="264"/>
        <v/>
      </c>
      <c r="BJ1670" s="9" t="str">
        <f t="shared" si="265"/>
        <v/>
      </c>
      <c r="BK1670" s="9" t="str">
        <f>IF($B1670="","",COUNTIFS($B$5:$B1670,$B1670,$BF$5:$BF1670,$BF1670))</f>
        <v/>
      </c>
      <c r="BL1670" s="9" t="str">
        <f>IF($B1670="","",COUNTIFS($B$5:$B1670,$B1670,$BH$5:$BH1670,$BH1670))</f>
        <v/>
      </c>
      <c r="BM1670" s="9" t="str">
        <f t="shared" si="266"/>
        <v/>
      </c>
      <c r="BN1670" s="9" t="str">
        <f t="shared" si="267"/>
        <v/>
      </c>
      <c r="BO1670" s="9">
        <f t="shared" si="268"/>
        <v>0</v>
      </c>
      <c r="BR1670" s="12" t="str">
        <f t="shared" si="269"/>
        <v/>
      </c>
    </row>
    <row r="1671" spans="1:70" ht="14.25" customHeight="1">
      <c r="A1671" s="26"/>
      <c r="C1671" s="26"/>
      <c r="D1671" s="27"/>
      <c r="E1671" s="27"/>
      <c r="BE1671" s="10" t="str">
        <f t="shared" si="260"/>
        <v/>
      </c>
      <c r="BF1671" s="8" t="str">
        <f t="shared" si="261"/>
        <v/>
      </c>
      <c r="BG1671" s="11" t="str">
        <f t="shared" si="262"/>
        <v/>
      </c>
      <c r="BH1671" s="8" t="str">
        <f t="shared" si="263"/>
        <v/>
      </c>
      <c r="BI1671" s="8" t="str">
        <f t="shared" si="264"/>
        <v/>
      </c>
      <c r="BJ1671" s="9" t="str">
        <f t="shared" si="265"/>
        <v/>
      </c>
      <c r="BK1671" s="9" t="str">
        <f>IF($B1671="","",COUNTIFS($B$5:$B1671,$B1671,$BF$5:$BF1671,$BF1671))</f>
        <v/>
      </c>
      <c r="BL1671" s="9" t="str">
        <f>IF($B1671="","",COUNTIFS($B$5:$B1671,$B1671,$BH$5:$BH1671,$BH1671))</f>
        <v/>
      </c>
      <c r="BM1671" s="9" t="str">
        <f t="shared" si="266"/>
        <v/>
      </c>
      <c r="BN1671" s="9" t="str">
        <f t="shared" si="267"/>
        <v/>
      </c>
      <c r="BO1671" s="9">
        <f t="shared" si="268"/>
        <v>0</v>
      </c>
      <c r="BR1671" s="12" t="str">
        <f t="shared" si="269"/>
        <v/>
      </c>
    </row>
    <row r="1672" spans="1:70" ht="14.25" customHeight="1">
      <c r="A1672" s="26"/>
      <c r="C1672" s="26"/>
      <c r="D1672" s="27"/>
      <c r="E1672" s="27"/>
      <c r="BE1672" s="10" t="str">
        <f t="shared" si="260"/>
        <v/>
      </c>
      <c r="BF1672" s="8" t="str">
        <f t="shared" si="261"/>
        <v/>
      </c>
      <c r="BG1672" s="11" t="str">
        <f t="shared" si="262"/>
        <v/>
      </c>
      <c r="BH1672" s="8" t="str">
        <f t="shared" si="263"/>
        <v/>
      </c>
      <c r="BI1672" s="8" t="str">
        <f t="shared" si="264"/>
        <v/>
      </c>
      <c r="BJ1672" s="9" t="str">
        <f t="shared" si="265"/>
        <v/>
      </c>
      <c r="BK1672" s="9" t="str">
        <f>IF($B1672="","",COUNTIFS($B$5:$B1672,$B1672,$BF$5:$BF1672,$BF1672))</f>
        <v/>
      </c>
      <c r="BL1672" s="9" t="str">
        <f>IF($B1672="","",COUNTIFS($B$5:$B1672,$B1672,$BH$5:$BH1672,$BH1672))</f>
        <v/>
      </c>
      <c r="BM1672" s="9" t="str">
        <f t="shared" si="266"/>
        <v/>
      </c>
      <c r="BN1672" s="9" t="str">
        <f t="shared" si="267"/>
        <v/>
      </c>
      <c r="BO1672" s="9">
        <f t="shared" si="268"/>
        <v>0</v>
      </c>
      <c r="BR1672" s="12" t="str">
        <f t="shared" si="269"/>
        <v/>
      </c>
    </row>
    <row r="1673" spans="1:70" ht="14.25" customHeight="1">
      <c r="A1673" s="26"/>
      <c r="C1673" s="26"/>
      <c r="D1673" s="27"/>
      <c r="E1673" s="27"/>
      <c r="BE1673" s="10" t="str">
        <f t="shared" si="260"/>
        <v/>
      </c>
      <c r="BF1673" s="8" t="str">
        <f t="shared" si="261"/>
        <v/>
      </c>
      <c r="BG1673" s="11" t="str">
        <f t="shared" si="262"/>
        <v/>
      </c>
      <c r="BH1673" s="8" t="str">
        <f t="shared" si="263"/>
        <v/>
      </c>
      <c r="BI1673" s="8" t="str">
        <f t="shared" si="264"/>
        <v/>
      </c>
      <c r="BJ1673" s="9" t="str">
        <f t="shared" si="265"/>
        <v/>
      </c>
      <c r="BK1673" s="9" t="str">
        <f>IF($B1673="","",COUNTIFS($B$5:$B1673,$B1673,$BF$5:$BF1673,$BF1673))</f>
        <v/>
      </c>
      <c r="BL1673" s="9" t="str">
        <f>IF($B1673="","",COUNTIFS($B$5:$B1673,$B1673,$BH$5:$BH1673,$BH1673))</f>
        <v/>
      </c>
      <c r="BM1673" s="9" t="str">
        <f t="shared" si="266"/>
        <v/>
      </c>
      <c r="BN1673" s="9" t="str">
        <f t="shared" si="267"/>
        <v/>
      </c>
      <c r="BO1673" s="9">
        <f t="shared" si="268"/>
        <v>0</v>
      </c>
      <c r="BR1673" s="12" t="str">
        <f t="shared" si="269"/>
        <v/>
      </c>
    </row>
    <row r="1674" spans="1:70" ht="14.25" customHeight="1">
      <c r="A1674" s="26"/>
      <c r="C1674" s="26"/>
      <c r="D1674" s="27"/>
      <c r="E1674" s="27"/>
      <c r="BE1674" s="10" t="str">
        <f t="shared" si="260"/>
        <v/>
      </c>
      <c r="BF1674" s="8" t="str">
        <f t="shared" si="261"/>
        <v/>
      </c>
      <c r="BG1674" s="11" t="str">
        <f t="shared" si="262"/>
        <v/>
      </c>
      <c r="BH1674" s="8" t="str">
        <f t="shared" si="263"/>
        <v/>
      </c>
      <c r="BI1674" s="8" t="str">
        <f t="shared" si="264"/>
        <v/>
      </c>
      <c r="BJ1674" s="9" t="str">
        <f t="shared" si="265"/>
        <v/>
      </c>
      <c r="BK1674" s="9" t="str">
        <f>IF($B1674="","",COUNTIFS($B$5:$B1674,$B1674,$BF$5:$BF1674,$BF1674))</f>
        <v/>
      </c>
      <c r="BL1674" s="9" t="str">
        <f>IF($B1674="","",COUNTIFS($B$5:$B1674,$B1674,$BH$5:$BH1674,$BH1674))</f>
        <v/>
      </c>
      <c r="BM1674" s="9" t="str">
        <f t="shared" si="266"/>
        <v/>
      </c>
      <c r="BN1674" s="9" t="str">
        <f t="shared" si="267"/>
        <v/>
      </c>
      <c r="BO1674" s="9">
        <f t="shared" si="268"/>
        <v>0</v>
      </c>
      <c r="BR1674" s="12" t="str">
        <f t="shared" si="269"/>
        <v/>
      </c>
    </row>
    <row r="1675" spans="1:70" ht="14.25" customHeight="1">
      <c r="A1675" s="26"/>
      <c r="C1675" s="26"/>
      <c r="D1675" s="27"/>
      <c r="E1675" s="27"/>
      <c r="BE1675" s="10" t="str">
        <f t="shared" si="260"/>
        <v/>
      </c>
      <c r="BF1675" s="8" t="str">
        <f t="shared" si="261"/>
        <v/>
      </c>
      <c r="BG1675" s="11" t="str">
        <f t="shared" si="262"/>
        <v/>
      </c>
      <c r="BH1675" s="8" t="str">
        <f t="shared" si="263"/>
        <v/>
      </c>
      <c r="BI1675" s="8" t="str">
        <f t="shared" si="264"/>
        <v/>
      </c>
      <c r="BJ1675" s="9" t="str">
        <f t="shared" si="265"/>
        <v/>
      </c>
      <c r="BK1675" s="9" t="str">
        <f>IF($B1675="","",COUNTIFS($B$5:$B1675,$B1675,$BF$5:$BF1675,$BF1675))</f>
        <v/>
      </c>
      <c r="BL1675" s="9" t="str">
        <f>IF($B1675="","",COUNTIFS($B$5:$B1675,$B1675,$BH$5:$BH1675,$BH1675))</f>
        <v/>
      </c>
      <c r="BM1675" s="9" t="str">
        <f t="shared" si="266"/>
        <v/>
      </c>
      <c r="BN1675" s="9" t="str">
        <f t="shared" si="267"/>
        <v/>
      </c>
      <c r="BO1675" s="9">
        <f t="shared" si="268"/>
        <v>0</v>
      </c>
      <c r="BR1675" s="12" t="str">
        <f t="shared" si="269"/>
        <v/>
      </c>
    </row>
    <row r="1676" spans="1:70" ht="14.25" customHeight="1">
      <c r="A1676" s="26"/>
      <c r="C1676" s="26"/>
      <c r="D1676" s="27"/>
      <c r="E1676" s="27"/>
      <c r="BE1676" s="10" t="str">
        <f t="shared" si="260"/>
        <v/>
      </c>
      <c r="BF1676" s="8" t="str">
        <f t="shared" si="261"/>
        <v/>
      </c>
      <c r="BG1676" s="11" t="str">
        <f t="shared" si="262"/>
        <v/>
      </c>
      <c r="BH1676" s="8" t="str">
        <f t="shared" si="263"/>
        <v/>
      </c>
      <c r="BI1676" s="8" t="str">
        <f t="shared" si="264"/>
        <v/>
      </c>
      <c r="BJ1676" s="9" t="str">
        <f t="shared" si="265"/>
        <v/>
      </c>
      <c r="BK1676" s="9" t="str">
        <f>IF($B1676="","",COUNTIFS($B$5:$B1676,$B1676,$BF$5:$BF1676,$BF1676))</f>
        <v/>
      </c>
      <c r="BL1676" s="9" t="str">
        <f>IF($B1676="","",COUNTIFS($B$5:$B1676,$B1676,$BH$5:$BH1676,$BH1676))</f>
        <v/>
      </c>
      <c r="BM1676" s="9" t="str">
        <f t="shared" si="266"/>
        <v/>
      </c>
      <c r="BN1676" s="9" t="str">
        <f t="shared" si="267"/>
        <v/>
      </c>
      <c r="BO1676" s="9">
        <f t="shared" si="268"/>
        <v>0</v>
      </c>
      <c r="BR1676" s="12" t="str">
        <f t="shared" si="269"/>
        <v/>
      </c>
    </row>
    <row r="1677" spans="1:70" ht="14.25" customHeight="1">
      <c r="A1677" s="26"/>
      <c r="C1677" s="26"/>
      <c r="D1677" s="27"/>
      <c r="E1677" s="27"/>
      <c r="BE1677" s="10" t="str">
        <f t="shared" si="260"/>
        <v/>
      </c>
      <c r="BF1677" s="8" t="str">
        <f t="shared" si="261"/>
        <v/>
      </c>
      <c r="BG1677" s="11" t="str">
        <f t="shared" si="262"/>
        <v/>
      </c>
      <c r="BH1677" s="8" t="str">
        <f t="shared" si="263"/>
        <v/>
      </c>
      <c r="BI1677" s="8" t="str">
        <f t="shared" si="264"/>
        <v/>
      </c>
      <c r="BJ1677" s="9" t="str">
        <f t="shared" si="265"/>
        <v/>
      </c>
      <c r="BK1677" s="9" t="str">
        <f>IF($B1677="","",COUNTIFS($B$5:$B1677,$B1677,$BF$5:$BF1677,$BF1677))</f>
        <v/>
      </c>
      <c r="BL1677" s="9" t="str">
        <f>IF($B1677="","",COUNTIFS($B$5:$B1677,$B1677,$BH$5:$BH1677,$BH1677))</f>
        <v/>
      </c>
      <c r="BM1677" s="9" t="str">
        <f t="shared" si="266"/>
        <v/>
      </c>
      <c r="BN1677" s="9" t="str">
        <f t="shared" si="267"/>
        <v/>
      </c>
      <c r="BO1677" s="9">
        <f t="shared" si="268"/>
        <v>0</v>
      </c>
      <c r="BR1677" s="12" t="str">
        <f t="shared" si="269"/>
        <v/>
      </c>
    </row>
    <row r="1678" spans="1:70" ht="14.25" customHeight="1">
      <c r="A1678" s="26"/>
      <c r="C1678" s="26"/>
      <c r="D1678" s="27"/>
      <c r="E1678" s="27"/>
      <c r="BE1678" s="10" t="str">
        <f t="shared" si="260"/>
        <v/>
      </c>
      <c r="BF1678" s="8" t="str">
        <f t="shared" si="261"/>
        <v/>
      </c>
      <c r="BG1678" s="11" t="str">
        <f t="shared" si="262"/>
        <v/>
      </c>
      <c r="BH1678" s="8" t="str">
        <f t="shared" si="263"/>
        <v/>
      </c>
      <c r="BI1678" s="8" t="str">
        <f t="shared" si="264"/>
        <v/>
      </c>
      <c r="BJ1678" s="9" t="str">
        <f t="shared" si="265"/>
        <v/>
      </c>
      <c r="BK1678" s="9" t="str">
        <f>IF($B1678="","",COUNTIFS($B$5:$B1678,$B1678,$BF$5:$BF1678,$BF1678))</f>
        <v/>
      </c>
      <c r="BL1678" s="9" t="str">
        <f>IF($B1678="","",COUNTIFS($B$5:$B1678,$B1678,$BH$5:$BH1678,$BH1678))</f>
        <v/>
      </c>
      <c r="BM1678" s="9" t="str">
        <f t="shared" si="266"/>
        <v/>
      </c>
      <c r="BN1678" s="9" t="str">
        <f t="shared" si="267"/>
        <v/>
      </c>
      <c r="BO1678" s="9">
        <f t="shared" si="268"/>
        <v>0</v>
      </c>
      <c r="BR1678" s="12" t="str">
        <f t="shared" si="269"/>
        <v/>
      </c>
    </row>
    <row r="1679" spans="1:70" ht="14.25" customHeight="1">
      <c r="A1679" s="26"/>
      <c r="C1679" s="26"/>
      <c r="D1679" s="27"/>
      <c r="E1679" s="27"/>
      <c r="BE1679" s="10" t="str">
        <f t="shared" si="260"/>
        <v/>
      </c>
      <c r="BF1679" s="8" t="str">
        <f t="shared" si="261"/>
        <v/>
      </c>
      <c r="BG1679" s="11" t="str">
        <f t="shared" si="262"/>
        <v/>
      </c>
      <c r="BH1679" s="8" t="str">
        <f t="shared" si="263"/>
        <v/>
      </c>
      <c r="BI1679" s="8" t="str">
        <f t="shared" si="264"/>
        <v/>
      </c>
      <c r="BJ1679" s="9" t="str">
        <f t="shared" si="265"/>
        <v/>
      </c>
      <c r="BK1679" s="9" t="str">
        <f>IF($B1679="","",COUNTIFS($B$5:$B1679,$B1679,$BF$5:$BF1679,$BF1679))</f>
        <v/>
      </c>
      <c r="BL1679" s="9" t="str">
        <f>IF($B1679="","",COUNTIFS($B$5:$B1679,$B1679,$BH$5:$BH1679,$BH1679))</f>
        <v/>
      </c>
      <c r="BM1679" s="9" t="str">
        <f t="shared" si="266"/>
        <v/>
      </c>
      <c r="BN1679" s="9" t="str">
        <f t="shared" si="267"/>
        <v/>
      </c>
      <c r="BO1679" s="9">
        <f t="shared" si="268"/>
        <v>0</v>
      </c>
      <c r="BR1679" s="12" t="str">
        <f t="shared" si="269"/>
        <v/>
      </c>
    </row>
    <row r="1680" spans="1:70" ht="14.25" customHeight="1">
      <c r="A1680" s="26"/>
      <c r="C1680" s="26"/>
      <c r="D1680" s="27"/>
      <c r="E1680" s="27"/>
      <c r="BE1680" s="10" t="str">
        <f t="shared" si="260"/>
        <v/>
      </c>
      <c r="BF1680" s="8" t="str">
        <f t="shared" si="261"/>
        <v/>
      </c>
      <c r="BG1680" s="11" t="str">
        <f t="shared" si="262"/>
        <v/>
      </c>
      <c r="BH1680" s="8" t="str">
        <f t="shared" si="263"/>
        <v/>
      </c>
      <c r="BI1680" s="8" t="str">
        <f t="shared" si="264"/>
        <v/>
      </c>
      <c r="BJ1680" s="9" t="str">
        <f t="shared" si="265"/>
        <v/>
      </c>
      <c r="BK1680" s="9" t="str">
        <f>IF($B1680="","",COUNTIFS($B$5:$B1680,$B1680,$BF$5:$BF1680,$BF1680))</f>
        <v/>
      </c>
      <c r="BL1680" s="9" t="str">
        <f>IF($B1680="","",COUNTIFS($B$5:$B1680,$B1680,$BH$5:$BH1680,$BH1680))</f>
        <v/>
      </c>
      <c r="BM1680" s="9" t="str">
        <f t="shared" si="266"/>
        <v/>
      </c>
      <c r="BN1680" s="9" t="str">
        <f t="shared" si="267"/>
        <v/>
      </c>
      <c r="BO1680" s="9">
        <f t="shared" si="268"/>
        <v>0</v>
      </c>
      <c r="BR1680" s="12" t="str">
        <f t="shared" si="269"/>
        <v/>
      </c>
    </row>
    <row r="1681" spans="1:70" ht="14.25" customHeight="1">
      <c r="A1681" s="26"/>
      <c r="C1681" s="26"/>
      <c r="D1681" s="27"/>
      <c r="E1681" s="27"/>
      <c r="BE1681" s="10" t="str">
        <f t="shared" si="260"/>
        <v/>
      </c>
      <c r="BF1681" s="8" t="str">
        <f t="shared" si="261"/>
        <v/>
      </c>
      <c r="BG1681" s="11" t="str">
        <f t="shared" si="262"/>
        <v/>
      </c>
      <c r="BH1681" s="8" t="str">
        <f t="shared" si="263"/>
        <v/>
      </c>
      <c r="BI1681" s="8" t="str">
        <f t="shared" si="264"/>
        <v/>
      </c>
      <c r="BJ1681" s="9" t="str">
        <f t="shared" si="265"/>
        <v/>
      </c>
      <c r="BK1681" s="9" t="str">
        <f>IF($B1681="","",COUNTIFS($B$5:$B1681,$B1681,$BF$5:$BF1681,$BF1681))</f>
        <v/>
      </c>
      <c r="BL1681" s="9" t="str">
        <f>IF($B1681="","",COUNTIFS($B$5:$B1681,$B1681,$BH$5:$BH1681,$BH1681))</f>
        <v/>
      </c>
      <c r="BM1681" s="9" t="str">
        <f t="shared" si="266"/>
        <v/>
      </c>
      <c r="BN1681" s="9" t="str">
        <f t="shared" si="267"/>
        <v/>
      </c>
      <c r="BO1681" s="9">
        <f t="shared" si="268"/>
        <v>0</v>
      </c>
      <c r="BR1681" s="12" t="str">
        <f t="shared" si="269"/>
        <v/>
      </c>
    </row>
    <row r="1682" spans="1:70" ht="14.25" customHeight="1">
      <c r="A1682" s="26"/>
      <c r="C1682" s="26"/>
      <c r="D1682" s="27"/>
      <c r="E1682" s="27"/>
      <c r="BE1682" s="10" t="str">
        <f t="shared" si="260"/>
        <v/>
      </c>
      <c r="BF1682" s="8" t="str">
        <f t="shared" si="261"/>
        <v/>
      </c>
      <c r="BG1682" s="11" t="str">
        <f t="shared" si="262"/>
        <v/>
      </c>
      <c r="BH1682" s="8" t="str">
        <f t="shared" si="263"/>
        <v/>
      </c>
      <c r="BI1682" s="8" t="str">
        <f t="shared" si="264"/>
        <v/>
      </c>
      <c r="BJ1682" s="9" t="str">
        <f t="shared" si="265"/>
        <v/>
      </c>
      <c r="BK1682" s="9" t="str">
        <f>IF($B1682="","",COUNTIFS($B$5:$B1682,$B1682,$BF$5:$BF1682,$BF1682))</f>
        <v/>
      </c>
      <c r="BL1682" s="9" t="str">
        <f>IF($B1682="","",COUNTIFS($B$5:$B1682,$B1682,$BH$5:$BH1682,$BH1682))</f>
        <v/>
      </c>
      <c r="BM1682" s="9" t="str">
        <f t="shared" si="266"/>
        <v/>
      </c>
      <c r="BN1682" s="9" t="str">
        <f t="shared" si="267"/>
        <v/>
      </c>
      <c r="BO1682" s="9">
        <f t="shared" si="268"/>
        <v>0</v>
      </c>
      <c r="BR1682" s="12" t="str">
        <f t="shared" si="269"/>
        <v/>
      </c>
    </row>
    <row r="1683" spans="1:70" ht="14.25" customHeight="1">
      <c r="A1683" s="26"/>
      <c r="C1683" s="26"/>
      <c r="D1683" s="27"/>
      <c r="E1683" s="27"/>
      <c r="BE1683" s="10" t="str">
        <f t="shared" si="260"/>
        <v/>
      </c>
      <c r="BF1683" s="8" t="str">
        <f t="shared" si="261"/>
        <v/>
      </c>
      <c r="BG1683" s="11" t="str">
        <f t="shared" si="262"/>
        <v/>
      </c>
      <c r="BH1683" s="8" t="str">
        <f t="shared" si="263"/>
        <v/>
      </c>
      <c r="BI1683" s="8" t="str">
        <f t="shared" si="264"/>
        <v/>
      </c>
      <c r="BJ1683" s="9" t="str">
        <f t="shared" si="265"/>
        <v/>
      </c>
      <c r="BK1683" s="9" t="str">
        <f>IF($B1683="","",COUNTIFS($B$5:$B1683,$B1683,$BF$5:$BF1683,$BF1683))</f>
        <v/>
      </c>
      <c r="BL1683" s="9" t="str">
        <f>IF($B1683="","",COUNTIFS($B$5:$B1683,$B1683,$BH$5:$BH1683,$BH1683))</f>
        <v/>
      </c>
      <c r="BM1683" s="9" t="str">
        <f t="shared" si="266"/>
        <v/>
      </c>
      <c r="BN1683" s="9" t="str">
        <f t="shared" si="267"/>
        <v/>
      </c>
      <c r="BO1683" s="9">
        <f t="shared" si="268"/>
        <v>0</v>
      </c>
      <c r="BR1683" s="12" t="str">
        <f t="shared" si="269"/>
        <v/>
      </c>
    </row>
    <row r="1684" spans="1:70" ht="14.25" customHeight="1">
      <c r="A1684" s="26"/>
      <c r="C1684" s="26"/>
      <c r="D1684" s="27"/>
      <c r="E1684" s="27"/>
      <c r="BE1684" s="10" t="str">
        <f t="shared" si="260"/>
        <v/>
      </c>
      <c r="BF1684" s="8" t="str">
        <f t="shared" si="261"/>
        <v/>
      </c>
      <c r="BG1684" s="11" t="str">
        <f t="shared" si="262"/>
        <v/>
      </c>
      <c r="BH1684" s="8" t="str">
        <f t="shared" si="263"/>
        <v/>
      </c>
      <c r="BI1684" s="8" t="str">
        <f t="shared" si="264"/>
        <v/>
      </c>
      <c r="BJ1684" s="9" t="str">
        <f t="shared" si="265"/>
        <v/>
      </c>
      <c r="BK1684" s="9" t="str">
        <f>IF($B1684="","",COUNTIFS($B$5:$B1684,$B1684,$BF$5:$BF1684,$BF1684))</f>
        <v/>
      </c>
      <c r="BL1684" s="9" t="str">
        <f>IF($B1684="","",COUNTIFS($B$5:$B1684,$B1684,$BH$5:$BH1684,$BH1684))</f>
        <v/>
      </c>
      <c r="BM1684" s="9" t="str">
        <f t="shared" si="266"/>
        <v/>
      </c>
      <c r="BN1684" s="9" t="str">
        <f t="shared" si="267"/>
        <v/>
      </c>
      <c r="BO1684" s="9">
        <f t="shared" si="268"/>
        <v>0</v>
      </c>
      <c r="BR1684" s="12" t="str">
        <f t="shared" si="269"/>
        <v/>
      </c>
    </row>
    <row r="1685" spans="1:70" ht="14.25" customHeight="1">
      <c r="A1685" s="26"/>
      <c r="C1685" s="26"/>
      <c r="D1685" s="27"/>
      <c r="E1685" s="27"/>
      <c r="BE1685" s="10" t="str">
        <f t="shared" si="260"/>
        <v/>
      </c>
      <c r="BF1685" s="8" t="str">
        <f t="shared" si="261"/>
        <v/>
      </c>
      <c r="BG1685" s="11" t="str">
        <f t="shared" si="262"/>
        <v/>
      </c>
      <c r="BH1685" s="8" t="str">
        <f t="shared" si="263"/>
        <v/>
      </c>
      <c r="BI1685" s="8" t="str">
        <f t="shared" si="264"/>
        <v/>
      </c>
      <c r="BJ1685" s="9" t="str">
        <f t="shared" si="265"/>
        <v/>
      </c>
      <c r="BK1685" s="9" t="str">
        <f>IF($B1685="","",COUNTIFS($B$5:$B1685,$B1685,$BF$5:$BF1685,$BF1685))</f>
        <v/>
      </c>
      <c r="BL1685" s="9" t="str">
        <f>IF($B1685="","",COUNTIFS($B$5:$B1685,$B1685,$BH$5:$BH1685,$BH1685))</f>
        <v/>
      </c>
      <c r="BM1685" s="9" t="str">
        <f t="shared" si="266"/>
        <v/>
      </c>
      <c r="BN1685" s="9" t="str">
        <f t="shared" si="267"/>
        <v/>
      </c>
      <c r="BO1685" s="9">
        <f t="shared" si="268"/>
        <v>0</v>
      </c>
      <c r="BR1685" s="12" t="str">
        <f t="shared" si="269"/>
        <v/>
      </c>
    </row>
    <row r="1686" spans="1:70" ht="14.25" customHeight="1">
      <c r="A1686" s="26"/>
      <c r="C1686" s="26"/>
      <c r="D1686" s="27"/>
      <c r="E1686" s="27"/>
      <c r="BE1686" s="10" t="str">
        <f t="shared" si="260"/>
        <v/>
      </c>
      <c r="BF1686" s="8" t="str">
        <f t="shared" si="261"/>
        <v/>
      </c>
      <c r="BG1686" s="11" t="str">
        <f t="shared" si="262"/>
        <v/>
      </c>
      <c r="BH1686" s="8" t="str">
        <f t="shared" si="263"/>
        <v/>
      </c>
      <c r="BI1686" s="8" t="str">
        <f t="shared" si="264"/>
        <v/>
      </c>
      <c r="BJ1686" s="9" t="str">
        <f t="shared" si="265"/>
        <v/>
      </c>
      <c r="BK1686" s="9" t="str">
        <f>IF($B1686="","",COUNTIFS($B$5:$B1686,$B1686,$BF$5:$BF1686,$BF1686))</f>
        <v/>
      </c>
      <c r="BL1686" s="9" t="str">
        <f>IF($B1686="","",COUNTIFS($B$5:$B1686,$B1686,$BH$5:$BH1686,$BH1686))</f>
        <v/>
      </c>
      <c r="BM1686" s="9" t="str">
        <f t="shared" si="266"/>
        <v/>
      </c>
      <c r="BN1686" s="9" t="str">
        <f t="shared" si="267"/>
        <v/>
      </c>
      <c r="BO1686" s="9">
        <f t="shared" si="268"/>
        <v>0</v>
      </c>
      <c r="BR1686" s="12" t="str">
        <f t="shared" si="269"/>
        <v/>
      </c>
    </row>
    <row r="1687" spans="1:70" ht="14.25" customHeight="1">
      <c r="A1687" s="26"/>
      <c r="C1687" s="26"/>
      <c r="D1687" s="27"/>
      <c r="E1687" s="27"/>
      <c r="BE1687" s="10" t="str">
        <f t="shared" si="260"/>
        <v/>
      </c>
      <c r="BF1687" s="8" t="str">
        <f t="shared" si="261"/>
        <v/>
      </c>
      <c r="BG1687" s="11" t="str">
        <f t="shared" si="262"/>
        <v/>
      </c>
      <c r="BH1687" s="8" t="str">
        <f t="shared" si="263"/>
        <v/>
      </c>
      <c r="BI1687" s="8" t="str">
        <f t="shared" si="264"/>
        <v/>
      </c>
      <c r="BJ1687" s="9" t="str">
        <f t="shared" si="265"/>
        <v/>
      </c>
      <c r="BK1687" s="9" t="str">
        <f>IF($B1687="","",COUNTIFS($B$5:$B1687,$B1687,$BF$5:$BF1687,$BF1687))</f>
        <v/>
      </c>
      <c r="BL1687" s="9" t="str">
        <f>IF($B1687="","",COUNTIFS($B$5:$B1687,$B1687,$BH$5:$BH1687,$BH1687))</f>
        <v/>
      </c>
      <c r="BM1687" s="9" t="str">
        <f t="shared" si="266"/>
        <v/>
      </c>
      <c r="BN1687" s="9" t="str">
        <f t="shared" si="267"/>
        <v/>
      </c>
      <c r="BO1687" s="9">
        <f t="shared" si="268"/>
        <v>0</v>
      </c>
      <c r="BR1687" s="12" t="str">
        <f t="shared" si="269"/>
        <v/>
      </c>
    </row>
    <row r="1688" spans="1:70" ht="14.25" customHeight="1">
      <c r="A1688" s="26"/>
      <c r="C1688" s="26"/>
      <c r="D1688" s="27"/>
      <c r="E1688" s="27"/>
      <c r="BE1688" s="10" t="str">
        <f t="shared" si="260"/>
        <v/>
      </c>
      <c r="BF1688" s="8" t="str">
        <f t="shared" si="261"/>
        <v/>
      </c>
      <c r="BG1688" s="11" t="str">
        <f t="shared" si="262"/>
        <v/>
      </c>
      <c r="BH1688" s="8" t="str">
        <f t="shared" si="263"/>
        <v/>
      </c>
      <c r="BI1688" s="8" t="str">
        <f t="shared" si="264"/>
        <v/>
      </c>
      <c r="BJ1688" s="9" t="str">
        <f t="shared" si="265"/>
        <v/>
      </c>
      <c r="BK1688" s="9" t="str">
        <f>IF($B1688="","",COUNTIFS($B$5:$B1688,$B1688,$BF$5:$BF1688,$BF1688))</f>
        <v/>
      </c>
      <c r="BL1688" s="9" t="str">
        <f>IF($B1688="","",COUNTIFS($B$5:$B1688,$B1688,$BH$5:$BH1688,$BH1688))</f>
        <v/>
      </c>
      <c r="BM1688" s="9" t="str">
        <f t="shared" si="266"/>
        <v/>
      </c>
      <c r="BN1688" s="9" t="str">
        <f t="shared" si="267"/>
        <v/>
      </c>
      <c r="BO1688" s="9">
        <f t="shared" si="268"/>
        <v>0</v>
      </c>
      <c r="BR1688" s="12" t="str">
        <f t="shared" si="269"/>
        <v/>
      </c>
    </row>
    <row r="1689" spans="1:70" ht="14.25" customHeight="1">
      <c r="A1689" s="26"/>
      <c r="C1689" s="26"/>
      <c r="D1689" s="27"/>
      <c r="E1689" s="27"/>
      <c r="BE1689" s="10" t="str">
        <f t="shared" si="260"/>
        <v/>
      </c>
      <c r="BF1689" s="8" t="str">
        <f t="shared" si="261"/>
        <v/>
      </c>
      <c r="BG1689" s="11" t="str">
        <f t="shared" si="262"/>
        <v/>
      </c>
      <c r="BH1689" s="8" t="str">
        <f t="shared" si="263"/>
        <v/>
      </c>
      <c r="BI1689" s="8" t="str">
        <f t="shared" si="264"/>
        <v/>
      </c>
      <c r="BJ1689" s="9" t="str">
        <f t="shared" si="265"/>
        <v/>
      </c>
      <c r="BK1689" s="9" t="str">
        <f>IF($B1689="","",COUNTIFS($B$5:$B1689,$B1689,$BF$5:$BF1689,$BF1689))</f>
        <v/>
      </c>
      <c r="BL1689" s="9" t="str">
        <f>IF($B1689="","",COUNTIFS($B$5:$B1689,$B1689,$BH$5:$BH1689,$BH1689))</f>
        <v/>
      </c>
      <c r="BM1689" s="9" t="str">
        <f t="shared" si="266"/>
        <v/>
      </c>
      <c r="BN1689" s="9" t="str">
        <f t="shared" si="267"/>
        <v/>
      </c>
      <c r="BO1689" s="9">
        <f t="shared" si="268"/>
        <v>0</v>
      </c>
      <c r="BR1689" s="12" t="str">
        <f t="shared" si="269"/>
        <v/>
      </c>
    </row>
    <row r="1690" spans="1:70" ht="14.25" customHeight="1">
      <c r="A1690" s="26"/>
      <c r="C1690" s="26"/>
      <c r="D1690" s="27"/>
      <c r="E1690" s="27"/>
      <c r="BE1690" s="10" t="str">
        <f t="shared" si="260"/>
        <v/>
      </c>
      <c r="BF1690" s="8" t="str">
        <f t="shared" si="261"/>
        <v/>
      </c>
      <c r="BG1690" s="11" t="str">
        <f t="shared" si="262"/>
        <v/>
      </c>
      <c r="BH1690" s="8" t="str">
        <f t="shared" si="263"/>
        <v/>
      </c>
      <c r="BI1690" s="8" t="str">
        <f t="shared" si="264"/>
        <v/>
      </c>
      <c r="BJ1690" s="9" t="str">
        <f t="shared" si="265"/>
        <v/>
      </c>
      <c r="BK1690" s="9" t="str">
        <f>IF($B1690="","",COUNTIFS($B$5:$B1690,$B1690,$BF$5:$BF1690,$BF1690))</f>
        <v/>
      </c>
      <c r="BL1690" s="9" t="str">
        <f>IF($B1690="","",COUNTIFS($B$5:$B1690,$B1690,$BH$5:$BH1690,$BH1690))</f>
        <v/>
      </c>
      <c r="BM1690" s="9" t="str">
        <f t="shared" si="266"/>
        <v/>
      </c>
      <c r="BN1690" s="9" t="str">
        <f t="shared" si="267"/>
        <v/>
      </c>
      <c r="BO1690" s="9">
        <f t="shared" si="268"/>
        <v>0</v>
      </c>
      <c r="BR1690" s="12" t="str">
        <f t="shared" si="269"/>
        <v/>
      </c>
    </row>
    <row r="1691" spans="1:70" ht="14.25" customHeight="1">
      <c r="A1691" s="26"/>
      <c r="C1691" s="26"/>
      <c r="D1691" s="27"/>
      <c r="E1691" s="27"/>
      <c r="BE1691" s="10" t="str">
        <f t="shared" si="260"/>
        <v/>
      </c>
      <c r="BF1691" s="8" t="str">
        <f t="shared" si="261"/>
        <v/>
      </c>
      <c r="BG1691" s="11" t="str">
        <f t="shared" si="262"/>
        <v/>
      </c>
      <c r="BH1691" s="8" t="str">
        <f t="shared" si="263"/>
        <v/>
      </c>
      <c r="BI1691" s="8" t="str">
        <f t="shared" si="264"/>
        <v/>
      </c>
      <c r="BJ1691" s="9" t="str">
        <f t="shared" si="265"/>
        <v/>
      </c>
      <c r="BK1691" s="9" t="str">
        <f>IF($B1691="","",COUNTIFS($B$5:$B1691,$B1691,$BF$5:$BF1691,$BF1691))</f>
        <v/>
      </c>
      <c r="BL1691" s="9" t="str">
        <f>IF($B1691="","",COUNTIFS($B$5:$B1691,$B1691,$BH$5:$BH1691,$BH1691))</f>
        <v/>
      </c>
      <c r="BM1691" s="9" t="str">
        <f t="shared" si="266"/>
        <v/>
      </c>
      <c r="BN1691" s="9" t="str">
        <f t="shared" si="267"/>
        <v/>
      </c>
      <c r="BO1691" s="9">
        <f t="shared" si="268"/>
        <v>0</v>
      </c>
      <c r="BR1691" s="12" t="str">
        <f t="shared" si="269"/>
        <v/>
      </c>
    </row>
    <row r="1692" spans="1:70" ht="14.25" customHeight="1">
      <c r="A1692" s="26"/>
      <c r="C1692" s="26"/>
      <c r="D1692" s="27"/>
      <c r="E1692" s="27"/>
      <c r="BE1692" s="10" t="str">
        <f t="shared" si="260"/>
        <v/>
      </c>
      <c r="BF1692" s="8" t="str">
        <f t="shared" si="261"/>
        <v/>
      </c>
      <c r="BG1692" s="11" t="str">
        <f t="shared" si="262"/>
        <v/>
      </c>
      <c r="BH1692" s="8" t="str">
        <f t="shared" si="263"/>
        <v/>
      </c>
      <c r="BI1692" s="8" t="str">
        <f t="shared" si="264"/>
        <v/>
      </c>
      <c r="BJ1692" s="9" t="str">
        <f t="shared" si="265"/>
        <v/>
      </c>
      <c r="BK1692" s="9" t="str">
        <f>IF($B1692="","",COUNTIFS($B$5:$B1692,$B1692,$BF$5:$BF1692,$BF1692))</f>
        <v/>
      </c>
      <c r="BL1692" s="9" t="str">
        <f>IF($B1692="","",COUNTIFS($B$5:$B1692,$B1692,$BH$5:$BH1692,$BH1692))</f>
        <v/>
      </c>
      <c r="BM1692" s="9" t="str">
        <f t="shared" si="266"/>
        <v/>
      </c>
      <c r="BN1692" s="9" t="str">
        <f t="shared" si="267"/>
        <v/>
      </c>
      <c r="BO1692" s="9">
        <f t="shared" si="268"/>
        <v>0</v>
      </c>
      <c r="BR1692" s="12" t="str">
        <f t="shared" si="269"/>
        <v/>
      </c>
    </row>
    <row r="1693" spans="1:70" ht="14.25" customHeight="1">
      <c r="A1693" s="26"/>
      <c r="C1693" s="26"/>
      <c r="D1693" s="27"/>
      <c r="E1693" s="27"/>
      <c r="BE1693" s="10" t="str">
        <f t="shared" ref="BE1693:BE1756" si="270">IF($B1693="","",IF(COUNT($H1693,$J1693,$L1693,$N1693,$P1693,$R1693)&gt;0,SUM($H1693,$J1693,$L1693,$N1693,$P1693,$R1693),SUM($T1693,$V1693,$X1693,$Z1693,$AB1693,$AD1693,$AF1693,$AH1693,$AJ1693,$AL1693,$AN1693,$AP1693,$AR1693,$AT1693,$AV1693,$AX1693,$AZ1693)))</f>
        <v/>
      </c>
      <c r="BF1693" s="8" t="str">
        <f t="shared" ref="BF1693:BF1756" si="271">IF($C1693="","",DATE(YEAR($C1693),MONTH($C1693),1))</f>
        <v/>
      </c>
      <c r="BG1693" s="11" t="str">
        <f t="shared" ref="BG1693:BG1756" si="272">IF($BF1693="","",TEXT($BF1693,"mmmm yyyy"))</f>
        <v/>
      </c>
      <c r="BH1693" s="8" t="str">
        <f t="shared" ref="BH1693:BH1756" si="273">IF($C1693="","",$C1693-WEEKDAY($C1693,2)+1)</f>
        <v/>
      </c>
      <c r="BI1693" s="8" t="str">
        <f t="shared" ref="BI1693:BI1756" si="274">IF($BH1693="","",$BH1693+6)</f>
        <v/>
      </c>
      <c r="BJ1693" s="9" t="str">
        <f t="shared" ref="BJ1693:BJ1756" si="275">IF($BH1693="","",TEXT($BH1693,"dd/mm/yyyy")&amp;" - "&amp;TEXT($BI1693,"dd/mm/yyyy"))</f>
        <v/>
      </c>
      <c r="BK1693" s="9" t="str">
        <f>IF($B1693="","",COUNTIFS($B$5:$B1693,$B1693,$BF$5:$BF1693,$BF1693))</f>
        <v/>
      </c>
      <c r="BL1693" s="9" t="str">
        <f>IF($B1693="","",COUNTIFS($B$5:$B1693,$B1693,$BH$5:$BH1693,$BH1693))</f>
        <v/>
      </c>
      <c r="BM1693" s="9" t="str">
        <f t="shared" ref="BM1693:BM1756" si="276">IF($B1693="","",TEXT($BK1693,"00")&amp;"|"&amp;$B1693&amp;"|"&amp;TEXT($BF1693,"yyyymmdd"))</f>
        <v/>
      </c>
      <c r="BN1693" s="9" t="str">
        <f t="shared" ref="BN1693:BN1756" si="277">IF($B1693="","",TEXT($BL1693,"00")&amp;"|"&amp;$B1693&amp;"|"&amp;TEXT($BH1693,"yyyymmdd"))</f>
        <v/>
      </c>
      <c r="BO1693" s="9">
        <f t="shared" ref="BO1693:BO1756" si="278">IF(OR($BB1693="YES",$BB1693="Yes",$BB1693="Y",$BB1693=1),1,0)</f>
        <v>0</v>
      </c>
      <c r="BR1693" s="12" t="str">
        <f t="shared" ref="BR1693:BR1756" si="279">IF($C1693="","",IF($C1693&gt;=DATE(2026,6,1),"QA-2026-06",IF($C1693&gt;=DATE(2026,5,1),"May 2026+",IF($C1693&gt;=DATE(2026,4,1),"April 2026",IF($C1693&gt;=DATE(2026,3,1),"March 2026","Jan-Feb 2026")))))</f>
        <v/>
      </c>
    </row>
    <row r="1694" spans="1:70" ht="14.25" customHeight="1">
      <c r="A1694" s="26"/>
      <c r="C1694" s="26"/>
      <c r="D1694" s="27"/>
      <c r="E1694" s="27"/>
      <c r="BE1694" s="10" t="str">
        <f t="shared" si="270"/>
        <v/>
      </c>
      <c r="BF1694" s="8" t="str">
        <f t="shared" si="271"/>
        <v/>
      </c>
      <c r="BG1694" s="11" t="str">
        <f t="shared" si="272"/>
        <v/>
      </c>
      <c r="BH1694" s="8" t="str">
        <f t="shared" si="273"/>
        <v/>
      </c>
      <c r="BI1694" s="8" t="str">
        <f t="shared" si="274"/>
        <v/>
      </c>
      <c r="BJ1694" s="9" t="str">
        <f t="shared" si="275"/>
        <v/>
      </c>
      <c r="BK1694" s="9" t="str">
        <f>IF($B1694="","",COUNTIFS($B$5:$B1694,$B1694,$BF$5:$BF1694,$BF1694))</f>
        <v/>
      </c>
      <c r="BL1694" s="9" t="str">
        <f>IF($B1694="","",COUNTIFS($B$5:$B1694,$B1694,$BH$5:$BH1694,$BH1694))</f>
        <v/>
      </c>
      <c r="BM1694" s="9" t="str">
        <f t="shared" si="276"/>
        <v/>
      </c>
      <c r="BN1694" s="9" t="str">
        <f t="shared" si="277"/>
        <v/>
      </c>
      <c r="BO1694" s="9">
        <f t="shared" si="278"/>
        <v>0</v>
      </c>
      <c r="BR1694" s="12" t="str">
        <f t="shared" si="279"/>
        <v/>
      </c>
    </row>
    <row r="1695" spans="1:70" ht="14.25" customHeight="1">
      <c r="A1695" s="26"/>
      <c r="C1695" s="26"/>
      <c r="D1695" s="27"/>
      <c r="E1695" s="27"/>
      <c r="BE1695" s="10" t="str">
        <f t="shared" si="270"/>
        <v/>
      </c>
      <c r="BF1695" s="8" t="str">
        <f t="shared" si="271"/>
        <v/>
      </c>
      <c r="BG1695" s="11" t="str">
        <f t="shared" si="272"/>
        <v/>
      </c>
      <c r="BH1695" s="8" t="str">
        <f t="shared" si="273"/>
        <v/>
      </c>
      <c r="BI1695" s="8" t="str">
        <f t="shared" si="274"/>
        <v/>
      </c>
      <c r="BJ1695" s="9" t="str">
        <f t="shared" si="275"/>
        <v/>
      </c>
      <c r="BK1695" s="9" t="str">
        <f>IF($B1695="","",COUNTIFS($B$5:$B1695,$B1695,$BF$5:$BF1695,$BF1695))</f>
        <v/>
      </c>
      <c r="BL1695" s="9" t="str">
        <f>IF($B1695="","",COUNTIFS($B$5:$B1695,$B1695,$BH$5:$BH1695,$BH1695))</f>
        <v/>
      </c>
      <c r="BM1695" s="9" t="str">
        <f t="shared" si="276"/>
        <v/>
      </c>
      <c r="BN1695" s="9" t="str">
        <f t="shared" si="277"/>
        <v/>
      </c>
      <c r="BO1695" s="9">
        <f t="shared" si="278"/>
        <v>0</v>
      </c>
      <c r="BR1695" s="12" t="str">
        <f t="shared" si="279"/>
        <v/>
      </c>
    </row>
    <row r="1696" spans="1:70" ht="14.25" customHeight="1">
      <c r="A1696" s="26"/>
      <c r="C1696" s="26"/>
      <c r="D1696" s="27"/>
      <c r="E1696" s="27"/>
      <c r="BE1696" s="10" t="str">
        <f t="shared" si="270"/>
        <v/>
      </c>
      <c r="BF1696" s="8" t="str">
        <f t="shared" si="271"/>
        <v/>
      </c>
      <c r="BG1696" s="11" t="str">
        <f t="shared" si="272"/>
        <v/>
      </c>
      <c r="BH1696" s="8" t="str">
        <f t="shared" si="273"/>
        <v/>
      </c>
      <c r="BI1696" s="8" t="str">
        <f t="shared" si="274"/>
        <v/>
      </c>
      <c r="BJ1696" s="9" t="str">
        <f t="shared" si="275"/>
        <v/>
      </c>
      <c r="BK1696" s="9" t="str">
        <f>IF($B1696="","",COUNTIFS($B$5:$B1696,$B1696,$BF$5:$BF1696,$BF1696))</f>
        <v/>
      </c>
      <c r="BL1696" s="9" t="str">
        <f>IF($B1696="","",COUNTIFS($B$5:$B1696,$B1696,$BH$5:$BH1696,$BH1696))</f>
        <v/>
      </c>
      <c r="BM1696" s="9" t="str">
        <f t="shared" si="276"/>
        <v/>
      </c>
      <c r="BN1696" s="9" t="str">
        <f t="shared" si="277"/>
        <v/>
      </c>
      <c r="BO1696" s="9">
        <f t="shared" si="278"/>
        <v>0</v>
      </c>
      <c r="BR1696" s="12" t="str">
        <f t="shared" si="279"/>
        <v/>
      </c>
    </row>
    <row r="1697" spans="1:70" ht="14.25" customHeight="1">
      <c r="A1697" s="26"/>
      <c r="C1697" s="26"/>
      <c r="D1697" s="27"/>
      <c r="E1697" s="27"/>
      <c r="BE1697" s="10" t="str">
        <f t="shared" si="270"/>
        <v/>
      </c>
      <c r="BF1697" s="8" t="str">
        <f t="shared" si="271"/>
        <v/>
      </c>
      <c r="BG1697" s="11" t="str">
        <f t="shared" si="272"/>
        <v/>
      </c>
      <c r="BH1697" s="8" t="str">
        <f t="shared" si="273"/>
        <v/>
      </c>
      <c r="BI1697" s="8" t="str">
        <f t="shared" si="274"/>
        <v/>
      </c>
      <c r="BJ1697" s="9" t="str">
        <f t="shared" si="275"/>
        <v/>
      </c>
      <c r="BK1697" s="9" t="str">
        <f>IF($B1697="","",COUNTIFS($B$5:$B1697,$B1697,$BF$5:$BF1697,$BF1697))</f>
        <v/>
      </c>
      <c r="BL1697" s="9" t="str">
        <f>IF($B1697="","",COUNTIFS($B$5:$B1697,$B1697,$BH$5:$BH1697,$BH1697))</f>
        <v/>
      </c>
      <c r="BM1697" s="9" t="str">
        <f t="shared" si="276"/>
        <v/>
      </c>
      <c r="BN1697" s="9" t="str">
        <f t="shared" si="277"/>
        <v/>
      </c>
      <c r="BO1697" s="9">
        <f t="shared" si="278"/>
        <v>0</v>
      </c>
      <c r="BR1697" s="12" t="str">
        <f t="shared" si="279"/>
        <v/>
      </c>
    </row>
    <row r="1698" spans="1:70" ht="14.25" customHeight="1">
      <c r="A1698" s="26"/>
      <c r="C1698" s="26"/>
      <c r="D1698" s="27"/>
      <c r="E1698" s="27"/>
      <c r="BE1698" s="10" t="str">
        <f t="shared" si="270"/>
        <v/>
      </c>
      <c r="BF1698" s="8" t="str">
        <f t="shared" si="271"/>
        <v/>
      </c>
      <c r="BG1698" s="11" t="str">
        <f t="shared" si="272"/>
        <v/>
      </c>
      <c r="BH1698" s="8" t="str">
        <f t="shared" si="273"/>
        <v/>
      </c>
      <c r="BI1698" s="8" t="str">
        <f t="shared" si="274"/>
        <v/>
      </c>
      <c r="BJ1698" s="9" t="str">
        <f t="shared" si="275"/>
        <v/>
      </c>
      <c r="BK1698" s="9" t="str">
        <f>IF($B1698="","",COUNTIFS($B$5:$B1698,$B1698,$BF$5:$BF1698,$BF1698))</f>
        <v/>
      </c>
      <c r="BL1698" s="9" t="str">
        <f>IF($B1698="","",COUNTIFS($B$5:$B1698,$B1698,$BH$5:$BH1698,$BH1698))</f>
        <v/>
      </c>
      <c r="BM1698" s="9" t="str">
        <f t="shared" si="276"/>
        <v/>
      </c>
      <c r="BN1698" s="9" t="str">
        <f t="shared" si="277"/>
        <v/>
      </c>
      <c r="BO1698" s="9">
        <f t="shared" si="278"/>
        <v>0</v>
      </c>
      <c r="BR1698" s="12" t="str">
        <f t="shared" si="279"/>
        <v/>
      </c>
    </row>
    <row r="1699" spans="1:70" ht="14.25" customHeight="1">
      <c r="A1699" s="26"/>
      <c r="C1699" s="26"/>
      <c r="D1699" s="27"/>
      <c r="E1699" s="27"/>
      <c r="BE1699" s="10" t="str">
        <f t="shared" si="270"/>
        <v/>
      </c>
      <c r="BF1699" s="8" t="str">
        <f t="shared" si="271"/>
        <v/>
      </c>
      <c r="BG1699" s="11" t="str">
        <f t="shared" si="272"/>
        <v/>
      </c>
      <c r="BH1699" s="8" t="str">
        <f t="shared" si="273"/>
        <v/>
      </c>
      <c r="BI1699" s="8" t="str">
        <f t="shared" si="274"/>
        <v/>
      </c>
      <c r="BJ1699" s="9" t="str">
        <f t="shared" si="275"/>
        <v/>
      </c>
      <c r="BK1699" s="9" t="str">
        <f>IF($B1699="","",COUNTIFS($B$5:$B1699,$B1699,$BF$5:$BF1699,$BF1699))</f>
        <v/>
      </c>
      <c r="BL1699" s="9" t="str">
        <f>IF($B1699="","",COUNTIFS($B$5:$B1699,$B1699,$BH$5:$BH1699,$BH1699))</f>
        <v/>
      </c>
      <c r="BM1699" s="9" t="str">
        <f t="shared" si="276"/>
        <v/>
      </c>
      <c r="BN1699" s="9" t="str">
        <f t="shared" si="277"/>
        <v/>
      </c>
      <c r="BO1699" s="9">
        <f t="shared" si="278"/>
        <v>0</v>
      </c>
      <c r="BR1699" s="12" t="str">
        <f t="shared" si="279"/>
        <v/>
      </c>
    </row>
    <row r="1700" spans="1:70" ht="14.25" customHeight="1">
      <c r="A1700" s="26"/>
      <c r="C1700" s="26"/>
      <c r="D1700" s="27"/>
      <c r="E1700" s="27"/>
      <c r="BE1700" s="10" t="str">
        <f t="shared" si="270"/>
        <v/>
      </c>
      <c r="BF1700" s="8" t="str">
        <f t="shared" si="271"/>
        <v/>
      </c>
      <c r="BG1700" s="11" t="str">
        <f t="shared" si="272"/>
        <v/>
      </c>
      <c r="BH1700" s="8" t="str">
        <f t="shared" si="273"/>
        <v/>
      </c>
      <c r="BI1700" s="8" t="str">
        <f t="shared" si="274"/>
        <v/>
      </c>
      <c r="BJ1700" s="9" t="str">
        <f t="shared" si="275"/>
        <v/>
      </c>
      <c r="BK1700" s="9" t="str">
        <f>IF($B1700="","",COUNTIFS($B$5:$B1700,$B1700,$BF$5:$BF1700,$BF1700))</f>
        <v/>
      </c>
      <c r="BL1700" s="9" t="str">
        <f>IF($B1700="","",COUNTIFS($B$5:$B1700,$B1700,$BH$5:$BH1700,$BH1700))</f>
        <v/>
      </c>
      <c r="BM1700" s="9" t="str">
        <f t="shared" si="276"/>
        <v/>
      </c>
      <c r="BN1700" s="9" t="str">
        <f t="shared" si="277"/>
        <v/>
      </c>
      <c r="BO1700" s="9">
        <f t="shared" si="278"/>
        <v>0</v>
      </c>
      <c r="BR1700" s="12" t="str">
        <f t="shared" si="279"/>
        <v/>
      </c>
    </row>
    <row r="1701" spans="1:70" ht="14.25" customHeight="1">
      <c r="A1701" s="26"/>
      <c r="C1701" s="26"/>
      <c r="D1701" s="27"/>
      <c r="E1701" s="27"/>
      <c r="BE1701" s="10" t="str">
        <f t="shared" si="270"/>
        <v/>
      </c>
      <c r="BF1701" s="8" t="str">
        <f t="shared" si="271"/>
        <v/>
      </c>
      <c r="BG1701" s="11" t="str">
        <f t="shared" si="272"/>
        <v/>
      </c>
      <c r="BH1701" s="8" t="str">
        <f t="shared" si="273"/>
        <v/>
      </c>
      <c r="BI1701" s="8" t="str">
        <f t="shared" si="274"/>
        <v/>
      </c>
      <c r="BJ1701" s="9" t="str">
        <f t="shared" si="275"/>
        <v/>
      </c>
      <c r="BK1701" s="9" t="str">
        <f>IF($B1701="","",COUNTIFS($B$5:$B1701,$B1701,$BF$5:$BF1701,$BF1701))</f>
        <v/>
      </c>
      <c r="BL1701" s="9" t="str">
        <f>IF($B1701="","",COUNTIFS($B$5:$B1701,$B1701,$BH$5:$BH1701,$BH1701))</f>
        <v/>
      </c>
      <c r="BM1701" s="9" t="str">
        <f t="shared" si="276"/>
        <v/>
      </c>
      <c r="BN1701" s="9" t="str">
        <f t="shared" si="277"/>
        <v/>
      </c>
      <c r="BO1701" s="9">
        <f t="shared" si="278"/>
        <v>0</v>
      </c>
      <c r="BR1701" s="12" t="str">
        <f t="shared" si="279"/>
        <v/>
      </c>
    </row>
    <row r="1702" spans="1:70" ht="14.25" customHeight="1">
      <c r="A1702" s="26"/>
      <c r="C1702" s="26"/>
      <c r="D1702" s="27"/>
      <c r="E1702" s="27"/>
      <c r="BE1702" s="10" t="str">
        <f t="shared" si="270"/>
        <v/>
      </c>
      <c r="BF1702" s="8" t="str">
        <f t="shared" si="271"/>
        <v/>
      </c>
      <c r="BG1702" s="11" t="str">
        <f t="shared" si="272"/>
        <v/>
      </c>
      <c r="BH1702" s="8" t="str">
        <f t="shared" si="273"/>
        <v/>
      </c>
      <c r="BI1702" s="8" t="str">
        <f t="shared" si="274"/>
        <v/>
      </c>
      <c r="BJ1702" s="9" t="str">
        <f t="shared" si="275"/>
        <v/>
      </c>
      <c r="BK1702" s="9" t="str">
        <f>IF($B1702="","",COUNTIFS($B$5:$B1702,$B1702,$BF$5:$BF1702,$BF1702))</f>
        <v/>
      </c>
      <c r="BL1702" s="9" t="str">
        <f>IF($B1702="","",COUNTIFS($B$5:$B1702,$B1702,$BH$5:$BH1702,$BH1702))</f>
        <v/>
      </c>
      <c r="BM1702" s="9" t="str">
        <f t="shared" si="276"/>
        <v/>
      </c>
      <c r="BN1702" s="9" t="str">
        <f t="shared" si="277"/>
        <v/>
      </c>
      <c r="BO1702" s="9">
        <f t="shared" si="278"/>
        <v>0</v>
      </c>
      <c r="BR1702" s="12" t="str">
        <f t="shared" si="279"/>
        <v/>
      </c>
    </row>
    <row r="1703" spans="1:70" ht="14.25" customHeight="1">
      <c r="A1703" s="26"/>
      <c r="C1703" s="26"/>
      <c r="D1703" s="27"/>
      <c r="E1703" s="27"/>
      <c r="BE1703" s="10" t="str">
        <f t="shared" si="270"/>
        <v/>
      </c>
      <c r="BF1703" s="8" t="str">
        <f t="shared" si="271"/>
        <v/>
      </c>
      <c r="BG1703" s="11" t="str">
        <f t="shared" si="272"/>
        <v/>
      </c>
      <c r="BH1703" s="8" t="str">
        <f t="shared" si="273"/>
        <v/>
      </c>
      <c r="BI1703" s="8" t="str">
        <f t="shared" si="274"/>
        <v/>
      </c>
      <c r="BJ1703" s="9" t="str">
        <f t="shared" si="275"/>
        <v/>
      </c>
      <c r="BK1703" s="9" t="str">
        <f>IF($B1703="","",COUNTIFS($B$5:$B1703,$B1703,$BF$5:$BF1703,$BF1703))</f>
        <v/>
      </c>
      <c r="BL1703" s="9" t="str">
        <f>IF($B1703="","",COUNTIFS($B$5:$B1703,$B1703,$BH$5:$BH1703,$BH1703))</f>
        <v/>
      </c>
      <c r="BM1703" s="9" t="str">
        <f t="shared" si="276"/>
        <v/>
      </c>
      <c r="BN1703" s="9" t="str">
        <f t="shared" si="277"/>
        <v/>
      </c>
      <c r="BO1703" s="9">
        <f t="shared" si="278"/>
        <v>0</v>
      </c>
      <c r="BR1703" s="12" t="str">
        <f t="shared" si="279"/>
        <v/>
      </c>
    </row>
    <row r="1704" spans="1:70" ht="14.25" customHeight="1">
      <c r="A1704" s="26"/>
      <c r="C1704" s="26"/>
      <c r="D1704" s="27"/>
      <c r="E1704" s="27"/>
      <c r="BE1704" s="10" t="str">
        <f t="shared" si="270"/>
        <v/>
      </c>
      <c r="BF1704" s="8" t="str">
        <f t="shared" si="271"/>
        <v/>
      </c>
      <c r="BG1704" s="11" t="str">
        <f t="shared" si="272"/>
        <v/>
      </c>
      <c r="BH1704" s="8" t="str">
        <f t="shared" si="273"/>
        <v/>
      </c>
      <c r="BI1704" s="8" t="str">
        <f t="shared" si="274"/>
        <v/>
      </c>
      <c r="BJ1704" s="9" t="str">
        <f t="shared" si="275"/>
        <v/>
      </c>
      <c r="BK1704" s="9" t="str">
        <f>IF($B1704="","",COUNTIFS($B$5:$B1704,$B1704,$BF$5:$BF1704,$BF1704))</f>
        <v/>
      </c>
      <c r="BL1704" s="9" t="str">
        <f>IF($B1704="","",COUNTIFS($B$5:$B1704,$B1704,$BH$5:$BH1704,$BH1704))</f>
        <v/>
      </c>
      <c r="BM1704" s="9" t="str">
        <f t="shared" si="276"/>
        <v/>
      </c>
      <c r="BN1704" s="9" t="str">
        <f t="shared" si="277"/>
        <v/>
      </c>
      <c r="BO1704" s="9">
        <f t="shared" si="278"/>
        <v>0</v>
      </c>
      <c r="BR1704" s="12" t="str">
        <f t="shared" si="279"/>
        <v/>
      </c>
    </row>
    <row r="1705" spans="1:70" ht="14.25" customHeight="1">
      <c r="A1705" s="26"/>
      <c r="C1705" s="26"/>
      <c r="D1705" s="27"/>
      <c r="E1705" s="27"/>
      <c r="BE1705" s="10" t="str">
        <f t="shared" si="270"/>
        <v/>
      </c>
      <c r="BF1705" s="8" t="str">
        <f t="shared" si="271"/>
        <v/>
      </c>
      <c r="BG1705" s="11" t="str">
        <f t="shared" si="272"/>
        <v/>
      </c>
      <c r="BH1705" s="8" t="str">
        <f t="shared" si="273"/>
        <v/>
      </c>
      <c r="BI1705" s="8" t="str">
        <f t="shared" si="274"/>
        <v/>
      </c>
      <c r="BJ1705" s="9" t="str">
        <f t="shared" si="275"/>
        <v/>
      </c>
      <c r="BK1705" s="9" t="str">
        <f>IF($B1705="","",COUNTIFS($B$5:$B1705,$B1705,$BF$5:$BF1705,$BF1705))</f>
        <v/>
      </c>
      <c r="BL1705" s="9" t="str">
        <f>IF($B1705="","",COUNTIFS($B$5:$B1705,$B1705,$BH$5:$BH1705,$BH1705))</f>
        <v/>
      </c>
      <c r="BM1705" s="9" t="str">
        <f t="shared" si="276"/>
        <v/>
      </c>
      <c r="BN1705" s="9" t="str">
        <f t="shared" si="277"/>
        <v/>
      </c>
      <c r="BO1705" s="9">
        <f t="shared" si="278"/>
        <v>0</v>
      </c>
      <c r="BR1705" s="12" t="str">
        <f t="shared" si="279"/>
        <v/>
      </c>
    </row>
    <row r="1706" spans="1:70" ht="14.25" customHeight="1">
      <c r="A1706" s="26"/>
      <c r="C1706" s="26"/>
      <c r="D1706" s="27"/>
      <c r="E1706" s="27"/>
      <c r="BE1706" s="10" t="str">
        <f t="shared" si="270"/>
        <v/>
      </c>
      <c r="BF1706" s="8" t="str">
        <f t="shared" si="271"/>
        <v/>
      </c>
      <c r="BG1706" s="11" t="str">
        <f t="shared" si="272"/>
        <v/>
      </c>
      <c r="BH1706" s="8" t="str">
        <f t="shared" si="273"/>
        <v/>
      </c>
      <c r="BI1706" s="8" t="str">
        <f t="shared" si="274"/>
        <v/>
      </c>
      <c r="BJ1706" s="9" t="str">
        <f t="shared" si="275"/>
        <v/>
      </c>
      <c r="BK1706" s="9" t="str">
        <f>IF($B1706="","",COUNTIFS($B$5:$B1706,$B1706,$BF$5:$BF1706,$BF1706))</f>
        <v/>
      </c>
      <c r="BL1706" s="9" t="str">
        <f>IF($B1706="","",COUNTIFS($B$5:$B1706,$B1706,$BH$5:$BH1706,$BH1706))</f>
        <v/>
      </c>
      <c r="BM1706" s="9" t="str">
        <f t="shared" si="276"/>
        <v/>
      </c>
      <c r="BN1706" s="9" t="str">
        <f t="shared" si="277"/>
        <v/>
      </c>
      <c r="BO1706" s="9">
        <f t="shared" si="278"/>
        <v>0</v>
      </c>
      <c r="BR1706" s="12" t="str">
        <f t="shared" si="279"/>
        <v/>
      </c>
    </row>
    <row r="1707" spans="1:70" ht="14.25" customHeight="1">
      <c r="A1707" s="26"/>
      <c r="C1707" s="26"/>
      <c r="D1707" s="27"/>
      <c r="E1707" s="27"/>
      <c r="BE1707" s="10" t="str">
        <f t="shared" si="270"/>
        <v/>
      </c>
      <c r="BF1707" s="8" t="str">
        <f t="shared" si="271"/>
        <v/>
      </c>
      <c r="BG1707" s="11" t="str">
        <f t="shared" si="272"/>
        <v/>
      </c>
      <c r="BH1707" s="8" t="str">
        <f t="shared" si="273"/>
        <v/>
      </c>
      <c r="BI1707" s="8" t="str">
        <f t="shared" si="274"/>
        <v/>
      </c>
      <c r="BJ1707" s="9" t="str">
        <f t="shared" si="275"/>
        <v/>
      </c>
      <c r="BK1707" s="9" t="str">
        <f>IF($B1707="","",COUNTIFS($B$5:$B1707,$B1707,$BF$5:$BF1707,$BF1707))</f>
        <v/>
      </c>
      <c r="BL1707" s="9" t="str">
        <f>IF($B1707="","",COUNTIFS($B$5:$B1707,$B1707,$BH$5:$BH1707,$BH1707))</f>
        <v/>
      </c>
      <c r="BM1707" s="9" t="str">
        <f t="shared" si="276"/>
        <v/>
      </c>
      <c r="BN1707" s="9" t="str">
        <f t="shared" si="277"/>
        <v/>
      </c>
      <c r="BO1707" s="9">
        <f t="shared" si="278"/>
        <v>0</v>
      </c>
      <c r="BR1707" s="12" t="str">
        <f t="shared" si="279"/>
        <v/>
      </c>
    </row>
    <row r="1708" spans="1:70" ht="14.25" customHeight="1">
      <c r="A1708" s="26"/>
      <c r="C1708" s="26"/>
      <c r="D1708" s="27"/>
      <c r="E1708" s="27"/>
      <c r="BE1708" s="10" t="str">
        <f t="shared" si="270"/>
        <v/>
      </c>
      <c r="BF1708" s="8" t="str">
        <f t="shared" si="271"/>
        <v/>
      </c>
      <c r="BG1708" s="11" t="str">
        <f t="shared" si="272"/>
        <v/>
      </c>
      <c r="BH1708" s="8" t="str">
        <f t="shared" si="273"/>
        <v/>
      </c>
      <c r="BI1708" s="8" t="str">
        <f t="shared" si="274"/>
        <v/>
      </c>
      <c r="BJ1708" s="9" t="str">
        <f t="shared" si="275"/>
        <v/>
      </c>
      <c r="BK1708" s="9" t="str">
        <f>IF($B1708="","",COUNTIFS($B$5:$B1708,$B1708,$BF$5:$BF1708,$BF1708))</f>
        <v/>
      </c>
      <c r="BL1708" s="9" t="str">
        <f>IF($B1708="","",COUNTIFS($B$5:$B1708,$B1708,$BH$5:$BH1708,$BH1708))</f>
        <v/>
      </c>
      <c r="BM1708" s="9" t="str">
        <f t="shared" si="276"/>
        <v/>
      </c>
      <c r="BN1708" s="9" t="str">
        <f t="shared" si="277"/>
        <v/>
      </c>
      <c r="BO1708" s="9">
        <f t="shared" si="278"/>
        <v>0</v>
      </c>
      <c r="BR1708" s="12" t="str">
        <f t="shared" si="279"/>
        <v/>
      </c>
    </row>
    <row r="1709" spans="1:70" ht="14.25" customHeight="1">
      <c r="A1709" s="26"/>
      <c r="C1709" s="26"/>
      <c r="D1709" s="27"/>
      <c r="E1709" s="27"/>
      <c r="BE1709" s="10" t="str">
        <f t="shared" si="270"/>
        <v/>
      </c>
      <c r="BF1709" s="8" t="str">
        <f t="shared" si="271"/>
        <v/>
      </c>
      <c r="BG1709" s="11" t="str">
        <f t="shared" si="272"/>
        <v/>
      </c>
      <c r="BH1709" s="8" t="str">
        <f t="shared" si="273"/>
        <v/>
      </c>
      <c r="BI1709" s="8" t="str">
        <f t="shared" si="274"/>
        <v/>
      </c>
      <c r="BJ1709" s="9" t="str">
        <f t="shared" si="275"/>
        <v/>
      </c>
      <c r="BK1709" s="9" t="str">
        <f>IF($B1709="","",COUNTIFS($B$5:$B1709,$B1709,$BF$5:$BF1709,$BF1709))</f>
        <v/>
      </c>
      <c r="BL1709" s="9" t="str">
        <f>IF($B1709="","",COUNTIFS($B$5:$B1709,$B1709,$BH$5:$BH1709,$BH1709))</f>
        <v/>
      </c>
      <c r="BM1709" s="9" t="str">
        <f t="shared" si="276"/>
        <v/>
      </c>
      <c r="BN1709" s="9" t="str">
        <f t="shared" si="277"/>
        <v/>
      </c>
      <c r="BO1709" s="9">
        <f t="shared" si="278"/>
        <v>0</v>
      </c>
      <c r="BR1709" s="12" t="str">
        <f t="shared" si="279"/>
        <v/>
      </c>
    </row>
    <row r="1710" spans="1:70" ht="14.25" customHeight="1">
      <c r="A1710" s="26"/>
      <c r="C1710" s="26"/>
      <c r="D1710" s="27"/>
      <c r="E1710" s="27"/>
      <c r="BE1710" s="10" t="str">
        <f t="shared" si="270"/>
        <v/>
      </c>
      <c r="BF1710" s="8" t="str">
        <f t="shared" si="271"/>
        <v/>
      </c>
      <c r="BG1710" s="11" t="str">
        <f t="shared" si="272"/>
        <v/>
      </c>
      <c r="BH1710" s="8" t="str">
        <f t="shared" si="273"/>
        <v/>
      </c>
      <c r="BI1710" s="8" t="str">
        <f t="shared" si="274"/>
        <v/>
      </c>
      <c r="BJ1710" s="9" t="str">
        <f t="shared" si="275"/>
        <v/>
      </c>
      <c r="BK1710" s="9" t="str">
        <f>IF($B1710="","",COUNTIFS($B$5:$B1710,$B1710,$BF$5:$BF1710,$BF1710))</f>
        <v/>
      </c>
      <c r="BL1710" s="9" t="str">
        <f>IF($B1710="","",COUNTIFS($B$5:$B1710,$B1710,$BH$5:$BH1710,$BH1710))</f>
        <v/>
      </c>
      <c r="BM1710" s="9" t="str">
        <f t="shared" si="276"/>
        <v/>
      </c>
      <c r="BN1710" s="9" t="str">
        <f t="shared" si="277"/>
        <v/>
      </c>
      <c r="BO1710" s="9">
        <f t="shared" si="278"/>
        <v>0</v>
      </c>
      <c r="BR1710" s="12" t="str">
        <f t="shared" si="279"/>
        <v/>
      </c>
    </row>
    <row r="1711" spans="1:70" ht="14.25" customHeight="1">
      <c r="A1711" s="26"/>
      <c r="C1711" s="26"/>
      <c r="D1711" s="27"/>
      <c r="E1711" s="27"/>
      <c r="BE1711" s="10" t="str">
        <f t="shared" si="270"/>
        <v/>
      </c>
      <c r="BF1711" s="8" t="str">
        <f t="shared" si="271"/>
        <v/>
      </c>
      <c r="BG1711" s="11" t="str">
        <f t="shared" si="272"/>
        <v/>
      </c>
      <c r="BH1711" s="8" t="str">
        <f t="shared" si="273"/>
        <v/>
      </c>
      <c r="BI1711" s="8" t="str">
        <f t="shared" si="274"/>
        <v/>
      </c>
      <c r="BJ1711" s="9" t="str">
        <f t="shared" si="275"/>
        <v/>
      </c>
      <c r="BK1711" s="9" t="str">
        <f>IF($B1711="","",COUNTIFS($B$5:$B1711,$B1711,$BF$5:$BF1711,$BF1711))</f>
        <v/>
      </c>
      <c r="BL1711" s="9" t="str">
        <f>IF($B1711="","",COUNTIFS($B$5:$B1711,$B1711,$BH$5:$BH1711,$BH1711))</f>
        <v/>
      </c>
      <c r="BM1711" s="9" t="str">
        <f t="shared" si="276"/>
        <v/>
      </c>
      <c r="BN1711" s="9" t="str">
        <f t="shared" si="277"/>
        <v/>
      </c>
      <c r="BO1711" s="9">
        <f t="shared" si="278"/>
        <v>0</v>
      </c>
      <c r="BR1711" s="12" t="str">
        <f t="shared" si="279"/>
        <v/>
      </c>
    </row>
    <row r="1712" spans="1:70" ht="14.25" customHeight="1">
      <c r="A1712" s="26"/>
      <c r="C1712" s="26"/>
      <c r="D1712" s="27"/>
      <c r="E1712" s="27"/>
      <c r="BE1712" s="10" t="str">
        <f t="shared" si="270"/>
        <v/>
      </c>
      <c r="BF1712" s="8" t="str">
        <f t="shared" si="271"/>
        <v/>
      </c>
      <c r="BG1712" s="11" t="str">
        <f t="shared" si="272"/>
        <v/>
      </c>
      <c r="BH1712" s="8" t="str">
        <f t="shared" si="273"/>
        <v/>
      </c>
      <c r="BI1712" s="8" t="str">
        <f t="shared" si="274"/>
        <v/>
      </c>
      <c r="BJ1712" s="9" t="str">
        <f t="shared" si="275"/>
        <v/>
      </c>
      <c r="BK1712" s="9" t="str">
        <f>IF($B1712="","",COUNTIFS($B$5:$B1712,$B1712,$BF$5:$BF1712,$BF1712))</f>
        <v/>
      </c>
      <c r="BL1712" s="9" t="str">
        <f>IF($B1712="","",COUNTIFS($B$5:$B1712,$B1712,$BH$5:$BH1712,$BH1712))</f>
        <v/>
      </c>
      <c r="BM1712" s="9" t="str">
        <f t="shared" si="276"/>
        <v/>
      </c>
      <c r="BN1712" s="9" t="str">
        <f t="shared" si="277"/>
        <v/>
      </c>
      <c r="BO1712" s="9">
        <f t="shared" si="278"/>
        <v>0</v>
      </c>
      <c r="BR1712" s="12" t="str">
        <f t="shared" si="279"/>
        <v/>
      </c>
    </row>
    <row r="1713" spans="1:70" ht="14.25" customHeight="1">
      <c r="A1713" s="26"/>
      <c r="C1713" s="26"/>
      <c r="D1713" s="27"/>
      <c r="E1713" s="27"/>
      <c r="BE1713" s="10" t="str">
        <f t="shared" si="270"/>
        <v/>
      </c>
      <c r="BF1713" s="8" t="str">
        <f t="shared" si="271"/>
        <v/>
      </c>
      <c r="BG1713" s="11" t="str">
        <f t="shared" si="272"/>
        <v/>
      </c>
      <c r="BH1713" s="8" t="str">
        <f t="shared" si="273"/>
        <v/>
      </c>
      <c r="BI1713" s="8" t="str">
        <f t="shared" si="274"/>
        <v/>
      </c>
      <c r="BJ1713" s="9" t="str">
        <f t="shared" si="275"/>
        <v/>
      </c>
      <c r="BK1713" s="9" t="str">
        <f>IF($B1713="","",COUNTIFS($B$5:$B1713,$B1713,$BF$5:$BF1713,$BF1713))</f>
        <v/>
      </c>
      <c r="BL1713" s="9" t="str">
        <f>IF($B1713="","",COUNTIFS($B$5:$B1713,$B1713,$BH$5:$BH1713,$BH1713))</f>
        <v/>
      </c>
      <c r="BM1713" s="9" t="str">
        <f t="shared" si="276"/>
        <v/>
      </c>
      <c r="BN1713" s="9" t="str">
        <f t="shared" si="277"/>
        <v/>
      </c>
      <c r="BO1713" s="9">
        <f t="shared" si="278"/>
        <v>0</v>
      </c>
      <c r="BR1713" s="12" t="str">
        <f t="shared" si="279"/>
        <v/>
      </c>
    </row>
    <row r="1714" spans="1:70" ht="14.25" customHeight="1">
      <c r="A1714" s="26"/>
      <c r="C1714" s="26"/>
      <c r="D1714" s="27"/>
      <c r="E1714" s="27"/>
      <c r="BE1714" s="10" t="str">
        <f t="shared" si="270"/>
        <v/>
      </c>
      <c r="BF1714" s="8" t="str">
        <f t="shared" si="271"/>
        <v/>
      </c>
      <c r="BG1714" s="11" t="str">
        <f t="shared" si="272"/>
        <v/>
      </c>
      <c r="BH1714" s="8" t="str">
        <f t="shared" si="273"/>
        <v/>
      </c>
      <c r="BI1714" s="8" t="str">
        <f t="shared" si="274"/>
        <v/>
      </c>
      <c r="BJ1714" s="9" t="str">
        <f t="shared" si="275"/>
        <v/>
      </c>
      <c r="BK1714" s="9" t="str">
        <f>IF($B1714="","",COUNTIFS($B$5:$B1714,$B1714,$BF$5:$BF1714,$BF1714))</f>
        <v/>
      </c>
      <c r="BL1714" s="9" t="str">
        <f>IF($B1714="","",COUNTIFS($B$5:$B1714,$B1714,$BH$5:$BH1714,$BH1714))</f>
        <v/>
      </c>
      <c r="BM1714" s="9" t="str">
        <f t="shared" si="276"/>
        <v/>
      </c>
      <c r="BN1714" s="9" t="str">
        <f t="shared" si="277"/>
        <v/>
      </c>
      <c r="BO1714" s="9">
        <f t="shared" si="278"/>
        <v>0</v>
      </c>
      <c r="BR1714" s="12" t="str">
        <f t="shared" si="279"/>
        <v/>
      </c>
    </row>
    <row r="1715" spans="1:70" ht="14.25" customHeight="1">
      <c r="A1715" s="26"/>
      <c r="C1715" s="26"/>
      <c r="D1715" s="27"/>
      <c r="E1715" s="27"/>
      <c r="BE1715" s="10" t="str">
        <f t="shared" si="270"/>
        <v/>
      </c>
      <c r="BF1715" s="8" t="str">
        <f t="shared" si="271"/>
        <v/>
      </c>
      <c r="BG1715" s="11" t="str">
        <f t="shared" si="272"/>
        <v/>
      </c>
      <c r="BH1715" s="8" t="str">
        <f t="shared" si="273"/>
        <v/>
      </c>
      <c r="BI1715" s="8" t="str">
        <f t="shared" si="274"/>
        <v/>
      </c>
      <c r="BJ1715" s="9" t="str">
        <f t="shared" si="275"/>
        <v/>
      </c>
      <c r="BK1715" s="9" t="str">
        <f>IF($B1715="","",COUNTIFS($B$5:$B1715,$B1715,$BF$5:$BF1715,$BF1715))</f>
        <v/>
      </c>
      <c r="BL1715" s="9" t="str">
        <f>IF($B1715="","",COUNTIFS($B$5:$B1715,$B1715,$BH$5:$BH1715,$BH1715))</f>
        <v/>
      </c>
      <c r="BM1715" s="9" t="str">
        <f t="shared" si="276"/>
        <v/>
      </c>
      <c r="BN1715" s="9" t="str">
        <f t="shared" si="277"/>
        <v/>
      </c>
      <c r="BO1715" s="9">
        <f t="shared" si="278"/>
        <v>0</v>
      </c>
      <c r="BR1715" s="12" t="str">
        <f t="shared" si="279"/>
        <v/>
      </c>
    </row>
    <row r="1716" spans="1:70" ht="14.25" customHeight="1">
      <c r="A1716" s="26"/>
      <c r="C1716" s="26"/>
      <c r="D1716" s="27"/>
      <c r="E1716" s="27"/>
      <c r="BE1716" s="10" t="str">
        <f t="shared" si="270"/>
        <v/>
      </c>
      <c r="BF1716" s="8" t="str">
        <f t="shared" si="271"/>
        <v/>
      </c>
      <c r="BG1716" s="11" t="str">
        <f t="shared" si="272"/>
        <v/>
      </c>
      <c r="BH1716" s="8" t="str">
        <f t="shared" si="273"/>
        <v/>
      </c>
      <c r="BI1716" s="8" t="str">
        <f t="shared" si="274"/>
        <v/>
      </c>
      <c r="BJ1716" s="9" t="str">
        <f t="shared" si="275"/>
        <v/>
      </c>
      <c r="BK1716" s="9" t="str">
        <f>IF($B1716="","",COUNTIFS($B$5:$B1716,$B1716,$BF$5:$BF1716,$BF1716))</f>
        <v/>
      </c>
      <c r="BL1716" s="9" t="str">
        <f>IF($B1716="","",COUNTIFS($B$5:$B1716,$B1716,$BH$5:$BH1716,$BH1716))</f>
        <v/>
      </c>
      <c r="BM1716" s="9" t="str">
        <f t="shared" si="276"/>
        <v/>
      </c>
      <c r="BN1716" s="9" t="str">
        <f t="shared" si="277"/>
        <v/>
      </c>
      <c r="BO1716" s="9">
        <f t="shared" si="278"/>
        <v>0</v>
      </c>
      <c r="BR1716" s="12" t="str">
        <f t="shared" si="279"/>
        <v/>
      </c>
    </row>
    <row r="1717" spans="1:70" ht="14.25" customHeight="1">
      <c r="A1717" s="26"/>
      <c r="C1717" s="26"/>
      <c r="D1717" s="27"/>
      <c r="E1717" s="27"/>
      <c r="BE1717" s="10" t="str">
        <f t="shared" si="270"/>
        <v/>
      </c>
      <c r="BF1717" s="8" t="str">
        <f t="shared" si="271"/>
        <v/>
      </c>
      <c r="BG1717" s="11" t="str">
        <f t="shared" si="272"/>
        <v/>
      </c>
      <c r="BH1717" s="8" t="str">
        <f t="shared" si="273"/>
        <v/>
      </c>
      <c r="BI1717" s="8" t="str">
        <f t="shared" si="274"/>
        <v/>
      </c>
      <c r="BJ1717" s="9" t="str">
        <f t="shared" si="275"/>
        <v/>
      </c>
      <c r="BK1717" s="9" t="str">
        <f>IF($B1717="","",COUNTIFS($B$5:$B1717,$B1717,$BF$5:$BF1717,$BF1717))</f>
        <v/>
      </c>
      <c r="BL1717" s="9" t="str">
        <f>IF($B1717="","",COUNTIFS($B$5:$B1717,$B1717,$BH$5:$BH1717,$BH1717))</f>
        <v/>
      </c>
      <c r="BM1717" s="9" t="str">
        <f t="shared" si="276"/>
        <v/>
      </c>
      <c r="BN1717" s="9" t="str">
        <f t="shared" si="277"/>
        <v/>
      </c>
      <c r="BO1717" s="9">
        <f t="shared" si="278"/>
        <v>0</v>
      </c>
      <c r="BR1717" s="12" t="str">
        <f t="shared" si="279"/>
        <v/>
      </c>
    </row>
    <row r="1718" spans="1:70" ht="14.25" customHeight="1">
      <c r="A1718" s="26"/>
      <c r="C1718" s="26"/>
      <c r="D1718" s="27"/>
      <c r="E1718" s="27"/>
      <c r="BE1718" s="10" t="str">
        <f t="shared" si="270"/>
        <v/>
      </c>
      <c r="BF1718" s="8" t="str">
        <f t="shared" si="271"/>
        <v/>
      </c>
      <c r="BG1718" s="11" t="str">
        <f t="shared" si="272"/>
        <v/>
      </c>
      <c r="BH1718" s="8" t="str">
        <f t="shared" si="273"/>
        <v/>
      </c>
      <c r="BI1718" s="8" t="str">
        <f t="shared" si="274"/>
        <v/>
      </c>
      <c r="BJ1718" s="9" t="str">
        <f t="shared" si="275"/>
        <v/>
      </c>
      <c r="BK1718" s="9" t="str">
        <f>IF($B1718="","",COUNTIFS($B$5:$B1718,$B1718,$BF$5:$BF1718,$BF1718))</f>
        <v/>
      </c>
      <c r="BL1718" s="9" t="str">
        <f>IF($B1718="","",COUNTIFS($B$5:$B1718,$B1718,$BH$5:$BH1718,$BH1718))</f>
        <v/>
      </c>
      <c r="BM1718" s="9" t="str">
        <f t="shared" si="276"/>
        <v/>
      </c>
      <c r="BN1718" s="9" t="str">
        <f t="shared" si="277"/>
        <v/>
      </c>
      <c r="BO1718" s="9">
        <f t="shared" si="278"/>
        <v>0</v>
      </c>
      <c r="BR1718" s="12" t="str">
        <f t="shared" si="279"/>
        <v/>
      </c>
    </row>
    <row r="1719" spans="1:70" ht="14.25" customHeight="1">
      <c r="A1719" s="26"/>
      <c r="C1719" s="26"/>
      <c r="D1719" s="27"/>
      <c r="E1719" s="27"/>
      <c r="BE1719" s="10" t="str">
        <f t="shared" si="270"/>
        <v/>
      </c>
      <c r="BF1719" s="8" t="str">
        <f t="shared" si="271"/>
        <v/>
      </c>
      <c r="BG1719" s="11" t="str">
        <f t="shared" si="272"/>
        <v/>
      </c>
      <c r="BH1719" s="8" t="str">
        <f t="shared" si="273"/>
        <v/>
      </c>
      <c r="BI1719" s="8" t="str">
        <f t="shared" si="274"/>
        <v/>
      </c>
      <c r="BJ1719" s="9" t="str">
        <f t="shared" si="275"/>
        <v/>
      </c>
      <c r="BK1719" s="9" t="str">
        <f>IF($B1719="","",COUNTIFS($B$5:$B1719,$B1719,$BF$5:$BF1719,$BF1719))</f>
        <v/>
      </c>
      <c r="BL1719" s="9" t="str">
        <f>IF($B1719="","",COUNTIFS($B$5:$B1719,$B1719,$BH$5:$BH1719,$BH1719))</f>
        <v/>
      </c>
      <c r="BM1719" s="9" t="str">
        <f t="shared" si="276"/>
        <v/>
      </c>
      <c r="BN1719" s="9" t="str">
        <f t="shared" si="277"/>
        <v/>
      </c>
      <c r="BO1719" s="9">
        <f t="shared" si="278"/>
        <v>0</v>
      </c>
      <c r="BR1719" s="12" t="str">
        <f t="shared" si="279"/>
        <v/>
      </c>
    </row>
    <row r="1720" spans="1:70" ht="14.25" customHeight="1">
      <c r="A1720" s="26"/>
      <c r="C1720" s="26"/>
      <c r="D1720" s="27"/>
      <c r="E1720" s="27"/>
      <c r="BE1720" s="10" t="str">
        <f t="shared" si="270"/>
        <v/>
      </c>
      <c r="BF1720" s="8" t="str">
        <f t="shared" si="271"/>
        <v/>
      </c>
      <c r="BG1720" s="11" t="str">
        <f t="shared" si="272"/>
        <v/>
      </c>
      <c r="BH1720" s="8" t="str">
        <f t="shared" si="273"/>
        <v/>
      </c>
      <c r="BI1720" s="8" t="str">
        <f t="shared" si="274"/>
        <v/>
      </c>
      <c r="BJ1720" s="9" t="str">
        <f t="shared" si="275"/>
        <v/>
      </c>
      <c r="BK1720" s="9" t="str">
        <f>IF($B1720="","",COUNTIFS($B$5:$B1720,$B1720,$BF$5:$BF1720,$BF1720))</f>
        <v/>
      </c>
      <c r="BL1720" s="9" t="str">
        <f>IF($B1720="","",COUNTIFS($B$5:$B1720,$B1720,$BH$5:$BH1720,$BH1720))</f>
        <v/>
      </c>
      <c r="BM1720" s="9" t="str">
        <f t="shared" si="276"/>
        <v/>
      </c>
      <c r="BN1720" s="9" t="str">
        <f t="shared" si="277"/>
        <v/>
      </c>
      <c r="BO1720" s="9">
        <f t="shared" si="278"/>
        <v>0</v>
      </c>
      <c r="BR1720" s="12" t="str">
        <f t="shared" si="279"/>
        <v/>
      </c>
    </row>
    <row r="1721" spans="1:70" ht="14.25" customHeight="1">
      <c r="A1721" s="26"/>
      <c r="C1721" s="26"/>
      <c r="D1721" s="27"/>
      <c r="E1721" s="27"/>
      <c r="BE1721" s="10" t="str">
        <f t="shared" si="270"/>
        <v/>
      </c>
      <c r="BF1721" s="8" t="str">
        <f t="shared" si="271"/>
        <v/>
      </c>
      <c r="BG1721" s="11" t="str">
        <f t="shared" si="272"/>
        <v/>
      </c>
      <c r="BH1721" s="8" t="str">
        <f t="shared" si="273"/>
        <v/>
      </c>
      <c r="BI1721" s="8" t="str">
        <f t="shared" si="274"/>
        <v/>
      </c>
      <c r="BJ1721" s="9" t="str">
        <f t="shared" si="275"/>
        <v/>
      </c>
      <c r="BK1721" s="9" t="str">
        <f>IF($B1721="","",COUNTIFS($B$5:$B1721,$B1721,$BF$5:$BF1721,$BF1721))</f>
        <v/>
      </c>
      <c r="BL1721" s="9" t="str">
        <f>IF($B1721="","",COUNTIFS($B$5:$B1721,$B1721,$BH$5:$BH1721,$BH1721))</f>
        <v/>
      </c>
      <c r="BM1721" s="9" t="str">
        <f t="shared" si="276"/>
        <v/>
      </c>
      <c r="BN1721" s="9" t="str">
        <f t="shared" si="277"/>
        <v/>
      </c>
      <c r="BO1721" s="9">
        <f t="shared" si="278"/>
        <v>0</v>
      </c>
      <c r="BR1721" s="12" t="str">
        <f t="shared" si="279"/>
        <v/>
      </c>
    </row>
    <row r="1722" spans="1:70" ht="14.25" customHeight="1">
      <c r="A1722" s="26"/>
      <c r="C1722" s="26"/>
      <c r="D1722" s="27"/>
      <c r="E1722" s="27"/>
      <c r="BE1722" s="10" t="str">
        <f t="shared" si="270"/>
        <v/>
      </c>
      <c r="BF1722" s="8" t="str">
        <f t="shared" si="271"/>
        <v/>
      </c>
      <c r="BG1722" s="11" t="str">
        <f t="shared" si="272"/>
        <v/>
      </c>
      <c r="BH1722" s="8" t="str">
        <f t="shared" si="273"/>
        <v/>
      </c>
      <c r="BI1722" s="8" t="str">
        <f t="shared" si="274"/>
        <v/>
      </c>
      <c r="BJ1722" s="9" t="str">
        <f t="shared" si="275"/>
        <v/>
      </c>
      <c r="BK1722" s="9" t="str">
        <f>IF($B1722="","",COUNTIFS($B$5:$B1722,$B1722,$BF$5:$BF1722,$BF1722))</f>
        <v/>
      </c>
      <c r="BL1722" s="9" t="str">
        <f>IF($B1722="","",COUNTIFS($B$5:$B1722,$B1722,$BH$5:$BH1722,$BH1722))</f>
        <v/>
      </c>
      <c r="BM1722" s="9" t="str">
        <f t="shared" si="276"/>
        <v/>
      </c>
      <c r="BN1722" s="9" t="str">
        <f t="shared" si="277"/>
        <v/>
      </c>
      <c r="BO1722" s="9">
        <f t="shared" si="278"/>
        <v>0</v>
      </c>
      <c r="BR1722" s="12" t="str">
        <f t="shared" si="279"/>
        <v/>
      </c>
    </row>
    <row r="1723" spans="1:70" ht="14.25" customHeight="1">
      <c r="A1723" s="26"/>
      <c r="C1723" s="26"/>
      <c r="D1723" s="27"/>
      <c r="E1723" s="27"/>
      <c r="BE1723" s="10" t="str">
        <f t="shared" si="270"/>
        <v/>
      </c>
      <c r="BF1723" s="8" t="str">
        <f t="shared" si="271"/>
        <v/>
      </c>
      <c r="BG1723" s="11" t="str">
        <f t="shared" si="272"/>
        <v/>
      </c>
      <c r="BH1723" s="8" t="str">
        <f t="shared" si="273"/>
        <v/>
      </c>
      <c r="BI1723" s="8" t="str">
        <f t="shared" si="274"/>
        <v/>
      </c>
      <c r="BJ1723" s="9" t="str">
        <f t="shared" si="275"/>
        <v/>
      </c>
      <c r="BK1723" s="9" t="str">
        <f>IF($B1723="","",COUNTIFS($B$5:$B1723,$B1723,$BF$5:$BF1723,$BF1723))</f>
        <v/>
      </c>
      <c r="BL1723" s="9" t="str">
        <f>IF($B1723="","",COUNTIFS($B$5:$B1723,$B1723,$BH$5:$BH1723,$BH1723))</f>
        <v/>
      </c>
      <c r="BM1723" s="9" t="str">
        <f t="shared" si="276"/>
        <v/>
      </c>
      <c r="BN1723" s="9" t="str">
        <f t="shared" si="277"/>
        <v/>
      </c>
      <c r="BO1723" s="9">
        <f t="shared" si="278"/>
        <v>0</v>
      </c>
      <c r="BR1723" s="12" t="str">
        <f t="shared" si="279"/>
        <v/>
      </c>
    </row>
    <row r="1724" spans="1:70" ht="14.25" customHeight="1">
      <c r="A1724" s="26"/>
      <c r="C1724" s="26"/>
      <c r="D1724" s="27"/>
      <c r="E1724" s="27"/>
      <c r="BE1724" s="10" t="str">
        <f t="shared" si="270"/>
        <v/>
      </c>
      <c r="BF1724" s="8" t="str">
        <f t="shared" si="271"/>
        <v/>
      </c>
      <c r="BG1724" s="11" t="str">
        <f t="shared" si="272"/>
        <v/>
      </c>
      <c r="BH1724" s="8" t="str">
        <f t="shared" si="273"/>
        <v/>
      </c>
      <c r="BI1724" s="8" t="str">
        <f t="shared" si="274"/>
        <v/>
      </c>
      <c r="BJ1724" s="9" t="str">
        <f t="shared" si="275"/>
        <v/>
      </c>
      <c r="BK1724" s="9" t="str">
        <f>IF($B1724="","",COUNTIFS($B$5:$B1724,$B1724,$BF$5:$BF1724,$BF1724))</f>
        <v/>
      </c>
      <c r="BL1724" s="9" t="str">
        <f>IF($B1724="","",COUNTIFS($B$5:$B1724,$B1724,$BH$5:$BH1724,$BH1724))</f>
        <v/>
      </c>
      <c r="BM1724" s="9" t="str">
        <f t="shared" si="276"/>
        <v/>
      </c>
      <c r="BN1724" s="9" t="str">
        <f t="shared" si="277"/>
        <v/>
      </c>
      <c r="BO1724" s="9">
        <f t="shared" si="278"/>
        <v>0</v>
      </c>
      <c r="BR1724" s="12" t="str">
        <f t="shared" si="279"/>
        <v/>
      </c>
    </row>
    <row r="1725" spans="1:70" ht="14.25" customHeight="1">
      <c r="A1725" s="26"/>
      <c r="C1725" s="26"/>
      <c r="D1725" s="27"/>
      <c r="E1725" s="27"/>
      <c r="BE1725" s="10" t="str">
        <f t="shared" si="270"/>
        <v/>
      </c>
      <c r="BF1725" s="8" t="str">
        <f t="shared" si="271"/>
        <v/>
      </c>
      <c r="BG1725" s="11" t="str">
        <f t="shared" si="272"/>
        <v/>
      </c>
      <c r="BH1725" s="8" t="str">
        <f t="shared" si="273"/>
        <v/>
      </c>
      <c r="BI1725" s="8" t="str">
        <f t="shared" si="274"/>
        <v/>
      </c>
      <c r="BJ1725" s="9" t="str">
        <f t="shared" si="275"/>
        <v/>
      </c>
      <c r="BK1725" s="9" t="str">
        <f>IF($B1725="","",COUNTIFS($B$5:$B1725,$B1725,$BF$5:$BF1725,$BF1725))</f>
        <v/>
      </c>
      <c r="BL1725" s="9" t="str">
        <f>IF($B1725="","",COUNTIFS($B$5:$B1725,$B1725,$BH$5:$BH1725,$BH1725))</f>
        <v/>
      </c>
      <c r="BM1725" s="9" t="str">
        <f t="shared" si="276"/>
        <v/>
      </c>
      <c r="BN1725" s="9" t="str">
        <f t="shared" si="277"/>
        <v/>
      </c>
      <c r="BO1725" s="9">
        <f t="shared" si="278"/>
        <v>0</v>
      </c>
      <c r="BR1725" s="12" t="str">
        <f t="shared" si="279"/>
        <v/>
      </c>
    </row>
    <row r="1726" spans="1:70" ht="14.25" customHeight="1">
      <c r="A1726" s="26"/>
      <c r="C1726" s="26"/>
      <c r="D1726" s="27"/>
      <c r="E1726" s="27"/>
      <c r="BE1726" s="10" t="str">
        <f t="shared" si="270"/>
        <v/>
      </c>
      <c r="BF1726" s="8" t="str">
        <f t="shared" si="271"/>
        <v/>
      </c>
      <c r="BG1726" s="11" t="str">
        <f t="shared" si="272"/>
        <v/>
      </c>
      <c r="BH1726" s="8" t="str">
        <f t="shared" si="273"/>
        <v/>
      </c>
      <c r="BI1726" s="8" t="str">
        <f t="shared" si="274"/>
        <v/>
      </c>
      <c r="BJ1726" s="9" t="str">
        <f t="shared" si="275"/>
        <v/>
      </c>
      <c r="BK1726" s="9" t="str">
        <f>IF($B1726="","",COUNTIFS($B$5:$B1726,$B1726,$BF$5:$BF1726,$BF1726))</f>
        <v/>
      </c>
      <c r="BL1726" s="9" t="str">
        <f>IF($B1726="","",COUNTIFS($B$5:$B1726,$B1726,$BH$5:$BH1726,$BH1726))</f>
        <v/>
      </c>
      <c r="BM1726" s="9" t="str">
        <f t="shared" si="276"/>
        <v/>
      </c>
      <c r="BN1726" s="9" t="str">
        <f t="shared" si="277"/>
        <v/>
      </c>
      <c r="BO1726" s="9">
        <f t="shared" si="278"/>
        <v>0</v>
      </c>
      <c r="BR1726" s="12" t="str">
        <f t="shared" si="279"/>
        <v/>
      </c>
    </row>
    <row r="1727" spans="1:70" ht="14.25" customHeight="1">
      <c r="A1727" s="26"/>
      <c r="C1727" s="26"/>
      <c r="D1727" s="27"/>
      <c r="E1727" s="27"/>
      <c r="BE1727" s="10" t="str">
        <f t="shared" si="270"/>
        <v/>
      </c>
      <c r="BF1727" s="8" t="str">
        <f t="shared" si="271"/>
        <v/>
      </c>
      <c r="BG1727" s="11" t="str">
        <f t="shared" si="272"/>
        <v/>
      </c>
      <c r="BH1727" s="8" t="str">
        <f t="shared" si="273"/>
        <v/>
      </c>
      <c r="BI1727" s="8" t="str">
        <f t="shared" si="274"/>
        <v/>
      </c>
      <c r="BJ1727" s="9" t="str">
        <f t="shared" si="275"/>
        <v/>
      </c>
      <c r="BK1727" s="9" t="str">
        <f>IF($B1727="","",COUNTIFS($B$5:$B1727,$B1727,$BF$5:$BF1727,$BF1727))</f>
        <v/>
      </c>
      <c r="BL1727" s="9" t="str">
        <f>IF($B1727="","",COUNTIFS($B$5:$B1727,$B1727,$BH$5:$BH1727,$BH1727))</f>
        <v/>
      </c>
      <c r="BM1727" s="9" t="str">
        <f t="shared" si="276"/>
        <v/>
      </c>
      <c r="BN1727" s="9" t="str">
        <f t="shared" si="277"/>
        <v/>
      </c>
      <c r="BO1727" s="9">
        <f t="shared" si="278"/>
        <v>0</v>
      </c>
      <c r="BR1727" s="12" t="str">
        <f t="shared" si="279"/>
        <v/>
      </c>
    </row>
    <row r="1728" spans="1:70" ht="14.25" customHeight="1">
      <c r="A1728" s="26"/>
      <c r="C1728" s="26"/>
      <c r="D1728" s="27"/>
      <c r="E1728" s="27"/>
      <c r="BE1728" s="10" t="str">
        <f t="shared" si="270"/>
        <v/>
      </c>
      <c r="BF1728" s="8" t="str">
        <f t="shared" si="271"/>
        <v/>
      </c>
      <c r="BG1728" s="11" t="str">
        <f t="shared" si="272"/>
        <v/>
      </c>
      <c r="BH1728" s="8" t="str">
        <f t="shared" si="273"/>
        <v/>
      </c>
      <c r="BI1728" s="8" t="str">
        <f t="shared" si="274"/>
        <v/>
      </c>
      <c r="BJ1728" s="9" t="str">
        <f t="shared" si="275"/>
        <v/>
      </c>
      <c r="BK1728" s="9" t="str">
        <f>IF($B1728="","",COUNTIFS($B$5:$B1728,$B1728,$BF$5:$BF1728,$BF1728))</f>
        <v/>
      </c>
      <c r="BL1728" s="9" t="str">
        <f>IF($B1728="","",COUNTIFS($B$5:$B1728,$B1728,$BH$5:$BH1728,$BH1728))</f>
        <v/>
      </c>
      <c r="BM1728" s="9" t="str">
        <f t="shared" si="276"/>
        <v/>
      </c>
      <c r="BN1728" s="9" t="str">
        <f t="shared" si="277"/>
        <v/>
      </c>
      <c r="BO1728" s="9">
        <f t="shared" si="278"/>
        <v>0</v>
      </c>
      <c r="BR1728" s="12" t="str">
        <f t="shared" si="279"/>
        <v/>
      </c>
    </row>
    <row r="1729" spans="1:70" ht="14.25" customHeight="1">
      <c r="A1729" s="26"/>
      <c r="C1729" s="26"/>
      <c r="D1729" s="27"/>
      <c r="E1729" s="27"/>
      <c r="BE1729" s="10" t="str">
        <f t="shared" si="270"/>
        <v/>
      </c>
      <c r="BF1729" s="8" t="str">
        <f t="shared" si="271"/>
        <v/>
      </c>
      <c r="BG1729" s="11" t="str">
        <f t="shared" si="272"/>
        <v/>
      </c>
      <c r="BH1729" s="8" t="str">
        <f t="shared" si="273"/>
        <v/>
      </c>
      <c r="BI1729" s="8" t="str">
        <f t="shared" si="274"/>
        <v/>
      </c>
      <c r="BJ1729" s="9" t="str">
        <f t="shared" si="275"/>
        <v/>
      </c>
      <c r="BK1729" s="9" t="str">
        <f>IF($B1729="","",COUNTIFS($B$5:$B1729,$B1729,$BF$5:$BF1729,$BF1729))</f>
        <v/>
      </c>
      <c r="BL1729" s="9" t="str">
        <f>IF($B1729="","",COUNTIFS($B$5:$B1729,$B1729,$BH$5:$BH1729,$BH1729))</f>
        <v/>
      </c>
      <c r="BM1729" s="9" t="str">
        <f t="shared" si="276"/>
        <v/>
      </c>
      <c r="BN1729" s="9" t="str">
        <f t="shared" si="277"/>
        <v/>
      </c>
      <c r="BO1729" s="9">
        <f t="shared" si="278"/>
        <v>0</v>
      </c>
      <c r="BR1729" s="12" t="str">
        <f t="shared" si="279"/>
        <v/>
      </c>
    </row>
    <row r="1730" spans="1:70" ht="14.25" customHeight="1">
      <c r="A1730" s="26"/>
      <c r="C1730" s="26"/>
      <c r="D1730" s="27"/>
      <c r="E1730" s="27"/>
      <c r="BE1730" s="10" t="str">
        <f t="shared" si="270"/>
        <v/>
      </c>
      <c r="BF1730" s="8" t="str">
        <f t="shared" si="271"/>
        <v/>
      </c>
      <c r="BG1730" s="11" t="str">
        <f t="shared" si="272"/>
        <v/>
      </c>
      <c r="BH1730" s="8" t="str">
        <f t="shared" si="273"/>
        <v/>
      </c>
      <c r="BI1730" s="8" t="str">
        <f t="shared" si="274"/>
        <v/>
      </c>
      <c r="BJ1730" s="9" t="str">
        <f t="shared" si="275"/>
        <v/>
      </c>
      <c r="BK1730" s="9" t="str">
        <f>IF($B1730="","",COUNTIFS($B$5:$B1730,$B1730,$BF$5:$BF1730,$BF1730))</f>
        <v/>
      </c>
      <c r="BL1730" s="9" t="str">
        <f>IF($B1730="","",COUNTIFS($B$5:$B1730,$B1730,$BH$5:$BH1730,$BH1730))</f>
        <v/>
      </c>
      <c r="BM1730" s="9" t="str">
        <f t="shared" si="276"/>
        <v/>
      </c>
      <c r="BN1730" s="9" t="str">
        <f t="shared" si="277"/>
        <v/>
      </c>
      <c r="BO1730" s="9">
        <f t="shared" si="278"/>
        <v>0</v>
      </c>
      <c r="BR1730" s="12" t="str">
        <f t="shared" si="279"/>
        <v/>
      </c>
    </row>
    <row r="1731" spans="1:70" ht="14.25" customHeight="1">
      <c r="A1731" s="26"/>
      <c r="C1731" s="26"/>
      <c r="D1731" s="27"/>
      <c r="E1731" s="27"/>
      <c r="BE1731" s="10" t="str">
        <f t="shared" si="270"/>
        <v/>
      </c>
      <c r="BF1731" s="8" t="str">
        <f t="shared" si="271"/>
        <v/>
      </c>
      <c r="BG1731" s="11" t="str">
        <f t="shared" si="272"/>
        <v/>
      </c>
      <c r="BH1731" s="8" t="str">
        <f t="shared" si="273"/>
        <v/>
      </c>
      <c r="BI1731" s="8" t="str">
        <f t="shared" si="274"/>
        <v/>
      </c>
      <c r="BJ1731" s="9" t="str">
        <f t="shared" si="275"/>
        <v/>
      </c>
      <c r="BK1731" s="9" t="str">
        <f>IF($B1731="","",COUNTIFS($B$5:$B1731,$B1731,$BF$5:$BF1731,$BF1731))</f>
        <v/>
      </c>
      <c r="BL1731" s="9" t="str">
        <f>IF($B1731="","",COUNTIFS($B$5:$B1731,$B1731,$BH$5:$BH1731,$BH1731))</f>
        <v/>
      </c>
      <c r="BM1731" s="9" t="str">
        <f t="shared" si="276"/>
        <v/>
      </c>
      <c r="BN1731" s="9" t="str">
        <f t="shared" si="277"/>
        <v/>
      </c>
      <c r="BO1731" s="9">
        <f t="shared" si="278"/>
        <v>0</v>
      </c>
      <c r="BR1731" s="12" t="str">
        <f t="shared" si="279"/>
        <v/>
      </c>
    </row>
    <row r="1732" spans="1:70" ht="14.25" customHeight="1">
      <c r="A1732" s="26"/>
      <c r="C1732" s="26"/>
      <c r="D1732" s="27"/>
      <c r="E1732" s="27"/>
      <c r="BE1732" s="10" t="str">
        <f t="shared" si="270"/>
        <v/>
      </c>
      <c r="BF1732" s="8" t="str">
        <f t="shared" si="271"/>
        <v/>
      </c>
      <c r="BG1732" s="11" t="str">
        <f t="shared" si="272"/>
        <v/>
      </c>
      <c r="BH1732" s="8" t="str">
        <f t="shared" si="273"/>
        <v/>
      </c>
      <c r="BI1732" s="8" t="str">
        <f t="shared" si="274"/>
        <v/>
      </c>
      <c r="BJ1732" s="9" t="str">
        <f t="shared" si="275"/>
        <v/>
      </c>
      <c r="BK1732" s="9" t="str">
        <f>IF($B1732="","",COUNTIFS($B$5:$B1732,$B1732,$BF$5:$BF1732,$BF1732))</f>
        <v/>
      </c>
      <c r="BL1732" s="9" t="str">
        <f>IF($B1732="","",COUNTIFS($B$5:$B1732,$B1732,$BH$5:$BH1732,$BH1732))</f>
        <v/>
      </c>
      <c r="BM1732" s="9" t="str">
        <f t="shared" si="276"/>
        <v/>
      </c>
      <c r="BN1732" s="9" t="str">
        <f t="shared" si="277"/>
        <v/>
      </c>
      <c r="BO1732" s="9">
        <f t="shared" si="278"/>
        <v>0</v>
      </c>
      <c r="BR1732" s="12" t="str">
        <f t="shared" si="279"/>
        <v/>
      </c>
    </row>
    <row r="1733" spans="1:70" ht="14.25" customHeight="1">
      <c r="A1733" s="26"/>
      <c r="C1733" s="26"/>
      <c r="D1733" s="27"/>
      <c r="E1733" s="27"/>
      <c r="BE1733" s="10" t="str">
        <f t="shared" si="270"/>
        <v/>
      </c>
      <c r="BF1733" s="8" t="str">
        <f t="shared" si="271"/>
        <v/>
      </c>
      <c r="BG1733" s="11" t="str">
        <f t="shared" si="272"/>
        <v/>
      </c>
      <c r="BH1733" s="8" t="str">
        <f t="shared" si="273"/>
        <v/>
      </c>
      <c r="BI1733" s="8" t="str">
        <f t="shared" si="274"/>
        <v/>
      </c>
      <c r="BJ1733" s="9" t="str">
        <f t="shared" si="275"/>
        <v/>
      </c>
      <c r="BK1733" s="9" t="str">
        <f>IF($B1733="","",COUNTIFS($B$5:$B1733,$B1733,$BF$5:$BF1733,$BF1733))</f>
        <v/>
      </c>
      <c r="BL1733" s="9" t="str">
        <f>IF($B1733="","",COUNTIFS($B$5:$B1733,$B1733,$BH$5:$BH1733,$BH1733))</f>
        <v/>
      </c>
      <c r="BM1733" s="9" t="str">
        <f t="shared" si="276"/>
        <v/>
      </c>
      <c r="BN1733" s="9" t="str">
        <f t="shared" si="277"/>
        <v/>
      </c>
      <c r="BO1733" s="9">
        <f t="shared" si="278"/>
        <v>0</v>
      </c>
      <c r="BR1733" s="12" t="str">
        <f t="shared" si="279"/>
        <v/>
      </c>
    </row>
    <row r="1734" spans="1:70" ht="14.25" customHeight="1">
      <c r="A1734" s="26"/>
      <c r="C1734" s="26"/>
      <c r="D1734" s="27"/>
      <c r="E1734" s="27"/>
      <c r="BE1734" s="10" t="str">
        <f t="shared" si="270"/>
        <v/>
      </c>
      <c r="BF1734" s="8" t="str">
        <f t="shared" si="271"/>
        <v/>
      </c>
      <c r="BG1734" s="11" t="str">
        <f t="shared" si="272"/>
        <v/>
      </c>
      <c r="BH1734" s="8" t="str">
        <f t="shared" si="273"/>
        <v/>
      </c>
      <c r="BI1734" s="8" t="str">
        <f t="shared" si="274"/>
        <v/>
      </c>
      <c r="BJ1734" s="9" t="str">
        <f t="shared" si="275"/>
        <v/>
      </c>
      <c r="BK1734" s="9" t="str">
        <f>IF($B1734="","",COUNTIFS($B$5:$B1734,$B1734,$BF$5:$BF1734,$BF1734))</f>
        <v/>
      </c>
      <c r="BL1734" s="9" t="str">
        <f>IF($B1734="","",COUNTIFS($B$5:$B1734,$B1734,$BH$5:$BH1734,$BH1734))</f>
        <v/>
      </c>
      <c r="BM1734" s="9" t="str">
        <f t="shared" si="276"/>
        <v/>
      </c>
      <c r="BN1734" s="9" t="str">
        <f t="shared" si="277"/>
        <v/>
      </c>
      <c r="BO1734" s="9">
        <f t="shared" si="278"/>
        <v>0</v>
      </c>
      <c r="BR1734" s="12" t="str">
        <f t="shared" si="279"/>
        <v/>
      </c>
    </row>
    <row r="1735" spans="1:70" ht="14.25" customHeight="1">
      <c r="A1735" s="26"/>
      <c r="C1735" s="26"/>
      <c r="D1735" s="27"/>
      <c r="E1735" s="27"/>
      <c r="BE1735" s="10" t="str">
        <f t="shared" si="270"/>
        <v/>
      </c>
      <c r="BF1735" s="8" t="str">
        <f t="shared" si="271"/>
        <v/>
      </c>
      <c r="BG1735" s="11" t="str">
        <f t="shared" si="272"/>
        <v/>
      </c>
      <c r="BH1735" s="8" t="str">
        <f t="shared" si="273"/>
        <v/>
      </c>
      <c r="BI1735" s="8" t="str">
        <f t="shared" si="274"/>
        <v/>
      </c>
      <c r="BJ1735" s="9" t="str">
        <f t="shared" si="275"/>
        <v/>
      </c>
      <c r="BK1735" s="9" t="str">
        <f>IF($B1735="","",COUNTIFS($B$5:$B1735,$B1735,$BF$5:$BF1735,$BF1735))</f>
        <v/>
      </c>
      <c r="BL1735" s="9" t="str">
        <f>IF($B1735="","",COUNTIFS($B$5:$B1735,$B1735,$BH$5:$BH1735,$BH1735))</f>
        <v/>
      </c>
      <c r="BM1735" s="9" t="str">
        <f t="shared" si="276"/>
        <v/>
      </c>
      <c r="BN1735" s="9" t="str">
        <f t="shared" si="277"/>
        <v/>
      </c>
      <c r="BO1735" s="9">
        <f t="shared" si="278"/>
        <v>0</v>
      </c>
      <c r="BR1735" s="12" t="str">
        <f t="shared" si="279"/>
        <v/>
      </c>
    </row>
    <row r="1736" spans="1:70" ht="14.25" customHeight="1">
      <c r="A1736" s="26"/>
      <c r="C1736" s="26"/>
      <c r="D1736" s="27"/>
      <c r="E1736" s="27"/>
      <c r="BE1736" s="10" t="str">
        <f t="shared" si="270"/>
        <v/>
      </c>
      <c r="BF1736" s="8" t="str">
        <f t="shared" si="271"/>
        <v/>
      </c>
      <c r="BG1736" s="11" t="str">
        <f t="shared" si="272"/>
        <v/>
      </c>
      <c r="BH1736" s="8" t="str">
        <f t="shared" si="273"/>
        <v/>
      </c>
      <c r="BI1736" s="8" t="str">
        <f t="shared" si="274"/>
        <v/>
      </c>
      <c r="BJ1736" s="9" t="str">
        <f t="shared" si="275"/>
        <v/>
      </c>
      <c r="BK1736" s="9" t="str">
        <f>IF($B1736="","",COUNTIFS($B$5:$B1736,$B1736,$BF$5:$BF1736,$BF1736))</f>
        <v/>
      </c>
      <c r="BL1736" s="9" t="str">
        <f>IF($B1736="","",COUNTIFS($B$5:$B1736,$B1736,$BH$5:$BH1736,$BH1736))</f>
        <v/>
      </c>
      <c r="BM1736" s="9" t="str">
        <f t="shared" si="276"/>
        <v/>
      </c>
      <c r="BN1736" s="9" t="str">
        <f t="shared" si="277"/>
        <v/>
      </c>
      <c r="BO1736" s="9">
        <f t="shared" si="278"/>
        <v>0</v>
      </c>
      <c r="BR1736" s="12" t="str">
        <f t="shared" si="279"/>
        <v/>
      </c>
    </row>
    <row r="1737" spans="1:70" ht="14.25" customHeight="1">
      <c r="A1737" s="26"/>
      <c r="C1737" s="26"/>
      <c r="D1737" s="27"/>
      <c r="E1737" s="27"/>
      <c r="BE1737" s="10" t="str">
        <f t="shared" si="270"/>
        <v/>
      </c>
      <c r="BF1737" s="8" t="str">
        <f t="shared" si="271"/>
        <v/>
      </c>
      <c r="BG1737" s="11" t="str">
        <f t="shared" si="272"/>
        <v/>
      </c>
      <c r="BH1737" s="8" t="str">
        <f t="shared" si="273"/>
        <v/>
      </c>
      <c r="BI1737" s="8" t="str">
        <f t="shared" si="274"/>
        <v/>
      </c>
      <c r="BJ1737" s="9" t="str">
        <f t="shared" si="275"/>
        <v/>
      </c>
      <c r="BK1737" s="9" t="str">
        <f>IF($B1737="","",COUNTIFS($B$5:$B1737,$B1737,$BF$5:$BF1737,$BF1737))</f>
        <v/>
      </c>
      <c r="BL1737" s="9" t="str">
        <f>IF($B1737="","",COUNTIFS($B$5:$B1737,$B1737,$BH$5:$BH1737,$BH1737))</f>
        <v/>
      </c>
      <c r="BM1737" s="9" t="str">
        <f t="shared" si="276"/>
        <v/>
      </c>
      <c r="BN1737" s="9" t="str">
        <f t="shared" si="277"/>
        <v/>
      </c>
      <c r="BO1737" s="9">
        <f t="shared" si="278"/>
        <v>0</v>
      </c>
      <c r="BR1737" s="12" t="str">
        <f t="shared" si="279"/>
        <v/>
      </c>
    </row>
    <row r="1738" spans="1:70" ht="14.25" customHeight="1">
      <c r="A1738" s="26"/>
      <c r="C1738" s="26"/>
      <c r="D1738" s="27"/>
      <c r="E1738" s="27"/>
      <c r="BE1738" s="10" t="str">
        <f t="shared" si="270"/>
        <v/>
      </c>
      <c r="BF1738" s="8" t="str">
        <f t="shared" si="271"/>
        <v/>
      </c>
      <c r="BG1738" s="11" t="str">
        <f t="shared" si="272"/>
        <v/>
      </c>
      <c r="BH1738" s="8" t="str">
        <f t="shared" si="273"/>
        <v/>
      </c>
      <c r="BI1738" s="8" t="str">
        <f t="shared" si="274"/>
        <v/>
      </c>
      <c r="BJ1738" s="9" t="str">
        <f t="shared" si="275"/>
        <v/>
      </c>
      <c r="BK1738" s="9" t="str">
        <f>IF($B1738="","",COUNTIFS($B$5:$B1738,$B1738,$BF$5:$BF1738,$BF1738))</f>
        <v/>
      </c>
      <c r="BL1738" s="9" t="str">
        <f>IF($B1738="","",COUNTIFS($B$5:$B1738,$B1738,$BH$5:$BH1738,$BH1738))</f>
        <v/>
      </c>
      <c r="BM1738" s="9" t="str">
        <f t="shared" si="276"/>
        <v/>
      </c>
      <c r="BN1738" s="9" t="str">
        <f t="shared" si="277"/>
        <v/>
      </c>
      <c r="BO1738" s="9">
        <f t="shared" si="278"/>
        <v>0</v>
      </c>
      <c r="BR1738" s="12" t="str">
        <f t="shared" si="279"/>
        <v/>
      </c>
    </row>
    <row r="1739" spans="1:70" ht="14.25" customHeight="1">
      <c r="A1739" s="26"/>
      <c r="C1739" s="26"/>
      <c r="D1739" s="27"/>
      <c r="E1739" s="27"/>
      <c r="BE1739" s="10" t="str">
        <f t="shared" si="270"/>
        <v/>
      </c>
      <c r="BF1739" s="8" t="str">
        <f t="shared" si="271"/>
        <v/>
      </c>
      <c r="BG1739" s="11" t="str">
        <f t="shared" si="272"/>
        <v/>
      </c>
      <c r="BH1739" s="8" t="str">
        <f t="shared" si="273"/>
        <v/>
      </c>
      <c r="BI1739" s="8" t="str">
        <f t="shared" si="274"/>
        <v/>
      </c>
      <c r="BJ1739" s="9" t="str">
        <f t="shared" si="275"/>
        <v/>
      </c>
      <c r="BK1739" s="9" t="str">
        <f>IF($B1739="","",COUNTIFS($B$5:$B1739,$B1739,$BF$5:$BF1739,$BF1739))</f>
        <v/>
      </c>
      <c r="BL1739" s="9" t="str">
        <f>IF($B1739="","",COUNTIFS($B$5:$B1739,$B1739,$BH$5:$BH1739,$BH1739))</f>
        <v/>
      </c>
      <c r="BM1739" s="9" t="str">
        <f t="shared" si="276"/>
        <v/>
      </c>
      <c r="BN1739" s="9" t="str">
        <f t="shared" si="277"/>
        <v/>
      </c>
      <c r="BO1739" s="9">
        <f t="shared" si="278"/>
        <v>0</v>
      </c>
      <c r="BR1739" s="12" t="str">
        <f t="shared" si="279"/>
        <v/>
      </c>
    </row>
    <row r="1740" spans="1:70" ht="14.25" customHeight="1">
      <c r="A1740" s="26"/>
      <c r="C1740" s="26"/>
      <c r="D1740" s="27"/>
      <c r="E1740" s="27"/>
      <c r="BE1740" s="10" t="str">
        <f t="shared" si="270"/>
        <v/>
      </c>
      <c r="BF1740" s="8" t="str">
        <f t="shared" si="271"/>
        <v/>
      </c>
      <c r="BG1740" s="11" t="str">
        <f t="shared" si="272"/>
        <v/>
      </c>
      <c r="BH1740" s="8" t="str">
        <f t="shared" si="273"/>
        <v/>
      </c>
      <c r="BI1740" s="8" t="str">
        <f t="shared" si="274"/>
        <v/>
      </c>
      <c r="BJ1740" s="9" t="str">
        <f t="shared" si="275"/>
        <v/>
      </c>
      <c r="BK1740" s="9" t="str">
        <f>IF($B1740="","",COUNTIFS($B$5:$B1740,$B1740,$BF$5:$BF1740,$BF1740))</f>
        <v/>
      </c>
      <c r="BL1740" s="9" t="str">
        <f>IF($B1740="","",COUNTIFS($B$5:$B1740,$B1740,$BH$5:$BH1740,$BH1740))</f>
        <v/>
      </c>
      <c r="BM1740" s="9" t="str">
        <f t="shared" si="276"/>
        <v/>
      </c>
      <c r="BN1740" s="9" t="str">
        <f t="shared" si="277"/>
        <v/>
      </c>
      <c r="BO1740" s="9">
        <f t="shared" si="278"/>
        <v>0</v>
      </c>
      <c r="BR1740" s="12" t="str">
        <f t="shared" si="279"/>
        <v/>
      </c>
    </row>
    <row r="1741" spans="1:70" ht="14.25" customHeight="1">
      <c r="A1741" s="26"/>
      <c r="C1741" s="26"/>
      <c r="D1741" s="27"/>
      <c r="E1741" s="27"/>
      <c r="BE1741" s="10" t="str">
        <f t="shared" si="270"/>
        <v/>
      </c>
      <c r="BF1741" s="8" t="str">
        <f t="shared" si="271"/>
        <v/>
      </c>
      <c r="BG1741" s="11" t="str">
        <f t="shared" si="272"/>
        <v/>
      </c>
      <c r="BH1741" s="8" t="str">
        <f t="shared" si="273"/>
        <v/>
      </c>
      <c r="BI1741" s="8" t="str">
        <f t="shared" si="274"/>
        <v/>
      </c>
      <c r="BJ1741" s="9" t="str">
        <f t="shared" si="275"/>
        <v/>
      </c>
      <c r="BK1741" s="9" t="str">
        <f>IF($B1741="","",COUNTIFS($B$5:$B1741,$B1741,$BF$5:$BF1741,$BF1741))</f>
        <v/>
      </c>
      <c r="BL1741" s="9" t="str">
        <f>IF($B1741="","",COUNTIFS($B$5:$B1741,$B1741,$BH$5:$BH1741,$BH1741))</f>
        <v/>
      </c>
      <c r="BM1741" s="9" t="str">
        <f t="shared" si="276"/>
        <v/>
      </c>
      <c r="BN1741" s="9" t="str">
        <f t="shared" si="277"/>
        <v/>
      </c>
      <c r="BO1741" s="9">
        <f t="shared" si="278"/>
        <v>0</v>
      </c>
      <c r="BR1741" s="12" t="str">
        <f t="shared" si="279"/>
        <v/>
      </c>
    </row>
    <row r="1742" spans="1:70" ht="14.25" customHeight="1">
      <c r="A1742" s="26"/>
      <c r="C1742" s="26"/>
      <c r="D1742" s="27"/>
      <c r="E1742" s="27"/>
      <c r="BE1742" s="10" t="str">
        <f t="shared" si="270"/>
        <v/>
      </c>
      <c r="BF1742" s="8" t="str">
        <f t="shared" si="271"/>
        <v/>
      </c>
      <c r="BG1742" s="11" t="str">
        <f t="shared" si="272"/>
        <v/>
      </c>
      <c r="BH1742" s="8" t="str">
        <f t="shared" si="273"/>
        <v/>
      </c>
      <c r="BI1742" s="8" t="str">
        <f t="shared" si="274"/>
        <v/>
      </c>
      <c r="BJ1742" s="9" t="str">
        <f t="shared" si="275"/>
        <v/>
      </c>
      <c r="BK1742" s="9" t="str">
        <f>IF($B1742="","",COUNTIFS($B$5:$B1742,$B1742,$BF$5:$BF1742,$BF1742))</f>
        <v/>
      </c>
      <c r="BL1742" s="9" t="str">
        <f>IF($B1742="","",COUNTIFS($B$5:$B1742,$B1742,$BH$5:$BH1742,$BH1742))</f>
        <v/>
      </c>
      <c r="BM1742" s="9" t="str">
        <f t="shared" si="276"/>
        <v/>
      </c>
      <c r="BN1742" s="9" t="str">
        <f t="shared" si="277"/>
        <v/>
      </c>
      <c r="BO1742" s="9">
        <f t="shared" si="278"/>
        <v>0</v>
      </c>
      <c r="BR1742" s="12" t="str">
        <f t="shared" si="279"/>
        <v/>
      </c>
    </row>
    <row r="1743" spans="1:70" ht="14.25" customHeight="1">
      <c r="A1743" s="26"/>
      <c r="C1743" s="26"/>
      <c r="D1743" s="27"/>
      <c r="E1743" s="27"/>
      <c r="BE1743" s="10" t="str">
        <f t="shared" si="270"/>
        <v/>
      </c>
      <c r="BF1743" s="8" t="str">
        <f t="shared" si="271"/>
        <v/>
      </c>
      <c r="BG1743" s="11" t="str">
        <f t="shared" si="272"/>
        <v/>
      </c>
      <c r="BH1743" s="8" t="str">
        <f t="shared" si="273"/>
        <v/>
      </c>
      <c r="BI1743" s="8" t="str">
        <f t="shared" si="274"/>
        <v/>
      </c>
      <c r="BJ1743" s="9" t="str">
        <f t="shared" si="275"/>
        <v/>
      </c>
      <c r="BK1743" s="9" t="str">
        <f>IF($B1743="","",COUNTIFS($B$5:$B1743,$B1743,$BF$5:$BF1743,$BF1743))</f>
        <v/>
      </c>
      <c r="BL1743" s="9" t="str">
        <f>IF($B1743="","",COUNTIFS($B$5:$B1743,$B1743,$BH$5:$BH1743,$BH1743))</f>
        <v/>
      </c>
      <c r="BM1743" s="9" t="str">
        <f t="shared" si="276"/>
        <v/>
      </c>
      <c r="BN1743" s="9" t="str">
        <f t="shared" si="277"/>
        <v/>
      </c>
      <c r="BO1743" s="9">
        <f t="shared" si="278"/>
        <v>0</v>
      </c>
      <c r="BR1743" s="12" t="str">
        <f t="shared" si="279"/>
        <v/>
      </c>
    </row>
    <row r="1744" spans="1:70" ht="14.25" customHeight="1">
      <c r="A1744" s="26"/>
      <c r="C1744" s="26"/>
      <c r="D1744" s="27"/>
      <c r="E1744" s="27"/>
      <c r="BE1744" s="10" t="str">
        <f t="shared" si="270"/>
        <v/>
      </c>
      <c r="BF1744" s="8" t="str">
        <f t="shared" si="271"/>
        <v/>
      </c>
      <c r="BG1744" s="11" t="str">
        <f t="shared" si="272"/>
        <v/>
      </c>
      <c r="BH1744" s="8" t="str">
        <f t="shared" si="273"/>
        <v/>
      </c>
      <c r="BI1744" s="8" t="str">
        <f t="shared" si="274"/>
        <v/>
      </c>
      <c r="BJ1744" s="9" t="str">
        <f t="shared" si="275"/>
        <v/>
      </c>
      <c r="BK1744" s="9" t="str">
        <f>IF($B1744="","",COUNTIFS($B$5:$B1744,$B1744,$BF$5:$BF1744,$BF1744))</f>
        <v/>
      </c>
      <c r="BL1744" s="9" t="str">
        <f>IF($B1744="","",COUNTIFS($B$5:$B1744,$B1744,$BH$5:$BH1744,$BH1744))</f>
        <v/>
      </c>
      <c r="BM1744" s="9" t="str">
        <f t="shared" si="276"/>
        <v/>
      </c>
      <c r="BN1744" s="9" t="str">
        <f t="shared" si="277"/>
        <v/>
      </c>
      <c r="BO1744" s="9">
        <f t="shared" si="278"/>
        <v>0</v>
      </c>
      <c r="BR1744" s="12" t="str">
        <f t="shared" si="279"/>
        <v/>
      </c>
    </row>
    <row r="1745" spans="1:70" ht="14.25" customHeight="1">
      <c r="A1745" s="26"/>
      <c r="C1745" s="26"/>
      <c r="D1745" s="27"/>
      <c r="E1745" s="27"/>
      <c r="BE1745" s="10" t="str">
        <f t="shared" si="270"/>
        <v/>
      </c>
      <c r="BF1745" s="8" t="str">
        <f t="shared" si="271"/>
        <v/>
      </c>
      <c r="BG1745" s="11" t="str">
        <f t="shared" si="272"/>
        <v/>
      </c>
      <c r="BH1745" s="8" t="str">
        <f t="shared" si="273"/>
        <v/>
      </c>
      <c r="BI1745" s="8" t="str">
        <f t="shared" si="274"/>
        <v/>
      </c>
      <c r="BJ1745" s="9" t="str">
        <f t="shared" si="275"/>
        <v/>
      </c>
      <c r="BK1745" s="9" t="str">
        <f>IF($B1745="","",COUNTIFS($B$5:$B1745,$B1745,$BF$5:$BF1745,$BF1745))</f>
        <v/>
      </c>
      <c r="BL1745" s="9" t="str">
        <f>IF($B1745="","",COUNTIFS($B$5:$B1745,$B1745,$BH$5:$BH1745,$BH1745))</f>
        <v/>
      </c>
      <c r="BM1745" s="9" t="str">
        <f t="shared" si="276"/>
        <v/>
      </c>
      <c r="BN1745" s="9" t="str">
        <f t="shared" si="277"/>
        <v/>
      </c>
      <c r="BO1745" s="9">
        <f t="shared" si="278"/>
        <v>0</v>
      </c>
      <c r="BR1745" s="12" t="str">
        <f t="shared" si="279"/>
        <v/>
      </c>
    </row>
    <row r="1746" spans="1:70" ht="14.25" customHeight="1">
      <c r="A1746" s="26"/>
      <c r="C1746" s="26"/>
      <c r="D1746" s="27"/>
      <c r="E1746" s="27"/>
      <c r="BE1746" s="10" t="str">
        <f t="shared" si="270"/>
        <v/>
      </c>
      <c r="BF1746" s="8" t="str">
        <f t="shared" si="271"/>
        <v/>
      </c>
      <c r="BG1746" s="11" t="str">
        <f t="shared" si="272"/>
        <v/>
      </c>
      <c r="BH1746" s="8" t="str">
        <f t="shared" si="273"/>
        <v/>
      </c>
      <c r="BI1746" s="8" t="str">
        <f t="shared" si="274"/>
        <v/>
      </c>
      <c r="BJ1746" s="9" t="str">
        <f t="shared" si="275"/>
        <v/>
      </c>
      <c r="BK1746" s="9" t="str">
        <f>IF($B1746="","",COUNTIFS($B$5:$B1746,$B1746,$BF$5:$BF1746,$BF1746))</f>
        <v/>
      </c>
      <c r="BL1746" s="9" t="str">
        <f>IF($B1746="","",COUNTIFS($B$5:$B1746,$B1746,$BH$5:$BH1746,$BH1746))</f>
        <v/>
      </c>
      <c r="BM1746" s="9" t="str">
        <f t="shared" si="276"/>
        <v/>
      </c>
      <c r="BN1746" s="9" t="str">
        <f t="shared" si="277"/>
        <v/>
      </c>
      <c r="BO1746" s="9">
        <f t="shared" si="278"/>
        <v>0</v>
      </c>
      <c r="BR1746" s="12" t="str">
        <f t="shared" si="279"/>
        <v/>
      </c>
    </row>
    <row r="1747" spans="1:70" ht="14.25" customHeight="1">
      <c r="A1747" s="26"/>
      <c r="C1747" s="26"/>
      <c r="D1747" s="27"/>
      <c r="E1747" s="27"/>
      <c r="BE1747" s="10" t="str">
        <f t="shared" si="270"/>
        <v/>
      </c>
      <c r="BF1747" s="8" t="str">
        <f t="shared" si="271"/>
        <v/>
      </c>
      <c r="BG1747" s="11" t="str">
        <f t="shared" si="272"/>
        <v/>
      </c>
      <c r="BH1747" s="8" t="str">
        <f t="shared" si="273"/>
        <v/>
      </c>
      <c r="BI1747" s="8" t="str">
        <f t="shared" si="274"/>
        <v/>
      </c>
      <c r="BJ1747" s="9" t="str">
        <f t="shared" si="275"/>
        <v/>
      </c>
      <c r="BK1747" s="9" t="str">
        <f>IF($B1747="","",COUNTIFS($B$5:$B1747,$B1747,$BF$5:$BF1747,$BF1747))</f>
        <v/>
      </c>
      <c r="BL1747" s="9" t="str">
        <f>IF($B1747="","",COUNTIFS($B$5:$B1747,$B1747,$BH$5:$BH1747,$BH1747))</f>
        <v/>
      </c>
      <c r="BM1747" s="9" t="str">
        <f t="shared" si="276"/>
        <v/>
      </c>
      <c r="BN1747" s="9" t="str">
        <f t="shared" si="277"/>
        <v/>
      </c>
      <c r="BO1747" s="9">
        <f t="shared" si="278"/>
        <v>0</v>
      </c>
      <c r="BR1747" s="12" t="str">
        <f t="shared" si="279"/>
        <v/>
      </c>
    </row>
    <row r="1748" spans="1:70" ht="14.25" customHeight="1">
      <c r="A1748" s="26"/>
      <c r="C1748" s="26"/>
      <c r="D1748" s="27"/>
      <c r="E1748" s="27"/>
      <c r="BE1748" s="10" t="str">
        <f t="shared" si="270"/>
        <v/>
      </c>
      <c r="BF1748" s="8" t="str">
        <f t="shared" si="271"/>
        <v/>
      </c>
      <c r="BG1748" s="11" t="str">
        <f t="shared" si="272"/>
        <v/>
      </c>
      <c r="BH1748" s="8" t="str">
        <f t="shared" si="273"/>
        <v/>
      </c>
      <c r="BI1748" s="8" t="str">
        <f t="shared" si="274"/>
        <v/>
      </c>
      <c r="BJ1748" s="9" t="str">
        <f t="shared" si="275"/>
        <v/>
      </c>
      <c r="BK1748" s="9" t="str">
        <f>IF($B1748="","",COUNTIFS($B$5:$B1748,$B1748,$BF$5:$BF1748,$BF1748))</f>
        <v/>
      </c>
      <c r="BL1748" s="9" t="str">
        <f>IF($B1748="","",COUNTIFS($B$5:$B1748,$B1748,$BH$5:$BH1748,$BH1748))</f>
        <v/>
      </c>
      <c r="BM1748" s="9" t="str">
        <f t="shared" si="276"/>
        <v/>
      </c>
      <c r="BN1748" s="9" t="str">
        <f t="shared" si="277"/>
        <v/>
      </c>
      <c r="BO1748" s="9">
        <f t="shared" si="278"/>
        <v>0</v>
      </c>
      <c r="BR1748" s="12" t="str">
        <f t="shared" si="279"/>
        <v/>
      </c>
    </row>
    <row r="1749" spans="1:70" ht="14.25" customHeight="1">
      <c r="A1749" s="26"/>
      <c r="C1749" s="26"/>
      <c r="D1749" s="27"/>
      <c r="E1749" s="27"/>
      <c r="BE1749" s="10" t="str">
        <f t="shared" si="270"/>
        <v/>
      </c>
      <c r="BF1749" s="8" t="str">
        <f t="shared" si="271"/>
        <v/>
      </c>
      <c r="BG1749" s="11" t="str">
        <f t="shared" si="272"/>
        <v/>
      </c>
      <c r="BH1749" s="8" t="str">
        <f t="shared" si="273"/>
        <v/>
      </c>
      <c r="BI1749" s="8" t="str">
        <f t="shared" si="274"/>
        <v/>
      </c>
      <c r="BJ1749" s="9" t="str">
        <f t="shared" si="275"/>
        <v/>
      </c>
      <c r="BK1749" s="9" t="str">
        <f>IF($B1749="","",COUNTIFS($B$5:$B1749,$B1749,$BF$5:$BF1749,$BF1749))</f>
        <v/>
      </c>
      <c r="BL1749" s="9" t="str">
        <f>IF($B1749="","",COUNTIFS($B$5:$B1749,$B1749,$BH$5:$BH1749,$BH1749))</f>
        <v/>
      </c>
      <c r="BM1749" s="9" t="str">
        <f t="shared" si="276"/>
        <v/>
      </c>
      <c r="BN1749" s="9" t="str">
        <f t="shared" si="277"/>
        <v/>
      </c>
      <c r="BO1749" s="9">
        <f t="shared" si="278"/>
        <v>0</v>
      </c>
      <c r="BR1749" s="12" t="str">
        <f t="shared" si="279"/>
        <v/>
      </c>
    </row>
    <row r="1750" spans="1:70" ht="14.25" customHeight="1">
      <c r="A1750" s="26"/>
      <c r="C1750" s="26"/>
      <c r="D1750" s="27"/>
      <c r="E1750" s="27"/>
      <c r="BE1750" s="10" t="str">
        <f t="shared" si="270"/>
        <v/>
      </c>
      <c r="BF1750" s="8" t="str">
        <f t="shared" si="271"/>
        <v/>
      </c>
      <c r="BG1750" s="11" t="str">
        <f t="shared" si="272"/>
        <v/>
      </c>
      <c r="BH1750" s="8" t="str">
        <f t="shared" si="273"/>
        <v/>
      </c>
      <c r="BI1750" s="8" t="str">
        <f t="shared" si="274"/>
        <v/>
      </c>
      <c r="BJ1750" s="9" t="str">
        <f t="shared" si="275"/>
        <v/>
      </c>
      <c r="BK1750" s="9" t="str">
        <f>IF($B1750="","",COUNTIFS($B$5:$B1750,$B1750,$BF$5:$BF1750,$BF1750))</f>
        <v/>
      </c>
      <c r="BL1750" s="9" t="str">
        <f>IF($B1750="","",COUNTIFS($B$5:$B1750,$B1750,$BH$5:$BH1750,$BH1750))</f>
        <v/>
      </c>
      <c r="BM1750" s="9" t="str">
        <f t="shared" si="276"/>
        <v/>
      </c>
      <c r="BN1750" s="9" t="str">
        <f t="shared" si="277"/>
        <v/>
      </c>
      <c r="BO1750" s="9">
        <f t="shared" si="278"/>
        <v>0</v>
      </c>
      <c r="BR1750" s="12" t="str">
        <f t="shared" si="279"/>
        <v/>
      </c>
    </row>
    <row r="1751" spans="1:70" ht="14.25" customHeight="1">
      <c r="A1751" s="26"/>
      <c r="C1751" s="26"/>
      <c r="D1751" s="27"/>
      <c r="E1751" s="27"/>
      <c r="BE1751" s="10" t="str">
        <f t="shared" si="270"/>
        <v/>
      </c>
      <c r="BF1751" s="8" t="str">
        <f t="shared" si="271"/>
        <v/>
      </c>
      <c r="BG1751" s="11" t="str">
        <f t="shared" si="272"/>
        <v/>
      </c>
      <c r="BH1751" s="8" t="str">
        <f t="shared" si="273"/>
        <v/>
      </c>
      <c r="BI1751" s="8" t="str">
        <f t="shared" si="274"/>
        <v/>
      </c>
      <c r="BJ1751" s="9" t="str">
        <f t="shared" si="275"/>
        <v/>
      </c>
      <c r="BK1751" s="9" t="str">
        <f>IF($B1751="","",COUNTIFS($B$5:$B1751,$B1751,$BF$5:$BF1751,$BF1751))</f>
        <v/>
      </c>
      <c r="BL1751" s="9" t="str">
        <f>IF($B1751="","",COUNTIFS($B$5:$B1751,$B1751,$BH$5:$BH1751,$BH1751))</f>
        <v/>
      </c>
      <c r="BM1751" s="9" t="str">
        <f t="shared" si="276"/>
        <v/>
      </c>
      <c r="BN1751" s="9" t="str">
        <f t="shared" si="277"/>
        <v/>
      </c>
      <c r="BO1751" s="9">
        <f t="shared" si="278"/>
        <v>0</v>
      </c>
      <c r="BR1751" s="12" t="str">
        <f t="shared" si="279"/>
        <v/>
      </c>
    </row>
    <row r="1752" spans="1:70" ht="14.25" customHeight="1">
      <c r="A1752" s="26"/>
      <c r="C1752" s="26"/>
      <c r="D1752" s="27"/>
      <c r="E1752" s="27"/>
      <c r="BE1752" s="10" t="str">
        <f t="shared" si="270"/>
        <v/>
      </c>
      <c r="BF1752" s="8" t="str">
        <f t="shared" si="271"/>
        <v/>
      </c>
      <c r="BG1752" s="11" t="str">
        <f t="shared" si="272"/>
        <v/>
      </c>
      <c r="BH1752" s="8" t="str">
        <f t="shared" si="273"/>
        <v/>
      </c>
      <c r="BI1752" s="8" t="str">
        <f t="shared" si="274"/>
        <v/>
      </c>
      <c r="BJ1752" s="9" t="str">
        <f t="shared" si="275"/>
        <v/>
      </c>
      <c r="BK1752" s="9" t="str">
        <f>IF($B1752="","",COUNTIFS($B$5:$B1752,$B1752,$BF$5:$BF1752,$BF1752))</f>
        <v/>
      </c>
      <c r="BL1752" s="9" t="str">
        <f>IF($B1752="","",COUNTIFS($B$5:$B1752,$B1752,$BH$5:$BH1752,$BH1752))</f>
        <v/>
      </c>
      <c r="BM1752" s="9" t="str">
        <f t="shared" si="276"/>
        <v/>
      </c>
      <c r="BN1752" s="9" t="str">
        <f t="shared" si="277"/>
        <v/>
      </c>
      <c r="BO1752" s="9">
        <f t="shared" si="278"/>
        <v>0</v>
      </c>
      <c r="BR1752" s="12" t="str">
        <f t="shared" si="279"/>
        <v/>
      </c>
    </row>
    <row r="1753" spans="1:70" ht="14.25" customHeight="1">
      <c r="A1753" s="26"/>
      <c r="C1753" s="26"/>
      <c r="D1753" s="27"/>
      <c r="E1753" s="27"/>
      <c r="BE1753" s="10" t="str">
        <f t="shared" si="270"/>
        <v/>
      </c>
      <c r="BF1753" s="8" t="str">
        <f t="shared" si="271"/>
        <v/>
      </c>
      <c r="BG1753" s="11" t="str">
        <f t="shared" si="272"/>
        <v/>
      </c>
      <c r="BH1753" s="8" t="str">
        <f t="shared" si="273"/>
        <v/>
      </c>
      <c r="BI1753" s="8" t="str">
        <f t="shared" si="274"/>
        <v/>
      </c>
      <c r="BJ1753" s="9" t="str">
        <f t="shared" si="275"/>
        <v/>
      </c>
      <c r="BK1753" s="9" t="str">
        <f>IF($B1753="","",COUNTIFS($B$5:$B1753,$B1753,$BF$5:$BF1753,$BF1753))</f>
        <v/>
      </c>
      <c r="BL1753" s="9" t="str">
        <f>IF($B1753="","",COUNTIFS($B$5:$B1753,$B1753,$BH$5:$BH1753,$BH1753))</f>
        <v/>
      </c>
      <c r="BM1753" s="9" t="str">
        <f t="shared" si="276"/>
        <v/>
      </c>
      <c r="BN1753" s="9" t="str">
        <f t="shared" si="277"/>
        <v/>
      </c>
      <c r="BO1753" s="9">
        <f t="shared" si="278"/>
        <v>0</v>
      </c>
      <c r="BR1753" s="12" t="str">
        <f t="shared" si="279"/>
        <v/>
      </c>
    </row>
    <row r="1754" spans="1:70" ht="14.25" customHeight="1">
      <c r="A1754" s="26"/>
      <c r="C1754" s="26"/>
      <c r="D1754" s="27"/>
      <c r="E1754" s="27"/>
      <c r="BE1754" s="10" t="str">
        <f t="shared" si="270"/>
        <v/>
      </c>
      <c r="BF1754" s="8" t="str">
        <f t="shared" si="271"/>
        <v/>
      </c>
      <c r="BG1754" s="11" t="str">
        <f t="shared" si="272"/>
        <v/>
      </c>
      <c r="BH1754" s="8" t="str">
        <f t="shared" si="273"/>
        <v/>
      </c>
      <c r="BI1754" s="8" t="str">
        <f t="shared" si="274"/>
        <v/>
      </c>
      <c r="BJ1754" s="9" t="str">
        <f t="shared" si="275"/>
        <v/>
      </c>
      <c r="BK1754" s="9" t="str">
        <f>IF($B1754="","",COUNTIFS($B$5:$B1754,$B1754,$BF$5:$BF1754,$BF1754))</f>
        <v/>
      </c>
      <c r="BL1754" s="9" t="str">
        <f>IF($B1754="","",COUNTIFS($B$5:$B1754,$B1754,$BH$5:$BH1754,$BH1754))</f>
        <v/>
      </c>
      <c r="BM1754" s="9" t="str">
        <f t="shared" si="276"/>
        <v/>
      </c>
      <c r="BN1754" s="9" t="str">
        <f t="shared" si="277"/>
        <v/>
      </c>
      <c r="BO1754" s="9">
        <f t="shared" si="278"/>
        <v>0</v>
      </c>
      <c r="BR1754" s="12" t="str">
        <f t="shared" si="279"/>
        <v/>
      </c>
    </row>
    <row r="1755" spans="1:70" ht="14.25" customHeight="1">
      <c r="A1755" s="26"/>
      <c r="C1755" s="26"/>
      <c r="D1755" s="27"/>
      <c r="E1755" s="27"/>
      <c r="BE1755" s="10" t="str">
        <f t="shared" si="270"/>
        <v/>
      </c>
      <c r="BF1755" s="8" t="str">
        <f t="shared" si="271"/>
        <v/>
      </c>
      <c r="BG1755" s="11" t="str">
        <f t="shared" si="272"/>
        <v/>
      </c>
      <c r="BH1755" s="8" t="str">
        <f t="shared" si="273"/>
        <v/>
      </c>
      <c r="BI1755" s="8" t="str">
        <f t="shared" si="274"/>
        <v/>
      </c>
      <c r="BJ1755" s="9" t="str">
        <f t="shared" si="275"/>
        <v/>
      </c>
      <c r="BK1755" s="9" t="str">
        <f>IF($B1755="","",COUNTIFS($B$5:$B1755,$B1755,$BF$5:$BF1755,$BF1755))</f>
        <v/>
      </c>
      <c r="BL1755" s="9" t="str">
        <f>IF($B1755="","",COUNTIFS($B$5:$B1755,$B1755,$BH$5:$BH1755,$BH1755))</f>
        <v/>
      </c>
      <c r="BM1755" s="9" t="str">
        <f t="shared" si="276"/>
        <v/>
      </c>
      <c r="BN1755" s="9" t="str">
        <f t="shared" si="277"/>
        <v/>
      </c>
      <c r="BO1755" s="9">
        <f t="shared" si="278"/>
        <v>0</v>
      </c>
      <c r="BR1755" s="12" t="str">
        <f t="shared" si="279"/>
        <v/>
      </c>
    </row>
    <row r="1756" spans="1:70" ht="14.25" customHeight="1">
      <c r="A1756" s="26"/>
      <c r="C1756" s="26"/>
      <c r="D1756" s="27"/>
      <c r="E1756" s="27"/>
      <c r="BE1756" s="10" t="str">
        <f t="shared" si="270"/>
        <v/>
      </c>
      <c r="BF1756" s="8" t="str">
        <f t="shared" si="271"/>
        <v/>
      </c>
      <c r="BG1756" s="11" t="str">
        <f t="shared" si="272"/>
        <v/>
      </c>
      <c r="BH1756" s="8" t="str">
        <f t="shared" si="273"/>
        <v/>
      </c>
      <c r="BI1756" s="8" t="str">
        <f t="shared" si="274"/>
        <v/>
      </c>
      <c r="BJ1756" s="9" t="str">
        <f t="shared" si="275"/>
        <v/>
      </c>
      <c r="BK1756" s="9" t="str">
        <f>IF($B1756="","",COUNTIFS($B$5:$B1756,$B1756,$BF$5:$BF1756,$BF1756))</f>
        <v/>
      </c>
      <c r="BL1756" s="9" t="str">
        <f>IF($B1756="","",COUNTIFS($B$5:$B1756,$B1756,$BH$5:$BH1756,$BH1756))</f>
        <v/>
      </c>
      <c r="BM1756" s="9" t="str">
        <f t="shared" si="276"/>
        <v/>
      </c>
      <c r="BN1756" s="9" t="str">
        <f t="shared" si="277"/>
        <v/>
      </c>
      <c r="BO1756" s="9">
        <f t="shared" si="278"/>
        <v>0</v>
      </c>
      <c r="BR1756" s="12" t="str">
        <f t="shared" si="279"/>
        <v/>
      </c>
    </row>
    <row r="1757" spans="1:70" ht="14.25" customHeight="1">
      <c r="A1757" s="26"/>
      <c r="C1757" s="26"/>
      <c r="D1757" s="27"/>
      <c r="E1757" s="27"/>
      <c r="BE1757" s="10" t="str">
        <f t="shared" ref="BE1757:BE1820" si="280">IF($B1757="","",IF(COUNT($H1757,$J1757,$L1757,$N1757,$P1757,$R1757)&gt;0,SUM($H1757,$J1757,$L1757,$N1757,$P1757,$R1757),SUM($T1757,$V1757,$X1757,$Z1757,$AB1757,$AD1757,$AF1757,$AH1757,$AJ1757,$AL1757,$AN1757,$AP1757,$AR1757,$AT1757,$AV1757,$AX1757,$AZ1757)))</f>
        <v/>
      </c>
      <c r="BF1757" s="8" t="str">
        <f t="shared" ref="BF1757:BF1820" si="281">IF($C1757="","",DATE(YEAR($C1757),MONTH($C1757),1))</f>
        <v/>
      </c>
      <c r="BG1757" s="11" t="str">
        <f t="shared" ref="BG1757:BG1820" si="282">IF($BF1757="","",TEXT($BF1757,"mmmm yyyy"))</f>
        <v/>
      </c>
      <c r="BH1757" s="8" t="str">
        <f t="shared" ref="BH1757:BH1820" si="283">IF($C1757="","",$C1757-WEEKDAY($C1757,2)+1)</f>
        <v/>
      </c>
      <c r="BI1757" s="8" t="str">
        <f t="shared" ref="BI1757:BI1820" si="284">IF($BH1757="","",$BH1757+6)</f>
        <v/>
      </c>
      <c r="BJ1757" s="9" t="str">
        <f t="shared" ref="BJ1757:BJ1820" si="285">IF($BH1757="","",TEXT($BH1757,"dd/mm/yyyy")&amp;" - "&amp;TEXT($BI1757,"dd/mm/yyyy"))</f>
        <v/>
      </c>
      <c r="BK1757" s="9" t="str">
        <f>IF($B1757="","",COUNTIFS($B$5:$B1757,$B1757,$BF$5:$BF1757,$BF1757))</f>
        <v/>
      </c>
      <c r="BL1757" s="9" t="str">
        <f>IF($B1757="","",COUNTIFS($B$5:$B1757,$B1757,$BH$5:$BH1757,$BH1757))</f>
        <v/>
      </c>
      <c r="BM1757" s="9" t="str">
        <f t="shared" ref="BM1757:BM1820" si="286">IF($B1757="","",TEXT($BK1757,"00")&amp;"|"&amp;$B1757&amp;"|"&amp;TEXT($BF1757,"yyyymmdd"))</f>
        <v/>
      </c>
      <c r="BN1757" s="9" t="str">
        <f t="shared" ref="BN1757:BN1820" si="287">IF($B1757="","",TEXT($BL1757,"00")&amp;"|"&amp;$B1757&amp;"|"&amp;TEXT($BH1757,"yyyymmdd"))</f>
        <v/>
      </c>
      <c r="BO1757" s="9">
        <f t="shared" ref="BO1757:BO1820" si="288">IF(OR($BB1757="YES",$BB1757="Yes",$BB1757="Y",$BB1757=1),1,0)</f>
        <v>0</v>
      </c>
      <c r="BR1757" s="12" t="str">
        <f t="shared" ref="BR1757:BR1820" si="289">IF($C1757="","",IF($C1757&gt;=DATE(2026,6,1),"QA-2026-06",IF($C1757&gt;=DATE(2026,5,1),"May 2026+",IF($C1757&gt;=DATE(2026,4,1),"April 2026",IF($C1757&gt;=DATE(2026,3,1),"March 2026","Jan-Feb 2026")))))</f>
        <v/>
      </c>
    </row>
    <row r="1758" spans="1:70" ht="14.25" customHeight="1">
      <c r="A1758" s="26"/>
      <c r="C1758" s="26"/>
      <c r="D1758" s="27"/>
      <c r="E1758" s="27"/>
      <c r="BE1758" s="10" t="str">
        <f t="shared" si="280"/>
        <v/>
      </c>
      <c r="BF1758" s="8" t="str">
        <f t="shared" si="281"/>
        <v/>
      </c>
      <c r="BG1758" s="11" t="str">
        <f t="shared" si="282"/>
        <v/>
      </c>
      <c r="BH1758" s="8" t="str">
        <f t="shared" si="283"/>
        <v/>
      </c>
      <c r="BI1758" s="8" t="str">
        <f t="shared" si="284"/>
        <v/>
      </c>
      <c r="BJ1758" s="9" t="str">
        <f t="shared" si="285"/>
        <v/>
      </c>
      <c r="BK1758" s="9" t="str">
        <f>IF($B1758="","",COUNTIFS($B$5:$B1758,$B1758,$BF$5:$BF1758,$BF1758))</f>
        <v/>
      </c>
      <c r="BL1758" s="9" t="str">
        <f>IF($B1758="","",COUNTIFS($B$5:$B1758,$B1758,$BH$5:$BH1758,$BH1758))</f>
        <v/>
      </c>
      <c r="BM1758" s="9" t="str">
        <f t="shared" si="286"/>
        <v/>
      </c>
      <c r="BN1758" s="9" t="str">
        <f t="shared" si="287"/>
        <v/>
      </c>
      <c r="BO1758" s="9">
        <f t="shared" si="288"/>
        <v>0</v>
      </c>
      <c r="BR1758" s="12" t="str">
        <f t="shared" si="289"/>
        <v/>
      </c>
    </row>
    <row r="1759" spans="1:70" ht="14.25" customHeight="1">
      <c r="A1759" s="26"/>
      <c r="C1759" s="26"/>
      <c r="D1759" s="27"/>
      <c r="E1759" s="27"/>
      <c r="BE1759" s="10" t="str">
        <f t="shared" si="280"/>
        <v/>
      </c>
      <c r="BF1759" s="8" t="str">
        <f t="shared" si="281"/>
        <v/>
      </c>
      <c r="BG1759" s="11" t="str">
        <f t="shared" si="282"/>
        <v/>
      </c>
      <c r="BH1759" s="8" t="str">
        <f t="shared" si="283"/>
        <v/>
      </c>
      <c r="BI1759" s="8" t="str">
        <f t="shared" si="284"/>
        <v/>
      </c>
      <c r="BJ1759" s="9" t="str">
        <f t="shared" si="285"/>
        <v/>
      </c>
      <c r="BK1759" s="9" t="str">
        <f>IF($B1759="","",COUNTIFS($B$5:$B1759,$B1759,$BF$5:$BF1759,$BF1759))</f>
        <v/>
      </c>
      <c r="BL1759" s="9" t="str">
        <f>IF($B1759="","",COUNTIFS($B$5:$B1759,$B1759,$BH$5:$BH1759,$BH1759))</f>
        <v/>
      </c>
      <c r="BM1759" s="9" t="str">
        <f t="shared" si="286"/>
        <v/>
      </c>
      <c r="BN1759" s="9" t="str">
        <f t="shared" si="287"/>
        <v/>
      </c>
      <c r="BO1759" s="9">
        <f t="shared" si="288"/>
        <v>0</v>
      </c>
      <c r="BR1759" s="12" t="str">
        <f t="shared" si="289"/>
        <v/>
      </c>
    </row>
    <row r="1760" spans="1:70" ht="14.25" customHeight="1">
      <c r="A1760" s="26"/>
      <c r="C1760" s="26"/>
      <c r="D1760" s="27"/>
      <c r="E1760" s="27"/>
      <c r="BE1760" s="10" t="str">
        <f t="shared" si="280"/>
        <v/>
      </c>
      <c r="BF1760" s="8" t="str">
        <f t="shared" si="281"/>
        <v/>
      </c>
      <c r="BG1760" s="11" t="str">
        <f t="shared" si="282"/>
        <v/>
      </c>
      <c r="BH1760" s="8" t="str">
        <f t="shared" si="283"/>
        <v/>
      </c>
      <c r="BI1760" s="8" t="str">
        <f t="shared" si="284"/>
        <v/>
      </c>
      <c r="BJ1760" s="9" t="str">
        <f t="shared" si="285"/>
        <v/>
      </c>
      <c r="BK1760" s="9" t="str">
        <f>IF($B1760="","",COUNTIFS($B$5:$B1760,$B1760,$BF$5:$BF1760,$BF1760))</f>
        <v/>
      </c>
      <c r="BL1760" s="9" t="str">
        <f>IF($B1760="","",COUNTIFS($B$5:$B1760,$B1760,$BH$5:$BH1760,$BH1760))</f>
        <v/>
      </c>
      <c r="BM1760" s="9" t="str">
        <f t="shared" si="286"/>
        <v/>
      </c>
      <c r="BN1760" s="9" t="str">
        <f t="shared" si="287"/>
        <v/>
      </c>
      <c r="BO1760" s="9">
        <f t="shared" si="288"/>
        <v>0</v>
      </c>
      <c r="BR1760" s="12" t="str">
        <f t="shared" si="289"/>
        <v/>
      </c>
    </row>
    <row r="1761" spans="1:70" ht="14.25" customHeight="1">
      <c r="A1761" s="26"/>
      <c r="C1761" s="26"/>
      <c r="D1761" s="27"/>
      <c r="E1761" s="27"/>
      <c r="BE1761" s="10" t="str">
        <f t="shared" si="280"/>
        <v/>
      </c>
      <c r="BF1761" s="8" t="str">
        <f t="shared" si="281"/>
        <v/>
      </c>
      <c r="BG1761" s="11" t="str">
        <f t="shared" si="282"/>
        <v/>
      </c>
      <c r="BH1761" s="8" t="str">
        <f t="shared" si="283"/>
        <v/>
      </c>
      <c r="BI1761" s="8" t="str">
        <f t="shared" si="284"/>
        <v/>
      </c>
      <c r="BJ1761" s="9" t="str">
        <f t="shared" si="285"/>
        <v/>
      </c>
      <c r="BK1761" s="9" t="str">
        <f>IF($B1761="","",COUNTIFS($B$5:$B1761,$B1761,$BF$5:$BF1761,$BF1761))</f>
        <v/>
      </c>
      <c r="BL1761" s="9" t="str">
        <f>IF($B1761="","",COUNTIFS($B$5:$B1761,$B1761,$BH$5:$BH1761,$BH1761))</f>
        <v/>
      </c>
      <c r="BM1761" s="9" t="str">
        <f t="shared" si="286"/>
        <v/>
      </c>
      <c r="BN1761" s="9" t="str">
        <f t="shared" si="287"/>
        <v/>
      </c>
      <c r="BO1761" s="9">
        <f t="shared" si="288"/>
        <v>0</v>
      </c>
      <c r="BR1761" s="12" t="str">
        <f t="shared" si="289"/>
        <v/>
      </c>
    </row>
    <row r="1762" spans="1:70" ht="14.25" customHeight="1">
      <c r="A1762" s="26"/>
      <c r="C1762" s="26"/>
      <c r="D1762" s="27"/>
      <c r="E1762" s="27"/>
      <c r="BE1762" s="10" t="str">
        <f t="shared" si="280"/>
        <v/>
      </c>
      <c r="BF1762" s="8" t="str">
        <f t="shared" si="281"/>
        <v/>
      </c>
      <c r="BG1762" s="11" t="str">
        <f t="shared" si="282"/>
        <v/>
      </c>
      <c r="BH1762" s="8" t="str">
        <f t="shared" si="283"/>
        <v/>
      </c>
      <c r="BI1762" s="8" t="str">
        <f t="shared" si="284"/>
        <v/>
      </c>
      <c r="BJ1762" s="9" t="str">
        <f t="shared" si="285"/>
        <v/>
      </c>
      <c r="BK1762" s="9" t="str">
        <f>IF($B1762="","",COUNTIFS($B$5:$B1762,$B1762,$BF$5:$BF1762,$BF1762))</f>
        <v/>
      </c>
      <c r="BL1762" s="9" t="str">
        <f>IF($B1762="","",COUNTIFS($B$5:$B1762,$B1762,$BH$5:$BH1762,$BH1762))</f>
        <v/>
      </c>
      <c r="BM1762" s="9" t="str">
        <f t="shared" si="286"/>
        <v/>
      </c>
      <c r="BN1762" s="9" t="str">
        <f t="shared" si="287"/>
        <v/>
      </c>
      <c r="BO1762" s="9">
        <f t="shared" si="288"/>
        <v>0</v>
      </c>
      <c r="BR1762" s="12" t="str">
        <f t="shared" si="289"/>
        <v/>
      </c>
    </row>
    <row r="1763" spans="1:70" ht="14.25" customHeight="1">
      <c r="A1763" s="26"/>
      <c r="C1763" s="26"/>
      <c r="D1763" s="27"/>
      <c r="E1763" s="27"/>
      <c r="BE1763" s="10" t="str">
        <f t="shared" si="280"/>
        <v/>
      </c>
      <c r="BF1763" s="8" t="str">
        <f t="shared" si="281"/>
        <v/>
      </c>
      <c r="BG1763" s="11" t="str">
        <f t="shared" si="282"/>
        <v/>
      </c>
      <c r="BH1763" s="8" t="str">
        <f t="shared" si="283"/>
        <v/>
      </c>
      <c r="BI1763" s="8" t="str">
        <f t="shared" si="284"/>
        <v/>
      </c>
      <c r="BJ1763" s="9" t="str">
        <f t="shared" si="285"/>
        <v/>
      </c>
      <c r="BK1763" s="9" t="str">
        <f>IF($B1763="","",COUNTIFS($B$5:$B1763,$B1763,$BF$5:$BF1763,$BF1763))</f>
        <v/>
      </c>
      <c r="BL1763" s="9" t="str">
        <f>IF($B1763="","",COUNTIFS($B$5:$B1763,$B1763,$BH$5:$BH1763,$BH1763))</f>
        <v/>
      </c>
      <c r="BM1763" s="9" t="str">
        <f t="shared" si="286"/>
        <v/>
      </c>
      <c r="BN1763" s="9" t="str">
        <f t="shared" si="287"/>
        <v/>
      </c>
      <c r="BO1763" s="9">
        <f t="shared" si="288"/>
        <v>0</v>
      </c>
      <c r="BR1763" s="12" t="str">
        <f t="shared" si="289"/>
        <v/>
      </c>
    </row>
    <row r="1764" spans="1:70" ht="14.25" customHeight="1">
      <c r="A1764" s="26"/>
      <c r="C1764" s="26"/>
      <c r="D1764" s="27"/>
      <c r="E1764" s="27"/>
      <c r="BE1764" s="10" t="str">
        <f t="shared" si="280"/>
        <v/>
      </c>
      <c r="BF1764" s="8" t="str">
        <f t="shared" si="281"/>
        <v/>
      </c>
      <c r="BG1764" s="11" t="str">
        <f t="shared" si="282"/>
        <v/>
      </c>
      <c r="BH1764" s="8" t="str">
        <f t="shared" si="283"/>
        <v/>
      </c>
      <c r="BI1764" s="8" t="str">
        <f t="shared" si="284"/>
        <v/>
      </c>
      <c r="BJ1764" s="9" t="str">
        <f t="shared" si="285"/>
        <v/>
      </c>
      <c r="BK1764" s="9" t="str">
        <f>IF($B1764="","",COUNTIFS($B$5:$B1764,$B1764,$BF$5:$BF1764,$BF1764))</f>
        <v/>
      </c>
      <c r="BL1764" s="9" t="str">
        <f>IF($B1764="","",COUNTIFS($B$5:$B1764,$B1764,$BH$5:$BH1764,$BH1764))</f>
        <v/>
      </c>
      <c r="BM1764" s="9" t="str">
        <f t="shared" si="286"/>
        <v/>
      </c>
      <c r="BN1764" s="9" t="str">
        <f t="shared" si="287"/>
        <v/>
      </c>
      <c r="BO1764" s="9">
        <f t="shared" si="288"/>
        <v>0</v>
      </c>
      <c r="BR1764" s="12" t="str">
        <f t="shared" si="289"/>
        <v/>
      </c>
    </row>
    <row r="1765" spans="1:70" ht="14.25" customHeight="1">
      <c r="A1765" s="26"/>
      <c r="C1765" s="26"/>
      <c r="D1765" s="27"/>
      <c r="E1765" s="27"/>
      <c r="BE1765" s="10" t="str">
        <f t="shared" si="280"/>
        <v/>
      </c>
      <c r="BF1765" s="8" t="str">
        <f t="shared" si="281"/>
        <v/>
      </c>
      <c r="BG1765" s="11" t="str">
        <f t="shared" si="282"/>
        <v/>
      </c>
      <c r="BH1765" s="8" t="str">
        <f t="shared" si="283"/>
        <v/>
      </c>
      <c r="BI1765" s="8" t="str">
        <f t="shared" si="284"/>
        <v/>
      </c>
      <c r="BJ1765" s="9" t="str">
        <f t="shared" si="285"/>
        <v/>
      </c>
      <c r="BK1765" s="9" t="str">
        <f>IF($B1765="","",COUNTIFS($B$5:$B1765,$B1765,$BF$5:$BF1765,$BF1765))</f>
        <v/>
      </c>
      <c r="BL1765" s="9" t="str">
        <f>IF($B1765="","",COUNTIFS($B$5:$B1765,$B1765,$BH$5:$BH1765,$BH1765))</f>
        <v/>
      </c>
      <c r="BM1765" s="9" t="str">
        <f t="shared" si="286"/>
        <v/>
      </c>
      <c r="BN1765" s="9" t="str">
        <f t="shared" si="287"/>
        <v/>
      </c>
      <c r="BO1765" s="9">
        <f t="shared" si="288"/>
        <v>0</v>
      </c>
      <c r="BR1765" s="12" t="str">
        <f t="shared" si="289"/>
        <v/>
      </c>
    </row>
    <row r="1766" spans="1:70" ht="14.25" customHeight="1">
      <c r="A1766" s="26"/>
      <c r="C1766" s="26"/>
      <c r="D1766" s="27"/>
      <c r="E1766" s="27"/>
      <c r="BE1766" s="10" t="str">
        <f t="shared" si="280"/>
        <v/>
      </c>
      <c r="BF1766" s="8" t="str">
        <f t="shared" si="281"/>
        <v/>
      </c>
      <c r="BG1766" s="11" t="str">
        <f t="shared" si="282"/>
        <v/>
      </c>
      <c r="BH1766" s="8" t="str">
        <f t="shared" si="283"/>
        <v/>
      </c>
      <c r="BI1766" s="8" t="str">
        <f t="shared" si="284"/>
        <v/>
      </c>
      <c r="BJ1766" s="9" t="str">
        <f t="shared" si="285"/>
        <v/>
      </c>
      <c r="BK1766" s="9" t="str">
        <f>IF($B1766="","",COUNTIFS($B$5:$B1766,$B1766,$BF$5:$BF1766,$BF1766))</f>
        <v/>
      </c>
      <c r="BL1766" s="9" t="str">
        <f>IF($B1766="","",COUNTIFS($B$5:$B1766,$B1766,$BH$5:$BH1766,$BH1766))</f>
        <v/>
      </c>
      <c r="BM1766" s="9" t="str">
        <f t="shared" si="286"/>
        <v/>
      </c>
      <c r="BN1766" s="9" t="str">
        <f t="shared" si="287"/>
        <v/>
      </c>
      <c r="BO1766" s="9">
        <f t="shared" si="288"/>
        <v>0</v>
      </c>
      <c r="BR1766" s="12" t="str">
        <f t="shared" si="289"/>
        <v/>
      </c>
    </row>
    <row r="1767" spans="1:70" ht="14.25" customHeight="1">
      <c r="A1767" s="26"/>
      <c r="C1767" s="26"/>
      <c r="D1767" s="27"/>
      <c r="E1767" s="27"/>
      <c r="BE1767" s="10" t="str">
        <f t="shared" si="280"/>
        <v/>
      </c>
      <c r="BF1767" s="8" t="str">
        <f t="shared" si="281"/>
        <v/>
      </c>
      <c r="BG1767" s="11" t="str">
        <f t="shared" si="282"/>
        <v/>
      </c>
      <c r="BH1767" s="8" t="str">
        <f t="shared" si="283"/>
        <v/>
      </c>
      <c r="BI1767" s="8" t="str">
        <f t="shared" si="284"/>
        <v/>
      </c>
      <c r="BJ1767" s="9" t="str">
        <f t="shared" si="285"/>
        <v/>
      </c>
      <c r="BK1767" s="9" t="str">
        <f>IF($B1767="","",COUNTIFS($B$5:$B1767,$B1767,$BF$5:$BF1767,$BF1767))</f>
        <v/>
      </c>
      <c r="BL1767" s="9" t="str">
        <f>IF($B1767="","",COUNTIFS($B$5:$B1767,$B1767,$BH$5:$BH1767,$BH1767))</f>
        <v/>
      </c>
      <c r="BM1767" s="9" t="str">
        <f t="shared" si="286"/>
        <v/>
      </c>
      <c r="BN1767" s="9" t="str">
        <f t="shared" si="287"/>
        <v/>
      </c>
      <c r="BO1767" s="9">
        <f t="shared" si="288"/>
        <v>0</v>
      </c>
      <c r="BR1767" s="12" t="str">
        <f t="shared" si="289"/>
        <v/>
      </c>
    </row>
    <row r="1768" spans="1:70" ht="14.25" customHeight="1">
      <c r="A1768" s="26"/>
      <c r="C1768" s="26"/>
      <c r="D1768" s="27"/>
      <c r="E1768" s="27"/>
      <c r="BE1768" s="10" t="str">
        <f t="shared" si="280"/>
        <v/>
      </c>
      <c r="BF1768" s="8" t="str">
        <f t="shared" si="281"/>
        <v/>
      </c>
      <c r="BG1768" s="11" t="str">
        <f t="shared" si="282"/>
        <v/>
      </c>
      <c r="BH1768" s="8" t="str">
        <f t="shared" si="283"/>
        <v/>
      </c>
      <c r="BI1768" s="8" t="str">
        <f t="shared" si="284"/>
        <v/>
      </c>
      <c r="BJ1768" s="9" t="str">
        <f t="shared" si="285"/>
        <v/>
      </c>
      <c r="BK1768" s="9" t="str">
        <f>IF($B1768="","",COUNTIFS($B$5:$B1768,$B1768,$BF$5:$BF1768,$BF1768))</f>
        <v/>
      </c>
      <c r="BL1768" s="9" t="str">
        <f>IF($B1768="","",COUNTIFS($B$5:$B1768,$B1768,$BH$5:$BH1768,$BH1768))</f>
        <v/>
      </c>
      <c r="BM1768" s="9" t="str">
        <f t="shared" si="286"/>
        <v/>
      </c>
      <c r="BN1768" s="9" t="str">
        <f t="shared" si="287"/>
        <v/>
      </c>
      <c r="BO1768" s="9">
        <f t="shared" si="288"/>
        <v>0</v>
      </c>
      <c r="BR1768" s="12" t="str">
        <f t="shared" si="289"/>
        <v/>
      </c>
    </row>
    <row r="1769" spans="1:70" ht="14.25" customHeight="1">
      <c r="A1769" s="26"/>
      <c r="C1769" s="26"/>
      <c r="D1769" s="27"/>
      <c r="E1769" s="27"/>
      <c r="BE1769" s="10" t="str">
        <f t="shared" si="280"/>
        <v/>
      </c>
      <c r="BF1769" s="8" t="str">
        <f t="shared" si="281"/>
        <v/>
      </c>
      <c r="BG1769" s="11" t="str">
        <f t="shared" si="282"/>
        <v/>
      </c>
      <c r="BH1769" s="8" t="str">
        <f t="shared" si="283"/>
        <v/>
      </c>
      <c r="BI1769" s="8" t="str">
        <f t="shared" si="284"/>
        <v/>
      </c>
      <c r="BJ1769" s="9" t="str">
        <f t="shared" si="285"/>
        <v/>
      </c>
      <c r="BK1769" s="9" t="str">
        <f>IF($B1769="","",COUNTIFS($B$5:$B1769,$B1769,$BF$5:$BF1769,$BF1769))</f>
        <v/>
      </c>
      <c r="BL1769" s="9" t="str">
        <f>IF($B1769="","",COUNTIFS($B$5:$B1769,$B1769,$BH$5:$BH1769,$BH1769))</f>
        <v/>
      </c>
      <c r="BM1769" s="9" t="str">
        <f t="shared" si="286"/>
        <v/>
      </c>
      <c r="BN1769" s="9" t="str">
        <f t="shared" si="287"/>
        <v/>
      </c>
      <c r="BO1769" s="9">
        <f t="shared" si="288"/>
        <v>0</v>
      </c>
      <c r="BR1769" s="12" t="str">
        <f t="shared" si="289"/>
        <v/>
      </c>
    </row>
    <row r="1770" spans="1:70" ht="14.25" customHeight="1">
      <c r="A1770" s="26"/>
      <c r="C1770" s="26"/>
      <c r="D1770" s="27"/>
      <c r="E1770" s="27"/>
      <c r="BE1770" s="10" t="str">
        <f t="shared" si="280"/>
        <v/>
      </c>
      <c r="BF1770" s="8" t="str">
        <f t="shared" si="281"/>
        <v/>
      </c>
      <c r="BG1770" s="11" t="str">
        <f t="shared" si="282"/>
        <v/>
      </c>
      <c r="BH1770" s="8" t="str">
        <f t="shared" si="283"/>
        <v/>
      </c>
      <c r="BI1770" s="8" t="str">
        <f t="shared" si="284"/>
        <v/>
      </c>
      <c r="BJ1770" s="9" t="str">
        <f t="shared" si="285"/>
        <v/>
      </c>
      <c r="BK1770" s="9" t="str">
        <f>IF($B1770="","",COUNTIFS($B$5:$B1770,$B1770,$BF$5:$BF1770,$BF1770))</f>
        <v/>
      </c>
      <c r="BL1770" s="9" t="str">
        <f>IF($B1770="","",COUNTIFS($B$5:$B1770,$B1770,$BH$5:$BH1770,$BH1770))</f>
        <v/>
      </c>
      <c r="BM1770" s="9" t="str">
        <f t="shared" si="286"/>
        <v/>
      </c>
      <c r="BN1770" s="9" t="str">
        <f t="shared" si="287"/>
        <v/>
      </c>
      <c r="BO1770" s="9">
        <f t="shared" si="288"/>
        <v>0</v>
      </c>
      <c r="BR1770" s="12" t="str">
        <f t="shared" si="289"/>
        <v/>
      </c>
    </row>
    <row r="1771" spans="1:70" ht="14.25" customHeight="1">
      <c r="A1771" s="26"/>
      <c r="C1771" s="26"/>
      <c r="D1771" s="27"/>
      <c r="E1771" s="27"/>
      <c r="BE1771" s="10" t="str">
        <f t="shared" si="280"/>
        <v/>
      </c>
      <c r="BF1771" s="8" t="str">
        <f t="shared" si="281"/>
        <v/>
      </c>
      <c r="BG1771" s="11" t="str">
        <f t="shared" si="282"/>
        <v/>
      </c>
      <c r="BH1771" s="8" t="str">
        <f t="shared" si="283"/>
        <v/>
      </c>
      <c r="BI1771" s="8" t="str">
        <f t="shared" si="284"/>
        <v/>
      </c>
      <c r="BJ1771" s="9" t="str">
        <f t="shared" si="285"/>
        <v/>
      </c>
      <c r="BK1771" s="9" t="str">
        <f>IF($B1771="","",COUNTIFS($B$5:$B1771,$B1771,$BF$5:$BF1771,$BF1771))</f>
        <v/>
      </c>
      <c r="BL1771" s="9" t="str">
        <f>IF($B1771="","",COUNTIFS($B$5:$B1771,$B1771,$BH$5:$BH1771,$BH1771))</f>
        <v/>
      </c>
      <c r="BM1771" s="9" t="str">
        <f t="shared" si="286"/>
        <v/>
      </c>
      <c r="BN1771" s="9" t="str">
        <f t="shared" si="287"/>
        <v/>
      </c>
      <c r="BO1771" s="9">
        <f t="shared" si="288"/>
        <v>0</v>
      </c>
      <c r="BR1771" s="12" t="str">
        <f t="shared" si="289"/>
        <v/>
      </c>
    </row>
    <row r="1772" spans="1:70" ht="14.25" customHeight="1">
      <c r="A1772" s="26"/>
      <c r="C1772" s="26"/>
      <c r="D1772" s="27"/>
      <c r="E1772" s="27"/>
      <c r="BE1772" s="10" t="str">
        <f t="shared" si="280"/>
        <v/>
      </c>
      <c r="BF1772" s="8" t="str">
        <f t="shared" si="281"/>
        <v/>
      </c>
      <c r="BG1772" s="11" t="str">
        <f t="shared" si="282"/>
        <v/>
      </c>
      <c r="BH1772" s="8" t="str">
        <f t="shared" si="283"/>
        <v/>
      </c>
      <c r="BI1772" s="8" t="str">
        <f t="shared" si="284"/>
        <v/>
      </c>
      <c r="BJ1772" s="9" t="str">
        <f t="shared" si="285"/>
        <v/>
      </c>
      <c r="BK1772" s="9" t="str">
        <f>IF($B1772="","",COUNTIFS($B$5:$B1772,$B1772,$BF$5:$BF1772,$BF1772))</f>
        <v/>
      </c>
      <c r="BL1772" s="9" t="str">
        <f>IF($B1772="","",COUNTIFS($B$5:$B1772,$B1772,$BH$5:$BH1772,$BH1772))</f>
        <v/>
      </c>
      <c r="BM1772" s="9" t="str">
        <f t="shared" si="286"/>
        <v/>
      </c>
      <c r="BN1772" s="9" t="str">
        <f t="shared" si="287"/>
        <v/>
      </c>
      <c r="BO1772" s="9">
        <f t="shared" si="288"/>
        <v>0</v>
      </c>
      <c r="BR1772" s="12" t="str">
        <f t="shared" si="289"/>
        <v/>
      </c>
    </row>
    <row r="1773" spans="1:70" ht="14.25" customHeight="1">
      <c r="A1773" s="26"/>
      <c r="C1773" s="26"/>
      <c r="D1773" s="27"/>
      <c r="E1773" s="27"/>
      <c r="BE1773" s="10" t="str">
        <f t="shared" si="280"/>
        <v/>
      </c>
      <c r="BF1773" s="8" t="str">
        <f t="shared" si="281"/>
        <v/>
      </c>
      <c r="BG1773" s="11" t="str">
        <f t="shared" si="282"/>
        <v/>
      </c>
      <c r="BH1773" s="8" t="str">
        <f t="shared" si="283"/>
        <v/>
      </c>
      <c r="BI1773" s="8" t="str">
        <f t="shared" si="284"/>
        <v/>
      </c>
      <c r="BJ1773" s="9" t="str">
        <f t="shared" si="285"/>
        <v/>
      </c>
      <c r="BK1773" s="9" t="str">
        <f>IF($B1773="","",COUNTIFS($B$5:$B1773,$B1773,$BF$5:$BF1773,$BF1773))</f>
        <v/>
      </c>
      <c r="BL1773" s="9" t="str">
        <f>IF($B1773="","",COUNTIFS($B$5:$B1773,$B1773,$BH$5:$BH1773,$BH1773))</f>
        <v/>
      </c>
      <c r="BM1773" s="9" t="str">
        <f t="shared" si="286"/>
        <v/>
      </c>
      <c r="BN1773" s="9" t="str">
        <f t="shared" si="287"/>
        <v/>
      </c>
      <c r="BO1773" s="9">
        <f t="shared" si="288"/>
        <v>0</v>
      </c>
      <c r="BR1773" s="12" t="str">
        <f t="shared" si="289"/>
        <v/>
      </c>
    </row>
    <row r="1774" spans="1:70" ht="14.25" customHeight="1">
      <c r="A1774" s="26"/>
      <c r="C1774" s="26"/>
      <c r="D1774" s="27"/>
      <c r="E1774" s="27"/>
      <c r="BE1774" s="10" t="str">
        <f t="shared" si="280"/>
        <v/>
      </c>
      <c r="BF1774" s="8" t="str">
        <f t="shared" si="281"/>
        <v/>
      </c>
      <c r="BG1774" s="11" t="str">
        <f t="shared" si="282"/>
        <v/>
      </c>
      <c r="BH1774" s="8" t="str">
        <f t="shared" si="283"/>
        <v/>
      </c>
      <c r="BI1774" s="8" t="str">
        <f t="shared" si="284"/>
        <v/>
      </c>
      <c r="BJ1774" s="9" t="str">
        <f t="shared" si="285"/>
        <v/>
      </c>
      <c r="BK1774" s="9" t="str">
        <f>IF($B1774="","",COUNTIFS($B$5:$B1774,$B1774,$BF$5:$BF1774,$BF1774))</f>
        <v/>
      </c>
      <c r="BL1774" s="9" t="str">
        <f>IF($B1774="","",COUNTIFS($B$5:$B1774,$B1774,$BH$5:$BH1774,$BH1774))</f>
        <v/>
      </c>
      <c r="BM1774" s="9" t="str">
        <f t="shared" si="286"/>
        <v/>
      </c>
      <c r="BN1774" s="9" t="str">
        <f t="shared" si="287"/>
        <v/>
      </c>
      <c r="BO1774" s="9">
        <f t="shared" si="288"/>
        <v>0</v>
      </c>
      <c r="BR1774" s="12" t="str">
        <f t="shared" si="289"/>
        <v/>
      </c>
    </row>
    <row r="1775" spans="1:70" ht="14.25" customHeight="1">
      <c r="A1775" s="26"/>
      <c r="C1775" s="26"/>
      <c r="D1775" s="27"/>
      <c r="E1775" s="27"/>
      <c r="BE1775" s="10" t="str">
        <f t="shared" si="280"/>
        <v/>
      </c>
      <c r="BF1775" s="8" t="str">
        <f t="shared" si="281"/>
        <v/>
      </c>
      <c r="BG1775" s="11" t="str">
        <f t="shared" si="282"/>
        <v/>
      </c>
      <c r="BH1775" s="8" t="str">
        <f t="shared" si="283"/>
        <v/>
      </c>
      <c r="BI1775" s="8" t="str">
        <f t="shared" si="284"/>
        <v/>
      </c>
      <c r="BJ1775" s="9" t="str">
        <f t="shared" si="285"/>
        <v/>
      </c>
      <c r="BK1775" s="9" t="str">
        <f>IF($B1775="","",COUNTIFS($B$5:$B1775,$B1775,$BF$5:$BF1775,$BF1775))</f>
        <v/>
      </c>
      <c r="BL1775" s="9" t="str">
        <f>IF($B1775="","",COUNTIFS($B$5:$B1775,$B1775,$BH$5:$BH1775,$BH1775))</f>
        <v/>
      </c>
      <c r="BM1775" s="9" t="str">
        <f t="shared" si="286"/>
        <v/>
      </c>
      <c r="BN1775" s="9" t="str">
        <f t="shared" si="287"/>
        <v/>
      </c>
      <c r="BO1775" s="9">
        <f t="shared" si="288"/>
        <v>0</v>
      </c>
      <c r="BR1775" s="12" t="str">
        <f t="shared" si="289"/>
        <v/>
      </c>
    </row>
    <row r="1776" spans="1:70" ht="14.25" customHeight="1">
      <c r="A1776" s="26"/>
      <c r="C1776" s="26"/>
      <c r="D1776" s="27"/>
      <c r="E1776" s="27"/>
      <c r="BE1776" s="10" t="str">
        <f t="shared" si="280"/>
        <v/>
      </c>
      <c r="BF1776" s="8" t="str">
        <f t="shared" si="281"/>
        <v/>
      </c>
      <c r="BG1776" s="11" t="str">
        <f t="shared" si="282"/>
        <v/>
      </c>
      <c r="BH1776" s="8" t="str">
        <f t="shared" si="283"/>
        <v/>
      </c>
      <c r="BI1776" s="8" t="str">
        <f t="shared" si="284"/>
        <v/>
      </c>
      <c r="BJ1776" s="9" t="str">
        <f t="shared" si="285"/>
        <v/>
      </c>
      <c r="BK1776" s="9" t="str">
        <f>IF($B1776="","",COUNTIFS($B$5:$B1776,$B1776,$BF$5:$BF1776,$BF1776))</f>
        <v/>
      </c>
      <c r="BL1776" s="9" t="str">
        <f>IF($B1776="","",COUNTIFS($B$5:$B1776,$B1776,$BH$5:$BH1776,$BH1776))</f>
        <v/>
      </c>
      <c r="BM1776" s="9" t="str">
        <f t="shared" si="286"/>
        <v/>
      </c>
      <c r="BN1776" s="9" t="str">
        <f t="shared" si="287"/>
        <v/>
      </c>
      <c r="BO1776" s="9">
        <f t="shared" si="288"/>
        <v>0</v>
      </c>
      <c r="BR1776" s="12" t="str">
        <f t="shared" si="289"/>
        <v/>
      </c>
    </row>
    <row r="1777" spans="1:70" ht="14.25" customHeight="1">
      <c r="A1777" s="26"/>
      <c r="C1777" s="26"/>
      <c r="D1777" s="27"/>
      <c r="E1777" s="27"/>
      <c r="BE1777" s="10" t="str">
        <f t="shared" si="280"/>
        <v/>
      </c>
      <c r="BF1777" s="8" t="str">
        <f t="shared" si="281"/>
        <v/>
      </c>
      <c r="BG1777" s="11" t="str">
        <f t="shared" si="282"/>
        <v/>
      </c>
      <c r="BH1777" s="8" t="str">
        <f t="shared" si="283"/>
        <v/>
      </c>
      <c r="BI1777" s="8" t="str">
        <f t="shared" si="284"/>
        <v/>
      </c>
      <c r="BJ1777" s="9" t="str">
        <f t="shared" si="285"/>
        <v/>
      </c>
      <c r="BK1777" s="9" t="str">
        <f>IF($B1777="","",COUNTIFS($B$5:$B1777,$B1777,$BF$5:$BF1777,$BF1777))</f>
        <v/>
      </c>
      <c r="BL1777" s="9" t="str">
        <f>IF($B1777="","",COUNTIFS($B$5:$B1777,$B1777,$BH$5:$BH1777,$BH1777))</f>
        <v/>
      </c>
      <c r="BM1777" s="9" t="str">
        <f t="shared" si="286"/>
        <v/>
      </c>
      <c r="BN1777" s="9" t="str">
        <f t="shared" si="287"/>
        <v/>
      </c>
      <c r="BO1777" s="9">
        <f t="shared" si="288"/>
        <v>0</v>
      </c>
      <c r="BR1777" s="12" t="str">
        <f t="shared" si="289"/>
        <v/>
      </c>
    </row>
    <row r="1778" spans="1:70" ht="14.25" customHeight="1">
      <c r="A1778" s="26"/>
      <c r="C1778" s="26"/>
      <c r="D1778" s="27"/>
      <c r="E1778" s="27"/>
      <c r="BE1778" s="10" t="str">
        <f t="shared" si="280"/>
        <v/>
      </c>
      <c r="BF1778" s="8" t="str">
        <f t="shared" si="281"/>
        <v/>
      </c>
      <c r="BG1778" s="11" t="str">
        <f t="shared" si="282"/>
        <v/>
      </c>
      <c r="BH1778" s="8" t="str">
        <f t="shared" si="283"/>
        <v/>
      </c>
      <c r="BI1778" s="8" t="str">
        <f t="shared" si="284"/>
        <v/>
      </c>
      <c r="BJ1778" s="9" t="str">
        <f t="shared" si="285"/>
        <v/>
      </c>
      <c r="BK1778" s="9" t="str">
        <f>IF($B1778="","",COUNTIFS($B$5:$B1778,$B1778,$BF$5:$BF1778,$BF1778))</f>
        <v/>
      </c>
      <c r="BL1778" s="9" t="str">
        <f>IF($B1778="","",COUNTIFS($B$5:$B1778,$B1778,$BH$5:$BH1778,$BH1778))</f>
        <v/>
      </c>
      <c r="BM1778" s="9" t="str">
        <f t="shared" si="286"/>
        <v/>
      </c>
      <c r="BN1778" s="9" t="str">
        <f t="shared" si="287"/>
        <v/>
      </c>
      <c r="BO1778" s="9">
        <f t="shared" si="288"/>
        <v>0</v>
      </c>
      <c r="BR1778" s="12" t="str">
        <f t="shared" si="289"/>
        <v/>
      </c>
    </row>
    <row r="1779" spans="1:70" ht="14.25" customHeight="1">
      <c r="A1779" s="26"/>
      <c r="C1779" s="26"/>
      <c r="D1779" s="27"/>
      <c r="E1779" s="27"/>
      <c r="BE1779" s="10" t="str">
        <f t="shared" si="280"/>
        <v/>
      </c>
      <c r="BF1779" s="8" t="str">
        <f t="shared" si="281"/>
        <v/>
      </c>
      <c r="BG1779" s="11" t="str">
        <f t="shared" si="282"/>
        <v/>
      </c>
      <c r="BH1779" s="8" t="str">
        <f t="shared" si="283"/>
        <v/>
      </c>
      <c r="BI1779" s="8" t="str">
        <f t="shared" si="284"/>
        <v/>
      </c>
      <c r="BJ1779" s="9" t="str">
        <f t="shared" si="285"/>
        <v/>
      </c>
      <c r="BK1779" s="9" t="str">
        <f>IF($B1779="","",COUNTIFS($B$5:$B1779,$B1779,$BF$5:$BF1779,$BF1779))</f>
        <v/>
      </c>
      <c r="BL1779" s="9" t="str">
        <f>IF($B1779="","",COUNTIFS($B$5:$B1779,$B1779,$BH$5:$BH1779,$BH1779))</f>
        <v/>
      </c>
      <c r="BM1779" s="9" t="str">
        <f t="shared" si="286"/>
        <v/>
      </c>
      <c r="BN1779" s="9" t="str">
        <f t="shared" si="287"/>
        <v/>
      </c>
      <c r="BO1779" s="9">
        <f t="shared" si="288"/>
        <v>0</v>
      </c>
      <c r="BR1779" s="12" t="str">
        <f t="shared" si="289"/>
        <v/>
      </c>
    </row>
    <row r="1780" spans="1:70" ht="14.25" customHeight="1">
      <c r="A1780" s="26"/>
      <c r="C1780" s="26"/>
      <c r="D1780" s="27"/>
      <c r="E1780" s="27"/>
      <c r="BE1780" s="10" t="str">
        <f t="shared" si="280"/>
        <v/>
      </c>
      <c r="BF1780" s="8" t="str">
        <f t="shared" si="281"/>
        <v/>
      </c>
      <c r="BG1780" s="11" t="str">
        <f t="shared" si="282"/>
        <v/>
      </c>
      <c r="BH1780" s="8" t="str">
        <f t="shared" si="283"/>
        <v/>
      </c>
      <c r="BI1780" s="8" t="str">
        <f t="shared" si="284"/>
        <v/>
      </c>
      <c r="BJ1780" s="9" t="str">
        <f t="shared" si="285"/>
        <v/>
      </c>
      <c r="BK1780" s="9" t="str">
        <f>IF($B1780="","",COUNTIFS($B$5:$B1780,$B1780,$BF$5:$BF1780,$BF1780))</f>
        <v/>
      </c>
      <c r="BL1780" s="9" t="str">
        <f>IF($B1780="","",COUNTIFS($B$5:$B1780,$B1780,$BH$5:$BH1780,$BH1780))</f>
        <v/>
      </c>
      <c r="BM1780" s="9" t="str">
        <f t="shared" si="286"/>
        <v/>
      </c>
      <c r="BN1780" s="9" t="str">
        <f t="shared" si="287"/>
        <v/>
      </c>
      <c r="BO1780" s="9">
        <f t="shared" si="288"/>
        <v>0</v>
      </c>
      <c r="BR1780" s="12" t="str">
        <f t="shared" si="289"/>
        <v/>
      </c>
    </row>
    <row r="1781" spans="1:70" ht="14.25" customHeight="1">
      <c r="A1781" s="26"/>
      <c r="C1781" s="26"/>
      <c r="D1781" s="27"/>
      <c r="E1781" s="27"/>
      <c r="BE1781" s="10" t="str">
        <f t="shared" si="280"/>
        <v/>
      </c>
      <c r="BF1781" s="8" t="str">
        <f t="shared" si="281"/>
        <v/>
      </c>
      <c r="BG1781" s="11" t="str">
        <f t="shared" si="282"/>
        <v/>
      </c>
      <c r="BH1781" s="8" t="str">
        <f t="shared" si="283"/>
        <v/>
      </c>
      <c r="BI1781" s="8" t="str">
        <f t="shared" si="284"/>
        <v/>
      </c>
      <c r="BJ1781" s="9" t="str">
        <f t="shared" si="285"/>
        <v/>
      </c>
      <c r="BK1781" s="9" t="str">
        <f>IF($B1781="","",COUNTIFS($B$5:$B1781,$B1781,$BF$5:$BF1781,$BF1781))</f>
        <v/>
      </c>
      <c r="BL1781" s="9" t="str">
        <f>IF($B1781="","",COUNTIFS($B$5:$B1781,$B1781,$BH$5:$BH1781,$BH1781))</f>
        <v/>
      </c>
      <c r="BM1781" s="9" t="str">
        <f t="shared" si="286"/>
        <v/>
      </c>
      <c r="BN1781" s="9" t="str">
        <f t="shared" si="287"/>
        <v/>
      </c>
      <c r="BO1781" s="9">
        <f t="shared" si="288"/>
        <v>0</v>
      </c>
      <c r="BR1781" s="12" t="str">
        <f t="shared" si="289"/>
        <v/>
      </c>
    </row>
    <row r="1782" spans="1:70" ht="14.25" customHeight="1">
      <c r="A1782" s="26"/>
      <c r="C1782" s="26"/>
      <c r="D1782" s="27"/>
      <c r="E1782" s="27"/>
      <c r="BE1782" s="10" t="str">
        <f t="shared" si="280"/>
        <v/>
      </c>
      <c r="BF1782" s="8" t="str">
        <f t="shared" si="281"/>
        <v/>
      </c>
      <c r="BG1782" s="11" t="str">
        <f t="shared" si="282"/>
        <v/>
      </c>
      <c r="BH1782" s="8" t="str">
        <f t="shared" si="283"/>
        <v/>
      </c>
      <c r="BI1782" s="8" t="str">
        <f t="shared" si="284"/>
        <v/>
      </c>
      <c r="BJ1782" s="9" t="str">
        <f t="shared" si="285"/>
        <v/>
      </c>
      <c r="BK1782" s="9" t="str">
        <f>IF($B1782="","",COUNTIFS($B$5:$B1782,$B1782,$BF$5:$BF1782,$BF1782))</f>
        <v/>
      </c>
      <c r="BL1782" s="9" t="str">
        <f>IF($B1782="","",COUNTIFS($B$5:$B1782,$B1782,$BH$5:$BH1782,$BH1782))</f>
        <v/>
      </c>
      <c r="BM1782" s="9" t="str">
        <f t="shared" si="286"/>
        <v/>
      </c>
      <c r="BN1782" s="9" t="str">
        <f t="shared" si="287"/>
        <v/>
      </c>
      <c r="BO1782" s="9">
        <f t="shared" si="288"/>
        <v>0</v>
      </c>
      <c r="BR1782" s="12" t="str">
        <f t="shared" si="289"/>
        <v/>
      </c>
    </row>
    <row r="1783" spans="1:70" ht="14.25" customHeight="1">
      <c r="A1783" s="26"/>
      <c r="C1783" s="26"/>
      <c r="D1783" s="27"/>
      <c r="E1783" s="27"/>
      <c r="BE1783" s="10" t="str">
        <f t="shared" si="280"/>
        <v/>
      </c>
      <c r="BF1783" s="8" t="str">
        <f t="shared" si="281"/>
        <v/>
      </c>
      <c r="BG1783" s="11" t="str">
        <f t="shared" si="282"/>
        <v/>
      </c>
      <c r="BH1783" s="8" t="str">
        <f t="shared" si="283"/>
        <v/>
      </c>
      <c r="BI1783" s="8" t="str">
        <f t="shared" si="284"/>
        <v/>
      </c>
      <c r="BJ1783" s="9" t="str">
        <f t="shared" si="285"/>
        <v/>
      </c>
      <c r="BK1783" s="9" t="str">
        <f>IF($B1783="","",COUNTIFS($B$5:$B1783,$B1783,$BF$5:$BF1783,$BF1783))</f>
        <v/>
      </c>
      <c r="BL1783" s="9" t="str">
        <f>IF($B1783="","",COUNTIFS($B$5:$B1783,$B1783,$BH$5:$BH1783,$BH1783))</f>
        <v/>
      </c>
      <c r="BM1783" s="9" t="str">
        <f t="shared" si="286"/>
        <v/>
      </c>
      <c r="BN1783" s="9" t="str">
        <f t="shared" si="287"/>
        <v/>
      </c>
      <c r="BO1783" s="9">
        <f t="shared" si="288"/>
        <v>0</v>
      </c>
      <c r="BR1783" s="12" t="str">
        <f t="shared" si="289"/>
        <v/>
      </c>
    </row>
    <row r="1784" spans="1:70" ht="14.25" customHeight="1">
      <c r="A1784" s="26"/>
      <c r="C1784" s="26"/>
      <c r="D1784" s="27"/>
      <c r="E1784" s="27"/>
      <c r="BE1784" s="10" t="str">
        <f t="shared" si="280"/>
        <v/>
      </c>
      <c r="BF1784" s="8" t="str">
        <f t="shared" si="281"/>
        <v/>
      </c>
      <c r="BG1784" s="11" t="str">
        <f t="shared" si="282"/>
        <v/>
      </c>
      <c r="BH1784" s="8" t="str">
        <f t="shared" si="283"/>
        <v/>
      </c>
      <c r="BI1784" s="8" t="str">
        <f t="shared" si="284"/>
        <v/>
      </c>
      <c r="BJ1784" s="9" t="str">
        <f t="shared" si="285"/>
        <v/>
      </c>
      <c r="BK1784" s="9" t="str">
        <f>IF($B1784="","",COUNTIFS($B$5:$B1784,$B1784,$BF$5:$BF1784,$BF1784))</f>
        <v/>
      </c>
      <c r="BL1784" s="9" t="str">
        <f>IF($B1784="","",COUNTIFS($B$5:$B1784,$B1784,$BH$5:$BH1784,$BH1784))</f>
        <v/>
      </c>
      <c r="BM1784" s="9" t="str">
        <f t="shared" si="286"/>
        <v/>
      </c>
      <c r="BN1784" s="9" t="str">
        <f t="shared" si="287"/>
        <v/>
      </c>
      <c r="BO1784" s="9">
        <f t="shared" si="288"/>
        <v>0</v>
      </c>
      <c r="BR1784" s="12" t="str">
        <f t="shared" si="289"/>
        <v/>
      </c>
    </row>
    <row r="1785" spans="1:70" ht="14.25" customHeight="1">
      <c r="A1785" s="26"/>
      <c r="C1785" s="26"/>
      <c r="D1785" s="27"/>
      <c r="E1785" s="27"/>
      <c r="BE1785" s="10" t="str">
        <f t="shared" si="280"/>
        <v/>
      </c>
      <c r="BF1785" s="8" t="str">
        <f t="shared" si="281"/>
        <v/>
      </c>
      <c r="BG1785" s="11" t="str">
        <f t="shared" si="282"/>
        <v/>
      </c>
      <c r="BH1785" s="8" t="str">
        <f t="shared" si="283"/>
        <v/>
      </c>
      <c r="BI1785" s="8" t="str">
        <f t="shared" si="284"/>
        <v/>
      </c>
      <c r="BJ1785" s="9" t="str">
        <f t="shared" si="285"/>
        <v/>
      </c>
      <c r="BK1785" s="9" t="str">
        <f>IF($B1785="","",COUNTIFS($B$5:$B1785,$B1785,$BF$5:$BF1785,$BF1785))</f>
        <v/>
      </c>
      <c r="BL1785" s="9" t="str">
        <f>IF($B1785="","",COUNTIFS($B$5:$B1785,$B1785,$BH$5:$BH1785,$BH1785))</f>
        <v/>
      </c>
      <c r="BM1785" s="9" t="str">
        <f t="shared" si="286"/>
        <v/>
      </c>
      <c r="BN1785" s="9" t="str">
        <f t="shared" si="287"/>
        <v/>
      </c>
      <c r="BO1785" s="9">
        <f t="shared" si="288"/>
        <v>0</v>
      </c>
      <c r="BR1785" s="12" t="str">
        <f t="shared" si="289"/>
        <v/>
      </c>
    </row>
    <row r="1786" spans="1:70" ht="14.25" customHeight="1">
      <c r="A1786" s="26"/>
      <c r="C1786" s="26"/>
      <c r="D1786" s="27"/>
      <c r="E1786" s="27"/>
      <c r="BE1786" s="10" t="str">
        <f t="shared" si="280"/>
        <v/>
      </c>
      <c r="BF1786" s="8" t="str">
        <f t="shared" si="281"/>
        <v/>
      </c>
      <c r="BG1786" s="11" t="str">
        <f t="shared" si="282"/>
        <v/>
      </c>
      <c r="BH1786" s="8" t="str">
        <f t="shared" si="283"/>
        <v/>
      </c>
      <c r="BI1786" s="8" t="str">
        <f t="shared" si="284"/>
        <v/>
      </c>
      <c r="BJ1786" s="9" t="str">
        <f t="shared" si="285"/>
        <v/>
      </c>
      <c r="BK1786" s="9" t="str">
        <f>IF($B1786="","",COUNTIFS($B$5:$B1786,$B1786,$BF$5:$BF1786,$BF1786))</f>
        <v/>
      </c>
      <c r="BL1786" s="9" t="str">
        <f>IF($B1786="","",COUNTIFS($B$5:$B1786,$B1786,$BH$5:$BH1786,$BH1786))</f>
        <v/>
      </c>
      <c r="BM1786" s="9" t="str">
        <f t="shared" si="286"/>
        <v/>
      </c>
      <c r="BN1786" s="9" t="str">
        <f t="shared" si="287"/>
        <v/>
      </c>
      <c r="BO1786" s="9">
        <f t="shared" si="288"/>
        <v>0</v>
      </c>
      <c r="BR1786" s="12" t="str">
        <f t="shared" si="289"/>
        <v/>
      </c>
    </row>
    <row r="1787" spans="1:70" ht="14.25" customHeight="1">
      <c r="A1787" s="26"/>
      <c r="C1787" s="26"/>
      <c r="D1787" s="27"/>
      <c r="E1787" s="27"/>
      <c r="BE1787" s="10" t="str">
        <f t="shared" si="280"/>
        <v/>
      </c>
      <c r="BF1787" s="8" t="str">
        <f t="shared" si="281"/>
        <v/>
      </c>
      <c r="BG1787" s="11" t="str">
        <f t="shared" si="282"/>
        <v/>
      </c>
      <c r="BH1787" s="8" t="str">
        <f t="shared" si="283"/>
        <v/>
      </c>
      <c r="BI1787" s="8" t="str">
        <f t="shared" si="284"/>
        <v/>
      </c>
      <c r="BJ1787" s="9" t="str">
        <f t="shared" si="285"/>
        <v/>
      </c>
      <c r="BK1787" s="9" t="str">
        <f>IF($B1787="","",COUNTIFS($B$5:$B1787,$B1787,$BF$5:$BF1787,$BF1787))</f>
        <v/>
      </c>
      <c r="BL1787" s="9" t="str">
        <f>IF($B1787="","",COUNTIFS($B$5:$B1787,$B1787,$BH$5:$BH1787,$BH1787))</f>
        <v/>
      </c>
      <c r="BM1787" s="9" t="str">
        <f t="shared" si="286"/>
        <v/>
      </c>
      <c r="BN1787" s="9" t="str">
        <f t="shared" si="287"/>
        <v/>
      </c>
      <c r="BO1787" s="9">
        <f t="shared" si="288"/>
        <v>0</v>
      </c>
      <c r="BR1787" s="12" t="str">
        <f t="shared" si="289"/>
        <v/>
      </c>
    </row>
    <row r="1788" spans="1:70" ht="14.25" customHeight="1">
      <c r="A1788" s="26"/>
      <c r="C1788" s="26"/>
      <c r="D1788" s="27"/>
      <c r="E1788" s="27"/>
      <c r="BE1788" s="10" t="str">
        <f t="shared" si="280"/>
        <v/>
      </c>
      <c r="BF1788" s="8" t="str">
        <f t="shared" si="281"/>
        <v/>
      </c>
      <c r="BG1788" s="11" t="str">
        <f t="shared" si="282"/>
        <v/>
      </c>
      <c r="BH1788" s="8" t="str">
        <f t="shared" si="283"/>
        <v/>
      </c>
      <c r="BI1788" s="8" t="str">
        <f t="shared" si="284"/>
        <v/>
      </c>
      <c r="BJ1788" s="9" t="str">
        <f t="shared" si="285"/>
        <v/>
      </c>
      <c r="BK1788" s="9" t="str">
        <f>IF($B1788="","",COUNTIFS($B$5:$B1788,$B1788,$BF$5:$BF1788,$BF1788))</f>
        <v/>
      </c>
      <c r="BL1788" s="9" t="str">
        <f>IF($B1788="","",COUNTIFS($B$5:$B1788,$B1788,$BH$5:$BH1788,$BH1788))</f>
        <v/>
      </c>
      <c r="BM1788" s="9" t="str">
        <f t="shared" si="286"/>
        <v/>
      </c>
      <c r="BN1788" s="9" t="str">
        <f t="shared" si="287"/>
        <v/>
      </c>
      <c r="BO1788" s="9">
        <f t="shared" si="288"/>
        <v>0</v>
      </c>
      <c r="BR1788" s="12" t="str">
        <f t="shared" si="289"/>
        <v/>
      </c>
    </row>
    <row r="1789" spans="1:70" ht="14.25" customHeight="1">
      <c r="A1789" s="26"/>
      <c r="C1789" s="26"/>
      <c r="D1789" s="27"/>
      <c r="E1789" s="27"/>
      <c r="BE1789" s="10" t="str">
        <f t="shared" si="280"/>
        <v/>
      </c>
      <c r="BF1789" s="8" t="str">
        <f t="shared" si="281"/>
        <v/>
      </c>
      <c r="BG1789" s="11" t="str">
        <f t="shared" si="282"/>
        <v/>
      </c>
      <c r="BH1789" s="8" t="str">
        <f t="shared" si="283"/>
        <v/>
      </c>
      <c r="BI1789" s="8" t="str">
        <f t="shared" si="284"/>
        <v/>
      </c>
      <c r="BJ1789" s="9" t="str">
        <f t="shared" si="285"/>
        <v/>
      </c>
      <c r="BK1789" s="9" t="str">
        <f>IF($B1789="","",COUNTIFS($B$5:$B1789,$B1789,$BF$5:$BF1789,$BF1789))</f>
        <v/>
      </c>
      <c r="BL1789" s="9" t="str">
        <f>IF($B1789="","",COUNTIFS($B$5:$B1789,$B1789,$BH$5:$BH1789,$BH1789))</f>
        <v/>
      </c>
      <c r="BM1789" s="9" t="str">
        <f t="shared" si="286"/>
        <v/>
      </c>
      <c r="BN1789" s="9" t="str">
        <f t="shared" si="287"/>
        <v/>
      </c>
      <c r="BO1789" s="9">
        <f t="shared" si="288"/>
        <v>0</v>
      </c>
      <c r="BR1789" s="12" t="str">
        <f t="shared" si="289"/>
        <v/>
      </c>
    </row>
    <row r="1790" spans="1:70" ht="14.25" customHeight="1">
      <c r="A1790" s="26"/>
      <c r="C1790" s="26"/>
      <c r="D1790" s="27"/>
      <c r="E1790" s="27"/>
      <c r="BE1790" s="10" t="str">
        <f t="shared" si="280"/>
        <v/>
      </c>
      <c r="BF1790" s="8" t="str">
        <f t="shared" si="281"/>
        <v/>
      </c>
      <c r="BG1790" s="11" t="str">
        <f t="shared" si="282"/>
        <v/>
      </c>
      <c r="BH1790" s="8" t="str">
        <f t="shared" si="283"/>
        <v/>
      </c>
      <c r="BI1790" s="8" t="str">
        <f t="shared" si="284"/>
        <v/>
      </c>
      <c r="BJ1790" s="9" t="str">
        <f t="shared" si="285"/>
        <v/>
      </c>
      <c r="BK1790" s="9" t="str">
        <f>IF($B1790="","",COUNTIFS($B$5:$B1790,$B1790,$BF$5:$BF1790,$BF1790))</f>
        <v/>
      </c>
      <c r="BL1790" s="9" t="str">
        <f>IF($B1790="","",COUNTIFS($B$5:$B1790,$B1790,$BH$5:$BH1790,$BH1790))</f>
        <v/>
      </c>
      <c r="BM1790" s="9" t="str">
        <f t="shared" si="286"/>
        <v/>
      </c>
      <c r="BN1790" s="9" t="str">
        <f t="shared" si="287"/>
        <v/>
      </c>
      <c r="BO1790" s="9">
        <f t="shared" si="288"/>
        <v>0</v>
      </c>
      <c r="BR1790" s="12" t="str">
        <f t="shared" si="289"/>
        <v/>
      </c>
    </row>
    <row r="1791" spans="1:70" ht="14.25" customHeight="1">
      <c r="A1791" s="26"/>
      <c r="C1791" s="26"/>
      <c r="D1791" s="27"/>
      <c r="E1791" s="27"/>
      <c r="BE1791" s="10" t="str">
        <f t="shared" si="280"/>
        <v/>
      </c>
      <c r="BF1791" s="8" t="str">
        <f t="shared" si="281"/>
        <v/>
      </c>
      <c r="BG1791" s="11" t="str">
        <f t="shared" si="282"/>
        <v/>
      </c>
      <c r="BH1791" s="8" t="str">
        <f t="shared" si="283"/>
        <v/>
      </c>
      <c r="BI1791" s="8" t="str">
        <f t="shared" si="284"/>
        <v/>
      </c>
      <c r="BJ1791" s="9" t="str">
        <f t="shared" si="285"/>
        <v/>
      </c>
      <c r="BK1791" s="9" t="str">
        <f>IF($B1791="","",COUNTIFS($B$5:$B1791,$B1791,$BF$5:$BF1791,$BF1791))</f>
        <v/>
      </c>
      <c r="BL1791" s="9" t="str">
        <f>IF($B1791="","",COUNTIFS($B$5:$B1791,$B1791,$BH$5:$BH1791,$BH1791))</f>
        <v/>
      </c>
      <c r="BM1791" s="9" t="str">
        <f t="shared" si="286"/>
        <v/>
      </c>
      <c r="BN1791" s="9" t="str">
        <f t="shared" si="287"/>
        <v/>
      </c>
      <c r="BO1791" s="9">
        <f t="shared" si="288"/>
        <v>0</v>
      </c>
      <c r="BR1791" s="12" t="str">
        <f t="shared" si="289"/>
        <v/>
      </c>
    </row>
    <row r="1792" spans="1:70" ht="14.25" customHeight="1">
      <c r="A1792" s="26"/>
      <c r="C1792" s="26"/>
      <c r="D1792" s="27"/>
      <c r="E1792" s="27"/>
      <c r="BE1792" s="10" t="str">
        <f t="shared" si="280"/>
        <v/>
      </c>
      <c r="BF1792" s="8" t="str">
        <f t="shared" si="281"/>
        <v/>
      </c>
      <c r="BG1792" s="11" t="str">
        <f t="shared" si="282"/>
        <v/>
      </c>
      <c r="BH1792" s="8" t="str">
        <f t="shared" si="283"/>
        <v/>
      </c>
      <c r="BI1792" s="8" t="str">
        <f t="shared" si="284"/>
        <v/>
      </c>
      <c r="BJ1792" s="9" t="str">
        <f t="shared" si="285"/>
        <v/>
      </c>
      <c r="BK1792" s="9" t="str">
        <f>IF($B1792="","",COUNTIFS($B$5:$B1792,$B1792,$BF$5:$BF1792,$BF1792))</f>
        <v/>
      </c>
      <c r="BL1792" s="9" t="str">
        <f>IF($B1792="","",COUNTIFS($B$5:$B1792,$B1792,$BH$5:$BH1792,$BH1792))</f>
        <v/>
      </c>
      <c r="BM1792" s="9" t="str">
        <f t="shared" si="286"/>
        <v/>
      </c>
      <c r="BN1792" s="9" t="str">
        <f t="shared" si="287"/>
        <v/>
      </c>
      <c r="BO1792" s="9">
        <f t="shared" si="288"/>
        <v>0</v>
      </c>
      <c r="BR1792" s="12" t="str">
        <f t="shared" si="289"/>
        <v/>
      </c>
    </row>
    <row r="1793" spans="1:70" ht="14.25" customHeight="1">
      <c r="A1793" s="26"/>
      <c r="C1793" s="26"/>
      <c r="D1793" s="27"/>
      <c r="E1793" s="27"/>
      <c r="BE1793" s="10" t="str">
        <f t="shared" si="280"/>
        <v/>
      </c>
      <c r="BF1793" s="8" t="str">
        <f t="shared" si="281"/>
        <v/>
      </c>
      <c r="BG1793" s="11" t="str">
        <f t="shared" si="282"/>
        <v/>
      </c>
      <c r="BH1793" s="8" t="str">
        <f t="shared" si="283"/>
        <v/>
      </c>
      <c r="BI1793" s="8" t="str">
        <f t="shared" si="284"/>
        <v/>
      </c>
      <c r="BJ1793" s="9" t="str">
        <f t="shared" si="285"/>
        <v/>
      </c>
      <c r="BK1793" s="9" t="str">
        <f>IF($B1793="","",COUNTIFS($B$5:$B1793,$B1793,$BF$5:$BF1793,$BF1793))</f>
        <v/>
      </c>
      <c r="BL1793" s="9" t="str">
        <f>IF($B1793="","",COUNTIFS($B$5:$B1793,$B1793,$BH$5:$BH1793,$BH1793))</f>
        <v/>
      </c>
      <c r="BM1793" s="9" t="str">
        <f t="shared" si="286"/>
        <v/>
      </c>
      <c r="BN1793" s="9" t="str">
        <f t="shared" si="287"/>
        <v/>
      </c>
      <c r="BO1793" s="9">
        <f t="shared" si="288"/>
        <v>0</v>
      </c>
      <c r="BR1793" s="12" t="str">
        <f t="shared" si="289"/>
        <v/>
      </c>
    </row>
    <row r="1794" spans="1:70" ht="14.25" customHeight="1">
      <c r="A1794" s="26"/>
      <c r="C1794" s="26"/>
      <c r="D1794" s="27"/>
      <c r="E1794" s="27"/>
      <c r="BE1794" s="10" t="str">
        <f t="shared" si="280"/>
        <v/>
      </c>
      <c r="BF1794" s="8" t="str">
        <f t="shared" si="281"/>
        <v/>
      </c>
      <c r="BG1794" s="11" t="str">
        <f t="shared" si="282"/>
        <v/>
      </c>
      <c r="BH1794" s="8" t="str">
        <f t="shared" si="283"/>
        <v/>
      </c>
      <c r="BI1794" s="8" t="str">
        <f t="shared" si="284"/>
        <v/>
      </c>
      <c r="BJ1794" s="9" t="str">
        <f t="shared" si="285"/>
        <v/>
      </c>
      <c r="BK1794" s="9" t="str">
        <f>IF($B1794="","",COUNTIFS($B$5:$B1794,$B1794,$BF$5:$BF1794,$BF1794))</f>
        <v/>
      </c>
      <c r="BL1794" s="9" t="str">
        <f>IF($B1794="","",COUNTIFS($B$5:$B1794,$B1794,$BH$5:$BH1794,$BH1794))</f>
        <v/>
      </c>
      <c r="BM1794" s="9" t="str">
        <f t="shared" si="286"/>
        <v/>
      </c>
      <c r="BN1794" s="9" t="str">
        <f t="shared" si="287"/>
        <v/>
      </c>
      <c r="BO1794" s="9">
        <f t="shared" si="288"/>
        <v>0</v>
      </c>
      <c r="BR1794" s="12" t="str">
        <f t="shared" si="289"/>
        <v/>
      </c>
    </row>
    <row r="1795" spans="1:70" ht="14.25" customHeight="1">
      <c r="A1795" s="26"/>
      <c r="C1795" s="26"/>
      <c r="D1795" s="27"/>
      <c r="E1795" s="27"/>
      <c r="BE1795" s="10" t="str">
        <f t="shared" si="280"/>
        <v/>
      </c>
      <c r="BF1795" s="8" t="str">
        <f t="shared" si="281"/>
        <v/>
      </c>
      <c r="BG1795" s="11" t="str">
        <f t="shared" si="282"/>
        <v/>
      </c>
      <c r="BH1795" s="8" t="str">
        <f t="shared" si="283"/>
        <v/>
      </c>
      <c r="BI1795" s="8" t="str">
        <f t="shared" si="284"/>
        <v/>
      </c>
      <c r="BJ1795" s="9" t="str">
        <f t="shared" si="285"/>
        <v/>
      </c>
      <c r="BK1795" s="9" t="str">
        <f>IF($B1795="","",COUNTIFS($B$5:$B1795,$B1795,$BF$5:$BF1795,$BF1795))</f>
        <v/>
      </c>
      <c r="BL1795" s="9" t="str">
        <f>IF($B1795="","",COUNTIFS($B$5:$B1795,$B1795,$BH$5:$BH1795,$BH1795))</f>
        <v/>
      </c>
      <c r="BM1795" s="9" t="str">
        <f t="shared" si="286"/>
        <v/>
      </c>
      <c r="BN1795" s="9" t="str">
        <f t="shared" si="287"/>
        <v/>
      </c>
      <c r="BO1795" s="9">
        <f t="shared" si="288"/>
        <v>0</v>
      </c>
      <c r="BR1795" s="12" t="str">
        <f t="shared" si="289"/>
        <v/>
      </c>
    </row>
    <row r="1796" spans="1:70" ht="14.25" customHeight="1">
      <c r="A1796" s="26"/>
      <c r="C1796" s="26"/>
      <c r="D1796" s="27"/>
      <c r="E1796" s="27"/>
      <c r="BE1796" s="10" t="str">
        <f t="shared" si="280"/>
        <v/>
      </c>
      <c r="BF1796" s="8" t="str">
        <f t="shared" si="281"/>
        <v/>
      </c>
      <c r="BG1796" s="11" t="str">
        <f t="shared" si="282"/>
        <v/>
      </c>
      <c r="BH1796" s="8" t="str">
        <f t="shared" si="283"/>
        <v/>
      </c>
      <c r="BI1796" s="8" t="str">
        <f t="shared" si="284"/>
        <v/>
      </c>
      <c r="BJ1796" s="9" t="str">
        <f t="shared" si="285"/>
        <v/>
      </c>
      <c r="BK1796" s="9" t="str">
        <f>IF($B1796="","",COUNTIFS($B$5:$B1796,$B1796,$BF$5:$BF1796,$BF1796))</f>
        <v/>
      </c>
      <c r="BL1796" s="9" t="str">
        <f>IF($B1796="","",COUNTIFS($B$5:$B1796,$B1796,$BH$5:$BH1796,$BH1796))</f>
        <v/>
      </c>
      <c r="BM1796" s="9" t="str">
        <f t="shared" si="286"/>
        <v/>
      </c>
      <c r="BN1796" s="9" t="str">
        <f t="shared" si="287"/>
        <v/>
      </c>
      <c r="BO1796" s="9">
        <f t="shared" si="288"/>
        <v>0</v>
      </c>
      <c r="BR1796" s="12" t="str">
        <f t="shared" si="289"/>
        <v/>
      </c>
    </row>
    <row r="1797" spans="1:70" ht="14.25" customHeight="1">
      <c r="A1797" s="26"/>
      <c r="C1797" s="26"/>
      <c r="D1797" s="27"/>
      <c r="E1797" s="27"/>
      <c r="BE1797" s="10" t="str">
        <f t="shared" si="280"/>
        <v/>
      </c>
      <c r="BF1797" s="8" t="str">
        <f t="shared" si="281"/>
        <v/>
      </c>
      <c r="BG1797" s="11" t="str">
        <f t="shared" si="282"/>
        <v/>
      </c>
      <c r="BH1797" s="8" t="str">
        <f t="shared" si="283"/>
        <v/>
      </c>
      <c r="BI1797" s="8" t="str">
        <f t="shared" si="284"/>
        <v/>
      </c>
      <c r="BJ1797" s="9" t="str">
        <f t="shared" si="285"/>
        <v/>
      </c>
      <c r="BK1797" s="9" t="str">
        <f>IF($B1797="","",COUNTIFS($B$5:$B1797,$B1797,$BF$5:$BF1797,$BF1797))</f>
        <v/>
      </c>
      <c r="BL1797" s="9" t="str">
        <f>IF($B1797="","",COUNTIFS($B$5:$B1797,$B1797,$BH$5:$BH1797,$BH1797))</f>
        <v/>
      </c>
      <c r="BM1797" s="9" t="str">
        <f t="shared" si="286"/>
        <v/>
      </c>
      <c r="BN1797" s="9" t="str">
        <f t="shared" si="287"/>
        <v/>
      </c>
      <c r="BO1797" s="9">
        <f t="shared" si="288"/>
        <v>0</v>
      </c>
      <c r="BR1797" s="12" t="str">
        <f t="shared" si="289"/>
        <v/>
      </c>
    </row>
    <row r="1798" spans="1:70" ht="14.25" customHeight="1">
      <c r="A1798" s="26"/>
      <c r="C1798" s="26"/>
      <c r="D1798" s="27"/>
      <c r="E1798" s="27"/>
      <c r="BE1798" s="10" t="str">
        <f t="shared" si="280"/>
        <v/>
      </c>
      <c r="BF1798" s="8" t="str">
        <f t="shared" si="281"/>
        <v/>
      </c>
      <c r="BG1798" s="11" t="str">
        <f t="shared" si="282"/>
        <v/>
      </c>
      <c r="BH1798" s="8" t="str">
        <f t="shared" si="283"/>
        <v/>
      </c>
      <c r="BI1798" s="8" t="str">
        <f t="shared" si="284"/>
        <v/>
      </c>
      <c r="BJ1798" s="9" t="str">
        <f t="shared" si="285"/>
        <v/>
      </c>
      <c r="BK1798" s="9" t="str">
        <f>IF($B1798="","",COUNTIFS($B$5:$B1798,$B1798,$BF$5:$BF1798,$BF1798))</f>
        <v/>
      </c>
      <c r="BL1798" s="9" t="str">
        <f>IF($B1798="","",COUNTIFS($B$5:$B1798,$B1798,$BH$5:$BH1798,$BH1798))</f>
        <v/>
      </c>
      <c r="BM1798" s="9" t="str">
        <f t="shared" si="286"/>
        <v/>
      </c>
      <c r="BN1798" s="9" t="str">
        <f t="shared" si="287"/>
        <v/>
      </c>
      <c r="BO1798" s="9">
        <f t="shared" si="288"/>
        <v>0</v>
      </c>
      <c r="BR1798" s="12" t="str">
        <f t="shared" si="289"/>
        <v/>
      </c>
    </row>
    <row r="1799" spans="1:70" ht="14.25" customHeight="1">
      <c r="A1799" s="26"/>
      <c r="C1799" s="26"/>
      <c r="D1799" s="27"/>
      <c r="E1799" s="27"/>
      <c r="BE1799" s="10" t="str">
        <f t="shared" si="280"/>
        <v/>
      </c>
      <c r="BF1799" s="8" t="str">
        <f t="shared" si="281"/>
        <v/>
      </c>
      <c r="BG1799" s="11" t="str">
        <f t="shared" si="282"/>
        <v/>
      </c>
      <c r="BH1799" s="8" t="str">
        <f t="shared" si="283"/>
        <v/>
      </c>
      <c r="BI1799" s="8" t="str">
        <f t="shared" si="284"/>
        <v/>
      </c>
      <c r="BJ1799" s="9" t="str">
        <f t="shared" si="285"/>
        <v/>
      </c>
      <c r="BK1799" s="9" t="str">
        <f>IF($B1799="","",COUNTIFS($B$5:$B1799,$B1799,$BF$5:$BF1799,$BF1799))</f>
        <v/>
      </c>
      <c r="BL1799" s="9" t="str">
        <f>IF($B1799="","",COUNTIFS($B$5:$B1799,$B1799,$BH$5:$BH1799,$BH1799))</f>
        <v/>
      </c>
      <c r="BM1799" s="9" t="str">
        <f t="shared" si="286"/>
        <v/>
      </c>
      <c r="BN1799" s="9" t="str">
        <f t="shared" si="287"/>
        <v/>
      </c>
      <c r="BO1799" s="9">
        <f t="shared" si="288"/>
        <v>0</v>
      </c>
      <c r="BR1799" s="12" t="str">
        <f t="shared" si="289"/>
        <v/>
      </c>
    </row>
    <row r="1800" spans="1:70" ht="14.25" customHeight="1">
      <c r="A1800" s="26"/>
      <c r="C1800" s="26"/>
      <c r="D1800" s="27"/>
      <c r="E1800" s="27"/>
      <c r="BE1800" s="10" t="str">
        <f t="shared" si="280"/>
        <v/>
      </c>
      <c r="BF1800" s="8" t="str">
        <f t="shared" si="281"/>
        <v/>
      </c>
      <c r="BG1800" s="11" t="str">
        <f t="shared" si="282"/>
        <v/>
      </c>
      <c r="BH1800" s="8" t="str">
        <f t="shared" si="283"/>
        <v/>
      </c>
      <c r="BI1800" s="8" t="str">
        <f t="shared" si="284"/>
        <v/>
      </c>
      <c r="BJ1800" s="9" t="str">
        <f t="shared" si="285"/>
        <v/>
      </c>
      <c r="BK1800" s="9" t="str">
        <f>IF($B1800="","",COUNTIFS($B$5:$B1800,$B1800,$BF$5:$BF1800,$BF1800))</f>
        <v/>
      </c>
      <c r="BL1800" s="9" t="str">
        <f>IF($B1800="","",COUNTIFS($B$5:$B1800,$B1800,$BH$5:$BH1800,$BH1800))</f>
        <v/>
      </c>
      <c r="BM1800" s="9" t="str">
        <f t="shared" si="286"/>
        <v/>
      </c>
      <c r="BN1800" s="9" t="str">
        <f t="shared" si="287"/>
        <v/>
      </c>
      <c r="BO1800" s="9">
        <f t="shared" si="288"/>
        <v>0</v>
      </c>
      <c r="BR1800" s="12" t="str">
        <f t="shared" si="289"/>
        <v/>
      </c>
    </row>
    <row r="1801" spans="1:70" ht="14.25" customHeight="1">
      <c r="A1801" s="26"/>
      <c r="C1801" s="26"/>
      <c r="D1801" s="27"/>
      <c r="E1801" s="27"/>
      <c r="BE1801" s="10" t="str">
        <f t="shared" si="280"/>
        <v/>
      </c>
      <c r="BF1801" s="8" t="str">
        <f t="shared" si="281"/>
        <v/>
      </c>
      <c r="BG1801" s="11" t="str">
        <f t="shared" si="282"/>
        <v/>
      </c>
      <c r="BH1801" s="8" t="str">
        <f t="shared" si="283"/>
        <v/>
      </c>
      <c r="BI1801" s="8" t="str">
        <f t="shared" si="284"/>
        <v/>
      </c>
      <c r="BJ1801" s="9" t="str">
        <f t="shared" si="285"/>
        <v/>
      </c>
      <c r="BK1801" s="9" t="str">
        <f>IF($B1801="","",COUNTIFS($B$5:$B1801,$B1801,$BF$5:$BF1801,$BF1801))</f>
        <v/>
      </c>
      <c r="BL1801" s="9" t="str">
        <f>IF($B1801="","",COUNTIFS($B$5:$B1801,$B1801,$BH$5:$BH1801,$BH1801))</f>
        <v/>
      </c>
      <c r="BM1801" s="9" t="str">
        <f t="shared" si="286"/>
        <v/>
      </c>
      <c r="BN1801" s="9" t="str">
        <f t="shared" si="287"/>
        <v/>
      </c>
      <c r="BO1801" s="9">
        <f t="shared" si="288"/>
        <v>0</v>
      </c>
      <c r="BR1801" s="12" t="str">
        <f t="shared" si="289"/>
        <v/>
      </c>
    </row>
    <row r="1802" spans="1:70" ht="14.25" customHeight="1">
      <c r="A1802" s="26"/>
      <c r="C1802" s="26"/>
      <c r="D1802" s="27"/>
      <c r="E1802" s="27"/>
      <c r="BE1802" s="10" t="str">
        <f t="shared" si="280"/>
        <v/>
      </c>
      <c r="BF1802" s="8" t="str">
        <f t="shared" si="281"/>
        <v/>
      </c>
      <c r="BG1802" s="11" t="str">
        <f t="shared" si="282"/>
        <v/>
      </c>
      <c r="BH1802" s="8" t="str">
        <f t="shared" si="283"/>
        <v/>
      </c>
      <c r="BI1802" s="8" t="str">
        <f t="shared" si="284"/>
        <v/>
      </c>
      <c r="BJ1802" s="9" t="str">
        <f t="shared" si="285"/>
        <v/>
      </c>
      <c r="BK1802" s="9" t="str">
        <f>IF($B1802="","",COUNTIFS($B$5:$B1802,$B1802,$BF$5:$BF1802,$BF1802))</f>
        <v/>
      </c>
      <c r="BL1802" s="9" t="str">
        <f>IF($B1802="","",COUNTIFS($B$5:$B1802,$B1802,$BH$5:$BH1802,$BH1802))</f>
        <v/>
      </c>
      <c r="BM1802" s="9" t="str">
        <f t="shared" si="286"/>
        <v/>
      </c>
      <c r="BN1802" s="9" t="str">
        <f t="shared" si="287"/>
        <v/>
      </c>
      <c r="BO1802" s="9">
        <f t="shared" si="288"/>
        <v>0</v>
      </c>
      <c r="BR1802" s="12" t="str">
        <f t="shared" si="289"/>
        <v/>
      </c>
    </row>
    <row r="1803" spans="1:70" ht="14.25" customHeight="1">
      <c r="A1803" s="26"/>
      <c r="C1803" s="26"/>
      <c r="D1803" s="27"/>
      <c r="E1803" s="27"/>
      <c r="BE1803" s="10" t="str">
        <f t="shared" si="280"/>
        <v/>
      </c>
      <c r="BF1803" s="8" t="str">
        <f t="shared" si="281"/>
        <v/>
      </c>
      <c r="BG1803" s="11" t="str">
        <f t="shared" si="282"/>
        <v/>
      </c>
      <c r="BH1803" s="8" t="str">
        <f t="shared" si="283"/>
        <v/>
      </c>
      <c r="BI1803" s="8" t="str">
        <f t="shared" si="284"/>
        <v/>
      </c>
      <c r="BJ1803" s="9" t="str">
        <f t="shared" si="285"/>
        <v/>
      </c>
      <c r="BK1803" s="9" t="str">
        <f>IF($B1803="","",COUNTIFS($B$5:$B1803,$B1803,$BF$5:$BF1803,$BF1803))</f>
        <v/>
      </c>
      <c r="BL1803" s="9" t="str">
        <f>IF($B1803="","",COUNTIFS($B$5:$B1803,$B1803,$BH$5:$BH1803,$BH1803))</f>
        <v/>
      </c>
      <c r="BM1803" s="9" t="str">
        <f t="shared" si="286"/>
        <v/>
      </c>
      <c r="BN1803" s="9" t="str">
        <f t="shared" si="287"/>
        <v/>
      </c>
      <c r="BO1803" s="9">
        <f t="shared" si="288"/>
        <v>0</v>
      </c>
      <c r="BR1803" s="12" t="str">
        <f t="shared" si="289"/>
        <v/>
      </c>
    </row>
    <row r="1804" spans="1:70" ht="14.25" customHeight="1">
      <c r="A1804" s="26"/>
      <c r="C1804" s="26"/>
      <c r="D1804" s="27"/>
      <c r="E1804" s="27"/>
      <c r="BE1804" s="10" t="str">
        <f t="shared" si="280"/>
        <v/>
      </c>
      <c r="BF1804" s="8" t="str">
        <f t="shared" si="281"/>
        <v/>
      </c>
      <c r="BG1804" s="11" t="str">
        <f t="shared" si="282"/>
        <v/>
      </c>
      <c r="BH1804" s="8" t="str">
        <f t="shared" si="283"/>
        <v/>
      </c>
      <c r="BI1804" s="8" t="str">
        <f t="shared" si="284"/>
        <v/>
      </c>
      <c r="BJ1804" s="9" t="str">
        <f t="shared" si="285"/>
        <v/>
      </c>
      <c r="BK1804" s="9" t="str">
        <f>IF($B1804="","",COUNTIFS($B$5:$B1804,$B1804,$BF$5:$BF1804,$BF1804))</f>
        <v/>
      </c>
      <c r="BL1804" s="9" t="str">
        <f>IF($B1804="","",COUNTIFS($B$5:$B1804,$B1804,$BH$5:$BH1804,$BH1804))</f>
        <v/>
      </c>
      <c r="BM1804" s="9" t="str">
        <f t="shared" si="286"/>
        <v/>
      </c>
      <c r="BN1804" s="9" t="str">
        <f t="shared" si="287"/>
        <v/>
      </c>
      <c r="BO1804" s="9">
        <f t="shared" si="288"/>
        <v>0</v>
      </c>
      <c r="BR1804" s="12" t="str">
        <f t="shared" si="289"/>
        <v/>
      </c>
    </row>
    <row r="1805" spans="1:70" ht="14.25" customHeight="1">
      <c r="A1805" s="26"/>
      <c r="C1805" s="26"/>
      <c r="D1805" s="27"/>
      <c r="E1805" s="27"/>
      <c r="BE1805" s="10" t="str">
        <f t="shared" si="280"/>
        <v/>
      </c>
      <c r="BF1805" s="8" t="str">
        <f t="shared" si="281"/>
        <v/>
      </c>
      <c r="BG1805" s="11" t="str">
        <f t="shared" si="282"/>
        <v/>
      </c>
      <c r="BH1805" s="8" t="str">
        <f t="shared" si="283"/>
        <v/>
      </c>
      <c r="BI1805" s="8" t="str">
        <f t="shared" si="284"/>
        <v/>
      </c>
      <c r="BJ1805" s="9" t="str">
        <f t="shared" si="285"/>
        <v/>
      </c>
      <c r="BK1805" s="9" t="str">
        <f>IF($B1805="","",COUNTIFS($B$5:$B1805,$B1805,$BF$5:$BF1805,$BF1805))</f>
        <v/>
      </c>
      <c r="BL1805" s="9" t="str">
        <f>IF($B1805="","",COUNTIFS($B$5:$B1805,$B1805,$BH$5:$BH1805,$BH1805))</f>
        <v/>
      </c>
      <c r="BM1805" s="9" t="str">
        <f t="shared" si="286"/>
        <v/>
      </c>
      <c r="BN1805" s="9" t="str">
        <f t="shared" si="287"/>
        <v/>
      </c>
      <c r="BO1805" s="9">
        <f t="shared" si="288"/>
        <v>0</v>
      </c>
      <c r="BR1805" s="12" t="str">
        <f t="shared" si="289"/>
        <v/>
      </c>
    </row>
    <row r="1806" spans="1:70" ht="14.25" customHeight="1">
      <c r="A1806" s="26"/>
      <c r="C1806" s="26"/>
      <c r="D1806" s="27"/>
      <c r="E1806" s="27"/>
      <c r="BE1806" s="10" t="str">
        <f t="shared" si="280"/>
        <v/>
      </c>
      <c r="BF1806" s="8" t="str">
        <f t="shared" si="281"/>
        <v/>
      </c>
      <c r="BG1806" s="11" t="str">
        <f t="shared" si="282"/>
        <v/>
      </c>
      <c r="BH1806" s="8" t="str">
        <f t="shared" si="283"/>
        <v/>
      </c>
      <c r="BI1806" s="8" t="str">
        <f t="shared" si="284"/>
        <v/>
      </c>
      <c r="BJ1806" s="9" t="str">
        <f t="shared" si="285"/>
        <v/>
      </c>
      <c r="BK1806" s="9" t="str">
        <f>IF($B1806="","",COUNTIFS($B$5:$B1806,$B1806,$BF$5:$BF1806,$BF1806))</f>
        <v/>
      </c>
      <c r="BL1806" s="9" t="str">
        <f>IF($B1806="","",COUNTIFS($B$5:$B1806,$B1806,$BH$5:$BH1806,$BH1806))</f>
        <v/>
      </c>
      <c r="BM1806" s="9" t="str">
        <f t="shared" si="286"/>
        <v/>
      </c>
      <c r="BN1806" s="9" t="str">
        <f t="shared" si="287"/>
        <v/>
      </c>
      <c r="BO1806" s="9">
        <f t="shared" si="288"/>
        <v>0</v>
      </c>
      <c r="BR1806" s="12" t="str">
        <f t="shared" si="289"/>
        <v/>
      </c>
    </row>
    <row r="1807" spans="1:70" ht="14.25" customHeight="1">
      <c r="A1807" s="26"/>
      <c r="C1807" s="26"/>
      <c r="D1807" s="27"/>
      <c r="E1807" s="27"/>
      <c r="BE1807" s="10" t="str">
        <f t="shared" si="280"/>
        <v/>
      </c>
      <c r="BF1807" s="8" t="str">
        <f t="shared" si="281"/>
        <v/>
      </c>
      <c r="BG1807" s="11" t="str">
        <f t="shared" si="282"/>
        <v/>
      </c>
      <c r="BH1807" s="8" t="str">
        <f t="shared" si="283"/>
        <v/>
      </c>
      <c r="BI1807" s="8" t="str">
        <f t="shared" si="284"/>
        <v/>
      </c>
      <c r="BJ1807" s="9" t="str">
        <f t="shared" si="285"/>
        <v/>
      </c>
      <c r="BK1807" s="9" t="str">
        <f>IF($B1807="","",COUNTIFS($B$5:$B1807,$B1807,$BF$5:$BF1807,$BF1807))</f>
        <v/>
      </c>
      <c r="BL1807" s="9" t="str">
        <f>IF($B1807="","",COUNTIFS($B$5:$B1807,$B1807,$BH$5:$BH1807,$BH1807))</f>
        <v/>
      </c>
      <c r="BM1807" s="9" t="str">
        <f t="shared" si="286"/>
        <v/>
      </c>
      <c r="BN1807" s="9" t="str">
        <f t="shared" si="287"/>
        <v/>
      </c>
      <c r="BO1807" s="9">
        <f t="shared" si="288"/>
        <v>0</v>
      </c>
      <c r="BR1807" s="12" t="str">
        <f t="shared" si="289"/>
        <v/>
      </c>
    </row>
    <row r="1808" spans="1:70" ht="14.25" customHeight="1">
      <c r="A1808" s="26"/>
      <c r="C1808" s="26"/>
      <c r="D1808" s="27"/>
      <c r="E1808" s="27"/>
      <c r="BE1808" s="10" t="str">
        <f t="shared" si="280"/>
        <v/>
      </c>
      <c r="BF1808" s="8" t="str">
        <f t="shared" si="281"/>
        <v/>
      </c>
      <c r="BG1808" s="11" t="str">
        <f t="shared" si="282"/>
        <v/>
      </c>
      <c r="BH1808" s="8" t="str">
        <f t="shared" si="283"/>
        <v/>
      </c>
      <c r="BI1808" s="8" t="str">
        <f t="shared" si="284"/>
        <v/>
      </c>
      <c r="BJ1808" s="9" t="str">
        <f t="shared" si="285"/>
        <v/>
      </c>
      <c r="BK1808" s="9" t="str">
        <f>IF($B1808="","",COUNTIFS($B$5:$B1808,$B1808,$BF$5:$BF1808,$BF1808))</f>
        <v/>
      </c>
      <c r="BL1808" s="9" t="str">
        <f>IF($B1808="","",COUNTIFS($B$5:$B1808,$B1808,$BH$5:$BH1808,$BH1808))</f>
        <v/>
      </c>
      <c r="BM1808" s="9" t="str">
        <f t="shared" si="286"/>
        <v/>
      </c>
      <c r="BN1808" s="9" t="str">
        <f t="shared" si="287"/>
        <v/>
      </c>
      <c r="BO1808" s="9">
        <f t="shared" si="288"/>
        <v>0</v>
      </c>
      <c r="BR1808" s="12" t="str">
        <f t="shared" si="289"/>
        <v/>
      </c>
    </row>
    <row r="1809" spans="1:70" ht="14.25" customHeight="1">
      <c r="A1809" s="26"/>
      <c r="C1809" s="26"/>
      <c r="D1809" s="27"/>
      <c r="E1809" s="27"/>
      <c r="BE1809" s="10" t="str">
        <f t="shared" si="280"/>
        <v/>
      </c>
      <c r="BF1809" s="8" t="str">
        <f t="shared" si="281"/>
        <v/>
      </c>
      <c r="BG1809" s="11" t="str">
        <f t="shared" si="282"/>
        <v/>
      </c>
      <c r="BH1809" s="8" t="str">
        <f t="shared" si="283"/>
        <v/>
      </c>
      <c r="BI1809" s="8" t="str">
        <f t="shared" si="284"/>
        <v/>
      </c>
      <c r="BJ1809" s="9" t="str">
        <f t="shared" si="285"/>
        <v/>
      </c>
      <c r="BK1809" s="9" t="str">
        <f>IF($B1809="","",COUNTIFS($B$5:$B1809,$B1809,$BF$5:$BF1809,$BF1809))</f>
        <v/>
      </c>
      <c r="BL1809" s="9" t="str">
        <f>IF($B1809="","",COUNTIFS($B$5:$B1809,$B1809,$BH$5:$BH1809,$BH1809))</f>
        <v/>
      </c>
      <c r="BM1809" s="9" t="str">
        <f t="shared" si="286"/>
        <v/>
      </c>
      <c r="BN1809" s="9" t="str">
        <f t="shared" si="287"/>
        <v/>
      </c>
      <c r="BO1809" s="9">
        <f t="shared" si="288"/>
        <v>0</v>
      </c>
      <c r="BR1809" s="12" t="str">
        <f t="shared" si="289"/>
        <v/>
      </c>
    </row>
    <row r="1810" spans="1:70" ht="14.25" customHeight="1">
      <c r="A1810" s="26"/>
      <c r="C1810" s="26"/>
      <c r="D1810" s="27"/>
      <c r="E1810" s="27"/>
      <c r="BE1810" s="10" t="str">
        <f t="shared" si="280"/>
        <v/>
      </c>
      <c r="BF1810" s="8" t="str">
        <f t="shared" si="281"/>
        <v/>
      </c>
      <c r="BG1810" s="11" t="str">
        <f t="shared" si="282"/>
        <v/>
      </c>
      <c r="BH1810" s="8" t="str">
        <f t="shared" si="283"/>
        <v/>
      </c>
      <c r="BI1810" s="8" t="str">
        <f t="shared" si="284"/>
        <v/>
      </c>
      <c r="BJ1810" s="9" t="str">
        <f t="shared" si="285"/>
        <v/>
      </c>
      <c r="BK1810" s="9" t="str">
        <f>IF($B1810="","",COUNTIFS($B$5:$B1810,$B1810,$BF$5:$BF1810,$BF1810))</f>
        <v/>
      </c>
      <c r="BL1810" s="9" t="str">
        <f>IF($B1810="","",COUNTIFS($B$5:$B1810,$B1810,$BH$5:$BH1810,$BH1810))</f>
        <v/>
      </c>
      <c r="BM1810" s="9" t="str">
        <f t="shared" si="286"/>
        <v/>
      </c>
      <c r="BN1810" s="9" t="str">
        <f t="shared" si="287"/>
        <v/>
      </c>
      <c r="BO1810" s="9">
        <f t="shared" si="288"/>
        <v>0</v>
      </c>
      <c r="BR1810" s="12" t="str">
        <f t="shared" si="289"/>
        <v/>
      </c>
    </row>
    <row r="1811" spans="1:70" ht="14.25" customHeight="1">
      <c r="A1811" s="26"/>
      <c r="C1811" s="26"/>
      <c r="D1811" s="27"/>
      <c r="E1811" s="27"/>
      <c r="BE1811" s="10" t="str">
        <f t="shared" si="280"/>
        <v/>
      </c>
      <c r="BF1811" s="8" t="str">
        <f t="shared" si="281"/>
        <v/>
      </c>
      <c r="BG1811" s="11" t="str">
        <f t="shared" si="282"/>
        <v/>
      </c>
      <c r="BH1811" s="8" t="str">
        <f t="shared" si="283"/>
        <v/>
      </c>
      <c r="BI1811" s="8" t="str">
        <f t="shared" si="284"/>
        <v/>
      </c>
      <c r="BJ1811" s="9" t="str">
        <f t="shared" si="285"/>
        <v/>
      </c>
      <c r="BK1811" s="9" t="str">
        <f>IF($B1811="","",COUNTIFS($B$5:$B1811,$B1811,$BF$5:$BF1811,$BF1811))</f>
        <v/>
      </c>
      <c r="BL1811" s="9" t="str">
        <f>IF($B1811="","",COUNTIFS($B$5:$B1811,$B1811,$BH$5:$BH1811,$BH1811))</f>
        <v/>
      </c>
      <c r="BM1811" s="9" t="str">
        <f t="shared" si="286"/>
        <v/>
      </c>
      <c r="BN1811" s="9" t="str">
        <f t="shared" si="287"/>
        <v/>
      </c>
      <c r="BO1811" s="9">
        <f t="shared" si="288"/>
        <v>0</v>
      </c>
      <c r="BR1811" s="12" t="str">
        <f t="shared" si="289"/>
        <v/>
      </c>
    </row>
    <row r="1812" spans="1:70" ht="14.25" customHeight="1">
      <c r="A1812" s="26"/>
      <c r="C1812" s="26"/>
      <c r="D1812" s="27"/>
      <c r="E1812" s="27"/>
      <c r="BE1812" s="10" t="str">
        <f t="shared" si="280"/>
        <v/>
      </c>
      <c r="BF1812" s="8" t="str">
        <f t="shared" si="281"/>
        <v/>
      </c>
      <c r="BG1812" s="11" t="str">
        <f t="shared" si="282"/>
        <v/>
      </c>
      <c r="BH1812" s="8" t="str">
        <f t="shared" si="283"/>
        <v/>
      </c>
      <c r="BI1812" s="8" t="str">
        <f t="shared" si="284"/>
        <v/>
      </c>
      <c r="BJ1812" s="9" t="str">
        <f t="shared" si="285"/>
        <v/>
      </c>
      <c r="BK1812" s="9" t="str">
        <f>IF($B1812="","",COUNTIFS($B$5:$B1812,$B1812,$BF$5:$BF1812,$BF1812))</f>
        <v/>
      </c>
      <c r="BL1812" s="9" t="str">
        <f>IF($B1812="","",COUNTIFS($B$5:$B1812,$B1812,$BH$5:$BH1812,$BH1812))</f>
        <v/>
      </c>
      <c r="BM1812" s="9" t="str">
        <f t="shared" si="286"/>
        <v/>
      </c>
      <c r="BN1812" s="9" t="str">
        <f t="shared" si="287"/>
        <v/>
      </c>
      <c r="BO1812" s="9">
        <f t="shared" si="288"/>
        <v>0</v>
      </c>
      <c r="BR1812" s="12" t="str">
        <f t="shared" si="289"/>
        <v/>
      </c>
    </row>
    <row r="1813" spans="1:70" ht="14.25" customHeight="1">
      <c r="A1813" s="26"/>
      <c r="C1813" s="26"/>
      <c r="D1813" s="27"/>
      <c r="E1813" s="27"/>
      <c r="BE1813" s="10" t="str">
        <f t="shared" si="280"/>
        <v/>
      </c>
      <c r="BF1813" s="8" t="str">
        <f t="shared" si="281"/>
        <v/>
      </c>
      <c r="BG1813" s="11" t="str">
        <f t="shared" si="282"/>
        <v/>
      </c>
      <c r="BH1813" s="8" t="str">
        <f t="shared" si="283"/>
        <v/>
      </c>
      <c r="BI1813" s="8" t="str">
        <f t="shared" si="284"/>
        <v/>
      </c>
      <c r="BJ1813" s="9" t="str">
        <f t="shared" si="285"/>
        <v/>
      </c>
      <c r="BK1813" s="9" t="str">
        <f>IF($B1813="","",COUNTIFS($B$5:$B1813,$B1813,$BF$5:$BF1813,$BF1813))</f>
        <v/>
      </c>
      <c r="BL1813" s="9" t="str">
        <f>IF($B1813="","",COUNTIFS($B$5:$B1813,$B1813,$BH$5:$BH1813,$BH1813))</f>
        <v/>
      </c>
      <c r="BM1813" s="9" t="str">
        <f t="shared" si="286"/>
        <v/>
      </c>
      <c r="BN1813" s="9" t="str">
        <f t="shared" si="287"/>
        <v/>
      </c>
      <c r="BO1813" s="9">
        <f t="shared" si="288"/>
        <v>0</v>
      </c>
      <c r="BR1813" s="12" t="str">
        <f t="shared" si="289"/>
        <v/>
      </c>
    </row>
    <row r="1814" spans="1:70" ht="14.25" customHeight="1">
      <c r="A1814" s="26"/>
      <c r="C1814" s="26"/>
      <c r="D1814" s="27"/>
      <c r="E1814" s="27"/>
      <c r="BE1814" s="10" t="str">
        <f t="shared" si="280"/>
        <v/>
      </c>
      <c r="BF1814" s="8" t="str">
        <f t="shared" si="281"/>
        <v/>
      </c>
      <c r="BG1814" s="11" t="str">
        <f t="shared" si="282"/>
        <v/>
      </c>
      <c r="BH1814" s="8" t="str">
        <f t="shared" si="283"/>
        <v/>
      </c>
      <c r="BI1814" s="8" t="str">
        <f t="shared" si="284"/>
        <v/>
      </c>
      <c r="BJ1814" s="9" t="str">
        <f t="shared" si="285"/>
        <v/>
      </c>
      <c r="BK1814" s="9" t="str">
        <f>IF($B1814="","",COUNTIFS($B$5:$B1814,$B1814,$BF$5:$BF1814,$BF1814))</f>
        <v/>
      </c>
      <c r="BL1814" s="9" t="str">
        <f>IF($B1814="","",COUNTIFS($B$5:$B1814,$B1814,$BH$5:$BH1814,$BH1814))</f>
        <v/>
      </c>
      <c r="BM1814" s="9" t="str">
        <f t="shared" si="286"/>
        <v/>
      </c>
      <c r="BN1814" s="9" t="str">
        <f t="shared" si="287"/>
        <v/>
      </c>
      <c r="BO1814" s="9">
        <f t="shared" si="288"/>
        <v>0</v>
      </c>
      <c r="BR1814" s="12" t="str">
        <f t="shared" si="289"/>
        <v/>
      </c>
    </row>
    <row r="1815" spans="1:70" ht="14.25" customHeight="1">
      <c r="A1815" s="26"/>
      <c r="C1815" s="26"/>
      <c r="D1815" s="27"/>
      <c r="E1815" s="27"/>
      <c r="BE1815" s="10" t="str">
        <f t="shared" si="280"/>
        <v/>
      </c>
      <c r="BF1815" s="8" t="str">
        <f t="shared" si="281"/>
        <v/>
      </c>
      <c r="BG1815" s="11" t="str">
        <f t="shared" si="282"/>
        <v/>
      </c>
      <c r="BH1815" s="8" t="str">
        <f t="shared" si="283"/>
        <v/>
      </c>
      <c r="BI1815" s="8" t="str">
        <f t="shared" si="284"/>
        <v/>
      </c>
      <c r="BJ1815" s="9" t="str">
        <f t="shared" si="285"/>
        <v/>
      </c>
      <c r="BK1815" s="9" t="str">
        <f>IF($B1815="","",COUNTIFS($B$5:$B1815,$B1815,$BF$5:$BF1815,$BF1815))</f>
        <v/>
      </c>
      <c r="BL1815" s="9" t="str">
        <f>IF($B1815="","",COUNTIFS($B$5:$B1815,$B1815,$BH$5:$BH1815,$BH1815))</f>
        <v/>
      </c>
      <c r="BM1815" s="9" t="str">
        <f t="shared" si="286"/>
        <v/>
      </c>
      <c r="BN1815" s="9" t="str">
        <f t="shared" si="287"/>
        <v/>
      </c>
      <c r="BO1815" s="9">
        <f t="shared" si="288"/>
        <v>0</v>
      </c>
      <c r="BR1815" s="12" t="str">
        <f t="shared" si="289"/>
        <v/>
      </c>
    </row>
    <row r="1816" spans="1:70" ht="14.25" customHeight="1">
      <c r="A1816" s="26"/>
      <c r="C1816" s="26"/>
      <c r="D1816" s="27"/>
      <c r="E1816" s="27"/>
      <c r="BE1816" s="10" t="str">
        <f t="shared" si="280"/>
        <v/>
      </c>
      <c r="BF1816" s="8" t="str">
        <f t="shared" si="281"/>
        <v/>
      </c>
      <c r="BG1816" s="11" t="str">
        <f t="shared" si="282"/>
        <v/>
      </c>
      <c r="BH1816" s="8" t="str">
        <f t="shared" si="283"/>
        <v/>
      </c>
      <c r="BI1816" s="8" t="str">
        <f t="shared" si="284"/>
        <v/>
      </c>
      <c r="BJ1816" s="9" t="str">
        <f t="shared" si="285"/>
        <v/>
      </c>
      <c r="BK1816" s="9" t="str">
        <f>IF($B1816="","",COUNTIFS($B$5:$B1816,$B1816,$BF$5:$BF1816,$BF1816))</f>
        <v/>
      </c>
      <c r="BL1816" s="9" t="str">
        <f>IF($B1816="","",COUNTIFS($B$5:$B1816,$B1816,$BH$5:$BH1816,$BH1816))</f>
        <v/>
      </c>
      <c r="BM1816" s="9" t="str">
        <f t="shared" si="286"/>
        <v/>
      </c>
      <c r="BN1816" s="9" t="str">
        <f t="shared" si="287"/>
        <v/>
      </c>
      <c r="BO1816" s="9">
        <f t="shared" si="288"/>
        <v>0</v>
      </c>
      <c r="BR1816" s="12" t="str">
        <f t="shared" si="289"/>
        <v/>
      </c>
    </row>
    <row r="1817" spans="1:70" ht="14.25" customHeight="1">
      <c r="A1817" s="26"/>
      <c r="C1817" s="26"/>
      <c r="D1817" s="27"/>
      <c r="E1817" s="27"/>
      <c r="BE1817" s="10" t="str">
        <f t="shared" si="280"/>
        <v/>
      </c>
      <c r="BF1817" s="8" t="str">
        <f t="shared" si="281"/>
        <v/>
      </c>
      <c r="BG1817" s="11" t="str">
        <f t="shared" si="282"/>
        <v/>
      </c>
      <c r="BH1817" s="8" t="str">
        <f t="shared" si="283"/>
        <v/>
      </c>
      <c r="BI1817" s="8" t="str">
        <f t="shared" si="284"/>
        <v/>
      </c>
      <c r="BJ1817" s="9" t="str">
        <f t="shared" si="285"/>
        <v/>
      </c>
      <c r="BK1817" s="9" t="str">
        <f>IF($B1817="","",COUNTIFS($B$5:$B1817,$B1817,$BF$5:$BF1817,$BF1817))</f>
        <v/>
      </c>
      <c r="BL1817" s="9" t="str">
        <f>IF($B1817="","",COUNTIFS($B$5:$B1817,$B1817,$BH$5:$BH1817,$BH1817))</f>
        <v/>
      </c>
      <c r="BM1817" s="9" t="str">
        <f t="shared" si="286"/>
        <v/>
      </c>
      <c r="BN1817" s="9" t="str">
        <f t="shared" si="287"/>
        <v/>
      </c>
      <c r="BO1817" s="9">
        <f t="shared" si="288"/>
        <v>0</v>
      </c>
      <c r="BR1817" s="12" t="str">
        <f t="shared" si="289"/>
        <v/>
      </c>
    </row>
    <row r="1818" spans="1:70" ht="14.25" customHeight="1">
      <c r="A1818" s="26"/>
      <c r="C1818" s="26"/>
      <c r="D1818" s="27"/>
      <c r="E1818" s="27"/>
      <c r="BE1818" s="10" t="str">
        <f t="shared" si="280"/>
        <v/>
      </c>
      <c r="BF1818" s="8" t="str">
        <f t="shared" si="281"/>
        <v/>
      </c>
      <c r="BG1818" s="11" t="str">
        <f t="shared" si="282"/>
        <v/>
      </c>
      <c r="BH1818" s="8" t="str">
        <f t="shared" si="283"/>
        <v/>
      </c>
      <c r="BI1818" s="8" t="str">
        <f t="shared" si="284"/>
        <v/>
      </c>
      <c r="BJ1818" s="9" t="str">
        <f t="shared" si="285"/>
        <v/>
      </c>
      <c r="BK1818" s="9" t="str">
        <f>IF($B1818="","",COUNTIFS($B$5:$B1818,$B1818,$BF$5:$BF1818,$BF1818))</f>
        <v/>
      </c>
      <c r="BL1818" s="9" t="str">
        <f>IF($B1818="","",COUNTIFS($B$5:$B1818,$B1818,$BH$5:$BH1818,$BH1818))</f>
        <v/>
      </c>
      <c r="BM1818" s="9" t="str">
        <f t="shared" si="286"/>
        <v/>
      </c>
      <c r="BN1818" s="9" t="str">
        <f t="shared" si="287"/>
        <v/>
      </c>
      <c r="BO1818" s="9">
        <f t="shared" si="288"/>
        <v>0</v>
      </c>
      <c r="BR1818" s="12" t="str">
        <f t="shared" si="289"/>
        <v/>
      </c>
    </row>
    <row r="1819" spans="1:70" ht="14.25" customHeight="1">
      <c r="A1819" s="26"/>
      <c r="C1819" s="26"/>
      <c r="D1819" s="27"/>
      <c r="E1819" s="27"/>
      <c r="BE1819" s="10" t="str">
        <f t="shared" si="280"/>
        <v/>
      </c>
      <c r="BF1819" s="8" t="str">
        <f t="shared" si="281"/>
        <v/>
      </c>
      <c r="BG1819" s="11" t="str">
        <f t="shared" si="282"/>
        <v/>
      </c>
      <c r="BH1819" s="8" t="str">
        <f t="shared" si="283"/>
        <v/>
      </c>
      <c r="BI1819" s="8" t="str">
        <f t="shared" si="284"/>
        <v/>
      </c>
      <c r="BJ1819" s="9" t="str">
        <f t="shared" si="285"/>
        <v/>
      </c>
      <c r="BK1819" s="9" t="str">
        <f>IF($B1819="","",COUNTIFS($B$5:$B1819,$B1819,$BF$5:$BF1819,$BF1819))</f>
        <v/>
      </c>
      <c r="BL1819" s="9" t="str">
        <f>IF($B1819="","",COUNTIFS($B$5:$B1819,$B1819,$BH$5:$BH1819,$BH1819))</f>
        <v/>
      </c>
      <c r="BM1819" s="9" t="str">
        <f t="shared" si="286"/>
        <v/>
      </c>
      <c r="BN1819" s="9" t="str">
        <f t="shared" si="287"/>
        <v/>
      </c>
      <c r="BO1819" s="9">
        <f t="shared" si="288"/>
        <v>0</v>
      </c>
      <c r="BR1819" s="12" t="str">
        <f t="shared" si="289"/>
        <v/>
      </c>
    </row>
    <row r="1820" spans="1:70" ht="14.25" customHeight="1">
      <c r="A1820" s="26"/>
      <c r="C1820" s="26"/>
      <c r="D1820" s="27"/>
      <c r="E1820" s="27"/>
      <c r="BE1820" s="10" t="str">
        <f t="shared" si="280"/>
        <v/>
      </c>
      <c r="BF1820" s="8" t="str">
        <f t="shared" si="281"/>
        <v/>
      </c>
      <c r="BG1820" s="11" t="str">
        <f t="shared" si="282"/>
        <v/>
      </c>
      <c r="BH1820" s="8" t="str">
        <f t="shared" si="283"/>
        <v/>
      </c>
      <c r="BI1820" s="8" t="str">
        <f t="shared" si="284"/>
        <v/>
      </c>
      <c r="BJ1820" s="9" t="str">
        <f t="shared" si="285"/>
        <v/>
      </c>
      <c r="BK1820" s="9" t="str">
        <f>IF($B1820="","",COUNTIFS($B$5:$B1820,$B1820,$BF$5:$BF1820,$BF1820))</f>
        <v/>
      </c>
      <c r="BL1820" s="9" t="str">
        <f>IF($B1820="","",COUNTIFS($B$5:$B1820,$B1820,$BH$5:$BH1820,$BH1820))</f>
        <v/>
      </c>
      <c r="BM1820" s="9" t="str">
        <f t="shared" si="286"/>
        <v/>
      </c>
      <c r="BN1820" s="9" t="str">
        <f t="shared" si="287"/>
        <v/>
      </c>
      <c r="BO1820" s="9">
        <f t="shared" si="288"/>
        <v>0</v>
      </c>
      <c r="BR1820" s="12" t="str">
        <f t="shared" si="289"/>
        <v/>
      </c>
    </row>
    <row r="1821" spans="1:70" ht="14.25" customHeight="1">
      <c r="A1821" s="26"/>
      <c r="C1821" s="26"/>
      <c r="D1821" s="27"/>
      <c r="E1821" s="27"/>
      <c r="BE1821" s="10" t="str">
        <f t="shared" ref="BE1821:BE1884" si="290">IF($B1821="","",IF(COUNT($H1821,$J1821,$L1821,$N1821,$P1821,$R1821)&gt;0,SUM($H1821,$J1821,$L1821,$N1821,$P1821,$R1821),SUM($T1821,$V1821,$X1821,$Z1821,$AB1821,$AD1821,$AF1821,$AH1821,$AJ1821,$AL1821,$AN1821,$AP1821,$AR1821,$AT1821,$AV1821,$AX1821,$AZ1821)))</f>
        <v/>
      </c>
      <c r="BF1821" s="8" t="str">
        <f t="shared" ref="BF1821:BF1884" si="291">IF($C1821="","",DATE(YEAR($C1821),MONTH($C1821),1))</f>
        <v/>
      </c>
      <c r="BG1821" s="11" t="str">
        <f t="shared" ref="BG1821:BG1884" si="292">IF($BF1821="","",TEXT($BF1821,"mmmm yyyy"))</f>
        <v/>
      </c>
      <c r="BH1821" s="8" t="str">
        <f t="shared" ref="BH1821:BH1884" si="293">IF($C1821="","",$C1821-WEEKDAY($C1821,2)+1)</f>
        <v/>
      </c>
      <c r="BI1821" s="8" t="str">
        <f t="shared" ref="BI1821:BI1884" si="294">IF($BH1821="","",$BH1821+6)</f>
        <v/>
      </c>
      <c r="BJ1821" s="9" t="str">
        <f t="shared" ref="BJ1821:BJ1884" si="295">IF($BH1821="","",TEXT($BH1821,"dd/mm/yyyy")&amp;" - "&amp;TEXT($BI1821,"dd/mm/yyyy"))</f>
        <v/>
      </c>
      <c r="BK1821" s="9" t="str">
        <f>IF($B1821="","",COUNTIFS($B$5:$B1821,$B1821,$BF$5:$BF1821,$BF1821))</f>
        <v/>
      </c>
      <c r="BL1821" s="9" t="str">
        <f>IF($B1821="","",COUNTIFS($B$5:$B1821,$B1821,$BH$5:$BH1821,$BH1821))</f>
        <v/>
      </c>
      <c r="BM1821" s="9" t="str">
        <f t="shared" ref="BM1821:BM1884" si="296">IF($B1821="","",TEXT($BK1821,"00")&amp;"|"&amp;$B1821&amp;"|"&amp;TEXT($BF1821,"yyyymmdd"))</f>
        <v/>
      </c>
      <c r="BN1821" s="9" t="str">
        <f t="shared" ref="BN1821:BN1884" si="297">IF($B1821="","",TEXT($BL1821,"00")&amp;"|"&amp;$B1821&amp;"|"&amp;TEXT($BH1821,"yyyymmdd"))</f>
        <v/>
      </c>
      <c r="BO1821" s="9">
        <f t="shared" ref="BO1821:BO1884" si="298">IF(OR($BB1821="YES",$BB1821="Yes",$BB1821="Y",$BB1821=1),1,0)</f>
        <v>0</v>
      </c>
      <c r="BR1821" s="12" t="str">
        <f t="shared" ref="BR1821:BR1884" si="299">IF($C1821="","",IF($C1821&gt;=DATE(2026,6,1),"QA-2026-06",IF($C1821&gt;=DATE(2026,5,1),"May 2026+",IF($C1821&gt;=DATE(2026,4,1),"April 2026",IF($C1821&gt;=DATE(2026,3,1),"March 2026","Jan-Feb 2026")))))</f>
        <v/>
      </c>
    </row>
    <row r="1822" spans="1:70" ht="14.25" customHeight="1">
      <c r="A1822" s="26"/>
      <c r="C1822" s="26"/>
      <c r="D1822" s="27"/>
      <c r="E1822" s="27"/>
      <c r="BE1822" s="10" t="str">
        <f t="shared" si="290"/>
        <v/>
      </c>
      <c r="BF1822" s="8" t="str">
        <f t="shared" si="291"/>
        <v/>
      </c>
      <c r="BG1822" s="11" t="str">
        <f t="shared" si="292"/>
        <v/>
      </c>
      <c r="BH1822" s="8" t="str">
        <f t="shared" si="293"/>
        <v/>
      </c>
      <c r="BI1822" s="8" t="str">
        <f t="shared" si="294"/>
        <v/>
      </c>
      <c r="BJ1822" s="9" t="str">
        <f t="shared" si="295"/>
        <v/>
      </c>
      <c r="BK1822" s="9" t="str">
        <f>IF($B1822="","",COUNTIFS($B$5:$B1822,$B1822,$BF$5:$BF1822,$BF1822))</f>
        <v/>
      </c>
      <c r="BL1822" s="9" t="str">
        <f>IF($B1822="","",COUNTIFS($B$5:$B1822,$B1822,$BH$5:$BH1822,$BH1822))</f>
        <v/>
      </c>
      <c r="BM1822" s="9" t="str">
        <f t="shared" si="296"/>
        <v/>
      </c>
      <c r="BN1822" s="9" t="str">
        <f t="shared" si="297"/>
        <v/>
      </c>
      <c r="BO1822" s="9">
        <f t="shared" si="298"/>
        <v>0</v>
      </c>
      <c r="BR1822" s="12" t="str">
        <f t="shared" si="299"/>
        <v/>
      </c>
    </row>
    <row r="1823" spans="1:70" ht="14.25" customHeight="1">
      <c r="A1823" s="26"/>
      <c r="C1823" s="26"/>
      <c r="D1823" s="27"/>
      <c r="E1823" s="27"/>
      <c r="BE1823" s="10" t="str">
        <f t="shared" si="290"/>
        <v/>
      </c>
      <c r="BF1823" s="8" t="str">
        <f t="shared" si="291"/>
        <v/>
      </c>
      <c r="BG1823" s="11" t="str">
        <f t="shared" si="292"/>
        <v/>
      </c>
      <c r="BH1823" s="8" t="str">
        <f t="shared" si="293"/>
        <v/>
      </c>
      <c r="BI1823" s="8" t="str">
        <f t="shared" si="294"/>
        <v/>
      </c>
      <c r="BJ1823" s="9" t="str">
        <f t="shared" si="295"/>
        <v/>
      </c>
      <c r="BK1823" s="9" t="str">
        <f>IF($B1823="","",COUNTIFS($B$5:$B1823,$B1823,$BF$5:$BF1823,$BF1823))</f>
        <v/>
      </c>
      <c r="BL1823" s="9" t="str">
        <f>IF($B1823="","",COUNTIFS($B$5:$B1823,$B1823,$BH$5:$BH1823,$BH1823))</f>
        <v/>
      </c>
      <c r="BM1823" s="9" t="str">
        <f t="shared" si="296"/>
        <v/>
      </c>
      <c r="BN1823" s="9" t="str">
        <f t="shared" si="297"/>
        <v/>
      </c>
      <c r="BO1823" s="9">
        <f t="shared" si="298"/>
        <v>0</v>
      </c>
      <c r="BR1823" s="12" t="str">
        <f t="shared" si="299"/>
        <v/>
      </c>
    </row>
    <row r="1824" spans="1:70" ht="14.25" customHeight="1">
      <c r="A1824" s="26"/>
      <c r="C1824" s="26"/>
      <c r="D1824" s="27"/>
      <c r="E1824" s="27"/>
      <c r="BE1824" s="10" t="str">
        <f t="shared" si="290"/>
        <v/>
      </c>
      <c r="BF1824" s="8" t="str">
        <f t="shared" si="291"/>
        <v/>
      </c>
      <c r="BG1824" s="11" t="str">
        <f t="shared" si="292"/>
        <v/>
      </c>
      <c r="BH1824" s="8" t="str">
        <f t="shared" si="293"/>
        <v/>
      </c>
      <c r="BI1824" s="8" t="str">
        <f t="shared" si="294"/>
        <v/>
      </c>
      <c r="BJ1824" s="9" t="str">
        <f t="shared" si="295"/>
        <v/>
      </c>
      <c r="BK1824" s="9" t="str">
        <f>IF($B1824="","",COUNTIFS($B$5:$B1824,$B1824,$BF$5:$BF1824,$BF1824))</f>
        <v/>
      </c>
      <c r="BL1824" s="9" t="str">
        <f>IF($B1824="","",COUNTIFS($B$5:$B1824,$B1824,$BH$5:$BH1824,$BH1824))</f>
        <v/>
      </c>
      <c r="BM1824" s="9" t="str">
        <f t="shared" si="296"/>
        <v/>
      </c>
      <c r="BN1824" s="9" t="str">
        <f t="shared" si="297"/>
        <v/>
      </c>
      <c r="BO1824" s="9">
        <f t="shared" si="298"/>
        <v>0</v>
      </c>
      <c r="BR1824" s="12" t="str">
        <f t="shared" si="299"/>
        <v/>
      </c>
    </row>
    <row r="1825" spans="1:70" ht="14.25" customHeight="1">
      <c r="A1825" s="26"/>
      <c r="C1825" s="26"/>
      <c r="D1825" s="27"/>
      <c r="E1825" s="27"/>
      <c r="BE1825" s="10" t="str">
        <f t="shared" si="290"/>
        <v/>
      </c>
      <c r="BF1825" s="8" t="str">
        <f t="shared" si="291"/>
        <v/>
      </c>
      <c r="BG1825" s="11" t="str">
        <f t="shared" si="292"/>
        <v/>
      </c>
      <c r="BH1825" s="8" t="str">
        <f t="shared" si="293"/>
        <v/>
      </c>
      <c r="BI1825" s="8" t="str">
        <f t="shared" si="294"/>
        <v/>
      </c>
      <c r="BJ1825" s="9" t="str">
        <f t="shared" si="295"/>
        <v/>
      </c>
      <c r="BK1825" s="9" t="str">
        <f>IF($B1825="","",COUNTIFS($B$5:$B1825,$B1825,$BF$5:$BF1825,$BF1825))</f>
        <v/>
      </c>
      <c r="BL1825" s="9" t="str">
        <f>IF($B1825="","",COUNTIFS($B$5:$B1825,$B1825,$BH$5:$BH1825,$BH1825))</f>
        <v/>
      </c>
      <c r="BM1825" s="9" t="str">
        <f t="shared" si="296"/>
        <v/>
      </c>
      <c r="BN1825" s="9" t="str">
        <f t="shared" si="297"/>
        <v/>
      </c>
      <c r="BO1825" s="9">
        <f t="shared" si="298"/>
        <v>0</v>
      </c>
      <c r="BR1825" s="12" t="str">
        <f t="shared" si="299"/>
        <v/>
      </c>
    </row>
    <row r="1826" spans="1:70" ht="14.25" customHeight="1">
      <c r="A1826" s="26"/>
      <c r="C1826" s="26"/>
      <c r="D1826" s="27"/>
      <c r="E1826" s="27"/>
      <c r="BE1826" s="10" t="str">
        <f t="shared" si="290"/>
        <v/>
      </c>
      <c r="BF1826" s="8" t="str">
        <f t="shared" si="291"/>
        <v/>
      </c>
      <c r="BG1826" s="11" t="str">
        <f t="shared" si="292"/>
        <v/>
      </c>
      <c r="BH1826" s="8" t="str">
        <f t="shared" si="293"/>
        <v/>
      </c>
      <c r="BI1826" s="8" t="str">
        <f t="shared" si="294"/>
        <v/>
      </c>
      <c r="BJ1826" s="9" t="str">
        <f t="shared" si="295"/>
        <v/>
      </c>
      <c r="BK1826" s="9" t="str">
        <f>IF($B1826="","",COUNTIFS($B$5:$B1826,$B1826,$BF$5:$BF1826,$BF1826))</f>
        <v/>
      </c>
      <c r="BL1826" s="9" t="str">
        <f>IF($B1826="","",COUNTIFS($B$5:$B1826,$B1826,$BH$5:$BH1826,$BH1826))</f>
        <v/>
      </c>
      <c r="BM1826" s="9" t="str">
        <f t="shared" si="296"/>
        <v/>
      </c>
      <c r="BN1826" s="9" t="str">
        <f t="shared" si="297"/>
        <v/>
      </c>
      <c r="BO1826" s="9">
        <f t="shared" si="298"/>
        <v>0</v>
      </c>
      <c r="BR1826" s="12" t="str">
        <f t="shared" si="299"/>
        <v/>
      </c>
    </row>
    <row r="1827" spans="1:70" ht="14.25" customHeight="1">
      <c r="A1827" s="26"/>
      <c r="C1827" s="26"/>
      <c r="D1827" s="27"/>
      <c r="E1827" s="27"/>
      <c r="BE1827" s="10" t="str">
        <f t="shared" si="290"/>
        <v/>
      </c>
      <c r="BF1827" s="8" t="str">
        <f t="shared" si="291"/>
        <v/>
      </c>
      <c r="BG1827" s="11" t="str">
        <f t="shared" si="292"/>
        <v/>
      </c>
      <c r="BH1827" s="8" t="str">
        <f t="shared" si="293"/>
        <v/>
      </c>
      <c r="BI1827" s="8" t="str">
        <f t="shared" si="294"/>
        <v/>
      </c>
      <c r="BJ1827" s="9" t="str">
        <f t="shared" si="295"/>
        <v/>
      </c>
      <c r="BK1827" s="9" t="str">
        <f>IF($B1827="","",COUNTIFS($B$5:$B1827,$B1827,$BF$5:$BF1827,$BF1827))</f>
        <v/>
      </c>
      <c r="BL1827" s="9" t="str">
        <f>IF($B1827="","",COUNTIFS($B$5:$B1827,$B1827,$BH$5:$BH1827,$BH1827))</f>
        <v/>
      </c>
      <c r="BM1827" s="9" t="str">
        <f t="shared" si="296"/>
        <v/>
      </c>
      <c r="BN1827" s="9" t="str">
        <f t="shared" si="297"/>
        <v/>
      </c>
      <c r="BO1827" s="9">
        <f t="shared" si="298"/>
        <v>0</v>
      </c>
      <c r="BR1827" s="12" t="str">
        <f t="shared" si="299"/>
        <v/>
      </c>
    </row>
    <row r="1828" spans="1:70" ht="14.25" customHeight="1">
      <c r="A1828" s="26"/>
      <c r="C1828" s="26"/>
      <c r="D1828" s="27"/>
      <c r="E1828" s="27"/>
      <c r="BE1828" s="10" t="str">
        <f t="shared" si="290"/>
        <v/>
      </c>
      <c r="BF1828" s="8" t="str">
        <f t="shared" si="291"/>
        <v/>
      </c>
      <c r="BG1828" s="11" t="str">
        <f t="shared" si="292"/>
        <v/>
      </c>
      <c r="BH1828" s="8" t="str">
        <f t="shared" si="293"/>
        <v/>
      </c>
      <c r="BI1828" s="8" t="str">
        <f t="shared" si="294"/>
        <v/>
      </c>
      <c r="BJ1828" s="9" t="str">
        <f t="shared" si="295"/>
        <v/>
      </c>
      <c r="BK1828" s="9" t="str">
        <f>IF($B1828="","",COUNTIFS($B$5:$B1828,$B1828,$BF$5:$BF1828,$BF1828))</f>
        <v/>
      </c>
      <c r="BL1828" s="9" t="str">
        <f>IF($B1828="","",COUNTIFS($B$5:$B1828,$B1828,$BH$5:$BH1828,$BH1828))</f>
        <v/>
      </c>
      <c r="BM1828" s="9" t="str">
        <f t="shared" si="296"/>
        <v/>
      </c>
      <c r="BN1828" s="9" t="str">
        <f t="shared" si="297"/>
        <v/>
      </c>
      <c r="BO1828" s="9">
        <f t="shared" si="298"/>
        <v>0</v>
      </c>
      <c r="BR1828" s="12" t="str">
        <f t="shared" si="299"/>
        <v/>
      </c>
    </row>
    <row r="1829" spans="1:70" ht="14.25" customHeight="1">
      <c r="A1829" s="26"/>
      <c r="C1829" s="26"/>
      <c r="D1829" s="27"/>
      <c r="E1829" s="27"/>
      <c r="BE1829" s="10" t="str">
        <f t="shared" si="290"/>
        <v/>
      </c>
      <c r="BF1829" s="8" t="str">
        <f t="shared" si="291"/>
        <v/>
      </c>
      <c r="BG1829" s="11" t="str">
        <f t="shared" si="292"/>
        <v/>
      </c>
      <c r="BH1829" s="8" t="str">
        <f t="shared" si="293"/>
        <v/>
      </c>
      <c r="BI1829" s="8" t="str">
        <f t="shared" si="294"/>
        <v/>
      </c>
      <c r="BJ1829" s="9" t="str">
        <f t="shared" si="295"/>
        <v/>
      </c>
      <c r="BK1829" s="9" t="str">
        <f>IF($B1829="","",COUNTIFS($B$5:$B1829,$B1829,$BF$5:$BF1829,$BF1829))</f>
        <v/>
      </c>
      <c r="BL1829" s="9" t="str">
        <f>IF($B1829="","",COUNTIFS($B$5:$B1829,$B1829,$BH$5:$BH1829,$BH1829))</f>
        <v/>
      </c>
      <c r="BM1829" s="9" t="str">
        <f t="shared" si="296"/>
        <v/>
      </c>
      <c r="BN1829" s="9" t="str">
        <f t="shared" si="297"/>
        <v/>
      </c>
      <c r="BO1829" s="9">
        <f t="shared" si="298"/>
        <v>0</v>
      </c>
      <c r="BR1829" s="12" t="str">
        <f t="shared" si="299"/>
        <v/>
      </c>
    </row>
    <row r="1830" spans="1:70" ht="14.25" customHeight="1">
      <c r="A1830" s="26"/>
      <c r="C1830" s="26"/>
      <c r="D1830" s="27"/>
      <c r="E1830" s="27"/>
      <c r="BE1830" s="10" t="str">
        <f t="shared" si="290"/>
        <v/>
      </c>
      <c r="BF1830" s="8" t="str">
        <f t="shared" si="291"/>
        <v/>
      </c>
      <c r="BG1830" s="11" t="str">
        <f t="shared" si="292"/>
        <v/>
      </c>
      <c r="BH1830" s="8" t="str">
        <f t="shared" si="293"/>
        <v/>
      </c>
      <c r="BI1830" s="8" t="str">
        <f t="shared" si="294"/>
        <v/>
      </c>
      <c r="BJ1830" s="9" t="str">
        <f t="shared" si="295"/>
        <v/>
      </c>
      <c r="BK1830" s="9" t="str">
        <f>IF($B1830="","",COUNTIFS($B$5:$B1830,$B1830,$BF$5:$BF1830,$BF1830))</f>
        <v/>
      </c>
      <c r="BL1830" s="9" t="str">
        <f>IF($B1830="","",COUNTIFS($B$5:$B1830,$B1830,$BH$5:$BH1830,$BH1830))</f>
        <v/>
      </c>
      <c r="BM1830" s="9" t="str">
        <f t="shared" si="296"/>
        <v/>
      </c>
      <c r="BN1830" s="9" t="str">
        <f t="shared" si="297"/>
        <v/>
      </c>
      <c r="BO1830" s="9">
        <f t="shared" si="298"/>
        <v>0</v>
      </c>
      <c r="BR1830" s="12" t="str">
        <f t="shared" si="299"/>
        <v/>
      </c>
    </row>
    <row r="1831" spans="1:70" ht="14.25" customHeight="1">
      <c r="A1831" s="26"/>
      <c r="C1831" s="26"/>
      <c r="D1831" s="27"/>
      <c r="E1831" s="27"/>
      <c r="BE1831" s="10" t="str">
        <f t="shared" si="290"/>
        <v/>
      </c>
      <c r="BF1831" s="8" t="str">
        <f t="shared" si="291"/>
        <v/>
      </c>
      <c r="BG1831" s="11" t="str">
        <f t="shared" si="292"/>
        <v/>
      </c>
      <c r="BH1831" s="8" t="str">
        <f t="shared" si="293"/>
        <v/>
      </c>
      <c r="BI1831" s="8" t="str">
        <f t="shared" si="294"/>
        <v/>
      </c>
      <c r="BJ1831" s="9" t="str">
        <f t="shared" si="295"/>
        <v/>
      </c>
      <c r="BK1831" s="9" t="str">
        <f>IF($B1831="","",COUNTIFS($B$5:$B1831,$B1831,$BF$5:$BF1831,$BF1831))</f>
        <v/>
      </c>
      <c r="BL1831" s="9" t="str">
        <f>IF($B1831="","",COUNTIFS($B$5:$B1831,$B1831,$BH$5:$BH1831,$BH1831))</f>
        <v/>
      </c>
      <c r="BM1831" s="9" t="str">
        <f t="shared" si="296"/>
        <v/>
      </c>
      <c r="BN1831" s="9" t="str">
        <f t="shared" si="297"/>
        <v/>
      </c>
      <c r="BO1831" s="9">
        <f t="shared" si="298"/>
        <v>0</v>
      </c>
      <c r="BR1831" s="12" t="str">
        <f t="shared" si="299"/>
        <v/>
      </c>
    </row>
    <row r="1832" spans="1:70" ht="14.25" customHeight="1">
      <c r="A1832" s="26"/>
      <c r="C1832" s="26"/>
      <c r="D1832" s="27"/>
      <c r="E1832" s="27"/>
      <c r="BE1832" s="10" t="str">
        <f t="shared" si="290"/>
        <v/>
      </c>
      <c r="BF1832" s="8" t="str">
        <f t="shared" si="291"/>
        <v/>
      </c>
      <c r="BG1832" s="11" t="str">
        <f t="shared" si="292"/>
        <v/>
      </c>
      <c r="BH1832" s="8" t="str">
        <f t="shared" si="293"/>
        <v/>
      </c>
      <c r="BI1832" s="8" t="str">
        <f t="shared" si="294"/>
        <v/>
      </c>
      <c r="BJ1832" s="9" t="str">
        <f t="shared" si="295"/>
        <v/>
      </c>
      <c r="BK1832" s="9" t="str">
        <f>IF($B1832="","",COUNTIFS($B$5:$B1832,$B1832,$BF$5:$BF1832,$BF1832))</f>
        <v/>
      </c>
      <c r="BL1832" s="9" t="str">
        <f>IF($B1832="","",COUNTIFS($B$5:$B1832,$B1832,$BH$5:$BH1832,$BH1832))</f>
        <v/>
      </c>
      <c r="BM1832" s="9" t="str">
        <f t="shared" si="296"/>
        <v/>
      </c>
      <c r="BN1832" s="9" t="str">
        <f t="shared" si="297"/>
        <v/>
      </c>
      <c r="BO1832" s="9">
        <f t="shared" si="298"/>
        <v>0</v>
      </c>
      <c r="BR1832" s="12" t="str">
        <f t="shared" si="299"/>
        <v/>
      </c>
    </row>
    <row r="1833" spans="1:70" ht="14.25" customHeight="1">
      <c r="A1833" s="26"/>
      <c r="C1833" s="26"/>
      <c r="D1833" s="27"/>
      <c r="E1833" s="27"/>
      <c r="BE1833" s="10" t="str">
        <f t="shared" si="290"/>
        <v/>
      </c>
      <c r="BF1833" s="8" t="str">
        <f t="shared" si="291"/>
        <v/>
      </c>
      <c r="BG1833" s="11" t="str">
        <f t="shared" si="292"/>
        <v/>
      </c>
      <c r="BH1833" s="8" t="str">
        <f t="shared" si="293"/>
        <v/>
      </c>
      <c r="BI1833" s="8" t="str">
        <f t="shared" si="294"/>
        <v/>
      </c>
      <c r="BJ1833" s="9" t="str">
        <f t="shared" si="295"/>
        <v/>
      </c>
      <c r="BK1833" s="9" t="str">
        <f>IF($B1833="","",COUNTIFS($B$5:$B1833,$B1833,$BF$5:$BF1833,$BF1833))</f>
        <v/>
      </c>
      <c r="BL1833" s="9" t="str">
        <f>IF($B1833="","",COUNTIFS($B$5:$B1833,$B1833,$BH$5:$BH1833,$BH1833))</f>
        <v/>
      </c>
      <c r="BM1833" s="9" t="str">
        <f t="shared" si="296"/>
        <v/>
      </c>
      <c r="BN1833" s="9" t="str">
        <f t="shared" si="297"/>
        <v/>
      </c>
      <c r="BO1833" s="9">
        <f t="shared" si="298"/>
        <v>0</v>
      </c>
      <c r="BR1833" s="12" t="str">
        <f t="shared" si="299"/>
        <v/>
      </c>
    </row>
    <row r="1834" spans="1:70" ht="14.25" customHeight="1">
      <c r="A1834" s="26"/>
      <c r="C1834" s="26"/>
      <c r="D1834" s="27"/>
      <c r="E1834" s="27"/>
      <c r="BE1834" s="10" t="str">
        <f t="shared" si="290"/>
        <v/>
      </c>
      <c r="BF1834" s="8" t="str">
        <f t="shared" si="291"/>
        <v/>
      </c>
      <c r="BG1834" s="11" t="str">
        <f t="shared" si="292"/>
        <v/>
      </c>
      <c r="BH1834" s="8" t="str">
        <f t="shared" si="293"/>
        <v/>
      </c>
      <c r="BI1834" s="8" t="str">
        <f t="shared" si="294"/>
        <v/>
      </c>
      <c r="BJ1834" s="9" t="str">
        <f t="shared" si="295"/>
        <v/>
      </c>
      <c r="BK1834" s="9" t="str">
        <f>IF($B1834="","",COUNTIFS($B$5:$B1834,$B1834,$BF$5:$BF1834,$BF1834))</f>
        <v/>
      </c>
      <c r="BL1834" s="9" t="str">
        <f>IF($B1834="","",COUNTIFS($B$5:$B1834,$B1834,$BH$5:$BH1834,$BH1834))</f>
        <v/>
      </c>
      <c r="BM1834" s="9" t="str">
        <f t="shared" si="296"/>
        <v/>
      </c>
      <c r="BN1834" s="9" t="str">
        <f t="shared" si="297"/>
        <v/>
      </c>
      <c r="BO1834" s="9">
        <f t="shared" si="298"/>
        <v>0</v>
      </c>
      <c r="BR1834" s="12" t="str">
        <f t="shared" si="299"/>
        <v/>
      </c>
    </row>
    <row r="1835" spans="1:70" ht="14.25" customHeight="1">
      <c r="A1835" s="26"/>
      <c r="C1835" s="26"/>
      <c r="D1835" s="27"/>
      <c r="E1835" s="27"/>
      <c r="BE1835" s="10" t="str">
        <f t="shared" si="290"/>
        <v/>
      </c>
      <c r="BF1835" s="8" t="str">
        <f t="shared" si="291"/>
        <v/>
      </c>
      <c r="BG1835" s="11" t="str">
        <f t="shared" si="292"/>
        <v/>
      </c>
      <c r="BH1835" s="8" t="str">
        <f t="shared" si="293"/>
        <v/>
      </c>
      <c r="BI1835" s="8" t="str">
        <f t="shared" si="294"/>
        <v/>
      </c>
      <c r="BJ1835" s="9" t="str">
        <f t="shared" si="295"/>
        <v/>
      </c>
      <c r="BK1835" s="9" t="str">
        <f>IF($B1835="","",COUNTIFS($B$5:$B1835,$B1835,$BF$5:$BF1835,$BF1835))</f>
        <v/>
      </c>
      <c r="BL1835" s="9" t="str">
        <f>IF($B1835="","",COUNTIFS($B$5:$B1835,$B1835,$BH$5:$BH1835,$BH1835))</f>
        <v/>
      </c>
      <c r="BM1835" s="9" t="str">
        <f t="shared" si="296"/>
        <v/>
      </c>
      <c r="BN1835" s="9" t="str">
        <f t="shared" si="297"/>
        <v/>
      </c>
      <c r="BO1835" s="9">
        <f t="shared" si="298"/>
        <v>0</v>
      </c>
      <c r="BR1835" s="12" t="str">
        <f t="shared" si="299"/>
        <v/>
      </c>
    </row>
    <row r="1836" spans="1:70" ht="14.25" customHeight="1">
      <c r="A1836" s="26"/>
      <c r="C1836" s="26"/>
      <c r="D1836" s="27"/>
      <c r="E1836" s="27"/>
      <c r="BE1836" s="10" t="str">
        <f t="shared" si="290"/>
        <v/>
      </c>
      <c r="BF1836" s="8" t="str">
        <f t="shared" si="291"/>
        <v/>
      </c>
      <c r="BG1836" s="11" t="str">
        <f t="shared" si="292"/>
        <v/>
      </c>
      <c r="BH1836" s="8" t="str">
        <f t="shared" si="293"/>
        <v/>
      </c>
      <c r="BI1836" s="8" t="str">
        <f t="shared" si="294"/>
        <v/>
      </c>
      <c r="BJ1836" s="9" t="str">
        <f t="shared" si="295"/>
        <v/>
      </c>
      <c r="BK1836" s="9" t="str">
        <f>IF($B1836="","",COUNTIFS($B$5:$B1836,$B1836,$BF$5:$BF1836,$BF1836))</f>
        <v/>
      </c>
      <c r="BL1836" s="9" t="str">
        <f>IF($B1836="","",COUNTIFS($B$5:$B1836,$B1836,$BH$5:$BH1836,$BH1836))</f>
        <v/>
      </c>
      <c r="BM1836" s="9" t="str">
        <f t="shared" si="296"/>
        <v/>
      </c>
      <c r="BN1836" s="9" t="str">
        <f t="shared" si="297"/>
        <v/>
      </c>
      <c r="BO1836" s="9">
        <f t="shared" si="298"/>
        <v>0</v>
      </c>
      <c r="BR1836" s="12" t="str">
        <f t="shared" si="299"/>
        <v/>
      </c>
    </row>
    <row r="1837" spans="1:70" ht="14.25" customHeight="1">
      <c r="A1837" s="26"/>
      <c r="C1837" s="26"/>
      <c r="D1837" s="27"/>
      <c r="E1837" s="27"/>
      <c r="BE1837" s="10" t="str">
        <f t="shared" si="290"/>
        <v/>
      </c>
      <c r="BF1837" s="8" t="str">
        <f t="shared" si="291"/>
        <v/>
      </c>
      <c r="BG1837" s="11" t="str">
        <f t="shared" si="292"/>
        <v/>
      </c>
      <c r="BH1837" s="8" t="str">
        <f t="shared" si="293"/>
        <v/>
      </c>
      <c r="BI1837" s="8" t="str">
        <f t="shared" si="294"/>
        <v/>
      </c>
      <c r="BJ1837" s="9" t="str">
        <f t="shared" si="295"/>
        <v/>
      </c>
      <c r="BK1837" s="9" t="str">
        <f>IF($B1837="","",COUNTIFS($B$5:$B1837,$B1837,$BF$5:$BF1837,$BF1837))</f>
        <v/>
      </c>
      <c r="BL1837" s="9" t="str">
        <f>IF($B1837="","",COUNTIFS($B$5:$B1837,$B1837,$BH$5:$BH1837,$BH1837))</f>
        <v/>
      </c>
      <c r="BM1837" s="9" t="str">
        <f t="shared" si="296"/>
        <v/>
      </c>
      <c r="BN1837" s="9" t="str">
        <f t="shared" si="297"/>
        <v/>
      </c>
      <c r="BO1837" s="9">
        <f t="shared" si="298"/>
        <v>0</v>
      </c>
      <c r="BR1837" s="12" t="str">
        <f t="shared" si="299"/>
        <v/>
      </c>
    </row>
    <row r="1838" spans="1:70" ht="14.25" customHeight="1">
      <c r="A1838" s="26"/>
      <c r="C1838" s="26"/>
      <c r="D1838" s="27"/>
      <c r="E1838" s="27"/>
      <c r="BE1838" s="10" t="str">
        <f t="shared" si="290"/>
        <v/>
      </c>
      <c r="BF1838" s="8" t="str">
        <f t="shared" si="291"/>
        <v/>
      </c>
      <c r="BG1838" s="11" t="str">
        <f t="shared" si="292"/>
        <v/>
      </c>
      <c r="BH1838" s="8" t="str">
        <f t="shared" si="293"/>
        <v/>
      </c>
      <c r="BI1838" s="8" t="str">
        <f t="shared" si="294"/>
        <v/>
      </c>
      <c r="BJ1838" s="9" t="str">
        <f t="shared" si="295"/>
        <v/>
      </c>
      <c r="BK1838" s="9" t="str">
        <f>IF($B1838="","",COUNTIFS($B$5:$B1838,$B1838,$BF$5:$BF1838,$BF1838))</f>
        <v/>
      </c>
      <c r="BL1838" s="9" t="str">
        <f>IF($B1838="","",COUNTIFS($B$5:$B1838,$B1838,$BH$5:$BH1838,$BH1838))</f>
        <v/>
      </c>
      <c r="BM1838" s="9" t="str">
        <f t="shared" si="296"/>
        <v/>
      </c>
      <c r="BN1838" s="9" t="str">
        <f t="shared" si="297"/>
        <v/>
      </c>
      <c r="BO1838" s="9">
        <f t="shared" si="298"/>
        <v>0</v>
      </c>
      <c r="BR1838" s="12" t="str">
        <f t="shared" si="299"/>
        <v/>
      </c>
    </row>
    <row r="1839" spans="1:70" ht="14.25" customHeight="1">
      <c r="A1839" s="26"/>
      <c r="C1839" s="26"/>
      <c r="D1839" s="27"/>
      <c r="E1839" s="27"/>
      <c r="BE1839" s="10" t="str">
        <f t="shared" si="290"/>
        <v/>
      </c>
      <c r="BF1839" s="8" t="str">
        <f t="shared" si="291"/>
        <v/>
      </c>
      <c r="BG1839" s="11" t="str">
        <f t="shared" si="292"/>
        <v/>
      </c>
      <c r="BH1839" s="8" t="str">
        <f t="shared" si="293"/>
        <v/>
      </c>
      <c r="BI1839" s="8" t="str">
        <f t="shared" si="294"/>
        <v/>
      </c>
      <c r="BJ1839" s="9" t="str">
        <f t="shared" si="295"/>
        <v/>
      </c>
      <c r="BK1839" s="9" t="str">
        <f>IF($B1839="","",COUNTIFS($B$5:$B1839,$B1839,$BF$5:$BF1839,$BF1839))</f>
        <v/>
      </c>
      <c r="BL1839" s="9" t="str">
        <f>IF($B1839="","",COUNTIFS($B$5:$B1839,$B1839,$BH$5:$BH1839,$BH1839))</f>
        <v/>
      </c>
      <c r="BM1839" s="9" t="str">
        <f t="shared" si="296"/>
        <v/>
      </c>
      <c r="BN1839" s="9" t="str">
        <f t="shared" si="297"/>
        <v/>
      </c>
      <c r="BO1839" s="9">
        <f t="shared" si="298"/>
        <v>0</v>
      </c>
      <c r="BR1839" s="12" t="str">
        <f t="shared" si="299"/>
        <v/>
      </c>
    </row>
    <row r="1840" spans="1:70" ht="14.25" customHeight="1">
      <c r="A1840" s="26"/>
      <c r="C1840" s="26"/>
      <c r="D1840" s="27"/>
      <c r="E1840" s="27"/>
      <c r="BE1840" s="10" t="str">
        <f t="shared" si="290"/>
        <v/>
      </c>
      <c r="BF1840" s="8" t="str">
        <f t="shared" si="291"/>
        <v/>
      </c>
      <c r="BG1840" s="11" t="str">
        <f t="shared" si="292"/>
        <v/>
      </c>
      <c r="BH1840" s="8" t="str">
        <f t="shared" si="293"/>
        <v/>
      </c>
      <c r="BI1840" s="8" t="str">
        <f t="shared" si="294"/>
        <v/>
      </c>
      <c r="BJ1840" s="9" t="str">
        <f t="shared" si="295"/>
        <v/>
      </c>
      <c r="BK1840" s="9" t="str">
        <f>IF($B1840="","",COUNTIFS($B$5:$B1840,$B1840,$BF$5:$BF1840,$BF1840))</f>
        <v/>
      </c>
      <c r="BL1840" s="9" t="str">
        <f>IF($B1840="","",COUNTIFS($B$5:$B1840,$B1840,$BH$5:$BH1840,$BH1840))</f>
        <v/>
      </c>
      <c r="BM1840" s="9" t="str">
        <f t="shared" si="296"/>
        <v/>
      </c>
      <c r="BN1840" s="9" t="str">
        <f t="shared" si="297"/>
        <v/>
      </c>
      <c r="BO1840" s="9">
        <f t="shared" si="298"/>
        <v>0</v>
      </c>
      <c r="BR1840" s="12" t="str">
        <f t="shared" si="299"/>
        <v/>
      </c>
    </row>
    <row r="1841" spans="1:70" ht="14.25" customHeight="1">
      <c r="A1841" s="26"/>
      <c r="C1841" s="26"/>
      <c r="D1841" s="27"/>
      <c r="E1841" s="27"/>
      <c r="BE1841" s="10" t="str">
        <f t="shared" si="290"/>
        <v/>
      </c>
      <c r="BF1841" s="8" t="str">
        <f t="shared" si="291"/>
        <v/>
      </c>
      <c r="BG1841" s="11" t="str">
        <f t="shared" si="292"/>
        <v/>
      </c>
      <c r="BH1841" s="8" t="str">
        <f t="shared" si="293"/>
        <v/>
      </c>
      <c r="BI1841" s="8" t="str">
        <f t="shared" si="294"/>
        <v/>
      </c>
      <c r="BJ1841" s="9" t="str">
        <f t="shared" si="295"/>
        <v/>
      </c>
      <c r="BK1841" s="9" t="str">
        <f>IF($B1841="","",COUNTIFS($B$5:$B1841,$B1841,$BF$5:$BF1841,$BF1841))</f>
        <v/>
      </c>
      <c r="BL1841" s="9" t="str">
        <f>IF($B1841="","",COUNTIFS($B$5:$B1841,$B1841,$BH$5:$BH1841,$BH1841))</f>
        <v/>
      </c>
      <c r="BM1841" s="9" t="str">
        <f t="shared" si="296"/>
        <v/>
      </c>
      <c r="BN1841" s="9" t="str">
        <f t="shared" si="297"/>
        <v/>
      </c>
      <c r="BO1841" s="9">
        <f t="shared" si="298"/>
        <v>0</v>
      </c>
      <c r="BR1841" s="12" t="str">
        <f t="shared" si="299"/>
        <v/>
      </c>
    </row>
    <row r="1842" spans="1:70" ht="14.25" customHeight="1">
      <c r="A1842" s="26"/>
      <c r="C1842" s="26"/>
      <c r="D1842" s="27"/>
      <c r="E1842" s="27"/>
      <c r="BE1842" s="10" t="str">
        <f t="shared" si="290"/>
        <v/>
      </c>
      <c r="BF1842" s="8" t="str">
        <f t="shared" si="291"/>
        <v/>
      </c>
      <c r="BG1842" s="11" t="str">
        <f t="shared" si="292"/>
        <v/>
      </c>
      <c r="BH1842" s="8" t="str">
        <f t="shared" si="293"/>
        <v/>
      </c>
      <c r="BI1842" s="8" t="str">
        <f t="shared" si="294"/>
        <v/>
      </c>
      <c r="BJ1842" s="9" t="str">
        <f t="shared" si="295"/>
        <v/>
      </c>
      <c r="BK1842" s="9" t="str">
        <f>IF($B1842="","",COUNTIFS($B$5:$B1842,$B1842,$BF$5:$BF1842,$BF1842))</f>
        <v/>
      </c>
      <c r="BL1842" s="9" t="str">
        <f>IF($B1842="","",COUNTIFS($B$5:$B1842,$B1842,$BH$5:$BH1842,$BH1842))</f>
        <v/>
      </c>
      <c r="BM1842" s="9" t="str">
        <f t="shared" si="296"/>
        <v/>
      </c>
      <c r="BN1842" s="9" t="str">
        <f t="shared" si="297"/>
        <v/>
      </c>
      <c r="BO1842" s="9">
        <f t="shared" si="298"/>
        <v>0</v>
      </c>
      <c r="BR1842" s="12" t="str">
        <f t="shared" si="299"/>
        <v/>
      </c>
    </row>
    <row r="1843" spans="1:70" ht="14.25" customHeight="1">
      <c r="A1843" s="26"/>
      <c r="C1843" s="26"/>
      <c r="D1843" s="27"/>
      <c r="E1843" s="27"/>
      <c r="BE1843" s="10" t="str">
        <f t="shared" si="290"/>
        <v/>
      </c>
      <c r="BF1843" s="8" t="str">
        <f t="shared" si="291"/>
        <v/>
      </c>
      <c r="BG1843" s="11" t="str">
        <f t="shared" si="292"/>
        <v/>
      </c>
      <c r="BH1843" s="8" t="str">
        <f t="shared" si="293"/>
        <v/>
      </c>
      <c r="BI1843" s="8" t="str">
        <f t="shared" si="294"/>
        <v/>
      </c>
      <c r="BJ1843" s="9" t="str">
        <f t="shared" si="295"/>
        <v/>
      </c>
      <c r="BK1843" s="9" t="str">
        <f>IF($B1843="","",COUNTIFS($B$5:$B1843,$B1843,$BF$5:$BF1843,$BF1843))</f>
        <v/>
      </c>
      <c r="BL1843" s="9" t="str">
        <f>IF($B1843="","",COUNTIFS($B$5:$B1843,$B1843,$BH$5:$BH1843,$BH1843))</f>
        <v/>
      </c>
      <c r="BM1843" s="9" t="str">
        <f t="shared" si="296"/>
        <v/>
      </c>
      <c r="BN1843" s="9" t="str">
        <f t="shared" si="297"/>
        <v/>
      </c>
      <c r="BO1843" s="9">
        <f t="shared" si="298"/>
        <v>0</v>
      </c>
      <c r="BR1843" s="12" t="str">
        <f t="shared" si="299"/>
        <v/>
      </c>
    </row>
    <row r="1844" spans="1:70" ht="14.25" customHeight="1">
      <c r="A1844" s="26"/>
      <c r="C1844" s="26"/>
      <c r="D1844" s="27"/>
      <c r="E1844" s="27"/>
      <c r="BE1844" s="10" t="str">
        <f t="shared" si="290"/>
        <v/>
      </c>
      <c r="BF1844" s="8" t="str">
        <f t="shared" si="291"/>
        <v/>
      </c>
      <c r="BG1844" s="11" t="str">
        <f t="shared" si="292"/>
        <v/>
      </c>
      <c r="BH1844" s="8" t="str">
        <f t="shared" si="293"/>
        <v/>
      </c>
      <c r="BI1844" s="8" t="str">
        <f t="shared" si="294"/>
        <v/>
      </c>
      <c r="BJ1844" s="9" t="str">
        <f t="shared" si="295"/>
        <v/>
      </c>
      <c r="BK1844" s="9" t="str">
        <f>IF($B1844="","",COUNTIFS($B$5:$B1844,$B1844,$BF$5:$BF1844,$BF1844))</f>
        <v/>
      </c>
      <c r="BL1844" s="9" t="str">
        <f>IF($B1844="","",COUNTIFS($B$5:$B1844,$B1844,$BH$5:$BH1844,$BH1844))</f>
        <v/>
      </c>
      <c r="BM1844" s="9" t="str">
        <f t="shared" si="296"/>
        <v/>
      </c>
      <c r="BN1844" s="9" t="str">
        <f t="shared" si="297"/>
        <v/>
      </c>
      <c r="BO1844" s="9">
        <f t="shared" si="298"/>
        <v>0</v>
      </c>
      <c r="BR1844" s="12" t="str">
        <f t="shared" si="299"/>
        <v/>
      </c>
    </row>
    <row r="1845" spans="1:70" ht="14.25" customHeight="1">
      <c r="A1845" s="26"/>
      <c r="C1845" s="26"/>
      <c r="D1845" s="27"/>
      <c r="E1845" s="27"/>
      <c r="BE1845" s="10" t="str">
        <f t="shared" si="290"/>
        <v/>
      </c>
      <c r="BF1845" s="8" t="str">
        <f t="shared" si="291"/>
        <v/>
      </c>
      <c r="BG1845" s="11" t="str">
        <f t="shared" si="292"/>
        <v/>
      </c>
      <c r="BH1845" s="8" t="str">
        <f t="shared" si="293"/>
        <v/>
      </c>
      <c r="BI1845" s="8" t="str">
        <f t="shared" si="294"/>
        <v/>
      </c>
      <c r="BJ1845" s="9" t="str">
        <f t="shared" si="295"/>
        <v/>
      </c>
      <c r="BK1845" s="9" t="str">
        <f>IF($B1845="","",COUNTIFS($B$5:$B1845,$B1845,$BF$5:$BF1845,$BF1845))</f>
        <v/>
      </c>
      <c r="BL1845" s="9" t="str">
        <f>IF($B1845="","",COUNTIFS($B$5:$B1845,$B1845,$BH$5:$BH1845,$BH1845))</f>
        <v/>
      </c>
      <c r="BM1845" s="9" t="str">
        <f t="shared" si="296"/>
        <v/>
      </c>
      <c r="BN1845" s="9" t="str">
        <f t="shared" si="297"/>
        <v/>
      </c>
      <c r="BO1845" s="9">
        <f t="shared" si="298"/>
        <v>0</v>
      </c>
      <c r="BR1845" s="12" t="str">
        <f t="shared" si="299"/>
        <v/>
      </c>
    </row>
    <row r="1846" spans="1:70" ht="14.25" customHeight="1">
      <c r="A1846" s="26"/>
      <c r="C1846" s="26"/>
      <c r="D1846" s="27"/>
      <c r="E1846" s="27"/>
      <c r="BE1846" s="10" t="str">
        <f t="shared" si="290"/>
        <v/>
      </c>
      <c r="BF1846" s="8" t="str">
        <f t="shared" si="291"/>
        <v/>
      </c>
      <c r="BG1846" s="11" t="str">
        <f t="shared" si="292"/>
        <v/>
      </c>
      <c r="BH1846" s="8" t="str">
        <f t="shared" si="293"/>
        <v/>
      </c>
      <c r="BI1846" s="8" t="str">
        <f t="shared" si="294"/>
        <v/>
      </c>
      <c r="BJ1846" s="9" t="str">
        <f t="shared" si="295"/>
        <v/>
      </c>
      <c r="BK1846" s="9" t="str">
        <f>IF($B1846="","",COUNTIFS($B$5:$B1846,$B1846,$BF$5:$BF1846,$BF1846))</f>
        <v/>
      </c>
      <c r="BL1846" s="9" t="str">
        <f>IF($B1846="","",COUNTIFS($B$5:$B1846,$B1846,$BH$5:$BH1846,$BH1846))</f>
        <v/>
      </c>
      <c r="BM1846" s="9" t="str">
        <f t="shared" si="296"/>
        <v/>
      </c>
      <c r="BN1846" s="9" t="str">
        <f t="shared" si="297"/>
        <v/>
      </c>
      <c r="BO1846" s="9">
        <f t="shared" si="298"/>
        <v>0</v>
      </c>
      <c r="BR1846" s="12" t="str">
        <f t="shared" si="299"/>
        <v/>
      </c>
    </row>
    <row r="1847" spans="1:70" ht="14.25" customHeight="1">
      <c r="A1847" s="26"/>
      <c r="C1847" s="26"/>
      <c r="D1847" s="27"/>
      <c r="E1847" s="27"/>
      <c r="BE1847" s="10" t="str">
        <f t="shared" si="290"/>
        <v/>
      </c>
      <c r="BF1847" s="8" t="str">
        <f t="shared" si="291"/>
        <v/>
      </c>
      <c r="BG1847" s="11" t="str">
        <f t="shared" si="292"/>
        <v/>
      </c>
      <c r="BH1847" s="8" t="str">
        <f t="shared" si="293"/>
        <v/>
      </c>
      <c r="BI1847" s="8" t="str">
        <f t="shared" si="294"/>
        <v/>
      </c>
      <c r="BJ1847" s="9" t="str">
        <f t="shared" si="295"/>
        <v/>
      </c>
      <c r="BK1847" s="9" t="str">
        <f>IF($B1847="","",COUNTIFS($B$5:$B1847,$B1847,$BF$5:$BF1847,$BF1847))</f>
        <v/>
      </c>
      <c r="BL1847" s="9" t="str">
        <f>IF($B1847="","",COUNTIFS($B$5:$B1847,$B1847,$BH$5:$BH1847,$BH1847))</f>
        <v/>
      </c>
      <c r="BM1847" s="9" t="str">
        <f t="shared" si="296"/>
        <v/>
      </c>
      <c r="BN1847" s="9" t="str">
        <f t="shared" si="297"/>
        <v/>
      </c>
      <c r="BO1847" s="9">
        <f t="shared" si="298"/>
        <v>0</v>
      </c>
      <c r="BR1847" s="12" t="str">
        <f t="shared" si="299"/>
        <v/>
      </c>
    </row>
    <row r="1848" spans="1:70" ht="14.25" customHeight="1">
      <c r="A1848" s="26"/>
      <c r="C1848" s="26"/>
      <c r="D1848" s="27"/>
      <c r="E1848" s="27"/>
      <c r="BE1848" s="10" t="str">
        <f t="shared" si="290"/>
        <v/>
      </c>
      <c r="BF1848" s="8" t="str">
        <f t="shared" si="291"/>
        <v/>
      </c>
      <c r="BG1848" s="11" t="str">
        <f t="shared" si="292"/>
        <v/>
      </c>
      <c r="BH1848" s="8" t="str">
        <f t="shared" si="293"/>
        <v/>
      </c>
      <c r="BI1848" s="8" t="str">
        <f t="shared" si="294"/>
        <v/>
      </c>
      <c r="BJ1848" s="9" t="str">
        <f t="shared" si="295"/>
        <v/>
      </c>
      <c r="BK1848" s="9" t="str">
        <f>IF($B1848="","",COUNTIFS($B$5:$B1848,$B1848,$BF$5:$BF1848,$BF1848))</f>
        <v/>
      </c>
      <c r="BL1848" s="9" t="str">
        <f>IF($B1848="","",COUNTIFS($B$5:$B1848,$B1848,$BH$5:$BH1848,$BH1848))</f>
        <v/>
      </c>
      <c r="BM1848" s="9" t="str">
        <f t="shared" si="296"/>
        <v/>
      </c>
      <c r="BN1848" s="9" t="str">
        <f t="shared" si="297"/>
        <v/>
      </c>
      <c r="BO1848" s="9">
        <f t="shared" si="298"/>
        <v>0</v>
      </c>
      <c r="BR1848" s="12" t="str">
        <f t="shared" si="299"/>
        <v/>
      </c>
    </row>
    <row r="1849" spans="1:70" ht="14.25" customHeight="1">
      <c r="A1849" s="26"/>
      <c r="C1849" s="26"/>
      <c r="D1849" s="27"/>
      <c r="E1849" s="27"/>
      <c r="BE1849" s="10" t="str">
        <f t="shared" si="290"/>
        <v/>
      </c>
      <c r="BF1849" s="8" t="str">
        <f t="shared" si="291"/>
        <v/>
      </c>
      <c r="BG1849" s="11" t="str">
        <f t="shared" si="292"/>
        <v/>
      </c>
      <c r="BH1849" s="8" t="str">
        <f t="shared" si="293"/>
        <v/>
      </c>
      <c r="BI1849" s="8" t="str">
        <f t="shared" si="294"/>
        <v/>
      </c>
      <c r="BJ1849" s="9" t="str">
        <f t="shared" si="295"/>
        <v/>
      </c>
      <c r="BK1849" s="9" t="str">
        <f>IF($B1849="","",COUNTIFS($B$5:$B1849,$B1849,$BF$5:$BF1849,$BF1849))</f>
        <v/>
      </c>
      <c r="BL1849" s="9" t="str">
        <f>IF($B1849="","",COUNTIFS($B$5:$B1849,$B1849,$BH$5:$BH1849,$BH1849))</f>
        <v/>
      </c>
      <c r="BM1849" s="9" t="str">
        <f t="shared" si="296"/>
        <v/>
      </c>
      <c r="BN1849" s="9" t="str">
        <f t="shared" si="297"/>
        <v/>
      </c>
      <c r="BO1849" s="9">
        <f t="shared" si="298"/>
        <v>0</v>
      </c>
      <c r="BR1849" s="12" t="str">
        <f t="shared" si="299"/>
        <v/>
      </c>
    </row>
    <row r="1850" spans="1:70" ht="14.25" customHeight="1">
      <c r="A1850" s="26"/>
      <c r="C1850" s="26"/>
      <c r="D1850" s="27"/>
      <c r="E1850" s="27"/>
      <c r="BE1850" s="10" t="str">
        <f t="shared" si="290"/>
        <v/>
      </c>
      <c r="BF1850" s="8" t="str">
        <f t="shared" si="291"/>
        <v/>
      </c>
      <c r="BG1850" s="11" t="str">
        <f t="shared" si="292"/>
        <v/>
      </c>
      <c r="BH1850" s="8" t="str">
        <f t="shared" si="293"/>
        <v/>
      </c>
      <c r="BI1850" s="8" t="str">
        <f t="shared" si="294"/>
        <v/>
      </c>
      <c r="BJ1850" s="9" t="str">
        <f t="shared" si="295"/>
        <v/>
      </c>
      <c r="BK1850" s="9" t="str">
        <f>IF($B1850="","",COUNTIFS($B$5:$B1850,$B1850,$BF$5:$BF1850,$BF1850))</f>
        <v/>
      </c>
      <c r="BL1850" s="9" t="str">
        <f>IF($B1850="","",COUNTIFS($B$5:$B1850,$B1850,$BH$5:$BH1850,$BH1850))</f>
        <v/>
      </c>
      <c r="BM1850" s="9" t="str">
        <f t="shared" si="296"/>
        <v/>
      </c>
      <c r="BN1850" s="9" t="str">
        <f t="shared" si="297"/>
        <v/>
      </c>
      <c r="BO1850" s="9">
        <f t="shared" si="298"/>
        <v>0</v>
      </c>
      <c r="BR1850" s="12" t="str">
        <f t="shared" si="299"/>
        <v/>
      </c>
    </row>
    <row r="1851" spans="1:70" ht="14.25" customHeight="1">
      <c r="A1851" s="26"/>
      <c r="C1851" s="26"/>
      <c r="D1851" s="27"/>
      <c r="E1851" s="27"/>
      <c r="BE1851" s="10" t="str">
        <f t="shared" si="290"/>
        <v/>
      </c>
      <c r="BF1851" s="8" t="str">
        <f t="shared" si="291"/>
        <v/>
      </c>
      <c r="BG1851" s="11" t="str">
        <f t="shared" si="292"/>
        <v/>
      </c>
      <c r="BH1851" s="8" t="str">
        <f t="shared" si="293"/>
        <v/>
      </c>
      <c r="BI1851" s="8" t="str">
        <f t="shared" si="294"/>
        <v/>
      </c>
      <c r="BJ1851" s="9" t="str">
        <f t="shared" si="295"/>
        <v/>
      </c>
      <c r="BK1851" s="9" t="str">
        <f>IF($B1851="","",COUNTIFS($B$5:$B1851,$B1851,$BF$5:$BF1851,$BF1851))</f>
        <v/>
      </c>
      <c r="BL1851" s="9" t="str">
        <f>IF($B1851="","",COUNTIFS($B$5:$B1851,$B1851,$BH$5:$BH1851,$BH1851))</f>
        <v/>
      </c>
      <c r="BM1851" s="9" t="str">
        <f t="shared" si="296"/>
        <v/>
      </c>
      <c r="BN1851" s="9" t="str">
        <f t="shared" si="297"/>
        <v/>
      </c>
      <c r="BO1851" s="9">
        <f t="shared" si="298"/>
        <v>0</v>
      </c>
      <c r="BR1851" s="12" t="str">
        <f t="shared" si="299"/>
        <v/>
      </c>
    </row>
    <row r="1852" spans="1:70" ht="14.25" customHeight="1">
      <c r="A1852" s="26"/>
      <c r="C1852" s="26"/>
      <c r="D1852" s="27"/>
      <c r="E1852" s="27"/>
      <c r="BE1852" s="10" t="str">
        <f t="shared" si="290"/>
        <v/>
      </c>
      <c r="BF1852" s="8" t="str">
        <f t="shared" si="291"/>
        <v/>
      </c>
      <c r="BG1852" s="11" t="str">
        <f t="shared" si="292"/>
        <v/>
      </c>
      <c r="BH1852" s="8" t="str">
        <f t="shared" si="293"/>
        <v/>
      </c>
      <c r="BI1852" s="8" t="str">
        <f t="shared" si="294"/>
        <v/>
      </c>
      <c r="BJ1852" s="9" t="str">
        <f t="shared" si="295"/>
        <v/>
      </c>
      <c r="BK1852" s="9" t="str">
        <f>IF($B1852="","",COUNTIFS($B$5:$B1852,$B1852,$BF$5:$BF1852,$BF1852))</f>
        <v/>
      </c>
      <c r="BL1852" s="9" t="str">
        <f>IF($B1852="","",COUNTIFS($B$5:$B1852,$B1852,$BH$5:$BH1852,$BH1852))</f>
        <v/>
      </c>
      <c r="BM1852" s="9" t="str">
        <f t="shared" si="296"/>
        <v/>
      </c>
      <c r="BN1852" s="9" t="str">
        <f t="shared" si="297"/>
        <v/>
      </c>
      <c r="BO1852" s="9">
        <f t="shared" si="298"/>
        <v>0</v>
      </c>
      <c r="BR1852" s="12" t="str">
        <f t="shared" si="299"/>
        <v/>
      </c>
    </row>
    <row r="1853" spans="1:70" ht="14.25" customHeight="1">
      <c r="A1853" s="26"/>
      <c r="C1853" s="26"/>
      <c r="D1853" s="27"/>
      <c r="E1853" s="27"/>
      <c r="BE1853" s="10" t="str">
        <f t="shared" si="290"/>
        <v/>
      </c>
      <c r="BF1853" s="8" t="str">
        <f t="shared" si="291"/>
        <v/>
      </c>
      <c r="BG1853" s="11" t="str">
        <f t="shared" si="292"/>
        <v/>
      </c>
      <c r="BH1853" s="8" t="str">
        <f t="shared" si="293"/>
        <v/>
      </c>
      <c r="BI1853" s="8" t="str">
        <f t="shared" si="294"/>
        <v/>
      </c>
      <c r="BJ1853" s="9" t="str">
        <f t="shared" si="295"/>
        <v/>
      </c>
      <c r="BK1853" s="9" t="str">
        <f>IF($B1853="","",COUNTIFS($B$5:$B1853,$B1853,$BF$5:$BF1853,$BF1853))</f>
        <v/>
      </c>
      <c r="BL1853" s="9" t="str">
        <f>IF($B1853="","",COUNTIFS($B$5:$B1853,$B1853,$BH$5:$BH1853,$BH1853))</f>
        <v/>
      </c>
      <c r="BM1853" s="9" t="str">
        <f t="shared" si="296"/>
        <v/>
      </c>
      <c r="BN1853" s="9" t="str">
        <f t="shared" si="297"/>
        <v/>
      </c>
      <c r="BO1853" s="9">
        <f t="shared" si="298"/>
        <v>0</v>
      </c>
      <c r="BR1853" s="12" t="str">
        <f t="shared" si="299"/>
        <v/>
      </c>
    </row>
    <row r="1854" spans="1:70" ht="14.25" customHeight="1">
      <c r="A1854" s="26"/>
      <c r="C1854" s="26"/>
      <c r="D1854" s="27"/>
      <c r="E1854" s="27"/>
      <c r="BE1854" s="10" t="str">
        <f t="shared" si="290"/>
        <v/>
      </c>
      <c r="BF1854" s="8" t="str">
        <f t="shared" si="291"/>
        <v/>
      </c>
      <c r="BG1854" s="11" t="str">
        <f t="shared" si="292"/>
        <v/>
      </c>
      <c r="BH1854" s="8" t="str">
        <f t="shared" si="293"/>
        <v/>
      </c>
      <c r="BI1854" s="8" t="str">
        <f t="shared" si="294"/>
        <v/>
      </c>
      <c r="BJ1854" s="9" t="str">
        <f t="shared" si="295"/>
        <v/>
      </c>
      <c r="BK1854" s="9" t="str">
        <f>IF($B1854="","",COUNTIFS($B$5:$B1854,$B1854,$BF$5:$BF1854,$BF1854))</f>
        <v/>
      </c>
      <c r="BL1854" s="9" t="str">
        <f>IF($B1854="","",COUNTIFS($B$5:$B1854,$B1854,$BH$5:$BH1854,$BH1854))</f>
        <v/>
      </c>
      <c r="BM1854" s="9" t="str">
        <f t="shared" si="296"/>
        <v/>
      </c>
      <c r="BN1854" s="9" t="str">
        <f t="shared" si="297"/>
        <v/>
      </c>
      <c r="BO1854" s="9">
        <f t="shared" si="298"/>
        <v>0</v>
      </c>
      <c r="BR1854" s="12" t="str">
        <f t="shared" si="299"/>
        <v/>
      </c>
    </row>
    <row r="1855" spans="1:70" ht="14.25" customHeight="1">
      <c r="A1855" s="26"/>
      <c r="C1855" s="26"/>
      <c r="D1855" s="27"/>
      <c r="E1855" s="27"/>
      <c r="BE1855" s="10" t="str">
        <f t="shared" si="290"/>
        <v/>
      </c>
      <c r="BF1855" s="8" t="str">
        <f t="shared" si="291"/>
        <v/>
      </c>
      <c r="BG1855" s="11" t="str">
        <f t="shared" si="292"/>
        <v/>
      </c>
      <c r="BH1855" s="8" t="str">
        <f t="shared" si="293"/>
        <v/>
      </c>
      <c r="BI1855" s="8" t="str">
        <f t="shared" si="294"/>
        <v/>
      </c>
      <c r="BJ1855" s="9" t="str">
        <f t="shared" si="295"/>
        <v/>
      </c>
      <c r="BK1855" s="9" t="str">
        <f>IF($B1855="","",COUNTIFS($B$5:$B1855,$B1855,$BF$5:$BF1855,$BF1855))</f>
        <v/>
      </c>
      <c r="BL1855" s="9" t="str">
        <f>IF($B1855="","",COUNTIFS($B$5:$B1855,$B1855,$BH$5:$BH1855,$BH1855))</f>
        <v/>
      </c>
      <c r="BM1855" s="9" t="str">
        <f t="shared" si="296"/>
        <v/>
      </c>
      <c r="BN1855" s="9" t="str">
        <f t="shared" si="297"/>
        <v/>
      </c>
      <c r="BO1855" s="9">
        <f t="shared" si="298"/>
        <v>0</v>
      </c>
      <c r="BR1855" s="12" t="str">
        <f t="shared" si="299"/>
        <v/>
      </c>
    </row>
    <row r="1856" spans="1:70" ht="14.25" customHeight="1">
      <c r="A1856" s="26"/>
      <c r="C1856" s="26"/>
      <c r="D1856" s="27"/>
      <c r="E1856" s="27"/>
      <c r="BE1856" s="10" t="str">
        <f t="shared" si="290"/>
        <v/>
      </c>
      <c r="BF1856" s="8" t="str">
        <f t="shared" si="291"/>
        <v/>
      </c>
      <c r="BG1856" s="11" t="str">
        <f t="shared" si="292"/>
        <v/>
      </c>
      <c r="BH1856" s="8" t="str">
        <f t="shared" si="293"/>
        <v/>
      </c>
      <c r="BI1856" s="8" t="str">
        <f t="shared" si="294"/>
        <v/>
      </c>
      <c r="BJ1856" s="9" t="str">
        <f t="shared" si="295"/>
        <v/>
      </c>
      <c r="BK1856" s="9" t="str">
        <f>IF($B1856="","",COUNTIFS($B$5:$B1856,$B1856,$BF$5:$BF1856,$BF1856))</f>
        <v/>
      </c>
      <c r="BL1856" s="9" t="str">
        <f>IF($B1856="","",COUNTIFS($B$5:$B1856,$B1856,$BH$5:$BH1856,$BH1856))</f>
        <v/>
      </c>
      <c r="BM1856" s="9" t="str">
        <f t="shared" si="296"/>
        <v/>
      </c>
      <c r="BN1856" s="9" t="str">
        <f t="shared" si="297"/>
        <v/>
      </c>
      <c r="BO1856" s="9">
        <f t="shared" si="298"/>
        <v>0</v>
      </c>
      <c r="BR1856" s="12" t="str">
        <f t="shared" si="299"/>
        <v/>
      </c>
    </row>
    <row r="1857" spans="1:70" ht="14.25" customHeight="1">
      <c r="A1857" s="26"/>
      <c r="C1857" s="26"/>
      <c r="D1857" s="27"/>
      <c r="E1857" s="27"/>
      <c r="BE1857" s="10" t="str">
        <f t="shared" si="290"/>
        <v/>
      </c>
      <c r="BF1857" s="8" t="str">
        <f t="shared" si="291"/>
        <v/>
      </c>
      <c r="BG1857" s="11" t="str">
        <f t="shared" si="292"/>
        <v/>
      </c>
      <c r="BH1857" s="8" t="str">
        <f t="shared" si="293"/>
        <v/>
      </c>
      <c r="BI1857" s="8" t="str">
        <f t="shared" si="294"/>
        <v/>
      </c>
      <c r="BJ1857" s="9" t="str">
        <f t="shared" si="295"/>
        <v/>
      </c>
      <c r="BK1857" s="9" t="str">
        <f>IF($B1857="","",COUNTIFS($B$5:$B1857,$B1857,$BF$5:$BF1857,$BF1857))</f>
        <v/>
      </c>
      <c r="BL1857" s="9" t="str">
        <f>IF($B1857="","",COUNTIFS($B$5:$B1857,$B1857,$BH$5:$BH1857,$BH1857))</f>
        <v/>
      </c>
      <c r="BM1857" s="9" t="str">
        <f t="shared" si="296"/>
        <v/>
      </c>
      <c r="BN1857" s="9" t="str">
        <f t="shared" si="297"/>
        <v/>
      </c>
      <c r="BO1857" s="9">
        <f t="shared" si="298"/>
        <v>0</v>
      </c>
      <c r="BR1857" s="12" t="str">
        <f t="shared" si="299"/>
        <v/>
      </c>
    </row>
    <row r="1858" spans="1:70" ht="14.25" customHeight="1">
      <c r="A1858" s="26"/>
      <c r="C1858" s="26"/>
      <c r="D1858" s="27"/>
      <c r="E1858" s="27"/>
      <c r="BE1858" s="10" t="str">
        <f t="shared" si="290"/>
        <v/>
      </c>
      <c r="BF1858" s="8" t="str">
        <f t="shared" si="291"/>
        <v/>
      </c>
      <c r="BG1858" s="11" t="str">
        <f t="shared" si="292"/>
        <v/>
      </c>
      <c r="BH1858" s="8" t="str">
        <f t="shared" si="293"/>
        <v/>
      </c>
      <c r="BI1858" s="8" t="str">
        <f t="shared" si="294"/>
        <v/>
      </c>
      <c r="BJ1858" s="9" t="str">
        <f t="shared" si="295"/>
        <v/>
      </c>
      <c r="BK1858" s="9" t="str">
        <f>IF($B1858="","",COUNTIFS($B$5:$B1858,$B1858,$BF$5:$BF1858,$BF1858))</f>
        <v/>
      </c>
      <c r="BL1858" s="9" t="str">
        <f>IF($B1858="","",COUNTIFS($B$5:$B1858,$B1858,$BH$5:$BH1858,$BH1858))</f>
        <v/>
      </c>
      <c r="BM1858" s="9" t="str">
        <f t="shared" si="296"/>
        <v/>
      </c>
      <c r="BN1858" s="9" t="str">
        <f t="shared" si="297"/>
        <v/>
      </c>
      <c r="BO1858" s="9">
        <f t="shared" si="298"/>
        <v>0</v>
      </c>
      <c r="BR1858" s="12" t="str">
        <f t="shared" si="299"/>
        <v/>
      </c>
    </row>
    <row r="1859" spans="1:70" ht="14.25" customHeight="1">
      <c r="A1859" s="26"/>
      <c r="C1859" s="26"/>
      <c r="D1859" s="27"/>
      <c r="E1859" s="27"/>
      <c r="BE1859" s="10" t="str">
        <f t="shared" si="290"/>
        <v/>
      </c>
      <c r="BF1859" s="8" t="str">
        <f t="shared" si="291"/>
        <v/>
      </c>
      <c r="BG1859" s="11" t="str">
        <f t="shared" si="292"/>
        <v/>
      </c>
      <c r="BH1859" s="8" t="str">
        <f t="shared" si="293"/>
        <v/>
      </c>
      <c r="BI1859" s="8" t="str">
        <f t="shared" si="294"/>
        <v/>
      </c>
      <c r="BJ1859" s="9" t="str">
        <f t="shared" si="295"/>
        <v/>
      </c>
      <c r="BK1859" s="9" t="str">
        <f>IF($B1859="","",COUNTIFS($B$5:$B1859,$B1859,$BF$5:$BF1859,$BF1859))</f>
        <v/>
      </c>
      <c r="BL1859" s="9" t="str">
        <f>IF($B1859="","",COUNTIFS($B$5:$B1859,$B1859,$BH$5:$BH1859,$BH1859))</f>
        <v/>
      </c>
      <c r="BM1859" s="9" t="str">
        <f t="shared" si="296"/>
        <v/>
      </c>
      <c r="BN1859" s="9" t="str">
        <f t="shared" si="297"/>
        <v/>
      </c>
      <c r="BO1859" s="9">
        <f t="shared" si="298"/>
        <v>0</v>
      </c>
      <c r="BR1859" s="12" t="str">
        <f t="shared" si="299"/>
        <v/>
      </c>
    </row>
    <row r="1860" spans="1:70" ht="14.25" customHeight="1">
      <c r="A1860" s="26"/>
      <c r="C1860" s="26"/>
      <c r="D1860" s="27"/>
      <c r="E1860" s="27"/>
      <c r="BE1860" s="10" t="str">
        <f t="shared" si="290"/>
        <v/>
      </c>
      <c r="BF1860" s="8" t="str">
        <f t="shared" si="291"/>
        <v/>
      </c>
      <c r="BG1860" s="11" t="str">
        <f t="shared" si="292"/>
        <v/>
      </c>
      <c r="BH1860" s="8" t="str">
        <f t="shared" si="293"/>
        <v/>
      </c>
      <c r="BI1860" s="8" t="str">
        <f t="shared" si="294"/>
        <v/>
      </c>
      <c r="BJ1860" s="9" t="str">
        <f t="shared" si="295"/>
        <v/>
      </c>
      <c r="BK1860" s="9" t="str">
        <f>IF($B1860="","",COUNTIFS($B$5:$B1860,$B1860,$BF$5:$BF1860,$BF1860))</f>
        <v/>
      </c>
      <c r="BL1860" s="9" t="str">
        <f>IF($B1860="","",COUNTIFS($B$5:$B1860,$B1860,$BH$5:$BH1860,$BH1860))</f>
        <v/>
      </c>
      <c r="BM1860" s="9" t="str">
        <f t="shared" si="296"/>
        <v/>
      </c>
      <c r="BN1860" s="9" t="str">
        <f t="shared" si="297"/>
        <v/>
      </c>
      <c r="BO1860" s="9">
        <f t="shared" si="298"/>
        <v>0</v>
      </c>
      <c r="BR1860" s="12" t="str">
        <f t="shared" si="299"/>
        <v/>
      </c>
    </row>
    <row r="1861" spans="1:70" ht="14.25" customHeight="1">
      <c r="A1861" s="26"/>
      <c r="C1861" s="26"/>
      <c r="D1861" s="27"/>
      <c r="E1861" s="27"/>
      <c r="BE1861" s="10" t="str">
        <f t="shared" si="290"/>
        <v/>
      </c>
      <c r="BF1861" s="8" t="str">
        <f t="shared" si="291"/>
        <v/>
      </c>
      <c r="BG1861" s="11" t="str">
        <f t="shared" si="292"/>
        <v/>
      </c>
      <c r="BH1861" s="8" t="str">
        <f t="shared" si="293"/>
        <v/>
      </c>
      <c r="BI1861" s="8" t="str">
        <f t="shared" si="294"/>
        <v/>
      </c>
      <c r="BJ1861" s="9" t="str">
        <f t="shared" si="295"/>
        <v/>
      </c>
      <c r="BK1861" s="9" t="str">
        <f>IF($B1861="","",COUNTIFS($B$5:$B1861,$B1861,$BF$5:$BF1861,$BF1861))</f>
        <v/>
      </c>
      <c r="BL1861" s="9" t="str">
        <f>IF($B1861="","",COUNTIFS($B$5:$B1861,$B1861,$BH$5:$BH1861,$BH1861))</f>
        <v/>
      </c>
      <c r="BM1861" s="9" t="str">
        <f t="shared" si="296"/>
        <v/>
      </c>
      <c r="BN1861" s="9" t="str">
        <f t="shared" si="297"/>
        <v/>
      </c>
      <c r="BO1861" s="9">
        <f t="shared" si="298"/>
        <v>0</v>
      </c>
      <c r="BR1861" s="12" t="str">
        <f t="shared" si="299"/>
        <v/>
      </c>
    </row>
    <row r="1862" spans="1:70" ht="14.25" customHeight="1">
      <c r="A1862" s="26"/>
      <c r="C1862" s="26"/>
      <c r="D1862" s="27"/>
      <c r="E1862" s="27"/>
      <c r="BE1862" s="10" t="str">
        <f t="shared" si="290"/>
        <v/>
      </c>
      <c r="BF1862" s="8" t="str">
        <f t="shared" si="291"/>
        <v/>
      </c>
      <c r="BG1862" s="11" t="str">
        <f t="shared" si="292"/>
        <v/>
      </c>
      <c r="BH1862" s="8" t="str">
        <f t="shared" si="293"/>
        <v/>
      </c>
      <c r="BI1862" s="8" t="str">
        <f t="shared" si="294"/>
        <v/>
      </c>
      <c r="BJ1862" s="9" t="str">
        <f t="shared" si="295"/>
        <v/>
      </c>
      <c r="BK1862" s="9" t="str">
        <f>IF($B1862="","",COUNTIFS($B$5:$B1862,$B1862,$BF$5:$BF1862,$BF1862))</f>
        <v/>
      </c>
      <c r="BL1862" s="9" t="str">
        <f>IF($B1862="","",COUNTIFS($B$5:$B1862,$B1862,$BH$5:$BH1862,$BH1862))</f>
        <v/>
      </c>
      <c r="BM1862" s="9" t="str">
        <f t="shared" si="296"/>
        <v/>
      </c>
      <c r="BN1862" s="9" t="str">
        <f t="shared" si="297"/>
        <v/>
      </c>
      <c r="BO1862" s="9">
        <f t="shared" si="298"/>
        <v>0</v>
      </c>
      <c r="BR1862" s="12" t="str">
        <f t="shared" si="299"/>
        <v/>
      </c>
    </row>
    <row r="1863" spans="1:70" ht="14.25" customHeight="1">
      <c r="A1863" s="26"/>
      <c r="C1863" s="26"/>
      <c r="D1863" s="27"/>
      <c r="E1863" s="27"/>
      <c r="BE1863" s="10" t="str">
        <f t="shared" si="290"/>
        <v/>
      </c>
      <c r="BF1863" s="8" t="str">
        <f t="shared" si="291"/>
        <v/>
      </c>
      <c r="BG1863" s="11" t="str">
        <f t="shared" si="292"/>
        <v/>
      </c>
      <c r="BH1863" s="8" t="str">
        <f t="shared" si="293"/>
        <v/>
      </c>
      <c r="BI1863" s="8" t="str">
        <f t="shared" si="294"/>
        <v/>
      </c>
      <c r="BJ1863" s="9" t="str">
        <f t="shared" si="295"/>
        <v/>
      </c>
      <c r="BK1863" s="9" t="str">
        <f>IF($B1863="","",COUNTIFS($B$5:$B1863,$B1863,$BF$5:$BF1863,$BF1863))</f>
        <v/>
      </c>
      <c r="BL1863" s="9" t="str">
        <f>IF($B1863="","",COUNTIFS($B$5:$B1863,$B1863,$BH$5:$BH1863,$BH1863))</f>
        <v/>
      </c>
      <c r="BM1863" s="9" t="str">
        <f t="shared" si="296"/>
        <v/>
      </c>
      <c r="BN1863" s="9" t="str">
        <f t="shared" si="297"/>
        <v/>
      </c>
      <c r="BO1863" s="9">
        <f t="shared" si="298"/>
        <v>0</v>
      </c>
      <c r="BR1863" s="12" t="str">
        <f t="shared" si="299"/>
        <v/>
      </c>
    </row>
    <row r="1864" spans="1:70" ht="14.25" customHeight="1">
      <c r="A1864" s="26"/>
      <c r="C1864" s="26"/>
      <c r="D1864" s="27"/>
      <c r="E1864" s="27"/>
      <c r="BE1864" s="10" t="str">
        <f t="shared" si="290"/>
        <v/>
      </c>
      <c r="BF1864" s="8" t="str">
        <f t="shared" si="291"/>
        <v/>
      </c>
      <c r="BG1864" s="11" t="str">
        <f t="shared" si="292"/>
        <v/>
      </c>
      <c r="BH1864" s="8" t="str">
        <f t="shared" si="293"/>
        <v/>
      </c>
      <c r="BI1864" s="8" t="str">
        <f t="shared" si="294"/>
        <v/>
      </c>
      <c r="BJ1864" s="9" t="str">
        <f t="shared" si="295"/>
        <v/>
      </c>
      <c r="BK1864" s="9" t="str">
        <f>IF($B1864="","",COUNTIFS($B$5:$B1864,$B1864,$BF$5:$BF1864,$BF1864))</f>
        <v/>
      </c>
      <c r="BL1864" s="9" t="str">
        <f>IF($B1864="","",COUNTIFS($B$5:$B1864,$B1864,$BH$5:$BH1864,$BH1864))</f>
        <v/>
      </c>
      <c r="BM1864" s="9" t="str">
        <f t="shared" si="296"/>
        <v/>
      </c>
      <c r="BN1864" s="9" t="str">
        <f t="shared" si="297"/>
        <v/>
      </c>
      <c r="BO1864" s="9">
        <f t="shared" si="298"/>
        <v>0</v>
      </c>
      <c r="BR1864" s="12" t="str">
        <f t="shared" si="299"/>
        <v/>
      </c>
    </row>
    <row r="1865" spans="1:70" ht="14.25" customHeight="1">
      <c r="A1865" s="26"/>
      <c r="C1865" s="26"/>
      <c r="D1865" s="27"/>
      <c r="E1865" s="27"/>
      <c r="BE1865" s="10" t="str">
        <f t="shared" si="290"/>
        <v/>
      </c>
      <c r="BF1865" s="8" t="str">
        <f t="shared" si="291"/>
        <v/>
      </c>
      <c r="BG1865" s="11" t="str">
        <f t="shared" si="292"/>
        <v/>
      </c>
      <c r="BH1865" s="8" t="str">
        <f t="shared" si="293"/>
        <v/>
      </c>
      <c r="BI1865" s="8" t="str">
        <f t="shared" si="294"/>
        <v/>
      </c>
      <c r="BJ1865" s="9" t="str">
        <f t="shared" si="295"/>
        <v/>
      </c>
      <c r="BK1865" s="9" t="str">
        <f>IF($B1865="","",COUNTIFS($B$5:$B1865,$B1865,$BF$5:$BF1865,$BF1865))</f>
        <v/>
      </c>
      <c r="BL1865" s="9" t="str">
        <f>IF($B1865="","",COUNTIFS($B$5:$B1865,$B1865,$BH$5:$BH1865,$BH1865))</f>
        <v/>
      </c>
      <c r="BM1865" s="9" t="str">
        <f t="shared" si="296"/>
        <v/>
      </c>
      <c r="BN1865" s="9" t="str">
        <f t="shared" si="297"/>
        <v/>
      </c>
      <c r="BO1865" s="9">
        <f t="shared" si="298"/>
        <v>0</v>
      </c>
      <c r="BR1865" s="12" t="str">
        <f t="shared" si="299"/>
        <v/>
      </c>
    </row>
    <row r="1866" spans="1:70" ht="14.25" customHeight="1">
      <c r="A1866" s="26"/>
      <c r="C1866" s="26"/>
      <c r="D1866" s="27"/>
      <c r="E1866" s="27"/>
      <c r="BE1866" s="10" t="str">
        <f t="shared" si="290"/>
        <v/>
      </c>
      <c r="BF1866" s="8" t="str">
        <f t="shared" si="291"/>
        <v/>
      </c>
      <c r="BG1866" s="11" t="str">
        <f t="shared" si="292"/>
        <v/>
      </c>
      <c r="BH1866" s="8" t="str">
        <f t="shared" si="293"/>
        <v/>
      </c>
      <c r="BI1866" s="8" t="str">
        <f t="shared" si="294"/>
        <v/>
      </c>
      <c r="BJ1866" s="9" t="str">
        <f t="shared" si="295"/>
        <v/>
      </c>
      <c r="BK1866" s="9" t="str">
        <f>IF($B1866="","",COUNTIFS($B$5:$B1866,$B1866,$BF$5:$BF1866,$BF1866))</f>
        <v/>
      </c>
      <c r="BL1866" s="9" t="str">
        <f>IF($B1866="","",COUNTIFS($B$5:$B1866,$B1866,$BH$5:$BH1866,$BH1866))</f>
        <v/>
      </c>
      <c r="BM1866" s="9" t="str">
        <f t="shared" si="296"/>
        <v/>
      </c>
      <c r="BN1866" s="9" t="str">
        <f t="shared" si="297"/>
        <v/>
      </c>
      <c r="BO1866" s="9">
        <f t="shared" si="298"/>
        <v>0</v>
      </c>
      <c r="BR1866" s="12" t="str">
        <f t="shared" si="299"/>
        <v/>
      </c>
    </row>
    <row r="1867" spans="1:70" ht="14.25" customHeight="1">
      <c r="A1867" s="26"/>
      <c r="C1867" s="26"/>
      <c r="D1867" s="27"/>
      <c r="E1867" s="27"/>
      <c r="BE1867" s="10" t="str">
        <f t="shared" si="290"/>
        <v/>
      </c>
      <c r="BF1867" s="8" t="str">
        <f t="shared" si="291"/>
        <v/>
      </c>
      <c r="BG1867" s="11" t="str">
        <f t="shared" si="292"/>
        <v/>
      </c>
      <c r="BH1867" s="8" t="str">
        <f t="shared" si="293"/>
        <v/>
      </c>
      <c r="BI1867" s="8" t="str">
        <f t="shared" si="294"/>
        <v/>
      </c>
      <c r="BJ1867" s="9" t="str">
        <f t="shared" si="295"/>
        <v/>
      </c>
      <c r="BK1867" s="9" t="str">
        <f>IF($B1867="","",COUNTIFS($B$5:$B1867,$B1867,$BF$5:$BF1867,$BF1867))</f>
        <v/>
      </c>
      <c r="BL1867" s="9" t="str">
        <f>IF($B1867="","",COUNTIFS($B$5:$B1867,$B1867,$BH$5:$BH1867,$BH1867))</f>
        <v/>
      </c>
      <c r="BM1867" s="9" t="str">
        <f t="shared" si="296"/>
        <v/>
      </c>
      <c r="BN1867" s="9" t="str">
        <f t="shared" si="297"/>
        <v/>
      </c>
      <c r="BO1867" s="9">
        <f t="shared" si="298"/>
        <v>0</v>
      </c>
      <c r="BR1867" s="12" t="str">
        <f t="shared" si="299"/>
        <v/>
      </c>
    </row>
    <row r="1868" spans="1:70" ht="14.25" customHeight="1">
      <c r="A1868" s="26"/>
      <c r="C1868" s="26"/>
      <c r="D1868" s="27"/>
      <c r="E1868" s="27"/>
      <c r="BE1868" s="10" t="str">
        <f t="shared" si="290"/>
        <v/>
      </c>
      <c r="BF1868" s="8" t="str">
        <f t="shared" si="291"/>
        <v/>
      </c>
      <c r="BG1868" s="11" t="str">
        <f t="shared" si="292"/>
        <v/>
      </c>
      <c r="BH1868" s="8" t="str">
        <f t="shared" si="293"/>
        <v/>
      </c>
      <c r="BI1868" s="8" t="str">
        <f t="shared" si="294"/>
        <v/>
      </c>
      <c r="BJ1868" s="9" t="str">
        <f t="shared" si="295"/>
        <v/>
      </c>
      <c r="BK1868" s="9" t="str">
        <f>IF($B1868="","",COUNTIFS($B$5:$B1868,$B1868,$BF$5:$BF1868,$BF1868))</f>
        <v/>
      </c>
      <c r="BL1868" s="9" t="str">
        <f>IF($B1868="","",COUNTIFS($B$5:$B1868,$B1868,$BH$5:$BH1868,$BH1868))</f>
        <v/>
      </c>
      <c r="BM1868" s="9" t="str">
        <f t="shared" si="296"/>
        <v/>
      </c>
      <c r="BN1868" s="9" t="str">
        <f t="shared" si="297"/>
        <v/>
      </c>
      <c r="BO1868" s="9">
        <f t="shared" si="298"/>
        <v>0</v>
      </c>
      <c r="BR1868" s="12" t="str">
        <f t="shared" si="299"/>
        <v/>
      </c>
    </row>
    <row r="1869" spans="1:70" ht="14.25" customHeight="1">
      <c r="A1869" s="26"/>
      <c r="C1869" s="26"/>
      <c r="D1869" s="27"/>
      <c r="E1869" s="27"/>
      <c r="BE1869" s="10" t="str">
        <f t="shared" si="290"/>
        <v/>
      </c>
      <c r="BF1869" s="8" t="str">
        <f t="shared" si="291"/>
        <v/>
      </c>
      <c r="BG1869" s="11" t="str">
        <f t="shared" si="292"/>
        <v/>
      </c>
      <c r="BH1869" s="8" t="str">
        <f t="shared" si="293"/>
        <v/>
      </c>
      <c r="BI1869" s="8" t="str">
        <f t="shared" si="294"/>
        <v/>
      </c>
      <c r="BJ1869" s="9" t="str">
        <f t="shared" si="295"/>
        <v/>
      </c>
      <c r="BK1869" s="9" t="str">
        <f>IF($B1869="","",COUNTIFS($B$5:$B1869,$B1869,$BF$5:$BF1869,$BF1869))</f>
        <v/>
      </c>
      <c r="BL1869" s="9" t="str">
        <f>IF($B1869="","",COUNTIFS($B$5:$B1869,$B1869,$BH$5:$BH1869,$BH1869))</f>
        <v/>
      </c>
      <c r="BM1869" s="9" t="str">
        <f t="shared" si="296"/>
        <v/>
      </c>
      <c r="BN1869" s="9" t="str">
        <f t="shared" si="297"/>
        <v/>
      </c>
      <c r="BO1869" s="9">
        <f t="shared" si="298"/>
        <v>0</v>
      </c>
      <c r="BR1869" s="12" t="str">
        <f t="shared" si="299"/>
        <v/>
      </c>
    </row>
    <row r="1870" spans="1:70" ht="14.25" customHeight="1">
      <c r="A1870" s="26"/>
      <c r="C1870" s="26"/>
      <c r="D1870" s="27"/>
      <c r="E1870" s="27"/>
      <c r="BE1870" s="10" t="str">
        <f t="shared" si="290"/>
        <v/>
      </c>
      <c r="BF1870" s="8" t="str">
        <f t="shared" si="291"/>
        <v/>
      </c>
      <c r="BG1870" s="11" t="str">
        <f t="shared" si="292"/>
        <v/>
      </c>
      <c r="BH1870" s="8" t="str">
        <f t="shared" si="293"/>
        <v/>
      </c>
      <c r="BI1870" s="8" t="str">
        <f t="shared" si="294"/>
        <v/>
      </c>
      <c r="BJ1870" s="9" t="str">
        <f t="shared" si="295"/>
        <v/>
      </c>
      <c r="BK1870" s="9" t="str">
        <f>IF($B1870="","",COUNTIFS($B$5:$B1870,$B1870,$BF$5:$BF1870,$BF1870))</f>
        <v/>
      </c>
      <c r="BL1870" s="9" t="str">
        <f>IF($B1870="","",COUNTIFS($B$5:$B1870,$B1870,$BH$5:$BH1870,$BH1870))</f>
        <v/>
      </c>
      <c r="BM1870" s="9" t="str">
        <f t="shared" si="296"/>
        <v/>
      </c>
      <c r="BN1870" s="9" t="str">
        <f t="shared" si="297"/>
        <v/>
      </c>
      <c r="BO1870" s="9">
        <f t="shared" si="298"/>
        <v>0</v>
      </c>
      <c r="BR1870" s="12" t="str">
        <f t="shared" si="299"/>
        <v/>
      </c>
    </row>
    <row r="1871" spans="1:70" ht="14.25" customHeight="1">
      <c r="A1871" s="26"/>
      <c r="C1871" s="26"/>
      <c r="D1871" s="27"/>
      <c r="E1871" s="27"/>
      <c r="BE1871" s="10" t="str">
        <f t="shared" si="290"/>
        <v/>
      </c>
      <c r="BF1871" s="8" t="str">
        <f t="shared" si="291"/>
        <v/>
      </c>
      <c r="BG1871" s="11" t="str">
        <f t="shared" si="292"/>
        <v/>
      </c>
      <c r="BH1871" s="8" t="str">
        <f t="shared" si="293"/>
        <v/>
      </c>
      <c r="BI1871" s="8" t="str">
        <f t="shared" si="294"/>
        <v/>
      </c>
      <c r="BJ1871" s="9" t="str">
        <f t="shared" si="295"/>
        <v/>
      </c>
      <c r="BK1871" s="9" t="str">
        <f>IF($B1871="","",COUNTIFS($B$5:$B1871,$B1871,$BF$5:$BF1871,$BF1871))</f>
        <v/>
      </c>
      <c r="BL1871" s="9" t="str">
        <f>IF($B1871="","",COUNTIFS($B$5:$B1871,$B1871,$BH$5:$BH1871,$BH1871))</f>
        <v/>
      </c>
      <c r="BM1871" s="9" t="str">
        <f t="shared" si="296"/>
        <v/>
      </c>
      <c r="BN1871" s="9" t="str">
        <f t="shared" si="297"/>
        <v/>
      </c>
      <c r="BO1871" s="9">
        <f t="shared" si="298"/>
        <v>0</v>
      </c>
      <c r="BR1871" s="12" t="str">
        <f t="shared" si="299"/>
        <v/>
      </c>
    </row>
    <row r="1872" spans="1:70" ht="14.25" customHeight="1">
      <c r="A1872" s="26"/>
      <c r="C1872" s="26"/>
      <c r="D1872" s="27"/>
      <c r="E1872" s="27"/>
      <c r="BE1872" s="10" t="str">
        <f t="shared" si="290"/>
        <v/>
      </c>
      <c r="BF1872" s="8" t="str">
        <f t="shared" si="291"/>
        <v/>
      </c>
      <c r="BG1872" s="11" t="str">
        <f t="shared" si="292"/>
        <v/>
      </c>
      <c r="BH1872" s="8" t="str">
        <f t="shared" si="293"/>
        <v/>
      </c>
      <c r="BI1872" s="8" t="str">
        <f t="shared" si="294"/>
        <v/>
      </c>
      <c r="BJ1872" s="9" t="str">
        <f t="shared" si="295"/>
        <v/>
      </c>
      <c r="BK1872" s="9" t="str">
        <f>IF($B1872="","",COUNTIFS($B$5:$B1872,$B1872,$BF$5:$BF1872,$BF1872))</f>
        <v/>
      </c>
      <c r="BL1872" s="9" t="str">
        <f>IF($B1872="","",COUNTIFS($B$5:$B1872,$B1872,$BH$5:$BH1872,$BH1872))</f>
        <v/>
      </c>
      <c r="BM1872" s="9" t="str">
        <f t="shared" si="296"/>
        <v/>
      </c>
      <c r="BN1872" s="9" t="str">
        <f t="shared" si="297"/>
        <v/>
      </c>
      <c r="BO1872" s="9">
        <f t="shared" si="298"/>
        <v>0</v>
      </c>
      <c r="BR1872" s="12" t="str">
        <f t="shared" si="299"/>
        <v/>
      </c>
    </row>
    <row r="1873" spans="1:70" ht="14.25" customHeight="1">
      <c r="A1873" s="26"/>
      <c r="C1873" s="26"/>
      <c r="D1873" s="27"/>
      <c r="E1873" s="27"/>
      <c r="BE1873" s="10" t="str">
        <f t="shared" si="290"/>
        <v/>
      </c>
      <c r="BF1873" s="8" t="str">
        <f t="shared" si="291"/>
        <v/>
      </c>
      <c r="BG1873" s="11" t="str">
        <f t="shared" si="292"/>
        <v/>
      </c>
      <c r="BH1873" s="8" t="str">
        <f t="shared" si="293"/>
        <v/>
      </c>
      <c r="BI1873" s="8" t="str">
        <f t="shared" si="294"/>
        <v/>
      </c>
      <c r="BJ1873" s="9" t="str">
        <f t="shared" si="295"/>
        <v/>
      </c>
      <c r="BK1873" s="9" t="str">
        <f>IF($B1873="","",COUNTIFS($B$5:$B1873,$B1873,$BF$5:$BF1873,$BF1873))</f>
        <v/>
      </c>
      <c r="BL1873" s="9" t="str">
        <f>IF($B1873="","",COUNTIFS($B$5:$B1873,$B1873,$BH$5:$BH1873,$BH1873))</f>
        <v/>
      </c>
      <c r="BM1873" s="9" t="str">
        <f t="shared" si="296"/>
        <v/>
      </c>
      <c r="BN1873" s="9" t="str">
        <f t="shared" si="297"/>
        <v/>
      </c>
      <c r="BO1873" s="9">
        <f t="shared" si="298"/>
        <v>0</v>
      </c>
      <c r="BR1873" s="12" t="str">
        <f t="shared" si="299"/>
        <v/>
      </c>
    </row>
    <row r="1874" spans="1:70" ht="14.25" customHeight="1">
      <c r="A1874" s="26"/>
      <c r="C1874" s="26"/>
      <c r="D1874" s="27"/>
      <c r="E1874" s="27"/>
      <c r="BE1874" s="10" t="str">
        <f t="shared" si="290"/>
        <v/>
      </c>
      <c r="BF1874" s="8" t="str">
        <f t="shared" si="291"/>
        <v/>
      </c>
      <c r="BG1874" s="11" t="str">
        <f t="shared" si="292"/>
        <v/>
      </c>
      <c r="BH1874" s="8" t="str">
        <f t="shared" si="293"/>
        <v/>
      </c>
      <c r="BI1874" s="8" t="str">
        <f t="shared" si="294"/>
        <v/>
      </c>
      <c r="BJ1874" s="9" t="str">
        <f t="shared" si="295"/>
        <v/>
      </c>
      <c r="BK1874" s="9" t="str">
        <f>IF($B1874="","",COUNTIFS($B$5:$B1874,$B1874,$BF$5:$BF1874,$BF1874))</f>
        <v/>
      </c>
      <c r="BL1874" s="9" t="str">
        <f>IF($B1874="","",COUNTIFS($B$5:$B1874,$B1874,$BH$5:$BH1874,$BH1874))</f>
        <v/>
      </c>
      <c r="BM1874" s="9" t="str">
        <f t="shared" si="296"/>
        <v/>
      </c>
      <c r="BN1874" s="9" t="str">
        <f t="shared" si="297"/>
        <v/>
      </c>
      <c r="BO1874" s="9">
        <f t="shared" si="298"/>
        <v>0</v>
      </c>
      <c r="BR1874" s="12" t="str">
        <f t="shared" si="299"/>
        <v/>
      </c>
    </row>
    <row r="1875" spans="1:70" ht="14.25" customHeight="1">
      <c r="A1875" s="26"/>
      <c r="C1875" s="26"/>
      <c r="D1875" s="27"/>
      <c r="E1875" s="27"/>
      <c r="BE1875" s="10" t="str">
        <f t="shared" si="290"/>
        <v/>
      </c>
      <c r="BF1875" s="8" t="str">
        <f t="shared" si="291"/>
        <v/>
      </c>
      <c r="BG1875" s="11" t="str">
        <f t="shared" si="292"/>
        <v/>
      </c>
      <c r="BH1875" s="8" t="str">
        <f t="shared" si="293"/>
        <v/>
      </c>
      <c r="BI1875" s="8" t="str">
        <f t="shared" si="294"/>
        <v/>
      </c>
      <c r="BJ1875" s="9" t="str">
        <f t="shared" si="295"/>
        <v/>
      </c>
      <c r="BK1875" s="9" t="str">
        <f>IF($B1875="","",COUNTIFS($B$5:$B1875,$B1875,$BF$5:$BF1875,$BF1875))</f>
        <v/>
      </c>
      <c r="BL1875" s="9" t="str">
        <f>IF($B1875="","",COUNTIFS($B$5:$B1875,$B1875,$BH$5:$BH1875,$BH1875))</f>
        <v/>
      </c>
      <c r="BM1875" s="9" t="str">
        <f t="shared" si="296"/>
        <v/>
      </c>
      <c r="BN1875" s="9" t="str">
        <f t="shared" si="297"/>
        <v/>
      </c>
      <c r="BO1875" s="9">
        <f t="shared" si="298"/>
        <v>0</v>
      </c>
      <c r="BR1875" s="12" t="str">
        <f t="shared" si="299"/>
        <v/>
      </c>
    </row>
    <row r="1876" spans="1:70" ht="14.25" customHeight="1">
      <c r="A1876" s="26"/>
      <c r="C1876" s="26"/>
      <c r="D1876" s="27"/>
      <c r="E1876" s="27"/>
      <c r="BE1876" s="10" t="str">
        <f t="shared" si="290"/>
        <v/>
      </c>
      <c r="BF1876" s="8" t="str">
        <f t="shared" si="291"/>
        <v/>
      </c>
      <c r="BG1876" s="11" t="str">
        <f t="shared" si="292"/>
        <v/>
      </c>
      <c r="BH1876" s="8" t="str">
        <f t="shared" si="293"/>
        <v/>
      </c>
      <c r="BI1876" s="8" t="str">
        <f t="shared" si="294"/>
        <v/>
      </c>
      <c r="BJ1876" s="9" t="str">
        <f t="shared" si="295"/>
        <v/>
      </c>
      <c r="BK1876" s="9" t="str">
        <f>IF($B1876="","",COUNTIFS($B$5:$B1876,$B1876,$BF$5:$BF1876,$BF1876))</f>
        <v/>
      </c>
      <c r="BL1876" s="9" t="str">
        <f>IF($B1876="","",COUNTIFS($B$5:$B1876,$B1876,$BH$5:$BH1876,$BH1876))</f>
        <v/>
      </c>
      <c r="BM1876" s="9" t="str">
        <f t="shared" si="296"/>
        <v/>
      </c>
      <c r="BN1876" s="9" t="str">
        <f t="shared" si="297"/>
        <v/>
      </c>
      <c r="BO1876" s="9">
        <f t="shared" si="298"/>
        <v>0</v>
      </c>
      <c r="BR1876" s="12" t="str">
        <f t="shared" si="299"/>
        <v/>
      </c>
    </row>
    <row r="1877" spans="1:70" ht="14.25" customHeight="1">
      <c r="A1877" s="26"/>
      <c r="C1877" s="26"/>
      <c r="D1877" s="27"/>
      <c r="E1877" s="27"/>
      <c r="BE1877" s="10" t="str">
        <f t="shared" si="290"/>
        <v/>
      </c>
      <c r="BF1877" s="8" t="str">
        <f t="shared" si="291"/>
        <v/>
      </c>
      <c r="BG1877" s="11" t="str">
        <f t="shared" si="292"/>
        <v/>
      </c>
      <c r="BH1877" s="8" t="str">
        <f t="shared" si="293"/>
        <v/>
      </c>
      <c r="BI1877" s="8" t="str">
        <f t="shared" si="294"/>
        <v/>
      </c>
      <c r="BJ1877" s="9" t="str">
        <f t="shared" si="295"/>
        <v/>
      </c>
      <c r="BK1877" s="9" t="str">
        <f>IF($B1877="","",COUNTIFS($B$5:$B1877,$B1877,$BF$5:$BF1877,$BF1877))</f>
        <v/>
      </c>
      <c r="BL1877" s="9" t="str">
        <f>IF($B1877="","",COUNTIFS($B$5:$B1877,$B1877,$BH$5:$BH1877,$BH1877))</f>
        <v/>
      </c>
      <c r="BM1877" s="9" t="str">
        <f t="shared" si="296"/>
        <v/>
      </c>
      <c r="BN1877" s="9" t="str">
        <f t="shared" si="297"/>
        <v/>
      </c>
      <c r="BO1877" s="9">
        <f t="shared" si="298"/>
        <v>0</v>
      </c>
      <c r="BR1877" s="12" t="str">
        <f t="shared" si="299"/>
        <v/>
      </c>
    </row>
    <row r="1878" spans="1:70" ht="14.25" customHeight="1">
      <c r="A1878" s="26"/>
      <c r="C1878" s="26"/>
      <c r="D1878" s="27"/>
      <c r="E1878" s="27"/>
      <c r="BE1878" s="10" t="str">
        <f t="shared" si="290"/>
        <v/>
      </c>
      <c r="BF1878" s="8" t="str">
        <f t="shared" si="291"/>
        <v/>
      </c>
      <c r="BG1878" s="11" t="str">
        <f t="shared" si="292"/>
        <v/>
      </c>
      <c r="BH1878" s="8" t="str">
        <f t="shared" si="293"/>
        <v/>
      </c>
      <c r="BI1878" s="8" t="str">
        <f t="shared" si="294"/>
        <v/>
      </c>
      <c r="BJ1878" s="9" t="str">
        <f t="shared" si="295"/>
        <v/>
      </c>
      <c r="BK1878" s="9" t="str">
        <f>IF($B1878="","",COUNTIFS($B$5:$B1878,$B1878,$BF$5:$BF1878,$BF1878))</f>
        <v/>
      </c>
      <c r="BL1878" s="9" t="str">
        <f>IF($B1878="","",COUNTIFS($B$5:$B1878,$B1878,$BH$5:$BH1878,$BH1878))</f>
        <v/>
      </c>
      <c r="BM1878" s="9" t="str">
        <f t="shared" si="296"/>
        <v/>
      </c>
      <c r="BN1878" s="9" t="str">
        <f t="shared" si="297"/>
        <v/>
      </c>
      <c r="BO1878" s="9">
        <f t="shared" si="298"/>
        <v>0</v>
      </c>
      <c r="BR1878" s="12" t="str">
        <f t="shared" si="299"/>
        <v/>
      </c>
    </row>
    <row r="1879" spans="1:70" ht="14.25" customHeight="1">
      <c r="A1879" s="26"/>
      <c r="C1879" s="26"/>
      <c r="D1879" s="27"/>
      <c r="E1879" s="27"/>
      <c r="BE1879" s="10" t="str">
        <f t="shared" si="290"/>
        <v/>
      </c>
      <c r="BF1879" s="8" t="str">
        <f t="shared" si="291"/>
        <v/>
      </c>
      <c r="BG1879" s="11" t="str">
        <f t="shared" si="292"/>
        <v/>
      </c>
      <c r="BH1879" s="8" t="str">
        <f t="shared" si="293"/>
        <v/>
      </c>
      <c r="BI1879" s="8" t="str">
        <f t="shared" si="294"/>
        <v/>
      </c>
      <c r="BJ1879" s="9" t="str">
        <f t="shared" si="295"/>
        <v/>
      </c>
      <c r="BK1879" s="9" t="str">
        <f>IF($B1879="","",COUNTIFS($B$5:$B1879,$B1879,$BF$5:$BF1879,$BF1879))</f>
        <v/>
      </c>
      <c r="BL1879" s="9" t="str">
        <f>IF($B1879="","",COUNTIFS($B$5:$B1879,$B1879,$BH$5:$BH1879,$BH1879))</f>
        <v/>
      </c>
      <c r="BM1879" s="9" t="str">
        <f t="shared" si="296"/>
        <v/>
      </c>
      <c r="BN1879" s="9" t="str">
        <f t="shared" si="297"/>
        <v/>
      </c>
      <c r="BO1879" s="9">
        <f t="shared" si="298"/>
        <v>0</v>
      </c>
      <c r="BR1879" s="12" t="str">
        <f t="shared" si="299"/>
        <v/>
      </c>
    </row>
    <row r="1880" spans="1:70" ht="14.25" customHeight="1">
      <c r="A1880" s="26"/>
      <c r="C1880" s="26"/>
      <c r="D1880" s="27"/>
      <c r="E1880" s="27"/>
      <c r="BE1880" s="10" t="str">
        <f t="shared" si="290"/>
        <v/>
      </c>
      <c r="BF1880" s="8" t="str">
        <f t="shared" si="291"/>
        <v/>
      </c>
      <c r="BG1880" s="11" t="str">
        <f t="shared" si="292"/>
        <v/>
      </c>
      <c r="BH1880" s="8" t="str">
        <f t="shared" si="293"/>
        <v/>
      </c>
      <c r="BI1880" s="8" t="str">
        <f t="shared" si="294"/>
        <v/>
      </c>
      <c r="BJ1880" s="9" t="str">
        <f t="shared" si="295"/>
        <v/>
      </c>
      <c r="BK1880" s="9" t="str">
        <f>IF($B1880="","",COUNTIFS($B$5:$B1880,$B1880,$BF$5:$BF1880,$BF1880))</f>
        <v/>
      </c>
      <c r="BL1880" s="9" t="str">
        <f>IF($B1880="","",COUNTIFS($B$5:$B1880,$B1880,$BH$5:$BH1880,$BH1880))</f>
        <v/>
      </c>
      <c r="BM1880" s="9" t="str">
        <f t="shared" si="296"/>
        <v/>
      </c>
      <c r="BN1880" s="9" t="str">
        <f t="shared" si="297"/>
        <v/>
      </c>
      <c r="BO1880" s="9">
        <f t="shared" si="298"/>
        <v>0</v>
      </c>
      <c r="BR1880" s="12" t="str">
        <f t="shared" si="299"/>
        <v/>
      </c>
    </row>
    <row r="1881" spans="1:70" ht="14.25" customHeight="1">
      <c r="A1881" s="26"/>
      <c r="C1881" s="26"/>
      <c r="D1881" s="27"/>
      <c r="E1881" s="27"/>
      <c r="BE1881" s="10" t="str">
        <f t="shared" si="290"/>
        <v/>
      </c>
      <c r="BF1881" s="8" t="str">
        <f t="shared" si="291"/>
        <v/>
      </c>
      <c r="BG1881" s="11" t="str">
        <f t="shared" si="292"/>
        <v/>
      </c>
      <c r="BH1881" s="8" t="str">
        <f t="shared" si="293"/>
        <v/>
      </c>
      <c r="BI1881" s="8" t="str">
        <f t="shared" si="294"/>
        <v/>
      </c>
      <c r="BJ1881" s="9" t="str">
        <f t="shared" si="295"/>
        <v/>
      </c>
      <c r="BK1881" s="9" t="str">
        <f>IF($B1881="","",COUNTIFS($B$5:$B1881,$B1881,$BF$5:$BF1881,$BF1881))</f>
        <v/>
      </c>
      <c r="BL1881" s="9" t="str">
        <f>IF($B1881="","",COUNTIFS($B$5:$B1881,$B1881,$BH$5:$BH1881,$BH1881))</f>
        <v/>
      </c>
      <c r="BM1881" s="9" t="str">
        <f t="shared" si="296"/>
        <v/>
      </c>
      <c r="BN1881" s="9" t="str">
        <f t="shared" si="297"/>
        <v/>
      </c>
      <c r="BO1881" s="9">
        <f t="shared" si="298"/>
        <v>0</v>
      </c>
      <c r="BR1881" s="12" t="str">
        <f t="shared" si="299"/>
        <v/>
      </c>
    </row>
    <row r="1882" spans="1:70" ht="14.25" customHeight="1">
      <c r="A1882" s="26"/>
      <c r="C1882" s="26"/>
      <c r="D1882" s="27"/>
      <c r="E1882" s="27"/>
      <c r="BE1882" s="10" t="str">
        <f t="shared" si="290"/>
        <v/>
      </c>
      <c r="BF1882" s="8" t="str">
        <f t="shared" si="291"/>
        <v/>
      </c>
      <c r="BG1882" s="11" t="str">
        <f t="shared" si="292"/>
        <v/>
      </c>
      <c r="BH1882" s="8" t="str">
        <f t="shared" si="293"/>
        <v/>
      </c>
      <c r="BI1882" s="8" t="str">
        <f t="shared" si="294"/>
        <v/>
      </c>
      <c r="BJ1882" s="9" t="str">
        <f t="shared" si="295"/>
        <v/>
      </c>
      <c r="BK1882" s="9" t="str">
        <f>IF($B1882="","",COUNTIFS($B$5:$B1882,$B1882,$BF$5:$BF1882,$BF1882))</f>
        <v/>
      </c>
      <c r="BL1882" s="9" t="str">
        <f>IF($B1882="","",COUNTIFS($B$5:$B1882,$B1882,$BH$5:$BH1882,$BH1882))</f>
        <v/>
      </c>
      <c r="BM1882" s="9" t="str">
        <f t="shared" si="296"/>
        <v/>
      </c>
      <c r="BN1882" s="9" t="str">
        <f t="shared" si="297"/>
        <v/>
      </c>
      <c r="BO1882" s="9">
        <f t="shared" si="298"/>
        <v>0</v>
      </c>
      <c r="BR1882" s="12" t="str">
        <f t="shared" si="299"/>
        <v/>
      </c>
    </row>
    <row r="1883" spans="1:70" ht="14.25" customHeight="1">
      <c r="A1883" s="26"/>
      <c r="C1883" s="26"/>
      <c r="D1883" s="27"/>
      <c r="E1883" s="27"/>
      <c r="BE1883" s="10" t="str">
        <f t="shared" si="290"/>
        <v/>
      </c>
      <c r="BF1883" s="8" t="str">
        <f t="shared" si="291"/>
        <v/>
      </c>
      <c r="BG1883" s="11" t="str">
        <f t="shared" si="292"/>
        <v/>
      </c>
      <c r="BH1883" s="8" t="str">
        <f t="shared" si="293"/>
        <v/>
      </c>
      <c r="BI1883" s="8" t="str">
        <f t="shared" si="294"/>
        <v/>
      </c>
      <c r="BJ1883" s="9" t="str">
        <f t="shared" si="295"/>
        <v/>
      </c>
      <c r="BK1883" s="9" t="str">
        <f>IF($B1883="","",COUNTIFS($B$5:$B1883,$B1883,$BF$5:$BF1883,$BF1883))</f>
        <v/>
      </c>
      <c r="BL1883" s="9" t="str">
        <f>IF($B1883="","",COUNTIFS($B$5:$B1883,$B1883,$BH$5:$BH1883,$BH1883))</f>
        <v/>
      </c>
      <c r="BM1883" s="9" t="str">
        <f t="shared" si="296"/>
        <v/>
      </c>
      <c r="BN1883" s="9" t="str">
        <f t="shared" si="297"/>
        <v/>
      </c>
      <c r="BO1883" s="9">
        <f t="shared" si="298"/>
        <v>0</v>
      </c>
      <c r="BR1883" s="12" t="str">
        <f t="shared" si="299"/>
        <v/>
      </c>
    </row>
    <row r="1884" spans="1:70" ht="14.25" customHeight="1">
      <c r="A1884" s="26"/>
      <c r="C1884" s="26"/>
      <c r="D1884" s="27"/>
      <c r="E1884" s="27"/>
      <c r="BE1884" s="10" t="str">
        <f t="shared" si="290"/>
        <v/>
      </c>
      <c r="BF1884" s="8" t="str">
        <f t="shared" si="291"/>
        <v/>
      </c>
      <c r="BG1884" s="11" t="str">
        <f t="shared" si="292"/>
        <v/>
      </c>
      <c r="BH1884" s="8" t="str">
        <f t="shared" si="293"/>
        <v/>
      </c>
      <c r="BI1884" s="8" t="str">
        <f t="shared" si="294"/>
        <v/>
      </c>
      <c r="BJ1884" s="9" t="str">
        <f t="shared" si="295"/>
        <v/>
      </c>
      <c r="BK1884" s="9" t="str">
        <f>IF($B1884="","",COUNTIFS($B$5:$B1884,$B1884,$BF$5:$BF1884,$BF1884))</f>
        <v/>
      </c>
      <c r="BL1884" s="9" t="str">
        <f>IF($B1884="","",COUNTIFS($B$5:$B1884,$B1884,$BH$5:$BH1884,$BH1884))</f>
        <v/>
      </c>
      <c r="BM1884" s="9" t="str">
        <f t="shared" si="296"/>
        <v/>
      </c>
      <c r="BN1884" s="9" t="str">
        <f t="shared" si="297"/>
        <v/>
      </c>
      <c r="BO1884" s="9">
        <f t="shared" si="298"/>
        <v>0</v>
      </c>
      <c r="BR1884" s="12" t="str">
        <f t="shared" si="299"/>
        <v/>
      </c>
    </row>
    <row r="1885" spans="1:70" ht="14.25" customHeight="1">
      <c r="A1885" s="26"/>
      <c r="C1885" s="26"/>
      <c r="D1885" s="27"/>
      <c r="E1885" s="27"/>
      <c r="BE1885" s="10" t="str">
        <f t="shared" ref="BE1885:BE1948" si="300">IF($B1885="","",IF(COUNT($H1885,$J1885,$L1885,$N1885,$P1885,$R1885)&gt;0,SUM($H1885,$J1885,$L1885,$N1885,$P1885,$R1885),SUM($T1885,$V1885,$X1885,$Z1885,$AB1885,$AD1885,$AF1885,$AH1885,$AJ1885,$AL1885,$AN1885,$AP1885,$AR1885,$AT1885,$AV1885,$AX1885,$AZ1885)))</f>
        <v/>
      </c>
      <c r="BF1885" s="8" t="str">
        <f t="shared" ref="BF1885:BF1948" si="301">IF($C1885="","",DATE(YEAR($C1885),MONTH($C1885),1))</f>
        <v/>
      </c>
      <c r="BG1885" s="11" t="str">
        <f t="shared" ref="BG1885:BG1948" si="302">IF($BF1885="","",TEXT($BF1885,"mmmm yyyy"))</f>
        <v/>
      </c>
      <c r="BH1885" s="8" t="str">
        <f t="shared" ref="BH1885:BH1948" si="303">IF($C1885="","",$C1885-WEEKDAY($C1885,2)+1)</f>
        <v/>
      </c>
      <c r="BI1885" s="8" t="str">
        <f t="shared" ref="BI1885:BI1948" si="304">IF($BH1885="","",$BH1885+6)</f>
        <v/>
      </c>
      <c r="BJ1885" s="9" t="str">
        <f t="shared" ref="BJ1885:BJ1948" si="305">IF($BH1885="","",TEXT($BH1885,"dd/mm/yyyy")&amp;" - "&amp;TEXT($BI1885,"dd/mm/yyyy"))</f>
        <v/>
      </c>
      <c r="BK1885" s="9" t="str">
        <f>IF($B1885="","",COUNTIFS($B$5:$B1885,$B1885,$BF$5:$BF1885,$BF1885))</f>
        <v/>
      </c>
      <c r="BL1885" s="9" t="str">
        <f>IF($B1885="","",COUNTIFS($B$5:$B1885,$B1885,$BH$5:$BH1885,$BH1885))</f>
        <v/>
      </c>
      <c r="BM1885" s="9" t="str">
        <f t="shared" ref="BM1885:BM1948" si="306">IF($B1885="","",TEXT($BK1885,"00")&amp;"|"&amp;$B1885&amp;"|"&amp;TEXT($BF1885,"yyyymmdd"))</f>
        <v/>
      </c>
      <c r="BN1885" s="9" t="str">
        <f t="shared" ref="BN1885:BN1948" si="307">IF($B1885="","",TEXT($BL1885,"00")&amp;"|"&amp;$B1885&amp;"|"&amp;TEXT($BH1885,"yyyymmdd"))</f>
        <v/>
      </c>
      <c r="BO1885" s="9">
        <f t="shared" ref="BO1885:BO1948" si="308">IF(OR($BB1885="YES",$BB1885="Yes",$BB1885="Y",$BB1885=1),1,0)</f>
        <v>0</v>
      </c>
      <c r="BR1885" s="12" t="str">
        <f t="shared" ref="BR1885:BR1948" si="309">IF($C1885="","",IF($C1885&gt;=DATE(2026,6,1),"QA-2026-06",IF($C1885&gt;=DATE(2026,5,1),"May 2026+",IF($C1885&gt;=DATE(2026,4,1),"April 2026",IF($C1885&gt;=DATE(2026,3,1),"March 2026","Jan-Feb 2026")))))</f>
        <v/>
      </c>
    </row>
    <row r="1886" spans="1:70" ht="14.25" customHeight="1">
      <c r="A1886" s="26"/>
      <c r="C1886" s="26"/>
      <c r="D1886" s="27"/>
      <c r="E1886" s="27"/>
      <c r="BE1886" s="10" t="str">
        <f t="shared" si="300"/>
        <v/>
      </c>
      <c r="BF1886" s="8" t="str">
        <f t="shared" si="301"/>
        <v/>
      </c>
      <c r="BG1886" s="11" t="str">
        <f t="shared" si="302"/>
        <v/>
      </c>
      <c r="BH1886" s="8" t="str">
        <f t="shared" si="303"/>
        <v/>
      </c>
      <c r="BI1886" s="8" t="str">
        <f t="shared" si="304"/>
        <v/>
      </c>
      <c r="BJ1886" s="9" t="str">
        <f t="shared" si="305"/>
        <v/>
      </c>
      <c r="BK1886" s="9" t="str">
        <f>IF($B1886="","",COUNTIFS($B$5:$B1886,$B1886,$BF$5:$BF1886,$BF1886))</f>
        <v/>
      </c>
      <c r="BL1886" s="9" t="str">
        <f>IF($B1886="","",COUNTIFS($B$5:$B1886,$B1886,$BH$5:$BH1886,$BH1886))</f>
        <v/>
      </c>
      <c r="BM1886" s="9" t="str">
        <f t="shared" si="306"/>
        <v/>
      </c>
      <c r="BN1886" s="9" t="str">
        <f t="shared" si="307"/>
        <v/>
      </c>
      <c r="BO1886" s="9">
        <f t="shared" si="308"/>
        <v>0</v>
      </c>
      <c r="BR1886" s="12" t="str">
        <f t="shared" si="309"/>
        <v/>
      </c>
    </row>
    <row r="1887" spans="1:70" ht="14.25" customHeight="1">
      <c r="A1887" s="26"/>
      <c r="C1887" s="26"/>
      <c r="D1887" s="27"/>
      <c r="E1887" s="27"/>
      <c r="BE1887" s="10" t="str">
        <f t="shared" si="300"/>
        <v/>
      </c>
      <c r="BF1887" s="8" t="str">
        <f t="shared" si="301"/>
        <v/>
      </c>
      <c r="BG1887" s="11" t="str">
        <f t="shared" si="302"/>
        <v/>
      </c>
      <c r="BH1887" s="8" t="str">
        <f t="shared" si="303"/>
        <v/>
      </c>
      <c r="BI1887" s="8" t="str">
        <f t="shared" si="304"/>
        <v/>
      </c>
      <c r="BJ1887" s="9" t="str">
        <f t="shared" si="305"/>
        <v/>
      </c>
      <c r="BK1887" s="9" t="str">
        <f>IF($B1887="","",COUNTIFS($B$5:$B1887,$B1887,$BF$5:$BF1887,$BF1887))</f>
        <v/>
      </c>
      <c r="BL1887" s="9" t="str">
        <f>IF($B1887="","",COUNTIFS($B$5:$B1887,$B1887,$BH$5:$BH1887,$BH1887))</f>
        <v/>
      </c>
      <c r="BM1887" s="9" t="str">
        <f t="shared" si="306"/>
        <v/>
      </c>
      <c r="BN1887" s="9" t="str">
        <f t="shared" si="307"/>
        <v/>
      </c>
      <c r="BO1887" s="9">
        <f t="shared" si="308"/>
        <v>0</v>
      </c>
      <c r="BR1887" s="12" t="str">
        <f t="shared" si="309"/>
        <v/>
      </c>
    </row>
    <row r="1888" spans="1:70" ht="14.25" customHeight="1">
      <c r="A1888" s="26"/>
      <c r="C1888" s="26"/>
      <c r="D1888" s="27"/>
      <c r="E1888" s="27"/>
      <c r="BE1888" s="10" t="str">
        <f t="shared" si="300"/>
        <v/>
      </c>
      <c r="BF1888" s="8" t="str">
        <f t="shared" si="301"/>
        <v/>
      </c>
      <c r="BG1888" s="11" t="str">
        <f t="shared" si="302"/>
        <v/>
      </c>
      <c r="BH1888" s="8" t="str">
        <f t="shared" si="303"/>
        <v/>
      </c>
      <c r="BI1888" s="8" t="str">
        <f t="shared" si="304"/>
        <v/>
      </c>
      <c r="BJ1888" s="9" t="str">
        <f t="shared" si="305"/>
        <v/>
      </c>
      <c r="BK1888" s="9" t="str">
        <f>IF($B1888="","",COUNTIFS($B$5:$B1888,$B1888,$BF$5:$BF1888,$BF1888))</f>
        <v/>
      </c>
      <c r="BL1888" s="9" t="str">
        <f>IF($B1888="","",COUNTIFS($B$5:$B1888,$B1888,$BH$5:$BH1888,$BH1888))</f>
        <v/>
      </c>
      <c r="BM1888" s="9" t="str">
        <f t="shared" si="306"/>
        <v/>
      </c>
      <c r="BN1888" s="9" t="str">
        <f t="shared" si="307"/>
        <v/>
      </c>
      <c r="BO1888" s="9">
        <f t="shared" si="308"/>
        <v>0</v>
      </c>
      <c r="BR1888" s="12" t="str">
        <f t="shared" si="309"/>
        <v/>
      </c>
    </row>
    <row r="1889" spans="1:70" ht="14.25" customHeight="1">
      <c r="A1889" s="26"/>
      <c r="C1889" s="26"/>
      <c r="D1889" s="27"/>
      <c r="E1889" s="27"/>
      <c r="BE1889" s="10" t="str">
        <f t="shared" si="300"/>
        <v/>
      </c>
      <c r="BF1889" s="8" t="str">
        <f t="shared" si="301"/>
        <v/>
      </c>
      <c r="BG1889" s="11" t="str">
        <f t="shared" si="302"/>
        <v/>
      </c>
      <c r="BH1889" s="8" t="str">
        <f t="shared" si="303"/>
        <v/>
      </c>
      <c r="BI1889" s="8" t="str">
        <f t="shared" si="304"/>
        <v/>
      </c>
      <c r="BJ1889" s="9" t="str">
        <f t="shared" si="305"/>
        <v/>
      </c>
      <c r="BK1889" s="9" t="str">
        <f>IF($B1889="","",COUNTIFS($B$5:$B1889,$B1889,$BF$5:$BF1889,$BF1889))</f>
        <v/>
      </c>
      <c r="BL1889" s="9" t="str">
        <f>IF($B1889="","",COUNTIFS($B$5:$B1889,$B1889,$BH$5:$BH1889,$BH1889))</f>
        <v/>
      </c>
      <c r="BM1889" s="9" t="str">
        <f t="shared" si="306"/>
        <v/>
      </c>
      <c r="BN1889" s="9" t="str">
        <f t="shared" si="307"/>
        <v/>
      </c>
      <c r="BO1889" s="9">
        <f t="shared" si="308"/>
        <v>0</v>
      </c>
      <c r="BR1889" s="12" t="str">
        <f t="shared" si="309"/>
        <v/>
      </c>
    </row>
    <row r="1890" spans="1:70" ht="14.25" customHeight="1">
      <c r="A1890" s="26"/>
      <c r="C1890" s="26"/>
      <c r="D1890" s="27"/>
      <c r="E1890" s="27"/>
      <c r="BE1890" s="10" t="str">
        <f t="shared" si="300"/>
        <v/>
      </c>
      <c r="BF1890" s="8" t="str">
        <f t="shared" si="301"/>
        <v/>
      </c>
      <c r="BG1890" s="11" t="str">
        <f t="shared" si="302"/>
        <v/>
      </c>
      <c r="BH1890" s="8" t="str">
        <f t="shared" si="303"/>
        <v/>
      </c>
      <c r="BI1890" s="8" t="str">
        <f t="shared" si="304"/>
        <v/>
      </c>
      <c r="BJ1890" s="9" t="str">
        <f t="shared" si="305"/>
        <v/>
      </c>
      <c r="BK1890" s="9" t="str">
        <f>IF($B1890="","",COUNTIFS($B$5:$B1890,$B1890,$BF$5:$BF1890,$BF1890))</f>
        <v/>
      </c>
      <c r="BL1890" s="9" t="str">
        <f>IF($B1890="","",COUNTIFS($B$5:$B1890,$B1890,$BH$5:$BH1890,$BH1890))</f>
        <v/>
      </c>
      <c r="BM1890" s="9" t="str">
        <f t="shared" si="306"/>
        <v/>
      </c>
      <c r="BN1890" s="9" t="str">
        <f t="shared" si="307"/>
        <v/>
      </c>
      <c r="BO1890" s="9">
        <f t="shared" si="308"/>
        <v>0</v>
      </c>
      <c r="BR1890" s="12" t="str">
        <f t="shared" si="309"/>
        <v/>
      </c>
    </row>
    <row r="1891" spans="1:70" ht="14.25" customHeight="1">
      <c r="A1891" s="26"/>
      <c r="C1891" s="26"/>
      <c r="D1891" s="27"/>
      <c r="E1891" s="27"/>
      <c r="BE1891" s="10" t="str">
        <f t="shared" si="300"/>
        <v/>
      </c>
      <c r="BF1891" s="8" t="str">
        <f t="shared" si="301"/>
        <v/>
      </c>
      <c r="BG1891" s="11" t="str">
        <f t="shared" si="302"/>
        <v/>
      </c>
      <c r="BH1891" s="8" t="str">
        <f t="shared" si="303"/>
        <v/>
      </c>
      <c r="BI1891" s="8" t="str">
        <f t="shared" si="304"/>
        <v/>
      </c>
      <c r="BJ1891" s="9" t="str">
        <f t="shared" si="305"/>
        <v/>
      </c>
      <c r="BK1891" s="9" t="str">
        <f>IF($B1891="","",COUNTIFS($B$5:$B1891,$B1891,$BF$5:$BF1891,$BF1891))</f>
        <v/>
      </c>
      <c r="BL1891" s="9" t="str">
        <f>IF($B1891="","",COUNTIFS($B$5:$B1891,$B1891,$BH$5:$BH1891,$BH1891))</f>
        <v/>
      </c>
      <c r="BM1891" s="9" t="str">
        <f t="shared" si="306"/>
        <v/>
      </c>
      <c r="BN1891" s="9" t="str">
        <f t="shared" si="307"/>
        <v/>
      </c>
      <c r="BO1891" s="9">
        <f t="shared" si="308"/>
        <v>0</v>
      </c>
      <c r="BR1891" s="12" t="str">
        <f t="shared" si="309"/>
        <v/>
      </c>
    </row>
    <row r="1892" spans="1:70" ht="14.25" customHeight="1">
      <c r="A1892" s="26"/>
      <c r="C1892" s="26"/>
      <c r="D1892" s="27"/>
      <c r="E1892" s="27"/>
      <c r="BE1892" s="10" t="str">
        <f t="shared" si="300"/>
        <v/>
      </c>
      <c r="BF1892" s="8" t="str">
        <f t="shared" si="301"/>
        <v/>
      </c>
      <c r="BG1892" s="11" t="str">
        <f t="shared" si="302"/>
        <v/>
      </c>
      <c r="BH1892" s="8" t="str">
        <f t="shared" si="303"/>
        <v/>
      </c>
      <c r="BI1892" s="8" t="str">
        <f t="shared" si="304"/>
        <v/>
      </c>
      <c r="BJ1892" s="9" t="str">
        <f t="shared" si="305"/>
        <v/>
      </c>
      <c r="BK1892" s="9" t="str">
        <f>IF($B1892="","",COUNTIFS($B$5:$B1892,$B1892,$BF$5:$BF1892,$BF1892))</f>
        <v/>
      </c>
      <c r="BL1892" s="9" t="str">
        <f>IF($B1892="","",COUNTIFS($B$5:$B1892,$B1892,$BH$5:$BH1892,$BH1892))</f>
        <v/>
      </c>
      <c r="BM1892" s="9" t="str">
        <f t="shared" si="306"/>
        <v/>
      </c>
      <c r="BN1892" s="9" t="str">
        <f t="shared" si="307"/>
        <v/>
      </c>
      <c r="BO1892" s="9">
        <f t="shared" si="308"/>
        <v>0</v>
      </c>
      <c r="BR1892" s="12" t="str">
        <f t="shared" si="309"/>
        <v/>
      </c>
    </row>
    <row r="1893" spans="1:70" ht="14.25" customHeight="1">
      <c r="A1893" s="26"/>
      <c r="C1893" s="26"/>
      <c r="D1893" s="27"/>
      <c r="E1893" s="27"/>
      <c r="BE1893" s="10" t="str">
        <f t="shared" si="300"/>
        <v/>
      </c>
      <c r="BF1893" s="8" t="str">
        <f t="shared" si="301"/>
        <v/>
      </c>
      <c r="BG1893" s="11" t="str">
        <f t="shared" si="302"/>
        <v/>
      </c>
      <c r="BH1893" s="8" t="str">
        <f t="shared" si="303"/>
        <v/>
      </c>
      <c r="BI1893" s="8" t="str">
        <f t="shared" si="304"/>
        <v/>
      </c>
      <c r="BJ1893" s="9" t="str">
        <f t="shared" si="305"/>
        <v/>
      </c>
      <c r="BK1893" s="9" t="str">
        <f>IF($B1893="","",COUNTIFS($B$5:$B1893,$B1893,$BF$5:$BF1893,$BF1893))</f>
        <v/>
      </c>
      <c r="BL1893" s="9" t="str">
        <f>IF($B1893="","",COUNTIFS($B$5:$B1893,$B1893,$BH$5:$BH1893,$BH1893))</f>
        <v/>
      </c>
      <c r="BM1893" s="9" t="str">
        <f t="shared" si="306"/>
        <v/>
      </c>
      <c r="BN1893" s="9" t="str">
        <f t="shared" si="307"/>
        <v/>
      </c>
      <c r="BO1893" s="9">
        <f t="shared" si="308"/>
        <v>0</v>
      </c>
      <c r="BR1893" s="12" t="str">
        <f t="shared" si="309"/>
        <v/>
      </c>
    </row>
    <row r="1894" spans="1:70" ht="14.25" customHeight="1">
      <c r="A1894" s="26"/>
      <c r="C1894" s="26"/>
      <c r="D1894" s="27"/>
      <c r="E1894" s="27"/>
      <c r="BE1894" s="10" t="str">
        <f t="shared" si="300"/>
        <v/>
      </c>
      <c r="BF1894" s="8" t="str">
        <f t="shared" si="301"/>
        <v/>
      </c>
      <c r="BG1894" s="11" t="str">
        <f t="shared" si="302"/>
        <v/>
      </c>
      <c r="BH1894" s="8" t="str">
        <f t="shared" si="303"/>
        <v/>
      </c>
      <c r="BI1894" s="8" t="str">
        <f t="shared" si="304"/>
        <v/>
      </c>
      <c r="BJ1894" s="9" t="str">
        <f t="shared" si="305"/>
        <v/>
      </c>
      <c r="BK1894" s="9" t="str">
        <f>IF($B1894="","",COUNTIFS($B$5:$B1894,$B1894,$BF$5:$BF1894,$BF1894))</f>
        <v/>
      </c>
      <c r="BL1894" s="9" t="str">
        <f>IF($B1894="","",COUNTIFS($B$5:$B1894,$B1894,$BH$5:$BH1894,$BH1894))</f>
        <v/>
      </c>
      <c r="BM1894" s="9" t="str">
        <f t="shared" si="306"/>
        <v/>
      </c>
      <c r="BN1894" s="9" t="str">
        <f t="shared" si="307"/>
        <v/>
      </c>
      <c r="BO1894" s="9">
        <f t="shared" si="308"/>
        <v>0</v>
      </c>
      <c r="BR1894" s="12" t="str">
        <f t="shared" si="309"/>
        <v/>
      </c>
    </row>
    <row r="1895" spans="1:70" ht="14.25" customHeight="1">
      <c r="A1895" s="26"/>
      <c r="C1895" s="26"/>
      <c r="D1895" s="27"/>
      <c r="E1895" s="27"/>
      <c r="BE1895" s="10" t="str">
        <f t="shared" si="300"/>
        <v/>
      </c>
      <c r="BF1895" s="8" t="str">
        <f t="shared" si="301"/>
        <v/>
      </c>
      <c r="BG1895" s="11" t="str">
        <f t="shared" si="302"/>
        <v/>
      </c>
      <c r="BH1895" s="8" t="str">
        <f t="shared" si="303"/>
        <v/>
      </c>
      <c r="BI1895" s="8" t="str">
        <f t="shared" si="304"/>
        <v/>
      </c>
      <c r="BJ1895" s="9" t="str">
        <f t="shared" si="305"/>
        <v/>
      </c>
      <c r="BK1895" s="9" t="str">
        <f>IF($B1895="","",COUNTIFS($B$5:$B1895,$B1895,$BF$5:$BF1895,$BF1895))</f>
        <v/>
      </c>
      <c r="BL1895" s="9" t="str">
        <f>IF($B1895="","",COUNTIFS($B$5:$B1895,$B1895,$BH$5:$BH1895,$BH1895))</f>
        <v/>
      </c>
      <c r="BM1895" s="9" t="str">
        <f t="shared" si="306"/>
        <v/>
      </c>
      <c r="BN1895" s="9" t="str">
        <f t="shared" si="307"/>
        <v/>
      </c>
      <c r="BO1895" s="9">
        <f t="shared" si="308"/>
        <v>0</v>
      </c>
      <c r="BR1895" s="12" t="str">
        <f t="shared" si="309"/>
        <v/>
      </c>
    </row>
    <row r="1896" spans="1:70" ht="14.25" customHeight="1">
      <c r="A1896" s="26"/>
      <c r="C1896" s="26"/>
      <c r="D1896" s="27"/>
      <c r="E1896" s="27"/>
      <c r="BE1896" s="10" t="str">
        <f t="shared" si="300"/>
        <v/>
      </c>
      <c r="BF1896" s="8" t="str">
        <f t="shared" si="301"/>
        <v/>
      </c>
      <c r="BG1896" s="11" t="str">
        <f t="shared" si="302"/>
        <v/>
      </c>
      <c r="BH1896" s="8" t="str">
        <f t="shared" si="303"/>
        <v/>
      </c>
      <c r="BI1896" s="8" t="str">
        <f t="shared" si="304"/>
        <v/>
      </c>
      <c r="BJ1896" s="9" t="str">
        <f t="shared" si="305"/>
        <v/>
      </c>
      <c r="BK1896" s="9" t="str">
        <f>IF($B1896="","",COUNTIFS($B$5:$B1896,$B1896,$BF$5:$BF1896,$BF1896))</f>
        <v/>
      </c>
      <c r="BL1896" s="9" t="str">
        <f>IF($B1896="","",COUNTIFS($B$5:$B1896,$B1896,$BH$5:$BH1896,$BH1896))</f>
        <v/>
      </c>
      <c r="BM1896" s="9" t="str">
        <f t="shared" si="306"/>
        <v/>
      </c>
      <c r="BN1896" s="9" t="str">
        <f t="shared" si="307"/>
        <v/>
      </c>
      <c r="BO1896" s="9">
        <f t="shared" si="308"/>
        <v>0</v>
      </c>
      <c r="BR1896" s="12" t="str">
        <f t="shared" si="309"/>
        <v/>
      </c>
    </row>
    <row r="1897" spans="1:70" ht="14.25" customHeight="1">
      <c r="A1897" s="26"/>
      <c r="C1897" s="26"/>
      <c r="D1897" s="27"/>
      <c r="E1897" s="27"/>
      <c r="BE1897" s="10" t="str">
        <f t="shared" si="300"/>
        <v/>
      </c>
      <c r="BF1897" s="8" t="str">
        <f t="shared" si="301"/>
        <v/>
      </c>
      <c r="BG1897" s="11" t="str">
        <f t="shared" si="302"/>
        <v/>
      </c>
      <c r="BH1897" s="8" t="str">
        <f t="shared" si="303"/>
        <v/>
      </c>
      <c r="BI1897" s="8" t="str">
        <f t="shared" si="304"/>
        <v/>
      </c>
      <c r="BJ1897" s="9" t="str">
        <f t="shared" si="305"/>
        <v/>
      </c>
      <c r="BK1897" s="9" t="str">
        <f>IF($B1897="","",COUNTIFS($B$5:$B1897,$B1897,$BF$5:$BF1897,$BF1897))</f>
        <v/>
      </c>
      <c r="BL1897" s="9" t="str">
        <f>IF($B1897="","",COUNTIFS($B$5:$B1897,$B1897,$BH$5:$BH1897,$BH1897))</f>
        <v/>
      </c>
      <c r="BM1897" s="9" t="str">
        <f t="shared" si="306"/>
        <v/>
      </c>
      <c r="BN1897" s="9" t="str">
        <f t="shared" si="307"/>
        <v/>
      </c>
      <c r="BO1897" s="9">
        <f t="shared" si="308"/>
        <v>0</v>
      </c>
      <c r="BR1897" s="12" t="str">
        <f t="shared" si="309"/>
        <v/>
      </c>
    </row>
    <row r="1898" spans="1:70" ht="14.25" customHeight="1">
      <c r="A1898" s="26"/>
      <c r="C1898" s="26"/>
      <c r="D1898" s="27"/>
      <c r="E1898" s="27"/>
      <c r="BE1898" s="10" t="str">
        <f t="shared" si="300"/>
        <v/>
      </c>
      <c r="BF1898" s="8" t="str">
        <f t="shared" si="301"/>
        <v/>
      </c>
      <c r="BG1898" s="11" t="str">
        <f t="shared" si="302"/>
        <v/>
      </c>
      <c r="BH1898" s="8" t="str">
        <f t="shared" si="303"/>
        <v/>
      </c>
      <c r="BI1898" s="8" t="str">
        <f t="shared" si="304"/>
        <v/>
      </c>
      <c r="BJ1898" s="9" t="str">
        <f t="shared" si="305"/>
        <v/>
      </c>
      <c r="BK1898" s="9" t="str">
        <f>IF($B1898="","",COUNTIFS($B$5:$B1898,$B1898,$BF$5:$BF1898,$BF1898))</f>
        <v/>
      </c>
      <c r="BL1898" s="9" t="str">
        <f>IF($B1898="","",COUNTIFS($B$5:$B1898,$B1898,$BH$5:$BH1898,$BH1898))</f>
        <v/>
      </c>
      <c r="BM1898" s="9" t="str">
        <f t="shared" si="306"/>
        <v/>
      </c>
      <c r="BN1898" s="9" t="str">
        <f t="shared" si="307"/>
        <v/>
      </c>
      <c r="BO1898" s="9">
        <f t="shared" si="308"/>
        <v>0</v>
      </c>
      <c r="BR1898" s="12" t="str">
        <f t="shared" si="309"/>
        <v/>
      </c>
    </row>
    <row r="1899" spans="1:70" ht="14.25" customHeight="1">
      <c r="A1899" s="26"/>
      <c r="C1899" s="26"/>
      <c r="D1899" s="27"/>
      <c r="E1899" s="27"/>
      <c r="BE1899" s="10" t="str">
        <f t="shared" si="300"/>
        <v/>
      </c>
      <c r="BF1899" s="8" t="str">
        <f t="shared" si="301"/>
        <v/>
      </c>
      <c r="BG1899" s="11" t="str">
        <f t="shared" si="302"/>
        <v/>
      </c>
      <c r="BH1899" s="8" t="str">
        <f t="shared" si="303"/>
        <v/>
      </c>
      <c r="BI1899" s="8" t="str">
        <f t="shared" si="304"/>
        <v/>
      </c>
      <c r="BJ1899" s="9" t="str">
        <f t="shared" si="305"/>
        <v/>
      </c>
      <c r="BK1899" s="9" t="str">
        <f>IF($B1899="","",COUNTIFS($B$5:$B1899,$B1899,$BF$5:$BF1899,$BF1899))</f>
        <v/>
      </c>
      <c r="BL1899" s="9" t="str">
        <f>IF($B1899="","",COUNTIFS($B$5:$B1899,$B1899,$BH$5:$BH1899,$BH1899))</f>
        <v/>
      </c>
      <c r="BM1899" s="9" t="str">
        <f t="shared" si="306"/>
        <v/>
      </c>
      <c r="BN1899" s="9" t="str">
        <f t="shared" si="307"/>
        <v/>
      </c>
      <c r="BO1899" s="9">
        <f t="shared" si="308"/>
        <v>0</v>
      </c>
      <c r="BR1899" s="12" t="str">
        <f t="shared" si="309"/>
        <v/>
      </c>
    </row>
    <row r="1900" spans="1:70" ht="14.25" customHeight="1">
      <c r="A1900" s="26"/>
      <c r="C1900" s="26"/>
      <c r="D1900" s="27"/>
      <c r="E1900" s="27"/>
      <c r="BE1900" s="10" t="str">
        <f t="shared" si="300"/>
        <v/>
      </c>
      <c r="BF1900" s="8" t="str">
        <f t="shared" si="301"/>
        <v/>
      </c>
      <c r="BG1900" s="11" t="str">
        <f t="shared" si="302"/>
        <v/>
      </c>
      <c r="BH1900" s="8" t="str">
        <f t="shared" si="303"/>
        <v/>
      </c>
      <c r="BI1900" s="8" t="str">
        <f t="shared" si="304"/>
        <v/>
      </c>
      <c r="BJ1900" s="9" t="str">
        <f t="shared" si="305"/>
        <v/>
      </c>
      <c r="BK1900" s="9" t="str">
        <f>IF($B1900="","",COUNTIFS($B$5:$B1900,$B1900,$BF$5:$BF1900,$BF1900))</f>
        <v/>
      </c>
      <c r="BL1900" s="9" t="str">
        <f>IF($B1900="","",COUNTIFS($B$5:$B1900,$B1900,$BH$5:$BH1900,$BH1900))</f>
        <v/>
      </c>
      <c r="BM1900" s="9" t="str">
        <f t="shared" si="306"/>
        <v/>
      </c>
      <c r="BN1900" s="9" t="str">
        <f t="shared" si="307"/>
        <v/>
      </c>
      <c r="BO1900" s="9">
        <f t="shared" si="308"/>
        <v>0</v>
      </c>
      <c r="BR1900" s="12" t="str">
        <f t="shared" si="309"/>
        <v/>
      </c>
    </row>
    <row r="1901" spans="1:70" ht="14.25" customHeight="1">
      <c r="A1901" s="26"/>
      <c r="C1901" s="26"/>
      <c r="D1901" s="27"/>
      <c r="E1901" s="27"/>
      <c r="BE1901" s="10" t="str">
        <f t="shared" si="300"/>
        <v/>
      </c>
      <c r="BF1901" s="8" t="str">
        <f t="shared" si="301"/>
        <v/>
      </c>
      <c r="BG1901" s="11" t="str">
        <f t="shared" si="302"/>
        <v/>
      </c>
      <c r="BH1901" s="8" t="str">
        <f t="shared" si="303"/>
        <v/>
      </c>
      <c r="BI1901" s="8" t="str">
        <f t="shared" si="304"/>
        <v/>
      </c>
      <c r="BJ1901" s="9" t="str">
        <f t="shared" si="305"/>
        <v/>
      </c>
      <c r="BK1901" s="9" t="str">
        <f>IF($B1901="","",COUNTIFS($B$5:$B1901,$B1901,$BF$5:$BF1901,$BF1901))</f>
        <v/>
      </c>
      <c r="BL1901" s="9" t="str">
        <f>IF($B1901="","",COUNTIFS($B$5:$B1901,$B1901,$BH$5:$BH1901,$BH1901))</f>
        <v/>
      </c>
      <c r="BM1901" s="9" t="str">
        <f t="shared" si="306"/>
        <v/>
      </c>
      <c r="BN1901" s="9" t="str">
        <f t="shared" si="307"/>
        <v/>
      </c>
      <c r="BO1901" s="9">
        <f t="shared" si="308"/>
        <v>0</v>
      </c>
      <c r="BR1901" s="12" t="str">
        <f t="shared" si="309"/>
        <v/>
      </c>
    </row>
    <row r="1902" spans="1:70" ht="14.25" customHeight="1">
      <c r="A1902" s="26"/>
      <c r="C1902" s="26"/>
      <c r="D1902" s="27"/>
      <c r="E1902" s="27"/>
      <c r="BE1902" s="10" t="str">
        <f t="shared" si="300"/>
        <v/>
      </c>
      <c r="BF1902" s="8" t="str">
        <f t="shared" si="301"/>
        <v/>
      </c>
      <c r="BG1902" s="11" t="str">
        <f t="shared" si="302"/>
        <v/>
      </c>
      <c r="BH1902" s="8" t="str">
        <f t="shared" si="303"/>
        <v/>
      </c>
      <c r="BI1902" s="8" t="str">
        <f t="shared" si="304"/>
        <v/>
      </c>
      <c r="BJ1902" s="9" t="str">
        <f t="shared" si="305"/>
        <v/>
      </c>
      <c r="BK1902" s="9" t="str">
        <f>IF($B1902="","",COUNTIFS($B$5:$B1902,$B1902,$BF$5:$BF1902,$BF1902))</f>
        <v/>
      </c>
      <c r="BL1902" s="9" t="str">
        <f>IF($B1902="","",COUNTIFS($B$5:$B1902,$B1902,$BH$5:$BH1902,$BH1902))</f>
        <v/>
      </c>
      <c r="BM1902" s="9" t="str">
        <f t="shared" si="306"/>
        <v/>
      </c>
      <c r="BN1902" s="9" t="str">
        <f t="shared" si="307"/>
        <v/>
      </c>
      <c r="BO1902" s="9">
        <f t="shared" si="308"/>
        <v>0</v>
      </c>
      <c r="BR1902" s="12" t="str">
        <f t="shared" si="309"/>
        <v/>
      </c>
    </row>
    <row r="1903" spans="1:70" ht="14.25" customHeight="1">
      <c r="A1903" s="26"/>
      <c r="C1903" s="26"/>
      <c r="D1903" s="27"/>
      <c r="E1903" s="27"/>
      <c r="BE1903" s="10" t="str">
        <f t="shared" si="300"/>
        <v/>
      </c>
      <c r="BF1903" s="8" t="str">
        <f t="shared" si="301"/>
        <v/>
      </c>
      <c r="BG1903" s="11" t="str">
        <f t="shared" si="302"/>
        <v/>
      </c>
      <c r="BH1903" s="8" t="str">
        <f t="shared" si="303"/>
        <v/>
      </c>
      <c r="BI1903" s="8" t="str">
        <f t="shared" si="304"/>
        <v/>
      </c>
      <c r="BJ1903" s="9" t="str">
        <f t="shared" si="305"/>
        <v/>
      </c>
      <c r="BK1903" s="9" t="str">
        <f>IF($B1903="","",COUNTIFS($B$5:$B1903,$B1903,$BF$5:$BF1903,$BF1903))</f>
        <v/>
      </c>
      <c r="BL1903" s="9" t="str">
        <f>IF($B1903="","",COUNTIFS($B$5:$B1903,$B1903,$BH$5:$BH1903,$BH1903))</f>
        <v/>
      </c>
      <c r="BM1903" s="9" t="str">
        <f t="shared" si="306"/>
        <v/>
      </c>
      <c r="BN1903" s="9" t="str">
        <f t="shared" si="307"/>
        <v/>
      </c>
      <c r="BO1903" s="9">
        <f t="shared" si="308"/>
        <v>0</v>
      </c>
      <c r="BR1903" s="12" t="str">
        <f t="shared" si="309"/>
        <v/>
      </c>
    </row>
    <row r="1904" spans="1:70" ht="14.25" customHeight="1">
      <c r="A1904" s="26"/>
      <c r="C1904" s="26"/>
      <c r="D1904" s="27"/>
      <c r="E1904" s="27"/>
      <c r="BE1904" s="10" t="str">
        <f t="shared" si="300"/>
        <v/>
      </c>
      <c r="BF1904" s="8" t="str">
        <f t="shared" si="301"/>
        <v/>
      </c>
      <c r="BG1904" s="11" t="str">
        <f t="shared" si="302"/>
        <v/>
      </c>
      <c r="BH1904" s="8" t="str">
        <f t="shared" si="303"/>
        <v/>
      </c>
      <c r="BI1904" s="8" t="str">
        <f t="shared" si="304"/>
        <v/>
      </c>
      <c r="BJ1904" s="9" t="str">
        <f t="shared" si="305"/>
        <v/>
      </c>
      <c r="BK1904" s="9" t="str">
        <f>IF($B1904="","",COUNTIFS($B$5:$B1904,$B1904,$BF$5:$BF1904,$BF1904))</f>
        <v/>
      </c>
      <c r="BL1904" s="9" t="str">
        <f>IF($B1904="","",COUNTIFS($B$5:$B1904,$B1904,$BH$5:$BH1904,$BH1904))</f>
        <v/>
      </c>
      <c r="BM1904" s="9" t="str">
        <f t="shared" si="306"/>
        <v/>
      </c>
      <c r="BN1904" s="9" t="str">
        <f t="shared" si="307"/>
        <v/>
      </c>
      <c r="BO1904" s="9">
        <f t="shared" si="308"/>
        <v>0</v>
      </c>
      <c r="BR1904" s="12" t="str">
        <f t="shared" si="309"/>
        <v/>
      </c>
    </row>
    <row r="1905" spans="1:70" ht="14.25" customHeight="1">
      <c r="A1905" s="26"/>
      <c r="C1905" s="26"/>
      <c r="D1905" s="27"/>
      <c r="E1905" s="27"/>
      <c r="BE1905" s="10" t="str">
        <f t="shared" si="300"/>
        <v/>
      </c>
      <c r="BF1905" s="8" t="str">
        <f t="shared" si="301"/>
        <v/>
      </c>
      <c r="BG1905" s="11" t="str">
        <f t="shared" si="302"/>
        <v/>
      </c>
      <c r="BH1905" s="8" t="str">
        <f t="shared" si="303"/>
        <v/>
      </c>
      <c r="BI1905" s="8" t="str">
        <f t="shared" si="304"/>
        <v/>
      </c>
      <c r="BJ1905" s="9" t="str">
        <f t="shared" si="305"/>
        <v/>
      </c>
      <c r="BK1905" s="9" t="str">
        <f>IF($B1905="","",COUNTIFS($B$5:$B1905,$B1905,$BF$5:$BF1905,$BF1905))</f>
        <v/>
      </c>
      <c r="BL1905" s="9" t="str">
        <f>IF($B1905="","",COUNTIFS($B$5:$B1905,$B1905,$BH$5:$BH1905,$BH1905))</f>
        <v/>
      </c>
      <c r="BM1905" s="9" t="str">
        <f t="shared" si="306"/>
        <v/>
      </c>
      <c r="BN1905" s="9" t="str">
        <f t="shared" si="307"/>
        <v/>
      </c>
      <c r="BO1905" s="9">
        <f t="shared" si="308"/>
        <v>0</v>
      </c>
      <c r="BR1905" s="12" t="str">
        <f t="shared" si="309"/>
        <v/>
      </c>
    </row>
    <row r="1906" spans="1:70" ht="14.25" customHeight="1">
      <c r="A1906" s="26"/>
      <c r="C1906" s="26"/>
      <c r="D1906" s="27"/>
      <c r="E1906" s="27"/>
      <c r="BE1906" s="10" t="str">
        <f t="shared" si="300"/>
        <v/>
      </c>
      <c r="BF1906" s="8" t="str">
        <f t="shared" si="301"/>
        <v/>
      </c>
      <c r="BG1906" s="11" t="str">
        <f t="shared" si="302"/>
        <v/>
      </c>
      <c r="BH1906" s="8" t="str">
        <f t="shared" si="303"/>
        <v/>
      </c>
      <c r="BI1906" s="8" t="str">
        <f t="shared" si="304"/>
        <v/>
      </c>
      <c r="BJ1906" s="9" t="str">
        <f t="shared" si="305"/>
        <v/>
      </c>
      <c r="BK1906" s="9" t="str">
        <f>IF($B1906="","",COUNTIFS($B$5:$B1906,$B1906,$BF$5:$BF1906,$BF1906))</f>
        <v/>
      </c>
      <c r="BL1906" s="9" t="str">
        <f>IF($B1906="","",COUNTIFS($B$5:$B1906,$B1906,$BH$5:$BH1906,$BH1906))</f>
        <v/>
      </c>
      <c r="BM1906" s="9" t="str">
        <f t="shared" si="306"/>
        <v/>
      </c>
      <c r="BN1906" s="9" t="str">
        <f t="shared" si="307"/>
        <v/>
      </c>
      <c r="BO1906" s="9">
        <f t="shared" si="308"/>
        <v>0</v>
      </c>
      <c r="BR1906" s="12" t="str">
        <f t="shared" si="309"/>
        <v/>
      </c>
    </row>
    <row r="1907" spans="1:70" ht="14.25" customHeight="1">
      <c r="A1907" s="26"/>
      <c r="C1907" s="26"/>
      <c r="D1907" s="27"/>
      <c r="E1907" s="27"/>
      <c r="BE1907" s="10" t="str">
        <f t="shared" si="300"/>
        <v/>
      </c>
      <c r="BF1907" s="8" t="str">
        <f t="shared" si="301"/>
        <v/>
      </c>
      <c r="BG1907" s="11" t="str">
        <f t="shared" si="302"/>
        <v/>
      </c>
      <c r="BH1907" s="8" t="str">
        <f t="shared" si="303"/>
        <v/>
      </c>
      <c r="BI1907" s="8" t="str">
        <f t="shared" si="304"/>
        <v/>
      </c>
      <c r="BJ1907" s="9" t="str">
        <f t="shared" si="305"/>
        <v/>
      </c>
      <c r="BK1907" s="9" t="str">
        <f>IF($B1907="","",COUNTIFS($B$5:$B1907,$B1907,$BF$5:$BF1907,$BF1907))</f>
        <v/>
      </c>
      <c r="BL1907" s="9" t="str">
        <f>IF($B1907="","",COUNTIFS($B$5:$B1907,$B1907,$BH$5:$BH1907,$BH1907))</f>
        <v/>
      </c>
      <c r="BM1907" s="9" t="str">
        <f t="shared" si="306"/>
        <v/>
      </c>
      <c r="BN1907" s="9" t="str">
        <f t="shared" si="307"/>
        <v/>
      </c>
      <c r="BO1907" s="9">
        <f t="shared" si="308"/>
        <v>0</v>
      </c>
      <c r="BR1907" s="12" t="str">
        <f t="shared" si="309"/>
        <v/>
      </c>
    </row>
    <row r="1908" spans="1:70" ht="14.25" customHeight="1">
      <c r="A1908" s="26"/>
      <c r="C1908" s="26"/>
      <c r="D1908" s="27"/>
      <c r="E1908" s="27"/>
      <c r="BE1908" s="10" t="str">
        <f t="shared" si="300"/>
        <v/>
      </c>
      <c r="BF1908" s="8" t="str">
        <f t="shared" si="301"/>
        <v/>
      </c>
      <c r="BG1908" s="11" t="str">
        <f t="shared" si="302"/>
        <v/>
      </c>
      <c r="BH1908" s="8" t="str">
        <f t="shared" si="303"/>
        <v/>
      </c>
      <c r="BI1908" s="8" t="str">
        <f t="shared" si="304"/>
        <v/>
      </c>
      <c r="BJ1908" s="9" t="str">
        <f t="shared" si="305"/>
        <v/>
      </c>
      <c r="BK1908" s="9" t="str">
        <f>IF($B1908="","",COUNTIFS($B$5:$B1908,$B1908,$BF$5:$BF1908,$BF1908))</f>
        <v/>
      </c>
      <c r="BL1908" s="9" t="str">
        <f>IF($B1908="","",COUNTIFS($B$5:$B1908,$B1908,$BH$5:$BH1908,$BH1908))</f>
        <v/>
      </c>
      <c r="BM1908" s="9" t="str">
        <f t="shared" si="306"/>
        <v/>
      </c>
      <c r="BN1908" s="9" t="str">
        <f t="shared" si="307"/>
        <v/>
      </c>
      <c r="BO1908" s="9">
        <f t="shared" si="308"/>
        <v>0</v>
      </c>
      <c r="BR1908" s="12" t="str">
        <f t="shared" si="309"/>
        <v/>
      </c>
    </row>
    <row r="1909" spans="1:70" ht="14.25" customHeight="1">
      <c r="A1909" s="26"/>
      <c r="C1909" s="26"/>
      <c r="D1909" s="27"/>
      <c r="E1909" s="27"/>
      <c r="BE1909" s="10" t="str">
        <f t="shared" si="300"/>
        <v/>
      </c>
      <c r="BF1909" s="8" t="str">
        <f t="shared" si="301"/>
        <v/>
      </c>
      <c r="BG1909" s="11" t="str">
        <f t="shared" si="302"/>
        <v/>
      </c>
      <c r="BH1909" s="8" t="str">
        <f t="shared" si="303"/>
        <v/>
      </c>
      <c r="BI1909" s="8" t="str">
        <f t="shared" si="304"/>
        <v/>
      </c>
      <c r="BJ1909" s="9" t="str">
        <f t="shared" si="305"/>
        <v/>
      </c>
      <c r="BK1909" s="9" t="str">
        <f>IF($B1909="","",COUNTIFS($B$5:$B1909,$B1909,$BF$5:$BF1909,$BF1909))</f>
        <v/>
      </c>
      <c r="BL1909" s="9" t="str">
        <f>IF($B1909="","",COUNTIFS($B$5:$B1909,$B1909,$BH$5:$BH1909,$BH1909))</f>
        <v/>
      </c>
      <c r="BM1909" s="9" t="str">
        <f t="shared" si="306"/>
        <v/>
      </c>
      <c r="BN1909" s="9" t="str">
        <f t="shared" si="307"/>
        <v/>
      </c>
      <c r="BO1909" s="9">
        <f t="shared" si="308"/>
        <v>0</v>
      </c>
      <c r="BR1909" s="12" t="str">
        <f t="shared" si="309"/>
        <v/>
      </c>
    </row>
    <row r="1910" spans="1:70" ht="14.25" customHeight="1">
      <c r="A1910" s="26"/>
      <c r="C1910" s="26"/>
      <c r="D1910" s="27"/>
      <c r="E1910" s="27"/>
      <c r="BE1910" s="10" t="str">
        <f t="shared" si="300"/>
        <v/>
      </c>
      <c r="BF1910" s="8" t="str">
        <f t="shared" si="301"/>
        <v/>
      </c>
      <c r="BG1910" s="11" t="str">
        <f t="shared" si="302"/>
        <v/>
      </c>
      <c r="BH1910" s="8" t="str">
        <f t="shared" si="303"/>
        <v/>
      </c>
      <c r="BI1910" s="8" t="str">
        <f t="shared" si="304"/>
        <v/>
      </c>
      <c r="BJ1910" s="9" t="str">
        <f t="shared" si="305"/>
        <v/>
      </c>
      <c r="BK1910" s="9" t="str">
        <f>IF($B1910="","",COUNTIFS($B$5:$B1910,$B1910,$BF$5:$BF1910,$BF1910))</f>
        <v/>
      </c>
      <c r="BL1910" s="9" t="str">
        <f>IF($B1910="","",COUNTIFS($B$5:$B1910,$B1910,$BH$5:$BH1910,$BH1910))</f>
        <v/>
      </c>
      <c r="BM1910" s="9" t="str">
        <f t="shared" si="306"/>
        <v/>
      </c>
      <c r="BN1910" s="9" t="str">
        <f t="shared" si="307"/>
        <v/>
      </c>
      <c r="BO1910" s="9">
        <f t="shared" si="308"/>
        <v>0</v>
      </c>
      <c r="BR1910" s="12" t="str">
        <f t="shared" si="309"/>
        <v/>
      </c>
    </row>
    <row r="1911" spans="1:70" ht="14.25" customHeight="1">
      <c r="A1911" s="26"/>
      <c r="C1911" s="26"/>
      <c r="D1911" s="27"/>
      <c r="E1911" s="27"/>
      <c r="BE1911" s="10" t="str">
        <f t="shared" si="300"/>
        <v/>
      </c>
      <c r="BF1911" s="8" t="str">
        <f t="shared" si="301"/>
        <v/>
      </c>
      <c r="BG1911" s="11" t="str">
        <f t="shared" si="302"/>
        <v/>
      </c>
      <c r="BH1911" s="8" t="str">
        <f t="shared" si="303"/>
        <v/>
      </c>
      <c r="BI1911" s="8" t="str">
        <f t="shared" si="304"/>
        <v/>
      </c>
      <c r="BJ1911" s="9" t="str">
        <f t="shared" si="305"/>
        <v/>
      </c>
      <c r="BK1911" s="9" t="str">
        <f>IF($B1911="","",COUNTIFS($B$5:$B1911,$B1911,$BF$5:$BF1911,$BF1911))</f>
        <v/>
      </c>
      <c r="BL1911" s="9" t="str">
        <f>IF($B1911="","",COUNTIFS($B$5:$B1911,$B1911,$BH$5:$BH1911,$BH1911))</f>
        <v/>
      </c>
      <c r="BM1911" s="9" t="str">
        <f t="shared" si="306"/>
        <v/>
      </c>
      <c r="BN1911" s="9" t="str">
        <f t="shared" si="307"/>
        <v/>
      </c>
      <c r="BO1911" s="9">
        <f t="shared" si="308"/>
        <v>0</v>
      </c>
      <c r="BR1911" s="12" t="str">
        <f t="shared" si="309"/>
        <v/>
      </c>
    </row>
    <row r="1912" spans="1:70" ht="14.25" customHeight="1">
      <c r="A1912" s="26"/>
      <c r="C1912" s="26"/>
      <c r="D1912" s="27"/>
      <c r="E1912" s="27"/>
      <c r="BE1912" s="10" t="str">
        <f t="shared" si="300"/>
        <v/>
      </c>
      <c r="BF1912" s="8" t="str">
        <f t="shared" si="301"/>
        <v/>
      </c>
      <c r="BG1912" s="11" t="str">
        <f t="shared" si="302"/>
        <v/>
      </c>
      <c r="BH1912" s="8" t="str">
        <f t="shared" si="303"/>
        <v/>
      </c>
      <c r="BI1912" s="8" t="str">
        <f t="shared" si="304"/>
        <v/>
      </c>
      <c r="BJ1912" s="9" t="str">
        <f t="shared" si="305"/>
        <v/>
      </c>
      <c r="BK1912" s="9" t="str">
        <f>IF($B1912="","",COUNTIFS($B$5:$B1912,$B1912,$BF$5:$BF1912,$BF1912))</f>
        <v/>
      </c>
      <c r="BL1912" s="9" t="str">
        <f>IF($B1912="","",COUNTIFS($B$5:$B1912,$B1912,$BH$5:$BH1912,$BH1912))</f>
        <v/>
      </c>
      <c r="BM1912" s="9" t="str">
        <f t="shared" si="306"/>
        <v/>
      </c>
      <c r="BN1912" s="9" t="str">
        <f t="shared" si="307"/>
        <v/>
      </c>
      <c r="BO1912" s="9">
        <f t="shared" si="308"/>
        <v>0</v>
      </c>
      <c r="BR1912" s="12" t="str">
        <f t="shared" si="309"/>
        <v/>
      </c>
    </row>
    <row r="1913" spans="1:70" ht="14.25" customHeight="1">
      <c r="A1913" s="26"/>
      <c r="C1913" s="26"/>
      <c r="D1913" s="27"/>
      <c r="E1913" s="27"/>
      <c r="BE1913" s="10" t="str">
        <f t="shared" si="300"/>
        <v/>
      </c>
      <c r="BF1913" s="8" t="str">
        <f t="shared" si="301"/>
        <v/>
      </c>
      <c r="BG1913" s="11" t="str">
        <f t="shared" si="302"/>
        <v/>
      </c>
      <c r="BH1913" s="8" t="str">
        <f t="shared" si="303"/>
        <v/>
      </c>
      <c r="BI1913" s="8" t="str">
        <f t="shared" si="304"/>
        <v/>
      </c>
      <c r="BJ1913" s="9" t="str">
        <f t="shared" si="305"/>
        <v/>
      </c>
      <c r="BK1913" s="9" t="str">
        <f>IF($B1913="","",COUNTIFS($B$5:$B1913,$B1913,$BF$5:$BF1913,$BF1913))</f>
        <v/>
      </c>
      <c r="BL1913" s="9" t="str">
        <f>IF($B1913="","",COUNTIFS($B$5:$B1913,$B1913,$BH$5:$BH1913,$BH1913))</f>
        <v/>
      </c>
      <c r="BM1913" s="9" t="str">
        <f t="shared" si="306"/>
        <v/>
      </c>
      <c r="BN1913" s="9" t="str">
        <f t="shared" si="307"/>
        <v/>
      </c>
      <c r="BO1913" s="9">
        <f t="shared" si="308"/>
        <v>0</v>
      </c>
      <c r="BR1913" s="12" t="str">
        <f t="shared" si="309"/>
        <v/>
      </c>
    </row>
    <row r="1914" spans="1:70" ht="14.25" customHeight="1">
      <c r="A1914" s="26"/>
      <c r="C1914" s="26"/>
      <c r="D1914" s="27"/>
      <c r="E1914" s="27"/>
      <c r="BE1914" s="10" t="str">
        <f t="shared" si="300"/>
        <v/>
      </c>
      <c r="BF1914" s="8" t="str">
        <f t="shared" si="301"/>
        <v/>
      </c>
      <c r="BG1914" s="11" t="str">
        <f t="shared" si="302"/>
        <v/>
      </c>
      <c r="BH1914" s="8" t="str">
        <f t="shared" si="303"/>
        <v/>
      </c>
      <c r="BI1914" s="8" t="str">
        <f t="shared" si="304"/>
        <v/>
      </c>
      <c r="BJ1914" s="9" t="str">
        <f t="shared" si="305"/>
        <v/>
      </c>
      <c r="BK1914" s="9" t="str">
        <f>IF($B1914="","",COUNTIFS($B$5:$B1914,$B1914,$BF$5:$BF1914,$BF1914))</f>
        <v/>
      </c>
      <c r="BL1914" s="9" t="str">
        <f>IF($B1914="","",COUNTIFS($B$5:$B1914,$B1914,$BH$5:$BH1914,$BH1914))</f>
        <v/>
      </c>
      <c r="BM1914" s="9" t="str">
        <f t="shared" si="306"/>
        <v/>
      </c>
      <c r="BN1914" s="9" t="str">
        <f t="shared" si="307"/>
        <v/>
      </c>
      <c r="BO1914" s="9">
        <f t="shared" si="308"/>
        <v>0</v>
      </c>
      <c r="BR1914" s="12" t="str">
        <f t="shared" si="309"/>
        <v/>
      </c>
    </row>
    <row r="1915" spans="1:70" ht="14.25" customHeight="1">
      <c r="A1915" s="26"/>
      <c r="C1915" s="26"/>
      <c r="D1915" s="27"/>
      <c r="E1915" s="27"/>
      <c r="BE1915" s="10" t="str">
        <f t="shared" si="300"/>
        <v/>
      </c>
      <c r="BF1915" s="8" t="str">
        <f t="shared" si="301"/>
        <v/>
      </c>
      <c r="BG1915" s="11" t="str">
        <f t="shared" si="302"/>
        <v/>
      </c>
      <c r="BH1915" s="8" t="str">
        <f t="shared" si="303"/>
        <v/>
      </c>
      <c r="BI1915" s="8" t="str">
        <f t="shared" si="304"/>
        <v/>
      </c>
      <c r="BJ1915" s="9" t="str">
        <f t="shared" si="305"/>
        <v/>
      </c>
      <c r="BK1915" s="9" t="str">
        <f>IF($B1915="","",COUNTIFS($B$5:$B1915,$B1915,$BF$5:$BF1915,$BF1915))</f>
        <v/>
      </c>
      <c r="BL1915" s="9" t="str">
        <f>IF($B1915="","",COUNTIFS($B$5:$B1915,$B1915,$BH$5:$BH1915,$BH1915))</f>
        <v/>
      </c>
      <c r="BM1915" s="9" t="str">
        <f t="shared" si="306"/>
        <v/>
      </c>
      <c r="BN1915" s="9" t="str">
        <f t="shared" si="307"/>
        <v/>
      </c>
      <c r="BO1915" s="9">
        <f t="shared" si="308"/>
        <v>0</v>
      </c>
      <c r="BR1915" s="12" t="str">
        <f t="shared" si="309"/>
        <v/>
      </c>
    </row>
    <row r="1916" spans="1:70" ht="14.25" customHeight="1">
      <c r="A1916" s="26"/>
      <c r="C1916" s="26"/>
      <c r="D1916" s="27"/>
      <c r="E1916" s="27"/>
      <c r="BE1916" s="10" t="str">
        <f t="shared" si="300"/>
        <v/>
      </c>
      <c r="BF1916" s="8" t="str">
        <f t="shared" si="301"/>
        <v/>
      </c>
      <c r="BG1916" s="11" t="str">
        <f t="shared" si="302"/>
        <v/>
      </c>
      <c r="BH1916" s="8" t="str">
        <f t="shared" si="303"/>
        <v/>
      </c>
      <c r="BI1916" s="8" t="str">
        <f t="shared" si="304"/>
        <v/>
      </c>
      <c r="BJ1916" s="9" t="str">
        <f t="shared" si="305"/>
        <v/>
      </c>
      <c r="BK1916" s="9" t="str">
        <f>IF($B1916="","",COUNTIFS($B$5:$B1916,$B1916,$BF$5:$BF1916,$BF1916))</f>
        <v/>
      </c>
      <c r="BL1916" s="9" t="str">
        <f>IF($B1916="","",COUNTIFS($B$5:$B1916,$B1916,$BH$5:$BH1916,$BH1916))</f>
        <v/>
      </c>
      <c r="BM1916" s="9" t="str">
        <f t="shared" si="306"/>
        <v/>
      </c>
      <c r="BN1916" s="9" t="str">
        <f t="shared" si="307"/>
        <v/>
      </c>
      <c r="BO1916" s="9">
        <f t="shared" si="308"/>
        <v>0</v>
      </c>
      <c r="BR1916" s="12" t="str">
        <f t="shared" si="309"/>
        <v/>
      </c>
    </row>
    <row r="1917" spans="1:70" ht="14.25" customHeight="1">
      <c r="A1917" s="26"/>
      <c r="C1917" s="26"/>
      <c r="D1917" s="27"/>
      <c r="E1917" s="27"/>
      <c r="BE1917" s="10" t="str">
        <f t="shared" si="300"/>
        <v/>
      </c>
      <c r="BF1917" s="8" t="str">
        <f t="shared" si="301"/>
        <v/>
      </c>
      <c r="BG1917" s="11" t="str">
        <f t="shared" si="302"/>
        <v/>
      </c>
      <c r="BH1917" s="8" t="str">
        <f t="shared" si="303"/>
        <v/>
      </c>
      <c r="BI1917" s="8" t="str">
        <f t="shared" si="304"/>
        <v/>
      </c>
      <c r="BJ1917" s="9" t="str">
        <f t="shared" si="305"/>
        <v/>
      </c>
      <c r="BK1917" s="9" t="str">
        <f>IF($B1917="","",COUNTIFS($B$5:$B1917,$B1917,$BF$5:$BF1917,$BF1917))</f>
        <v/>
      </c>
      <c r="BL1917" s="9" t="str">
        <f>IF($B1917="","",COUNTIFS($B$5:$B1917,$B1917,$BH$5:$BH1917,$BH1917))</f>
        <v/>
      </c>
      <c r="BM1917" s="9" t="str">
        <f t="shared" si="306"/>
        <v/>
      </c>
      <c r="BN1917" s="9" t="str">
        <f t="shared" si="307"/>
        <v/>
      </c>
      <c r="BO1917" s="9">
        <f t="shared" si="308"/>
        <v>0</v>
      </c>
      <c r="BR1917" s="12" t="str">
        <f t="shared" si="309"/>
        <v/>
      </c>
    </row>
    <row r="1918" spans="1:70" ht="14.25" customHeight="1">
      <c r="A1918" s="26"/>
      <c r="C1918" s="26"/>
      <c r="D1918" s="27"/>
      <c r="E1918" s="27"/>
      <c r="BE1918" s="10" t="str">
        <f t="shared" si="300"/>
        <v/>
      </c>
      <c r="BF1918" s="8" t="str">
        <f t="shared" si="301"/>
        <v/>
      </c>
      <c r="BG1918" s="11" t="str">
        <f t="shared" si="302"/>
        <v/>
      </c>
      <c r="BH1918" s="8" t="str">
        <f t="shared" si="303"/>
        <v/>
      </c>
      <c r="BI1918" s="8" t="str">
        <f t="shared" si="304"/>
        <v/>
      </c>
      <c r="BJ1918" s="9" t="str">
        <f t="shared" si="305"/>
        <v/>
      </c>
      <c r="BK1918" s="9" t="str">
        <f>IF($B1918="","",COUNTIFS($B$5:$B1918,$B1918,$BF$5:$BF1918,$BF1918))</f>
        <v/>
      </c>
      <c r="BL1918" s="9" t="str">
        <f>IF($B1918="","",COUNTIFS($B$5:$B1918,$B1918,$BH$5:$BH1918,$BH1918))</f>
        <v/>
      </c>
      <c r="BM1918" s="9" t="str">
        <f t="shared" si="306"/>
        <v/>
      </c>
      <c r="BN1918" s="9" t="str">
        <f t="shared" si="307"/>
        <v/>
      </c>
      <c r="BO1918" s="9">
        <f t="shared" si="308"/>
        <v>0</v>
      </c>
      <c r="BR1918" s="12" t="str">
        <f t="shared" si="309"/>
        <v/>
      </c>
    </row>
    <row r="1919" spans="1:70" ht="14.25" customHeight="1">
      <c r="A1919" s="26"/>
      <c r="C1919" s="26"/>
      <c r="D1919" s="27"/>
      <c r="E1919" s="27"/>
      <c r="BE1919" s="10" t="str">
        <f t="shared" si="300"/>
        <v/>
      </c>
      <c r="BF1919" s="8" t="str">
        <f t="shared" si="301"/>
        <v/>
      </c>
      <c r="BG1919" s="11" t="str">
        <f t="shared" si="302"/>
        <v/>
      </c>
      <c r="BH1919" s="8" t="str">
        <f t="shared" si="303"/>
        <v/>
      </c>
      <c r="BI1919" s="8" t="str">
        <f t="shared" si="304"/>
        <v/>
      </c>
      <c r="BJ1919" s="9" t="str">
        <f t="shared" si="305"/>
        <v/>
      </c>
      <c r="BK1919" s="9" t="str">
        <f>IF($B1919="","",COUNTIFS($B$5:$B1919,$B1919,$BF$5:$BF1919,$BF1919))</f>
        <v/>
      </c>
      <c r="BL1919" s="9" t="str">
        <f>IF($B1919="","",COUNTIFS($B$5:$B1919,$B1919,$BH$5:$BH1919,$BH1919))</f>
        <v/>
      </c>
      <c r="BM1919" s="9" t="str">
        <f t="shared" si="306"/>
        <v/>
      </c>
      <c r="BN1919" s="9" t="str">
        <f t="shared" si="307"/>
        <v/>
      </c>
      <c r="BO1919" s="9">
        <f t="shared" si="308"/>
        <v>0</v>
      </c>
      <c r="BR1919" s="12" t="str">
        <f t="shared" si="309"/>
        <v/>
      </c>
    </row>
    <row r="1920" spans="1:70" ht="14.25" customHeight="1">
      <c r="A1920" s="26"/>
      <c r="C1920" s="26"/>
      <c r="D1920" s="27"/>
      <c r="E1920" s="27"/>
      <c r="BE1920" s="10" t="str">
        <f t="shared" si="300"/>
        <v/>
      </c>
      <c r="BF1920" s="8" t="str">
        <f t="shared" si="301"/>
        <v/>
      </c>
      <c r="BG1920" s="11" t="str">
        <f t="shared" si="302"/>
        <v/>
      </c>
      <c r="BH1920" s="8" t="str">
        <f t="shared" si="303"/>
        <v/>
      </c>
      <c r="BI1920" s="8" t="str">
        <f t="shared" si="304"/>
        <v/>
      </c>
      <c r="BJ1920" s="9" t="str">
        <f t="shared" si="305"/>
        <v/>
      </c>
      <c r="BK1920" s="9" t="str">
        <f>IF($B1920="","",COUNTIFS($B$5:$B1920,$B1920,$BF$5:$BF1920,$BF1920))</f>
        <v/>
      </c>
      <c r="BL1920" s="9" t="str">
        <f>IF($B1920="","",COUNTIFS($B$5:$B1920,$B1920,$BH$5:$BH1920,$BH1920))</f>
        <v/>
      </c>
      <c r="BM1920" s="9" t="str">
        <f t="shared" si="306"/>
        <v/>
      </c>
      <c r="BN1920" s="9" t="str">
        <f t="shared" si="307"/>
        <v/>
      </c>
      <c r="BO1920" s="9">
        <f t="shared" si="308"/>
        <v>0</v>
      </c>
      <c r="BR1920" s="12" t="str">
        <f t="shared" si="309"/>
        <v/>
      </c>
    </row>
    <row r="1921" spans="1:70" ht="14.25" customHeight="1">
      <c r="A1921" s="26"/>
      <c r="C1921" s="26"/>
      <c r="D1921" s="27"/>
      <c r="E1921" s="27"/>
      <c r="BE1921" s="10" t="str">
        <f t="shared" si="300"/>
        <v/>
      </c>
      <c r="BF1921" s="8" t="str">
        <f t="shared" si="301"/>
        <v/>
      </c>
      <c r="BG1921" s="11" t="str">
        <f t="shared" si="302"/>
        <v/>
      </c>
      <c r="BH1921" s="8" t="str">
        <f t="shared" si="303"/>
        <v/>
      </c>
      <c r="BI1921" s="8" t="str">
        <f t="shared" si="304"/>
        <v/>
      </c>
      <c r="BJ1921" s="9" t="str">
        <f t="shared" si="305"/>
        <v/>
      </c>
      <c r="BK1921" s="9" t="str">
        <f>IF($B1921="","",COUNTIFS($B$5:$B1921,$B1921,$BF$5:$BF1921,$BF1921))</f>
        <v/>
      </c>
      <c r="BL1921" s="9" t="str">
        <f>IF($B1921="","",COUNTIFS($B$5:$B1921,$B1921,$BH$5:$BH1921,$BH1921))</f>
        <v/>
      </c>
      <c r="BM1921" s="9" t="str">
        <f t="shared" si="306"/>
        <v/>
      </c>
      <c r="BN1921" s="9" t="str">
        <f t="shared" si="307"/>
        <v/>
      </c>
      <c r="BO1921" s="9">
        <f t="shared" si="308"/>
        <v>0</v>
      </c>
      <c r="BR1921" s="12" t="str">
        <f t="shared" si="309"/>
        <v/>
      </c>
    </row>
    <row r="1922" spans="1:70" ht="14.25" customHeight="1">
      <c r="A1922" s="26"/>
      <c r="C1922" s="26"/>
      <c r="D1922" s="27"/>
      <c r="E1922" s="27"/>
      <c r="BE1922" s="10" t="str">
        <f t="shared" si="300"/>
        <v/>
      </c>
      <c r="BF1922" s="8" t="str">
        <f t="shared" si="301"/>
        <v/>
      </c>
      <c r="BG1922" s="11" t="str">
        <f t="shared" si="302"/>
        <v/>
      </c>
      <c r="BH1922" s="8" t="str">
        <f t="shared" si="303"/>
        <v/>
      </c>
      <c r="BI1922" s="8" t="str">
        <f t="shared" si="304"/>
        <v/>
      </c>
      <c r="BJ1922" s="9" t="str">
        <f t="shared" si="305"/>
        <v/>
      </c>
      <c r="BK1922" s="9" t="str">
        <f>IF($B1922="","",COUNTIFS($B$5:$B1922,$B1922,$BF$5:$BF1922,$BF1922))</f>
        <v/>
      </c>
      <c r="BL1922" s="9" t="str">
        <f>IF($B1922="","",COUNTIFS($B$5:$B1922,$B1922,$BH$5:$BH1922,$BH1922))</f>
        <v/>
      </c>
      <c r="BM1922" s="9" t="str">
        <f t="shared" si="306"/>
        <v/>
      </c>
      <c r="BN1922" s="9" t="str">
        <f t="shared" si="307"/>
        <v/>
      </c>
      <c r="BO1922" s="9">
        <f t="shared" si="308"/>
        <v>0</v>
      </c>
      <c r="BR1922" s="12" t="str">
        <f t="shared" si="309"/>
        <v/>
      </c>
    </row>
    <row r="1923" spans="1:70" ht="14.25" customHeight="1">
      <c r="A1923" s="26"/>
      <c r="C1923" s="26"/>
      <c r="D1923" s="27"/>
      <c r="E1923" s="27"/>
      <c r="BE1923" s="10" t="str">
        <f t="shared" si="300"/>
        <v/>
      </c>
      <c r="BF1923" s="8" t="str">
        <f t="shared" si="301"/>
        <v/>
      </c>
      <c r="BG1923" s="11" t="str">
        <f t="shared" si="302"/>
        <v/>
      </c>
      <c r="BH1923" s="8" t="str">
        <f t="shared" si="303"/>
        <v/>
      </c>
      <c r="BI1923" s="8" t="str">
        <f t="shared" si="304"/>
        <v/>
      </c>
      <c r="BJ1923" s="9" t="str">
        <f t="shared" si="305"/>
        <v/>
      </c>
      <c r="BK1923" s="9" t="str">
        <f>IF($B1923="","",COUNTIFS($B$5:$B1923,$B1923,$BF$5:$BF1923,$BF1923))</f>
        <v/>
      </c>
      <c r="BL1923" s="9" t="str">
        <f>IF($B1923="","",COUNTIFS($B$5:$B1923,$B1923,$BH$5:$BH1923,$BH1923))</f>
        <v/>
      </c>
      <c r="BM1923" s="9" t="str">
        <f t="shared" si="306"/>
        <v/>
      </c>
      <c r="BN1923" s="9" t="str">
        <f t="shared" si="307"/>
        <v/>
      </c>
      <c r="BO1923" s="9">
        <f t="shared" si="308"/>
        <v>0</v>
      </c>
      <c r="BR1923" s="12" t="str">
        <f t="shared" si="309"/>
        <v/>
      </c>
    </row>
    <row r="1924" spans="1:70" ht="14.25" customHeight="1">
      <c r="A1924" s="26"/>
      <c r="C1924" s="26"/>
      <c r="D1924" s="27"/>
      <c r="E1924" s="27"/>
      <c r="BE1924" s="10" t="str">
        <f t="shared" si="300"/>
        <v/>
      </c>
      <c r="BF1924" s="8" t="str">
        <f t="shared" si="301"/>
        <v/>
      </c>
      <c r="BG1924" s="11" t="str">
        <f t="shared" si="302"/>
        <v/>
      </c>
      <c r="BH1924" s="8" t="str">
        <f t="shared" si="303"/>
        <v/>
      </c>
      <c r="BI1924" s="8" t="str">
        <f t="shared" si="304"/>
        <v/>
      </c>
      <c r="BJ1924" s="9" t="str">
        <f t="shared" si="305"/>
        <v/>
      </c>
      <c r="BK1924" s="9" t="str">
        <f>IF($B1924="","",COUNTIFS($B$5:$B1924,$B1924,$BF$5:$BF1924,$BF1924))</f>
        <v/>
      </c>
      <c r="BL1924" s="9" t="str">
        <f>IF($B1924="","",COUNTIFS($B$5:$B1924,$B1924,$BH$5:$BH1924,$BH1924))</f>
        <v/>
      </c>
      <c r="BM1924" s="9" t="str">
        <f t="shared" si="306"/>
        <v/>
      </c>
      <c r="BN1924" s="9" t="str">
        <f t="shared" si="307"/>
        <v/>
      </c>
      <c r="BO1924" s="9">
        <f t="shared" si="308"/>
        <v>0</v>
      </c>
      <c r="BR1924" s="12" t="str">
        <f t="shared" si="309"/>
        <v/>
      </c>
    </row>
    <row r="1925" spans="1:70" ht="14.25" customHeight="1">
      <c r="A1925" s="26"/>
      <c r="C1925" s="26"/>
      <c r="D1925" s="27"/>
      <c r="E1925" s="27"/>
      <c r="BE1925" s="10" t="str">
        <f t="shared" si="300"/>
        <v/>
      </c>
      <c r="BF1925" s="8" t="str">
        <f t="shared" si="301"/>
        <v/>
      </c>
      <c r="BG1925" s="11" t="str">
        <f t="shared" si="302"/>
        <v/>
      </c>
      <c r="BH1925" s="8" t="str">
        <f t="shared" si="303"/>
        <v/>
      </c>
      <c r="BI1925" s="8" t="str">
        <f t="shared" si="304"/>
        <v/>
      </c>
      <c r="BJ1925" s="9" t="str">
        <f t="shared" si="305"/>
        <v/>
      </c>
      <c r="BK1925" s="9" t="str">
        <f>IF($B1925="","",COUNTIFS($B$5:$B1925,$B1925,$BF$5:$BF1925,$BF1925))</f>
        <v/>
      </c>
      <c r="BL1925" s="9" t="str">
        <f>IF($B1925="","",COUNTIFS($B$5:$B1925,$B1925,$BH$5:$BH1925,$BH1925))</f>
        <v/>
      </c>
      <c r="BM1925" s="9" t="str">
        <f t="shared" si="306"/>
        <v/>
      </c>
      <c r="BN1925" s="9" t="str">
        <f t="shared" si="307"/>
        <v/>
      </c>
      <c r="BO1925" s="9">
        <f t="shared" si="308"/>
        <v>0</v>
      </c>
      <c r="BR1925" s="12" t="str">
        <f t="shared" si="309"/>
        <v/>
      </c>
    </row>
    <row r="1926" spans="1:70" ht="14.25" customHeight="1">
      <c r="A1926" s="26"/>
      <c r="C1926" s="26"/>
      <c r="D1926" s="27"/>
      <c r="E1926" s="27"/>
      <c r="BE1926" s="10" t="str">
        <f t="shared" si="300"/>
        <v/>
      </c>
      <c r="BF1926" s="8" t="str">
        <f t="shared" si="301"/>
        <v/>
      </c>
      <c r="BG1926" s="11" t="str">
        <f t="shared" si="302"/>
        <v/>
      </c>
      <c r="BH1926" s="8" t="str">
        <f t="shared" si="303"/>
        <v/>
      </c>
      <c r="BI1926" s="8" t="str">
        <f t="shared" si="304"/>
        <v/>
      </c>
      <c r="BJ1926" s="9" t="str">
        <f t="shared" si="305"/>
        <v/>
      </c>
      <c r="BK1926" s="9" t="str">
        <f>IF($B1926="","",COUNTIFS($B$5:$B1926,$B1926,$BF$5:$BF1926,$BF1926))</f>
        <v/>
      </c>
      <c r="BL1926" s="9" t="str">
        <f>IF($B1926="","",COUNTIFS($B$5:$B1926,$B1926,$BH$5:$BH1926,$BH1926))</f>
        <v/>
      </c>
      <c r="BM1926" s="9" t="str">
        <f t="shared" si="306"/>
        <v/>
      </c>
      <c r="BN1926" s="9" t="str">
        <f t="shared" si="307"/>
        <v/>
      </c>
      <c r="BO1926" s="9">
        <f t="shared" si="308"/>
        <v>0</v>
      </c>
      <c r="BR1926" s="12" t="str">
        <f t="shared" si="309"/>
        <v/>
      </c>
    </row>
    <row r="1927" spans="1:70" ht="14.25" customHeight="1">
      <c r="A1927" s="26"/>
      <c r="C1927" s="26"/>
      <c r="D1927" s="27"/>
      <c r="E1927" s="27"/>
      <c r="BE1927" s="10" t="str">
        <f t="shared" si="300"/>
        <v/>
      </c>
      <c r="BF1927" s="8" t="str">
        <f t="shared" si="301"/>
        <v/>
      </c>
      <c r="BG1927" s="11" t="str">
        <f t="shared" si="302"/>
        <v/>
      </c>
      <c r="BH1927" s="8" t="str">
        <f t="shared" si="303"/>
        <v/>
      </c>
      <c r="BI1927" s="8" t="str">
        <f t="shared" si="304"/>
        <v/>
      </c>
      <c r="BJ1927" s="9" t="str">
        <f t="shared" si="305"/>
        <v/>
      </c>
      <c r="BK1927" s="9" t="str">
        <f>IF($B1927="","",COUNTIFS($B$5:$B1927,$B1927,$BF$5:$BF1927,$BF1927))</f>
        <v/>
      </c>
      <c r="BL1927" s="9" t="str">
        <f>IF($B1927="","",COUNTIFS($B$5:$B1927,$B1927,$BH$5:$BH1927,$BH1927))</f>
        <v/>
      </c>
      <c r="BM1927" s="9" t="str">
        <f t="shared" si="306"/>
        <v/>
      </c>
      <c r="BN1927" s="9" t="str">
        <f t="shared" si="307"/>
        <v/>
      </c>
      <c r="BO1927" s="9">
        <f t="shared" si="308"/>
        <v>0</v>
      </c>
      <c r="BR1927" s="12" t="str">
        <f t="shared" si="309"/>
        <v/>
      </c>
    </row>
    <row r="1928" spans="1:70" ht="14.25" customHeight="1">
      <c r="A1928" s="26"/>
      <c r="C1928" s="26"/>
      <c r="D1928" s="27"/>
      <c r="E1928" s="27"/>
      <c r="BE1928" s="10" t="str">
        <f t="shared" si="300"/>
        <v/>
      </c>
      <c r="BF1928" s="8" t="str">
        <f t="shared" si="301"/>
        <v/>
      </c>
      <c r="BG1928" s="11" t="str">
        <f t="shared" si="302"/>
        <v/>
      </c>
      <c r="BH1928" s="8" t="str">
        <f t="shared" si="303"/>
        <v/>
      </c>
      <c r="BI1928" s="8" t="str">
        <f t="shared" si="304"/>
        <v/>
      </c>
      <c r="BJ1928" s="9" t="str">
        <f t="shared" si="305"/>
        <v/>
      </c>
      <c r="BK1928" s="9" t="str">
        <f>IF($B1928="","",COUNTIFS($B$5:$B1928,$B1928,$BF$5:$BF1928,$BF1928))</f>
        <v/>
      </c>
      <c r="BL1928" s="9" t="str">
        <f>IF($B1928="","",COUNTIFS($B$5:$B1928,$B1928,$BH$5:$BH1928,$BH1928))</f>
        <v/>
      </c>
      <c r="BM1928" s="9" t="str">
        <f t="shared" si="306"/>
        <v/>
      </c>
      <c r="BN1928" s="9" t="str">
        <f t="shared" si="307"/>
        <v/>
      </c>
      <c r="BO1928" s="9">
        <f t="shared" si="308"/>
        <v>0</v>
      </c>
      <c r="BR1928" s="12" t="str">
        <f t="shared" si="309"/>
        <v/>
      </c>
    </row>
    <row r="1929" spans="1:70" ht="14.25" customHeight="1">
      <c r="A1929" s="26"/>
      <c r="C1929" s="26"/>
      <c r="D1929" s="27"/>
      <c r="E1929" s="27"/>
      <c r="BE1929" s="10" t="str">
        <f t="shared" si="300"/>
        <v/>
      </c>
      <c r="BF1929" s="8" t="str">
        <f t="shared" si="301"/>
        <v/>
      </c>
      <c r="BG1929" s="11" t="str">
        <f t="shared" si="302"/>
        <v/>
      </c>
      <c r="BH1929" s="8" t="str">
        <f t="shared" si="303"/>
        <v/>
      </c>
      <c r="BI1929" s="8" t="str">
        <f t="shared" si="304"/>
        <v/>
      </c>
      <c r="BJ1929" s="9" t="str">
        <f t="shared" si="305"/>
        <v/>
      </c>
      <c r="BK1929" s="9" t="str">
        <f>IF($B1929="","",COUNTIFS($B$5:$B1929,$B1929,$BF$5:$BF1929,$BF1929))</f>
        <v/>
      </c>
      <c r="BL1929" s="9" t="str">
        <f>IF($B1929="","",COUNTIFS($B$5:$B1929,$B1929,$BH$5:$BH1929,$BH1929))</f>
        <v/>
      </c>
      <c r="BM1929" s="9" t="str">
        <f t="shared" si="306"/>
        <v/>
      </c>
      <c r="BN1929" s="9" t="str">
        <f t="shared" si="307"/>
        <v/>
      </c>
      <c r="BO1929" s="9">
        <f t="shared" si="308"/>
        <v>0</v>
      </c>
      <c r="BR1929" s="12" t="str">
        <f t="shared" si="309"/>
        <v/>
      </c>
    </row>
    <row r="1930" spans="1:70" ht="14.25" customHeight="1">
      <c r="A1930" s="26"/>
      <c r="C1930" s="26"/>
      <c r="D1930" s="27"/>
      <c r="E1930" s="27"/>
      <c r="BE1930" s="10" t="str">
        <f t="shared" si="300"/>
        <v/>
      </c>
      <c r="BF1930" s="8" t="str">
        <f t="shared" si="301"/>
        <v/>
      </c>
      <c r="BG1930" s="11" t="str">
        <f t="shared" si="302"/>
        <v/>
      </c>
      <c r="BH1930" s="8" t="str">
        <f t="shared" si="303"/>
        <v/>
      </c>
      <c r="BI1930" s="8" t="str">
        <f t="shared" si="304"/>
        <v/>
      </c>
      <c r="BJ1930" s="9" t="str">
        <f t="shared" si="305"/>
        <v/>
      </c>
      <c r="BK1930" s="9" t="str">
        <f>IF($B1930="","",COUNTIFS($B$5:$B1930,$B1930,$BF$5:$BF1930,$BF1930))</f>
        <v/>
      </c>
      <c r="BL1930" s="9" t="str">
        <f>IF($B1930="","",COUNTIFS($B$5:$B1930,$B1930,$BH$5:$BH1930,$BH1930))</f>
        <v/>
      </c>
      <c r="BM1930" s="9" t="str">
        <f t="shared" si="306"/>
        <v/>
      </c>
      <c r="BN1930" s="9" t="str">
        <f t="shared" si="307"/>
        <v/>
      </c>
      <c r="BO1930" s="9">
        <f t="shared" si="308"/>
        <v>0</v>
      </c>
      <c r="BR1930" s="12" t="str">
        <f t="shared" si="309"/>
        <v/>
      </c>
    </row>
    <row r="1931" spans="1:70" ht="14.25" customHeight="1">
      <c r="A1931" s="26"/>
      <c r="C1931" s="26"/>
      <c r="D1931" s="27"/>
      <c r="E1931" s="27"/>
      <c r="BE1931" s="10" t="str">
        <f t="shared" si="300"/>
        <v/>
      </c>
      <c r="BF1931" s="8" t="str">
        <f t="shared" si="301"/>
        <v/>
      </c>
      <c r="BG1931" s="11" t="str">
        <f t="shared" si="302"/>
        <v/>
      </c>
      <c r="BH1931" s="8" t="str">
        <f t="shared" si="303"/>
        <v/>
      </c>
      <c r="BI1931" s="8" t="str">
        <f t="shared" si="304"/>
        <v/>
      </c>
      <c r="BJ1931" s="9" t="str">
        <f t="shared" si="305"/>
        <v/>
      </c>
      <c r="BK1931" s="9" t="str">
        <f>IF($B1931="","",COUNTIFS($B$5:$B1931,$B1931,$BF$5:$BF1931,$BF1931))</f>
        <v/>
      </c>
      <c r="BL1931" s="9" t="str">
        <f>IF($B1931="","",COUNTIFS($B$5:$B1931,$B1931,$BH$5:$BH1931,$BH1931))</f>
        <v/>
      </c>
      <c r="BM1931" s="9" t="str">
        <f t="shared" si="306"/>
        <v/>
      </c>
      <c r="BN1931" s="9" t="str">
        <f t="shared" si="307"/>
        <v/>
      </c>
      <c r="BO1931" s="9">
        <f t="shared" si="308"/>
        <v>0</v>
      </c>
      <c r="BR1931" s="12" t="str">
        <f t="shared" si="309"/>
        <v/>
      </c>
    </row>
    <row r="1932" spans="1:70" ht="14.25" customHeight="1">
      <c r="A1932" s="26"/>
      <c r="C1932" s="26"/>
      <c r="D1932" s="27"/>
      <c r="E1932" s="27"/>
      <c r="BE1932" s="10" t="str">
        <f t="shared" si="300"/>
        <v/>
      </c>
      <c r="BF1932" s="8" t="str">
        <f t="shared" si="301"/>
        <v/>
      </c>
      <c r="BG1932" s="11" t="str">
        <f t="shared" si="302"/>
        <v/>
      </c>
      <c r="BH1932" s="8" t="str">
        <f t="shared" si="303"/>
        <v/>
      </c>
      <c r="BI1932" s="8" t="str">
        <f t="shared" si="304"/>
        <v/>
      </c>
      <c r="BJ1932" s="9" t="str">
        <f t="shared" si="305"/>
        <v/>
      </c>
      <c r="BK1932" s="9" t="str">
        <f>IF($B1932="","",COUNTIFS($B$5:$B1932,$B1932,$BF$5:$BF1932,$BF1932))</f>
        <v/>
      </c>
      <c r="BL1932" s="9" t="str">
        <f>IF($B1932="","",COUNTIFS($B$5:$B1932,$B1932,$BH$5:$BH1932,$BH1932))</f>
        <v/>
      </c>
      <c r="BM1932" s="9" t="str">
        <f t="shared" si="306"/>
        <v/>
      </c>
      <c r="BN1932" s="9" t="str">
        <f t="shared" si="307"/>
        <v/>
      </c>
      <c r="BO1932" s="9">
        <f t="shared" si="308"/>
        <v>0</v>
      </c>
      <c r="BR1932" s="12" t="str">
        <f t="shared" si="309"/>
        <v/>
      </c>
    </row>
    <row r="1933" spans="1:70" ht="14.25" customHeight="1">
      <c r="A1933" s="26"/>
      <c r="C1933" s="26"/>
      <c r="D1933" s="27"/>
      <c r="E1933" s="27"/>
      <c r="BE1933" s="10" t="str">
        <f t="shared" si="300"/>
        <v/>
      </c>
      <c r="BF1933" s="8" t="str">
        <f t="shared" si="301"/>
        <v/>
      </c>
      <c r="BG1933" s="11" t="str">
        <f t="shared" si="302"/>
        <v/>
      </c>
      <c r="BH1933" s="8" t="str">
        <f t="shared" si="303"/>
        <v/>
      </c>
      <c r="BI1933" s="8" t="str">
        <f t="shared" si="304"/>
        <v/>
      </c>
      <c r="BJ1933" s="9" t="str">
        <f t="shared" si="305"/>
        <v/>
      </c>
      <c r="BK1933" s="9" t="str">
        <f>IF($B1933="","",COUNTIFS($B$5:$B1933,$B1933,$BF$5:$BF1933,$BF1933))</f>
        <v/>
      </c>
      <c r="BL1933" s="9" t="str">
        <f>IF($B1933="","",COUNTIFS($B$5:$B1933,$B1933,$BH$5:$BH1933,$BH1933))</f>
        <v/>
      </c>
      <c r="BM1933" s="9" t="str">
        <f t="shared" si="306"/>
        <v/>
      </c>
      <c r="BN1933" s="9" t="str">
        <f t="shared" si="307"/>
        <v/>
      </c>
      <c r="BO1933" s="9">
        <f t="shared" si="308"/>
        <v>0</v>
      </c>
      <c r="BR1933" s="12" t="str">
        <f t="shared" si="309"/>
        <v/>
      </c>
    </row>
    <row r="1934" spans="1:70" ht="14.25" customHeight="1">
      <c r="A1934" s="26"/>
      <c r="C1934" s="26"/>
      <c r="D1934" s="27"/>
      <c r="E1934" s="27"/>
      <c r="BE1934" s="10" t="str">
        <f t="shared" si="300"/>
        <v/>
      </c>
      <c r="BF1934" s="8" t="str">
        <f t="shared" si="301"/>
        <v/>
      </c>
      <c r="BG1934" s="11" t="str">
        <f t="shared" si="302"/>
        <v/>
      </c>
      <c r="BH1934" s="8" t="str">
        <f t="shared" si="303"/>
        <v/>
      </c>
      <c r="BI1934" s="8" t="str">
        <f t="shared" si="304"/>
        <v/>
      </c>
      <c r="BJ1934" s="9" t="str">
        <f t="shared" si="305"/>
        <v/>
      </c>
      <c r="BK1934" s="9" t="str">
        <f>IF($B1934="","",COUNTIFS($B$5:$B1934,$B1934,$BF$5:$BF1934,$BF1934))</f>
        <v/>
      </c>
      <c r="BL1934" s="9" t="str">
        <f>IF($B1934="","",COUNTIFS($B$5:$B1934,$B1934,$BH$5:$BH1934,$BH1934))</f>
        <v/>
      </c>
      <c r="BM1934" s="9" t="str">
        <f t="shared" si="306"/>
        <v/>
      </c>
      <c r="BN1934" s="9" t="str">
        <f t="shared" si="307"/>
        <v/>
      </c>
      <c r="BO1934" s="9">
        <f t="shared" si="308"/>
        <v>0</v>
      </c>
      <c r="BR1934" s="12" t="str">
        <f t="shared" si="309"/>
        <v/>
      </c>
    </row>
    <row r="1935" spans="1:70" ht="14.25" customHeight="1">
      <c r="A1935" s="26"/>
      <c r="C1935" s="26"/>
      <c r="D1935" s="27"/>
      <c r="E1935" s="27"/>
      <c r="BE1935" s="10" t="str">
        <f t="shared" si="300"/>
        <v/>
      </c>
      <c r="BF1935" s="8" t="str">
        <f t="shared" si="301"/>
        <v/>
      </c>
      <c r="BG1935" s="11" t="str">
        <f t="shared" si="302"/>
        <v/>
      </c>
      <c r="BH1935" s="8" t="str">
        <f t="shared" si="303"/>
        <v/>
      </c>
      <c r="BI1935" s="8" t="str">
        <f t="shared" si="304"/>
        <v/>
      </c>
      <c r="BJ1935" s="9" t="str">
        <f t="shared" si="305"/>
        <v/>
      </c>
      <c r="BK1935" s="9" t="str">
        <f>IF($B1935="","",COUNTIFS($B$5:$B1935,$B1935,$BF$5:$BF1935,$BF1935))</f>
        <v/>
      </c>
      <c r="BL1935" s="9" t="str">
        <f>IF($B1935="","",COUNTIFS($B$5:$B1935,$B1935,$BH$5:$BH1935,$BH1935))</f>
        <v/>
      </c>
      <c r="BM1935" s="9" t="str">
        <f t="shared" si="306"/>
        <v/>
      </c>
      <c r="BN1935" s="9" t="str">
        <f t="shared" si="307"/>
        <v/>
      </c>
      <c r="BO1935" s="9">
        <f t="shared" si="308"/>
        <v>0</v>
      </c>
      <c r="BR1935" s="12" t="str">
        <f t="shared" si="309"/>
        <v/>
      </c>
    </row>
    <row r="1936" spans="1:70" ht="14.25" customHeight="1">
      <c r="A1936" s="26"/>
      <c r="C1936" s="26"/>
      <c r="D1936" s="27"/>
      <c r="E1936" s="27"/>
      <c r="BE1936" s="10" t="str">
        <f t="shared" si="300"/>
        <v/>
      </c>
      <c r="BF1936" s="8" t="str">
        <f t="shared" si="301"/>
        <v/>
      </c>
      <c r="BG1936" s="11" t="str">
        <f t="shared" si="302"/>
        <v/>
      </c>
      <c r="BH1936" s="8" t="str">
        <f t="shared" si="303"/>
        <v/>
      </c>
      <c r="BI1936" s="8" t="str">
        <f t="shared" si="304"/>
        <v/>
      </c>
      <c r="BJ1936" s="9" t="str">
        <f t="shared" si="305"/>
        <v/>
      </c>
      <c r="BK1936" s="9" t="str">
        <f>IF($B1936="","",COUNTIFS($B$5:$B1936,$B1936,$BF$5:$BF1936,$BF1936))</f>
        <v/>
      </c>
      <c r="BL1936" s="9" t="str">
        <f>IF($B1936="","",COUNTIFS($B$5:$B1936,$B1936,$BH$5:$BH1936,$BH1936))</f>
        <v/>
      </c>
      <c r="BM1936" s="9" t="str">
        <f t="shared" si="306"/>
        <v/>
      </c>
      <c r="BN1936" s="9" t="str">
        <f t="shared" si="307"/>
        <v/>
      </c>
      <c r="BO1936" s="9">
        <f t="shared" si="308"/>
        <v>0</v>
      </c>
      <c r="BR1936" s="12" t="str">
        <f t="shared" si="309"/>
        <v/>
      </c>
    </row>
    <row r="1937" spans="1:70" ht="14.25" customHeight="1">
      <c r="A1937" s="26"/>
      <c r="C1937" s="26"/>
      <c r="D1937" s="27"/>
      <c r="E1937" s="27"/>
      <c r="BE1937" s="10" t="str">
        <f t="shared" si="300"/>
        <v/>
      </c>
      <c r="BF1937" s="8" t="str">
        <f t="shared" si="301"/>
        <v/>
      </c>
      <c r="BG1937" s="11" t="str">
        <f t="shared" si="302"/>
        <v/>
      </c>
      <c r="BH1937" s="8" t="str">
        <f t="shared" si="303"/>
        <v/>
      </c>
      <c r="BI1937" s="8" t="str">
        <f t="shared" si="304"/>
        <v/>
      </c>
      <c r="BJ1937" s="9" t="str">
        <f t="shared" si="305"/>
        <v/>
      </c>
      <c r="BK1937" s="9" t="str">
        <f>IF($B1937="","",COUNTIFS($B$5:$B1937,$B1937,$BF$5:$BF1937,$BF1937))</f>
        <v/>
      </c>
      <c r="BL1937" s="9" t="str">
        <f>IF($B1937="","",COUNTIFS($B$5:$B1937,$B1937,$BH$5:$BH1937,$BH1937))</f>
        <v/>
      </c>
      <c r="BM1937" s="9" t="str">
        <f t="shared" si="306"/>
        <v/>
      </c>
      <c r="BN1937" s="9" t="str">
        <f t="shared" si="307"/>
        <v/>
      </c>
      <c r="BO1937" s="9">
        <f t="shared" si="308"/>
        <v>0</v>
      </c>
      <c r="BR1937" s="12" t="str">
        <f t="shared" si="309"/>
        <v/>
      </c>
    </row>
    <row r="1938" spans="1:70" ht="14.25" customHeight="1">
      <c r="A1938" s="26"/>
      <c r="C1938" s="26"/>
      <c r="D1938" s="27"/>
      <c r="E1938" s="27"/>
      <c r="BE1938" s="10" t="str">
        <f t="shared" si="300"/>
        <v/>
      </c>
      <c r="BF1938" s="8" t="str">
        <f t="shared" si="301"/>
        <v/>
      </c>
      <c r="BG1938" s="11" t="str">
        <f t="shared" si="302"/>
        <v/>
      </c>
      <c r="BH1938" s="8" t="str">
        <f t="shared" si="303"/>
        <v/>
      </c>
      <c r="BI1938" s="8" t="str">
        <f t="shared" si="304"/>
        <v/>
      </c>
      <c r="BJ1938" s="9" t="str">
        <f t="shared" si="305"/>
        <v/>
      </c>
      <c r="BK1938" s="9" t="str">
        <f>IF($B1938="","",COUNTIFS($B$5:$B1938,$B1938,$BF$5:$BF1938,$BF1938))</f>
        <v/>
      </c>
      <c r="BL1938" s="9" t="str">
        <f>IF($B1938="","",COUNTIFS($B$5:$B1938,$B1938,$BH$5:$BH1938,$BH1938))</f>
        <v/>
      </c>
      <c r="BM1938" s="9" t="str">
        <f t="shared" si="306"/>
        <v/>
      </c>
      <c r="BN1938" s="9" t="str">
        <f t="shared" si="307"/>
        <v/>
      </c>
      <c r="BO1938" s="9">
        <f t="shared" si="308"/>
        <v>0</v>
      </c>
      <c r="BR1938" s="12" t="str">
        <f t="shared" si="309"/>
        <v/>
      </c>
    </row>
    <row r="1939" spans="1:70" ht="14.25" customHeight="1">
      <c r="A1939" s="26"/>
      <c r="C1939" s="26"/>
      <c r="D1939" s="27"/>
      <c r="E1939" s="27"/>
      <c r="BE1939" s="10" t="str">
        <f t="shared" si="300"/>
        <v/>
      </c>
      <c r="BF1939" s="8" t="str">
        <f t="shared" si="301"/>
        <v/>
      </c>
      <c r="BG1939" s="11" t="str">
        <f t="shared" si="302"/>
        <v/>
      </c>
      <c r="BH1939" s="8" t="str">
        <f t="shared" si="303"/>
        <v/>
      </c>
      <c r="BI1939" s="8" t="str">
        <f t="shared" si="304"/>
        <v/>
      </c>
      <c r="BJ1939" s="9" t="str">
        <f t="shared" si="305"/>
        <v/>
      </c>
      <c r="BK1939" s="9" t="str">
        <f>IF($B1939="","",COUNTIFS($B$5:$B1939,$B1939,$BF$5:$BF1939,$BF1939))</f>
        <v/>
      </c>
      <c r="BL1939" s="9" t="str">
        <f>IF($B1939="","",COUNTIFS($B$5:$B1939,$B1939,$BH$5:$BH1939,$BH1939))</f>
        <v/>
      </c>
      <c r="BM1939" s="9" t="str">
        <f t="shared" si="306"/>
        <v/>
      </c>
      <c r="BN1939" s="9" t="str">
        <f t="shared" si="307"/>
        <v/>
      </c>
      <c r="BO1939" s="9">
        <f t="shared" si="308"/>
        <v>0</v>
      </c>
      <c r="BR1939" s="12" t="str">
        <f t="shared" si="309"/>
        <v/>
      </c>
    </row>
    <row r="1940" spans="1:70" ht="14.25" customHeight="1">
      <c r="A1940" s="26"/>
      <c r="C1940" s="26"/>
      <c r="D1940" s="27"/>
      <c r="E1940" s="27"/>
      <c r="BE1940" s="10" t="str">
        <f t="shared" si="300"/>
        <v/>
      </c>
      <c r="BF1940" s="8" t="str">
        <f t="shared" si="301"/>
        <v/>
      </c>
      <c r="BG1940" s="11" t="str">
        <f t="shared" si="302"/>
        <v/>
      </c>
      <c r="BH1940" s="8" t="str">
        <f t="shared" si="303"/>
        <v/>
      </c>
      <c r="BI1940" s="8" t="str">
        <f t="shared" si="304"/>
        <v/>
      </c>
      <c r="BJ1940" s="9" t="str">
        <f t="shared" si="305"/>
        <v/>
      </c>
      <c r="BK1940" s="9" t="str">
        <f>IF($B1940="","",COUNTIFS($B$5:$B1940,$B1940,$BF$5:$BF1940,$BF1940))</f>
        <v/>
      </c>
      <c r="BL1940" s="9" t="str">
        <f>IF($B1940="","",COUNTIFS($B$5:$B1940,$B1940,$BH$5:$BH1940,$BH1940))</f>
        <v/>
      </c>
      <c r="BM1940" s="9" t="str">
        <f t="shared" si="306"/>
        <v/>
      </c>
      <c r="BN1940" s="9" t="str">
        <f t="shared" si="307"/>
        <v/>
      </c>
      <c r="BO1940" s="9">
        <f t="shared" si="308"/>
        <v>0</v>
      </c>
      <c r="BR1940" s="12" t="str">
        <f t="shared" si="309"/>
        <v/>
      </c>
    </row>
    <row r="1941" spans="1:70" ht="14.25" customHeight="1">
      <c r="A1941" s="26"/>
      <c r="C1941" s="26"/>
      <c r="D1941" s="27"/>
      <c r="E1941" s="27"/>
      <c r="BE1941" s="10" t="str">
        <f t="shared" si="300"/>
        <v/>
      </c>
      <c r="BF1941" s="8" t="str">
        <f t="shared" si="301"/>
        <v/>
      </c>
      <c r="BG1941" s="11" t="str">
        <f t="shared" si="302"/>
        <v/>
      </c>
      <c r="BH1941" s="8" t="str">
        <f t="shared" si="303"/>
        <v/>
      </c>
      <c r="BI1941" s="8" t="str">
        <f t="shared" si="304"/>
        <v/>
      </c>
      <c r="BJ1941" s="9" t="str">
        <f t="shared" si="305"/>
        <v/>
      </c>
      <c r="BK1941" s="9" t="str">
        <f>IF($B1941="","",COUNTIFS($B$5:$B1941,$B1941,$BF$5:$BF1941,$BF1941))</f>
        <v/>
      </c>
      <c r="BL1941" s="9" t="str">
        <f>IF($B1941="","",COUNTIFS($B$5:$B1941,$B1941,$BH$5:$BH1941,$BH1941))</f>
        <v/>
      </c>
      <c r="BM1941" s="9" t="str">
        <f t="shared" si="306"/>
        <v/>
      </c>
      <c r="BN1941" s="9" t="str">
        <f t="shared" si="307"/>
        <v/>
      </c>
      <c r="BO1941" s="9">
        <f t="shared" si="308"/>
        <v>0</v>
      </c>
      <c r="BR1941" s="12" t="str">
        <f t="shared" si="309"/>
        <v/>
      </c>
    </row>
    <row r="1942" spans="1:70" ht="14.25" customHeight="1">
      <c r="A1942" s="26"/>
      <c r="C1942" s="26"/>
      <c r="D1942" s="27"/>
      <c r="E1942" s="27"/>
      <c r="BE1942" s="10" t="str">
        <f t="shared" si="300"/>
        <v/>
      </c>
      <c r="BF1942" s="8" t="str">
        <f t="shared" si="301"/>
        <v/>
      </c>
      <c r="BG1942" s="11" t="str">
        <f t="shared" si="302"/>
        <v/>
      </c>
      <c r="BH1942" s="8" t="str">
        <f t="shared" si="303"/>
        <v/>
      </c>
      <c r="BI1942" s="8" t="str">
        <f t="shared" si="304"/>
        <v/>
      </c>
      <c r="BJ1942" s="9" t="str">
        <f t="shared" si="305"/>
        <v/>
      </c>
      <c r="BK1942" s="9" t="str">
        <f>IF($B1942="","",COUNTIFS($B$5:$B1942,$B1942,$BF$5:$BF1942,$BF1942))</f>
        <v/>
      </c>
      <c r="BL1942" s="9" t="str">
        <f>IF($B1942="","",COUNTIFS($B$5:$B1942,$B1942,$BH$5:$BH1942,$BH1942))</f>
        <v/>
      </c>
      <c r="BM1942" s="9" t="str">
        <f t="shared" si="306"/>
        <v/>
      </c>
      <c r="BN1942" s="9" t="str">
        <f t="shared" si="307"/>
        <v/>
      </c>
      <c r="BO1942" s="9">
        <f t="shared" si="308"/>
        <v>0</v>
      </c>
      <c r="BR1942" s="12" t="str">
        <f t="shared" si="309"/>
        <v/>
      </c>
    </row>
    <row r="1943" spans="1:70" ht="14.25" customHeight="1">
      <c r="A1943" s="26"/>
      <c r="C1943" s="26"/>
      <c r="D1943" s="27"/>
      <c r="E1943" s="27"/>
      <c r="BE1943" s="10" t="str">
        <f t="shared" si="300"/>
        <v/>
      </c>
      <c r="BF1943" s="8" t="str">
        <f t="shared" si="301"/>
        <v/>
      </c>
      <c r="BG1943" s="11" t="str">
        <f t="shared" si="302"/>
        <v/>
      </c>
      <c r="BH1943" s="8" t="str">
        <f t="shared" si="303"/>
        <v/>
      </c>
      <c r="BI1943" s="8" t="str">
        <f t="shared" si="304"/>
        <v/>
      </c>
      <c r="BJ1943" s="9" t="str">
        <f t="shared" si="305"/>
        <v/>
      </c>
      <c r="BK1943" s="9" t="str">
        <f>IF($B1943="","",COUNTIFS($B$5:$B1943,$B1943,$BF$5:$BF1943,$BF1943))</f>
        <v/>
      </c>
      <c r="BL1943" s="9" t="str">
        <f>IF($B1943="","",COUNTIFS($B$5:$B1943,$B1943,$BH$5:$BH1943,$BH1943))</f>
        <v/>
      </c>
      <c r="BM1943" s="9" t="str">
        <f t="shared" si="306"/>
        <v/>
      </c>
      <c r="BN1943" s="9" t="str">
        <f t="shared" si="307"/>
        <v/>
      </c>
      <c r="BO1943" s="9">
        <f t="shared" si="308"/>
        <v>0</v>
      </c>
      <c r="BR1943" s="12" t="str">
        <f t="shared" si="309"/>
        <v/>
      </c>
    </row>
    <row r="1944" spans="1:70" ht="14.25" customHeight="1">
      <c r="A1944" s="26"/>
      <c r="C1944" s="26"/>
      <c r="D1944" s="27"/>
      <c r="E1944" s="27"/>
      <c r="BE1944" s="10" t="str">
        <f t="shared" si="300"/>
        <v/>
      </c>
      <c r="BF1944" s="8" t="str">
        <f t="shared" si="301"/>
        <v/>
      </c>
      <c r="BG1944" s="11" t="str">
        <f t="shared" si="302"/>
        <v/>
      </c>
      <c r="BH1944" s="8" t="str">
        <f t="shared" si="303"/>
        <v/>
      </c>
      <c r="BI1944" s="8" t="str">
        <f t="shared" si="304"/>
        <v/>
      </c>
      <c r="BJ1944" s="9" t="str">
        <f t="shared" si="305"/>
        <v/>
      </c>
      <c r="BK1944" s="9" t="str">
        <f>IF($B1944="","",COUNTIFS($B$5:$B1944,$B1944,$BF$5:$BF1944,$BF1944))</f>
        <v/>
      </c>
      <c r="BL1944" s="9" t="str">
        <f>IF($B1944="","",COUNTIFS($B$5:$B1944,$B1944,$BH$5:$BH1944,$BH1944))</f>
        <v/>
      </c>
      <c r="BM1944" s="9" t="str">
        <f t="shared" si="306"/>
        <v/>
      </c>
      <c r="BN1944" s="9" t="str">
        <f t="shared" si="307"/>
        <v/>
      </c>
      <c r="BO1944" s="9">
        <f t="shared" si="308"/>
        <v>0</v>
      </c>
      <c r="BR1944" s="12" t="str">
        <f t="shared" si="309"/>
        <v/>
      </c>
    </row>
    <row r="1945" spans="1:70" ht="14.25" customHeight="1">
      <c r="A1945" s="26"/>
      <c r="C1945" s="26"/>
      <c r="D1945" s="27"/>
      <c r="E1945" s="27"/>
      <c r="BE1945" s="10" t="str">
        <f t="shared" si="300"/>
        <v/>
      </c>
      <c r="BF1945" s="8" t="str">
        <f t="shared" si="301"/>
        <v/>
      </c>
      <c r="BG1945" s="11" t="str">
        <f t="shared" si="302"/>
        <v/>
      </c>
      <c r="BH1945" s="8" t="str">
        <f t="shared" si="303"/>
        <v/>
      </c>
      <c r="BI1945" s="8" t="str">
        <f t="shared" si="304"/>
        <v/>
      </c>
      <c r="BJ1945" s="9" t="str">
        <f t="shared" si="305"/>
        <v/>
      </c>
      <c r="BK1945" s="9" t="str">
        <f>IF($B1945="","",COUNTIFS($B$5:$B1945,$B1945,$BF$5:$BF1945,$BF1945))</f>
        <v/>
      </c>
      <c r="BL1945" s="9" t="str">
        <f>IF($B1945="","",COUNTIFS($B$5:$B1945,$B1945,$BH$5:$BH1945,$BH1945))</f>
        <v/>
      </c>
      <c r="BM1945" s="9" t="str">
        <f t="shared" si="306"/>
        <v/>
      </c>
      <c r="BN1945" s="9" t="str">
        <f t="shared" si="307"/>
        <v/>
      </c>
      <c r="BO1945" s="9">
        <f t="shared" si="308"/>
        <v>0</v>
      </c>
      <c r="BR1945" s="12" t="str">
        <f t="shared" si="309"/>
        <v/>
      </c>
    </row>
    <row r="1946" spans="1:70" ht="14.25" customHeight="1">
      <c r="A1946" s="26"/>
      <c r="C1946" s="26"/>
      <c r="D1946" s="27"/>
      <c r="E1946" s="27"/>
      <c r="BE1946" s="10" t="str">
        <f t="shared" si="300"/>
        <v/>
      </c>
      <c r="BF1946" s="8" t="str">
        <f t="shared" si="301"/>
        <v/>
      </c>
      <c r="BG1946" s="11" t="str">
        <f t="shared" si="302"/>
        <v/>
      </c>
      <c r="BH1946" s="8" t="str">
        <f t="shared" si="303"/>
        <v/>
      </c>
      <c r="BI1946" s="8" t="str">
        <f t="shared" si="304"/>
        <v/>
      </c>
      <c r="BJ1946" s="9" t="str">
        <f t="shared" si="305"/>
        <v/>
      </c>
      <c r="BK1946" s="9" t="str">
        <f>IF($B1946="","",COUNTIFS($B$5:$B1946,$B1946,$BF$5:$BF1946,$BF1946))</f>
        <v/>
      </c>
      <c r="BL1946" s="9" t="str">
        <f>IF($B1946="","",COUNTIFS($B$5:$B1946,$B1946,$BH$5:$BH1946,$BH1946))</f>
        <v/>
      </c>
      <c r="BM1946" s="9" t="str">
        <f t="shared" si="306"/>
        <v/>
      </c>
      <c r="BN1946" s="9" t="str">
        <f t="shared" si="307"/>
        <v/>
      </c>
      <c r="BO1946" s="9">
        <f t="shared" si="308"/>
        <v>0</v>
      </c>
      <c r="BR1946" s="12" t="str">
        <f t="shared" si="309"/>
        <v/>
      </c>
    </row>
    <row r="1947" spans="1:70" ht="14.25" customHeight="1">
      <c r="A1947" s="26"/>
      <c r="C1947" s="26"/>
      <c r="D1947" s="27"/>
      <c r="E1947" s="27"/>
      <c r="BE1947" s="10" t="str">
        <f t="shared" si="300"/>
        <v/>
      </c>
      <c r="BF1947" s="8" t="str">
        <f t="shared" si="301"/>
        <v/>
      </c>
      <c r="BG1947" s="11" t="str">
        <f t="shared" si="302"/>
        <v/>
      </c>
      <c r="BH1947" s="8" t="str">
        <f t="shared" si="303"/>
        <v/>
      </c>
      <c r="BI1947" s="8" t="str">
        <f t="shared" si="304"/>
        <v/>
      </c>
      <c r="BJ1947" s="9" t="str">
        <f t="shared" si="305"/>
        <v/>
      </c>
      <c r="BK1947" s="9" t="str">
        <f>IF($B1947="","",COUNTIFS($B$5:$B1947,$B1947,$BF$5:$BF1947,$BF1947))</f>
        <v/>
      </c>
      <c r="BL1947" s="9" t="str">
        <f>IF($B1947="","",COUNTIFS($B$5:$B1947,$B1947,$BH$5:$BH1947,$BH1947))</f>
        <v/>
      </c>
      <c r="BM1947" s="9" t="str">
        <f t="shared" si="306"/>
        <v/>
      </c>
      <c r="BN1947" s="9" t="str">
        <f t="shared" si="307"/>
        <v/>
      </c>
      <c r="BO1947" s="9">
        <f t="shared" si="308"/>
        <v>0</v>
      </c>
      <c r="BR1947" s="12" t="str">
        <f t="shared" si="309"/>
        <v/>
      </c>
    </row>
    <row r="1948" spans="1:70" ht="14.25" customHeight="1">
      <c r="A1948" s="26"/>
      <c r="C1948" s="26"/>
      <c r="D1948" s="27"/>
      <c r="E1948" s="27"/>
      <c r="BE1948" s="10" t="str">
        <f t="shared" si="300"/>
        <v/>
      </c>
      <c r="BF1948" s="8" t="str">
        <f t="shared" si="301"/>
        <v/>
      </c>
      <c r="BG1948" s="11" t="str">
        <f t="shared" si="302"/>
        <v/>
      </c>
      <c r="BH1948" s="8" t="str">
        <f t="shared" si="303"/>
        <v/>
      </c>
      <c r="BI1948" s="8" t="str">
        <f t="shared" si="304"/>
        <v/>
      </c>
      <c r="BJ1948" s="9" t="str">
        <f t="shared" si="305"/>
        <v/>
      </c>
      <c r="BK1948" s="9" t="str">
        <f>IF($B1948="","",COUNTIFS($B$5:$B1948,$B1948,$BF$5:$BF1948,$BF1948))</f>
        <v/>
      </c>
      <c r="BL1948" s="9" t="str">
        <f>IF($B1948="","",COUNTIFS($B$5:$B1948,$B1948,$BH$5:$BH1948,$BH1948))</f>
        <v/>
      </c>
      <c r="BM1948" s="9" t="str">
        <f t="shared" si="306"/>
        <v/>
      </c>
      <c r="BN1948" s="9" t="str">
        <f t="shared" si="307"/>
        <v/>
      </c>
      <c r="BO1948" s="9">
        <f t="shared" si="308"/>
        <v>0</v>
      </c>
      <c r="BR1948" s="12" t="str">
        <f t="shared" si="309"/>
        <v/>
      </c>
    </row>
    <row r="1949" spans="1:70" ht="14.25" customHeight="1">
      <c r="A1949" s="26"/>
      <c r="C1949" s="26"/>
      <c r="D1949" s="27"/>
      <c r="E1949" s="27"/>
      <c r="BE1949" s="10" t="str">
        <f t="shared" ref="BE1949:BE2012" si="310">IF($B1949="","",IF(COUNT($H1949,$J1949,$L1949,$N1949,$P1949,$R1949)&gt;0,SUM($H1949,$J1949,$L1949,$N1949,$P1949,$R1949),SUM($T1949,$V1949,$X1949,$Z1949,$AB1949,$AD1949,$AF1949,$AH1949,$AJ1949,$AL1949,$AN1949,$AP1949,$AR1949,$AT1949,$AV1949,$AX1949,$AZ1949)))</f>
        <v/>
      </c>
      <c r="BF1949" s="8" t="str">
        <f t="shared" ref="BF1949:BF2012" si="311">IF($C1949="","",DATE(YEAR($C1949),MONTH($C1949),1))</f>
        <v/>
      </c>
      <c r="BG1949" s="11" t="str">
        <f t="shared" ref="BG1949:BG2012" si="312">IF($BF1949="","",TEXT($BF1949,"mmmm yyyy"))</f>
        <v/>
      </c>
      <c r="BH1949" s="8" t="str">
        <f t="shared" ref="BH1949:BH2012" si="313">IF($C1949="","",$C1949-WEEKDAY($C1949,2)+1)</f>
        <v/>
      </c>
      <c r="BI1949" s="8" t="str">
        <f t="shared" ref="BI1949:BI2012" si="314">IF($BH1949="","",$BH1949+6)</f>
        <v/>
      </c>
      <c r="BJ1949" s="9" t="str">
        <f t="shared" ref="BJ1949:BJ2012" si="315">IF($BH1949="","",TEXT($BH1949,"dd/mm/yyyy")&amp;" - "&amp;TEXT($BI1949,"dd/mm/yyyy"))</f>
        <v/>
      </c>
      <c r="BK1949" s="9" t="str">
        <f>IF($B1949="","",COUNTIFS($B$5:$B1949,$B1949,$BF$5:$BF1949,$BF1949))</f>
        <v/>
      </c>
      <c r="BL1949" s="9" t="str">
        <f>IF($B1949="","",COUNTIFS($B$5:$B1949,$B1949,$BH$5:$BH1949,$BH1949))</f>
        <v/>
      </c>
      <c r="BM1949" s="9" t="str">
        <f t="shared" ref="BM1949:BM2012" si="316">IF($B1949="","",TEXT($BK1949,"00")&amp;"|"&amp;$B1949&amp;"|"&amp;TEXT($BF1949,"yyyymmdd"))</f>
        <v/>
      </c>
      <c r="BN1949" s="9" t="str">
        <f t="shared" ref="BN1949:BN2012" si="317">IF($B1949="","",TEXT($BL1949,"00")&amp;"|"&amp;$B1949&amp;"|"&amp;TEXT($BH1949,"yyyymmdd"))</f>
        <v/>
      </c>
      <c r="BO1949" s="9">
        <f t="shared" ref="BO1949:BO2012" si="318">IF(OR($BB1949="YES",$BB1949="Yes",$BB1949="Y",$BB1949=1),1,0)</f>
        <v>0</v>
      </c>
      <c r="BR1949" s="12" t="str">
        <f t="shared" ref="BR1949:BR2012" si="319">IF($C1949="","",IF($C1949&gt;=DATE(2026,6,1),"QA-2026-06",IF($C1949&gt;=DATE(2026,5,1),"May 2026+",IF($C1949&gt;=DATE(2026,4,1),"April 2026",IF($C1949&gt;=DATE(2026,3,1),"March 2026","Jan-Feb 2026")))))</f>
        <v/>
      </c>
    </row>
    <row r="1950" spans="1:70" ht="14.25" customHeight="1">
      <c r="A1950" s="26"/>
      <c r="C1950" s="26"/>
      <c r="D1950" s="27"/>
      <c r="E1950" s="27"/>
      <c r="BE1950" s="10" t="str">
        <f t="shared" si="310"/>
        <v/>
      </c>
      <c r="BF1950" s="8" t="str">
        <f t="shared" si="311"/>
        <v/>
      </c>
      <c r="BG1950" s="11" t="str">
        <f t="shared" si="312"/>
        <v/>
      </c>
      <c r="BH1950" s="8" t="str">
        <f t="shared" si="313"/>
        <v/>
      </c>
      <c r="BI1950" s="8" t="str">
        <f t="shared" si="314"/>
        <v/>
      </c>
      <c r="BJ1950" s="9" t="str">
        <f t="shared" si="315"/>
        <v/>
      </c>
      <c r="BK1950" s="9" t="str">
        <f>IF($B1950="","",COUNTIFS($B$5:$B1950,$B1950,$BF$5:$BF1950,$BF1950))</f>
        <v/>
      </c>
      <c r="BL1950" s="9" t="str">
        <f>IF($B1950="","",COUNTIFS($B$5:$B1950,$B1950,$BH$5:$BH1950,$BH1950))</f>
        <v/>
      </c>
      <c r="BM1950" s="9" t="str">
        <f t="shared" si="316"/>
        <v/>
      </c>
      <c r="BN1950" s="9" t="str">
        <f t="shared" si="317"/>
        <v/>
      </c>
      <c r="BO1950" s="9">
        <f t="shared" si="318"/>
        <v>0</v>
      </c>
      <c r="BR1950" s="12" t="str">
        <f t="shared" si="319"/>
        <v/>
      </c>
    </row>
    <row r="1951" spans="1:70" ht="14.25" customHeight="1">
      <c r="A1951" s="26"/>
      <c r="C1951" s="26"/>
      <c r="D1951" s="27"/>
      <c r="E1951" s="27"/>
      <c r="BE1951" s="10" t="str">
        <f t="shared" si="310"/>
        <v/>
      </c>
      <c r="BF1951" s="8" t="str">
        <f t="shared" si="311"/>
        <v/>
      </c>
      <c r="BG1951" s="11" t="str">
        <f t="shared" si="312"/>
        <v/>
      </c>
      <c r="BH1951" s="8" t="str">
        <f t="shared" si="313"/>
        <v/>
      </c>
      <c r="BI1951" s="8" t="str">
        <f t="shared" si="314"/>
        <v/>
      </c>
      <c r="BJ1951" s="9" t="str">
        <f t="shared" si="315"/>
        <v/>
      </c>
      <c r="BK1951" s="9" t="str">
        <f>IF($B1951="","",COUNTIFS($B$5:$B1951,$B1951,$BF$5:$BF1951,$BF1951))</f>
        <v/>
      </c>
      <c r="BL1951" s="9" t="str">
        <f>IF($B1951="","",COUNTIFS($B$5:$B1951,$B1951,$BH$5:$BH1951,$BH1951))</f>
        <v/>
      </c>
      <c r="BM1951" s="9" t="str">
        <f t="shared" si="316"/>
        <v/>
      </c>
      <c r="BN1951" s="9" t="str">
        <f t="shared" si="317"/>
        <v/>
      </c>
      <c r="BO1951" s="9">
        <f t="shared" si="318"/>
        <v>0</v>
      </c>
      <c r="BR1951" s="12" t="str">
        <f t="shared" si="319"/>
        <v/>
      </c>
    </row>
    <row r="1952" spans="1:70" ht="14.25" customHeight="1">
      <c r="A1952" s="26"/>
      <c r="C1952" s="26"/>
      <c r="D1952" s="27"/>
      <c r="E1952" s="27"/>
      <c r="BE1952" s="10" t="str">
        <f t="shared" si="310"/>
        <v/>
      </c>
      <c r="BF1952" s="8" t="str">
        <f t="shared" si="311"/>
        <v/>
      </c>
      <c r="BG1952" s="11" t="str">
        <f t="shared" si="312"/>
        <v/>
      </c>
      <c r="BH1952" s="8" t="str">
        <f t="shared" si="313"/>
        <v/>
      </c>
      <c r="BI1952" s="8" t="str">
        <f t="shared" si="314"/>
        <v/>
      </c>
      <c r="BJ1952" s="9" t="str">
        <f t="shared" si="315"/>
        <v/>
      </c>
      <c r="BK1952" s="9" t="str">
        <f>IF($B1952="","",COUNTIFS($B$5:$B1952,$B1952,$BF$5:$BF1952,$BF1952))</f>
        <v/>
      </c>
      <c r="BL1952" s="9" t="str">
        <f>IF($B1952="","",COUNTIFS($B$5:$B1952,$B1952,$BH$5:$BH1952,$BH1952))</f>
        <v/>
      </c>
      <c r="BM1952" s="9" t="str">
        <f t="shared" si="316"/>
        <v/>
      </c>
      <c r="BN1952" s="9" t="str">
        <f t="shared" si="317"/>
        <v/>
      </c>
      <c r="BO1952" s="9">
        <f t="shared" si="318"/>
        <v>0</v>
      </c>
      <c r="BR1952" s="12" t="str">
        <f t="shared" si="319"/>
        <v/>
      </c>
    </row>
    <row r="1953" spans="1:70" ht="14.25" customHeight="1">
      <c r="A1953" s="26"/>
      <c r="C1953" s="26"/>
      <c r="D1953" s="27"/>
      <c r="E1953" s="27"/>
      <c r="BE1953" s="10" t="str">
        <f t="shared" si="310"/>
        <v/>
      </c>
      <c r="BF1953" s="8" t="str">
        <f t="shared" si="311"/>
        <v/>
      </c>
      <c r="BG1953" s="11" t="str">
        <f t="shared" si="312"/>
        <v/>
      </c>
      <c r="BH1953" s="8" t="str">
        <f t="shared" si="313"/>
        <v/>
      </c>
      <c r="BI1953" s="8" t="str">
        <f t="shared" si="314"/>
        <v/>
      </c>
      <c r="BJ1953" s="9" t="str">
        <f t="shared" si="315"/>
        <v/>
      </c>
      <c r="BK1953" s="9" t="str">
        <f>IF($B1953="","",COUNTIFS($B$5:$B1953,$B1953,$BF$5:$BF1953,$BF1953))</f>
        <v/>
      </c>
      <c r="BL1953" s="9" t="str">
        <f>IF($B1953="","",COUNTIFS($B$5:$B1953,$B1953,$BH$5:$BH1953,$BH1953))</f>
        <v/>
      </c>
      <c r="BM1953" s="9" t="str">
        <f t="shared" si="316"/>
        <v/>
      </c>
      <c r="BN1953" s="9" t="str">
        <f t="shared" si="317"/>
        <v/>
      </c>
      <c r="BO1953" s="9">
        <f t="shared" si="318"/>
        <v>0</v>
      </c>
      <c r="BR1953" s="12" t="str">
        <f t="shared" si="319"/>
        <v/>
      </c>
    </row>
    <row r="1954" spans="1:70" ht="14.25" customHeight="1">
      <c r="A1954" s="26"/>
      <c r="C1954" s="26"/>
      <c r="D1954" s="27"/>
      <c r="E1954" s="27"/>
      <c r="BE1954" s="10" t="str">
        <f t="shared" si="310"/>
        <v/>
      </c>
      <c r="BF1954" s="8" t="str">
        <f t="shared" si="311"/>
        <v/>
      </c>
      <c r="BG1954" s="11" t="str">
        <f t="shared" si="312"/>
        <v/>
      </c>
      <c r="BH1954" s="8" t="str">
        <f t="shared" si="313"/>
        <v/>
      </c>
      <c r="BI1954" s="8" t="str">
        <f t="shared" si="314"/>
        <v/>
      </c>
      <c r="BJ1954" s="9" t="str">
        <f t="shared" si="315"/>
        <v/>
      </c>
      <c r="BK1954" s="9" t="str">
        <f>IF($B1954="","",COUNTIFS($B$5:$B1954,$B1954,$BF$5:$BF1954,$BF1954))</f>
        <v/>
      </c>
      <c r="BL1954" s="9" t="str">
        <f>IF($B1954="","",COUNTIFS($B$5:$B1954,$B1954,$BH$5:$BH1954,$BH1954))</f>
        <v/>
      </c>
      <c r="BM1954" s="9" t="str">
        <f t="shared" si="316"/>
        <v/>
      </c>
      <c r="BN1954" s="9" t="str">
        <f t="shared" si="317"/>
        <v/>
      </c>
      <c r="BO1954" s="9">
        <f t="shared" si="318"/>
        <v>0</v>
      </c>
      <c r="BR1954" s="12" t="str">
        <f t="shared" si="319"/>
        <v/>
      </c>
    </row>
    <row r="1955" spans="1:70" ht="14.25" customHeight="1">
      <c r="A1955" s="26"/>
      <c r="C1955" s="26"/>
      <c r="D1955" s="27"/>
      <c r="E1955" s="27"/>
      <c r="BE1955" s="10" t="str">
        <f t="shared" si="310"/>
        <v/>
      </c>
      <c r="BF1955" s="8" t="str">
        <f t="shared" si="311"/>
        <v/>
      </c>
      <c r="BG1955" s="11" t="str">
        <f t="shared" si="312"/>
        <v/>
      </c>
      <c r="BH1955" s="8" t="str">
        <f t="shared" si="313"/>
        <v/>
      </c>
      <c r="BI1955" s="8" t="str">
        <f t="shared" si="314"/>
        <v/>
      </c>
      <c r="BJ1955" s="9" t="str">
        <f t="shared" si="315"/>
        <v/>
      </c>
      <c r="BK1955" s="9" t="str">
        <f>IF($B1955="","",COUNTIFS($B$5:$B1955,$B1955,$BF$5:$BF1955,$BF1955))</f>
        <v/>
      </c>
      <c r="BL1955" s="9" t="str">
        <f>IF($B1955="","",COUNTIFS($B$5:$B1955,$B1955,$BH$5:$BH1955,$BH1955))</f>
        <v/>
      </c>
      <c r="BM1955" s="9" t="str">
        <f t="shared" si="316"/>
        <v/>
      </c>
      <c r="BN1955" s="9" t="str">
        <f t="shared" si="317"/>
        <v/>
      </c>
      <c r="BO1955" s="9">
        <f t="shared" si="318"/>
        <v>0</v>
      </c>
      <c r="BR1955" s="12" t="str">
        <f t="shared" si="319"/>
        <v/>
      </c>
    </row>
    <row r="1956" spans="1:70" ht="14.25" customHeight="1">
      <c r="A1956" s="26"/>
      <c r="C1956" s="26"/>
      <c r="D1956" s="27"/>
      <c r="E1956" s="27"/>
      <c r="BE1956" s="10" t="str">
        <f t="shared" si="310"/>
        <v/>
      </c>
      <c r="BF1956" s="8" t="str">
        <f t="shared" si="311"/>
        <v/>
      </c>
      <c r="BG1956" s="11" t="str">
        <f t="shared" si="312"/>
        <v/>
      </c>
      <c r="BH1956" s="8" t="str">
        <f t="shared" si="313"/>
        <v/>
      </c>
      <c r="BI1956" s="8" t="str">
        <f t="shared" si="314"/>
        <v/>
      </c>
      <c r="BJ1956" s="9" t="str">
        <f t="shared" si="315"/>
        <v/>
      </c>
      <c r="BK1956" s="9" t="str">
        <f>IF($B1956="","",COUNTIFS($B$5:$B1956,$B1956,$BF$5:$BF1956,$BF1956))</f>
        <v/>
      </c>
      <c r="BL1956" s="9" t="str">
        <f>IF($B1956="","",COUNTIFS($B$5:$B1956,$B1956,$BH$5:$BH1956,$BH1956))</f>
        <v/>
      </c>
      <c r="BM1956" s="9" t="str">
        <f t="shared" si="316"/>
        <v/>
      </c>
      <c r="BN1956" s="9" t="str">
        <f t="shared" si="317"/>
        <v/>
      </c>
      <c r="BO1956" s="9">
        <f t="shared" si="318"/>
        <v>0</v>
      </c>
      <c r="BR1956" s="12" t="str">
        <f t="shared" si="319"/>
        <v/>
      </c>
    </row>
    <row r="1957" spans="1:70" ht="14.25" customHeight="1">
      <c r="A1957" s="26"/>
      <c r="C1957" s="26"/>
      <c r="D1957" s="27"/>
      <c r="E1957" s="27"/>
      <c r="BE1957" s="10" t="str">
        <f t="shared" si="310"/>
        <v/>
      </c>
      <c r="BF1957" s="8" t="str">
        <f t="shared" si="311"/>
        <v/>
      </c>
      <c r="BG1957" s="11" t="str">
        <f t="shared" si="312"/>
        <v/>
      </c>
      <c r="BH1957" s="8" t="str">
        <f t="shared" si="313"/>
        <v/>
      </c>
      <c r="BI1957" s="8" t="str">
        <f t="shared" si="314"/>
        <v/>
      </c>
      <c r="BJ1957" s="9" t="str">
        <f t="shared" si="315"/>
        <v/>
      </c>
      <c r="BK1957" s="9" t="str">
        <f>IF($B1957="","",COUNTIFS($B$5:$B1957,$B1957,$BF$5:$BF1957,$BF1957))</f>
        <v/>
      </c>
      <c r="BL1957" s="9" t="str">
        <f>IF($B1957="","",COUNTIFS($B$5:$B1957,$B1957,$BH$5:$BH1957,$BH1957))</f>
        <v/>
      </c>
      <c r="BM1957" s="9" t="str">
        <f t="shared" si="316"/>
        <v/>
      </c>
      <c r="BN1957" s="9" t="str">
        <f t="shared" si="317"/>
        <v/>
      </c>
      <c r="BO1957" s="9">
        <f t="shared" si="318"/>
        <v>0</v>
      </c>
      <c r="BR1957" s="12" t="str">
        <f t="shared" si="319"/>
        <v/>
      </c>
    </row>
    <row r="1958" spans="1:70" ht="14.25" customHeight="1">
      <c r="A1958" s="26"/>
      <c r="C1958" s="26"/>
      <c r="D1958" s="27"/>
      <c r="E1958" s="27"/>
      <c r="BE1958" s="10" t="str">
        <f t="shared" si="310"/>
        <v/>
      </c>
      <c r="BF1958" s="8" t="str">
        <f t="shared" si="311"/>
        <v/>
      </c>
      <c r="BG1958" s="11" t="str">
        <f t="shared" si="312"/>
        <v/>
      </c>
      <c r="BH1958" s="8" t="str">
        <f t="shared" si="313"/>
        <v/>
      </c>
      <c r="BI1958" s="8" t="str">
        <f t="shared" si="314"/>
        <v/>
      </c>
      <c r="BJ1958" s="9" t="str">
        <f t="shared" si="315"/>
        <v/>
      </c>
      <c r="BK1958" s="9" t="str">
        <f>IF($B1958="","",COUNTIFS($B$5:$B1958,$B1958,$BF$5:$BF1958,$BF1958))</f>
        <v/>
      </c>
      <c r="BL1958" s="9" t="str">
        <f>IF($B1958="","",COUNTIFS($B$5:$B1958,$B1958,$BH$5:$BH1958,$BH1958))</f>
        <v/>
      </c>
      <c r="BM1958" s="9" t="str">
        <f t="shared" si="316"/>
        <v/>
      </c>
      <c r="BN1958" s="9" t="str">
        <f t="shared" si="317"/>
        <v/>
      </c>
      <c r="BO1958" s="9">
        <f t="shared" si="318"/>
        <v>0</v>
      </c>
      <c r="BR1958" s="12" t="str">
        <f t="shared" si="319"/>
        <v/>
      </c>
    </row>
    <row r="1959" spans="1:70" ht="14.25" customHeight="1">
      <c r="A1959" s="26"/>
      <c r="C1959" s="26"/>
      <c r="D1959" s="27"/>
      <c r="E1959" s="27"/>
      <c r="BE1959" s="10" t="str">
        <f t="shared" si="310"/>
        <v/>
      </c>
      <c r="BF1959" s="8" t="str">
        <f t="shared" si="311"/>
        <v/>
      </c>
      <c r="BG1959" s="11" t="str">
        <f t="shared" si="312"/>
        <v/>
      </c>
      <c r="BH1959" s="8" t="str">
        <f t="shared" si="313"/>
        <v/>
      </c>
      <c r="BI1959" s="8" t="str">
        <f t="shared" si="314"/>
        <v/>
      </c>
      <c r="BJ1959" s="9" t="str">
        <f t="shared" si="315"/>
        <v/>
      </c>
      <c r="BK1959" s="9" t="str">
        <f>IF($B1959="","",COUNTIFS($B$5:$B1959,$B1959,$BF$5:$BF1959,$BF1959))</f>
        <v/>
      </c>
      <c r="BL1959" s="9" t="str">
        <f>IF($B1959="","",COUNTIFS($B$5:$B1959,$B1959,$BH$5:$BH1959,$BH1959))</f>
        <v/>
      </c>
      <c r="BM1959" s="9" t="str">
        <f t="shared" si="316"/>
        <v/>
      </c>
      <c r="BN1959" s="9" t="str">
        <f t="shared" si="317"/>
        <v/>
      </c>
      <c r="BO1959" s="9">
        <f t="shared" si="318"/>
        <v>0</v>
      </c>
      <c r="BR1959" s="12" t="str">
        <f t="shared" si="319"/>
        <v/>
      </c>
    </row>
    <row r="1960" spans="1:70" ht="14.25" customHeight="1">
      <c r="A1960" s="26"/>
      <c r="C1960" s="26"/>
      <c r="D1960" s="27"/>
      <c r="E1960" s="27"/>
      <c r="BE1960" s="10" t="str">
        <f t="shared" si="310"/>
        <v/>
      </c>
      <c r="BF1960" s="8" t="str">
        <f t="shared" si="311"/>
        <v/>
      </c>
      <c r="BG1960" s="11" t="str">
        <f t="shared" si="312"/>
        <v/>
      </c>
      <c r="BH1960" s="8" t="str">
        <f t="shared" si="313"/>
        <v/>
      </c>
      <c r="BI1960" s="8" t="str">
        <f t="shared" si="314"/>
        <v/>
      </c>
      <c r="BJ1960" s="9" t="str">
        <f t="shared" si="315"/>
        <v/>
      </c>
      <c r="BK1960" s="9" t="str">
        <f>IF($B1960="","",COUNTIFS($B$5:$B1960,$B1960,$BF$5:$BF1960,$BF1960))</f>
        <v/>
      </c>
      <c r="BL1960" s="9" t="str">
        <f>IF($B1960="","",COUNTIFS($B$5:$B1960,$B1960,$BH$5:$BH1960,$BH1960))</f>
        <v/>
      </c>
      <c r="BM1960" s="9" t="str">
        <f t="shared" si="316"/>
        <v/>
      </c>
      <c r="BN1960" s="9" t="str">
        <f t="shared" si="317"/>
        <v/>
      </c>
      <c r="BO1960" s="9">
        <f t="shared" si="318"/>
        <v>0</v>
      </c>
      <c r="BR1960" s="12" t="str">
        <f t="shared" si="319"/>
        <v/>
      </c>
    </row>
    <row r="1961" spans="1:70" ht="14.25" customHeight="1">
      <c r="A1961" s="26"/>
      <c r="C1961" s="26"/>
      <c r="D1961" s="27"/>
      <c r="E1961" s="27"/>
      <c r="BE1961" s="10" t="str">
        <f t="shared" si="310"/>
        <v/>
      </c>
      <c r="BF1961" s="8" t="str">
        <f t="shared" si="311"/>
        <v/>
      </c>
      <c r="BG1961" s="11" t="str">
        <f t="shared" si="312"/>
        <v/>
      </c>
      <c r="BH1961" s="8" t="str">
        <f t="shared" si="313"/>
        <v/>
      </c>
      <c r="BI1961" s="8" t="str">
        <f t="shared" si="314"/>
        <v/>
      </c>
      <c r="BJ1961" s="9" t="str">
        <f t="shared" si="315"/>
        <v/>
      </c>
      <c r="BK1961" s="9" t="str">
        <f>IF($B1961="","",COUNTIFS($B$5:$B1961,$B1961,$BF$5:$BF1961,$BF1961))</f>
        <v/>
      </c>
      <c r="BL1961" s="9" t="str">
        <f>IF($B1961="","",COUNTIFS($B$5:$B1961,$B1961,$BH$5:$BH1961,$BH1961))</f>
        <v/>
      </c>
      <c r="BM1961" s="9" t="str">
        <f t="shared" si="316"/>
        <v/>
      </c>
      <c r="BN1961" s="9" t="str">
        <f t="shared" si="317"/>
        <v/>
      </c>
      <c r="BO1961" s="9">
        <f t="shared" si="318"/>
        <v>0</v>
      </c>
      <c r="BR1961" s="12" t="str">
        <f t="shared" si="319"/>
        <v/>
      </c>
    </row>
    <row r="1962" spans="1:70" ht="14.25" customHeight="1">
      <c r="A1962" s="26"/>
      <c r="C1962" s="26"/>
      <c r="D1962" s="27"/>
      <c r="E1962" s="27"/>
      <c r="BE1962" s="10" t="str">
        <f t="shared" si="310"/>
        <v/>
      </c>
      <c r="BF1962" s="8" t="str">
        <f t="shared" si="311"/>
        <v/>
      </c>
      <c r="BG1962" s="11" t="str">
        <f t="shared" si="312"/>
        <v/>
      </c>
      <c r="BH1962" s="8" t="str">
        <f t="shared" si="313"/>
        <v/>
      </c>
      <c r="BI1962" s="8" t="str">
        <f t="shared" si="314"/>
        <v/>
      </c>
      <c r="BJ1962" s="9" t="str">
        <f t="shared" si="315"/>
        <v/>
      </c>
      <c r="BK1962" s="9" t="str">
        <f>IF($B1962="","",COUNTIFS($B$5:$B1962,$B1962,$BF$5:$BF1962,$BF1962))</f>
        <v/>
      </c>
      <c r="BL1962" s="9" t="str">
        <f>IF($B1962="","",COUNTIFS($B$5:$B1962,$B1962,$BH$5:$BH1962,$BH1962))</f>
        <v/>
      </c>
      <c r="BM1962" s="9" t="str">
        <f t="shared" si="316"/>
        <v/>
      </c>
      <c r="BN1962" s="9" t="str">
        <f t="shared" si="317"/>
        <v/>
      </c>
      <c r="BO1962" s="9">
        <f t="shared" si="318"/>
        <v>0</v>
      </c>
      <c r="BR1962" s="12" t="str">
        <f t="shared" si="319"/>
        <v/>
      </c>
    </row>
    <row r="1963" spans="1:70" ht="14.25" customHeight="1">
      <c r="A1963" s="26"/>
      <c r="C1963" s="26"/>
      <c r="D1963" s="27"/>
      <c r="E1963" s="27"/>
      <c r="BE1963" s="10" t="str">
        <f t="shared" si="310"/>
        <v/>
      </c>
      <c r="BF1963" s="8" t="str">
        <f t="shared" si="311"/>
        <v/>
      </c>
      <c r="BG1963" s="11" t="str">
        <f t="shared" si="312"/>
        <v/>
      </c>
      <c r="BH1963" s="8" t="str">
        <f t="shared" si="313"/>
        <v/>
      </c>
      <c r="BI1963" s="8" t="str">
        <f t="shared" si="314"/>
        <v/>
      </c>
      <c r="BJ1963" s="9" t="str">
        <f t="shared" si="315"/>
        <v/>
      </c>
      <c r="BK1963" s="9" t="str">
        <f>IF($B1963="","",COUNTIFS($B$5:$B1963,$B1963,$BF$5:$BF1963,$BF1963))</f>
        <v/>
      </c>
      <c r="BL1963" s="9" t="str">
        <f>IF($B1963="","",COUNTIFS($B$5:$B1963,$B1963,$BH$5:$BH1963,$BH1963))</f>
        <v/>
      </c>
      <c r="BM1963" s="9" t="str">
        <f t="shared" si="316"/>
        <v/>
      </c>
      <c r="BN1963" s="9" t="str">
        <f t="shared" si="317"/>
        <v/>
      </c>
      <c r="BO1963" s="9">
        <f t="shared" si="318"/>
        <v>0</v>
      </c>
      <c r="BR1963" s="12" t="str">
        <f t="shared" si="319"/>
        <v/>
      </c>
    </row>
    <row r="1964" spans="1:70" ht="14.25" customHeight="1">
      <c r="A1964" s="26"/>
      <c r="C1964" s="26"/>
      <c r="D1964" s="27"/>
      <c r="E1964" s="27"/>
      <c r="BE1964" s="10" t="str">
        <f t="shared" si="310"/>
        <v/>
      </c>
      <c r="BF1964" s="8" t="str">
        <f t="shared" si="311"/>
        <v/>
      </c>
      <c r="BG1964" s="11" t="str">
        <f t="shared" si="312"/>
        <v/>
      </c>
      <c r="BH1964" s="8" t="str">
        <f t="shared" si="313"/>
        <v/>
      </c>
      <c r="BI1964" s="8" t="str">
        <f t="shared" si="314"/>
        <v/>
      </c>
      <c r="BJ1964" s="9" t="str">
        <f t="shared" si="315"/>
        <v/>
      </c>
      <c r="BK1964" s="9" t="str">
        <f>IF($B1964="","",COUNTIFS($B$5:$B1964,$B1964,$BF$5:$BF1964,$BF1964))</f>
        <v/>
      </c>
      <c r="BL1964" s="9" t="str">
        <f>IF($B1964="","",COUNTIFS($B$5:$B1964,$B1964,$BH$5:$BH1964,$BH1964))</f>
        <v/>
      </c>
      <c r="BM1964" s="9" t="str">
        <f t="shared" si="316"/>
        <v/>
      </c>
      <c r="BN1964" s="9" t="str">
        <f t="shared" si="317"/>
        <v/>
      </c>
      <c r="BO1964" s="9">
        <f t="shared" si="318"/>
        <v>0</v>
      </c>
      <c r="BR1964" s="12" t="str">
        <f t="shared" si="319"/>
        <v/>
      </c>
    </row>
    <row r="1965" spans="1:70" ht="14.25" customHeight="1">
      <c r="A1965" s="26"/>
      <c r="C1965" s="26"/>
      <c r="D1965" s="27"/>
      <c r="E1965" s="27"/>
      <c r="BE1965" s="10" t="str">
        <f t="shared" si="310"/>
        <v/>
      </c>
      <c r="BF1965" s="8" t="str">
        <f t="shared" si="311"/>
        <v/>
      </c>
      <c r="BG1965" s="11" t="str">
        <f t="shared" si="312"/>
        <v/>
      </c>
      <c r="BH1965" s="8" t="str">
        <f t="shared" si="313"/>
        <v/>
      </c>
      <c r="BI1965" s="8" t="str">
        <f t="shared" si="314"/>
        <v/>
      </c>
      <c r="BJ1965" s="9" t="str">
        <f t="shared" si="315"/>
        <v/>
      </c>
      <c r="BK1965" s="9" t="str">
        <f>IF($B1965="","",COUNTIFS($B$5:$B1965,$B1965,$BF$5:$BF1965,$BF1965))</f>
        <v/>
      </c>
      <c r="BL1965" s="9" t="str">
        <f>IF($B1965="","",COUNTIFS($B$5:$B1965,$B1965,$BH$5:$BH1965,$BH1965))</f>
        <v/>
      </c>
      <c r="BM1965" s="9" t="str">
        <f t="shared" si="316"/>
        <v/>
      </c>
      <c r="BN1965" s="9" t="str">
        <f t="shared" si="317"/>
        <v/>
      </c>
      <c r="BO1965" s="9">
        <f t="shared" si="318"/>
        <v>0</v>
      </c>
      <c r="BR1965" s="12" t="str">
        <f t="shared" si="319"/>
        <v/>
      </c>
    </row>
    <row r="1966" spans="1:70" ht="14.25" customHeight="1">
      <c r="A1966" s="26"/>
      <c r="C1966" s="26"/>
      <c r="D1966" s="27"/>
      <c r="E1966" s="27"/>
      <c r="BE1966" s="10" t="str">
        <f t="shared" si="310"/>
        <v/>
      </c>
      <c r="BF1966" s="8" t="str">
        <f t="shared" si="311"/>
        <v/>
      </c>
      <c r="BG1966" s="11" t="str">
        <f t="shared" si="312"/>
        <v/>
      </c>
      <c r="BH1966" s="8" t="str">
        <f t="shared" si="313"/>
        <v/>
      </c>
      <c r="BI1966" s="8" t="str">
        <f t="shared" si="314"/>
        <v/>
      </c>
      <c r="BJ1966" s="9" t="str">
        <f t="shared" si="315"/>
        <v/>
      </c>
      <c r="BK1966" s="9" t="str">
        <f>IF($B1966="","",COUNTIFS($B$5:$B1966,$B1966,$BF$5:$BF1966,$BF1966))</f>
        <v/>
      </c>
      <c r="BL1966" s="9" t="str">
        <f>IF($B1966="","",COUNTIFS($B$5:$B1966,$B1966,$BH$5:$BH1966,$BH1966))</f>
        <v/>
      </c>
      <c r="BM1966" s="9" t="str">
        <f t="shared" si="316"/>
        <v/>
      </c>
      <c r="BN1966" s="9" t="str">
        <f t="shared" si="317"/>
        <v/>
      </c>
      <c r="BO1966" s="9">
        <f t="shared" si="318"/>
        <v>0</v>
      </c>
      <c r="BR1966" s="12" t="str">
        <f t="shared" si="319"/>
        <v/>
      </c>
    </row>
    <row r="1967" spans="1:70" ht="14.25" customHeight="1">
      <c r="A1967" s="26"/>
      <c r="C1967" s="26"/>
      <c r="D1967" s="27"/>
      <c r="E1967" s="27"/>
      <c r="BE1967" s="10" t="str">
        <f t="shared" si="310"/>
        <v/>
      </c>
      <c r="BF1967" s="8" t="str">
        <f t="shared" si="311"/>
        <v/>
      </c>
      <c r="BG1967" s="11" t="str">
        <f t="shared" si="312"/>
        <v/>
      </c>
      <c r="BH1967" s="8" t="str">
        <f t="shared" si="313"/>
        <v/>
      </c>
      <c r="BI1967" s="8" t="str">
        <f t="shared" si="314"/>
        <v/>
      </c>
      <c r="BJ1967" s="9" t="str">
        <f t="shared" si="315"/>
        <v/>
      </c>
      <c r="BK1967" s="9" t="str">
        <f>IF($B1967="","",COUNTIFS($B$5:$B1967,$B1967,$BF$5:$BF1967,$BF1967))</f>
        <v/>
      </c>
      <c r="BL1967" s="9" t="str">
        <f>IF($B1967="","",COUNTIFS($B$5:$B1967,$B1967,$BH$5:$BH1967,$BH1967))</f>
        <v/>
      </c>
      <c r="BM1967" s="9" t="str">
        <f t="shared" si="316"/>
        <v/>
      </c>
      <c r="BN1967" s="9" t="str">
        <f t="shared" si="317"/>
        <v/>
      </c>
      <c r="BO1967" s="9">
        <f t="shared" si="318"/>
        <v>0</v>
      </c>
      <c r="BR1967" s="12" t="str">
        <f t="shared" si="319"/>
        <v/>
      </c>
    </row>
    <row r="1968" spans="1:70" ht="14.25" customHeight="1">
      <c r="A1968" s="26"/>
      <c r="C1968" s="26"/>
      <c r="D1968" s="27"/>
      <c r="E1968" s="27"/>
      <c r="BE1968" s="10" t="str">
        <f t="shared" si="310"/>
        <v/>
      </c>
      <c r="BF1968" s="8" t="str">
        <f t="shared" si="311"/>
        <v/>
      </c>
      <c r="BG1968" s="11" t="str">
        <f t="shared" si="312"/>
        <v/>
      </c>
      <c r="BH1968" s="8" t="str">
        <f t="shared" si="313"/>
        <v/>
      </c>
      <c r="BI1968" s="8" t="str">
        <f t="shared" si="314"/>
        <v/>
      </c>
      <c r="BJ1968" s="9" t="str">
        <f t="shared" si="315"/>
        <v/>
      </c>
      <c r="BK1968" s="9" t="str">
        <f>IF($B1968="","",COUNTIFS($B$5:$B1968,$B1968,$BF$5:$BF1968,$BF1968))</f>
        <v/>
      </c>
      <c r="BL1968" s="9" t="str">
        <f>IF($B1968="","",COUNTIFS($B$5:$B1968,$B1968,$BH$5:$BH1968,$BH1968))</f>
        <v/>
      </c>
      <c r="BM1968" s="9" t="str">
        <f t="shared" si="316"/>
        <v/>
      </c>
      <c r="BN1968" s="9" t="str">
        <f t="shared" si="317"/>
        <v/>
      </c>
      <c r="BO1968" s="9">
        <f t="shared" si="318"/>
        <v>0</v>
      </c>
      <c r="BR1968" s="12" t="str">
        <f t="shared" si="319"/>
        <v/>
      </c>
    </row>
    <row r="1969" spans="1:70" ht="14.25" customHeight="1">
      <c r="A1969" s="26"/>
      <c r="C1969" s="26"/>
      <c r="D1969" s="27"/>
      <c r="E1969" s="27"/>
      <c r="BE1969" s="10" t="str">
        <f t="shared" si="310"/>
        <v/>
      </c>
      <c r="BF1969" s="8" t="str">
        <f t="shared" si="311"/>
        <v/>
      </c>
      <c r="BG1969" s="11" t="str">
        <f t="shared" si="312"/>
        <v/>
      </c>
      <c r="BH1969" s="8" t="str">
        <f t="shared" si="313"/>
        <v/>
      </c>
      <c r="BI1969" s="8" t="str">
        <f t="shared" si="314"/>
        <v/>
      </c>
      <c r="BJ1969" s="9" t="str">
        <f t="shared" si="315"/>
        <v/>
      </c>
      <c r="BK1969" s="9" t="str">
        <f>IF($B1969="","",COUNTIFS($B$5:$B1969,$B1969,$BF$5:$BF1969,$BF1969))</f>
        <v/>
      </c>
      <c r="BL1969" s="9" t="str">
        <f>IF($B1969="","",COUNTIFS($B$5:$B1969,$B1969,$BH$5:$BH1969,$BH1969))</f>
        <v/>
      </c>
      <c r="BM1969" s="9" t="str">
        <f t="shared" si="316"/>
        <v/>
      </c>
      <c r="BN1969" s="9" t="str">
        <f t="shared" si="317"/>
        <v/>
      </c>
      <c r="BO1969" s="9">
        <f t="shared" si="318"/>
        <v>0</v>
      </c>
      <c r="BR1969" s="12" t="str">
        <f t="shared" si="319"/>
        <v/>
      </c>
    </row>
    <row r="1970" spans="1:70" ht="14.25" customHeight="1">
      <c r="A1970" s="26"/>
      <c r="C1970" s="26"/>
      <c r="D1970" s="27"/>
      <c r="E1970" s="27"/>
      <c r="BE1970" s="10" t="str">
        <f t="shared" si="310"/>
        <v/>
      </c>
      <c r="BF1970" s="8" t="str">
        <f t="shared" si="311"/>
        <v/>
      </c>
      <c r="BG1970" s="11" t="str">
        <f t="shared" si="312"/>
        <v/>
      </c>
      <c r="BH1970" s="8" t="str">
        <f t="shared" si="313"/>
        <v/>
      </c>
      <c r="BI1970" s="8" t="str">
        <f t="shared" si="314"/>
        <v/>
      </c>
      <c r="BJ1970" s="9" t="str">
        <f t="shared" si="315"/>
        <v/>
      </c>
      <c r="BK1970" s="9" t="str">
        <f>IF($B1970="","",COUNTIFS($B$5:$B1970,$B1970,$BF$5:$BF1970,$BF1970))</f>
        <v/>
      </c>
      <c r="BL1970" s="9" t="str">
        <f>IF($B1970="","",COUNTIFS($B$5:$B1970,$B1970,$BH$5:$BH1970,$BH1970))</f>
        <v/>
      </c>
      <c r="BM1970" s="9" t="str">
        <f t="shared" si="316"/>
        <v/>
      </c>
      <c r="BN1970" s="9" t="str">
        <f t="shared" si="317"/>
        <v/>
      </c>
      <c r="BO1970" s="9">
        <f t="shared" si="318"/>
        <v>0</v>
      </c>
      <c r="BR1970" s="12" t="str">
        <f t="shared" si="319"/>
        <v/>
      </c>
    </row>
    <row r="1971" spans="1:70" ht="14.25" customHeight="1">
      <c r="A1971" s="26"/>
      <c r="C1971" s="26"/>
      <c r="D1971" s="27"/>
      <c r="E1971" s="27"/>
      <c r="BE1971" s="10" t="str">
        <f t="shared" si="310"/>
        <v/>
      </c>
      <c r="BF1971" s="8" t="str">
        <f t="shared" si="311"/>
        <v/>
      </c>
      <c r="BG1971" s="11" t="str">
        <f t="shared" si="312"/>
        <v/>
      </c>
      <c r="BH1971" s="8" t="str">
        <f t="shared" si="313"/>
        <v/>
      </c>
      <c r="BI1971" s="8" t="str">
        <f t="shared" si="314"/>
        <v/>
      </c>
      <c r="BJ1971" s="9" t="str">
        <f t="shared" si="315"/>
        <v/>
      </c>
      <c r="BK1971" s="9" t="str">
        <f>IF($B1971="","",COUNTIFS($B$5:$B1971,$B1971,$BF$5:$BF1971,$BF1971))</f>
        <v/>
      </c>
      <c r="BL1971" s="9" t="str">
        <f>IF($B1971="","",COUNTIFS($B$5:$B1971,$B1971,$BH$5:$BH1971,$BH1971))</f>
        <v/>
      </c>
      <c r="BM1971" s="9" t="str">
        <f t="shared" si="316"/>
        <v/>
      </c>
      <c r="BN1971" s="9" t="str">
        <f t="shared" si="317"/>
        <v/>
      </c>
      <c r="BO1971" s="9">
        <f t="shared" si="318"/>
        <v>0</v>
      </c>
      <c r="BR1971" s="12" t="str">
        <f t="shared" si="319"/>
        <v/>
      </c>
    </row>
    <row r="1972" spans="1:70" ht="14.25" customHeight="1">
      <c r="A1972" s="26"/>
      <c r="C1972" s="26"/>
      <c r="D1972" s="27"/>
      <c r="E1972" s="27"/>
      <c r="BE1972" s="10" t="str">
        <f t="shared" si="310"/>
        <v/>
      </c>
      <c r="BF1972" s="8" t="str">
        <f t="shared" si="311"/>
        <v/>
      </c>
      <c r="BG1972" s="11" t="str">
        <f t="shared" si="312"/>
        <v/>
      </c>
      <c r="BH1972" s="8" t="str">
        <f t="shared" si="313"/>
        <v/>
      </c>
      <c r="BI1972" s="8" t="str">
        <f t="shared" si="314"/>
        <v/>
      </c>
      <c r="BJ1972" s="9" t="str">
        <f t="shared" si="315"/>
        <v/>
      </c>
      <c r="BK1972" s="9" t="str">
        <f>IF($B1972="","",COUNTIFS($B$5:$B1972,$B1972,$BF$5:$BF1972,$BF1972))</f>
        <v/>
      </c>
      <c r="BL1972" s="9" t="str">
        <f>IF($B1972="","",COUNTIFS($B$5:$B1972,$B1972,$BH$5:$BH1972,$BH1972))</f>
        <v/>
      </c>
      <c r="BM1972" s="9" t="str">
        <f t="shared" si="316"/>
        <v/>
      </c>
      <c r="BN1972" s="9" t="str">
        <f t="shared" si="317"/>
        <v/>
      </c>
      <c r="BO1972" s="9">
        <f t="shared" si="318"/>
        <v>0</v>
      </c>
      <c r="BR1972" s="12" t="str">
        <f t="shared" si="319"/>
        <v/>
      </c>
    </row>
    <row r="1973" spans="1:70" ht="14.25" customHeight="1">
      <c r="A1973" s="26"/>
      <c r="C1973" s="26"/>
      <c r="D1973" s="27"/>
      <c r="E1973" s="27"/>
      <c r="BE1973" s="10" t="str">
        <f t="shared" si="310"/>
        <v/>
      </c>
      <c r="BF1973" s="8" t="str">
        <f t="shared" si="311"/>
        <v/>
      </c>
      <c r="BG1973" s="11" t="str">
        <f t="shared" si="312"/>
        <v/>
      </c>
      <c r="BH1973" s="8" t="str">
        <f t="shared" si="313"/>
        <v/>
      </c>
      <c r="BI1973" s="8" t="str">
        <f t="shared" si="314"/>
        <v/>
      </c>
      <c r="BJ1973" s="9" t="str">
        <f t="shared" si="315"/>
        <v/>
      </c>
      <c r="BK1973" s="9" t="str">
        <f>IF($B1973="","",COUNTIFS($B$5:$B1973,$B1973,$BF$5:$BF1973,$BF1973))</f>
        <v/>
      </c>
      <c r="BL1973" s="9" t="str">
        <f>IF($B1973="","",COUNTIFS($B$5:$B1973,$B1973,$BH$5:$BH1973,$BH1973))</f>
        <v/>
      </c>
      <c r="BM1973" s="9" t="str">
        <f t="shared" si="316"/>
        <v/>
      </c>
      <c r="BN1973" s="9" t="str">
        <f t="shared" si="317"/>
        <v/>
      </c>
      <c r="BO1973" s="9">
        <f t="shared" si="318"/>
        <v>0</v>
      </c>
      <c r="BR1973" s="12" t="str">
        <f t="shared" si="319"/>
        <v/>
      </c>
    </row>
    <row r="1974" spans="1:70" ht="14.25" customHeight="1">
      <c r="A1974" s="26"/>
      <c r="C1974" s="26"/>
      <c r="D1974" s="27"/>
      <c r="E1974" s="27"/>
      <c r="BE1974" s="10" t="str">
        <f t="shared" si="310"/>
        <v/>
      </c>
      <c r="BF1974" s="8" t="str">
        <f t="shared" si="311"/>
        <v/>
      </c>
      <c r="BG1974" s="11" t="str">
        <f t="shared" si="312"/>
        <v/>
      </c>
      <c r="BH1974" s="8" t="str">
        <f t="shared" si="313"/>
        <v/>
      </c>
      <c r="BI1974" s="8" t="str">
        <f t="shared" si="314"/>
        <v/>
      </c>
      <c r="BJ1974" s="9" t="str">
        <f t="shared" si="315"/>
        <v/>
      </c>
      <c r="BK1974" s="9" t="str">
        <f>IF($B1974="","",COUNTIFS($B$5:$B1974,$B1974,$BF$5:$BF1974,$BF1974))</f>
        <v/>
      </c>
      <c r="BL1974" s="9" t="str">
        <f>IF($B1974="","",COUNTIFS($B$5:$B1974,$B1974,$BH$5:$BH1974,$BH1974))</f>
        <v/>
      </c>
      <c r="BM1974" s="9" t="str">
        <f t="shared" si="316"/>
        <v/>
      </c>
      <c r="BN1974" s="9" t="str">
        <f t="shared" si="317"/>
        <v/>
      </c>
      <c r="BO1974" s="9">
        <f t="shared" si="318"/>
        <v>0</v>
      </c>
      <c r="BR1974" s="12" t="str">
        <f t="shared" si="319"/>
        <v/>
      </c>
    </row>
    <row r="1975" spans="1:70" ht="14.25" customHeight="1">
      <c r="A1975" s="26"/>
      <c r="C1975" s="26"/>
      <c r="D1975" s="27"/>
      <c r="E1975" s="27"/>
      <c r="BE1975" s="10" t="str">
        <f t="shared" si="310"/>
        <v/>
      </c>
      <c r="BF1975" s="8" t="str">
        <f t="shared" si="311"/>
        <v/>
      </c>
      <c r="BG1975" s="11" t="str">
        <f t="shared" si="312"/>
        <v/>
      </c>
      <c r="BH1975" s="8" t="str">
        <f t="shared" si="313"/>
        <v/>
      </c>
      <c r="BI1975" s="8" t="str">
        <f t="shared" si="314"/>
        <v/>
      </c>
      <c r="BJ1975" s="9" t="str">
        <f t="shared" si="315"/>
        <v/>
      </c>
      <c r="BK1975" s="9" t="str">
        <f>IF($B1975="","",COUNTIFS($B$5:$B1975,$B1975,$BF$5:$BF1975,$BF1975))</f>
        <v/>
      </c>
      <c r="BL1975" s="9" t="str">
        <f>IF($B1975="","",COUNTIFS($B$5:$B1975,$B1975,$BH$5:$BH1975,$BH1975))</f>
        <v/>
      </c>
      <c r="BM1975" s="9" t="str">
        <f t="shared" si="316"/>
        <v/>
      </c>
      <c r="BN1975" s="9" t="str">
        <f t="shared" si="317"/>
        <v/>
      </c>
      <c r="BO1975" s="9">
        <f t="shared" si="318"/>
        <v>0</v>
      </c>
      <c r="BR1975" s="12" t="str">
        <f t="shared" si="319"/>
        <v/>
      </c>
    </row>
    <row r="1976" spans="1:70" ht="14.25" customHeight="1">
      <c r="A1976" s="26"/>
      <c r="C1976" s="26"/>
      <c r="D1976" s="27"/>
      <c r="E1976" s="27"/>
      <c r="BE1976" s="10" t="str">
        <f t="shared" si="310"/>
        <v/>
      </c>
      <c r="BF1976" s="8" t="str">
        <f t="shared" si="311"/>
        <v/>
      </c>
      <c r="BG1976" s="11" t="str">
        <f t="shared" si="312"/>
        <v/>
      </c>
      <c r="BH1976" s="8" t="str">
        <f t="shared" si="313"/>
        <v/>
      </c>
      <c r="BI1976" s="8" t="str">
        <f t="shared" si="314"/>
        <v/>
      </c>
      <c r="BJ1976" s="9" t="str">
        <f t="shared" si="315"/>
        <v/>
      </c>
      <c r="BK1976" s="9" t="str">
        <f>IF($B1976="","",COUNTIFS($B$5:$B1976,$B1976,$BF$5:$BF1976,$BF1976))</f>
        <v/>
      </c>
      <c r="BL1976" s="9" t="str">
        <f>IF($B1976="","",COUNTIFS($B$5:$B1976,$B1976,$BH$5:$BH1976,$BH1976))</f>
        <v/>
      </c>
      <c r="BM1976" s="9" t="str">
        <f t="shared" si="316"/>
        <v/>
      </c>
      <c r="BN1976" s="9" t="str">
        <f t="shared" si="317"/>
        <v/>
      </c>
      <c r="BO1976" s="9">
        <f t="shared" si="318"/>
        <v>0</v>
      </c>
      <c r="BR1976" s="12" t="str">
        <f t="shared" si="319"/>
        <v/>
      </c>
    </row>
    <row r="1977" spans="1:70" ht="14.25" customHeight="1">
      <c r="A1977" s="26"/>
      <c r="C1977" s="26"/>
      <c r="D1977" s="27"/>
      <c r="E1977" s="27"/>
      <c r="BE1977" s="10" t="str">
        <f t="shared" si="310"/>
        <v/>
      </c>
      <c r="BF1977" s="8" t="str">
        <f t="shared" si="311"/>
        <v/>
      </c>
      <c r="BG1977" s="11" t="str">
        <f t="shared" si="312"/>
        <v/>
      </c>
      <c r="BH1977" s="8" t="str">
        <f t="shared" si="313"/>
        <v/>
      </c>
      <c r="BI1977" s="8" t="str">
        <f t="shared" si="314"/>
        <v/>
      </c>
      <c r="BJ1977" s="9" t="str">
        <f t="shared" si="315"/>
        <v/>
      </c>
      <c r="BK1977" s="9" t="str">
        <f>IF($B1977="","",COUNTIFS($B$5:$B1977,$B1977,$BF$5:$BF1977,$BF1977))</f>
        <v/>
      </c>
      <c r="BL1977" s="9" t="str">
        <f>IF($B1977="","",COUNTIFS($B$5:$B1977,$B1977,$BH$5:$BH1977,$BH1977))</f>
        <v/>
      </c>
      <c r="BM1977" s="9" t="str">
        <f t="shared" si="316"/>
        <v/>
      </c>
      <c r="BN1977" s="9" t="str">
        <f t="shared" si="317"/>
        <v/>
      </c>
      <c r="BO1977" s="9">
        <f t="shared" si="318"/>
        <v>0</v>
      </c>
      <c r="BR1977" s="12" t="str">
        <f t="shared" si="319"/>
        <v/>
      </c>
    </row>
    <row r="1978" spans="1:70" ht="14.25" customHeight="1">
      <c r="A1978" s="26"/>
      <c r="C1978" s="26"/>
      <c r="D1978" s="27"/>
      <c r="E1978" s="27"/>
      <c r="BE1978" s="10" t="str">
        <f t="shared" si="310"/>
        <v/>
      </c>
      <c r="BF1978" s="8" t="str">
        <f t="shared" si="311"/>
        <v/>
      </c>
      <c r="BG1978" s="11" t="str">
        <f t="shared" si="312"/>
        <v/>
      </c>
      <c r="BH1978" s="8" t="str">
        <f t="shared" si="313"/>
        <v/>
      </c>
      <c r="BI1978" s="8" t="str">
        <f t="shared" si="314"/>
        <v/>
      </c>
      <c r="BJ1978" s="9" t="str">
        <f t="shared" si="315"/>
        <v/>
      </c>
      <c r="BK1978" s="9" t="str">
        <f>IF($B1978="","",COUNTIFS($B$5:$B1978,$B1978,$BF$5:$BF1978,$BF1978))</f>
        <v/>
      </c>
      <c r="BL1978" s="9" t="str">
        <f>IF($B1978="","",COUNTIFS($B$5:$B1978,$B1978,$BH$5:$BH1978,$BH1978))</f>
        <v/>
      </c>
      <c r="BM1978" s="9" t="str">
        <f t="shared" si="316"/>
        <v/>
      </c>
      <c r="BN1978" s="9" t="str">
        <f t="shared" si="317"/>
        <v/>
      </c>
      <c r="BO1978" s="9">
        <f t="shared" si="318"/>
        <v>0</v>
      </c>
      <c r="BR1978" s="12" t="str">
        <f t="shared" si="319"/>
        <v/>
      </c>
    </row>
    <row r="1979" spans="1:70" ht="14.25" customHeight="1">
      <c r="A1979" s="26"/>
      <c r="C1979" s="26"/>
      <c r="D1979" s="27"/>
      <c r="E1979" s="27"/>
      <c r="BE1979" s="10" t="str">
        <f t="shared" si="310"/>
        <v/>
      </c>
      <c r="BF1979" s="8" t="str">
        <f t="shared" si="311"/>
        <v/>
      </c>
      <c r="BG1979" s="11" t="str">
        <f t="shared" si="312"/>
        <v/>
      </c>
      <c r="BH1979" s="8" t="str">
        <f t="shared" si="313"/>
        <v/>
      </c>
      <c r="BI1979" s="8" t="str">
        <f t="shared" si="314"/>
        <v/>
      </c>
      <c r="BJ1979" s="9" t="str">
        <f t="shared" si="315"/>
        <v/>
      </c>
      <c r="BK1979" s="9" t="str">
        <f>IF($B1979="","",COUNTIFS($B$5:$B1979,$B1979,$BF$5:$BF1979,$BF1979))</f>
        <v/>
      </c>
      <c r="BL1979" s="9" t="str">
        <f>IF($B1979="","",COUNTIFS($B$5:$B1979,$B1979,$BH$5:$BH1979,$BH1979))</f>
        <v/>
      </c>
      <c r="BM1979" s="9" t="str">
        <f t="shared" si="316"/>
        <v/>
      </c>
      <c r="BN1979" s="9" t="str">
        <f t="shared" si="317"/>
        <v/>
      </c>
      <c r="BO1979" s="9">
        <f t="shared" si="318"/>
        <v>0</v>
      </c>
      <c r="BR1979" s="12" t="str">
        <f t="shared" si="319"/>
        <v/>
      </c>
    </row>
    <row r="1980" spans="1:70" ht="14.25" customHeight="1">
      <c r="A1980" s="26"/>
      <c r="C1980" s="26"/>
      <c r="D1980" s="27"/>
      <c r="E1980" s="27"/>
      <c r="BE1980" s="10" t="str">
        <f t="shared" si="310"/>
        <v/>
      </c>
      <c r="BF1980" s="8" t="str">
        <f t="shared" si="311"/>
        <v/>
      </c>
      <c r="BG1980" s="11" t="str">
        <f t="shared" si="312"/>
        <v/>
      </c>
      <c r="BH1980" s="8" t="str">
        <f t="shared" si="313"/>
        <v/>
      </c>
      <c r="BI1980" s="8" t="str">
        <f t="shared" si="314"/>
        <v/>
      </c>
      <c r="BJ1980" s="9" t="str">
        <f t="shared" si="315"/>
        <v/>
      </c>
      <c r="BK1980" s="9" t="str">
        <f>IF($B1980="","",COUNTIFS($B$5:$B1980,$B1980,$BF$5:$BF1980,$BF1980))</f>
        <v/>
      </c>
      <c r="BL1980" s="9" t="str">
        <f>IF($B1980="","",COUNTIFS($B$5:$B1980,$B1980,$BH$5:$BH1980,$BH1980))</f>
        <v/>
      </c>
      <c r="BM1980" s="9" t="str">
        <f t="shared" si="316"/>
        <v/>
      </c>
      <c r="BN1980" s="9" t="str">
        <f t="shared" si="317"/>
        <v/>
      </c>
      <c r="BO1980" s="9">
        <f t="shared" si="318"/>
        <v>0</v>
      </c>
      <c r="BR1980" s="12" t="str">
        <f t="shared" si="319"/>
        <v/>
      </c>
    </row>
    <row r="1981" spans="1:70" ht="14.25" customHeight="1">
      <c r="A1981" s="26"/>
      <c r="C1981" s="26"/>
      <c r="D1981" s="27"/>
      <c r="E1981" s="27"/>
      <c r="BE1981" s="10" t="str">
        <f t="shared" si="310"/>
        <v/>
      </c>
      <c r="BF1981" s="8" t="str">
        <f t="shared" si="311"/>
        <v/>
      </c>
      <c r="BG1981" s="11" t="str">
        <f t="shared" si="312"/>
        <v/>
      </c>
      <c r="BH1981" s="8" t="str">
        <f t="shared" si="313"/>
        <v/>
      </c>
      <c r="BI1981" s="8" t="str">
        <f t="shared" si="314"/>
        <v/>
      </c>
      <c r="BJ1981" s="9" t="str">
        <f t="shared" si="315"/>
        <v/>
      </c>
      <c r="BK1981" s="9" t="str">
        <f>IF($B1981="","",COUNTIFS($B$5:$B1981,$B1981,$BF$5:$BF1981,$BF1981))</f>
        <v/>
      </c>
      <c r="BL1981" s="9" t="str">
        <f>IF($B1981="","",COUNTIFS($B$5:$B1981,$B1981,$BH$5:$BH1981,$BH1981))</f>
        <v/>
      </c>
      <c r="BM1981" s="9" t="str">
        <f t="shared" si="316"/>
        <v/>
      </c>
      <c r="BN1981" s="9" t="str">
        <f t="shared" si="317"/>
        <v/>
      </c>
      <c r="BO1981" s="9">
        <f t="shared" si="318"/>
        <v>0</v>
      </c>
      <c r="BR1981" s="12" t="str">
        <f t="shared" si="319"/>
        <v/>
      </c>
    </row>
    <row r="1982" spans="1:70" ht="14.25" customHeight="1">
      <c r="A1982" s="26"/>
      <c r="C1982" s="26"/>
      <c r="D1982" s="27"/>
      <c r="E1982" s="27"/>
      <c r="BE1982" s="10" t="str">
        <f t="shared" si="310"/>
        <v/>
      </c>
      <c r="BF1982" s="8" t="str">
        <f t="shared" si="311"/>
        <v/>
      </c>
      <c r="BG1982" s="11" t="str">
        <f t="shared" si="312"/>
        <v/>
      </c>
      <c r="BH1982" s="8" t="str">
        <f t="shared" si="313"/>
        <v/>
      </c>
      <c r="BI1982" s="8" t="str">
        <f t="shared" si="314"/>
        <v/>
      </c>
      <c r="BJ1982" s="9" t="str">
        <f t="shared" si="315"/>
        <v/>
      </c>
      <c r="BK1982" s="9" t="str">
        <f>IF($B1982="","",COUNTIFS($B$5:$B1982,$B1982,$BF$5:$BF1982,$BF1982))</f>
        <v/>
      </c>
      <c r="BL1982" s="9" t="str">
        <f>IF($B1982="","",COUNTIFS($B$5:$B1982,$B1982,$BH$5:$BH1982,$BH1982))</f>
        <v/>
      </c>
      <c r="BM1982" s="9" t="str">
        <f t="shared" si="316"/>
        <v/>
      </c>
      <c r="BN1982" s="9" t="str">
        <f t="shared" si="317"/>
        <v/>
      </c>
      <c r="BO1982" s="9">
        <f t="shared" si="318"/>
        <v>0</v>
      </c>
      <c r="BR1982" s="12" t="str">
        <f t="shared" si="319"/>
        <v/>
      </c>
    </row>
    <row r="1983" spans="1:70" ht="14.25" customHeight="1">
      <c r="A1983" s="26"/>
      <c r="C1983" s="26"/>
      <c r="D1983" s="27"/>
      <c r="E1983" s="27"/>
      <c r="BE1983" s="10" t="str">
        <f t="shared" si="310"/>
        <v/>
      </c>
      <c r="BF1983" s="8" t="str">
        <f t="shared" si="311"/>
        <v/>
      </c>
      <c r="BG1983" s="11" t="str">
        <f t="shared" si="312"/>
        <v/>
      </c>
      <c r="BH1983" s="8" t="str">
        <f t="shared" si="313"/>
        <v/>
      </c>
      <c r="BI1983" s="8" t="str">
        <f t="shared" si="314"/>
        <v/>
      </c>
      <c r="BJ1983" s="9" t="str">
        <f t="shared" si="315"/>
        <v/>
      </c>
      <c r="BK1983" s="9" t="str">
        <f>IF($B1983="","",COUNTIFS($B$5:$B1983,$B1983,$BF$5:$BF1983,$BF1983))</f>
        <v/>
      </c>
      <c r="BL1983" s="9" t="str">
        <f>IF($B1983="","",COUNTIFS($B$5:$B1983,$B1983,$BH$5:$BH1983,$BH1983))</f>
        <v/>
      </c>
      <c r="BM1983" s="9" t="str">
        <f t="shared" si="316"/>
        <v/>
      </c>
      <c r="BN1983" s="9" t="str">
        <f t="shared" si="317"/>
        <v/>
      </c>
      <c r="BO1983" s="9">
        <f t="shared" si="318"/>
        <v>0</v>
      </c>
      <c r="BR1983" s="12" t="str">
        <f t="shared" si="319"/>
        <v/>
      </c>
    </row>
    <row r="1984" spans="1:70" ht="14.25" customHeight="1">
      <c r="A1984" s="26"/>
      <c r="C1984" s="26"/>
      <c r="D1984" s="27"/>
      <c r="E1984" s="27"/>
      <c r="BE1984" s="10" t="str">
        <f t="shared" si="310"/>
        <v/>
      </c>
      <c r="BF1984" s="8" t="str">
        <f t="shared" si="311"/>
        <v/>
      </c>
      <c r="BG1984" s="11" t="str">
        <f t="shared" si="312"/>
        <v/>
      </c>
      <c r="BH1984" s="8" t="str">
        <f t="shared" si="313"/>
        <v/>
      </c>
      <c r="BI1984" s="8" t="str">
        <f t="shared" si="314"/>
        <v/>
      </c>
      <c r="BJ1984" s="9" t="str">
        <f t="shared" si="315"/>
        <v/>
      </c>
      <c r="BK1984" s="9" t="str">
        <f>IF($B1984="","",COUNTIFS($B$5:$B1984,$B1984,$BF$5:$BF1984,$BF1984))</f>
        <v/>
      </c>
      <c r="BL1984" s="9" t="str">
        <f>IF($B1984="","",COUNTIFS($B$5:$B1984,$B1984,$BH$5:$BH1984,$BH1984))</f>
        <v/>
      </c>
      <c r="BM1984" s="9" t="str">
        <f t="shared" si="316"/>
        <v/>
      </c>
      <c r="BN1984" s="9" t="str">
        <f t="shared" si="317"/>
        <v/>
      </c>
      <c r="BO1984" s="9">
        <f t="shared" si="318"/>
        <v>0</v>
      </c>
      <c r="BR1984" s="12" t="str">
        <f t="shared" si="319"/>
        <v/>
      </c>
    </row>
    <row r="1985" spans="1:70" ht="14.25" customHeight="1">
      <c r="A1985" s="26"/>
      <c r="C1985" s="26"/>
      <c r="D1985" s="27"/>
      <c r="E1985" s="27"/>
      <c r="BE1985" s="10" t="str">
        <f t="shared" si="310"/>
        <v/>
      </c>
      <c r="BF1985" s="8" t="str">
        <f t="shared" si="311"/>
        <v/>
      </c>
      <c r="BG1985" s="11" t="str">
        <f t="shared" si="312"/>
        <v/>
      </c>
      <c r="BH1985" s="8" t="str">
        <f t="shared" si="313"/>
        <v/>
      </c>
      <c r="BI1985" s="8" t="str">
        <f t="shared" si="314"/>
        <v/>
      </c>
      <c r="BJ1985" s="9" t="str">
        <f t="shared" si="315"/>
        <v/>
      </c>
      <c r="BK1985" s="9" t="str">
        <f>IF($B1985="","",COUNTIFS($B$5:$B1985,$B1985,$BF$5:$BF1985,$BF1985))</f>
        <v/>
      </c>
      <c r="BL1985" s="9" t="str">
        <f>IF($B1985="","",COUNTIFS($B$5:$B1985,$B1985,$BH$5:$BH1985,$BH1985))</f>
        <v/>
      </c>
      <c r="BM1985" s="9" t="str">
        <f t="shared" si="316"/>
        <v/>
      </c>
      <c r="BN1985" s="9" t="str">
        <f t="shared" si="317"/>
        <v/>
      </c>
      <c r="BO1985" s="9">
        <f t="shared" si="318"/>
        <v>0</v>
      </c>
      <c r="BR1985" s="12" t="str">
        <f t="shared" si="319"/>
        <v/>
      </c>
    </row>
    <row r="1986" spans="1:70" ht="14.25" customHeight="1">
      <c r="A1986" s="26"/>
      <c r="C1986" s="26"/>
      <c r="D1986" s="27"/>
      <c r="E1986" s="27"/>
      <c r="BE1986" s="10" t="str">
        <f t="shared" si="310"/>
        <v/>
      </c>
      <c r="BF1986" s="8" t="str">
        <f t="shared" si="311"/>
        <v/>
      </c>
      <c r="BG1986" s="11" t="str">
        <f t="shared" si="312"/>
        <v/>
      </c>
      <c r="BH1986" s="8" t="str">
        <f t="shared" si="313"/>
        <v/>
      </c>
      <c r="BI1986" s="8" t="str">
        <f t="shared" si="314"/>
        <v/>
      </c>
      <c r="BJ1986" s="9" t="str">
        <f t="shared" si="315"/>
        <v/>
      </c>
      <c r="BK1986" s="9" t="str">
        <f>IF($B1986="","",COUNTIFS($B$5:$B1986,$B1986,$BF$5:$BF1986,$BF1986))</f>
        <v/>
      </c>
      <c r="BL1986" s="9" t="str">
        <f>IF($B1986="","",COUNTIFS($B$5:$B1986,$B1986,$BH$5:$BH1986,$BH1986))</f>
        <v/>
      </c>
      <c r="BM1986" s="9" t="str">
        <f t="shared" si="316"/>
        <v/>
      </c>
      <c r="BN1986" s="9" t="str">
        <f t="shared" si="317"/>
        <v/>
      </c>
      <c r="BO1986" s="9">
        <f t="shared" si="318"/>
        <v>0</v>
      </c>
      <c r="BR1986" s="12" t="str">
        <f t="shared" si="319"/>
        <v/>
      </c>
    </row>
    <row r="1987" spans="1:70" ht="14.25" customHeight="1">
      <c r="A1987" s="26"/>
      <c r="C1987" s="26"/>
      <c r="D1987" s="27"/>
      <c r="E1987" s="27"/>
      <c r="BE1987" s="10" t="str">
        <f t="shared" si="310"/>
        <v/>
      </c>
      <c r="BF1987" s="8" t="str">
        <f t="shared" si="311"/>
        <v/>
      </c>
      <c r="BG1987" s="11" t="str">
        <f t="shared" si="312"/>
        <v/>
      </c>
      <c r="BH1987" s="8" t="str">
        <f t="shared" si="313"/>
        <v/>
      </c>
      <c r="BI1987" s="8" t="str">
        <f t="shared" si="314"/>
        <v/>
      </c>
      <c r="BJ1987" s="9" t="str">
        <f t="shared" si="315"/>
        <v/>
      </c>
      <c r="BK1987" s="9" t="str">
        <f>IF($B1987="","",COUNTIFS($B$5:$B1987,$B1987,$BF$5:$BF1987,$BF1987))</f>
        <v/>
      </c>
      <c r="BL1987" s="9" t="str">
        <f>IF($B1987="","",COUNTIFS($B$5:$B1987,$B1987,$BH$5:$BH1987,$BH1987))</f>
        <v/>
      </c>
      <c r="BM1987" s="9" t="str">
        <f t="shared" si="316"/>
        <v/>
      </c>
      <c r="BN1987" s="9" t="str">
        <f t="shared" si="317"/>
        <v/>
      </c>
      <c r="BO1987" s="9">
        <f t="shared" si="318"/>
        <v>0</v>
      </c>
      <c r="BR1987" s="12" t="str">
        <f t="shared" si="319"/>
        <v/>
      </c>
    </row>
    <row r="1988" spans="1:70" ht="14.25" customHeight="1">
      <c r="A1988" s="26"/>
      <c r="C1988" s="26"/>
      <c r="D1988" s="27"/>
      <c r="E1988" s="27"/>
      <c r="BE1988" s="10" t="str">
        <f t="shared" si="310"/>
        <v/>
      </c>
      <c r="BF1988" s="8" t="str">
        <f t="shared" si="311"/>
        <v/>
      </c>
      <c r="BG1988" s="11" t="str">
        <f t="shared" si="312"/>
        <v/>
      </c>
      <c r="BH1988" s="8" t="str">
        <f t="shared" si="313"/>
        <v/>
      </c>
      <c r="BI1988" s="8" t="str">
        <f t="shared" si="314"/>
        <v/>
      </c>
      <c r="BJ1988" s="9" t="str">
        <f t="shared" si="315"/>
        <v/>
      </c>
      <c r="BK1988" s="9" t="str">
        <f>IF($B1988="","",COUNTIFS($B$5:$B1988,$B1988,$BF$5:$BF1988,$BF1988))</f>
        <v/>
      </c>
      <c r="BL1988" s="9" t="str">
        <f>IF($B1988="","",COUNTIFS($B$5:$B1988,$B1988,$BH$5:$BH1988,$BH1988))</f>
        <v/>
      </c>
      <c r="BM1988" s="9" t="str">
        <f t="shared" si="316"/>
        <v/>
      </c>
      <c r="BN1988" s="9" t="str">
        <f t="shared" si="317"/>
        <v/>
      </c>
      <c r="BO1988" s="9">
        <f t="shared" si="318"/>
        <v>0</v>
      </c>
      <c r="BR1988" s="12" t="str">
        <f t="shared" si="319"/>
        <v/>
      </c>
    </row>
    <row r="1989" spans="1:70" ht="14.25" customHeight="1">
      <c r="A1989" s="26"/>
      <c r="C1989" s="26"/>
      <c r="D1989" s="27"/>
      <c r="E1989" s="27"/>
      <c r="BE1989" s="10" t="str">
        <f t="shared" si="310"/>
        <v/>
      </c>
      <c r="BF1989" s="8" t="str">
        <f t="shared" si="311"/>
        <v/>
      </c>
      <c r="BG1989" s="11" t="str">
        <f t="shared" si="312"/>
        <v/>
      </c>
      <c r="BH1989" s="8" t="str">
        <f t="shared" si="313"/>
        <v/>
      </c>
      <c r="BI1989" s="8" t="str">
        <f t="shared" si="314"/>
        <v/>
      </c>
      <c r="BJ1989" s="9" t="str">
        <f t="shared" si="315"/>
        <v/>
      </c>
      <c r="BK1989" s="9" t="str">
        <f>IF($B1989="","",COUNTIFS($B$5:$B1989,$B1989,$BF$5:$BF1989,$BF1989))</f>
        <v/>
      </c>
      <c r="BL1989" s="9" t="str">
        <f>IF($B1989="","",COUNTIFS($B$5:$B1989,$B1989,$BH$5:$BH1989,$BH1989))</f>
        <v/>
      </c>
      <c r="BM1989" s="9" t="str">
        <f t="shared" si="316"/>
        <v/>
      </c>
      <c r="BN1989" s="9" t="str">
        <f t="shared" si="317"/>
        <v/>
      </c>
      <c r="BO1989" s="9">
        <f t="shared" si="318"/>
        <v>0</v>
      </c>
      <c r="BR1989" s="12" t="str">
        <f t="shared" si="319"/>
        <v/>
      </c>
    </row>
    <row r="1990" spans="1:70" ht="14.25" customHeight="1">
      <c r="A1990" s="26"/>
      <c r="C1990" s="26"/>
      <c r="D1990" s="27"/>
      <c r="E1990" s="27"/>
      <c r="BE1990" s="10" t="str">
        <f t="shared" si="310"/>
        <v/>
      </c>
      <c r="BF1990" s="8" t="str">
        <f t="shared" si="311"/>
        <v/>
      </c>
      <c r="BG1990" s="11" t="str">
        <f t="shared" si="312"/>
        <v/>
      </c>
      <c r="BH1990" s="8" t="str">
        <f t="shared" si="313"/>
        <v/>
      </c>
      <c r="BI1990" s="8" t="str">
        <f t="shared" si="314"/>
        <v/>
      </c>
      <c r="BJ1990" s="9" t="str">
        <f t="shared" si="315"/>
        <v/>
      </c>
      <c r="BK1990" s="9" t="str">
        <f>IF($B1990="","",COUNTIFS($B$5:$B1990,$B1990,$BF$5:$BF1990,$BF1990))</f>
        <v/>
      </c>
      <c r="BL1990" s="9" t="str">
        <f>IF($B1990="","",COUNTIFS($B$5:$B1990,$B1990,$BH$5:$BH1990,$BH1990))</f>
        <v/>
      </c>
      <c r="BM1990" s="9" t="str">
        <f t="shared" si="316"/>
        <v/>
      </c>
      <c r="BN1990" s="9" t="str">
        <f t="shared" si="317"/>
        <v/>
      </c>
      <c r="BO1990" s="9">
        <f t="shared" si="318"/>
        <v>0</v>
      </c>
      <c r="BR1990" s="12" t="str">
        <f t="shared" si="319"/>
        <v/>
      </c>
    </row>
    <row r="1991" spans="1:70" ht="14.25" customHeight="1">
      <c r="A1991" s="26"/>
      <c r="C1991" s="26"/>
      <c r="D1991" s="27"/>
      <c r="E1991" s="27"/>
      <c r="BE1991" s="10" t="str">
        <f t="shared" si="310"/>
        <v/>
      </c>
      <c r="BF1991" s="8" t="str">
        <f t="shared" si="311"/>
        <v/>
      </c>
      <c r="BG1991" s="11" t="str">
        <f t="shared" si="312"/>
        <v/>
      </c>
      <c r="BH1991" s="8" t="str">
        <f t="shared" si="313"/>
        <v/>
      </c>
      <c r="BI1991" s="8" t="str">
        <f t="shared" si="314"/>
        <v/>
      </c>
      <c r="BJ1991" s="9" t="str">
        <f t="shared" si="315"/>
        <v/>
      </c>
      <c r="BK1991" s="9" t="str">
        <f>IF($B1991="","",COUNTIFS($B$5:$B1991,$B1991,$BF$5:$BF1991,$BF1991))</f>
        <v/>
      </c>
      <c r="BL1991" s="9" t="str">
        <f>IF($B1991="","",COUNTIFS($B$5:$B1991,$B1991,$BH$5:$BH1991,$BH1991))</f>
        <v/>
      </c>
      <c r="BM1991" s="9" t="str">
        <f t="shared" si="316"/>
        <v/>
      </c>
      <c r="BN1991" s="9" t="str">
        <f t="shared" si="317"/>
        <v/>
      </c>
      <c r="BO1991" s="9">
        <f t="shared" si="318"/>
        <v>0</v>
      </c>
      <c r="BR1991" s="12" t="str">
        <f t="shared" si="319"/>
        <v/>
      </c>
    </row>
    <row r="1992" spans="1:70" ht="14.25" customHeight="1">
      <c r="A1992" s="26"/>
      <c r="C1992" s="26"/>
      <c r="D1992" s="27"/>
      <c r="E1992" s="27"/>
      <c r="BE1992" s="10" t="str">
        <f t="shared" si="310"/>
        <v/>
      </c>
      <c r="BF1992" s="8" t="str">
        <f t="shared" si="311"/>
        <v/>
      </c>
      <c r="BG1992" s="11" t="str">
        <f t="shared" si="312"/>
        <v/>
      </c>
      <c r="BH1992" s="8" t="str">
        <f t="shared" si="313"/>
        <v/>
      </c>
      <c r="BI1992" s="8" t="str">
        <f t="shared" si="314"/>
        <v/>
      </c>
      <c r="BJ1992" s="9" t="str">
        <f t="shared" si="315"/>
        <v/>
      </c>
      <c r="BK1992" s="9" t="str">
        <f>IF($B1992="","",COUNTIFS($B$5:$B1992,$B1992,$BF$5:$BF1992,$BF1992))</f>
        <v/>
      </c>
      <c r="BL1992" s="9" t="str">
        <f>IF($B1992="","",COUNTIFS($B$5:$B1992,$B1992,$BH$5:$BH1992,$BH1992))</f>
        <v/>
      </c>
      <c r="BM1992" s="9" t="str">
        <f t="shared" si="316"/>
        <v/>
      </c>
      <c r="BN1992" s="9" t="str">
        <f t="shared" si="317"/>
        <v/>
      </c>
      <c r="BO1992" s="9">
        <f t="shared" si="318"/>
        <v>0</v>
      </c>
      <c r="BR1992" s="12" t="str">
        <f t="shared" si="319"/>
        <v/>
      </c>
    </row>
    <row r="1993" spans="1:70" ht="14.25" customHeight="1">
      <c r="A1993" s="26"/>
      <c r="C1993" s="26"/>
      <c r="D1993" s="27"/>
      <c r="E1993" s="27"/>
      <c r="BE1993" s="10" t="str">
        <f t="shared" si="310"/>
        <v/>
      </c>
      <c r="BF1993" s="8" t="str">
        <f t="shared" si="311"/>
        <v/>
      </c>
      <c r="BG1993" s="11" t="str">
        <f t="shared" si="312"/>
        <v/>
      </c>
      <c r="BH1993" s="8" t="str">
        <f t="shared" si="313"/>
        <v/>
      </c>
      <c r="BI1993" s="8" t="str">
        <f t="shared" si="314"/>
        <v/>
      </c>
      <c r="BJ1993" s="9" t="str">
        <f t="shared" si="315"/>
        <v/>
      </c>
      <c r="BK1993" s="9" t="str">
        <f>IF($B1993="","",COUNTIFS($B$5:$B1993,$B1993,$BF$5:$BF1993,$BF1993))</f>
        <v/>
      </c>
      <c r="BL1993" s="9" t="str">
        <f>IF($B1993="","",COUNTIFS($B$5:$B1993,$B1993,$BH$5:$BH1993,$BH1993))</f>
        <v/>
      </c>
      <c r="BM1993" s="9" t="str">
        <f t="shared" si="316"/>
        <v/>
      </c>
      <c r="BN1993" s="9" t="str">
        <f t="shared" si="317"/>
        <v/>
      </c>
      <c r="BO1993" s="9">
        <f t="shared" si="318"/>
        <v>0</v>
      </c>
      <c r="BR1993" s="12" t="str">
        <f t="shared" si="319"/>
        <v/>
      </c>
    </row>
    <row r="1994" spans="1:70" ht="14.25" customHeight="1">
      <c r="A1994" s="26"/>
      <c r="C1994" s="26"/>
      <c r="D1994" s="27"/>
      <c r="E1994" s="27"/>
      <c r="BE1994" s="10" t="str">
        <f t="shared" si="310"/>
        <v/>
      </c>
      <c r="BF1994" s="8" t="str">
        <f t="shared" si="311"/>
        <v/>
      </c>
      <c r="BG1994" s="11" t="str">
        <f t="shared" si="312"/>
        <v/>
      </c>
      <c r="BH1994" s="8" t="str">
        <f t="shared" si="313"/>
        <v/>
      </c>
      <c r="BI1994" s="8" t="str">
        <f t="shared" si="314"/>
        <v/>
      </c>
      <c r="BJ1994" s="9" t="str">
        <f t="shared" si="315"/>
        <v/>
      </c>
      <c r="BK1994" s="9" t="str">
        <f>IF($B1994="","",COUNTIFS($B$5:$B1994,$B1994,$BF$5:$BF1994,$BF1994))</f>
        <v/>
      </c>
      <c r="BL1994" s="9" t="str">
        <f>IF($B1994="","",COUNTIFS($B$5:$B1994,$B1994,$BH$5:$BH1994,$BH1994))</f>
        <v/>
      </c>
      <c r="BM1994" s="9" t="str">
        <f t="shared" si="316"/>
        <v/>
      </c>
      <c r="BN1994" s="9" t="str">
        <f t="shared" si="317"/>
        <v/>
      </c>
      <c r="BO1994" s="9">
        <f t="shared" si="318"/>
        <v>0</v>
      </c>
      <c r="BR1994" s="12" t="str">
        <f t="shared" si="319"/>
        <v/>
      </c>
    </row>
    <row r="1995" spans="1:70" ht="14.25" customHeight="1">
      <c r="A1995" s="26"/>
      <c r="C1995" s="26"/>
      <c r="D1995" s="27"/>
      <c r="E1995" s="27"/>
      <c r="BE1995" s="10" t="str">
        <f t="shared" si="310"/>
        <v/>
      </c>
      <c r="BF1995" s="8" t="str">
        <f t="shared" si="311"/>
        <v/>
      </c>
      <c r="BG1995" s="11" t="str">
        <f t="shared" si="312"/>
        <v/>
      </c>
      <c r="BH1995" s="8" t="str">
        <f t="shared" si="313"/>
        <v/>
      </c>
      <c r="BI1995" s="8" t="str">
        <f t="shared" si="314"/>
        <v/>
      </c>
      <c r="BJ1995" s="9" t="str">
        <f t="shared" si="315"/>
        <v/>
      </c>
      <c r="BK1995" s="9" t="str">
        <f>IF($B1995="","",COUNTIFS($B$5:$B1995,$B1995,$BF$5:$BF1995,$BF1995))</f>
        <v/>
      </c>
      <c r="BL1995" s="9" t="str">
        <f>IF($B1995="","",COUNTIFS($B$5:$B1995,$B1995,$BH$5:$BH1995,$BH1995))</f>
        <v/>
      </c>
      <c r="BM1995" s="9" t="str">
        <f t="shared" si="316"/>
        <v/>
      </c>
      <c r="BN1995" s="9" t="str">
        <f t="shared" si="317"/>
        <v/>
      </c>
      <c r="BO1995" s="9">
        <f t="shared" si="318"/>
        <v>0</v>
      </c>
      <c r="BR1995" s="12" t="str">
        <f t="shared" si="319"/>
        <v/>
      </c>
    </row>
    <row r="1996" spans="1:70" ht="14.25" customHeight="1">
      <c r="A1996" s="26"/>
      <c r="C1996" s="26"/>
      <c r="D1996" s="27"/>
      <c r="E1996" s="27"/>
      <c r="BE1996" s="10" t="str">
        <f t="shared" si="310"/>
        <v/>
      </c>
      <c r="BF1996" s="8" t="str">
        <f t="shared" si="311"/>
        <v/>
      </c>
      <c r="BG1996" s="11" t="str">
        <f t="shared" si="312"/>
        <v/>
      </c>
      <c r="BH1996" s="8" t="str">
        <f t="shared" si="313"/>
        <v/>
      </c>
      <c r="BI1996" s="8" t="str">
        <f t="shared" si="314"/>
        <v/>
      </c>
      <c r="BJ1996" s="9" t="str">
        <f t="shared" si="315"/>
        <v/>
      </c>
      <c r="BK1996" s="9" t="str">
        <f>IF($B1996="","",COUNTIFS($B$5:$B1996,$B1996,$BF$5:$BF1996,$BF1996))</f>
        <v/>
      </c>
      <c r="BL1996" s="9" t="str">
        <f>IF($B1996="","",COUNTIFS($B$5:$B1996,$B1996,$BH$5:$BH1996,$BH1996))</f>
        <v/>
      </c>
      <c r="BM1996" s="9" t="str">
        <f t="shared" si="316"/>
        <v/>
      </c>
      <c r="BN1996" s="9" t="str">
        <f t="shared" si="317"/>
        <v/>
      </c>
      <c r="BO1996" s="9">
        <f t="shared" si="318"/>
        <v>0</v>
      </c>
      <c r="BR1996" s="12" t="str">
        <f t="shared" si="319"/>
        <v/>
      </c>
    </row>
    <row r="1997" spans="1:70" ht="14.25" customHeight="1">
      <c r="A1997" s="26"/>
      <c r="C1997" s="26"/>
      <c r="D1997" s="27"/>
      <c r="E1997" s="27"/>
      <c r="BE1997" s="10" t="str">
        <f t="shared" si="310"/>
        <v/>
      </c>
      <c r="BF1997" s="8" t="str">
        <f t="shared" si="311"/>
        <v/>
      </c>
      <c r="BG1997" s="11" t="str">
        <f t="shared" si="312"/>
        <v/>
      </c>
      <c r="BH1997" s="8" t="str">
        <f t="shared" si="313"/>
        <v/>
      </c>
      <c r="BI1997" s="8" t="str">
        <f t="shared" si="314"/>
        <v/>
      </c>
      <c r="BJ1997" s="9" t="str">
        <f t="shared" si="315"/>
        <v/>
      </c>
      <c r="BK1997" s="9" t="str">
        <f>IF($B1997="","",COUNTIFS($B$5:$B1997,$B1997,$BF$5:$BF1997,$BF1997))</f>
        <v/>
      </c>
      <c r="BL1997" s="9" t="str">
        <f>IF($B1997="","",COUNTIFS($B$5:$B1997,$B1997,$BH$5:$BH1997,$BH1997))</f>
        <v/>
      </c>
      <c r="BM1997" s="9" t="str">
        <f t="shared" si="316"/>
        <v/>
      </c>
      <c r="BN1997" s="9" t="str">
        <f t="shared" si="317"/>
        <v/>
      </c>
      <c r="BO1997" s="9">
        <f t="shared" si="318"/>
        <v>0</v>
      </c>
      <c r="BR1997" s="12" t="str">
        <f t="shared" si="319"/>
        <v/>
      </c>
    </row>
    <row r="1998" spans="1:70" ht="14.25" customHeight="1">
      <c r="A1998" s="26"/>
      <c r="C1998" s="26"/>
      <c r="D1998" s="27"/>
      <c r="E1998" s="27"/>
      <c r="BE1998" s="10" t="str">
        <f t="shared" si="310"/>
        <v/>
      </c>
      <c r="BF1998" s="8" t="str">
        <f t="shared" si="311"/>
        <v/>
      </c>
      <c r="BG1998" s="11" t="str">
        <f t="shared" si="312"/>
        <v/>
      </c>
      <c r="BH1998" s="8" t="str">
        <f t="shared" si="313"/>
        <v/>
      </c>
      <c r="BI1998" s="8" t="str">
        <f t="shared" si="314"/>
        <v/>
      </c>
      <c r="BJ1998" s="9" t="str">
        <f t="shared" si="315"/>
        <v/>
      </c>
      <c r="BK1998" s="9" t="str">
        <f>IF($B1998="","",COUNTIFS($B$5:$B1998,$B1998,$BF$5:$BF1998,$BF1998))</f>
        <v/>
      </c>
      <c r="BL1998" s="9" t="str">
        <f>IF($B1998="","",COUNTIFS($B$5:$B1998,$B1998,$BH$5:$BH1998,$BH1998))</f>
        <v/>
      </c>
      <c r="BM1998" s="9" t="str">
        <f t="shared" si="316"/>
        <v/>
      </c>
      <c r="BN1998" s="9" t="str">
        <f t="shared" si="317"/>
        <v/>
      </c>
      <c r="BO1998" s="9">
        <f t="shared" si="318"/>
        <v>0</v>
      </c>
      <c r="BR1998" s="12" t="str">
        <f t="shared" si="319"/>
        <v/>
      </c>
    </row>
    <row r="1999" spans="1:70" ht="14.25" customHeight="1">
      <c r="A1999" s="26"/>
      <c r="C1999" s="26"/>
      <c r="D1999" s="27"/>
      <c r="E1999" s="27"/>
      <c r="BE1999" s="10" t="str">
        <f t="shared" si="310"/>
        <v/>
      </c>
      <c r="BF1999" s="8" t="str">
        <f t="shared" si="311"/>
        <v/>
      </c>
      <c r="BG1999" s="11" t="str">
        <f t="shared" si="312"/>
        <v/>
      </c>
      <c r="BH1999" s="8" t="str">
        <f t="shared" si="313"/>
        <v/>
      </c>
      <c r="BI1999" s="8" t="str">
        <f t="shared" si="314"/>
        <v/>
      </c>
      <c r="BJ1999" s="9" t="str">
        <f t="shared" si="315"/>
        <v/>
      </c>
      <c r="BK1999" s="9" t="str">
        <f>IF($B1999="","",COUNTIFS($B$5:$B1999,$B1999,$BF$5:$BF1999,$BF1999))</f>
        <v/>
      </c>
      <c r="BL1999" s="9" t="str">
        <f>IF($B1999="","",COUNTIFS($B$5:$B1999,$B1999,$BH$5:$BH1999,$BH1999))</f>
        <v/>
      </c>
      <c r="BM1999" s="9" t="str">
        <f t="shared" si="316"/>
        <v/>
      </c>
      <c r="BN1999" s="9" t="str">
        <f t="shared" si="317"/>
        <v/>
      </c>
      <c r="BO1999" s="9">
        <f t="shared" si="318"/>
        <v>0</v>
      </c>
      <c r="BR1999" s="12" t="str">
        <f t="shared" si="319"/>
        <v/>
      </c>
    </row>
    <row r="2000" spans="1:70" ht="14.25" customHeight="1">
      <c r="A2000" s="26"/>
      <c r="C2000" s="26"/>
      <c r="D2000" s="27"/>
      <c r="E2000" s="27"/>
      <c r="BE2000" s="10" t="str">
        <f t="shared" si="310"/>
        <v/>
      </c>
      <c r="BF2000" s="8" t="str">
        <f t="shared" si="311"/>
        <v/>
      </c>
      <c r="BG2000" s="11" t="str">
        <f t="shared" si="312"/>
        <v/>
      </c>
      <c r="BH2000" s="8" t="str">
        <f t="shared" si="313"/>
        <v/>
      </c>
      <c r="BI2000" s="8" t="str">
        <f t="shared" si="314"/>
        <v/>
      </c>
      <c r="BJ2000" s="9" t="str">
        <f t="shared" si="315"/>
        <v/>
      </c>
      <c r="BK2000" s="9" t="str">
        <f>IF($B2000="","",COUNTIFS($B$5:$B2000,$B2000,$BF$5:$BF2000,$BF2000))</f>
        <v/>
      </c>
      <c r="BL2000" s="9" t="str">
        <f>IF($B2000="","",COUNTIFS($B$5:$B2000,$B2000,$BH$5:$BH2000,$BH2000))</f>
        <v/>
      </c>
      <c r="BM2000" s="9" t="str">
        <f t="shared" si="316"/>
        <v/>
      </c>
      <c r="BN2000" s="9" t="str">
        <f t="shared" si="317"/>
        <v/>
      </c>
      <c r="BO2000" s="9">
        <f t="shared" si="318"/>
        <v>0</v>
      </c>
      <c r="BR2000" s="12" t="str">
        <f t="shared" si="319"/>
        <v/>
      </c>
    </row>
    <row r="2001" spans="1:70" ht="14.25" customHeight="1">
      <c r="A2001" s="26"/>
      <c r="C2001" s="26"/>
      <c r="D2001" s="27"/>
      <c r="E2001" s="27"/>
      <c r="BE2001" s="10" t="str">
        <f t="shared" si="310"/>
        <v/>
      </c>
      <c r="BF2001" s="8" t="str">
        <f t="shared" si="311"/>
        <v/>
      </c>
      <c r="BG2001" s="11" t="str">
        <f t="shared" si="312"/>
        <v/>
      </c>
      <c r="BH2001" s="8" t="str">
        <f t="shared" si="313"/>
        <v/>
      </c>
      <c r="BI2001" s="8" t="str">
        <f t="shared" si="314"/>
        <v/>
      </c>
      <c r="BJ2001" s="9" t="str">
        <f t="shared" si="315"/>
        <v/>
      </c>
      <c r="BK2001" s="9" t="str">
        <f>IF($B2001="","",COUNTIFS($B$5:$B2001,$B2001,$BF$5:$BF2001,$BF2001))</f>
        <v/>
      </c>
      <c r="BL2001" s="9" t="str">
        <f>IF($B2001="","",COUNTIFS($B$5:$B2001,$B2001,$BH$5:$BH2001,$BH2001))</f>
        <v/>
      </c>
      <c r="BM2001" s="9" t="str">
        <f t="shared" si="316"/>
        <v/>
      </c>
      <c r="BN2001" s="9" t="str">
        <f t="shared" si="317"/>
        <v/>
      </c>
      <c r="BO2001" s="9">
        <f t="shared" si="318"/>
        <v>0</v>
      </c>
      <c r="BR2001" s="12" t="str">
        <f t="shared" si="319"/>
        <v/>
      </c>
    </row>
    <row r="2002" spans="1:70" ht="14.25" customHeight="1">
      <c r="A2002" s="26"/>
      <c r="C2002" s="26"/>
      <c r="D2002" s="27"/>
      <c r="E2002" s="27"/>
      <c r="BE2002" s="10" t="str">
        <f t="shared" si="310"/>
        <v/>
      </c>
      <c r="BF2002" s="8" t="str">
        <f t="shared" si="311"/>
        <v/>
      </c>
      <c r="BG2002" s="11" t="str">
        <f t="shared" si="312"/>
        <v/>
      </c>
      <c r="BH2002" s="8" t="str">
        <f t="shared" si="313"/>
        <v/>
      </c>
      <c r="BI2002" s="8" t="str">
        <f t="shared" si="314"/>
        <v/>
      </c>
      <c r="BJ2002" s="9" t="str">
        <f t="shared" si="315"/>
        <v/>
      </c>
      <c r="BK2002" s="9" t="str">
        <f>IF($B2002="","",COUNTIFS($B$5:$B2002,$B2002,$BF$5:$BF2002,$BF2002))</f>
        <v/>
      </c>
      <c r="BL2002" s="9" t="str">
        <f>IF($B2002="","",COUNTIFS($B$5:$B2002,$B2002,$BH$5:$BH2002,$BH2002))</f>
        <v/>
      </c>
      <c r="BM2002" s="9" t="str">
        <f t="shared" si="316"/>
        <v/>
      </c>
      <c r="BN2002" s="9" t="str">
        <f t="shared" si="317"/>
        <v/>
      </c>
      <c r="BO2002" s="9">
        <f t="shared" si="318"/>
        <v>0</v>
      </c>
      <c r="BR2002" s="12" t="str">
        <f t="shared" si="319"/>
        <v/>
      </c>
    </row>
    <row r="2003" spans="1:70" ht="14.25" customHeight="1">
      <c r="A2003" s="26"/>
      <c r="C2003" s="26"/>
      <c r="D2003" s="27"/>
      <c r="E2003" s="27"/>
      <c r="BE2003" s="10" t="str">
        <f t="shared" si="310"/>
        <v/>
      </c>
      <c r="BF2003" s="8" t="str">
        <f t="shared" si="311"/>
        <v/>
      </c>
      <c r="BG2003" s="11" t="str">
        <f t="shared" si="312"/>
        <v/>
      </c>
      <c r="BH2003" s="8" t="str">
        <f t="shared" si="313"/>
        <v/>
      </c>
      <c r="BI2003" s="8" t="str">
        <f t="shared" si="314"/>
        <v/>
      </c>
      <c r="BJ2003" s="9" t="str">
        <f t="shared" si="315"/>
        <v/>
      </c>
      <c r="BK2003" s="9" t="str">
        <f>IF($B2003="","",COUNTIFS($B$5:$B2003,$B2003,$BF$5:$BF2003,$BF2003))</f>
        <v/>
      </c>
      <c r="BL2003" s="9" t="str">
        <f>IF($B2003="","",COUNTIFS($B$5:$B2003,$B2003,$BH$5:$BH2003,$BH2003))</f>
        <v/>
      </c>
      <c r="BM2003" s="9" t="str">
        <f t="shared" si="316"/>
        <v/>
      </c>
      <c r="BN2003" s="9" t="str">
        <f t="shared" si="317"/>
        <v/>
      </c>
      <c r="BO2003" s="9">
        <f t="shared" si="318"/>
        <v>0</v>
      </c>
      <c r="BR2003" s="12" t="str">
        <f t="shared" si="319"/>
        <v/>
      </c>
    </row>
    <row r="2004" spans="1:70" ht="14.25" customHeight="1">
      <c r="A2004" s="26"/>
      <c r="C2004" s="26"/>
      <c r="D2004" s="27"/>
      <c r="E2004" s="27"/>
      <c r="BE2004" s="10" t="str">
        <f t="shared" si="310"/>
        <v/>
      </c>
      <c r="BF2004" s="8" t="str">
        <f t="shared" si="311"/>
        <v/>
      </c>
      <c r="BG2004" s="11" t="str">
        <f t="shared" si="312"/>
        <v/>
      </c>
      <c r="BH2004" s="8" t="str">
        <f t="shared" si="313"/>
        <v/>
      </c>
      <c r="BI2004" s="8" t="str">
        <f t="shared" si="314"/>
        <v/>
      </c>
      <c r="BJ2004" s="9" t="str">
        <f t="shared" si="315"/>
        <v/>
      </c>
      <c r="BK2004" s="9" t="str">
        <f>IF($B2004="","",COUNTIFS($B$5:$B2004,$B2004,$BF$5:$BF2004,$BF2004))</f>
        <v/>
      </c>
      <c r="BL2004" s="9" t="str">
        <f>IF($B2004="","",COUNTIFS($B$5:$B2004,$B2004,$BH$5:$BH2004,$BH2004))</f>
        <v/>
      </c>
      <c r="BM2004" s="9" t="str">
        <f t="shared" si="316"/>
        <v/>
      </c>
      <c r="BN2004" s="9" t="str">
        <f t="shared" si="317"/>
        <v/>
      </c>
      <c r="BO2004" s="9">
        <f t="shared" si="318"/>
        <v>0</v>
      </c>
      <c r="BR2004" s="12" t="str">
        <f t="shared" si="319"/>
        <v/>
      </c>
    </row>
    <row r="2005" spans="1:70" ht="14.25" customHeight="1">
      <c r="A2005" s="26"/>
      <c r="C2005" s="26"/>
      <c r="D2005" s="27"/>
      <c r="E2005" s="27"/>
      <c r="BE2005" s="10" t="str">
        <f t="shared" si="310"/>
        <v/>
      </c>
      <c r="BF2005" s="8" t="str">
        <f t="shared" si="311"/>
        <v/>
      </c>
      <c r="BG2005" s="11" t="str">
        <f t="shared" si="312"/>
        <v/>
      </c>
      <c r="BH2005" s="8" t="str">
        <f t="shared" si="313"/>
        <v/>
      </c>
      <c r="BI2005" s="8" t="str">
        <f t="shared" si="314"/>
        <v/>
      </c>
      <c r="BJ2005" s="9" t="str">
        <f t="shared" si="315"/>
        <v/>
      </c>
      <c r="BK2005" s="9" t="str">
        <f>IF($B2005="","",COUNTIFS($B$5:$B2005,$B2005,$BF$5:$BF2005,$BF2005))</f>
        <v/>
      </c>
      <c r="BL2005" s="9" t="str">
        <f>IF($B2005="","",COUNTIFS($B$5:$B2005,$B2005,$BH$5:$BH2005,$BH2005))</f>
        <v/>
      </c>
      <c r="BM2005" s="9" t="str">
        <f t="shared" si="316"/>
        <v/>
      </c>
      <c r="BN2005" s="9" t="str">
        <f t="shared" si="317"/>
        <v/>
      </c>
      <c r="BO2005" s="9">
        <f t="shared" si="318"/>
        <v>0</v>
      </c>
      <c r="BR2005" s="12" t="str">
        <f t="shared" si="319"/>
        <v/>
      </c>
    </row>
    <row r="2006" spans="1:70" ht="14.25" customHeight="1">
      <c r="A2006" s="26"/>
      <c r="C2006" s="26"/>
      <c r="D2006" s="27"/>
      <c r="E2006" s="27"/>
      <c r="BE2006" s="10" t="str">
        <f t="shared" si="310"/>
        <v/>
      </c>
      <c r="BF2006" s="8" t="str">
        <f t="shared" si="311"/>
        <v/>
      </c>
      <c r="BG2006" s="11" t="str">
        <f t="shared" si="312"/>
        <v/>
      </c>
      <c r="BH2006" s="8" t="str">
        <f t="shared" si="313"/>
        <v/>
      </c>
      <c r="BI2006" s="8" t="str">
        <f t="shared" si="314"/>
        <v/>
      </c>
      <c r="BJ2006" s="9" t="str">
        <f t="shared" si="315"/>
        <v/>
      </c>
      <c r="BK2006" s="9" t="str">
        <f>IF($B2006="","",COUNTIFS($B$5:$B2006,$B2006,$BF$5:$BF2006,$BF2006))</f>
        <v/>
      </c>
      <c r="BL2006" s="9" t="str">
        <f>IF($B2006="","",COUNTIFS($B$5:$B2006,$B2006,$BH$5:$BH2006,$BH2006))</f>
        <v/>
      </c>
      <c r="BM2006" s="9" t="str">
        <f t="shared" si="316"/>
        <v/>
      </c>
      <c r="BN2006" s="9" t="str">
        <f t="shared" si="317"/>
        <v/>
      </c>
      <c r="BO2006" s="9">
        <f t="shared" si="318"/>
        <v>0</v>
      </c>
      <c r="BR2006" s="12" t="str">
        <f t="shared" si="319"/>
        <v/>
      </c>
    </row>
    <row r="2007" spans="1:70" ht="14.25" customHeight="1">
      <c r="A2007" s="26"/>
      <c r="C2007" s="26"/>
      <c r="D2007" s="27"/>
      <c r="E2007" s="27"/>
      <c r="BE2007" s="10" t="str">
        <f t="shared" si="310"/>
        <v/>
      </c>
      <c r="BF2007" s="8" t="str">
        <f t="shared" si="311"/>
        <v/>
      </c>
      <c r="BG2007" s="11" t="str">
        <f t="shared" si="312"/>
        <v/>
      </c>
      <c r="BH2007" s="8" t="str">
        <f t="shared" si="313"/>
        <v/>
      </c>
      <c r="BI2007" s="8" t="str">
        <f t="shared" si="314"/>
        <v/>
      </c>
      <c r="BJ2007" s="9" t="str">
        <f t="shared" si="315"/>
        <v/>
      </c>
      <c r="BK2007" s="9" t="str">
        <f>IF($B2007="","",COUNTIFS($B$5:$B2007,$B2007,$BF$5:$BF2007,$BF2007))</f>
        <v/>
      </c>
      <c r="BL2007" s="9" t="str">
        <f>IF($B2007="","",COUNTIFS($B$5:$B2007,$B2007,$BH$5:$BH2007,$BH2007))</f>
        <v/>
      </c>
      <c r="BM2007" s="9" t="str">
        <f t="shared" si="316"/>
        <v/>
      </c>
      <c r="BN2007" s="9" t="str">
        <f t="shared" si="317"/>
        <v/>
      </c>
      <c r="BO2007" s="9">
        <f t="shared" si="318"/>
        <v>0</v>
      </c>
      <c r="BR2007" s="12" t="str">
        <f t="shared" si="319"/>
        <v/>
      </c>
    </row>
    <row r="2008" spans="1:70" ht="14.25" customHeight="1">
      <c r="A2008" s="26"/>
      <c r="C2008" s="26"/>
      <c r="D2008" s="27"/>
      <c r="E2008" s="27"/>
      <c r="BE2008" s="10" t="str">
        <f t="shared" si="310"/>
        <v/>
      </c>
      <c r="BF2008" s="8" t="str">
        <f t="shared" si="311"/>
        <v/>
      </c>
      <c r="BG2008" s="11" t="str">
        <f t="shared" si="312"/>
        <v/>
      </c>
      <c r="BH2008" s="8" t="str">
        <f t="shared" si="313"/>
        <v/>
      </c>
      <c r="BI2008" s="8" t="str">
        <f t="shared" si="314"/>
        <v/>
      </c>
      <c r="BJ2008" s="9" t="str">
        <f t="shared" si="315"/>
        <v/>
      </c>
      <c r="BK2008" s="9" t="str">
        <f>IF($B2008="","",COUNTIFS($B$5:$B2008,$B2008,$BF$5:$BF2008,$BF2008))</f>
        <v/>
      </c>
      <c r="BL2008" s="9" t="str">
        <f>IF($B2008="","",COUNTIFS($B$5:$B2008,$B2008,$BH$5:$BH2008,$BH2008))</f>
        <v/>
      </c>
      <c r="BM2008" s="9" t="str">
        <f t="shared" si="316"/>
        <v/>
      </c>
      <c r="BN2008" s="9" t="str">
        <f t="shared" si="317"/>
        <v/>
      </c>
      <c r="BO2008" s="9">
        <f t="shared" si="318"/>
        <v>0</v>
      </c>
      <c r="BR2008" s="12" t="str">
        <f t="shared" si="319"/>
        <v/>
      </c>
    </row>
    <row r="2009" spans="1:70" ht="14.25" customHeight="1">
      <c r="A2009" s="26"/>
      <c r="C2009" s="26"/>
      <c r="D2009" s="27"/>
      <c r="E2009" s="27"/>
      <c r="BE2009" s="10" t="str">
        <f t="shared" si="310"/>
        <v/>
      </c>
      <c r="BF2009" s="8" t="str">
        <f t="shared" si="311"/>
        <v/>
      </c>
      <c r="BG2009" s="11" t="str">
        <f t="shared" si="312"/>
        <v/>
      </c>
      <c r="BH2009" s="8" t="str">
        <f t="shared" si="313"/>
        <v/>
      </c>
      <c r="BI2009" s="8" t="str">
        <f t="shared" si="314"/>
        <v/>
      </c>
      <c r="BJ2009" s="9" t="str">
        <f t="shared" si="315"/>
        <v/>
      </c>
      <c r="BK2009" s="9" t="str">
        <f>IF($B2009="","",COUNTIFS($B$5:$B2009,$B2009,$BF$5:$BF2009,$BF2009))</f>
        <v/>
      </c>
      <c r="BL2009" s="9" t="str">
        <f>IF($B2009="","",COUNTIFS($B$5:$B2009,$B2009,$BH$5:$BH2009,$BH2009))</f>
        <v/>
      </c>
      <c r="BM2009" s="9" t="str">
        <f t="shared" si="316"/>
        <v/>
      </c>
      <c r="BN2009" s="9" t="str">
        <f t="shared" si="317"/>
        <v/>
      </c>
      <c r="BO2009" s="9">
        <f t="shared" si="318"/>
        <v>0</v>
      </c>
      <c r="BR2009" s="12" t="str">
        <f t="shared" si="319"/>
        <v/>
      </c>
    </row>
    <row r="2010" spans="1:70" ht="14.25" customHeight="1">
      <c r="A2010" s="26"/>
      <c r="C2010" s="26"/>
      <c r="D2010" s="27"/>
      <c r="E2010" s="27"/>
      <c r="BE2010" s="10" t="str">
        <f t="shared" si="310"/>
        <v/>
      </c>
      <c r="BF2010" s="8" t="str">
        <f t="shared" si="311"/>
        <v/>
      </c>
      <c r="BG2010" s="11" t="str">
        <f t="shared" si="312"/>
        <v/>
      </c>
      <c r="BH2010" s="8" t="str">
        <f t="shared" si="313"/>
        <v/>
      </c>
      <c r="BI2010" s="8" t="str">
        <f t="shared" si="314"/>
        <v/>
      </c>
      <c r="BJ2010" s="9" t="str">
        <f t="shared" si="315"/>
        <v/>
      </c>
      <c r="BK2010" s="9" t="str">
        <f>IF($B2010="","",COUNTIFS($B$5:$B2010,$B2010,$BF$5:$BF2010,$BF2010))</f>
        <v/>
      </c>
      <c r="BL2010" s="9" t="str">
        <f>IF($B2010="","",COUNTIFS($B$5:$B2010,$B2010,$BH$5:$BH2010,$BH2010))</f>
        <v/>
      </c>
      <c r="BM2010" s="9" t="str">
        <f t="shared" si="316"/>
        <v/>
      </c>
      <c r="BN2010" s="9" t="str">
        <f t="shared" si="317"/>
        <v/>
      </c>
      <c r="BO2010" s="9">
        <f t="shared" si="318"/>
        <v>0</v>
      </c>
      <c r="BR2010" s="12" t="str">
        <f t="shared" si="319"/>
        <v/>
      </c>
    </row>
    <row r="2011" spans="1:70" ht="14.25" customHeight="1">
      <c r="A2011" s="26"/>
      <c r="C2011" s="26"/>
      <c r="D2011" s="27"/>
      <c r="E2011" s="27"/>
      <c r="BE2011" s="10" t="str">
        <f t="shared" si="310"/>
        <v/>
      </c>
      <c r="BF2011" s="8" t="str">
        <f t="shared" si="311"/>
        <v/>
      </c>
      <c r="BG2011" s="11" t="str">
        <f t="shared" si="312"/>
        <v/>
      </c>
      <c r="BH2011" s="8" t="str">
        <f t="shared" si="313"/>
        <v/>
      </c>
      <c r="BI2011" s="8" t="str">
        <f t="shared" si="314"/>
        <v/>
      </c>
      <c r="BJ2011" s="9" t="str">
        <f t="shared" si="315"/>
        <v/>
      </c>
      <c r="BK2011" s="9" t="str">
        <f>IF($B2011="","",COUNTIFS($B$5:$B2011,$B2011,$BF$5:$BF2011,$BF2011))</f>
        <v/>
      </c>
      <c r="BL2011" s="9" t="str">
        <f>IF($B2011="","",COUNTIFS($B$5:$B2011,$B2011,$BH$5:$BH2011,$BH2011))</f>
        <v/>
      </c>
      <c r="BM2011" s="9" t="str">
        <f t="shared" si="316"/>
        <v/>
      </c>
      <c r="BN2011" s="9" t="str">
        <f t="shared" si="317"/>
        <v/>
      </c>
      <c r="BO2011" s="9">
        <f t="shared" si="318"/>
        <v>0</v>
      </c>
      <c r="BR2011" s="12" t="str">
        <f t="shared" si="319"/>
        <v/>
      </c>
    </row>
    <row r="2012" spans="1:70" ht="14.25" customHeight="1">
      <c r="A2012" s="26"/>
      <c r="C2012" s="26"/>
      <c r="D2012" s="27"/>
      <c r="E2012" s="27"/>
      <c r="BE2012" s="10" t="str">
        <f t="shared" si="310"/>
        <v/>
      </c>
      <c r="BF2012" s="8" t="str">
        <f t="shared" si="311"/>
        <v/>
      </c>
      <c r="BG2012" s="11" t="str">
        <f t="shared" si="312"/>
        <v/>
      </c>
      <c r="BH2012" s="8" t="str">
        <f t="shared" si="313"/>
        <v/>
      </c>
      <c r="BI2012" s="8" t="str">
        <f t="shared" si="314"/>
        <v/>
      </c>
      <c r="BJ2012" s="9" t="str">
        <f t="shared" si="315"/>
        <v/>
      </c>
      <c r="BK2012" s="9" t="str">
        <f>IF($B2012="","",COUNTIFS($B$5:$B2012,$B2012,$BF$5:$BF2012,$BF2012))</f>
        <v/>
      </c>
      <c r="BL2012" s="9" t="str">
        <f>IF($B2012="","",COUNTIFS($B$5:$B2012,$B2012,$BH$5:$BH2012,$BH2012))</f>
        <v/>
      </c>
      <c r="BM2012" s="9" t="str">
        <f t="shared" si="316"/>
        <v/>
      </c>
      <c r="BN2012" s="9" t="str">
        <f t="shared" si="317"/>
        <v/>
      </c>
      <c r="BO2012" s="9">
        <f t="shared" si="318"/>
        <v>0</v>
      </c>
      <c r="BR2012" s="12" t="str">
        <f t="shared" si="319"/>
        <v/>
      </c>
    </row>
    <row r="2013" spans="1:70" ht="14.25" customHeight="1">
      <c r="A2013" s="26"/>
      <c r="C2013" s="26"/>
      <c r="D2013" s="27"/>
      <c r="E2013" s="27"/>
      <c r="BE2013" s="10" t="str">
        <f t="shared" ref="BE2013:BE2076" si="320">IF($B2013="","",IF(COUNT($H2013,$J2013,$L2013,$N2013,$P2013,$R2013)&gt;0,SUM($H2013,$J2013,$L2013,$N2013,$P2013,$R2013),SUM($T2013,$V2013,$X2013,$Z2013,$AB2013,$AD2013,$AF2013,$AH2013,$AJ2013,$AL2013,$AN2013,$AP2013,$AR2013,$AT2013,$AV2013,$AX2013,$AZ2013)))</f>
        <v/>
      </c>
      <c r="BF2013" s="8" t="str">
        <f t="shared" ref="BF2013:BF2076" si="321">IF($C2013="","",DATE(YEAR($C2013),MONTH($C2013),1))</f>
        <v/>
      </c>
      <c r="BG2013" s="11" t="str">
        <f t="shared" ref="BG2013:BG2076" si="322">IF($BF2013="","",TEXT($BF2013,"mmmm yyyy"))</f>
        <v/>
      </c>
      <c r="BH2013" s="8" t="str">
        <f t="shared" ref="BH2013:BH2076" si="323">IF($C2013="","",$C2013-WEEKDAY($C2013,2)+1)</f>
        <v/>
      </c>
      <c r="BI2013" s="8" t="str">
        <f t="shared" ref="BI2013:BI2076" si="324">IF($BH2013="","",$BH2013+6)</f>
        <v/>
      </c>
      <c r="BJ2013" s="9" t="str">
        <f t="shared" ref="BJ2013:BJ2076" si="325">IF($BH2013="","",TEXT($BH2013,"dd/mm/yyyy")&amp;" - "&amp;TEXT($BI2013,"dd/mm/yyyy"))</f>
        <v/>
      </c>
      <c r="BK2013" s="9" t="str">
        <f>IF($B2013="","",COUNTIFS($B$5:$B2013,$B2013,$BF$5:$BF2013,$BF2013))</f>
        <v/>
      </c>
      <c r="BL2013" s="9" t="str">
        <f>IF($B2013="","",COUNTIFS($B$5:$B2013,$B2013,$BH$5:$BH2013,$BH2013))</f>
        <v/>
      </c>
      <c r="BM2013" s="9" t="str">
        <f t="shared" ref="BM2013:BM2076" si="326">IF($B2013="","",TEXT($BK2013,"00")&amp;"|"&amp;$B2013&amp;"|"&amp;TEXT($BF2013,"yyyymmdd"))</f>
        <v/>
      </c>
      <c r="BN2013" s="9" t="str">
        <f t="shared" ref="BN2013:BN2076" si="327">IF($B2013="","",TEXT($BL2013,"00")&amp;"|"&amp;$B2013&amp;"|"&amp;TEXT($BH2013,"yyyymmdd"))</f>
        <v/>
      </c>
      <c r="BO2013" s="9">
        <f t="shared" ref="BO2013:BO2076" si="328">IF(OR($BB2013="YES",$BB2013="Yes",$BB2013="Y",$BB2013=1),1,0)</f>
        <v>0</v>
      </c>
      <c r="BR2013" s="12" t="str">
        <f t="shared" ref="BR2013:BR2076" si="329">IF($C2013="","",IF($C2013&gt;=DATE(2026,6,1),"QA-2026-06",IF($C2013&gt;=DATE(2026,5,1),"May 2026+",IF($C2013&gt;=DATE(2026,4,1),"April 2026",IF($C2013&gt;=DATE(2026,3,1),"March 2026","Jan-Feb 2026")))))</f>
        <v/>
      </c>
    </row>
    <row r="2014" spans="1:70" ht="14.25" customHeight="1">
      <c r="A2014" s="26"/>
      <c r="C2014" s="26"/>
      <c r="D2014" s="27"/>
      <c r="E2014" s="27"/>
      <c r="BE2014" s="10" t="str">
        <f t="shared" si="320"/>
        <v/>
      </c>
      <c r="BF2014" s="8" t="str">
        <f t="shared" si="321"/>
        <v/>
      </c>
      <c r="BG2014" s="11" t="str">
        <f t="shared" si="322"/>
        <v/>
      </c>
      <c r="BH2014" s="8" t="str">
        <f t="shared" si="323"/>
        <v/>
      </c>
      <c r="BI2014" s="8" t="str">
        <f t="shared" si="324"/>
        <v/>
      </c>
      <c r="BJ2014" s="9" t="str">
        <f t="shared" si="325"/>
        <v/>
      </c>
      <c r="BK2014" s="9" t="str">
        <f>IF($B2014="","",COUNTIFS($B$5:$B2014,$B2014,$BF$5:$BF2014,$BF2014))</f>
        <v/>
      </c>
      <c r="BL2014" s="9" t="str">
        <f>IF($B2014="","",COUNTIFS($B$5:$B2014,$B2014,$BH$5:$BH2014,$BH2014))</f>
        <v/>
      </c>
      <c r="BM2014" s="9" t="str">
        <f t="shared" si="326"/>
        <v/>
      </c>
      <c r="BN2014" s="9" t="str">
        <f t="shared" si="327"/>
        <v/>
      </c>
      <c r="BO2014" s="9">
        <f t="shared" si="328"/>
        <v>0</v>
      </c>
      <c r="BR2014" s="12" t="str">
        <f t="shared" si="329"/>
        <v/>
      </c>
    </row>
    <row r="2015" spans="1:70" ht="14.25" customHeight="1">
      <c r="A2015" s="26"/>
      <c r="C2015" s="26"/>
      <c r="D2015" s="27"/>
      <c r="E2015" s="27"/>
      <c r="BE2015" s="10" t="str">
        <f t="shared" si="320"/>
        <v/>
      </c>
      <c r="BF2015" s="8" t="str">
        <f t="shared" si="321"/>
        <v/>
      </c>
      <c r="BG2015" s="11" t="str">
        <f t="shared" si="322"/>
        <v/>
      </c>
      <c r="BH2015" s="8" t="str">
        <f t="shared" si="323"/>
        <v/>
      </c>
      <c r="BI2015" s="8" t="str">
        <f t="shared" si="324"/>
        <v/>
      </c>
      <c r="BJ2015" s="9" t="str">
        <f t="shared" si="325"/>
        <v/>
      </c>
      <c r="BK2015" s="9" t="str">
        <f>IF($B2015="","",COUNTIFS($B$5:$B2015,$B2015,$BF$5:$BF2015,$BF2015))</f>
        <v/>
      </c>
      <c r="BL2015" s="9" t="str">
        <f>IF($B2015="","",COUNTIFS($B$5:$B2015,$B2015,$BH$5:$BH2015,$BH2015))</f>
        <v/>
      </c>
      <c r="BM2015" s="9" t="str">
        <f t="shared" si="326"/>
        <v/>
      </c>
      <c r="BN2015" s="9" t="str">
        <f t="shared" si="327"/>
        <v/>
      </c>
      <c r="BO2015" s="9">
        <f t="shared" si="328"/>
        <v>0</v>
      </c>
      <c r="BR2015" s="12" t="str">
        <f t="shared" si="329"/>
        <v/>
      </c>
    </row>
    <row r="2016" spans="1:70" ht="14.25" customHeight="1">
      <c r="A2016" s="26"/>
      <c r="C2016" s="26"/>
      <c r="D2016" s="27"/>
      <c r="E2016" s="27"/>
      <c r="BE2016" s="10" t="str">
        <f t="shared" si="320"/>
        <v/>
      </c>
      <c r="BF2016" s="8" t="str">
        <f t="shared" si="321"/>
        <v/>
      </c>
      <c r="BG2016" s="11" t="str">
        <f t="shared" si="322"/>
        <v/>
      </c>
      <c r="BH2016" s="8" t="str">
        <f t="shared" si="323"/>
        <v/>
      </c>
      <c r="BI2016" s="8" t="str">
        <f t="shared" si="324"/>
        <v/>
      </c>
      <c r="BJ2016" s="9" t="str">
        <f t="shared" si="325"/>
        <v/>
      </c>
      <c r="BK2016" s="9" t="str">
        <f>IF($B2016="","",COUNTIFS($B$5:$B2016,$B2016,$BF$5:$BF2016,$BF2016))</f>
        <v/>
      </c>
      <c r="BL2016" s="9" t="str">
        <f>IF($B2016="","",COUNTIFS($B$5:$B2016,$B2016,$BH$5:$BH2016,$BH2016))</f>
        <v/>
      </c>
      <c r="BM2016" s="9" t="str">
        <f t="shared" si="326"/>
        <v/>
      </c>
      <c r="BN2016" s="9" t="str">
        <f t="shared" si="327"/>
        <v/>
      </c>
      <c r="BO2016" s="9">
        <f t="shared" si="328"/>
        <v>0</v>
      </c>
      <c r="BR2016" s="12" t="str">
        <f t="shared" si="329"/>
        <v/>
      </c>
    </row>
    <row r="2017" spans="1:70" ht="14.25" customHeight="1">
      <c r="A2017" s="26"/>
      <c r="C2017" s="26"/>
      <c r="D2017" s="27"/>
      <c r="E2017" s="27"/>
      <c r="BE2017" s="10" t="str">
        <f t="shared" si="320"/>
        <v/>
      </c>
      <c r="BF2017" s="8" t="str">
        <f t="shared" si="321"/>
        <v/>
      </c>
      <c r="BG2017" s="11" t="str">
        <f t="shared" si="322"/>
        <v/>
      </c>
      <c r="BH2017" s="8" t="str">
        <f t="shared" si="323"/>
        <v/>
      </c>
      <c r="BI2017" s="8" t="str">
        <f t="shared" si="324"/>
        <v/>
      </c>
      <c r="BJ2017" s="9" t="str">
        <f t="shared" si="325"/>
        <v/>
      </c>
      <c r="BK2017" s="9" t="str">
        <f>IF($B2017="","",COUNTIFS($B$5:$B2017,$B2017,$BF$5:$BF2017,$BF2017))</f>
        <v/>
      </c>
      <c r="BL2017" s="9" t="str">
        <f>IF($B2017="","",COUNTIFS($B$5:$B2017,$B2017,$BH$5:$BH2017,$BH2017))</f>
        <v/>
      </c>
      <c r="BM2017" s="9" t="str">
        <f t="shared" si="326"/>
        <v/>
      </c>
      <c r="BN2017" s="9" t="str">
        <f t="shared" si="327"/>
        <v/>
      </c>
      <c r="BO2017" s="9">
        <f t="shared" si="328"/>
        <v>0</v>
      </c>
      <c r="BR2017" s="12" t="str">
        <f t="shared" si="329"/>
        <v/>
      </c>
    </row>
    <row r="2018" spans="1:70" ht="14.25" customHeight="1">
      <c r="A2018" s="26"/>
      <c r="C2018" s="26"/>
      <c r="D2018" s="27"/>
      <c r="E2018" s="27"/>
      <c r="BE2018" s="10" t="str">
        <f t="shared" si="320"/>
        <v/>
      </c>
      <c r="BF2018" s="8" t="str">
        <f t="shared" si="321"/>
        <v/>
      </c>
      <c r="BG2018" s="11" t="str">
        <f t="shared" si="322"/>
        <v/>
      </c>
      <c r="BH2018" s="8" t="str">
        <f t="shared" si="323"/>
        <v/>
      </c>
      <c r="BI2018" s="8" t="str">
        <f t="shared" si="324"/>
        <v/>
      </c>
      <c r="BJ2018" s="9" t="str">
        <f t="shared" si="325"/>
        <v/>
      </c>
      <c r="BK2018" s="9" t="str">
        <f>IF($B2018="","",COUNTIFS($B$5:$B2018,$B2018,$BF$5:$BF2018,$BF2018))</f>
        <v/>
      </c>
      <c r="BL2018" s="9" t="str">
        <f>IF($B2018="","",COUNTIFS($B$5:$B2018,$B2018,$BH$5:$BH2018,$BH2018))</f>
        <v/>
      </c>
      <c r="BM2018" s="9" t="str">
        <f t="shared" si="326"/>
        <v/>
      </c>
      <c r="BN2018" s="9" t="str">
        <f t="shared" si="327"/>
        <v/>
      </c>
      <c r="BO2018" s="9">
        <f t="shared" si="328"/>
        <v>0</v>
      </c>
      <c r="BR2018" s="12" t="str">
        <f t="shared" si="329"/>
        <v/>
      </c>
    </row>
    <row r="2019" spans="1:70" ht="14.25" customHeight="1">
      <c r="A2019" s="26"/>
      <c r="C2019" s="26"/>
      <c r="D2019" s="27"/>
      <c r="E2019" s="27"/>
      <c r="BE2019" s="10" t="str">
        <f t="shared" si="320"/>
        <v/>
      </c>
      <c r="BF2019" s="8" t="str">
        <f t="shared" si="321"/>
        <v/>
      </c>
      <c r="BG2019" s="11" t="str">
        <f t="shared" si="322"/>
        <v/>
      </c>
      <c r="BH2019" s="8" t="str">
        <f t="shared" si="323"/>
        <v/>
      </c>
      <c r="BI2019" s="8" t="str">
        <f t="shared" si="324"/>
        <v/>
      </c>
      <c r="BJ2019" s="9" t="str">
        <f t="shared" si="325"/>
        <v/>
      </c>
      <c r="BK2019" s="9" t="str">
        <f>IF($B2019="","",COUNTIFS($B$5:$B2019,$B2019,$BF$5:$BF2019,$BF2019))</f>
        <v/>
      </c>
      <c r="BL2019" s="9" t="str">
        <f>IF($B2019="","",COUNTIFS($B$5:$B2019,$B2019,$BH$5:$BH2019,$BH2019))</f>
        <v/>
      </c>
      <c r="BM2019" s="9" t="str">
        <f t="shared" si="326"/>
        <v/>
      </c>
      <c r="BN2019" s="9" t="str">
        <f t="shared" si="327"/>
        <v/>
      </c>
      <c r="BO2019" s="9">
        <f t="shared" si="328"/>
        <v>0</v>
      </c>
      <c r="BR2019" s="12" t="str">
        <f t="shared" si="329"/>
        <v/>
      </c>
    </row>
    <row r="2020" spans="1:70" ht="14.25" customHeight="1">
      <c r="A2020" s="26"/>
      <c r="C2020" s="26"/>
      <c r="D2020" s="27"/>
      <c r="E2020" s="27"/>
      <c r="BE2020" s="10" t="str">
        <f t="shared" si="320"/>
        <v/>
      </c>
      <c r="BF2020" s="8" t="str">
        <f t="shared" si="321"/>
        <v/>
      </c>
      <c r="BG2020" s="11" t="str">
        <f t="shared" si="322"/>
        <v/>
      </c>
      <c r="BH2020" s="8" t="str">
        <f t="shared" si="323"/>
        <v/>
      </c>
      <c r="BI2020" s="8" t="str">
        <f t="shared" si="324"/>
        <v/>
      </c>
      <c r="BJ2020" s="9" t="str">
        <f t="shared" si="325"/>
        <v/>
      </c>
      <c r="BK2020" s="9" t="str">
        <f>IF($B2020="","",COUNTIFS($B$5:$B2020,$B2020,$BF$5:$BF2020,$BF2020))</f>
        <v/>
      </c>
      <c r="BL2020" s="9" t="str">
        <f>IF($B2020="","",COUNTIFS($B$5:$B2020,$B2020,$BH$5:$BH2020,$BH2020))</f>
        <v/>
      </c>
      <c r="BM2020" s="9" t="str">
        <f t="shared" si="326"/>
        <v/>
      </c>
      <c r="BN2020" s="9" t="str">
        <f t="shared" si="327"/>
        <v/>
      </c>
      <c r="BO2020" s="9">
        <f t="shared" si="328"/>
        <v>0</v>
      </c>
      <c r="BR2020" s="12" t="str">
        <f t="shared" si="329"/>
        <v/>
      </c>
    </row>
    <row r="2021" spans="1:70" ht="14.25" customHeight="1">
      <c r="A2021" s="26"/>
      <c r="C2021" s="26"/>
      <c r="D2021" s="27"/>
      <c r="E2021" s="27"/>
      <c r="BE2021" s="10" t="str">
        <f t="shared" si="320"/>
        <v/>
      </c>
      <c r="BF2021" s="8" t="str">
        <f t="shared" si="321"/>
        <v/>
      </c>
      <c r="BG2021" s="11" t="str">
        <f t="shared" si="322"/>
        <v/>
      </c>
      <c r="BH2021" s="8" t="str">
        <f t="shared" si="323"/>
        <v/>
      </c>
      <c r="BI2021" s="8" t="str">
        <f t="shared" si="324"/>
        <v/>
      </c>
      <c r="BJ2021" s="9" t="str">
        <f t="shared" si="325"/>
        <v/>
      </c>
      <c r="BK2021" s="9" t="str">
        <f>IF($B2021="","",COUNTIFS($B$5:$B2021,$B2021,$BF$5:$BF2021,$BF2021))</f>
        <v/>
      </c>
      <c r="BL2021" s="9" t="str">
        <f>IF($B2021="","",COUNTIFS($B$5:$B2021,$B2021,$BH$5:$BH2021,$BH2021))</f>
        <v/>
      </c>
      <c r="BM2021" s="9" t="str">
        <f t="shared" si="326"/>
        <v/>
      </c>
      <c r="BN2021" s="9" t="str">
        <f t="shared" si="327"/>
        <v/>
      </c>
      <c r="BO2021" s="9">
        <f t="shared" si="328"/>
        <v>0</v>
      </c>
      <c r="BR2021" s="12" t="str">
        <f t="shared" si="329"/>
        <v/>
      </c>
    </row>
    <row r="2022" spans="1:70" ht="14.25" customHeight="1">
      <c r="A2022" s="26"/>
      <c r="C2022" s="26"/>
      <c r="D2022" s="27"/>
      <c r="E2022" s="27"/>
      <c r="BE2022" s="10" t="str">
        <f t="shared" si="320"/>
        <v/>
      </c>
      <c r="BF2022" s="8" t="str">
        <f t="shared" si="321"/>
        <v/>
      </c>
      <c r="BG2022" s="11" t="str">
        <f t="shared" si="322"/>
        <v/>
      </c>
      <c r="BH2022" s="8" t="str">
        <f t="shared" si="323"/>
        <v/>
      </c>
      <c r="BI2022" s="8" t="str">
        <f t="shared" si="324"/>
        <v/>
      </c>
      <c r="BJ2022" s="9" t="str">
        <f t="shared" si="325"/>
        <v/>
      </c>
      <c r="BK2022" s="9" t="str">
        <f>IF($B2022="","",COUNTIFS($B$5:$B2022,$B2022,$BF$5:$BF2022,$BF2022))</f>
        <v/>
      </c>
      <c r="BL2022" s="9" t="str">
        <f>IF($B2022="","",COUNTIFS($B$5:$B2022,$B2022,$BH$5:$BH2022,$BH2022))</f>
        <v/>
      </c>
      <c r="BM2022" s="9" t="str">
        <f t="shared" si="326"/>
        <v/>
      </c>
      <c r="BN2022" s="9" t="str">
        <f t="shared" si="327"/>
        <v/>
      </c>
      <c r="BO2022" s="9">
        <f t="shared" si="328"/>
        <v>0</v>
      </c>
      <c r="BR2022" s="12" t="str">
        <f t="shared" si="329"/>
        <v/>
      </c>
    </row>
    <row r="2023" spans="1:70" ht="14.25" customHeight="1">
      <c r="A2023" s="26"/>
      <c r="C2023" s="26"/>
      <c r="D2023" s="27"/>
      <c r="E2023" s="27"/>
      <c r="BE2023" s="10" t="str">
        <f t="shared" si="320"/>
        <v/>
      </c>
      <c r="BF2023" s="8" t="str">
        <f t="shared" si="321"/>
        <v/>
      </c>
      <c r="BG2023" s="11" t="str">
        <f t="shared" si="322"/>
        <v/>
      </c>
      <c r="BH2023" s="8" t="str">
        <f t="shared" si="323"/>
        <v/>
      </c>
      <c r="BI2023" s="8" t="str">
        <f t="shared" si="324"/>
        <v/>
      </c>
      <c r="BJ2023" s="9" t="str">
        <f t="shared" si="325"/>
        <v/>
      </c>
      <c r="BK2023" s="9" t="str">
        <f>IF($B2023="","",COUNTIFS($B$5:$B2023,$B2023,$BF$5:$BF2023,$BF2023))</f>
        <v/>
      </c>
      <c r="BL2023" s="9" t="str">
        <f>IF($B2023="","",COUNTIFS($B$5:$B2023,$B2023,$BH$5:$BH2023,$BH2023))</f>
        <v/>
      </c>
      <c r="BM2023" s="9" t="str">
        <f t="shared" si="326"/>
        <v/>
      </c>
      <c r="BN2023" s="9" t="str">
        <f t="shared" si="327"/>
        <v/>
      </c>
      <c r="BO2023" s="9">
        <f t="shared" si="328"/>
        <v>0</v>
      </c>
      <c r="BR2023" s="12" t="str">
        <f t="shared" si="329"/>
        <v/>
      </c>
    </row>
    <row r="2024" spans="1:70" ht="14.25" customHeight="1">
      <c r="A2024" s="26"/>
      <c r="C2024" s="26"/>
      <c r="D2024" s="27"/>
      <c r="E2024" s="27"/>
      <c r="BE2024" s="10" t="str">
        <f t="shared" si="320"/>
        <v/>
      </c>
      <c r="BF2024" s="8" t="str">
        <f t="shared" si="321"/>
        <v/>
      </c>
      <c r="BG2024" s="11" t="str">
        <f t="shared" si="322"/>
        <v/>
      </c>
      <c r="BH2024" s="8" t="str">
        <f t="shared" si="323"/>
        <v/>
      </c>
      <c r="BI2024" s="8" t="str">
        <f t="shared" si="324"/>
        <v/>
      </c>
      <c r="BJ2024" s="9" t="str">
        <f t="shared" si="325"/>
        <v/>
      </c>
      <c r="BK2024" s="9" t="str">
        <f>IF($B2024="","",COUNTIFS($B$5:$B2024,$B2024,$BF$5:$BF2024,$BF2024))</f>
        <v/>
      </c>
      <c r="BL2024" s="9" t="str">
        <f>IF($B2024="","",COUNTIFS($B$5:$B2024,$B2024,$BH$5:$BH2024,$BH2024))</f>
        <v/>
      </c>
      <c r="BM2024" s="9" t="str">
        <f t="shared" si="326"/>
        <v/>
      </c>
      <c r="BN2024" s="9" t="str">
        <f t="shared" si="327"/>
        <v/>
      </c>
      <c r="BO2024" s="9">
        <f t="shared" si="328"/>
        <v>0</v>
      </c>
      <c r="BR2024" s="12" t="str">
        <f t="shared" si="329"/>
        <v/>
      </c>
    </row>
    <row r="2025" spans="1:70" ht="14.25" customHeight="1">
      <c r="A2025" s="26"/>
      <c r="C2025" s="26"/>
      <c r="D2025" s="27"/>
      <c r="E2025" s="27"/>
      <c r="BE2025" s="10" t="str">
        <f t="shared" si="320"/>
        <v/>
      </c>
      <c r="BF2025" s="8" t="str">
        <f t="shared" si="321"/>
        <v/>
      </c>
      <c r="BG2025" s="11" t="str">
        <f t="shared" si="322"/>
        <v/>
      </c>
      <c r="BH2025" s="8" t="str">
        <f t="shared" si="323"/>
        <v/>
      </c>
      <c r="BI2025" s="8" t="str">
        <f t="shared" si="324"/>
        <v/>
      </c>
      <c r="BJ2025" s="9" t="str">
        <f t="shared" si="325"/>
        <v/>
      </c>
      <c r="BK2025" s="9" t="str">
        <f>IF($B2025="","",COUNTIFS($B$5:$B2025,$B2025,$BF$5:$BF2025,$BF2025))</f>
        <v/>
      </c>
      <c r="BL2025" s="9" t="str">
        <f>IF($B2025="","",COUNTIFS($B$5:$B2025,$B2025,$BH$5:$BH2025,$BH2025))</f>
        <v/>
      </c>
      <c r="BM2025" s="9" t="str">
        <f t="shared" si="326"/>
        <v/>
      </c>
      <c r="BN2025" s="9" t="str">
        <f t="shared" si="327"/>
        <v/>
      </c>
      <c r="BO2025" s="9">
        <f t="shared" si="328"/>
        <v>0</v>
      </c>
      <c r="BR2025" s="12" t="str">
        <f t="shared" si="329"/>
        <v/>
      </c>
    </row>
    <row r="2026" spans="1:70" ht="14.25" customHeight="1">
      <c r="A2026" s="26"/>
      <c r="C2026" s="26"/>
      <c r="D2026" s="27"/>
      <c r="E2026" s="27"/>
      <c r="BE2026" s="10" t="str">
        <f t="shared" si="320"/>
        <v/>
      </c>
      <c r="BF2026" s="8" t="str">
        <f t="shared" si="321"/>
        <v/>
      </c>
      <c r="BG2026" s="11" t="str">
        <f t="shared" si="322"/>
        <v/>
      </c>
      <c r="BH2026" s="8" t="str">
        <f t="shared" si="323"/>
        <v/>
      </c>
      <c r="BI2026" s="8" t="str">
        <f t="shared" si="324"/>
        <v/>
      </c>
      <c r="BJ2026" s="9" t="str">
        <f t="shared" si="325"/>
        <v/>
      </c>
      <c r="BK2026" s="9" t="str">
        <f>IF($B2026="","",COUNTIFS($B$5:$B2026,$B2026,$BF$5:$BF2026,$BF2026))</f>
        <v/>
      </c>
      <c r="BL2026" s="9" t="str">
        <f>IF($B2026="","",COUNTIFS($B$5:$B2026,$B2026,$BH$5:$BH2026,$BH2026))</f>
        <v/>
      </c>
      <c r="BM2026" s="9" t="str">
        <f t="shared" si="326"/>
        <v/>
      </c>
      <c r="BN2026" s="9" t="str">
        <f t="shared" si="327"/>
        <v/>
      </c>
      <c r="BO2026" s="9">
        <f t="shared" si="328"/>
        <v>0</v>
      </c>
      <c r="BR2026" s="12" t="str">
        <f t="shared" si="329"/>
        <v/>
      </c>
    </row>
    <row r="2027" spans="1:70" ht="14.25" customHeight="1">
      <c r="A2027" s="26"/>
      <c r="C2027" s="26"/>
      <c r="D2027" s="27"/>
      <c r="E2027" s="27"/>
      <c r="BE2027" s="10" t="str">
        <f t="shared" si="320"/>
        <v/>
      </c>
      <c r="BF2027" s="8" t="str">
        <f t="shared" si="321"/>
        <v/>
      </c>
      <c r="BG2027" s="11" t="str">
        <f t="shared" si="322"/>
        <v/>
      </c>
      <c r="BH2027" s="8" t="str">
        <f t="shared" si="323"/>
        <v/>
      </c>
      <c r="BI2027" s="8" t="str">
        <f t="shared" si="324"/>
        <v/>
      </c>
      <c r="BJ2027" s="9" t="str">
        <f t="shared" si="325"/>
        <v/>
      </c>
      <c r="BK2027" s="9" t="str">
        <f>IF($B2027="","",COUNTIFS($B$5:$B2027,$B2027,$BF$5:$BF2027,$BF2027))</f>
        <v/>
      </c>
      <c r="BL2027" s="9" t="str">
        <f>IF($B2027="","",COUNTIFS($B$5:$B2027,$B2027,$BH$5:$BH2027,$BH2027))</f>
        <v/>
      </c>
      <c r="BM2027" s="9" t="str">
        <f t="shared" si="326"/>
        <v/>
      </c>
      <c r="BN2027" s="9" t="str">
        <f t="shared" si="327"/>
        <v/>
      </c>
      <c r="BO2027" s="9">
        <f t="shared" si="328"/>
        <v>0</v>
      </c>
      <c r="BR2027" s="12" t="str">
        <f t="shared" si="329"/>
        <v/>
      </c>
    </row>
    <row r="2028" spans="1:70" ht="14.25" customHeight="1">
      <c r="A2028" s="26"/>
      <c r="C2028" s="26"/>
      <c r="D2028" s="27"/>
      <c r="E2028" s="27"/>
      <c r="BE2028" s="10" t="str">
        <f t="shared" si="320"/>
        <v/>
      </c>
      <c r="BF2028" s="8" t="str">
        <f t="shared" si="321"/>
        <v/>
      </c>
      <c r="BG2028" s="11" t="str">
        <f t="shared" si="322"/>
        <v/>
      </c>
      <c r="BH2028" s="8" t="str">
        <f t="shared" si="323"/>
        <v/>
      </c>
      <c r="BI2028" s="8" t="str">
        <f t="shared" si="324"/>
        <v/>
      </c>
      <c r="BJ2028" s="9" t="str">
        <f t="shared" si="325"/>
        <v/>
      </c>
      <c r="BK2028" s="9" t="str">
        <f>IF($B2028="","",COUNTIFS($B$5:$B2028,$B2028,$BF$5:$BF2028,$BF2028))</f>
        <v/>
      </c>
      <c r="BL2028" s="9" t="str">
        <f>IF($B2028="","",COUNTIFS($B$5:$B2028,$B2028,$BH$5:$BH2028,$BH2028))</f>
        <v/>
      </c>
      <c r="BM2028" s="9" t="str">
        <f t="shared" si="326"/>
        <v/>
      </c>
      <c r="BN2028" s="9" t="str">
        <f t="shared" si="327"/>
        <v/>
      </c>
      <c r="BO2028" s="9">
        <f t="shared" si="328"/>
        <v>0</v>
      </c>
      <c r="BR2028" s="12" t="str">
        <f t="shared" si="329"/>
        <v/>
      </c>
    </row>
    <row r="2029" spans="1:70" ht="14.25" customHeight="1">
      <c r="A2029" s="26"/>
      <c r="C2029" s="26"/>
      <c r="D2029" s="27"/>
      <c r="E2029" s="27"/>
      <c r="BE2029" s="10" t="str">
        <f t="shared" si="320"/>
        <v/>
      </c>
      <c r="BF2029" s="8" t="str">
        <f t="shared" si="321"/>
        <v/>
      </c>
      <c r="BG2029" s="11" t="str">
        <f t="shared" si="322"/>
        <v/>
      </c>
      <c r="BH2029" s="8" t="str">
        <f t="shared" si="323"/>
        <v/>
      </c>
      <c r="BI2029" s="8" t="str">
        <f t="shared" si="324"/>
        <v/>
      </c>
      <c r="BJ2029" s="9" t="str">
        <f t="shared" si="325"/>
        <v/>
      </c>
      <c r="BK2029" s="9" t="str">
        <f>IF($B2029="","",COUNTIFS($B$5:$B2029,$B2029,$BF$5:$BF2029,$BF2029))</f>
        <v/>
      </c>
      <c r="BL2029" s="9" t="str">
        <f>IF($B2029="","",COUNTIFS($B$5:$B2029,$B2029,$BH$5:$BH2029,$BH2029))</f>
        <v/>
      </c>
      <c r="BM2029" s="9" t="str">
        <f t="shared" si="326"/>
        <v/>
      </c>
      <c r="BN2029" s="9" t="str">
        <f t="shared" si="327"/>
        <v/>
      </c>
      <c r="BO2029" s="9">
        <f t="shared" si="328"/>
        <v>0</v>
      </c>
      <c r="BR2029" s="12" t="str">
        <f t="shared" si="329"/>
        <v/>
      </c>
    </row>
    <row r="2030" spans="1:70" ht="14.25" customHeight="1">
      <c r="A2030" s="26"/>
      <c r="C2030" s="26"/>
      <c r="D2030" s="27"/>
      <c r="E2030" s="27"/>
      <c r="BE2030" s="10" t="str">
        <f t="shared" si="320"/>
        <v/>
      </c>
      <c r="BF2030" s="8" t="str">
        <f t="shared" si="321"/>
        <v/>
      </c>
      <c r="BG2030" s="11" t="str">
        <f t="shared" si="322"/>
        <v/>
      </c>
      <c r="BH2030" s="8" t="str">
        <f t="shared" si="323"/>
        <v/>
      </c>
      <c r="BI2030" s="8" t="str">
        <f t="shared" si="324"/>
        <v/>
      </c>
      <c r="BJ2030" s="9" t="str">
        <f t="shared" si="325"/>
        <v/>
      </c>
      <c r="BK2030" s="9" t="str">
        <f>IF($B2030="","",COUNTIFS($B$5:$B2030,$B2030,$BF$5:$BF2030,$BF2030))</f>
        <v/>
      </c>
      <c r="BL2030" s="9" t="str">
        <f>IF($B2030="","",COUNTIFS($B$5:$B2030,$B2030,$BH$5:$BH2030,$BH2030))</f>
        <v/>
      </c>
      <c r="BM2030" s="9" t="str">
        <f t="shared" si="326"/>
        <v/>
      </c>
      <c r="BN2030" s="9" t="str">
        <f t="shared" si="327"/>
        <v/>
      </c>
      <c r="BO2030" s="9">
        <f t="shared" si="328"/>
        <v>0</v>
      </c>
      <c r="BR2030" s="12" t="str">
        <f t="shared" si="329"/>
        <v/>
      </c>
    </row>
    <row r="2031" spans="1:70" ht="14.25" customHeight="1">
      <c r="A2031" s="26"/>
      <c r="C2031" s="26"/>
      <c r="D2031" s="27"/>
      <c r="E2031" s="27"/>
      <c r="BE2031" s="10" t="str">
        <f t="shared" si="320"/>
        <v/>
      </c>
      <c r="BF2031" s="8" t="str">
        <f t="shared" si="321"/>
        <v/>
      </c>
      <c r="BG2031" s="11" t="str">
        <f t="shared" si="322"/>
        <v/>
      </c>
      <c r="BH2031" s="8" t="str">
        <f t="shared" si="323"/>
        <v/>
      </c>
      <c r="BI2031" s="8" t="str">
        <f t="shared" si="324"/>
        <v/>
      </c>
      <c r="BJ2031" s="9" t="str">
        <f t="shared" si="325"/>
        <v/>
      </c>
      <c r="BK2031" s="9" t="str">
        <f>IF($B2031="","",COUNTIFS($B$5:$B2031,$B2031,$BF$5:$BF2031,$BF2031))</f>
        <v/>
      </c>
      <c r="BL2031" s="9" t="str">
        <f>IF($B2031="","",COUNTIFS($B$5:$B2031,$B2031,$BH$5:$BH2031,$BH2031))</f>
        <v/>
      </c>
      <c r="BM2031" s="9" t="str">
        <f t="shared" si="326"/>
        <v/>
      </c>
      <c r="BN2031" s="9" t="str">
        <f t="shared" si="327"/>
        <v/>
      </c>
      <c r="BO2031" s="9">
        <f t="shared" si="328"/>
        <v>0</v>
      </c>
      <c r="BR2031" s="12" t="str">
        <f t="shared" si="329"/>
        <v/>
      </c>
    </row>
    <row r="2032" spans="1:70" ht="14.25" customHeight="1">
      <c r="A2032" s="26"/>
      <c r="C2032" s="26"/>
      <c r="D2032" s="27"/>
      <c r="E2032" s="27"/>
      <c r="BE2032" s="10" t="str">
        <f t="shared" si="320"/>
        <v/>
      </c>
      <c r="BF2032" s="8" t="str">
        <f t="shared" si="321"/>
        <v/>
      </c>
      <c r="BG2032" s="11" t="str">
        <f t="shared" si="322"/>
        <v/>
      </c>
      <c r="BH2032" s="8" t="str">
        <f t="shared" si="323"/>
        <v/>
      </c>
      <c r="BI2032" s="8" t="str">
        <f t="shared" si="324"/>
        <v/>
      </c>
      <c r="BJ2032" s="9" t="str">
        <f t="shared" si="325"/>
        <v/>
      </c>
      <c r="BK2032" s="9" t="str">
        <f>IF($B2032="","",COUNTIFS($B$5:$B2032,$B2032,$BF$5:$BF2032,$BF2032))</f>
        <v/>
      </c>
      <c r="BL2032" s="9" t="str">
        <f>IF($B2032="","",COUNTIFS($B$5:$B2032,$B2032,$BH$5:$BH2032,$BH2032))</f>
        <v/>
      </c>
      <c r="BM2032" s="9" t="str">
        <f t="shared" si="326"/>
        <v/>
      </c>
      <c r="BN2032" s="9" t="str">
        <f t="shared" si="327"/>
        <v/>
      </c>
      <c r="BO2032" s="9">
        <f t="shared" si="328"/>
        <v>0</v>
      </c>
      <c r="BR2032" s="12" t="str">
        <f t="shared" si="329"/>
        <v/>
      </c>
    </row>
    <row r="2033" spans="1:70" ht="14.25" customHeight="1">
      <c r="A2033" s="26"/>
      <c r="C2033" s="26"/>
      <c r="D2033" s="27"/>
      <c r="E2033" s="27"/>
      <c r="BE2033" s="10" t="str">
        <f t="shared" si="320"/>
        <v/>
      </c>
      <c r="BF2033" s="8" t="str">
        <f t="shared" si="321"/>
        <v/>
      </c>
      <c r="BG2033" s="11" t="str">
        <f t="shared" si="322"/>
        <v/>
      </c>
      <c r="BH2033" s="8" t="str">
        <f t="shared" si="323"/>
        <v/>
      </c>
      <c r="BI2033" s="8" t="str">
        <f t="shared" si="324"/>
        <v/>
      </c>
      <c r="BJ2033" s="9" t="str">
        <f t="shared" si="325"/>
        <v/>
      </c>
      <c r="BK2033" s="9" t="str">
        <f>IF($B2033="","",COUNTIFS($B$5:$B2033,$B2033,$BF$5:$BF2033,$BF2033))</f>
        <v/>
      </c>
      <c r="BL2033" s="9" t="str">
        <f>IF($B2033="","",COUNTIFS($B$5:$B2033,$B2033,$BH$5:$BH2033,$BH2033))</f>
        <v/>
      </c>
      <c r="BM2033" s="9" t="str">
        <f t="shared" si="326"/>
        <v/>
      </c>
      <c r="BN2033" s="9" t="str">
        <f t="shared" si="327"/>
        <v/>
      </c>
      <c r="BO2033" s="9">
        <f t="shared" si="328"/>
        <v>0</v>
      </c>
      <c r="BR2033" s="12" t="str">
        <f t="shared" si="329"/>
        <v/>
      </c>
    </row>
    <row r="2034" spans="1:70" ht="14.25" customHeight="1">
      <c r="A2034" s="26"/>
      <c r="C2034" s="26"/>
      <c r="D2034" s="27"/>
      <c r="E2034" s="27"/>
      <c r="BE2034" s="10" t="str">
        <f t="shared" si="320"/>
        <v/>
      </c>
      <c r="BF2034" s="8" t="str">
        <f t="shared" si="321"/>
        <v/>
      </c>
      <c r="BG2034" s="11" t="str">
        <f t="shared" si="322"/>
        <v/>
      </c>
      <c r="BH2034" s="8" t="str">
        <f t="shared" si="323"/>
        <v/>
      </c>
      <c r="BI2034" s="8" t="str">
        <f t="shared" si="324"/>
        <v/>
      </c>
      <c r="BJ2034" s="9" t="str">
        <f t="shared" si="325"/>
        <v/>
      </c>
      <c r="BK2034" s="9" t="str">
        <f>IF($B2034="","",COUNTIFS($B$5:$B2034,$B2034,$BF$5:$BF2034,$BF2034))</f>
        <v/>
      </c>
      <c r="BL2034" s="9" t="str">
        <f>IF($B2034="","",COUNTIFS($B$5:$B2034,$B2034,$BH$5:$BH2034,$BH2034))</f>
        <v/>
      </c>
      <c r="BM2034" s="9" t="str">
        <f t="shared" si="326"/>
        <v/>
      </c>
      <c r="BN2034" s="9" t="str">
        <f t="shared" si="327"/>
        <v/>
      </c>
      <c r="BO2034" s="9">
        <f t="shared" si="328"/>
        <v>0</v>
      </c>
      <c r="BR2034" s="12" t="str">
        <f t="shared" si="329"/>
        <v/>
      </c>
    </row>
    <row r="2035" spans="1:70" ht="14.25" customHeight="1">
      <c r="A2035" s="26"/>
      <c r="C2035" s="26"/>
      <c r="D2035" s="27"/>
      <c r="E2035" s="27"/>
      <c r="BE2035" s="10" t="str">
        <f t="shared" si="320"/>
        <v/>
      </c>
      <c r="BF2035" s="8" t="str">
        <f t="shared" si="321"/>
        <v/>
      </c>
      <c r="BG2035" s="11" t="str">
        <f t="shared" si="322"/>
        <v/>
      </c>
      <c r="BH2035" s="8" t="str">
        <f t="shared" si="323"/>
        <v/>
      </c>
      <c r="BI2035" s="8" t="str">
        <f t="shared" si="324"/>
        <v/>
      </c>
      <c r="BJ2035" s="9" t="str">
        <f t="shared" si="325"/>
        <v/>
      </c>
      <c r="BK2035" s="9" t="str">
        <f>IF($B2035="","",COUNTIFS($B$5:$B2035,$B2035,$BF$5:$BF2035,$BF2035))</f>
        <v/>
      </c>
      <c r="BL2035" s="9" t="str">
        <f>IF($B2035="","",COUNTIFS($B$5:$B2035,$B2035,$BH$5:$BH2035,$BH2035))</f>
        <v/>
      </c>
      <c r="BM2035" s="9" t="str">
        <f t="shared" si="326"/>
        <v/>
      </c>
      <c r="BN2035" s="9" t="str">
        <f t="shared" si="327"/>
        <v/>
      </c>
      <c r="BO2035" s="9">
        <f t="shared" si="328"/>
        <v>0</v>
      </c>
      <c r="BR2035" s="12" t="str">
        <f t="shared" si="329"/>
        <v/>
      </c>
    </row>
    <row r="2036" spans="1:70" ht="14.25" customHeight="1">
      <c r="A2036" s="26"/>
      <c r="C2036" s="26"/>
      <c r="D2036" s="27"/>
      <c r="E2036" s="27"/>
      <c r="BE2036" s="10" t="str">
        <f t="shared" si="320"/>
        <v/>
      </c>
      <c r="BF2036" s="8" t="str">
        <f t="shared" si="321"/>
        <v/>
      </c>
      <c r="BG2036" s="11" t="str">
        <f t="shared" si="322"/>
        <v/>
      </c>
      <c r="BH2036" s="8" t="str">
        <f t="shared" si="323"/>
        <v/>
      </c>
      <c r="BI2036" s="8" t="str">
        <f t="shared" si="324"/>
        <v/>
      </c>
      <c r="BJ2036" s="9" t="str">
        <f t="shared" si="325"/>
        <v/>
      </c>
      <c r="BK2036" s="9" t="str">
        <f>IF($B2036="","",COUNTIFS($B$5:$B2036,$B2036,$BF$5:$BF2036,$BF2036))</f>
        <v/>
      </c>
      <c r="BL2036" s="9" t="str">
        <f>IF($B2036="","",COUNTIFS($B$5:$B2036,$B2036,$BH$5:$BH2036,$BH2036))</f>
        <v/>
      </c>
      <c r="BM2036" s="9" t="str">
        <f t="shared" si="326"/>
        <v/>
      </c>
      <c r="BN2036" s="9" t="str">
        <f t="shared" si="327"/>
        <v/>
      </c>
      <c r="BO2036" s="9">
        <f t="shared" si="328"/>
        <v>0</v>
      </c>
      <c r="BR2036" s="12" t="str">
        <f t="shared" si="329"/>
        <v/>
      </c>
    </row>
    <row r="2037" spans="1:70" ht="14.25" customHeight="1">
      <c r="A2037" s="26"/>
      <c r="C2037" s="26"/>
      <c r="D2037" s="27"/>
      <c r="E2037" s="27"/>
      <c r="BE2037" s="10" t="str">
        <f t="shared" si="320"/>
        <v/>
      </c>
      <c r="BF2037" s="8" t="str">
        <f t="shared" si="321"/>
        <v/>
      </c>
      <c r="BG2037" s="11" t="str">
        <f t="shared" si="322"/>
        <v/>
      </c>
      <c r="BH2037" s="8" t="str">
        <f t="shared" si="323"/>
        <v/>
      </c>
      <c r="BI2037" s="8" t="str">
        <f t="shared" si="324"/>
        <v/>
      </c>
      <c r="BJ2037" s="9" t="str">
        <f t="shared" si="325"/>
        <v/>
      </c>
      <c r="BK2037" s="9" t="str">
        <f>IF($B2037="","",COUNTIFS($B$5:$B2037,$B2037,$BF$5:$BF2037,$BF2037))</f>
        <v/>
      </c>
      <c r="BL2037" s="9" t="str">
        <f>IF($B2037="","",COUNTIFS($B$5:$B2037,$B2037,$BH$5:$BH2037,$BH2037))</f>
        <v/>
      </c>
      <c r="BM2037" s="9" t="str">
        <f t="shared" si="326"/>
        <v/>
      </c>
      <c r="BN2037" s="9" t="str">
        <f t="shared" si="327"/>
        <v/>
      </c>
      <c r="BO2037" s="9">
        <f t="shared" si="328"/>
        <v>0</v>
      </c>
      <c r="BR2037" s="12" t="str">
        <f t="shared" si="329"/>
        <v/>
      </c>
    </row>
    <row r="2038" spans="1:70" ht="14.25" customHeight="1">
      <c r="A2038" s="26"/>
      <c r="C2038" s="26"/>
      <c r="D2038" s="27"/>
      <c r="E2038" s="27"/>
      <c r="BE2038" s="10" t="str">
        <f t="shared" si="320"/>
        <v/>
      </c>
      <c r="BF2038" s="8" t="str">
        <f t="shared" si="321"/>
        <v/>
      </c>
      <c r="BG2038" s="11" t="str">
        <f t="shared" si="322"/>
        <v/>
      </c>
      <c r="BH2038" s="8" t="str">
        <f t="shared" si="323"/>
        <v/>
      </c>
      <c r="BI2038" s="8" t="str">
        <f t="shared" si="324"/>
        <v/>
      </c>
      <c r="BJ2038" s="9" t="str">
        <f t="shared" si="325"/>
        <v/>
      </c>
      <c r="BK2038" s="9" t="str">
        <f>IF($B2038="","",COUNTIFS($B$5:$B2038,$B2038,$BF$5:$BF2038,$BF2038))</f>
        <v/>
      </c>
      <c r="BL2038" s="9" t="str">
        <f>IF($B2038="","",COUNTIFS($B$5:$B2038,$B2038,$BH$5:$BH2038,$BH2038))</f>
        <v/>
      </c>
      <c r="BM2038" s="9" t="str">
        <f t="shared" si="326"/>
        <v/>
      </c>
      <c r="BN2038" s="9" t="str">
        <f t="shared" si="327"/>
        <v/>
      </c>
      <c r="BO2038" s="9">
        <f t="shared" si="328"/>
        <v>0</v>
      </c>
      <c r="BR2038" s="12" t="str">
        <f t="shared" si="329"/>
        <v/>
      </c>
    </row>
    <row r="2039" spans="1:70" ht="14.25" customHeight="1">
      <c r="A2039" s="26"/>
      <c r="C2039" s="26"/>
      <c r="D2039" s="27"/>
      <c r="E2039" s="27"/>
      <c r="BE2039" s="10" t="str">
        <f t="shared" si="320"/>
        <v/>
      </c>
      <c r="BF2039" s="8" t="str">
        <f t="shared" si="321"/>
        <v/>
      </c>
      <c r="BG2039" s="11" t="str">
        <f t="shared" si="322"/>
        <v/>
      </c>
      <c r="BH2039" s="8" t="str">
        <f t="shared" si="323"/>
        <v/>
      </c>
      <c r="BI2039" s="8" t="str">
        <f t="shared" si="324"/>
        <v/>
      </c>
      <c r="BJ2039" s="9" t="str">
        <f t="shared" si="325"/>
        <v/>
      </c>
      <c r="BK2039" s="9" t="str">
        <f>IF($B2039="","",COUNTIFS($B$5:$B2039,$B2039,$BF$5:$BF2039,$BF2039))</f>
        <v/>
      </c>
      <c r="BL2039" s="9" t="str">
        <f>IF($B2039="","",COUNTIFS($B$5:$B2039,$B2039,$BH$5:$BH2039,$BH2039))</f>
        <v/>
      </c>
      <c r="BM2039" s="9" t="str">
        <f t="shared" si="326"/>
        <v/>
      </c>
      <c r="BN2039" s="9" t="str">
        <f t="shared" si="327"/>
        <v/>
      </c>
      <c r="BO2039" s="9">
        <f t="shared" si="328"/>
        <v>0</v>
      </c>
      <c r="BR2039" s="12" t="str">
        <f t="shared" si="329"/>
        <v/>
      </c>
    </row>
    <row r="2040" spans="1:70" ht="14.25" customHeight="1">
      <c r="A2040" s="26"/>
      <c r="C2040" s="26"/>
      <c r="D2040" s="27"/>
      <c r="E2040" s="27"/>
      <c r="BE2040" s="10" t="str">
        <f t="shared" si="320"/>
        <v/>
      </c>
      <c r="BF2040" s="8" t="str">
        <f t="shared" si="321"/>
        <v/>
      </c>
      <c r="BG2040" s="11" t="str">
        <f t="shared" si="322"/>
        <v/>
      </c>
      <c r="BH2040" s="8" t="str">
        <f t="shared" si="323"/>
        <v/>
      </c>
      <c r="BI2040" s="8" t="str">
        <f t="shared" si="324"/>
        <v/>
      </c>
      <c r="BJ2040" s="9" t="str">
        <f t="shared" si="325"/>
        <v/>
      </c>
      <c r="BK2040" s="9" t="str">
        <f>IF($B2040="","",COUNTIFS($B$5:$B2040,$B2040,$BF$5:$BF2040,$BF2040))</f>
        <v/>
      </c>
      <c r="BL2040" s="9" t="str">
        <f>IF($B2040="","",COUNTIFS($B$5:$B2040,$B2040,$BH$5:$BH2040,$BH2040))</f>
        <v/>
      </c>
      <c r="BM2040" s="9" t="str">
        <f t="shared" si="326"/>
        <v/>
      </c>
      <c r="BN2040" s="9" t="str">
        <f t="shared" si="327"/>
        <v/>
      </c>
      <c r="BO2040" s="9">
        <f t="shared" si="328"/>
        <v>0</v>
      </c>
      <c r="BR2040" s="12" t="str">
        <f t="shared" si="329"/>
        <v/>
      </c>
    </row>
    <row r="2041" spans="1:70" ht="14.25" customHeight="1">
      <c r="A2041" s="26"/>
      <c r="C2041" s="26"/>
      <c r="D2041" s="27"/>
      <c r="E2041" s="27"/>
      <c r="BE2041" s="10" t="str">
        <f t="shared" si="320"/>
        <v/>
      </c>
      <c r="BF2041" s="8" t="str">
        <f t="shared" si="321"/>
        <v/>
      </c>
      <c r="BG2041" s="11" t="str">
        <f t="shared" si="322"/>
        <v/>
      </c>
      <c r="BH2041" s="8" t="str">
        <f t="shared" si="323"/>
        <v/>
      </c>
      <c r="BI2041" s="8" t="str">
        <f t="shared" si="324"/>
        <v/>
      </c>
      <c r="BJ2041" s="9" t="str">
        <f t="shared" si="325"/>
        <v/>
      </c>
      <c r="BK2041" s="9" t="str">
        <f>IF($B2041="","",COUNTIFS($B$5:$B2041,$B2041,$BF$5:$BF2041,$BF2041))</f>
        <v/>
      </c>
      <c r="BL2041" s="9" t="str">
        <f>IF($B2041="","",COUNTIFS($B$5:$B2041,$B2041,$BH$5:$BH2041,$BH2041))</f>
        <v/>
      </c>
      <c r="BM2041" s="9" t="str">
        <f t="shared" si="326"/>
        <v/>
      </c>
      <c r="BN2041" s="9" t="str">
        <f t="shared" si="327"/>
        <v/>
      </c>
      <c r="BO2041" s="9">
        <f t="shared" si="328"/>
        <v>0</v>
      </c>
      <c r="BR2041" s="12" t="str">
        <f t="shared" si="329"/>
        <v/>
      </c>
    </row>
    <row r="2042" spans="1:70" ht="14.25" customHeight="1">
      <c r="A2042" s="26"/>
      <c r="C2042" s="26"/>
      <c r="D2042" s="27"/>
      <c r="E2042" s="27"/>
      <c r="BE2042" s="10" t="str">
        <f t="shared" si="320"/>
        <v/>
      </c>
      <c r="BF2042" s="8" t="str">
        <f t="shared" si="321"/>
        <v/>
      </c>
      <c r="BG2042" s="11" t="str">
        <f t="shared" si="322"/>
        <v/>
      </c>
      <c r="BH2042" s="8" t="str">
        <f t="shared" si="323"/>
        <v/>
      </c>
      <c r="BI2042" s="8" t="str">
        <f t="shared" si="324"/>
        <v/>
      </c>
      <c r="BJ2042" s="9" t="str">
        <f t="shared" si="325"/>
        <v/>
      </c>
      <c r="BK2042" s="9" t="str">
        <f>IF($B2042="","",COUNTIFS($B$5:$B2042,$B2042,$BF$5:$BF2042,$BF2042))</f>
        <v/>
      </c>
      <c r="BL2042" s="9" t="str">
        <f>IF($B2042="","",COUNTIFS($B$5:$B2042,$B2042,$BH$5:$BH2042,$BH2042))</f>
        <v/>
      </c>
      <c r="BM2042" s="9" t="str">
        <f t="shared" si="326"/>
        <v/>
      </c>
      <c r="BN2042" s="9" t="str">
        <f t="shared" si="327"/>
        <v/>
      </c>
      <c r="BO2042" s="9">
        <f t="shared" si="328"/>
        <v>0</v>
      </c>
      <c r="BR2042" s="12" t="str">
        <f t="shared" si="329"/>
        <v/>
      </c>
    </row>
    <row r="2043" spans="1:70" ht="14.25" customHeight="1">
      <c r="A2043" s="26"/>
      <c r="C2043" s="26"/>
      <c r="D2043" s="27"/>
      <c r="E2043" s="27"/>
      <c r="BE2043" s="10" t="str">
        <f t="shared" si="320"/>
        <v/>
      </c>
      <c r="BF2043" s="8" t="str">
        <f t="shared" si="321"/>
        <v/>
      </c>
      <c r="BG2043" s="11" t="str">
        <f t="shared" si="322"/>
        <v/>
      </c>
      <c r="BH2043" s="8" t="str">
        <f t="shared" si="323"/>
        <v/>
      </c>
      <c r="BI2043" s="8" t="str">
        <f t="shared" si="324"/>
        <v/>
      </c>
      <c r="BJ2043" s="9" t="str">
        <f t="shared" si="325"/>
        <v/>
      </c>
      <c r="BK2043" s="9" t="str">
        <f>IF($B2043="","",COUNTIFS($B$5:$B2043,$B2043,$BF$5:$BF2043,$BF2043))</f>
        <v/>
      </c>
      <c r="BL2043" s="9" t="str">
        <f>IF($B2043="","",COUNTIFS($B$5:$B2043,$B2043,$BH$5:$BH2043,$BH2043))</f>
        <v/>
      </c>
      <c r="BM2043" s="9" t="str">
        <f t="shared" si="326"/>
        <v/>
      </c>
      <c r="BN2043" s="9" t="str">
        <f t="shared" si="327"/>
        <v/>
      </c>
      <c r="BO2043" s="9">
        <f t="shared" si="328"/>
        <v>0</v>
      </c>
      <c r="BR2043" s="12" t="str">
        <f t="shared" si="329"/>
        <v/>
      </c>
    </row>
    <row r="2044" spans="1:70" ht="14.25" customHeight="1">
      <c r="A2044" s="26"/>
      <c r="C2044" s="26"/>
      <c r="D2044" s="27"/>
      <c r="E2044" s="27"/>
      <c r="BE2044" s="10" t="str">
        <f t="shared" si="320"/>
        <v/>
      </c>
      <c r="BF2044" s="8" t="str">
        <f t="shared" si="321"/>
        <v/>
      </c>
      <c r="BG2044" s="11" t="str">
        <f t="shared" si="322"/>
        <v/>
      </c>
      <c r="BH2044" s="8" t="str">
        <f t="shared" si="323"/>
        <v/>
      </c>
      <c r="BI2044" s="8" t="str">
        <f t="shared" si="324"/>
        <v/>
      </c>
      <c r="BJ2044" s="9" t="str">
        <f t="shared" si="325"/>
        <v/>
      </c>
      <c r="BK2044" s="9" t="str">
        <f>IF($B2044="","",COUNTIFS($B$5:$B2044,$B2044,$BF$5:$BF2044,$BF2044))</f>
        <v/>
      </c>
      <c r="BL2044" s="9" t="str">
        <f>IF($B2044="","",COUNTIFS($B$5:$B2044,$B2044,$BH$5:$BH2044,$BH2044))</f>
        <v/>
      </c>
      <c r="BM2044" s="9" t="str">
        <f t="shared" si="326"/>
        <v/>
      </c>
      <c r="BN2044" s="9" t="str">
        <f t="shared" si="327"/>
        <v/>
      </c>
      <c r="BO2044" s="9">
        <f t="shared" si="328"/>
        <v>0</v>
      </c>
      <c r="BR2044" s="12" t="str">
        <f t="shared" si="329"/>
        <v/>
      </c>
    </row>
    <row r="2045" spans="1:70" ht="14.25" customHeight="1">
      <c r="A2045" s="26"/>
      <c r="C2045" s="26"/>
      <c r="D2045" s="27"/>
      <c r="E2045" s="27"/>
      <c r="BE2045" s="10" t="str">
        <f t="shared" si="320"/>
        <v/>
      </c>
      <c r="BF2045" s="8" t="str">
        <f t="shared" si="321"/>
        <v/>
      </c>
      <c r="BG2045" s="11" t="str">
        <f t="shared" si="322"/>
        <v/>
      </c>
      <c r="BH2045" s="8" t="str">
        <f t="shared" si="323"/>
        <v/>
      </c>
      <c r="BI2045" s="8" t="str">
        <f t="shared" si="324"/>
        <v/>
      </c>
      <c r="BJ2045" s="9" t="str">
        <f t="shared" si="325"/>
        <v/>
      </c>
      <c r="BK2045" s="9" t="str">
        <f>IF($B2045="","",COUNTIFS($B$5:$B2045,$B2045,$BF$5:$BF2045,$BF2045))</f>
        <v/>
      </c>
      <c r="BL2045" s="9" t="str">
        <f>IF($B2045="","",COUNTIFS($B$5:$B2045,$B2045,$BH$5:$BH2045,$BH2045))</f>
        <v/>
      </c>
      <c r="BM2045" s="9" t="str">
        <f t="shared" si="326"/>
        <v/>
      </c>
      <c r="BN2045" s="9" t="str">
        <f t="shared" si="327"/>
        <v/>
      </c>
      <c r="BO2045" s="9">
        <f t="shared" si="328"/>
        <v>0</v>
      </c>
      <c r="BR2045" s="12" t="str">
        <f t="shared" si="329"/>
        <v/>
      </c>
    </row>
    <row r="2046" spans="1:70" ht="14.25" customHeight="1">
      <c r="A2046" s="26"/>
      <c r="C2046" s="26"/>
      <c r="D2046" s="27"/>
      <c r="E2046" s="27"/>
      <c r="BE2046" s="10" t="str">
        <f t="shared" si="320"/>
        <v/>
      </c>
      <c r="BF2046" s="8" t="str">
        <f t="shared" si="321"/>
        <v/>
      </c>
      <c r="BG2046" s="11" t="str">
        <f t="shared" si="322"/>
        <v/>
      </c>
      <c r="BH2046" s="8" t="str">
        <f t="shared" si="323"/>
        <v/>
      </c>
      <c r="BI2046" s="8" t="str">
        <f t="shared" si="324"/>
        <v/>
      </c>
      <c r="BJ2046" s="9" t="str">
        <f t="shared" si="325"/>
        <v/>
      </c>
      <c r="BK2046" s="9" t="str">
        <f>IF($B2046="","",COUNTIFS($B$5:$B2046,$B2046,$BF$5:$BF2046,$BF2046))</f>
        <v/>
      </c>
      <c r="BL2046" s="9" t="str">
        <f>IF($B2046="","",COUNTIFS($B$5:$B2046,$B2046,$BH$5:$BH2046,$BH2046))</f>
        <v/>
      </c>
      <c r="BM2046" s="9" t="str">
        <f t="shared" si="326"/>
        <v/>
      </c>
      <c r="BN2046" s="9" t="str">
        <f t="shared" si="327"/>
        <v/>
      </c>
      <c r="BO2046" s="9">
        <f t="shared" si="328"/>
        <v>0</v>
      </c>
      <c r="BR2046" s="12" t="str">
        <f t="shared" si="329"/>
        <v/>
      </c>
    </row>
    <row r="2047" spans="1:70" ht="14.25" customHeight="1">
      <c r="A2047" s="26"/>
      <c r="C2047" s="26"/>
      <c r="D2047" s="27"/>
      <c r="E2047" s="27"/>
      <c r="BE2047" s="10" t="str">
        <f t="shared" si="320"/>
        <v/>
      </c>
      <c r="BF2047" s="8" t="str">
        <f t="shared" si="321"/>
        <v/>
      </c>
      <c r="BG2047" s="11" t="str">
        <f t="shared" si="322"/>
        <v/>
      </c>
      <c r="BH2047" s="8" t="str">
        <f t="shared" si="323"/>
        <v/>
      </c>
      <c r="BI2047" s="8" t="str">
        <f t="shared" si="324"/>
        <v/>
      </c>
      <c r="BJ2047" s="9" t="str">
        <f t="shared" si="325"/>
        <v/>
      </c>
      <c r="BK2047" s="9" t="str">
        <f>IF($B2047="","",COUNTIFS($B$5:$B2047,$B2047,$BF$5:$BF2047,$BF2047))</f>
        <v/>
      </c>
      <c r="BL2047" s="9" t="str">
        <f>IF($B2047="","",COUNTIFS($B$5:$B2047,$B2047,$BH$5:$BH2047,$BH2047))</f>
        <v/>
      </c>
      <c r="BM2047" s="9" t="str">
        <f t="shared" si="326"/>
        <v/>
      </c>
      <c r="BN2047" s="9" t="str">
        <f t="shared" si="327"/>
        <v/>
      </c>
      <c r="BO2047" s="9">
        <f t="shared" si="328"/>
        <v>0</v>
      </c>
      <c r="BR2047" s="12" t="str">
        <f t="shared" si="329"/>
        <v/>
      </c>
    </row>
    <row r="2048" spans="1:70" ht="14.25" customHeight="1">
      <c r="A2048" s="26"/>
      <c r="C2048" s="26"/>
      <c r="D2048" s="27"/>
      <c r="E2048" s="27"/>
      <c r="BE2048" s="10" t="str">
        <f t="shared" si="320"/>
        <v/>
      </c>
      <c r="BF2048" s="8" t="str">
        <f t="shared" si="321"/>
        <v/>
      </c>
      <c r="BG2048" s="11" t="str">
        <f t="shared" si="322"/>
        <v/>
      </c>
      <c r="BH2048" s="8" t="str">
        <f t="shared" si="323"/>
        <v/>
      </c>
      <c r="BI2048" s="8" t="str">
        <f t="shared" si="324"/>
        <v/>
      </c>
      <c r="BJ2048" s="9" t="str">
        <f t="shared" si="325"/>
        <v/>
      </c>
      <c r="BK2048" s="9" t="str">
        <f>IF($B2048="","",COUNTIFS($B$5:$B2048,$B2048,$BF$5:$BF2048,$BF2048))</f>
        <v/>
      </c>
      <c r="BL2048" s="9" t="str">
        <f>IF($B2048="","",COUNTIFS($B$5:$B2048,$B2048,$BH$5:$BH2048,$BH2048))</f>
        <v/>
      </c>
      <c r="BM2048" s="9" t="str">
        <f t="shared" si="326"/>
        <v/>
      </c>
      <c r="BN2048" s="9" t="str">
        <f t="shared" si="327"/>
        <v/>
      </c>
      <c r="BO2048" s="9">
        <f t="shared" si="328"/>
        <v>0</v>
      </c>
      <c r="BR2048" s="12" t="str">
        <f t="shared" si="329"/>
        <v/>
      </c>
    </row>
    <row r="2049" spans="1:70" ht="14.25" customHeight="1">
      <c r="A2049" s="26"/>
      <c r="C2049" s="26"/>
      <c r="D2049" s="27"/>
      <c r="E2049" s="27"/>
      <c r="BE2049" s="10" t="str">
        <f t="shared" si="320"/>
        <v/>
      </c>
      <c r="BF2049" s="8" t="str">
        <f t="shared" si="321"/>
        <v/>
      </c>
      <c r="BG2049" s="11" t="str">
        <f t="shared" si="322"/>
        <v/>
      </c>
      <c r="BH2049" s="8" t="str">
        <f t="shared" si="323"/>
        <v/>
      </c>
      <c r="BI2049" s="8" t="str">
        <f t="shared" si="324"/>
        <v/>
      </c>
      <c r="BJ2049" s="9" t="str">
        <f t="shared" si="325"/>
        <v/>
      </c>
      <c r="BK2049" s="9" t="str">
        <f>IF($B2049="","",COUNTIFS($B$5:$B2049,$B2049,$BF$5:$BF2049,$BF2049))</f>
        <v/>
      </c>
      <c r="BL2049" s="9" t="str">
        <f>IF($B2049="","",COUNTIFS($B$5:$B2049,$B2049,$BH$5:$BH2049,$BH2049))</f>
        <v/>
      </c>
      <c r="BM2049" s="9" t="str">
        <f t="shared" si="326"/>
        <v/>
      </c>
      <c r="BN2049" s="9" t="str">
        <f t="shared" si="327"/>
        <v/>
      </c>
      <c r="BO2049" s="9">
        <f t="shared" si="328"/>
        <v>0</v>
      </c>
      <c r="BR2049" s="12" t="str">
        <f t="shared" si="329"/>
        <v/>
      </c>
    </row>
    <row r="2050" spans="1:70" ht="14.25" customHeight="1">
      <c r="A2050" s="26"/>
      <c r="C2050" s="26"/>
      <c r="D2050" s="27"/>
      <c r="E2050" s="27"/>
      <c r="BE2050" s="10" t="str">
        <f t="shared" si="320"/>
        <v/>
      </c>
      <c r="BF2050" s="8" t="str">
        <f t="shared" si="321"/>
        <v/>
      </c>
      <c r="BG2050" s="11" t="str">
        <f t="shared" si="322"/>
        <v/>
      </c>
      <c r="BH2050" s="8" t="str">
        <f t="shared" si="323"/>
        <v/>
      </c>
      <c r="BI2050" s="8" t="str">
        <f t="shared" si="324"/>
        <v/>
      </c>
      <c r="BJ2050" s="9" t="str">
        <f t="shared" si="325"/>
        <v/>
      </c>
      <c r="BK2050" s="9" t="str">
        <f>IF($B2050="","",COUNTIFS($B$5:$B2050,$B2050,$BF$5:$BF2050,$BF2050))</f>
        <v/>
      </c>
      <c r="BL2050" s="9" t="str">
        <f>IF($B2050="","",COUNTIFS($B$5:$B2050,$B2050,$BH$5:$BH2050,$BH2050))</f>
        <v/>
      </c>
      <c r="BM2050" s="9" t="str">
        <f t="shared" si="326"/>
        <v/>
      </c>
      <c r="BN2050" s="9" t="str">
        <f t="shared" si="327"/>
        <v/>
      </c>
      <c r="BO2050" s="9">
        <f t="shared" si="328"/>
        <v>0</v>
      </c>
      <c r="BR2050" s="12" t="str">
        <f t="shared" si="329"/>
        <v/>
      </c>
    </row>
    <row r="2051" spans="1:70" ht="14.25" customHeight="1">
      <c r="A2051" s="26"/>
      <c r="C2051" s="26"/>
      <c r="D2051" s="27"/>
      <c r="E2051" s="27"/>
      <c r="BE2051" s="10" t="str">
        <f t="shared" si="320"/>
        <v/>
      </c>
      <c r="BF2051" s="8" t="str">
        <f t="shared" si="321"/>
        <v/>
      </c>
      <c r="BG2051" s="11" t="str">
        <f t="shared" si="322"/>
        <v/>
      </c>
      <c r="BH2051" s="8" t="str">
        <f t="shared" si="323"/>
        <v/>
      </c>
      <c r="BI2051" s="8" t="str">
        <f t="shared" si="324"/>
        <v/>
      </c>
      <c r="BJ2051" s="9" t="str">
        <f t="shared" si="325"/>
        <v/>
      </c>
      <c r="BK2051" s="9" t="str">
        <f>IF($B2051="","",COUNTIFS($B$5:$B2051,$B2051,$BF$5:$BF2051,$BF2051))</f>
        <v/>
      </c>
      <c r="BL2051" s="9" t="str">
        <f>IF($B2051="","",COUNTIFS($B$5:$B2051,$B2051,$BH$5:$BH2051,$BH2051))</f>
        <v/>
      </c>
      <c r="BM2051" s="9" t="str">
        <f t="shared" si="326"/>
        <v/>
      </c>
      <c r="BN2051" s="9" t="str">
        <f t="shared" si="327"/>
        <v/>
      </c>
      <c r="BO2051" s="9">
        <f t="shared" si="328"/>
        <v>0</v>
      </c>
      <c r="BR2051" s="12" t="str">
        <f t="shared" si="329"/>
        <v/>
      </c>
    </row>
    <row r="2052" spans="1:70" ht="14.25" customHeight="1">
      <c r="A2052" s="26"/>
      <c r="C2052" s="26"/>
      <c r="D2052" s="27"/>
      <c r="E2052" s="27"/>
      <c r="BE2052" s="10" t="str">
        <f t="shared" si="320"/>
        <v/>
      </c>
      <c r="BF2052" s="8" t="str">
        <f t="shared" si="321"/>
        <v/>
      </c>
      <c r="BG2052" s="11" t="str">
        <f t="shared" si="322"/>
        <v/>
      </c>
      <c r="BH2052" s="8" t="str">
        <f t="shared" si="323"/>
        <v/>
      </c>
      <c r="BI2052" s="8" t="str">
        <f t="shared" si="324"/>
        <v/>
      </c>
      <c r="BJ2052" s="9" t="str">
        <f t="shared" si="325"/>
        <v/>
      </c>
      <c r="BK2052" s="9" t="str">
        <f>IF($B2052="","",COUNTIFS($B$5:$B2052,$B2052,$BF$5:$BF2052,$BF2052))</f>
        <v/>
      </c>
      <c r="BL2052" s="9" t="str">
        <f>IF($B2052="","",COUNTIFS($B$5:$B2052,$B2052,$BH$5:$BH2052,$BH2052))</f>
        <v/>
      </c>
      <c r="BM2052" s="9" t="str">
        <f t="shared" si="326"/>
        <v/>
      </c>
      <c r="BN2052" s="9" t="str">
        <f t="shared" si="327"/>
        <v/>
      </c>
      <c r="BO2052" s="9">
        <f t="shared" si="328"/>
        <v>0</v>
      </c>
      <c r="BR2052" s="12" t="str">
        <f t="shared" si="329"/>
        <v/>
      </c>
    </row>
    <row r="2053" spans="1:70" ht="14.25" customHeight="1">
      <c r="A2053" s="26"/>
      <c r="C2053" s="26"/>
      <c r="D2053" s="27"/>
      <c r="E2053" s="27"/>
      <c r="BE2053" s="10" t="str">
        <f t="shared" si="320"/>
        <v/>
      </c>
      <c r="BF2053" s="8" t="str">
        <f t="shared" si="321"/>
        <v/>
      </c>
      <c r="BG2053" s="11" t="str">
        <f t="shared" si="322"/>
        <v/>
      </c>
      <c r="BH2053" s="8" t="str">
        <f t="shared" si="323"/>
        <v/>
      </c>
      <c r="BI2053" s="8" t="str">
        <f t="shared" si="324"/>
        <v/>
      </c>
      <c r="BJ2053" s="9" t="str">
        <f t="shared" si="325"/>
        <v/>
      </c>
      <c r="BK2053" s="9" t="str">
        <f>IF($B2053="","",COUNTIFS($B$5:$B2053,$B2053,$BF$5:$BF2053,$BF2053))</f>
        <v/>
      </c>
      <c r="BL2053" s="9" t="str">
        <f>IF($B2053="","",COUNTIFS($B$5:$B2053,$B2053,$BH$5:$BH2053,$BH2053))</f>
        <v/>
      </c>
      <c r="BM2053" s="9" t="str">
        <f t="shared" si="326"/>
        <v/>
      </c>
      <c r="BN2053" s="9" t="str">
        <f t="shared" si="327"/>
        <v/>
      </c>
      <c r="BO2053" s="9">
        <f t="shared" si="328"/>
        <v>0</v>
      </c>
      <c r="BR2053" s="12" t="str">
        <f t="shared" si="329"/>
        <v/>
      </c>
    </row>
    <row r="2054" spans="1:70" ht="14.25" customHeight="1">
      <c r="A2054" s="26"/>
      <c r="C2054" s="26"/>
      <c r="D2054" s="27"/>
      <c r="E2054" s="27"/>
      <c r="BE2054" s="10" t="str">
        <f t="shared" si="320"/>
        <v/>
      </c>
      <c r="BF2054" s="8" t="str">
        <f t="shared" si="321"/>
        <v/>
      </c>
      <c r="BG2054" s="11" t="str">
        <f t="shared" si="322"/>
        <v/>
      </c>
      <c r="BH2054" s="8" t="str">
        <f t="shared" si="323"/>
        <v/>
      </c>
      <c r="BI2054" s="8" t="str">
        <f t="shared" si="324"/>
        <v/>
      </c>
      <c r="BJ2054" s="9" t="str">
        <f t="shared" si="325"/>
        <v/>
      </c>
      <c r="BK2054" s="9" t="str">
        <f>IF($B2054="","",COUNTIFS($B$5:$B2054,$B2054,$BF$5:$BF2054,$BF2054))</f>
        <v/>
      </c>
      <c r="BL2054" s="9" t="str">
        <f>IF($B2054="","",COUNTIFS($B$5:$B2054,$B2054,$BH$5:$BH2054,$BH2054))</f>
        <v/>
      </c>
      <c r="BM2054" s="9" t="str">
        <f t="shared" si="326"/>
        <v/>
      </c>
      <c r="BN2054" s="9" t="str">
        <f t="shared" si="327"/>
        <v/>
      </c>
      <c r="BO2054" s="9">
        <f t="shared" si="328"/>
        <v>0</v>
      </c>
      <c r="BR2054" s="12" t="str">
        <f t="shared" si="329"/>
        <v/>
      </c>
    </row>
    <row r="2055" spans="1:70" ht="14.25" customHeight="1">
      <c r="A2055" s="26"/>
      <c r="C2055" s="26"/>
      <c r="D2055" s="27"/>
      <c r="E2055" s="27"/>
      <c r="BE2055" s="10" t="str">
        <f t="shared" si="320"/>
        <v/>
      </c>
      <c r="BF2055" s="8" t="str">
        <f t="shared" si="321"/>
        <v/>
      </c>
      <c r="BG2055" s="11" t="str">
        <f t="shared" si="322"/>
        <v/>
      </c>
      <c r="BH2055" s="8" t="str">
        <f t="shared" si="323"/>
        <v/>
      </c>
      <c r="BI2055" s="8" t="str">
        <f t="shared" si="324"/>
        <v/>
      </c>
      <c r="BJ2055" s="9" t="str">
        <f t="shared" si="325"/>
        <v/>
      </c>
      <c r="BK2055" s="9" t="str">
        <f>IF($B2055="","",COUNTIFS($B$5:$B2055,$B2055,$BF$5:$BF2055,$BF2055))</f>
        <v/>
      </c>
      <c r="BL2055" s="9" t="str">
        <f>IF($B2055="","",COUNTIFS($B$5:$B2055,$B2055,$BH$5:$BH2055,$BH2055))</f>
        <v/>
      </c>
      <c r="BM2055" s="9" t="str">
        <f t="shared" si="326"/>
        <v/>
      </c>
      <c r="BN2055" s="9" t="str">
        <f t="shared" si="327"/>
        <v/>
      </c>
      <c r="BO2055" s="9">
        <f t="shared" si="328"/>
        <v>0</v>
      </c>
      <c r="BR2055" s="12" t="str">
        <f t="shared" si="329"/>
        <v/>
      </c>
    </row>
    <row r="2056" spans="1:70" ht="14.25" customHeight="1">
      <c r="A2056" s="26"/>
      <c r="C2056" s="26"/>
      <c r="D2056" s="27"/>
      <c r="E2056" s="27"/>
      <c r="BE2056" s="10" t="str">
        <f t="shared" si="320"/>
        <v/>
      </c>
      <c r="BF2056" s="8" t="str">
        <f t="shared" si="321"/>
        <v/>
      </c>
      <c r="BG2056" s="11" t="str">
        <f t="shared" si="322"/>
        <v/>
      </c>
      <c r="BH2056" s="8" t="str">
        <f t="shared" si="323"/>
        <v/>
      </c>
      <c r="BI2056" s="8" t="str">
        <f t="shared" si="324"/>
        <v/>
      </c>
      <c r="BJ2056" s="9" t="str">
        <f t="shared" si="325"/>
        <v/>
      </c>
      <c r="BK2056" s="9" t="str">
        <f>IF($B2056="","",COUNTIFS($B$5:$B2056,$B2056,$BF$5:$BF2056,$BF2056))</f>
        <v/>
      </c>
      <c r="BL2056" s="9" t="str">
        <f>IF($B2056="","",COUNTIFS($B$5:$B2056,$B2056,$BH$5:$BH2056,$BH2056))</f>
        <v/>
      </c>
      <c r="BM2056" s="9" t="str">
        <f t="shared" si="326"/>
        <v/>
      </c>
      <c r="BN2056" s="9" t="str">
        <f t="shared" si="327"/>
        <v/>
      </c>
      <c r="BO2056" s="9">
        <f t="shared" si="328"/>
        <v>0</v>
      </c>
      <c r="BR2056" s="12" t="str">
        <f t="shared" si="329"/>
        <v/>
      </c>
    </row>
    <row r="2057" spans="1:70" ht="14.25" customHeight="1">
      <c r="A2057" s="26"/>
      <c r="C2057" s="26"/>
      <c r="D2057" s="27"/>
      <c r="E2057" s="27"/>
      <c r="BE2057" s="10" t="str">
        <f t="shared" si="320"/>
        <v/>
      </c>
      <c r="BF2057" s="8" t="str">
        <f t="shared" si="321"/>
        <v/>
      </c>
      <c r="BG2057" s="11" t="str">
        <f t="shared" si="322"/>
        <v/>
      </c>
      <c r="BH2057" s="8" t="str">
        <f t="shared" si="323"/>
        <v/>
      </c>
      <c r="BI2057" s="8" t="str">
        <f t="shared" si="324"/>
        <v/>
      </c>
      <c r="BJ2057" s="9" t="str">
        <f t="shared" si="325"/>
        <v/>
      </c>
      <c r="BK2057" s="9" t="str">
        <f>IF($B2057="","",COUNTIFS($B$5:$B2057,$B2057,$BF$5:$BF2057,$BF2057))</f>
        <v/>
      </c>
      <c r="BL2057" s="9" t="str">
        <f>IF($B2057="","",COUNTIFS($B$5:$B2057,$B2057,$BH$5:$BH2057,$BH2057))</f>
        <v/>
      </c>
      <c r="BM2057" s="9" t="str">
        <f t="shared" si="326"/>
        <v/>
      </c>
      <c r="BN2057" s="9" t="str">
        <f t="shared" si="327"/>
        <v/>
      </c>
      <c r="BO2057" s="9">
        <f t="shared" si="328"/>
        <v>0</v>
      </c>
      <c r="BR2057" s="12" t="str">
        <f t="shared" si="329"/>
        <v/>
      </c>
    </row>
    <row r="2058" spans="1:70" ht="14.25" customHeight="1">
      <c r="A2058" s="26"/>
      <c r="C2058" s="26"/>
      <c r="D2058" s="27"/>
      <c r="E2058" s="27"/>
      <c r="BE2058" s="10" t="str">
        <f t="shared" si="320"/>
        <v/>
      </c>
      <c r="BF2058" s="8" t="str">
        <f t="shared" si="321"/>
        <v/>
      </c>
      <c r="BG2058" s="11" t="str">
        <f t="shared" si="322"/>
        <v/>
      </c>
      <c r="BH2058" s="8" t="str">
        <f t="shared" si="323"/>
        <v/>
      </c>
      <c r="BI2058" s="8" t="str">
        <f t="shared" si="324"/>
        <v/>
      </c>
      <c r="BJ2058" s="9" t="str">
        <f t="shared" si="325"/>
        <v/>
      </c>
      <c r="BK2058" s="9" t="str">
        <f>IF($B2058="","",COUNTIFS($B$5:$B2058,$B2058,$BF$5:$BF2058,$BF2058))</f>
        <v/>
      </c>
      <c r="BL2058" s="9" t="str">
        <f>IF($B2058="","",COUNTIFS($B$5:$B2058,$B2058,$BH$5:$BH2058,$BH2058))</f>
        <v/>
      </c>
      <c r="BM2058" s="9" t="str">
        <f t="shared" si="326"/>
        <v/>
      </c>
      <c r="BN2058" s="9" t="str">
        <f t="shared" si="327"/>
        <v/>
      </c>
      <c r="BO2058" s="9">
        <f t="shared" si="328"/>
        <v>0</v>
      </c>
      <c r="BR2058" s="12" t="str">
        <f t="shared" si="329"/>
        <v/>
      </c>
    </row>
    <row r="2059" spans="1:70" ht="14.25" customHeight="1">
      <c r="A2059" s="26"/>
      <c r="C2059" s="26"/>
      <c r="D2059" s="27"/>
      <c r="E2059" s="27"/>
      <c r="BE2059" s="10" t="str">
        <f t="shared" si="320"/>
        <v/>
      </c>
      <c r="BF2059" s="8" t="str">
        <f t="shared" si="321"/>
        <v/>
      </c>
      <c r="BG2059" s="11" t="str">
        <f t="shared" si="322"/>
        <v/>
      </c>
      <c r="BH2059" s="8" t="str">
        <f t="shared" si="323"/>
        <v/>
      </c>
      <c r="BI2059" s="8" t="str">
        <f t="shared" si="324"/>
        <v/>
      </c>
      <c r="BJ2059" s="9" t="str">
        <f t="shared" si="325"/>
        <v/>
      </c>
      <c r="BK2059" s="9" t="str">
        <f>IF($B2059="","",COUNTIFS($B$5:$B2059,$B2059,$BF$5:$BF2059,$BF2059))</f>
        <v/>
      </c>
      <c r="BL2059" s="9" t="str">
        <f>IF($B2059="","",COUNTIFS($B$5:$B2059,$B2059,$BH$5:$BH2059,$BH2059))</f>
        <v/>
      </c>
      <c r="BM2059" s="9" t="str">
        <f t="shared" si="326"/>
        <v/>
      </c>
      <c r="BN2059" s="9" t="str">
        <f t="shared" si="327"/>
        <v/>
      </c>
      <c r="BO2059" s="9">
        <f t="shared" si="328"/>
        <v>0</v>
      </c>
      <c r="BR2059" s="12" t="str">
        <f t="shared" si="329"/>
        <v/>
      </c>
    </row>
    <row r="2060" spans="1:70" ht="14.25" customHeight="1">
      <c r="A2060" s="26"/>
      <c r="C2060" s="26"/>
      <c r="D2060" s="27"/>
      <c r="E2060" s="27"/>
      <c r="BE2060" s="10" t="str">
        <f t="shared" si="320"/>
        <v/>
      </c>
      <c r="BF2060" s="8" t="str">
        <f t="shared" si="321"/>
        <v/>
      </c>
      <c r="BG2060" s="11" t="str">
        <f t="shared" si="322"/>
        <v/>
      </c>
      <c r="BH2060" s="8" t="str">
        <f t="shared" si="323"/>
        <v/>
      </c>
      <c r="BI2060" s="8" t="str">
        <f t="shared" si="324"/>
        <v/>
      </c>
      <c r="BJ2060" s="9" t="str">
        <f t="shared" si="325"/>
        <v/>
      </c>
      <c r="BK2060" s="9" t="str">
        <f>IF($B2060="","",COUNTIFS($B$5:$B2060,$B2060,$BF$5:$BF2060,$BF2060))</f>
        <v/>
      </c>
      <c r="BL2060" s="9" t="str">
        <f>IF($B2060="","",COUNTIFS($B$5:$B2060,$B2060,$BH$5:$BH2060,$BH2060))</f>
        <v/>
      </c>
      <c r="BM2060" s="9" t="str">
        <f t="shared" si="326"/>
        <v/>
      </c>
      <c r="BN2060" s="9" t="str">
        <f t="shared" si="327"/>
        <v/>
      </c>
      <c r="BO2060" s="9">
        <f t="shared" si="328"/>
        <v>0</v>
      </c>
      <c r="BR2060" s="12" t="str">
        <f t="shared" si="329"/>
        <v/>
      </c>
    </row>
    <row r="2061" spans="1:70" ht="14.25" customHeight="1">
      <c r="A2061" s="26"/>
      <c r="C2061" s="26"/>
      <c r="D2061" s="27"/>
      <c r="E2061" s="27"/>
      <c r="BE2061" s="10" t="str">
        <f t="shared" si="320"/>
        <v/>
      </c>
      <c r="BF2061" s="8" t="str">
        <f t="shared" si="321"/>
        <v/>
      </c>
      <c r="BG2061" s="11" t="str">
        <f t="shared" si="322"/>
        <v/>
      </c>
      <c r="BH2061" s="8" t="str">
        <f t="shared" si="323"/>
        <v/>
      </c>
      <c r="BI2061" s="8" t="str">
        <f t="shared" si="324"/>
        <v/>
      </c>
      <c r="BJ2061" s="9" t="str">
        <f t="shared" si="325"/>
        <v/>
      </c>
      <c r="BK2061" s="9" t="str">
        <f>IF($B2061="","",COUNTIFS($B$5:$B2061,$B2061,$BF$5:$BF2061,$BF2061))</f>
        <v/>
      </c>
      <c r="BL2061" s="9" t="str">
        <f>IF($B2061="","",COUNTIFS($B$5:$B2061,$B2061,$BH$5:$BH2061,$BH2061))</f>
        <v/>
      </c>
      <c r="BM2061" s="9" t="str">
        <f t="shared" si="326"/>
        <v/>
      </c>
      <c r="BN2061" s="9" t="str">
        <f t="shared" si="327"/>
        <v/>
      </c>
      <c r="BO2061" s="9">
        <f t="shared" si="328"/>
        <v>0</v>
      </c>
      <c r="BR2061" s="12" t="str">
        <f t="shared" si="329"/>
        <v/>
      </c>
    </row>
    <row r="2062" spans="1:70" ht="14.25" customHeight="1">
      <c r="A2062" s="26"/>
      <c r="C2062" s="26"/>
      <c r="D2062" s="27"/>
      <c r="E2062" s="27"/>
      <c r="BE2062" s="10" t="str">
        <f t="shared" si="320"/>
        <v/>
      </c>
      <c r="BF2062" s="8" t="str">
        <f t="shared" si="321"/>
        <v/>
      </c>
      <c r="BG2062" s="11" t="str">
        <f t="shared" si="322"/>
        <v/>
      </c>
      <c r="BH2062" s="8" t="str">
        <f t="shared" si="323"/>
        <v/>
      </c>
      <c r="BI2062" s="8" t="str">
        <f t="shared" si="324"/>
        <v/>
      </c>
      <c r="BJ2062" s="9" t="str">
        <f t="shared" si="325"/>
        <v/>
      </c>
      <c r="BK2062" s="9" t="str">
        <f>IF($B2062="","",COUNTIFS($B$5:$B2062,$B2062,$BF$5:$BF2062,$BF2062))</f>
        <v/>
      </c>
      <c r="BL2062" s="9" t="str">
        <f>IF($B2062="","",COUNTIFS($B$5:$B2062,$B2062,$BH$5:$BH2062,$BH2062))</f>
        <v/>
      </c>
      <c r="BM2062" s="9" t="str">
        <f t="shared" si="326"/>
        <v/>
      </c>
      <c r="BN2062" s="9" t="str">
        <f t="shared" si="327"/>
        <v/>
      </c>
      <c r="BO2062" s="9">
        <f t="shared" si="328"/>
        <v>0</v>
      </c>
      <c r="BR2062" s="12" t="str">
        <f t="shared" si="329"/>
        <v/>
      </c>
    </row>
    <row r="2063" spans="1:70" ht="14.25" customHeight="1">
      <c r="A2063" s="26"/>
      <c r="C2063" s="26"/>
      <c r="D2063" s="27"/>
      <c r="E2063" s="27"/>
      <c r="BE2063" s="10" t="str">
        <f t="shared" si="320"/>
        <v/>
      </c>
      <c r="BF2063" s="8" t="str">
        <f t="shared" si="321"/>
        <v/>
      </c>
      <c r="BG2063" s="11" t="str">
        <f t="shared" si="322"/>
        <v/>
      </c>
      <c r="BH2063" s="8" t="str">
        <f t="shared" si="323"/>
        <v/>
      </c>
      <c r="BI2063" s="8" t="str">
        <f t="shared" si="324"/>
        <v/>
      </c>
      <c r="BJ2063" s="9" t="str">
        <f t="shared" si="325"/>
        <v/>
      </c>
      <c r="BK2063" s="9" t="str">
        <f>IF($B2063="","",COUNTIFS($B$5:$B2063,$B2063,$BF$5:$BF2063,$BF2063))</f>
        <v/>
      </c>
      <c r="BL2063" s="9" t="str">
        <f>IF($B2063="","",COUNTIFS($B$5:$B2063,$B2063,$BH$5:$BH2063,$BH2063))</f>
        <v/>
      </c>
      <c r="BM2063" s="9" t="str">
        <f t="shared" si="326"/>
        <v/>
      </c>
      <c r="BN2063" s="9" t="str">
        <f t="shared" si="327"/>
        <v/>
      </c>
      <c r="BO2063" s="9">
        <f t="shared" si="328"/>
        <v>0</v>
      </c>
      <c r="BR2063" s="12" t="str">
        <f t="shared" si="329"/>
        <v/>
      </c>
    </row>
    <row r="2064" spans="1:70" ht="14.25" customHeight="1">
      <c r="A2064" s="26"/>
      <c r="C2064" s="26"/>
      <c r="D2064" s="27"/>
      <c r="E2064" s="27"/>
      <c r="BE2064" s="10" t="str">
        <f t="shared" si="320"/>
        <v/>
      </c>
      <c r="BF2064" s="8" t="str">
        <f t="shared" si="321"/>
        <v/>
      </c>
      <c r="BG2064" s="11" t="str">
        <f t="shared" si="322"/>
        <v/>
      </c>
      <c r="BH2064" s="8" t="str">
        <f t="shared" si="323"/>
        <v/>
      </c>
      <c r="BI2064" s="8" t="str">
        <f t="shared" si="324"/>
        <v/>
      </c>
      <c r="BJ2064" s="9" t="str">
        <f t="shared" si="325"/>
        <v/>
      </c>
      <c r="BK2064" s="9" t="str">
        <f>IF($B2064="","",COUNTIFS($B$5:$B2064,$B2064,$BF$5:$BF2064,$BF2064))</f>
        <v/>
      </c>
      <c r="BL2064" s="9" t="str">
        <f>IF($B2064="","",COUNTIFS($B$5:$B2064,$B2064,$BH$5:$BH2064,$BH2064))</f>
        <v/>
      </c>
      <c r="BM2064" s="9" t="str">
        <f t="shared" si="326"/>
        <v/>
      </c>
      <c r="BN2064" s="9" t="str">
        <f t="shared" si="327"/>
        <v/>
      </c>
      <c r="BO2064" s="9">
        <f t="shared" si="328"/>
        <v>0</v>
      </c>
      <c r="BR2064" s="12" t="str">
        <f t="shared" si="329"/>
        <v/>
      </c>
    </row>
    <row r="2065" spans="1:70" ht="14.25" customHeight="1">
      <c r="A2065" s="26"/>
      <c r="C2065" s="26"/>
      <c r="D2065" s="27"/>
      <c r="E2065" s="27"/>
      <c r="BE2065" s="10" t="str">
        <f t="shared" si="320"/>
        <v/>
      </c>
      <c r="BF2065" s="8" t="str">
        <f t="shared" si="321"/>
        <v/>
      </c>
      <c r="BG2065" s="11" t="str">
        <f t="shared" si="322"/>
        <v/>
      </c>
      <c r="BH2065" s="8" t="str">
        <f t="shared" si="323"/>
        <v/>
      </c>
      <c r="BI2065" s="8" t="str">
        <f t="shared" si="324"/>
        <v/>
      </c>
      <c r="BJ2065" s="9" t="str">
        <f t="shared" si="325"/>
        <v/>
      </c>
      <c r="BK2065" s="9" t="str">
        <f>IF($B2065="","",COUNTIFS($B$5:$B2065,$B2065,$BF$5:$BF2065,$BF2065))</f>
        <v/>
      </c>
      <c r="BL2065" s="9" t="str">
        <f>IF($B2065="","",COUNTIFS($B$5:$B2065,$B2065,$BH$5:$BH2065,$BH2065))</f>
        <v/>
      </c>
      <c r="BM2065" s="9" t="str">
        <f t="shared" si="326"/>
        <v/>
      </c>
      <c r="BN2065" s="9" t="str">
        <f t="shared" si="327"/>
        <v/>
      </c>
      <c r="BO2065" s="9">
        <f t="shared" si="328"/>
        <v>0</v>
      </c>
      <c r="BR2065" s="12" t="str">
        <f t="shared" si="329"/>
        <v/>
      </c>
    </row>
    <row r="2066" spans="1:70" ht="14.25" customHeight="1">
      <c r="A2066" s="26"/>
      <c r="C2066" s="26"/>
      <c r="D2066" s="27"/>
      <c r="E2066" s="27"/>
      <c r="BE2066" s="10" t="str">
        <f t="shared" si="320"/>
        <v/>
      </c>
      <c r="BF2066" s="8" t="str">
        <f t="shared" si="321"/>
        <v/>
      </c>
      <c r="BG2066" s="11" t="str">
        <f t="shared" si="322"/>
        <v/>
      </c>
      <c r="BH2066" s="8" t="str">
        <f t="shared" si="323"/>
        <v/>
      </c>
      <c r="BI2066" s="8" t="str">
        <f t="shared" si="324"/>
        <v/>
      </c>
      <c r="BJ2066" s="9" t="str">
        <f t="shared" si="325"/>
        <v/>
      </c>
      <c r="BK2066" s="9" t="str">
        <f>IF($B2066="","",COUNTIFS($B$5:$B2066,$B2066,$BF$5:$BF2066,$BF2066))</f>
        <v/>
      </c>
      <c r="BL2066" s="9" t="str">
        <f>IF($B2066="","",COUNTIFS($B$5:$B2066,$B2066,$BH$5:$BH2066,$BH2066))</f>
        <v/>
      </c>
      <c r="BM2066" s="9" t="str">
        <f t="shared" si="326"/>
        <v/>
      </c>
      <c r="BN2066" s="9" t="str">
        <f t="shared" si="327"/>
        <v/>
      </c>
      <c r="BO2066" s="9">
        <f t="shared" si="328"/>
        <v>0</v>
      </c>
      <c r="BR2066" s="12" t="str">
        <f t="shared" si="329"/>
        <v/>
      </c>
    </row>
    <row r="2067" spans="1:70" ht="14.25" customHeight="1">
      <c r="A2067" s="26"/>
      <c r="C2067" s="26"/>
      <c r="D2067" s="27"/>
      <c r="E2067" s="27"/>
      <c r="BE2067" s="10" t="str">
        <f t="shared" si="320"/>
        <v/>
      </c>
      <c r="BF2067" s="8" t="str">
        <f t="shared" si="321"/>
        <v/>
      </c>
      <c r="BG2067" s="11" t="str">
        <f t="shared" si="322"/>
        <v/>
      </c>
      <c r="BH2067" s="8" t="str">
        <f t="shared" si="323"/>
        <v/>
      </c>
      <c r="BI2067" s="8" t="str">
        <f t="shared" si="324"/>
        <v/>
      </c>
      <c r="BJ2067" s="9" t="str">
        <f t="shared" si="325"/>
        <v/>
      </c>
      <c r="BK2067" s="9" t="str">
        <f>IF($B2067="","",COUNTIFS($B$5:$B2067,$B2067,$BF$5:$BF2067,$BF2067))</f>
        <v/>
      </c>
      <c r="BL2067" s="9" t="str">
        <f>IF($B2067="","",COUNTIFS($B$5:$B2067,$B2067,$BH$5:$BH2067,$BH2067))</f>
        <v/>
      </c>
      <c r="BM2067" s="9" t="str">
        <f t="shared" si="326"/>
        <v/>
      </c>
      <c r="BN2067" s="9" t="str">
        <f t="shared" si="327"/>
        <v/>
      </c>
      <c r="BO2067" s="9">
        <f t="shared" si="328"/>
        <v>0</v>
      </c>
      <c r="BR2067" s="12" t="str">
        <f t="shared" si="329"/>
        <v/>
      </c>
    </row>
    <row r="2068" spans="1:70" ht="14.25" customHeight="1">
      <c r="A2068" s="26"/>
      <c r="C2068" s="26"/>
      <c r="D2068" s="27"/>
      <c r="E2068" s="27"/>
      <c r="BE2068" s="10" t="str">
        <f t="shared" si="320"/>
        <v/>
      </c>
      <c r="BF2068" s="8" t="str">
        <f t="shared" si="321"/>
        <v/>
      </c>
      <c r="BG2068" s="11" t="str">
        <f t="shared" si="322"/>
        <v/>
      </c>
      <c r="BH2068" s="8" t="str">
        <f t="shared" si="323"/>
        <v/>
      </c>
      <c r="BI2068" s="8" t="str">
        <f t="shared" si="324"/>
        <v/>
      </c>
      <c r="BJ2068" s="9" t="str">
        <f t="shared" si="325"/>
        <v/>
      </c>
      <c r="BK2068" s="9" t="str">
        <f>IF($B2068="","",COUNTIFS($B$5:$B2068,$B2068,$BF$5:$BF2068,$BF2068))</f>
        <v/>
      </c>
      <c r="BL2068" s="9" t="str">
        <f>IF($B2068="","",COUNTIFS($B$5:$B2068,$B2068,$BH$5:$BH2068,$BH2068))</f>
        <v/>
      </c>
      <c r="BM2068" s="9" t="str">
        <f t="shared" si="326"/>
        <v/>
      </c>
      <c r="BN2068" s="9" t="str">
        <f t="shared" si="327"/>
        <v/>
      </c>
      <c r="BO2068" s="9">
        <f t="shared" si="328"/>
        <v>0</v>
      </c>
      <c r="BR2068" s="12" t="str">
        <f t="shared" si="329"/>
        <v/>
      </c>
    </row>
    <row r="2069" spans="1:70" ht="14.25" customHeight="1">
      <c r="A2069" s="26"/>
      <c r="C2069" s="26"/>
      <c r="D2069" s="27"/>
      <c r="E2069" s="27"/>
      <c r="BE2069" s="10" t="str">
        <f t="shared" si="320"/>
        <v/>
      </c>
      <c r="BF2069" s="8" t="str">
        <f t="shared" si="321"/>
        <v/>
      </c>
      <c r="BG2069" s="11" t="str">
        <f t="shared" si="322"/>
        <v/>
      </c>
      <c r="BH2069" s="8" t="str">
        <f t="shared" si="323"/>
        <v/>
      </c>
      <c r="BI2069" s="8" t="str">
        <f t="shared" si="324"/>
        <v/>
      </c>
      <c r="BJ2069" s="9" t="str">
        <f t="shared" si="325"/>
        <v/>
      </c>
      <c r="BK2069" s="9" t="str">
        <f>IF($B2069="","",COUNTIFS($B$5:$B2069,$B2069,$BF$5:$BF2069,$BF2069))</f>
        <v/>
      </c>
      <c r="BL2069" s="9" t="str">
        <f>IF($B2069="","",COUNTIFS($B$5:$B2069,$B2069,$BH$5:$BH2069,$BH2069))</f>
        <v/>
      </c>
      <c r="BM2069" s="9" t="str">
        <f t="shared" si="326"/>
        <v/>
      </c>
      <c r="BN2069" s="9" t="str">
        <f t="shared" si="327"/>
        <v/>
      </c>
      <c r="BO2069" s="9">
        <f t="shared" si="328"/>
        <v>0</v>
      </c>
      <c r="BR2069" s="12" t="str">
        <f t="shared" si="329"/>
        <v/>
      </c>
    </row>
    <row r="2070" spans="1:70" ht="14.25" customHeight="1">
      <c r="A2070" s="26"/>
      <c r="C2070" s="26"/>
      <c r="D2070" s="27"/>
      <c r="E2070" s="27"/>
      <c r="BE2070" s="10" t="str">
        <f t="shared" si="320"/>
        <v/>
      </c>
      <c r="BF2070" s="8" t="str">
        <f t="shared" si="321"/>
        <v/>
      </c>
      <c r="BG2070" s="11" t="str">
        <f t="shared" si="322"/>
        <v/>
      </c>
      <c r="BH2070" s="8" t="str">
        <f t="shared" si="323"/>
        <v/>
      </c>
      <c r="BI2070" s="8" t="str">
        <f t="shared" si="324"/>
        <v/>
      </c>
      <c r="BJ2070" s="9" t="str">
        <f t="shared" si="325"/>
        <v/>
      </c>
      <c r="BK2070" s="9" t="str">
        <f>IF($B2070="","",COUNTIFS($B$5:$B2070,$B2070,$BF$5:$BF2070,$BF2070))</f>
        <v/>
      </c>
      <c r="BL2070" s="9" t="str">
        <f>IF($B2070="","",COUNTIFS($B$5:$B2070,$B2070,$BH$5:$BH2070,$BH2070))</f>
        <v/>
      </c>
      <c r="BM2070" s="9" t="str">
        <f t="shared" si="326"/>
        <v/>
      </c>
      <c r="BN2070" s="9" t="str">
        <f t="shared" si="327"/>
        <v/>
      </c>
      <c r="BO2070" s="9">
        <f t="shared" si="328"/>
        <v>0</v>
      </c>
      <c r="BR2070" s="12" t="str">
        <f t="shared" si="329"/>
        <v/>
      </c>
    </row>
    <row r="2071" spans="1:70" ht="14.25" customHeight="1">
      <c r="A2071" s="26"/>
      <c r="C2071" s="26"/>
      <c r="D2071" s="27"/>
      <c r="E2071" s="27"/>
      <c r="BE2071" s="10" t="str">
        <f t="shared" si="320"/>
        <v/>
      </c>
      <c r="BF2071" s="8" t="str">
        <f t="shared" si="321"/>
        <v/>
      </c>
      <c r="BG2071" s="11" t="str">
        <f t="shared" si="322"/>
        <v/>
      </c>
      <c r="BH2071" s="8" t="str">
        <f t="shared" si="323"/>
        <v/>
      </c>
      <c r="BI2071" s="8" t="str">
        <f t="shared" si="324"/>
        <v/>
      </c>
      <c r="BJ2071" s="9" t="str">
        <f t="shared" si="325"/>
        <v/>
      </c>
      <c r="BK2071" s="9" t="str">
        <f>IF($B2071="","",COUNTIFS($B$5:$B2071,$B2071,$BF$5:$BF2071,$BF2071))</f>
        <v/>
      </c>
      <c r="BL2071" s="9" t="str">
        <f>IF($B2071="","",COUNTIFS($B$5:$B2071,$B2071,$BH$5:$BH2071,$BH2071))</f>
        <v/>
      </c>
      <c r="BM2071" s="9" t="str">
        <f t="shared" si="326"/>
        <v/>
      </c>
      <c r="BN2071" s="9" t="str">
        <f t="shared" si="327"/>
        <v/>
      </c>
      <c r="BO2071" s="9">
        <f t="shared" si="328"/>
        <v>0</v>
      </c>
      <c r="BR2071" s="12" t="str">
        <f t="shared" si="329"/>
        <v/>
      </c>
    </row>
    <row r="2072" spans="1:70" ht="14.25" customHeight="1">
      <c r="A2072" s="26"/>
      <c r="C2072" s="26"/>
      <c r="D2072" s="27"/>
      <c r="E2072" s="27"/>
      <c r="BE2072" s="10" t="str">
        <f t="shared" si="320"/>
        <v/>
      </c>
      <c r="BF2072" s="8" t="str">
        <f t="shared" si="321"/>
        <v/>
      </c>
      <c r="BG2072" s="11" t="str">
        <f t="shared" si="322"/>
        <v/>
      </c>
      <c r="BH2072" s="8" t="str">
        <f t="shared" si="323"/>
        <v/>
      </c>
      <c r="BI2072" s="8" t="str">
        <f t="shared" si="324"/>
        <v/>
      </c>
      <c r="BJ2072" s="9" t="str">
        <f t="shared" si="325"/>
        <v/>
      </c>
      <c r="BK2072" s="9" t="str">
        <f>IF($B2072="","",COUNTIFS($B$5:$B2072,$B2072,$BF$5:$BF2072,$BF2072))</f>
        <v/>
      </c>
      <c r="BL2072" s="9" t="str">
        <f>IF($B2072="","",COUNTIFS($B$5:$B2072,$B2072,$BH$5:$BH2072,$BH2072))</f>
        <v/>
      </c>
      <c r="BM2072" s="9" t="str">
        <f t="shared" si="326"/>
        <v/>
      </c>
      <c r="BN2072" s="9" t="str">
        <f t="shared" si="327"/>
        <v/>
      </c>
      <c r="BO2072" s="9">
        <f t="shared" si="328"/>
        <v>0</v>
      </c>
      <c r="BR2072" s="12" t="str">
        <f t="shared" si="329"/>
        <v/>
      </c>
    </row>
    <row r="2073" spans="1:70" ht="14.25" customHeight="1">
      <c r="A2073" s="26"/>
      <c r="C2073" s="26"/>
      <c r="D2073" s="27"/>
      <c r="E2073" s="27"/>
      <c r="BE2073" s="10" t="str">
        <f t="shared" si="320"/>
        <v/>
      </c>
      <c r="BF2073" s="8" t="str">
        <f t="shared" si="321"/>
        <v/>
      </c>
      <c r="BG2073" s="11" t="str">
        <f t="shared" si="322"/>
        <v/>
      </c>
      <c r="BH2073" s="8" t="str">
        <f t="shared" si="323"/>
        <v/>
      </c>
      <c r="BI2073" s="8" t="str">
        <f t="shared" si="324"/>
        <v/>
      </c>
      <c r="BJ2073" s="9" t="str">
        <f t="shared" si="325"/>
        <v/>
      </c>
      <c r="BK2073" s="9" t="str">
        <f>IF($B2073="","",COUNTIFS($B$5:$B2073,$B2073,$BF$5:$BF2073,$BF2073))</f>
        <v/>
      </c>
      <c r="BL2073" s="9" t="str">
        <f>IF($B2073="","",COUNTIFS($B$5:$B2073,$B2073,$BH$5:$BH2073,$BH2073))</f>
        <v/>
      </c>
      <c r="BM2073" s="9" t="str">
        <f t="shared" si="326"/>
        <v/>
      </c>
      <c r="BN2073" s="9" t="str">
        <f t="shared" si="327"/>
        <v/>
      </c>
      <c r="BO2073" s="9">
        <f t="shared" si="328"/>
        <v>0</v>
      </c>
      <c r="BR2073" s="12" t="str">
        <f t="shared" si="329"/>
        <v/>
      </c>
    </row>
    <row r="2074" spans="1:70" ht="14.25" customHeight="1">
      <c r="A2074" s="26"/>
      <c r="C2074" s="26"/>
      <c r="D2074" s="27"/>
      <c r="E2074" s="27"/>
      <c r="BE2074" s="10" t="str">
        <f t="shared" si="320"/>
        <v/>
      </c>
      <c r="BF2074" s="8" t="str">
        <f t="shared" si="321"/>
        <v/>
      </c>
      <c r="BG2074" s="11" t="str">
        <f t="shared" si="322"/>
        <v/>
      </c>
      <c r="BH2074" s="8" t="str">
        <f t="shared" si="323"/>
        <v/>
      </c>
      <c r="BI2074" s="8" t="str">
        <f t="shared" si="324"/>
        <v/>
      </c>
      <c r="BJ2074" s="9" t="str">
        <f t="shared" si="325"/>
        <v/>
      </c>
      <c r="BK2074" s="9" t="str">
        <f>IF($B2074="","",COUNTIFS($B$5:$B2074,$B2074,$BF$5:$BF2074,$BF2074))</f>
        <v/>
      </c>
      <c r="BL2074" s="9" t="str">
        <f>IF($B2074="","",COUNTIFS($B$5:$B2074,$B2074,$BH$5:$BH2074,$BH2074))</f>
        <v/>
      </c>
      <c r="BM2074" s="9" t="str">
        <f t="shared" si="326"/>
        <v/>
      </c>
      <c r="BN2074" s="9" t="str">
        <f t="shared" si="327"/>
        <v/>
      </c>
      <c r="BO2074" s="9">
        <f t="shared" si="328"/>
        <v>0</v>
      </c>
      <c r="BR2074" s="12" t="str">
        <f t="shared" si="329"/>
        <v/>
      </c>
    </row>
    <row r="2075" spans="1:70" ht="14.25" customHeight="1">
      <c r="A2075" s="26"/>
      <c r="C2075" s="26"/>
      <c r="D2075" s="27"/>
      <c r="E2075" s="27"/>
      <c r="BE2075" s="10" t="str">
        <f t="shared" si="320"/>
        <v/>
      </c>
      <c r="BF2075" s="8" t="str">
        <f t="shared" si="321"/>
        <v/>
      </c>
      <c r="BG2075" s="11" t="str">
        <f t="shared" si="322"/>
        <v/>
      </c>
      <c r="BH2075" s="8" t="str">
        <f t="shared" si="323"/>
        <v/>
      </c>
      <c r="BI2075" s="8" t="str">
        <f t="shared" si="324"/>
        <v/>
      </c>
      <c r="BJ2075" s="9" t="str">
        <f t="shared" si="325"/>
        <v/>
      </c>
      <c r="BK2075" s="9" t="str">
        <f>IF($B2075="","",COUNTIFS($B$5:$B2075,$B2075,$BF$5:$BF2075,$BF2075))</f>
        <v/>
      </c>
      <c r="BL2075" s="9" t="str">
        <f>IF($B2075="","",COUNTIFS($B$5:$B2075,$B2075,$BH$5:$BH2075,$BH2075))</f>
        <v/>
      </c>
      <c r="BM2075" s="9" t="str">
        <f t="shared" si="326"/>
        <v/>
      </c>
      <c r="BN2075" s="9" t="str">
        <f t="shared" si="327"/>
        <v/>
      </c>
      <c r="BO2075" s="9">
        <f t="shared" si="328"/>
        <v>0</v>
      </c>
      <c r="BR2075" s="12" t="str">
        <f t="shared" si="329"/>
        <v/>
      </c>
    </row>
    <row r="2076" spans="1:70" ht="14.25" customHeight="1">
      <c r="A2076" s="26"/>
      <c r="C2076" s="26"/>
      <c r="D2076" s="27"/>
      <c r="E2076" s="27"/>
      <c r="BE2076" s="10" t="str">
        <f t="shared" si="320"/>
        <v/>
      </c>
      <c r="BF2076" s="8" t="str">
        <f t="shared" si="321"/>
        <v/>
      </c>
      <c r="BG2076" s="11" t="str">
        <f t="shared" si="322"/>
        <v/>
      </c>
      <c r="BH2076" s="8" t="str">
        <f t="shared" si="323"/>
        <v/>
      </c>
      <c r="BI2076" s="8" t="str">
        <f t="shared" si="324"/>
        <v/>
      </c>
      <c r="BJ2076" s="9" t="str">
        <f t="shared" si="325"/>
        <v/>
      </c>
      <c r="BK2076" s="9" t="str">
        <f>IF($B2076="","",COUNTIFS($B$5:$B2076,$B2076,$BF$5:$BF2076,$BF2076))</f>
        <v/>
      </c>
      <c r="BL2076" s="9" t="str">
        <f>IF($B2076="","",COUNTIFS($B$5:$B2076,$B2076,$BH$5:$BH2076,$BH2076))</f>
        <v/>
      </c>
      <c r="BM2076" s="9" t="str">
        <f t="shared" si="326"/>
        <v/>
      </c>
      <c r="BN2076" s="9" t="str">
        <f t="shared" si="327"/>
        <v/>
      </c>
      <c r="BO2076" s="9">
        <f t="shared" si="328"/>
        <v>0</v>
      </c>
      <c r="BR2076" s="12" t="str">
        <f t="shared" si="329"/>
        <v/>
      </c>
    </row>
    <row r="2077" spans="1:70" ht="14.25" customHeight="1">
      <c r="A2077" s="26"/>
      <c r="C2077" s="26"/>
      <c r="D2077" s="27"/>
      <c r="E2077" s="27"/>
      <c r="BE2077" s="10" t="str">
        <f t="shared" ref="BE2077:BE2140" si="330">IF($B2077="","",IF(COUNT($H2077,$J2077,$L2077,$N2077,$P2077,$R2077)&gt;0,SUM($H2077,$J2077,$L2077,$N2077,$P2077,$R2077),SUM($T2077,$V2077,$X2077,$Z2077,$AB2077,$AD2077,$AF2077,$AH2077,$AJ2077,$AL2077,$AN2077,$AP2077,$AR2077,$AT2077,$AV2077,$AX2077,$AZ2077)))</f>
        <v/>
      </c>
      <c r="BF2077" s="8" t="str">
        <f t="shared" ref="BF2077:BF2140" si="331">IF($C2077="","",DATE(YEAR($C2077),MONTH($C2077),1))</f>
        <v/>
      </c>
      <c r="BG2077" s="11" t="str">
        <f t="shared" ref="BG2077:BG2140" si="332">IF($BF2077="","",TEXT($BF2077,"mmmm yyyy"))</f>
        <v/>
      </c>
      <c r="BH2077" s="8" t="str">
        <f t="shared" ref="BH2077:BH2140" si="333">IF($C2077="","",$C2077-WEEKDAY($C2077,2)+1)</f>
        <v/>
      </c>
      <c r="BI2077" s="8" t="str">
        <f t="shared" ref="BI2077:BI2140" si="334">IF($BH2077="","",$BH2077+6)</f>
        <v/>
      </c>
      <c r="BJ2077" s="9" t="str">
        <f t="shared" ref="BJ2077:BJ2140" si="335">IF($BH2077="","",TEXT($BH2077,"dd/mm/yyyy")&amp;" - "&amp;TEXT($BI2077,"dd/mm/yyyy"))</f>
        <v/>
      </c>
      <c r="BK2077" s="9" t="str">
        <f>IF($B2077="","",COUNTIFS($B$5:$B2077,$B2077,$BF$5:$BF2077,$BF2077))</f>
        <v/>
      </c>
      <c r="BL2077" s="9" t="str">
        <f>IF($B2077="","",COUNTIFS($B$5:$B2077,$B2077,$BH$5:$BH2077,$BH2077))</f>
        <v/>
      </c>
      <c r="BM2077" s="9" t="str">
        <f t="shared" ref="BM2077:BM2140" si="336">IF($B2077="","",TEXT($BK2077,"00")&amp;"|"&amp;$B2077&amp;"|"&amp;TEXT($BF2077,"yyyymmdd"))</f>
        <v/>
      </c>
      <c r="BN2077" s="9" t="str">
        <f t="shared" ref="BN2077:BN2140" si="337">IF($B2077="","",TEXT($BL2077,"00")&amp;"|"&amp;$B2077&amp;"|"&amp;TEXT($BH2077,"yyyymmdd"))</f>
        <v/>
      </c>
      <c r="BO2077" s="9">
        <f t="shared" ref="BO2077:BO2140" si="338">IF(OR($BB2077="YES",$BB2077="Yes",$BB2077="Y",$BB2077=1),1,0)</f>
        <v>0</v>
      </c>
      <c r="BR2077" s="12" t="str">
        <f t="shared" ref="BR2077:BR2140" si="339">IF($C2077="","",IF($C2077&gt;=DATE(2026,6,1),"QA-2026-06",IF($C2077&gt;=DATE(2026,5,1),"May 2026+",IF($C2077&gt;=DATE(2026,4,1),"April 2026",IF($C2077&gt;=DATE(2026,3,1),"March 2026","Jan-Feb 2026")))))</f>
        <v/>
      </c>
    </row>
    <row r="2078" spans="1:70" ht="14.25" customHeight="1">
      <c r="A2078" s="26"/>
      <c r="C2078" s="26"/>
      <c r="D2078" s="27"/>
      <c r="E2078" s="27"/>
      <c r="BE2078" s="10" t="str">
        <f t="shared" si="330"/>
        <v/>
      </c>
      <c r="BF2078" s="8" t="str">
        <f t="shared" si="331"/>
        <v/>
      </c>
      <c r="BG2078" s="11" t="str">
        <f t="shared" si="332"/>
        <v/>
      </c>
      <c r="BH2078" s="8" t="str">
        <f t="shared" si="333"/>
        <v/>
      </c>
      <c r="BI2078" s="8" t="str">
        <f t="shared" si="334"/>
        <v/>
      </c>
      <c r="BJ2078" s="9" t="str">
        <f t="shared" si="335"/>
        <v/>
      </c>
      <c r="BK2078" s="9" t="str">
        <f>IF($B2078="","",COUNTIFS($B$5:$B2078,$B2078,$BF$5:$BF2078,$BF2078))</f>
        <v/>
      </c>
      <c r="BL2078" s="9" t="str">
        <f>IF($B2078="","",COUNTIFS($B$5:$B2078,$B2078,$BH$5:$BH2078,$BH2078))</f>
        <v/>
      </c>
      <c r="BM2078" s="9" t="str">
        <f t="shared" si="336"/>
        <v/>
      </c>
      <c r="BN2078" s="9" t="str">
        <f t="shared" si="337"/>
        <v/>
      </c>
      <c r="BO2078" s="9">
        <f t="shared" si="338"/>
        <v>0</v>
      </c>
      <c r="BR2078" s="12" t="str">
        <f t="shared" si="339"/>
        <v/>
      </c>
    </row>
    <row r="2079" spans="1:70" ht="14.25" customHeight="1">
      <c r="A2079" s="26"/>
      <c r="C2079" s="26"/>
      <c r="D2079" s="27"/>
      <c r="E2079" s="27"/>
      <c r="BE2079" s="10" t="str">
        <f t="shared" si="330"/>
        <v/>
      </c>
      <c r="BF2079" s="8" t="str">
        <f t="shared" si="331"/>
        <v/>
      </c>
      <c r="BG2079" s="11" t="str">
        <f t="shared" si="332"/>
        <v/>
      </c>
      <c r="BH2079" s="8" t="str">
        <f t="shared" si="333"/>
        <v/>
      </c>
      <c r="BI2079" s="8" t="str">
        <f t="shared" si="334"/>
        <v/>
      </c>
      <c r="BJ2079" s="9" t="str">
        <f t="shared" si="335"/>
        <v/>
      </c>
      <c r="BK2079" s="9" t="str">
        <f>IF($B2079="","",COUNTIFS($B$5:$B2079,$B2079,$BF$5:$BF2079,$BF2079))</f>
        <v/>
      </c>
      <c r="BL2079" s="9" t="str">
        <f>IF($B2079="","",COUNTIFS($B$5:$B2079,$B2079,$BH$5:$BH2079,$BH2079))</f>
        <v/>
      </c>
      <c r="BM2079" s="9" t="str">
        <f t="shared" si="336"/>
        <v/>
      </c>
      <c r="BN2079" s="9" t="str">
        <f t="shared" si="337"/>
        <v/>
      </c>
      <c r="BO2079" s="9">
        <f t="shared" si="338"/>
        <v>0</v>
      </c>
      <c r="BR2079" s="12" t="str">
        <f t="shared" si="339"/>
        <v/>
      </c>
    </row>
    <row r="2080" spans="1:70" ht="14.25" customHeight="1">
      <c r="A2080" s="26"/>
      <c r="C2080" s="26"/>
      <c r="D2080" s="27"/>
      <c r="E2080" s="27"/>
      <c r="BE2080" s="10" t="str">
        <f t="shared" si="330"/>
        <v/>
      </c>
      <c r="BF2080" s="8" t="str">
        <f t="shared" si="331"/>
        <v/>
      </c>
      <c r="BG2080" s="11" t="str">
        <f t="shared" si="332"/>
        <v/>
      </c>
      <c r="BH2080" s="8" t="str">
        <f t="shared" si="333"/>
        <v/>
      </c>
      <c r="BI2080" s="8" t="str">
        <f t="shared" si="334"/>
        <v/>
      </c>
      <c r="BJ2080" s="9" t="str">
        <f t="shared" si="335"/>
        <v/>
      </c>
      <c r="BK2080" s="9" t="str">
        <f>IF($B2080="","",COUNTIFS($B$5:$B2080,$B2080,$BF$5:$BF2080,$BF2080))</f>
        <v/>
      </c>
      <c r="BL2080" s="9" t="str">
        <f>IF($B2080="","",COUNTIFS($B$5:$B2080,$B2080,$BH$5:$BH2080,$BH2080))</f>
        <v/>
      </c>
      <c r="BM2080" s="9" t="str">
        <f t="shared" si="336"/>
        <v/>
      </c>
      <c r="BN2080" s="9" t="str">
        <f t="shared" si="337"/>
        <v/>
      </c>
      <c r="BO2080" s="9">
        <f t="shared" si="338"/>
        <v>0</v>
      </c>
      <c r="BR2080" s="12" t="str">
        <f t="shared" si="339"/>
        <v/>
      </c>
    </row>
    <row r="2081" spans="1:70" ht="14.25" customHeight="1">
      <c r="A2081" s="26"/>
      <c r="C2081" s="26"/>
      <c r="D2081" s="27"/>
      <c r="E2081" s="27"/>
      <c r="BE2081" s="10" t="str">
        <f t="shared" si="330"/>
        <v/>
      </c>
      <c r="BF2081" s="8" t="str">
        <f t="shared" si="331"/>
        <v/>
      </c>
      <c r="BG2081" s="11" t="str">
        <f t="shared" si="332"/>
        <v/>
      </c>
      <c r="BH2081" s="8" t="str">
        <f t="shared" si="333"/>
        <v/>
      </c>
      <c r="BI2081" s="8" t="str">
        <f t="shared" si="334"/>
        <v/>
      </c>
      <c r="BJ2081" s="9" t="str">
        <f t="shared" si="335"/>
        <v/>
      </c>
      <c r="BK2081" s="9" t="str">
        <f>IF($B2081="","",COUNTIFS($B$5:$B2081,$B2081,$BF$5:$BF2081,$BF2081))</f>
        <v/>
      </c>
      <c r="BL2081" s="9" t="str">
        <f>IF($B2081="","",COUNTIFS($B$5:$B2081,$B2081,$BH$5:$BH2081,$BH2081))</f>
        <v/>
      </c>
      <c r="BM2081" s="9" t="str">
        <f t="shared" si="336"/>
        <v/>
      </c>
      <c r="BN2081" s="9" t="str">
        <f t="shared" si="337"/>
        <v/>
      </c>
      <c r="BO2081" s="9">
        <f t="shared" si="338"/>
        <v>0</v>
      </c>
      <c r="BR2081" s="12" t="str">
        <f t="shared" si="339"/>
        <v/>
      </c>
    </row>
    <row r="2082" spans="1:70" ht="14.25" customHeight="1">
      <c r="A2082" s="26"/>
      <c r="C2082" s="26"/>
      <c r="D2082" s="27"/>
      <c r="E2082" s="27"/>
      <c r="BE2082" s="10" t="str">
        <f t="shared" si="330"/>
        <v/>
      </c>
      <c r="BF2082" s="8" t="str">
        <f t="shared" si="331"/>
        <v/>
      </c>
      <c r="BG2082" s="11" t="str">
        <f t="shared" si="332"/>
        <v/>
      </c>
      <c r="BH2082" s="8" t="str">
        <f t="shared" si="333"/>
        <v/>
      </c>
      <c r="BI2082" s="8" t="str">
        <f t="shared" si="334"/>
        <v/>
      </c>
      <c r="BJ2082" s="9" t="str">
        <f t="shared" si="335"/>
        <v/>
      </c>
      <c r="BK2082" s="9" t="str">
        <f>IF($B2082="","",COUNTIFS($B$5:$B2082,$B2082,$BF$5:$BF2082,$BF2082))</f>
        <v/>
      </c>
      <c r="BL2082" s="9" t="str">
        <f>IF($B2082="","",COUNTIFS($B$5:$B2082,$B2082,$BH$5:$BH2082,$BH2082))</f>
        <v/>
      </c>
      <c r="BM2082" s="9" t="str">
        <f t="shared" si="336"/>
        <v/>
      </c>
      <c r="BN2082" s="9" t="str">
        <f t="shared" si="337"/>
        <v/>
      </c>
      <c r="BO2082" s="9">
        <f t="shared" si="338"/>
        <v>0</v>
      </c>
      <c r="BR2082" s="12" t="str">
        <f t="shared" si="339"/>
        <v/>
      </c>
    </row>
    <row r="2083" spans="1:70" ht="14.25" customHeight="1">
      <c r="A2083" s="26"/>
      <c r="C2083" s="26"/>
      <c r="D2083" s="27"/>
      <c r="E2083" s="27"/>
      <c r="BE2083" s="10" t="str">
        <f t="shared" si="330"/>
        <v/>
      </c>
      <c r="BF2083" s="8" t="str">
        <f t="shared" si="331"/>
        <v/>
      </c>
      <c r="BG2083" s="11" t="str">
        <f t="shared" si="332"/>
        <v/>
      </c>
      <c r="BH2083" s="8" t="str">
        <f t="shared" si="333"/>
        <v/>
      </c>
      <c r="BI2083" s="8" t="str">
        <f t="shared" si="334"/>
        <v/>
      </c>
      <c r="BJ2083" s="9" t="str">
        <f t="shared" si="335"/>
        <v/>
      </c>
      <c r="BK2083" s="9" t="str">
        <f>IF($B2083="","",COUNTIFS($B$5:$B2083,$B2083,$BF$5:$BF2083,$BF2083))</f>
        <v/>
      </c>
      <c r="BL2083" s="9" t="str">
        <f>IF($B2083="","",COUNTIFS($B$5:$B2083,$B2083,$BH$5:$BH2083,$BH2083))</f>
        <v/>
      </c>
      <c r="BM2083" s="9" t="str">
        <f t="shared" si="336"/>
        <v/>
      </c>
      <c r="BN2083" s="9" t="str">
        <f t="shared" si="337"/>
        <v/>
      </c>
      <c r="BO2083" s="9">
        <f t="shared" si="338"/>
        <v>0</v>
      </c>
      <c r="BR2083" s="12" t="str">
        <f t="shared" si="339"/>
        <v/>
      </c>
    </row>
    <row r="2084" spans="1:70" ht="14.25" customHeight="1">
      <c r="A2084" s="26"/>
      <c r="C2084" s="26"/>
      <c r="D2084" s="27"/>
      <c r="E2084" s="27"/>
      <c r="BE2084" s="10" t="str">
        <f t="shared" si="330"/>
        <v/>
      </c>
      <c r="BF2084" s="8" t="str">
        <f t="shared" si="331"/>
        <v/>
      </c>
      <c r="BG2084" s="11" t="str">
        <f t="shared" si="332"/>
        <v/>
      </c>
      <c r="BH2084" s="8" t="str">
        <f t="shared" si="333"/>
        <v/>
      </c>
      <c r="BI2084" s="8" t="str">
        <f t="shared" si="334"/>
        <v/>
      </c>
      <c r="BJ2084" s="9" t="str">
        <f t="shared" si="335"/>
        <v/>
      </c>
      <c r="BK2084" s="9" t="str">
        <f>IF($B2084="","",COUNTIFS($B$5:$B2084,$B2084,$BF$5:$BF2084,$BF2084))</f>
        <v/>
      </c>
      <c r="BL2084" s="9" t="str">
        <f>IF($B2084="","",COUNTIFS($B$5:$B2084,$B2084,$BH$5:$BH2084,$BH2084))</f>
        <v/>
      </c>
      <c r="BM2084" s="9" t="str">
        <f t="shared" si="336"/>
        <v/>
      </c>
      <c r="BN2084" s="9" t="str">
        <f t="shared" si="337"/>
        <v/>
      </c>
      <c r="BO2084" s="9">
        <f t="shared" si="338"/>
        <v>0</v>
      </c>
      <c r="BR2084" s="12" t="str">
        <f t="shared" si="339"/>
        <v/>
      </c>
    </row>
    <row r="2085" spans="1:70" ht="14.25" customHeight="1">
      <c r="A2085" s="26"/>
      <c r="C2085" s="26"/>
      <c r="D2085" s="27"/>
      <c r="E2085" s="27"/>
      <c r="BE2085" s="10" t="str">
        <f t="shared" si="330"/>
        <v/>
      </c>
      <c r="BF2085" s="8" t="str">
        <f t="shared" si="331"/>
        <v/>
      </c>
      <c r="BG2085" s="11" t="str">
        <f t="shared" si="332"/>
        <v/>
      </c>
      <c r="BH2085" s="8" t="str">
        <f t="shared" si="333"/>
        <v/>
      </c>
      <c r="BI2085" s="8" t="str">
        <f t="shared" si="334"/>
        <v/>
      </c>
      <c r="BJ2085" s="9" t="str">
        <f t="shared" si="335"/>
        <v/>
      </c>
      <c r="BK2085" s="9" t="str">
        <f>IF($B2085="","",COUNTIFS($B$5:$B2085,$B2085,$BF$5:$BF2085,$BF2085))</f>
        <v/>
      </c>
      <c r="BL2085" s="9" t="str">
        <f>IF($B2085="","",COUNTIFS($B$5:$B2085,$B2085,$BH$5:$BH2085,$BH2085))</f>
        <v/>
      </c>
      <c r="BM2085" s="9" t="str">
        <f t="shared" si="336"/>
        <v/>
      </c>
      <c r="BN2085" s="9" t="str">
        <f t="shared" si="337"/>
        <v/>
      </c>
      <c r="BO2085" s="9">
        <f t="shared" si="338"/>
        <v>0</v>
      </c>
      <c r="BR2085" s="12" t="str">
        <f t="shared" si="339"/>
        <v/>
      </c>
    </row>
    <row r="2086" spans="1:70" ht="14.25" customHeight="1">
      <c r="A2086" s="26"/>
      <c r="C2086" s="26"/>
      <c r="D2086" s="27"/>
      <c r="E2086" s="27"/>
      <c r="BE2086" s="10" t="str">
        <f t="shared" si="330"/>
        <v/>
      </c>
      <c r="BF2086" s="8" t="str">
        <f t="shared" si="331"/>
        <v/>
      </c>
      <c r="BG2086" s="11" t="str">
        <f t="shared" si="332"/>
        <v/>
      </c>
      <c r="BH2086" s="8" t="str">
        <f t="shared" si="333"/>
        <v/>
      </c>
      <c r="BI2086" s="8" t="str">
        <f t="shared" si="334"/>
        <v/>
      </c>
      <c r="BJ2086" s="9" t="str">
        <f t="shared" si="335"/>
        <v/>
      </c>
      <c r="BK2086" s="9" t="str">
        <f>IF($B2086="","",COUNTIFS($B$5:$B2086,$B2086,$BF$5:$BF2086,$BF2086))</f>
        <v/>
      </c>
      <c r="BL2086" s="9" t="str">
        <f>IF($B2086="","",COUNTIFS($B$5:$B2086,$B2086,$BH$5:$BH2086,$BH2086))</f>
        <v/>
      </c>
      <c r="BM2086" s="9" t="str">
        <f t="shared" si="336"/>
        <v/>
      </c>
      <c r="BN2086" s="9" t="str">
        <f t="shared" si="337"/>
        <v/>
      </c>
      <c r="BO2086" s="9">
        <f t="shared" si="338"/>
        <v>0</v>
      </c>
      <c r="BR2086" s="12" t="str">
        <f t="shared" si="339"/>
        <v/>
      </c>
    </row>
    <row r="2087" spans="1:70" ht="14.25" customHeight="1">
      <c r="A2087" s="26"/>
      <c r="C2087" s="26"/>
      <c r="D2087" s="27"/>
      <c r="E2087" s="27"/>
      <c r="BE2087" s="10" t="str">
        <f t="shared" si="330"/>
        <v/>
      </c>
      <c r="BF2087" s="8" t="str">
        <f t="shared" si="331"/>
        <v/>
      </c>
      <c r="BG2087" s="11" t="str">
        <f t="shared" si="332"/>
        <v/>
      </c>
      <c r="BH2087" s="8" t="str">
        <f t="shared" si="333"/>
        <v/>
      </c>
      <c r="BI2087" s="8" t="str">
        <f t="shared" si="334"/>
        <v/>
      </c>
      <c r="BJ2087" s="9" t="str">
        <f t="shared" si="335"/>
        <v/>
      </c>
      <c r="BK2087" s="9" t="str">
        <f>IF($B2087="","",COUNTIFS($B$5:$B2087,$B2087,$BF$5:$BF2087,$BF2087))</f>
        <v/>
      </c>
      <c r="BL2087" s="9" t="str">
        <f>IF($B2087="","",COUNTIFS($B$5:$B2087,$B2087,$BH$5:$BH2087,$BH2087))</f>
        <v/>
      </c>
      <c r="BM2087" s="9" t="str">
        <f t="shared" si="336"/>
        <v/>
      </c>
      <c r="BN2087" s="9" t="str">
        <f t="shared" si="337"/>
        <v/>
      </c>
      <c r="BO2087" s="9">
        <f t="shared" si="338"/>
        <v>0</v>
      </c>
      <c r="BR2087" s="12" t="str">
        <f t="shared" si="339"/>
        <v/>
      </c>
    </row>
    <row r="2088" spans="1:70" ht="14.25" customHeight="1">
      <c r="A2088" s="26"/>
      <c r="C2088" s="26"/>
      <c r="D2088" s="27"/>
      <c r="E2088" s="27"/>
      <c r="BE2088" s="10" t="str">
        <f t="shared" si="330"/>
        <v/>
      </c>
      <c r="BF2088" s="8" t="str">
        <f t="shared" si="331"/>
        <v/>
      </c>
      <c r="BG2088" s="11" t="str">
        <f t="shared" si="332"/>
        <v/>
      </c>
      <c r="BH2088" s="8" t="str">
        <f t="shared" si="333"/>
        <v/>
      </c>
      <c r="BI2088" s="8" t="str">
        <f t="shared" si="334"/>
        <v/>
      </c>
      <c r="BJ2088" s="9" t="str">
        <f t="shared" si="335"/>
        <v/>
      </c>
      <c r="BK2088" s="9" t="str">
        <f>IF($B2088="","",COUNTIFS($B$5:$B2088,$B2088,$BF$5:$BF2088,$BF2088))</f>
        <v/>
      </c>
      <c r="BL2088" s="9" t="str">
        <f>IF($B2088="","",COUNTIFS($B$5:$B2088,$B2088,$BH$5:$BH2088,$BH2088))</f>
        <v/>
      </c>
      <c r="BM2088" s="9" t="str">
        <f t="shared" si="336"/>
        <v/>
      </c>
      <c r="BN2088" s="9" t="str">
        <f t="shared" si="337"/>
        <v/>
      </c>
      <c r="BO2088" s="9">
        <f t="shared" si="338"/>
        <v>0</v>
      </c>
      <c r="BR2088" s="12" t="str">
        <f t="shared" si="339"/>
        <v/>
      </c>
    </row>
    <row r="2089" spans="1:70" ht="14.25" customHeight="1">
      <c r="A2089" s="26"/>
      <c r="C2089" s="26"/>
      <c r="D2089" s="27"/>
      <c r="E2089" s="27"/>
      <c r="BE2089" s="10" t="str">
        <f t="shared" si="330"/>
        <v/>
      </c>
      <c r="BF2089" s="8" t="str">
        <f t="shared" si="331"/>
        <v/>
      </c>
      <c r="BG2089" s="11" t="str">
        <f t="shared" si="332"/>
        <v/>
      </c>
      <c r="BH2089" s="8" t="str">
        <f t="shared" si="333"/>
        <v/>
      </c>
      <c r="BI2089" s="8" t="str">
        <f t="shared" si="334"/>
        <v/>
      </c>
      <c r="BJ2089" s="9" t="str">
        <f t="shared" si="335"/>
        <v/>
      </c>
      <c r="BK2089" s="9" t="str">
        <f>IF($B2089="","",COUNTIFS($B$5:$B2089,$B2089,$BF$5:$BF2089,$BF2089))</f>
        <v/>
      </c>
      <c r="BL2089" s="9" t="str">
        <f>IF($B2089="","",COUNTIFS($B$5:$B2089,$B2089,$BH$5:$BH2089,$BH2089))</f>
        <v/>
      </c>
      <c r="BM2089" s="9" t="str">
        <f t="shared" si="336"/>
        <v/>
      </c>
      <c r="BN2089" s="9" t="str">
        <f t="shared" si="337"/>
        <v/>
      </c>
      <c r="BO2089" s="9">
        <f t="shared" si="338"/>
        <v>0</v>
      </c>
      <c r="BR2089" s="12" t="str">
        <f t="shared" si="339"/>
        <v/>
      </c>
    </row>
    <row r="2090" spans="1:70" ht="14.25" customHeight="1">
      <c r="A2090" s="26"/>
      <c r="C2090" s="26"/>
      <c r="D2090" s="27"/>
      <c r="E2090" s="27"/>
      <c r="BE2090" s="10" t="str">
        <f t="shared" si="330"/>
        <v/>
      </c>
      <c r="BF2090" s="8" t="str">
        <f t="shared" si="331"/>
        <v/>
      </c>
      <c r="BG2090" s="11" t="str">
        <f t="shared" si="332"/>
        <v/>
      </c>
      <c r="BH2090" s="8" t="str">
        <f t="shared" si="333"/>
        <v/>
      </c>
      <c r="BI2090" s="8" t="str">
        <f t="shared" si="334"/>
        <v/>
      </c>
      <c r="BJ2090" s="9" t="str">
        <f t="shared" si="335"/>
        <v/>
      </c>
      <c r="BK2090" s="9" t="str">
        <f>IF($B2090="","",COUNTIFS($B$5:$B2090,$B2090,$BF$5:$BF2090,$BF2090))</f>
        <v/>
      </c>
      <c r="BL2090" s="9" t="str">
        <f>IF($B2090="","",COUNTIFS($B$5:$B2090,$B2090,$BH$5:$BH2090,$BH2090))</f>
        <v/>
      </c>
      <c r="BM2090" s="9" t="str">
        <f t="shared" si="336"/>
        <v/>
      </c>
      <c r="BN2090" s="9" t="str">
        <f t="shared" si="337"/>
        <v/>
      </c>
      <c r="BO2090" s="9">
        <f t="shared" si="338"/>
        <v>0</v>
      </c>
      <c r="BR2090" s="12" t="str">
        <f t="shared" si="339"/>
        <v/>
      </c>
    </row>
    <row r="2091" spans="1:70" ht="14.25" customHeight="1">
      <c r="A2091" s="26"/>
      <c r="C2091" s="26"/>
      <c r="D2091" s="27"/>
      <c r="E2091" s="27"/>
      <c r="BE2091" s="10" t="str">
        <f t="shared" si="330"/>
        <v/>
      </c>
      <c r="BF2091" s="8" t="str">
        <f t="shared" si="331"/>
        <v/>
      </c>
      <c r="BG2091" s="11" t="str">
        <f t="shared" si="332"/>
        <v/>
      </c>
      <c r="BH2091" s="8" t="str">
        <f t="shared" si="333"/>
        <v/>
      </c>
      <c r="BI2091" s="8" t="str">
        <f t="shared" si="334"/>
        <v/>
      </c>
      <c r="BJ2091" s="9" t="str">
        <f t="shared" si="335"/>
        <v/>
      </c>
      <c r="BK2091" s="9" t="str">
        <f>IF($B2091="","",COUNTIFS($B$5:$B2091,$B2091,$BF$5:$BF2091,$BF2091))</f>
        <v/>
      </c>
      <c r="BL2091" s="9" t="str">
        <f>IF($B2091="","",COUNTIFS($B$5:$B2091,$B2091,$BH$5:$BH2091,$BH2091))</f>
        <v/>
      </c>
      <c r="BM2091" s="9" t="str">
        <f t="shared" si="336"/>
        <v/>
      </c>
      <c r="BN2091" s="9" t="str">
        <f t="shared" si="337"/>
        <v/>
      </c>
      <c r="BO2091" s="9">
        <f t="shared" si="338"/>
        <v>0</v>
      </c>
      <c r="BR2091" s="12" t="str">
        <f t="shared" si="339"/>
        <v/>
      </c>
    </row>
    <row r="2092" spans="1:70" ht="14.25" customHeight="1">
      <c r="A2092" s="26"/>
      <c r="C2092" s="26"/>
      <c r="D2092" s="27"/>
      <c r="E2092" s="27"/>
      <c r="BE2092" s="10" t="str">
        <f t="shared" si="330"/>
        <v/>
      </c>
      <c r="BF2092" s="8" t="str">
        <f t="shared" si="331"/>
        <v/>
      </c>
      <c r="BG2092" s="11" t="str">
        <f t="shared" si="332"/>
        <v/>
      </c>
      <c r="BH2092" s="8" t="str">
        <f t="shared" si="333"/>
        <v/>
      </c>
      <c r="BI2092" s="8" t="str">
        <f t="shared" si="334"/>
        <v/>
      </c>
      <c r="BJ2092" s="9" t="str">
        <f t="shared" si="335"/>
        <v/>
      </c>
      <c r="BK2092" s="9" t="str">
        <f>IF($B2092="","",COUNTIFS($B$5:$B2092,$B2092,$BF$5:$BF2092,$BF2092))</f>
        <v/>
      </c>
      <c r="BL2092" s="9" t="str">
        <f>IF($B2092="","",COUNTIFS($B$5:$B2092,$B2092,$BH$5:$BH2092,$BH2092))</f>
        <v/>
      </c>
      <c r="BM2092" s="9" t="str">
        <f t="shared" si="336"/>
        <v/>
      </c>
      <c r="BN2092" s="9" t="str">
        <f t="shared" si="337"/>
        <v/>
      </c>
      <c r="BO2092" s="9">
        <f t="shared" si="338"/>
        <v>0</v>
      </c>
      <c r="BR2092" s="12" t="str">
        <f t="shared" si="339"/>
        <v/>
      </c>
    </row>
    <row r="2093" spans="1:70" ht="14.25" customHeight="1">
      <c r="A2093" s="26"/>
      <c r="C2093" s="26"/>
      <c r="D2093" s="27"/>
      <c r="E2093" s="27"/>
      <c r="BE2093" s="10" t="str">
        <f t="shared" si="330"/>
        <v/>
      </c>
      <c r="BF2093" s="8" t="str">
        <f t="shared" si="331"/>
        <v/>
      </c>
      <c r="BG2093" s="11" t="str">
        <f t="shared" si="332"/>
        <v/>
      </c>
      <c r="BH2093" s="8" t="str">
        <f t="shared" si="333"/>
        <v/>
      </c>
      <c r="BI2093" s="8" t="str">
        <f t="shared" si="334"/>
        <v/>
      </c>
      <c r="BJ2093" s="9" t="str">
        <f t="shared" si="335"/>
        <v/>
      </c>
      <c r="BK2093" s="9" t="str">
        <f>IF($B2093="","",COUNTIFS($B$5:$B2093,$B2093,$BF$5:$BF2093,$BF2093))</f>
        <v/>
      </c>
      <c r="BL2093" s="9" t="str">
        <f>IF($B2093="","",COUNTIFS($B$5:$B2093,$B2093,$BH$5:$BH2093,$BH2093))</f>
        <v/>
      </c>
      <c r="BM2093" s="9" t="str">
        <f t="shared" si="336"/>
        <v/>
      </c>
      <c r="BN2093" s="9" t="str">
        <f t="shared" si="337"/>
        <v/>
      </c>
      <c r="BO2093" s="9">
        <f t="shared" si="338"/>
        <v>0</v>
      </c>
      <c r="BR2093" s="12" t="str">
        <f t="shared" si="339"/>
        <v/>
      </c>
    </row>
    <row r="2094" spans="1:70" ht="14.25" customHeight="1">
      <c r="A2094" s="26"/>
      <c r="C2094" s="26"/>
      <c r="D2094" s="27"/>
      <c r="E2094" s="27"/>
      <c r="BE2094" s="10" t="str">
        <f t="shared" si="330"/>
        <v/>
      </c>
      <c r="BF2094" s="8" t="str">
        <f t="shared" si="331"/>
        <v/>
      </c>
      <c r="BG2094" s="11" t="str">
        <f t="shared" si="332"/>
        <v/>
      </c>
      <c r="BH2094" s="8" t="str">
        <f t="shared" si="333"/>
        <v/>
      </c>
      <c r="BI2094" s="8" t="str">
        <f t="shared" si="334"/>
        <v/>
      </c>
      <c r="BJ2094" s="9" t="str">
        <f t="shared" si="335"/>
        <v/>
      </c>
      <c r="BK2094" s="9" t="str">
        <f>IF($B2094="","",COUNTIFS($B$5:$B2094,$B2094,$BF$5:$BF2094,$BF2094))</f>
        <v/>
      </c>
      <c r="BL2094" s="9" t="str">
        <f>IF($B2094="","",COUNTIFS($B$5:$B2094,$B2094,$BH$5:$BH2094,$BH2094))</f>
        <v/>
      </c>
      <c r="BM2094" s="9" t="str">
        <f t="shared" si="336"/>
        <v/>
      </c>
      <c r="BN2094" s="9" t="str">
        <f t="shared" si="337"/>
        <v/>
      </c>
      <c r="BO2094" s="9">
        <f t="shared" si="338"/>
        <v>0</v>
      </c>
      <c r="BR2094" s="12" t="str">
        <f t="shared" si="339"/>
        <v/>
      </c>
    </row>
    <row r="2095" spans="1:70" ht="14.25" customHeight="1">
      <c r="A2095" s="26"/>
      <c r="C2095" s="26"/>
      <c r="D2095" s="27"/>
      <c r="E2095" s="27"/>
      <c r="BE2095" s="10" t="str">
        <f t="shared" si="330"/>
        <v/>
      </c>
      <c r="BF2095" s="8" t="str">
        <f t="shared" si="331"/>
        <v/>
      </c>
      <c r="BG2095" s="11" t="str">
        <f t="shared" si="332"/>
        <v/>
      </c>
      <c r="BH2095" s="8" t="str">
        <f t="shared" si="333"/>
        <v/>
      </c>
      <c r="BI2095" s="8" t="str">
        <f t="shared" si="334"/>
        <v/>
      </c>
      <c r="BJ2095" s="9" t="str">
        <f t="shared" si="335"/>
        <v/>
      </c>
      <c r="BK2095" s="9" t="str">
        <f>IF($B2095="","",COUNTIFS($B$5:$B2095,$B2095,$BF$5:$BF2095,$BF2095))</f>
        <v/>
      </c>
      <c r="BL2095" s="9" t="str">
        <f>IF($B2095="","",COUNTIFS($B$5:$B2095,$B2095,$BH$5:$BH2095,$BH2095))</f>
        <v/>
      </c>
      <c r="BM2095" s="9" t="str">
        <f t="shared" si="336"/>
        <v/>
      </c>
      <c r="BN2095" s="9" t="str">
        <f t="shared" si="337"/>
        <v/>
      </c>
      <c r="BO2095" s="9">
        <f t="shared" si="338"/>
        <v>0</v>
      </c>
      <c r="BR2095" s="12" t="str">
        <f t="shared" si="339"/>
        <v/>
      </c>
    </row>
    <row r="2096" spans="1:70" ht="14.25" customHeight="1">
      <c r="A2096" s="26"/>
      <c r="C2096" s="26"/>
      <c r="D2096" s="27"/>
      <c r="E2096" s="27"/>
      <c r="BE2096" s="10" t="str">
        <f t="shared" si="330"/>
        <v/>
      </c>
      <c r="BF2096" s="8" t="str">
        <f t="shared" si="331"/>
        <v/>
      </c>
      <c r="BG2096" s="11" t="str">
        <f t="shared" si="332"/>
        <v/>
      </c>
      <c r="BH2096" s="8" t="str">
        <f t="shared" si="333"/>
        <v/>
      </c>
      <c r="BI2096" s="8" t="str">
        <f t="shared" si="334"/>
        <v/>
      </c>
      <c r="BJ2096" s="9" t="str">
        <f t="shared" si="335"/>
        <v/>
      </c>
      <c r="BK2096" s="9" t="str">
        <f>IF($B2096="","",COUNTIFS($B$5:$B2096,$B2096,$BF$5:$BF2096,$BF2096))</f>
        <v/>
      </c>
      <c r="BL2096" s="9" t="str">
        <f>IF($B2096="","",COUNTIFS($B$5:$B2096,$B2096,$BH$5:$BH2096,$BH2096))</f>
        <v/>
      </c>
      <c r="BM2096" s="9" t="str">
        <f t="shared" si="336"/>
        <v/>
      </c>
      <c r="BN2096" s="9" t="str">
        <f t="shared" si="337"/>
        <v/>
      </c>
      <c r="BO2096" s="9">
        <f t="shared" si="338"/>
        <v>0</v>
      </c>
      <c r="BR2096" s="12" t="str">
        <f t="shared" si="339"/>
        <v/>
      </c>
    </row>
    <row r="2097" spans="1:70" ht="14.25" customHeight="1">
      <c r="A2097" s="26"/>
      <c r="C2097" s="26"/>
      <c r="D2097" s="27"/>
      <c r="E2097" s="27"/>
      <c r="BE2097" s="10" t="str">
        <f t="shared" si="330"/>
        <v/>
      </c>
      <c r="BF2097" s="8" t="str">
        <f t="shared" si="331"/>
        <v/>
      </c>
      <c r="BG2097" s="11" t="str">
        <f t="shared" si="332"/>
        <v/>
      </c>
      <c r="BH2097" s="8" t="str">
        <f t="shared" si="333"/>
        <v/>
      </c>
      <c r="BI2097" s="8" t="str">
        <f t="shared" si="334"/>
        <v/>
      </c>
      <c r="BJ2097" s="9" t="str">
        <f t="shared" si="335"/>
        <v/>
      </c>
      <c r="BK2097" s="9" t="str">
        <f>IF($B2097="","",COUNTIFS($B$5:$B2097,$B2097,$BF$5:$BF2097,$BF2097))</f>
        <v/>
      </c>
      <c r="BL2097" s="9" t="str">
        <f>IF($B2097="","",COUNTIFS($B$5:$B2097,$B2097,$BH$5:$BH2097,$BH2097))</f>
        <v/>
      </c>
      <c r="BM2097" s="9" t="str">
        <f t="shared" si="336"/>
        <v/>
      </c>
      <c r="BN2097" s="9" t="str">
        <f t="shared" si="337"/>
        <v/>
      </c>
      <c r="BO2097" s="9">
        <f t="shared" si="338"/>
        <v>0</v>
      </c>
      <c r="BR2097" s="12" t="str">
        <f t="shared" si="339"/>
        <v/>
      </c>
    </row>
    <row r="2098" spans="1:70" ht="14.25" customHeight="1">
      <c r="A2098" s="26"/>
      <c r="C2098" s="26"/>
      <c r="D2098" s="27"/>
      <c r="E2098" s="27"/>
      <c r="BE2098" s="10" t="str">
        <f t="shared" si="330"/>
        <v/>
      </c>
      <c r="BF2098" s="8" t="str">
        <f t="shared" si="331"/>
        <v/>
      </c>
      <c r="BG2098" s="11" t="str">
        <f t="shared" si="332"/>
        <v/>
      </c>
      <c r="BH2098" s="8" t="str">
        <f t="shared" si="333"/>
        <v/>
      </c>
      <c r="BI2098" s="8" t="str">
        <f t="shared" si="334"/>
        <v/>
      </c>
      <c r="BJ2098" s="9" t="str">
        <f t="shared" si="335"/>
        <v/>
      </c>
      <c r="BK2098" s="9" t="str">
        <f>IF($B2098="","",COUNTIFS($B$5:$B2098,$B2098,$BF$5:$BF2098,$BF2098))</f>
        <v/>
      </c>
      <c r="BL2098" s="9" t="str">
        <f>IF($B2098="","",COUNTIFS($B$5:$B2098,$B2098,$BH$5:$BH2098,$BH2098))</f>
        <v/>
      </c>
      <c r="BM2098" s="9" t="str">
        <f t="shared" si="336"/>
        <v/>
      </c>
      <c r="BN2098" s="9" t="str">
        <f t="shared" si="337"/>
        <v/>
      </c>
      <c r="BO2098" s="9">
        <f t="shared" si="338"/>
        <v>0</v>
      </c>
      <c r="BR2098" s="12" t="str">
        <f t="shared" si="339"/>
        <v/>
      </c>
    </row>
    <row r="2099" spans="1:70" ht="14.25" customHeight="1">
      <c r="A2099" s="26"/>
      <c r="C2099" s="26"/>
      <c r="D2099" s="27"/>
      <c r="E2099" s="27"/>
      <c r="BE2099" s="10" t="str">
        <f t="shared" si="330"/>
        <v/>
      </c>
      <c r="BF2099" s="8" t="str">
        <f t="shared" si="331"/>
        <v/>
      </c>
      <c r="BG2099" s="11" t="str">
        <f t="shared" si="332"/>
        <v/>
      </c>
      <c r="BH2099" s="8" t="str">
        <f t="shared" si="333"/>
        <v/>
      </c>
      <c r="BI2099" s="8" t="str">
        <f t="shared" si="334"/>
        <v/>
      </c>
      <c r="BJ2099" s="9" t="str">
        <f t="shared" si="335"/>
        <v/>
      </c>
      <c r="BK2099" s="9" t="str">
        <f>IF($B2099="","",COUNTIFS($B$5:$B2099,$B2099,$BF$5:$BF2099,$BF2099))</f>
        <v/>
      </c>
      <c r="BL2099" s="9" t="str">
        <f>IF($B2099="","",COUNTIFS($B$5:$B2099,$B2099,$BH$5:$BH2099,$BH2099))</f>
        <v/>
      </c>
      <c r="BM2099" s="9" t="str">
        <f t="shared" si="336"/>
        <v/>
      </c>
      <c r="BN2099" s="9" t="str">
        <f t="shared" si="337"/>
        <v/>
      </c>
      <c r="BO2099" s="9">
        <f t="shared" si="338"/>
        <v>0</v>
      </c>
      <c r="BR2099" s="12" t="str">
        <f t="shared" si="339"/>
        <v/>
      </c>
    </row>
    <row r="2100" spans="1:70" ht="14.25" customHeight="1">
      <c r="A2100" s="26"/>
      <c r="C2100" s="26"/>
      <c r="D2100" s="27"/>
      <c r="E2100" s="27"/>
      <c r="BE2100" s="10" t="str">
        <f t="shared" si="330"/>
        <v/>
      </c>
      <c r="BF2100" s="8" t="str">
        <f t="shared" si="331"/>
        <v/>
      </c>
      <c r="BG2100" s="11" t="str">
        <f t="shared" si="332"/>
        <v/>
      </c>
      <c r="BH2100" s="8" t="str">
        <f t="shared" si="333"/>
        <v/>
      </c>
      <c r="BI2100" s="8" t="str">
        <f t="shared" si="334"/>
        <v/>
      </c>
      <c r="BJ2100" s="9" t="str">
        <f t="shared" si="335"/>
        <v/>
      </c>
      <c r="BK2100" s="9" t="str">
        <f>IF($B2100="","",COUNTIFS($B$5:$B2100,$B2100,$BF$5:$BF2100,$BF2100))</f>
        <v/>
      </c>
      <c r="BL2100" s="9" t="str">
        <f>IF($B2100="","",COUNTIFS($B$5:$B2100,$B2100,$BH$5:$BH2100,$BH2100))</f>
        <v/>
      </c>
      <c r="BM2100" s="9" t="str">
        <f t="shared" si="336"/>
        <v/>
      </c>
      <c r="BN2100" s="9" t="str">
        <f t="shared" si="337"/>
        <v/>
      </c>
      <c r="BO2100" s="9">
        <f t="shared" si="338"/>
        <v>0</v>
      </c>
      <c r="BR2100" s="12" t="str">
        <f t="shared" si="339"/>
        <v/>
      </c>
    </row>
    <row r="2101" spans="1:70" ht="14.25" customHeight="1">
      <c r="A2101" s="26"/>
      <c r="C2101" s="26"/>
      <c r="D2101" s="27"/>
      <c r="E2101" s="27"/>
      <c r="BE2101" s="10" t="str">
        <f t="shared" si="330"/>
        <v/>
      </c>
      <c r="BF2101" s="8" t="str">
        <f t="shared" si="331"/>
        <v/>
      </c>
      <c r="BG2101" s="11" t="str">
        <f t="shared" si="332"/>
        <v/>
      </c>
      <c r="BH2101" s="8" t="str">
        <f t="shared" si="333"/>
        <v/>
      </c>
      <c r="BI2101" s="8" t="str">
        <f t="shared" si="334"/>
        <v/>
      </c>
      <c r="BJ2101" s="9" t="str">
        <f t="shared" si="335"/>
        <v/>
      </c>
      <c r="BK2101" s="9" t="str">
        <f>IF($B2101="","",COUNTIFS($B$5:$B2101,$B2101,$BF$5:$BF2101,$BF2101))</f>
        <v/>
      </c>
      <c r="BL2101" s="9" t="str">
        <f>IF($B2101="","",COUNTIFS($B$5:$B2101,$B2101,$BH$5:$BH2101,$BH2101))</f>
        <v/>
      </c>
      <c r="BM2101" s="9" t="str">
        <f t="shared" si="336"/>
        <v/>
      </c>
      <c r="BN2101" s="9" t="str">
        <f t="shared" si="337"/>
        <v/>
      </c>
      <c r="BO2101" s="9">
        <f t="shared" si="338"/>
        <v>0</v>
      </c>
      <c r="BR2101" s="12" t="str">
        <f t="shared" si="339"/>
        <v/>
      </c>
    </row>
    <row r="2102" spans="1:70" ht="14.25" customHeight="1">
      <c r="A2102" s="26"/>
      <c r="C2102" s="26"/>
      <c r="D2102" s="27"/>
      <c r="E2102" s="27"/>
      <c r="BE2102" s="10" t="str">
        <f t="shared" si="330"/>
        <v/>
      </c>
      <c r="BF2102" s="8" t="str">
        <f t="shared" si="331"/>
        <v/>
      </c>
      <c r="BG2102" s="11" t="str">
        <f t="shared" si="332"/>
        <v/>
      </c>
      <c r="BH2102" s="8" t="str">
        <f t="shared" si="333"/>
        <v/>
      </c>
      <c r="BI2102" s="8" t="str">
        <f t="shared" si="334"/>
        <v/>
      </c>
      <c r="BJ2102" s="9" t="str">
        <f t="shared" si="335"/>
        <v/>
      </c>
      <c r="BK2102" s="9" t="str">
        <f>IF($B2102="","",COUNTIFS($B$5:$B2102,$B2102,$BF$5:$BF2102,$BF2102))</f>
        <v/>
      </c>
      <c r="BL2102" s="9" t="str">
        <f>IF($B2102="","",COUNTIFS($B$5:$B2102,$B2102,$BH$5:$BH2102,$BH2102))</f>
        <v/>
      </c>
      <c r="BM2102" s="9" t="str">
        <f t="shared" si="336"/>
        <v/>
      </c>
      <c r="BN2102" s="9" t="str">
        <f t="shared" si="337"/>
        <v/>
      </c>
      <c r="BO2102" s="9">
        <f t="shared" si="338"/>
        <v>0</v>
      </c>
      <c r="BR2102" s="12" t="str">
        <f t="shared" si="339"/>
        <v/>
      </c>
    </row>
    <row r="2103" spans="1:70" ht="14.25" customHeight="1">
      <c r="A2103" s="26"/>
      <c r="C2103" s="26"/>
      <c r="D2103" s="27"/>
      <c r="E2103" s="27"/>
      <c r="BE2103" s="10" t="str">
        <f t="shared" si="330"/>
        <v/>
      </c>
      <c r="BF2103" s="8" t="str">
        <f t="shared" si="331"/>
        <v/>
      </c>
      <c r="BG2103" s="11" t="str">
        <f t="shared" si="332"/>
        <v/>
      </c>
      <c r="BH2103" s="8" t="str">
        <f t="shared" si="333"/>
        <v/>
      </c>
      <c r="BI2103" s="8" t="str">
        <f t="shared" si="334"/>
        <v/>
      </c>
      <c r="BJ2103" s="9" t="str">
        <f t="shared" si="335"/>
        <v/>
      </c>
      <c r="BK2103" s="9" t="str">
        <f>IF($B2103="","",COUNTIFS($B$5:$B2103,$B2103,$BF$5:$BF2103,$BF2103))</f>
        <v/>
      </c>
      <c r="BL2103" s="9" t="str">
        <f>IF($B2103="","",COUNTIFS($B$5:$B2103,$B2103,$BH$5:$BH2103,$BH2103))</f>
        <v/>
      </c>
      <c r="BM2103" s="9" t="str">
        <f t="shared" si="336"/>
        <v/>
      </c>
      <c r="BN2103" s="9" t="str">
        <f t="shared" si="337"/>
        <v/>
      </c>
      <c r="BO2103" s="9">
        <f t="shared" si="338"/>
        <v>0</v>
      </c>
      <c r="BR2103" s="12" t="str">
        <f t="shared" si="339"/>
        <v/>
      </c>
    </row>
    <row r="2104" spans="1:70" ht="14.25" customHeight="1">
      <c r="A2104" s="26"/>
      <c r="C2104" s="26"/>
      <c r="D2104" s="27"/>
      <c r="E2104" s="27"/>
      <c r="BE2104" s="10" t="str">
        <f t="shared" si="330"/>
        <v/>
      </c>
      <c r="BF2104" s="8" t="str">
        <f t="shared" si="331"/>
        <v/>
      </c>
      <c r="BG2104" s="11" t="str">
        <f t="shared" si="332"/>
        <v/>
      </c>
      <c r="BH2104" s="8" t="str">
        <f t="shared" si="333"/>
        <v/>
      </c>
      <c r="BI2104" s="8" t="str">
        <f t="shared" si="334"/>
        <v/>
      </c>
      <c r="BJ2104" s="9" t="str">
        <f t="shared" si="335"/>
        <v/>
      </c>
      <c r="BK2104" s="9" t="str">
        <f>IF($B2104="","",COUNTIFS($B$5:$B2104,$B2104,$BF$5:$BF2104,$BF2104))</f>
        <v/>
      </c>
      <c r="BL2104" s="9" t="str">
        <f>IF($B2104="","",COUNTIFS($B$5:$B2104,$B2104,$BH$5:$BH2104,$BH2104))</f>
        <v/>
      </c>
      <c r="BM2104" s="9" t="str">
        <f t="shared" si="336"/>
        <v/>
      </c>
      <c r="BN2104" s="9" t="str">
        <f t="shared" si="337"/>
        <v/>
      </c>
      <c r="BO2104" s="9">
        <f t="shared" si="338"/>
        <v>0</v>
      </c>
      <c r="BR2104" s="12" t="str">
        <f t="shared" si="339"/>
        <v/>
      </c>
    </row>
    <row r="2105" spans="1:70" ht="14.25" customHeight="1">
      <c r="A2105" s="26"/>
      <c r="C2105" s="26"/>
      <c r="D2105" s="27"/>
      <c r="E2105" s="27"/>
      <c r="BE2105" s="10" t="str">
        <f t="shared" si="330"/>
        <v/>
      </c>
      <c r="BF2105" s="8" t="str">
        <f t="shared" si="331"/>
        <v/>
      </c>
      <c r="BG2105" s="11" t="str">
        <f t="shared" si="332"/>
        <v/>
      </c>
      <c r="BH2105" s="8" t="str">
        <f t="shared" si="333"/>
        <v/>
      </c>
      <c r="BI2105" s="8" t="str">
        <f t="shared" si="334"/>
        <v/>
      </c>
      <c r="BJ2105" s="9" t="str">
        <f t="shared" si="335"/>
        <v/>
      </c>
      <c r="BK2105" s="9" t="str">
        <f>IF($B2105="","",COUNTIFS($B$5:$B2105,$B2105,$BF$5:$BF2105,$BF2105))</f>
        <v/>
      </c>
      <c r="BL2105" s="9" t="str">
        <f>IF($B2105="","",COUNTIFS($B$5:$B2105,$B2105,$BH$5:$BH2105,$BH2105))</f>
        <v/>
      </c>
      <c r="BM2105" s="9" t="str">
        <f t="shared" si="336"/>
        <v/>
      </c>
      <c r="BN2105" s="9" t="str">
        <f t="shared" si="337"/>
        <v/>
      </c>
      <c r="BO2105" s="9">
        <f t="shared" si="338"/>
        <v>0</v>
      </c>
      <c r="BR2105" s="12" t="str">
        <f t="shared" si="339"/>
        <v/>
      </c>
    </row>
    <row r="2106" spans="1:70" ht="14.25" customHeight="1">
      <c r="A2106" s="26"/>
      <c r="C2106" s="26"/>
      <c r="D2106" s="27"/>
      <c r="E2106" s="27"/>
      <c r="BE2106" s="10" t="str">
        <f t="shared" si="330"/>
        <v/>
      </c>
      <c r="BF2106" s="8" t="str">
        <f t="shared" si="331"/>
        <v/>
      </c>
      <c r="BG2106" s="11" t="str">
        <f t="shared" si="332"/>
        <v/>
      </c>
      <c r="BH2106" s="8" t="str">
        <f t="shared" si="333"/>
        <v/>
      </c>
      <c r="BI2106" s="8" t="str">
        <f t="shared" si="334"/>
        <v/>
      </c>
      <c r="BJ2106" s="9" t="str">
        <f t="shared" si="335"/>
        <v/>
      </c>
      <c r="BK2106" s="9" t="str">
        <f>IF($B2106="","",COUNTIFS($B$5:$B2106,$B2106,$BF$5:$BF2106,$BF2106))</f>
        <v/>
      </c>
      <c r="BL2106" s="9" t="str">
        <f>IF($B2106="","",COUNTIFS($B$5:$B2106,$B2106,$BH$5:$BH2106,$BH2106))</f>
        <v/>
      </c>
      <c r="BM2106" s="9" t="str">
        <f t="shared" si="336"/>
        <v/>
      </c>
      <c r="BN2106" s="9" t="str">
        <f t="shared" si="337"/>
        <v/>
      </c>
      <c r="BO2106" s="9">
        <f t="shared" si="338"/>
        <v>0</v>
      </c>
      <c r="BR2106" s="12" t="str">
        <f t="shared" si="339"/>
        <v/>
      </c>
    </row>
    <row r="2107" spans="1:70" ht="14.25" customHeight="1">
      <c r="A2107" s="26"/>
      <c r="C2107" s="26"/>
      <c r="D2107" s="27"/>
      <c r="E2107" s="27"/>
      <c r="BE2107" s="10" t="str">
        <f t="shared" si="330"/>
        <v/>
      </c>
      <c r="BF2107" s="8" t="str">
        <f t="shared" si="331"/>
        <v/>
      </c>
      <c r="BG2107" s="11" t="str">
        <f t="shared" si="332"/>
        <v/>
      </c>
      <c r="BH2107" s="8" t="str">
        <f t="shared" si="333"/>
        <v/>
      </c>
      <c r="BI2107" s="8" t="str">
        <f t="shared" si="334"/>
        <v/>
      </c>
      <c r="BJ2107" s="9" t="str">
        <f t="shared" si="335"/>
        <v/>
      </c>
      <c r="BK2107" s="9" t="str">
        <f>IF($B2107="","",COUNTIFS($B$5:$B2107,$B2107,$BF$5:$BF2107,$BF2107))</f>
        <v/>
      </c>
      <c r="BL2107" s="9" t="str">
        <f>IF($B2107="","",COUNTIFS($B$5:$B2107,$B2107,$BH$5:$BH2107,$BH2107))</f>
        <v/>
      </c>
      <c r="BM2107" s="9" t="str">
        <f t="shared" si="336"/>
        <v/>
      </c>
      <c r="BN2107" s="9" t="str">
        <f t="shared" si="337"/>
        <v/>
      </c>
      <c r="BO2107" s="9">
        <f t="shared" si="338"/>
        <v>0</v>
      </c>
      <c r="BR2107" s="12" t="str">
        <f t="shared" si="339"/>
        <v/>
      </c>
    </row>
    <row r="2108" spans="1:70" ht="14.25" customHeight="1">
      <c r="A2108" s="26"/>
      <c r="C2108" s="26"/>
      <c r="D2108" s="27"/>
      <c r="E2108" s="27"/>
      <c r="BE2108" s="10" t="str">
        <f t="shared" si="330"/>
        <v/>
      </c>
      <c r="BF2108" s="8" t="str">
        <f t="shared" si="331"/>
        <v/>
      </c>
      <c r="BG2108" s="11" t="str">
        <f t="shared" si="332"/>
        <v/>
      </c>
      <c r="BH2108" s="8" t="str">
        <f t="shared" si="333"/>
        <v/>
      </c>
      <c r="BI2108" s="8" t="str">
        <f t="shared" si="334"/>
        <v/>
      </c>
      <c r="BJ2108" s="9" t="str">
        <f t="shared" si="335"/>
        <v/>
      </c>
      <c r="BK2108" s="9" t="str">
        <f>IF($B2108="","",COUNTIFS($B$5:$B2108,$B2108,$BF$5:$BF2108,$BF2108))</f>
        <v/>
      </c>
      <c r="BL2108" s="9" t="str">
        <f>IF($B2108="","",COUNTIFS($B$5:$B2108,$B2108,$BH$5:$BH2108,$BH2108))</f>
        <v/>
      </c>
      <c r="BM2108" s="9" t="str">
        <f t="shared" si="336"/>
        <v/>
      </c>
      <c r="BN2108" s="9" t="str">
        <f t="shared" si="337"/>
        <v/>
      </c>
      <c r="BO2108" s="9">
        <f t="shared" si="338"/>
        <v>0</v>
      </c>
      <c r="BR2108" s="12" t="str">
        <f t="shared" si="339"/>
        <v/>
      </c>
    </row>
    <row r="2109" spans="1:70" ht="14.25" customHeight="1">
      <c r="A2109" s="26"/>
      <c r="C2109" s="26"/>
      <c r="D2109" s="27"/>
      <c r="E2109" s="27"/>
      <c r="BE2109" s="10" t="str">
        <f t="shared" si="330"/>
        <v/>
      </c>
      <c r="BF2109" s="8" t="str">
        <f t="shared" si="331"/>
        <v/>
      </c>
      <c r="BG2109" s="11" t="str">
        <f t="shared" si="332"/>
        <v/>
      </c>
      <c r="BH2109" s="8" t="str">
        <f t="shared" si="333"/>
        <v/>
      </c>
      <c r="BI2109" s="8" t="str">
        <f t="shared" si="334"/>
        <v/>
      </c>
      <c r="BJ2109" s="9" t="str">
        <f t="shared" si="335"/>
        <v/>
      </c>
      <c r="BK2109" s="9" t="str">
        <f>IF($B2109="","",COUNTIFS($B$5:$B2109,$B2109,$BF$5:$BF2109,$BF2109))</f>
        <v/>
      </c>
      <c r="BL2109" s="9" t="str">
        <f>IF($B2109="","",COUNTIFS($B$5:$B2109,$B2109,$BH$5:$BH2109,$BH2109))</f>
        <v/>
      </c>
      <c r="BM2109" s="9" t="str">
        <f t="shared" si="336"/>
        <v/>
      </c>
      <c r="BN2109" s="9" t="str">
        <f t="shared" si="337"/>
        <v/>
      </c>
      <c r="BO2109" s="9">
        <f t="shared" si="338"/>
        <v>0</v>
      </c>
      <c r="BR2109" s="12" t="str">
        <f t="shared" si="339"/>
        <v/>
      </c>
    </row>
    <row r="2110" spans="1:70" ht="14.25" customHeight="1">
      <c r="A2110" s="26"/>
      <c r="C2110" s="26"/>
      <c r="D2110" s="27"/>
      <c r="E2110" s="27"/>
      <c r="BE2110" s="10" t="str">
        <f t="shared" si="330"/>
        <v/>
      </c>
      <c r="BF2110" s="8" t="str">
        <f t="shared" si="331"/>
        <v/>
      </c>
      <c r="BG2110" s="11" t="str">
        <f t="shared" si="332"/>
        <v/>
      </c>
      <c r="BH2110" s="8" t="str">
        <f t="shared" si="333"/>
        <v/>
      </c>
      <c r="BI2110" s="8" t="str">
        <f t="shared" si="334"/>
        <v/>
      </c>
      <c r="BJ2110" s="9" t="str">
        <f t="shared" si="335"/>
        <v/>
      </c>
      <c r="BK2110" s="9" t="str">
        <f>IF($B2110="","",COUNTIFS($B$5:$B2110,$B2110,$BF$5:$BF2110,$BF2110))</f>
        <v/>
      </c>
      <c r="BL2110" s="9" t="str">
        <f>IF($B2110="","",COUNTIFS($B$5:$B2110,$B2110,$BH$5:$BH2110,$BH2110))</f>
        <v/>
      </c>
      <c r="BM2110" s="9" t="str">
        <f t="shared" si="336"/>
        <v/>
      </c>
      <c r="BN2110" s="9" t="str">
        <f t="shared" si="337"/>
        <v/>
      </c>
      <c r="BO2110" s="9">
        <f t="shared" si="338"/>
        <v>0</v>
      </c>
      <c r="BR2110" s="12" t="str">
        <f t="shared" si="339"/>
        <v/>
      </c>
    </row>
    <row r="2111" spans="1:70" ht="14.25" customHeight="1">
      <c r="A2111" s="26"/>
      <c r="C2111" s="26"/>
      <c r="D2111" s="27"/>
      <c r="E2111" s="27"/>
      <c r="BE2111" s="10" t="str">
        <f t="shared" si="330"/>
        <v/>
      </c>
      <c r="BF2111" s="8" t="str">
        <f t="shared" si="331"/>
        <v/>
      </c>
      <c r="BG2111" s="11" t="str">
        <f t="shared" si="332"/>
        <v/>
      </c>
      <c r="BH2111" s="8" t="str">
        <f t="shared" si="333"/>
        <v/>
      </c>
      <c r="BI2111" s="8" t="str">
        <f t="shared" si="334"/>
        <v/>
      </c>
      <c r="BJ2111" s="9" t="str">
        <f t="shared" si="335"/>
        <v/>
      </c>
      <c r="BK2111" s="9" t="str">
        <f>IF($B2111="","",COUNTIFS($B$5:$B2111,$B2111,$BF$5:$BF2111,$BF2111))</f>
        <v/>
      </c>
      <c r="BL2111" s="9" t="str">
        <f>IF($B2111="","",COUNTIFS($B$5:$B2111,$B2111,$BH$5:$BH2111,$BH2111))</f>
        <v/>
      </c>
      <c r="BM2111" s="9" t="str">
        <f t="shared" si="336"/>
        <v/>
      </c>
      <c r="BN2111" s="9" t="str">
        <f t="shared" si="337"/>
        <v/>
      </c>
      <c r="BO2111" s="9">
        <f t="shared" si="338"/>
        <v>0</v>
      </c>
      <c r="BR2111" s="12" t="str">
        <f t="shared" si="339"/>
        <v/>
      </c>
    </row>
    <row r="2112" spans="1:70" ht="14.25" customHeight="1">
      <c r="A2112" s="26"/>
      <c r="C2112" s="26"/>
      <c r="D2112" s="27"/>
      <c r="E2112" s="27"/>
      <c r="BE2112" s="10" t="str">
        <f t="shared" si="330"/>
        <v/>
      </c>
      <c r="BF2112" s="8" t="str">
        <f t="shared" si="331"/>
        <v/>
      </c>
      <c r="BG2112" s="11" t="str">
        <f t="shared" si="332"/>
        <v/>
      </c>
      <c r="BH2112" s="8" t="str">
        <f t="shared" si="333"/>
        <v/>
      </c>
      <c r="BI2112" s="8" t="str">
        <f t="shared" si="334"/>
        <v/>
      </c>
      <c r="BJ2112" s="9" t="str">
        <f t="shared" si="335"/>
        <v/>
      </c>
      <c r="BK2112" s="9" t="str">
        <f>IF($B2112="","",COUNTIFS($B$5:$B2112,$B2112,$BF$5:$BF2112,$BF2112))</f>
        <v/>
      </c>
      <c r="BL2112" s="9" t="str">
        <f>IF($B2112="","",COUNTIFS($B$5:$B2112,$B2112,$BH$5:$BH2112,$BH2112))</f>
        <v/>
      </c>
      <c r="BM2112" s="9" t="str">
        <f t="shared" si="336"/>
        <v/>
      </c>
      <c r="BN2112" s="9" t="str">
        <f t="shared" si="337"/>
        <v/>
      </c>
      <c r="BO2112" s="9">
        <f t="shared" si="338"/>
        <v>0</v>
      </c>
      <c r="BR2112" s="12" t="str">
        <f t="shared" si="339"/>
        <v/>
      </c>
    </row>
    <row r="2113" spans="1:70" ht="14.25" customHeight="1">
      <c r="A2113" s="26"/>
      <c r="C2113" s="26"/>
      <c r="D2113" s="27"/>
      <c r="E2113" s="27"/>
      <c r="BE2113" s="10" t="str">
        <f t="shared" si="330"/>
        <v/>
      </c>
      <c r="BF2113" s="8" t="str">
        <f t="shared" si="331"/>
        <v/>
      </c>
      <c r="BG2113" s="11" t="str">
        <f t="shared" si="332"/>
        <v/>
      </c>
      <c r="BH2113" s="8" t="str">
        <f t="shared" si="333"/>
        <v/>
      </c>
      <c r="BI2113" s="8" t="str">
        <f t="shared" si="334"/>
        <v/>
      </c>
      <c r="BJ2113" s="9" t="str">
        <f t="shared" si="335"/>
        <v/>
      </c>
      <c r="BK2113" s="9" t="str">
        <f>IF($B2113="","",COUNTIFS($B$5:$B2113,$B2113,$BF$5:$BF2113,$BF2113))</f>
        <v/>
      </c>
      <c r="BL2113" s="9" t="str">
        <f>IF($B2113="","",COUNTIFS($B$5:$B2113,$B2113,$BH$5:$BH2113,$BH2113))</f>
        <v/>
      </c>
      <c r="BM2113" s="9" t="str">
        <f t="shared" si="336"/>
        <v/>
      </c>
      <c r="BN2113" s="9" t="str">
        <f t="shared" si="337"/>
        <v/>
      </c>
      <c r="BO2113" s="9">
        <f t="shared" si="338"/>
        <v>0</v>
      </c>
      <c r="BR2113" s="12" t="str">
        <f t="shared" si="339"/>
        <v/>
      </c>
    </row>
    <row r="2114" spans="1:70" ht="14.25" customHeight="1">
      <c r="A2114" s="26"/>
      <c r="C2114" s="26"/>
      <c r="D2114" s="27"/>
      <c r="E2114" s="27"/>
      <c r="BE2114" s="10" t="str">
        <f t="shared" si="330"/>
        <v/>
      </c>
      <c r="BF2114" s="8" t="str">
        <f t="shared" si="331"/>
        <v/>
      </c>
      <c r="BG2114" s="11" t="str">
        <f t="shared" si="332"/>
        <v/>
      </c>
      <c r="BH2114" s="8" t="str">
        <f t="shared" si="333"/>
        <v/>
      </c>
      <c r="BI2114" s="8" t="str">
        <f t="shared" si="334"/>
        <v/>
      </c>
      <c r="BJ2114" s="9" t="str">
        <f t="shared" si="335"/>
        <v/>
      </c>
      <c r="BK2114" s="9" t="str">
        <f>IF($B2114="","",COUNTIFS($B$5:$B2114,$B2114,$BF$5:$BF2114,$BF2114))</f>
        <v/>
      </c>
      <c r="BL2114" s="9" t="str">
        <f>IF($B2114="","",COUNTIFS($B$5:$B2114,$B2114,$BH$5:$BH2114,$BH2114))</f>
        <v/>
      </c>
      <c r="BM2114" s="9" t="str">
        <f t="shared" si="336"/>
        <v/>
      </c>
      <c r="BN2114" s="9" t="str">
        <f t="shared" si="337"/>
        <v/>
      </c>
      <c r="BO2114" s="9">
        <f t="shared" si="338"/>
        <v>0</v>
      </c>
      <c r="BR2114" s="12" t="str">
        <f t="shared" si="339"/>
        <v/>
      </c>
    </row>
    <row r="2115" spans="1:70" ht="14.25" customHeight="1">
      <c r="A2115" s="26"/>
      <c r="C2115" s="26"/>
      <c r="D2115" s="27"/>
      <c r="E2115" s="27"/>
      <c r="BE2115" s="10" t="str">
        <f t="shared" si="330"/>
        <v/>
      </c>
      <c r="BF2115" s="8" t="str">
        <f t="shared" si="331"/>
        <v/>
      </c>
      <c r="BG2115" s="11" t="str">
        <f t="shared" si="332"/>
        <v/>
      </c>
      <c r="BH2115" s="8" t="str">
        <f t="shared" si="333"/>
        <v/>
      </c>
      <c r="BI2115" s="8" t="str">
        <f t="shared" si="334"/>
        <v/>
      </c>
      <c r="BJ2115" s="9" t="str">
        <f t="shared" si="335"/>
        <v/>
      </c>
      <c r="BK2115" s="9" t="str">
        <f>IF($B2115="","",COUNTIFS($B$5:$B2115,$B2115,$BF$5:$BF2115,$BF2115))</f>
        <v/>
      </c>
      <c r="BL2115" s="9" t="str">
        <f>IF($B2115="","",COUNTIFS($B$5:$B2115,$B2115,$BH$5:$BH2115,$BH2115))</f>
        <v/>
      </c>
      <c r="BM2115" s="9" t="str">
        <f t="shared" si="336"/>
        <v/>
      </c>
      <c r="BN2115" s="9" t="str">
        <f t="shared" si="337"/>
        <v/>
      </c>
      <c r="BO2115" s="9">
        <f t="shared" si="338"/>
        <v>0</v>
      </c>
      <c r="BR2115" s="12" t="str">
        <f t="shared" si="339"/>
        <v/>
      </c>
    </row>
    <row r="2116" spans="1:70" ht="14.25" customHeight="1">
      <c r="A2116" s="26"/>
      <c r="C2116" s="26"/>
      <c r="D2116" s="27"/>
      <c r="E2116" s="27"/>
      <c r="BE2116" s="10" t="str">
        <f t="shared" si="330"/>
        <v/>
      </c>
      <c r="BF2116" s="8" t="str">
        <f t="shared" si="331"/>
        <v/>
      </c>
      <c r="BG2116" s="11" t="str">
        <f t="shared" si="332"/>
        <v/>
      </c>
      <c r="BH2116" s="8" t="str">
        <f t="shared" si="333"/>
        <v/>
      </c>
      <c r="BI2116" s="8" t="str">
        <f t="shared" si="334"/>
        <v/>
      </c>
      <c r="BJ2116" s="9" t="str">
        <f t="shared" si="335"/>
        <v/>
      </c>
      <c r="BK2116" s="9" t="str">
        <f>IF($B2116="","",COUNTIFS($B$5:$B2116,$B2116,$BF$5:$BF2116,$BF2116))</f>
        <v/>
      </c>
      <c r="BL2116" s="9" t="str">
        <f>IF($B2116="","",COUNTIFS($B$5:$B2116,$B2116,$BH$5:$BH2116,$BH2116))</f>
        <v/>
      </c>
      <c r="BM2116" s="9" t="str">
        <f t="shared" si="336"/>
        <v/>
      </c>
      <c r="BN2116" s="9" t="str">
        <f t="shared" si="337"/>
        <v/>
      </c>
      <c r="BO2116" s="9">
        <f t="shared" si="338"/>
        <v>0</v>
      </c>
      <c r="BR2116" s="12" t="str">
        <f t="shared" si="339"/>
        <v/>
      </c>
    </row>
    <row r="2117" spans="1:70" ht="14.25" customHeight="1">
      <c r="A2117" s="26"/>
      <c r="C2117" s="26"/>
      <c r="D2117" s="27"/>
      <c r="E2117" s="27"/>
      <c r="BE2117" s="10" t="str">
        <f t="shared" si="330"/>
        <v/>
      </c>
      <c r="BF2117" s="8" t="str">
        <f t="shared" si="331"/>
        <v/>
      </c>
      <c r="BG2117" s="11" t="str">
        <f t="shared" si="332"/>
        <v/>
      </c>
      <c r="BH2117" s="8" t="str">
        <f t="shared" si="333"/>
        <v/>
      </c>
      <c r="BI2117" s="8" t="str">
        <f t="shared" si="334"/>
        <v/>
      </c>
      <c r="BJ2117" s="9" t="str">
        <f t="shared" si="335"/>
        <v/>
      </c>
      <c r="BK2117" s="9" t="str">
        <f>IF($B2117="","",COUNTIFS($B$5:$B2117,$B2117,$BF$5:$BF2117,$BF2117))</f>
        <v/>
      </c>
      <c r="BL2117" s="9" t="str">
        <f>IF($B2117="","",COUNTIFS($B$5:$B2117,$B2117,$BH$5:$BH2117,$BH2117))</f>
        <v/>
      </c>
      <c r="BM2117" s="9" t="str">
        <f t="shared" si="336"/>
        <v/>
      </c>
      <c r="BN2117" s="9" t="str">
        <f t="shared" si="337"/>
        <v/>
      </c>
      <c r="BO2117" s="9">
        <f t="shared" si="338"/>
        <v>0</v>
      </c>
      <c r="BR2117" s="12" t="str">
        <f t="shared" si="339"/>
        <v/>
      </c>
    </row>
    <row r="2118" spans="1:70" ht="14.25" customHeight="1">
      <c r="A2118" s="26"/>
      <c r="C2118" s="26"/>
      <c r="D2118" s="27"/>
      <c r="E2118" s="27"/>
      <c r="BE2118" s="10" t="str">
        <f t="shared" si="330"/>
        <v/>
      </c>
      <c r="BF2118" s="8" t="str">
        <f t="shared" si="331"/>
        <v/>
      </c>
      <c r="BG2118" s="11" t="str">
        <f t="shared" si="332"/>
        <v/>
      </c>
      <c r="BH2118" s="8" t="str">
        <f t="shared" si="333"/>
        <v/>
      </c>
      <c r="BI2118" s="8" t="str">
        <f t="shared" si="334"/>
        <v/>
      </c>
      <c r="BJ2118" s="9" t="str">
        <f t="shared" si="335"/>
        <v/>
      </c>
      <c r="BK2118" s="9" t="str">
        <f>IF($B2118="","",COUNTIFS($B$5:$B2118,$B2118,$BF$5:$BF2118,$BF2118))</f>
        <v/>
      </c>
      <c r="BL2118" s="9" t="str">
        <f>IF($B2118="","",COUNTIFS($B$5:$B2118,$B2118,$BH$5:$BH2118,$BH2118))</f>
        <v/>
      </c>
      <c r="BM2118" s="9" t="str">
        <f t="shared" si="336"/>
        <v/>
      </c>
      <c r="BN2118" s="9" t="str">
        <f t="shared" si="337"/>
        <v/>
      </c>
      <c r="BO2118" s="9">
        <f t="shared" si="338"/>
        <v>0</v>
      </c>
      <c r="BR2118" s="12" t="str">
        <f t="shared" si="339"/>
        <v/>
      </c>
    </row>
    <row r="2119" spans="1:70" ht="14.25" customHeight="1">
      <c r="A2119" s="26"/>
      <c r="C2119" s="26"/>
      <c r="D2119" s="27"/>
      <c r="E2119" s="27"/>
      <c r="BE2119" s="10" t="str">
        <f t="shared" si="330"/>
        <v/>
      </c>
      <c r="BF2119" s="8" t="str">
        <f t="shared" si="331"/>
        <v/>
      </c>
      <c r="BG2119" s="11" t="str">
        <f t="shared" si="332"/>
        <v/>
      </c>
      <c r="BH2119" s="8" t="str">
        <f t="shared" si="333"/>
        <v/>
      </c>
      <c r="BI2119" s="8" t="str">
        <f t="shared" si="334"/>
        <v/>
      </c>
      <c r="BJ2119" s="9" t="str">
        <f t="shared" si="335"/>
        <v/>
      </c>
      <c r="BK2119" s="9" t="str">
        <f>IF($B2119="","",COUNTIFS($B$5:$B2119,$B2119,$BF$5:$BF2119,$BF2119))</f>
        <v/>
      </c>
      <c r="BL2119" s="9" t="str">
        <f>IF($B2119="","",COUNTIFS($B$5:$B2119,$B2119,$BH$5:$BH2119,$BH2119))</f>
        <v/>
      </c>
      <c r="BM2119" s="9" t="str">
        <f t="shared" si="336"/>
        <v/>
      </c>
      <c r="BN2119" s="9" t="str">
        <f t="shared" si="337"/>
        <v/>
      </c>
      <c r="BO2119" s="9">
        <f t="shared" si="338"/>
        <v>0</v>
      </c>
      <c r="BR2119" s="12" t="str">
        <f t="shared" si="339"/>
        <v/>
      </c>
    </row>
    <row r="2120" spans="1:70" ht="14.25" customHeight="1">
      <c r="A2120" s="26"/>
      <c r="C2120" s="26"/>
      <c r="D2120" s="27"/>
      <c r="E2120" s="27"/>
      <c r="BE2120" s="10" t="str">
        <f t="shared" si="330"/>
        <v/>
      </c>
      <c r="BF2120" s="8" t="str">
        <f t="shared" si="331"/>
        <v/>
      </c>
      <c r="BG2120" s="11" t="str">
        <f t="shared" si="332"/>
        <v/>
      </c>
      <c r="BH2120" s="8" t="str">
        <f t="shared" si="333"/>
        <v/>
      </c>
      <c r="BI2120" s="8" t="str">
        <f t="shared" si="334"/>
        <v/>
      </c>
      <c r="BJ2120" s="9" t="str">
        <f t="shared" si="335"/>
        <v/>
      </c>
      <c r="BK2120" s="9" t="str">
        <f>IF($B2120="","",COUNTIFS($B$5:$B2120,$B2120,$BF$5:$BF2120,$BF2120))</f>
        <v/>
      </c>
      <c r="BL2120" s="9" t="str">
        <f>IF($B2120="","",COUNTIFS($B$5:$B2120,$B2120,$BH$5:$BH2120,$BH2120))</f>
        <v/>
      </c>
      <c r="BM2120" s="9" t="str">
        <f t="shared" si="336"/>
        <v/>
      </c>
      <c r="BN2120" s="9" t="str">
        <f t="shared" si="337"/>
        <v/>
      </c>
      <c r="BO2120" s="9">
        <f t="shared" si="338"/>
        <v>0</v>
      </c>
      <c r="BR2120" s="12" t="str">
        <f t="shared" si="339"/>
        <v/>
      </c>
    </row>
    <row r="2121" spans="1:70" ht="14.25" customHeight="1">
      <c r="A2121" s="26"/>
      <c r="C2121" s="26"/>
      <c r="D2121" s="27"/>
      <c r="E2121" s="27"/>
      <c r="BE2121" s="10" t="str">
        <f t="shared" si="330"/>
        <v/>
      </c>
      <c r="BF2121" s="8" t="str">
        <f t="shared" si="331"/>
        <v/>
      </c>
      <c r="BG2121" s="11" t="str">
        <f t="shared" si="332"/>
        <v/>
      </c>
      <c r="BH2121" s="8" t="str">
        <f t="shared" si="333"/>
        <v/>
      </c>
      <c r="BI2121" s="8" t="str">
        <f t="shared" si="334"/>
        <v/>
      </c>
      <c r="BJ2121" s="9" t="str">
        <f t="shared" si="335"/>
        <v/>
      </c>
      <c r="BK2121" s="9" t="str">
        <f>IF($B2121="","",COUNTIFS($B$5:$B2121,$B2121,$BF$5:$BF2121,$BF2121))</f>
        <v/>
      </c>
      <c r="BL2121" s="9" t="str">
        <f>IF($B2121="","",COUNTIFS($B$5:$B2121,$B2121,$BH$5:$BH2121,$BH2121))</f>
        <v/>
      </c>
      <c r="BM2121" s="9" t="str">
        <f t="shared" si="336"/>
        <v/>
      </c>
      <c r="BN2121" s="9" t="str">
        <f t="shared" si="337"/>
        <v/>
      </c>
      <c r="BO2121" s="9">
        <f t="shared" si="338"/>
        <v>0</v>
      </c>
      <c r="BR2121" s="12" t="str">
        <f t="shared" si="339"/>
        <v/>
      </c>
    </row>
    <row r="2122" spans="1:70" ht="14.25" customHeight="1">
      <c r="A2122" s="26"/>
      <c r="C2122" s="26"/>
      <c r="D2122" s="27"/>
      <c r="E2122" s="27"/>
      <c r="BE2122" s="10" t="str">
        <f t="shared" si="330"/>
        <v/>
      </c>
      <c r="BF2122" s="8" t="str">
        <f t="shared" si="331"/>
        <v/>
      </c>
      <c r="BG2122" s="11" t="str">
        <f t="shared" si="332"/>
        <v/>
      </c>
      <c r="BH2122" s="8" t="str">
        <f t="shared" si="333"/>
        <v/>
      </c>
      <c r="BI2122" s="8" t="str">
        <f t="shared" si="334"/>
        <v/>
      </c>
      <c r="BJ2122" s="9" t="str">
        <f t="shared" si="335"/>
        <v/>
      </c>
      <c r="BK2122" s="9" t="str">
        <f>IF($B2122="","",COUNTIFS($B$5:$B2122,$B2122,$BF$5:$BF2122,$BF2122))</f>
        <v/>
      </c>
      <c r="BL2122" s="9" t="str">
        <f>IF($B2122="","",COUNTIFS($B$5:$B2122,$B2122,$BH$5:$BH2122,$BH2122))</f>
        <v/>
      </c>
      <c r="BM2122" s="9" t="str">
        <f t="shared" si="336"/>
        <v/>
      </c>
      <c r="BN2122" s="9" t="str">
        <f t="shared" si="337"/>
        <v/>
      </c>
      <c r="BO2122" s="9">
        <f t="shared" si="338"/>
        <v>0</v>
      </c>
      <c r="BR2122" s="12" t="str">
        <f t="shared" si="339"/>
        <v/>
      </c>
    </row>
    <row r="2123" spans="1:70" ht="14.25" customHeight="1">
      <c r="A2123" s="26"/>
      <c r="C2123" s="26"/>
      <c r="D2123" s="27"/>
      <c r="E2123" s="27"/>
      <c r="BE2123" s="10" t="str">
        <f t="shared" si="330"/>
        <v/>
      </c>
      <c r="BF2123" s="8" t="str">
        <f t="shared" si="331"/>
        <v/>
      </c>
      <c r="BG2123" s="11" t="str">
        <f t="shared" si="332"/>
        <v/>
      </c>
      <c r="BH2123" s="8" t="str">
        <f t="shared" si="333"/>
        <v/>
      </c>
      <c r="BI2123" s="8" t="str">
        <f t="shared" si="334"/>
        <v/>
      </c>
      <c r="BJ2123" s="9" t="str">
        <f t="shared" si="335"/>
        <v/>
      </c>
      <c r="BK2123" s="9" t="str">
        <f>IF($B2123="","",COUNTIFS($B$5:$B2123,$B2123,$BF$5:$BF2123,$BF2123))</f>
        <v/>
      </c>
      <c r="BL2123" s="9" t="str">
        <f>IF($B2123="","",COUNTIFS($B$5:$B2123,$B2123,$BH$5:$BH2123,$BH2123))</f>
        <v/>
      </c>
      <c r="BM2123" s="9" t="str">
        <f t="shared" si="336"/>
        <v/>
      </c>
      <c r="BN2123" s="9" t="str">
        <f t="shared" si="337"/>
        <v/>
      </c>
      <c r="BO2123" s="9">
        <f t="shared" si="338"/>
        <v>0</v>
      </c>
      <c r="BR2123" s="12" t="str">
        <f t="shared" si="339"/>
        <v/>
      </c>
    </row>
    <row r="2124" spans="1:70" ht="14.25" customHeight="1">
      <c r="A2124" s="26"/>
      <c r="C2124" s="26"/>
      <c r="D2124" s="27"/>
      <c r="E2124" s="27"/>
      <c r="BE2124" s="10" t="str">
        <f t="shared" si="330"/>
        <v/>
      </c>
      <c r="BF2124" s="8" t="str">
        <f t="shared" si="331"/>
        <v/>
      </c>
      <c r="BG2124" s="11" t="str">
        <f t="shared" si="332"/>
        <v/>
      </c>
      <c r="BH2124" s="8" t="str">
        <f t="shared" si="333"/>
        <v/>
      </c>
      <c r="BI2124" s="8" t="str">
        <f t="shared" si="334"/>
        <v/>
      </c>
      <c r="BJ2124" s="9" t="str">
        <f t="shared" si="335"/>
        <v/>
      </c>
      <c r="BK2124" s="9" t="str">
        <f>IF($B2124="","",COUNTIFS($B$5:$B2124,$B2124,$BF$5:$BF2124,$BF2124))</f>
        <v/>
      </c>
      <c r="BL2124" s="9" t="str">
        <f>IF($B2124="","",COUNTIFS($B$5:$B2124,$B2124,$BH$5:$BH2124,$BH2124))</f>
        <v/>
      </c>
      <c r="BM2124" s="9" t="str">
        <f t="shared" si="336"/>
        <v/>
      </c>
      <c r="BN2124" s="9" t="str">
        <f t="shared" si="337"/>
        <v/>
      </c>
      <c r="BO2124" s="9">
        <f t="shared" si="338"/>
        <v>0</v>
      </c>
      <c r="BR2124" s="12" t="str">
        <f t="shared" si="339"/>
        <v/>
      </c>
    </row>
    <row r="2125" spans="1:70" ht="14.25" customHeight="1">
      <c r="A2125" s="26"/>
      <c r="C2125" s="26"/>
      <c r="D2125" s="27"/>
      <c r="E2125" s="27"/>
      <c r="BE2125" s="10" t="str">
        <f t="shared" si="330"/>
        <v/>
      </c>
      <c r="BF2125" s="8" t="str">
        <f t="shared" si="331"/>
        <v/>
      </c>
      <c r="BG2125" s="11" t="str">
        <f t="shared" si="332"/>
        <v/>
      </c>
      <c r="BH2125" s="8" t="str">
        <f t="shared" si="333"/>
        <v/>
      </c>
      <c r="BI2125" s="8" t="str">
        <f t="shared" si="334"/>
        <v/>
      </c>
      <c r="BJ2125" s="9" t="str">
        <f t="shared" si="335"/>
        <v/>
      </c>
      <c r="BK2125" s="9" t="str">
        <f>IF($B2125="","",COUNTIFS($B$5:$B2125,$B2125,$BF$5:$BF2125,$BF2125))</f>
        <v/>
      </c>
      <c r="BL2125" s="9" t="str">
        <f>IF($B2125="","",COUNTIFS($B$5:$B2125,$B2125,$BH$5:$BH2125,$BH2125))</f>
        <v/>
      </c>
      <c r="BM2125" s="9" t="str">
        <f t="shared" si="336"/>
        <v/>
      </c>
      <c r="BN2125" s="9" t="str">
        <f t="shared" si="337"/>
        <v/>
      </c>
      <c r="BO2125" s="9">
        <f t="shared" si="338"/>
        <v>0</v>
      </c>
      <c r="BR2125" s="12" t="str">
        <f t="shared" si="339"/>
        <v/>
      </c>
    </row>
    <row r="2126" spans="1:70" ht="14.25" customHeight="1">
      <c r="A2126" s="26"/>
      <c r="C2126" s="26"/>
      <c r="D2126" s="27"/>
      <c r="E2126" s="27"/>
      <c r="BE2126" s="10" t="str">
        <f t="shared" si="330"/>
        <v/>
      </c>
      <c r="BF2126" s="8" t="str">
        <f t="shared" si="331"/>
        <v/>
      </c>
      <c r="BG2126" s="11" t="str">
        <f t="shared" si="332"/>
        <v/>
      </c>
      <c r="BH2126" s="8" t="str">
        <f t="shared" si="333"/>
        <v/>
      </c>
      <c r="BI2126" s="8" t="str">
        <f t="shared" si="334"/>
        <v/>
      </c>
      <c r="BJ2126" s="9" t="str">
        <f t="shared" si="335"/>
        <v/>
      </c>
      <c r="BK2126" s="9" t="str">
        <f>IF($B2126="","",COUNTIFS($B$5:$B2126,$B2126,$BF$5:$BF2126,$BF2126))</f>
        <v/>
      </c>
      <c r="BL2126" s="9" t="str">
        <f>IF($B2126="","",COUNTIFS($B$5:$B2126,$B2126,$BH$5:$BH2126,$BH2126))</f>
        <v/>
      </c>
      <c r="BM2126" s="9" t="str">
        <f t="shared" si="336"/>
        <v/>
      </c>
      <c r="BN2126" s="9" t="str">
        <f t="shared" si="337"/>
        <v/>
      </c>
      <c r="BO2126" s="9">
        <f t="shared" si="338"/>
        <v>0</v>
      </c>
      <c r="BR2126" s="12" t="str">
        <f t="shared" si="339"/>
        <v/>
      </c>
    </row>
    <row r="2127" spans="1:70" ht="14.25" customHeight="1">
      <c r="A2127" s="26"/>
      <c r="C2127" s="26"/>
      <c r="D2127" s="27"/>
      <c r="E2127" s="27"/>
      <c r="BE2127" s="10" t="str">
        <f t="shared" si="330"/>
        <v/>
      </c>
      <c r="BF2127" s="8" t="str">
        <f t="shared" si="331"/>
        <v/>
      </c>
      <c r="BG2127" s="11" t="str">
        <f t="shared" si="332"/>
        <v/>
      </c>
      <c r="BH2127" s="8" t="str">
        <f t="shared" si="333"/>
        <v/>
      </c>
      <c r="BI2127" s="8" t="str">
        <f t="shared" si="334"/>
        <v/>
      </c>
      <c r="BJ2127" s="9" t="str">
        <f t="shared" si="335"/>
        <v/>
      </c>
      <c r="BK2127" s="9" t="str">
        <f>IF($B2127="","",COUNTIFS($B$5:$B2127,$B2127,$BF$5:$BF2127,$BF2127))</f>
        <v/>
      </c>
      <c r="BL2127" s="9" t="str">
        <f>IF($B2127="","",COUNTIFS($B$5:$B2127,$B2127,$BH$5:$BH2127,$BH2127))</f>
        <v/>
      </c>
      <c r="BM2127" s="9" t="str">
        <f t="shared" si="336"/>
        <v/>
      </c>
      <c r="BN2127" s="9" t="str">
        <f t="shared" si="337"/>
        <v/>
      </c>
      <c r="BO2127" s="9">
        <f t="shared" si="338"/>
        <v>0</v>
      </c>
      <c r="BR2127" s="12" t="str">
        <f t="shared" si="339"/>
        <v/>
      </c>
    </row>
    <row r="2128" spans="1:70" ht="14.25" customHeight="1">
      <c r="A2128" s="26"/>
      <c r="C2128" s="26"/>
      <c r="D2128" s="27"/>
      <c r="E2128" s="27"/>
      <c r="BE2128" s="10" t="str">
        <f t="shared" si="330"/>
        <v/>
      </c>
      <c r="BF2128" s="8" t="str">
        <f t="shared" si="331"/>
        <v/>
      </c>
      <c r="BG2128" s="11" t="str">
        <f t="shared" si="332"/>
        <v/>
      </c>
      <c r="BH2128" s="8" t="str">
        <f t="shared" si="333"/>
        <v/>
      </c>
      <c r="BI2128" s="8" t="str">
        <f t="shared" si="334"/>
        <v/>
      </c>
      <c r="BJ2128" s="9" t="str">
        <f t="shared" si="335"/>
        <v/>
      </c>
      <c r="BK2128" s="9" t="str">
        <f>IF($B2128="","",COUNTIFS($B$5:$B2128,$B2128,$BF$5:$BF2128,$BF2128))</f>
        <v/>
      </c>
      <c r="BL2128" s="9" t="str">
        <f>IF($B2128="","",COUNTIFS($B$5:$B2128,$B2128,$BH$5:$BH2128,$BH2128))</f>
        <v/>
      </c>
      <c r="BM2128" s="9" t="str">
        <f t="shared" si="336"/>
        <v/>
      </c>
      <c r="BN2128" s="9" t="str">
        <f t="shared" si="337"/>
        <v/>
      </c>
      <c r="BO2128" s="9">
        <f t="shared" si="338"/>
        <v>0</v>
      </c>
      <c r="BR2128" s="12" t="str">
        <f t="shared" si="339"/>
        <v/>
      </c>
    </row>
    <row r="2129" spans="1:70" ht="14.25" customHeight="1">
      <c r="A2129" s="26"/>
      <c r="C2129" s="26"/>
      <c r="D2129" s="27"/>
      <c r="E2129" s="27"/>
      <c r="BE2129" s="10" t="str">
        <f t="shared" si="330"/>
        <v/>
      </c>
      <c r="BF2129" s="8" t="str">
        <f t="shared" si="331"/>
        <v/>
      </c>
      <c r="BG2129" s="11" t="str">
        <f t="shared" si="332"/>
        <v/>
      </c>
      <c r="BH2129" s="8" t="str">
        <f t="shared" si="333"/>
        <v/>
      </c>
      <c r="BI2129" s="8" t="str">
        <f t="shared" si="334"/>
        <v/>
      </c>
      <c r="BJ2129" s="9" t="str">
        <f t="shared" si="335"/>
        <v/>
      </c>
      <c r="BK2129" s="9" t="str">
        <f>IF($B2129="","",COUNTIFS($B$5:$B2129,$B2129,$BF$5:$BF2129,$BF2129))</f>
        <v/>
      </c>
      <c r="BL2129" s="9" t="str">
        <f>IF($B2129="","",COUNTIFS($B$5:$B2129,$B2129,$BH$5:$BH2129,$BH2129))</f>
        <v/>
      </c>
      <c r="BM2129" s="9" t="str">
        <f t="shared" si="336"/>
        <v/>
      </c>
      <c r="BN2129" s="9" t="str">
        <f t="shared" si="337"/>
        <v/>
      </c>
      <c r="BO2129" s="9">
        <f t="shared" si="338"/>
        <v>0</v>
      </c>
      <c r="BR2129" s="12" t="str">
        <f t="shared" si="339"/>
        <v/>
      </c>
    </row>
    <row r="2130" spans="1:70" ht="14.25" customHeight="1">
      <c r="A2130" s="26"/>
      <c r="C2130" s="26"/>
      <c r="D2130" s="27"/>
      <c r="E2130" s="27"/>
      <c r="BE2130" s="10" t="str">
        <f t="shared" si="330"/>
        <v/>
      </c>
      <c r="BF2130" s="8" t="str">
        <f t="shared" si="331"/>
        <v/>
      </c>
      <c r="BG2130" s="11" t="str">
        <f t="shared" si="332"/>
        <v/>
      </c>
      <c r="BH2130" s="8" t="str">
        <f t="shared" si="333"/>
        <v/>
      </c>
      <c r="BI2130" s="8" t="str">
        <f t="shared" si="334"/>
        <v/>
      </c>
      <c r="BJ2130" s="9" t="str">
        <f t="shared" si="335"/>
        <v/>
      </c>
      <c r="BK2130" s="9" t="str">
        <f>IF($B2130="","",COUNTIFS($B$5:$B2130,$B2130,$BF$5:$BF2130,$BF2130))</f>
        <v/>
      </c>
      <c r="BL2130" s="9" t="str">
        <f>IF($B2130="","",COUNTIFS($B$5:$B2130,$B2130,$BH$5:$BH2130,$BH2130))</f>
        <v/>
      </c>
      <c r="BM2130" s="9" t="str">
        <f t="shared" si="336"/>
        <v/>
      </c>
      <c r="BN2130" s="9" t="str">
        <f t="shared" si="337"/>
        <v/>
      </c>
      <c r="BO2130" s="9">
        <f t="shared" si="338"/>
        <v>0</v>
      </c>
      <c r="BR2130" s="12" t="str">
        <f t="shared" si="339"/>
        <v/>
      </c>
    </row>
    <row r="2131" spans="1:70" ht="14.25" customHeight="1">
      <c r="A2131" s="26"/>
      <c r="C2131" s="26"/>
      <c r="D2131" s="27"/>
      <c r="E2131" s="27"/>
      <c r="BE2131" s="10" t="str">
        <f t="shared" si="330"/>
        <v/>
      </c>
      <c r="BF2131" s="8" t="str">
        <f t="shared" si="331"/>
        <v/>
      </c>
      <c r="BG2131" s="11" t="str">
        <f t="shared" si="332"/>
        <v/>
      </c>
      <c r="BH2131" s="8" t="str">
        <f t="shared" si="333"/>
        <v/>
      </c>
      <c r="BI2131" s="8" t="str">
        <f t="shared" si="334"/>
        <v/>
      </c>
      <c r="BJ2131" s="9" t="str">
        <f t="shared" si="335"/>
        <v/>
      </c>
      <c r="BK2131" s="9" t="str">
        <f>IF($B2131="","",COUNTIFS($B$5:$B2131,$B2131,$BF$5:$BF2131,$BF2131))</f>
        <v/>
      </c>
      <c r="BL2131" s="9" t="str">
        <f>IF($B2131="","",COUNTIFS($B$5:$B2131,$B2131,$BH$5:$BH2131,$BH2131))</f>
        <v/>
      </c>
      <c r="BM2131" s="9" t="str">
        <f t="shared" si="336"/>
        <v/>
      </c>
      <c r="BN2131" s="9" t="str">
        <f t="shared" si="337"/>
        <v/>
      </c>
      <c r="BO2131" s="9">
        <f t="shared" si="338"/>
        <v>0</v>
      </c>
      <c r="BR2131" s="12" t="str">
        <f t="shared" si="339"/>
        <v/>
      </c>
    </row>
    <row r="2132" spans="1:70" ht="14.25" customHeight="1">
      <c r="A2132" s="26"/>
      <c r="C2132" s="26"/>
      <c r="D2132" s="27"/>
      <c r="E2132" s="27"/>
      <c r="BE2132" s="10" t="str">
        <f t="shared" si="330"/>
        <v/>
      </c>
      <c r="BF2132" s="8" t="str">
        <f t="shared" si="331"/>
        <v/>
      </c>
      <c r="BG2132" s="11" t="str">
        <f t="shared" si="332"/>
        <v/>
      </c>
      <c r="BH2132" s="8" t="str">
        <f t="shared" si="333"/>
        <v/>
      </c>
      <c r="BI2132" s="8" t="str">
        <f t="shared" si="334"/>
        <v/>
      </c>
      <c r="BJ2132" s="9" t="str">
        <f t="shared" si="335"/>
        <v/>
      </c>
      <c r="BK2132" s="9" t="str">
        <f>IF($B2132="","",COUNTIFS($B$5:$B2132,$B2132,$BF$5:$BF2132,$BF2132))</f>
        <v/>
      </c>
      <c r="BL2132" s="9" t="str">
        <f>IF($B2132="","",COUNTIFS($B$5:$B2132,$B2132,$BH$5:$BH2132,$BH2132))</f>
        <v/>
      </c>
      <c r="BM2132" s="9" t="str">
        <f t="shared" si="336"/>
        <v/>
      </c>
      <c r="BN2132" s="9" t="str">
        <f t="shared" si="337"/>
        <v/>
      </c>
      <c r="BO2132" s="9">
        <f t="shared" si="338"/>
        <v>0</v>
      </c>
      <c r="BR2132" s="12" t="str">
        <f t="shared" si="339"/>
        <v/>
      </c>
    </row>
    <row r="2133" spans="1:70" ht="14.25" customHeight="1">
      <c r="A2133" s="26"/>
      <c r="C2133" s="26"/>
      <c r="D2133" s="27"/>
      <c r="E2133" s="27"/>
      <c r="BE2133" s="10" t="str">
        <f t="shared" si="330"/>
        <v/>
      </c>
      <c r="BF2133" s="8" t="str">
        <f t="shared" si="331"/>
        <v/>
      </c>
      <c r="BG2133" s="11" t="str">
        <f t="shared" si="332"/>
        <v/>
      </c>
      <c r="BH2133" s="8" t="str">
        <f t="shared" si="333"/>
        <v/>
      </c>
      <c r="BI2133" s="8" t="str">
        <f t="shared" si="334"/>
        <v/>
      </c>
      <c r="BJ2133" s="9" t="str">
        <f t="shared" si="335"/>
        <v/>
      </c>
      <c r="BK2133" s="9" t="str">
        <f>IF($B2133="","",COUNTIFS($B$5:$B2133,$B2133,$BF$5:$BF2133,$BF2133))</f>
        <v/>
      </c>
      <c r="BL2133" s="9" t="str">
        <f>IF($B2133="","",COUNTIFS($B$5:$B2133,$B2133,$BH$5:$BH2133,$BH2133))</f>
        <v/>
      </c>
      <c r="BM2133" s="9" t="str">
        <f t="shared" si="336"/>
        <v/>
      </c>
      <c r="BN2133" s="9" t="str">
        <f t="shared" si="337"/>
        <v/>
      </c>
      <c r="BO2133" s="9">
        <f t="shared" si="338"/>
        <v>0</v>
      </c>
      <c r="BR2133" s="12" t="str">
        <f t="shared" si="339"/>
        <v/>
      </c>
    </row>
    <row r="2134" spans="1:70" ht="14.25" customHeight="1">
      <c r="A2134" s="26"/>
      <c r="C2134" s="26"/>
      <c r="D2134" s="27"/>
      <c r="E2134" s="27"/>
      <c r="BE2134" s="10" t="str">
        <f t="shared" si="330"/>
        <v/>
      </c>
      <c r="BF2134" s="8" t="str">
        <f t="shared" si="331"/>
        <v/>
      </c>
      <c r="BG2134" s="11" t="str">
        <f t="shared" si="332"/>
        <v/>
      </c>
      <c r="BH2134" s="8" t="str">
        <f t="shared" si="333"/>
        <v/>
      </c>
      <c r="BI2134" s="8" t="str">
        <f t="shared" si="334"/>
        <v/>
      </c>
      <c r="BJ2134" s="9" t="str">
        <f t="shared" si="335"/>
        <v/>
      </c>
      <c r="BK2134" s="9" t="str">
        <f>IF($B2134="","",COUNTIFS($B$5:$B2134,$B2134,$BF$5:$BF2134,$BF2134))</f>
        <v/>
      </c>
      <c r="BL2134" s="9" t="str">
        <f>IF($B2134="","",COUNTIFS($B$5:$B2134,$B2134,$BH$5:$BH2134,$BH2134))</f>
        <v/>
      </c>
      <c r="BM2134" s="9" t="str">
        <f t="shared" si="336"/>
        <v/>
      </c>
      <c r="BN2134" s="9" t="str">
        <f t="shared" si="337"/>
        <v/>
      </c>
      <c r="BO2134" s="9">
        <f t="shared" si="338"/>
        <v>0</v>
      </c>
      <c r="BR2134" s="12" t="str">
        <f t="shared" si="339"/>
        <v/>
      </c>
    </row>
    <row r="2135" spans="1:70" ht="14.25" customHeight="1">
      <c r="A2135" s="26"/>
      <c r="C2135" s="26"/>
      <c r="D2135" s="27"/>
      <c r="E2135" s="27"/>
      <c r="BE2135" s="10" t="str">
        <f t="shared" si="330"/>
        <v/>
      </c>
      <c r="BF2135" s="8" t="str">
        <f t="shared" si="331"/>
        <v/>
      </c>
      <c r="BG2135" s="11" t="str">
        <f t="shared" si="332"/>
        <v/>
      </c>
      <c r="BH2135" s="8" t="str">
        <f t="shared" si="333"/>
        <v/>
      </c>
      <c r="BI2135" s="8" t="str">
        <f t="shared" si="334"/>
        <v/>
      </c>
      <c r="BJ2135" s="9" t="str">
        <f t="shared" si="335"/>
        <v/>
      </c>
      <c r="BK2135" s="9" t="str">
        <f>IF($B2135="","",COUNTIFS($B$5:$B2135,$B2135,$BF$5:$BF2135,$BF2135))</f>
        <v/>
      </c>
      <c r="BL2135" s="9" t="str">
        <f>IF($B2135="","",COUNTIFS($B$5:$B2135,$B2135,$BH$5:$BH2135,$BH2135))</f>
        <v/>
      </c>
      <c r="BM2135" s="9" t="str">
        <f t="shared" si="336"/>
        <v/>
      </c>
      <c r="BN2135" s="9" t="str">
        <f t="shared" si="337"/>
        <v/>
      </c>
      <c r="BO2135" s="9">
        <f t="shared" si="338"/>
        <v>0</v>
      </c>
      <c r="BR2135" s="12" t="str">
        <f t="shared" si="339"/>
        <v/>
      </c>
    </row>
    <row r="2136" spans="1:70" ht="14.25" customHeight="1">
      <c r="A2136" s="26"/>
      <c r="C2136" s="26"/>
      <c r="D2136" s="27"/>
      <c r="E2136" s="27"/>
      <c r="BE2136" s="10" t="str">
        <f t="shared" si="330"/>
        <v/>
      </c>
      <c r="BF2136" s="8" t="str">
        <f t="shared" si="331"/>
        <v/>
      </c>
      <c r="BG2136" s="11" t="str">
        <f t="shared" si="332"/>
        <v/>
      </c>
      <c r="BH2136" s="8" t="str">
        <f t="shared" si="333"/>
        <v/>
      </c>
      <c r="BI2136" s="8" t="str">
        <f t="shared" si="334"/>
        <v/>
      </c>
      <c r="BJ2136" s="9" t="str">
        <f t="shared" si="335"/>
        <v/>
      </c>
      <c r="BK2136" s="9" t="str">
        <f>IF($B2136="","",COUNTIFS($B$5:$B2136,$B2136,$BF$5:$BF2136,$BF2136))</f>
        <v/>
      </c>
      <c r="BL2136" s="9" t="str">
        <f>IF($B2136="","",COUNTIFS($B$5:$B2136,$B2136,$BH$5:$BH2136,$BH2136))</f>
        <v/>
      </c>
      <c r="BM2136" s="9" t="str">
        <f t="shared" si="336"/>
        <v/>
      </c>
      <c r="BN2136" s="9" t="str">
        <f t="shared" si="337"/>
        <v/>
      </c>
      <c r="BO2136" s="9">
        <f t="shared" si="338"/>
        <v>0</v>
      </c>
      <c r="BR2136" s="12" t="str">
        <f t="shared" si="339"/>
        <v/>
      </c>
    </row>
    <row r="2137" spans="1:70" ht="14.25" customHeight="1">
      <c r="A2137" s="26"/>
      <c r="C2137" s="26"/>
      <c r="D2137" s="27"/>
      <c r="E2137" s="27"/>
      <c r="BE2137" s="10" t="str">
        <f t="shared" si="330"/>
        <v/>
      </c>
      <c r="BF2137" s="8" t="str">
        <f t="shared" si="331"/>
        <v/>
      </c>
      <c r="BG2137" s="11" t="str">
        <f t="shared" si="332"/>
        <v/>
      </c>
      <c r="BH2137" s="8" t="str">
        <f t="shared" si="333"/>
        <v/>
      </c>
      <c r="BI2137" s="8" t="str">
        <f t="shared" si="334"/>
        <v/>
      </c>
      <c r="BJ2137" s="9" t="str">
        <f t="shared" si="335"/>
        <v/>
      </c>
      <c r="BK2137" s="9" t="str">
        <f>IF($B2137="","",COUNTIFS($B$5:$B2137,$B2137,$BF$5:$BF2137,$BF2137))</f>
        <v/>
      </c>
      <c r="BL2137" s="9" t="str">
        <f>IF($B2137="","",COUNTIFS($B$5:$B2137,$B2137,$BH$5:$BH2137,$BH2137))</f>
        <v/>
      </c>
      <c r="BM2137" s="9" t="str">
        <f t="shared" si="336"/>
        <v/>
      </c>
      <c r="BN2137" s="9" t="str">
        <f t="shared" si="337"/>
        <v/>
      </c>
      <c r="BO2137" s="9">
        <f t="shared" si="338"/>
        <v>0</v>
      </c>
      <c r="BR2137" s="12" t="str">
        <f t="shared" si="339"/>
        <v/>
      </c>
    </row>
    <row r="2138" spans="1:70" ht="14.25" customHeight="1">
      <c r="A2138" s="26"/>
      <c r="C2138" s="26"/>
      <c r="D2138" s="27"/>
      <c r="E2138" s="27"/>
      <c r="BE2138" s="10" t="str">
        <f t="shared" si="330"/>
        <v/>
      </c>
      <c r="BF2138" s="8" t="str">
        <f t="shared" si="331"/>
        <v/>
      </c>
      <c r="BG2138" s="11" t="str">
        <f t="shared" si="332"/>
        <v/>
      </c>
      <c r="BH2138" s="8" t="str">
        <f t="shared" si="333"/>
        <v/>
      </c>
      <c r="BI2138" s="8" t="str">
        <f t="shared" si="334"/>
        <v/>
      </c>
      <c r="BJ2138" s="9" t="str">
        <f t="shared" si="335"/>
        <v/>
      </c>
      <c r="BK2138" s="9" t="str">
        <f>IF($B2138="","",COUNTIFS($B$5:$B2138,$B2138,$BF$5:$BF2138,$BF2138))</f>
        <v/>
      </c>
      <c r="BL2138" s="9" t="str">
        <f>IF($B2138="","",COUNTIFS($B$5:$B2138,$B2138,$BH$5:$BH2138,$BH2138))</f>
        <v/>
      </c>
      <c r="BM2138" s="9" t="str">
        <f t="shared" si="336"/>
        <v/>
      </c>
      <c r="BN2138" s="9" t="str">
        <f t="shared" si="337"/>
        <v/>
      </c>
      <c r="BO2138" s="9">
        <f t="shared" si="338"/>
        <v>0</v>
      </c>
      <c r="BR2138" s="12" t="str">
        <f t="shared" si="339"/>
        <v/>
      </c>
    </row>
    <row r="2139" spans="1:70" ht="14.25" customHeight="1">
      <c r="A2139" s="26"/>
      <c r="C2139" s="26"/>
      <c r="D2139" s="27"/>
      <c r="E2139" s="27"/>
      <c r="BE2139" s="10" t="str">
        <f t="shared" si="330"/>
        <v/>
      </c>
      <c r="BF2139" s="8" t="str">
        <f t="shared" si="331"/>
        <v/>
      </c>
      <c r="BG2139" s="11" t="str">
        <f t="shared" si="332"/>
        <v/>
      </c>
      <c r="BH2139" s="8" t="str">
        <f t="shared" si="333"/>
        <v/>
      </c>
      <c r="BI2139" s="8" t="str">
        <f t="shared" si="334"/>
        <v/>
      </c>
      <c r="BJ2139" s="9" t="str">
        <f t="shared" si="335"/>
        <v/>
      </c>
      <c r="BK2139" s="9" t="str">
        <f>IF($B2139="","",COUNTIFS($B$5:$B2139,$B2139,$BF$5:$BF2139,$BF2139))</f>
        <v/>
      </c>
      <c r="BL2139" s="9" t="str">
        <f>IF($B2139="","",COUNTIFS($B$5:$B2139,$B2139,$BH$5:$BH2139,$BH2139))</f>
        <v/>
      </c>
      <c r="BM2139" s="9" t="str">
        <f t="shared" si="336"/>
        <v/>
      </c>
      <c r="BN2139" s="9" t="str">
        <f t="shared" si="337"/>
        <v/>
      </c>
      <c r="BO2139" s="9">
        <f t="shared" si="338"/>
        <v>0</v>
      </c>
      <c r="BR2139" s="12" t="str">
        <f t="shared" si="339"/>
        <v/>
      </c>
    </row>
    <row r="2140" spans="1:70" ht="14.25" customHeight="1">
      <c r="A2140" s="26"/>
      <c r="C2140" s="26"/>
      <c r="D2140" s="27"/>
      <c r="E2140" s="27"/>
      <c r="BE2140" s="10" t="str">
        <f t="shared" si="330"/>
        <v/>
      </c>
      <c r="BF2140" s="8" t="str">
        <f t="shared" si="331"/>
        <v/>
      </c>
      <c r="BG2140" s="11" t="str">
        <f t="shared" si="332"/>
        <v/>
      </c>
      <c r="BH2140" s="8" t="str">
        <f t="shared" si="333"/>
        <v/>
      </c>
      <c r="BI2140" s="8" t="str">
        <f t="shared" si="334"/>
        <v/>
      </c>
      <c r="BJ2140" s="9" t="str">
        <f t="shared" si="335"/>
        <v/>
      </c>
      <c r="BK2140" s="9" t="str">
        <f>IF($B2140="","",COUNTIFS($B$5:$B2140,$B2140,$BF$5:$BF2140,$BF2140))</f>
        <v/>
      </c>
      <c r="BL2140" s="9" t="str">
        <f>IF($B2140="","",COUNTIFS($B$5:$B2140,$B2140,$BH$5:$BH2140,$BH2140))</f>
        <v/>
      </c>
      <c r="BM2140" s="9" t="str">
        <f t="shared" si="336"/>
        <v/>
      </c>
      <c r="BN2140" s="9" t="str">
        <f t="shared" si="337"/>
        <v/>
      </c>
      <c r="BO2140" s="9">
        <f t="shared" si="338"/>
        <v>0</v>
      </c>
      <c r="BR2140" s="12" t="str">
        <f t="shared" si="339"/>
        <v/>
      </c>
    </row>
    <row r="2141" spans="1:70" ht="14.25" customHeight="1">
      <c r="A2141" s="26"/>
      <c r="C2141" s="26"/>
      <c r="D2141" s="27"/>
      <c r="E2141" s="27"/>
      <c r="BE2141" s="10" t="str">
        <f t="shared" ref="BE2141:BE2204" si="340">IF($B2141="","",IF(COUNT($H2141,$J2141,$L2141,$N2141,$P2141,$R2141)&gt;0,SUM($H2141,$J2141,$L2141,$N2141,$P2141,$R2141),SUM($T2141,$V2141,$X2141,$Z2141,$AB2141,$AD2141,$AF2141,$AH2141,$AJ2141,$AL2141,$AN2141,$AP2141,$AR2141,$AT2141,$AV2141,$AX2141,$AZ2141)))</f>
        <v/>
      </c>
      <c r="BF2141" s="8" t="str">
        <f t="shared" ref="BF2141:BF2204" si="341">IF($C2141="","",DATE(YEAR($C2141),MONTH($C2141),1))</f>
        <v/>
      </c>
      <c r="BG2141" s="11" t="str">
        <f t="shared" ref="BG2141:BG2204" si="342">IF($BF2141="","",TEXT($BF2141,"mmmm yyyy"))</f>
        <v/>
      </c>
      <c r="BH2141" s="8" t="str">
        <f t="shared" ref="BH2141:BH2204" si="343">IF($C2141="","",$C2141-WEEKDAY($C2141,2)+1)</f>
        <v/>
      </c>
      <c r="BI2141" s="8" t="str">
        <f t="shared" ref="BI2141:BI2204" si="344">IF($BH2141="","",$BH2141+6)</f>
        <v/>
      </c>
      <c r="BJ2141" s="9" t="str">
        <f t="shared" ref="BJ2141:BJ2204" si="345">IF($BH2141="","",TEXT($BH2141,"dd/mm/yyyy")&amp;" - "&amp;TEXT($BI2141,"dd/mm/yyyy"))</f>
        <v/>
      </c>
      <c r="BK2141" s="9" t="str">
        <f>IF($B2141="","",COUNTIFS($B$5:$B2141,$B2141,$BF$5:$BF2141,$BF2141))</f>
        <v/>
      </c>
      <c r="BL2141" s="9" t="str">
        <f>IF($B2141="","",COUNTIFS($B$5:$B2141,$B2141,$BH$5:$BH2141,$BH2141))</f>
        <v/>
      </c>
      <c r="BM2141" s="9" t="str">
        <f t="shared" ref="BM2141:BM2204" si="346">IF($B2141="","",TEXT($BK2141,"00")&amp;"|"&amp;$B2141&amp;"|"&amp;TEXT($BF2141,"yyyymmdd"))</f>
        <v/>
      </c>
      <c r="BN2141" s="9" t="str">
        <f t="shared" ref="BN2141:BN2204" si="347">IF($B2141="","",TEXT($BL2141,"00")&amp;"|"&amp;$B2141&amp;"|"&amp;TEXT($BH2141,"yyyymmdd"))</f>
        <v/>
      </c>
      <c r="BO2141" s="9">
        <f t="shared" ref="BO2141:BO2204" si="348">IF(OR($BB2141="YES",$BB2141="Yes",$BB2141="Y",$BB2141=1),1,0)</f>
        <v>0</v>
      </c>
      <c r="BR2141" s="12" t="str">
        <f t="shared" ref="BR2141:BR2204" si="349">IF($C2141="","",IF($C2141&gt;=DATE(2026,6,1),"QA-2026-06",IF($C2141&gt;=DATE(2026,5,1),"May 2026+",IF($C2141&gt;=DATE(2026,4,1),"April 2026",IF($C2141&gt;=DATE(2026,3,1),"March 2026","Jan-Feb 2026")))))</f>
        <v/>
      </c>
    </row>
    <row r="2142" spans="1:70" ht="14.25" customHeight="1">
      <c r="A2142" s="26"/>
      <c r="C2142" s="26"/>
      <c r="D2142" s="27"/>
      <c r="E2142" s="27"/>
      <c r="BE2142" s="10" t="str">
        <f t="shared" si="340"/>
        <v/>
      </c>
      <c r="BF2142" s="8" t="str">
        <f t="shared" si="341"/>
        <v/>
      </c>
      <c r="BG2142" s="11" t="str">
        <f t="shared" si="342"/>
        <v/>
      </c>
      <c r="BH2142" s="8" t="str">
        <f t="shared" si="343"/>
        <v/>
      </c>
      <c r="BI2142" s="8" t="str">
        <f t="shared" si="344"/>
        <v/>
      </c>
      <c r="BJ2142" s="9" t="str">
        <f t="shared" si="345"/>
        <v/>
      </c>
      <c r="BK2142" s="9" t="str">
        <f>IF($B2142="","",COUNTIFS($B$5:$B2142,$B2142,$BF$5:$BF2142,$BF2142))</f>
        <v/>
      </c>
      <c r="BL2142" s="9" t="str">
        <f>IF($B2142="","",COUNTIFS($B$5:$B2142,$B2142,$BH$5:$BH2142,$BH2142))</f>
        <v/>
      </c>
      <c r="BM2142" s="9" t="str">
        <f t="shared" si="346"/>
        <v/>
      </c>
      <c r="BN2142" s="9" t="str">
        <f t="shared" si="347"/>
        <v/>
      </c>
      <c r="BO2142" s="9">
        <f t="shared" si="348"/>
        <v>0</v>
      </c>
      <c r="BR2142" s="12" t="str">
        <f t="shared" si="349"/>
        <v/>
      </c>
    </row>
    <row r="2143" spans="1:70" ht="14.25" customHeight="1">
      <c r="A2143" s="26"/>
      <c r="C2143" s="26"/>
      <c r="D2143" s="27"/>
      <c r="E2143" s="27"/>
      <c r="BE2143" s="10" t="str">
        <f t="shared" si="340"/>
        <v/>
      </c>
      <c r="BF2143" s="8" t="str">
        <f t="shared" si="341"/>
        <v/>
      </c>
      <c r="BG2143" s="11" t="str">
        <f t="shared" si="342"/>
        <v/>
      </c>
      <c r="BH2143" s="8" t="str">
        <f t="shared" si="343"/>
        <v/>
      </c>
      <c r="BI2143" s="8" t="str">
        <f t="shared" si="344"/>
        <v/>
      </c>
      <c r="BJ2143" s="9" t="str">
        <f t="shared" si="345"/>
        <v/>
      </c>
      <c r="BK2143" s="9" t="str">
        <f>IF($B2143="","",COUNTIFS($B$5:$B2143,$B2143,$BF$5:$BF2143,$BF2143))</f>
        <v/>
      </c>
      <c r="BL2143" s="9" t="str">
        <f>IF($B2143="","",COUNTIFS($B$5:$B2143,$B2143,$BH$5:$BH2143,$BH2143))</f>
        <v/>
      </c>
      <c r="BM2143" s="9" t="str">
        <f t="shared" si="346"/>
        <v/>
      </c>
      <c r="BN2143" s="9" t="str">
        <f t="shared" si="347"/>
        <v/>
      </c>
      <c r="BO2143" s="9">
        <f t="shared" si="348"/>
        <v>0</v>
      </c>
      <c r="BR2143" s="12" t="str">
        <f t="shared" si="349"/>
        <v/>
      </c>
    </row>
    <row r="2144" spans="1:70" ht="14.25" customHeight="1">
      <c r="A2144" s="26"/>
      <c r="C2144" s="26"/>
      <c r="D2144" s="27"/>
      <c r="E2144" s="27"/>
      <c r="BE2144" s="10" t="str">
        <f t="shared" si="340"/>
        <v/>
      </c>
      <c r="BF2144" s="8" t="str">
        <f t="shared" si="341"/>
        <v/>
      </c>
      <c r="BG2144" s="11" t="str">
        <f t="shared" si="342"/>
        <v/>
      </c>
      <c r="BH2144" s="8" t="str">
        <f t="shared" si="343"/>
        <v/>
      </c>
      <c r="BI2144" s="8" t="str">
        <f t="shared" si="344"/>
        <v/>
      </c>
      <c r="BJ2144" s="9" t="str">
        <f t="shared" si="345"/>
        <v/>
      </c>
      <c r="BK2144" s="9" t="str">
        <f>IF($B2144="","",COUNTIFS($B$5:$B2144,$B2144,$BF$5:$BF2144,$BF2144))</f>
        <v/>
      </c>
      <c r="BL2144" s="9" t="str">
        <f>IF($B2144="","",COUNTIFS($B$5:$B2144,$B2144,$BH$5:$BH2144,$BH2144))</f>
        <v/>
      </c>
      <c r="BM2144" s="9" t="str">
        <f t="shared" si="346"/>
        <v/>
      </c>
      <c r="BN2144" s="9" t="str">
        <f t="shared" si="347"/>
        <v/>
      </c>
      <c r="BO2144" s="9">
        <f t="shared" si="348"/>
        <v>0</v>
      </c>
      <c r="BR2144" s="12" t="str">
        <f t="shared" si="349"/>
        <v/>
      </c>
    </row>
    <row r="2145" spans="1:70" ht="14.25" customHeight="1">
      <c r="A2145" s="26"/>
      <c r="C2145" s="26"/>
      <c r="D2145" s="27"/>
      <c r="E2145" s="27"/>
      <c r="BE2145" s="10" t="str">
        <f t="shared" si="340"/>
        <v/>
      </c>
      <c r="BF2145" s="8" t="str">
        <f t="shared" si="341"/>
        <v/>
      </c>
      <c r="BG2145" s="11" t="str">
        <f t="shared" si="342"/>
        <v/>
      </c>
      <c r="BH2145" s="8" t="str">
        <f t="shared" si="343"/>
        <v/>
      </c>
      <c r="BI2145" s="8" t="str">
        <f t="shared" si="344"/>
        <v/>
      </c>
      <c r="BJ2145" s="9" t="str">
        <f t="shared" si="345"/>
        <v/>
      </c>
      <c r="BK2145" s="9" t="str">
        <f>IF($B2145="","",COUNTIFS($B$5:$B2145,$B2145,$BF$5:$BF2145,$BF2145))</f>
        <v/>
      </c>
      <c r="BL2145" s="9" t="str">
        <f>IF($B2145="","",COUNTIFS($B$5:$B2145,$B2145,$BH$5:$BH2145,$BH2145))</f>
        <v/>
      </c>
      <c r="BM2145" s="9" t="str">
        <f t="shared" si="346"/>
        <v/>
      </c>
      <c r="BN2145" s="9" t="str">
        <f t="shared" si="347"/>
        <v/>
      </c>
      <c r="BO2145" s="9">
        <f t="shared" si="348"/>
        <v>0</v>
      </c>
      <c r="BR2145" s="12" t="str">
        <f t="shared" si="349"/>
        <v/>
      </c>
    </row>
    <row r="2146" spans="1:70" ht="14.25" customHeight="1">
      <c r="A2146" s="26"/>
      <c r="C2146" s="26"/>
      <c r="D2146" s="27"/>
      <c r="E2146" s="27"/>
      <c r="BE2146" s="10" t="str">
        <f t="shared" si="340"/>
        <v/>
      </c>
      <c r="BF2146" s="8" t="str">
        <f t="shared" si="341"/>
        <v/>
      </c>
      <c r="BG2146" s="11" t="str">
        <f t="shared" si="342"/>
        <v/>
      </c>
      <c r="BH2146" s="8" t="str">
        <f t="shared" si="343"/>
        <v/>
      </c>
      <c r="BI2146" s="8" t="str">
        <f t="shared" si="344"/>
        <v/>
      </c>
      <c r="BJ2146" s="9" t="str">
        <f t="shared" si="345"/>
        <v/>
      </c>
      <c r="BK2146" s="9" t="str">
        <f>IF($B2146="","",COUNTIFS($B$5:$B2146,$B2146,$BF$5:$BF2146,$BF2146))</f>
        <v/>
      </c>
      <c r="BL2146" s="9" t="str">
        <f>IF($B2146="","",COUNTIFS($B$5:$B2146,$B2146,$BH$5:$BH2146,$BH2146))</f>
        <v/>
      </c>
      <c r="BM2146" s="9" t="str">
        <f t="shared" si="346"/>
        <v/>
      </c>
      <c r="BN2146" s="9" t="str">
        <f t="shared" si="347"/>
        <v/>
      </c>
      <c r="BO2146" s="9">
        <f t="shared" si="348"/>
        <v>0</v>
      </c>
      <c r="BR2146" s="12" t="str">
        <f t="shared" si="349"/>
        <v/>
      </c>
    </row>
    <row r="2147" spans="1:70" ht="14.25" customHeight="1">
      <c r="A2147" s="26"/>
      <c r="C2147" s="26"/>
      <c r="D2147" s="27"/>
      <c r="E2147" s="27"/>
      <c r="BE2147" s="10" t="str">
        <f t="shared" si="340"/>
        <v/>
      </c>
      <c r="BF2147" s="8" t="str">
        <f t="shared" si="341"/>
        <v/>
      </c>
      <c r="BG2147" s="11" t="str">
        <f t="shared" si="342"/>
        <v/>
      </c>
      <c r="BH2147" s="8" t="str">
        <f t="shared" si="343"/>
        <v/>
      </c>
      <c r="BI2147" s="8" t="str">
        <f t="shared" si="344"/>
        <v/>
      </c>
      <c r="BJ2147" s="9" t="str">
        <f t="shared" si="345"/>
        <v/>
      </c>
      <c r="BK2147" s="9" t="str">
        <f>IF($B2147="","",COUNTIFS($B$5:$B2147,$B2147,$BF$5:$BF2147,$BF2147))</f>
        <v/>
      </c>
      <c r="BL2147" s="9" t="str">
        <f>IF($B2147="","",COUNTIFS($B$5:$B2147,$B2147,$BH$5:$BH2147,$BH2147))</f>
        <v/>
      </c>
      <c r="BM2147" s="9" t="str">
        <f t="shared" si="346"/>
        <v/>
      </c>
      <c r="BN2147" s="9" t="str">
        <f t="shared" si="347"/>
        <v/>
      </c>
      <c r="BO2147" s="9">
        <f t="shared" si="348"/>
        <v>0</v>
      </c>
      <c r="BR2147" s="12" t="str">
        <f t="shared" si="349"/>
        <v/>
      </c>
    </row>
    <row r="2148" spans="1:70" ht="14.25" customHeight="1">
      <c r="A2148" s="26"/>
      <c r="C2148" s="26"/>
      <c r="D2148" s="27"/>
      <c r="E2148" s="27"/>
      <c r="BE2148" s="10" t="str">
        <f t="shared" si="340"/>
        <v/>
      </c>
      <c r="BF2148" s="8" t="str">
        <f t="shared" si="341"/>
        <v/>
      </c>
      <c r="BG2148" s="11" t="str">
        <f t="shared" si="342"/>
        <v/>
      </c>
      <c r="BH2148" s="8" t="str">
        <f t="shared" si="343"/>
        <v/>
      </c>
      <c r="BI2148" s="8" t="str">
        <f t="shared" si="344"/>
        <v/>
      </c>
      <c r="BJ2148" s="9" t="str">
        <f t="shared" si="345"/>
        <v/>
      </c>
      <c r="BK2148" s="9" t="str">
        <f>IF($B2148="","",COUNTIFS($B$5:$B2148,$B2148,$BF$5:$BF2148,$BF2148))</f>
        <v/>
      </c>
      <c r="BL2148" s="9" t="str">
        <f>IF($B2148="","",COUNTIFS($B$5:$B2148,$B2148,$BH$5:$BH2148,$BH2148))</f>
        <v/>
      </c>
      <c r="BM2148" s="9" t="str">
        <f t="shared" si="346"/>
        <v/>
      </c>
      <c r="BN2148" s="9" t="str">
        <f t="shared" si="347"/>
        <v/>
      </c>
      <c r="BO2148" s="9">
        <f t="shared" si="348"/>
        <v>0</v>
      </c>
      <c r="BR2148" s="12" t="str">
        <f t="shared" si="349"/>
        <v/>
      </c>
    </row>
    <row r="2149" spans="1:70" ht="14.25" customHeight="1">
      <c r="A2149" s="26"/>
      <c r="C2149" s="26"/>
      <c r="D2149" s="27"/>
      <c r="E2149" s="27"/>
      <c r="BE2149" s="10" t="str">
        <f t="shared" si="340"/>
        <v/>
      </c>
      <c r="BF2149" s="8" t="str">
        <f t="shared" si="341"/>
        <v/>
      </c>
      <c r="BG2149" s="11" t="str">
        <f t="shared" si="342"/>
        <v/>
      </c>
      <c r="BH2149" s="8" t="str">
        <f t="shared" si="343"/>
        <v/>
      </c>
      <c r="BI2149" s="8" t="str">
        <f t="shared" si="344"/>
        <v/>
      </c>
      <c r="BJ2149" s="9" t="str">
        <f t="shared" si="345"/>
        <v/>
      </c>
      <c r="BK2149" s="9" t="str">
        <f>IF($B2149="","",COUNTIFS($B$5:$B2149,$B2149,$BF$5:$BF2149,$BF2149))</f>
        <v/>
      </c>
      <c r="BL2149" s="9" t="str">
        <f>IF($B2149="","",COUNTIFS($B$5:$B2149,$B2149,$BH$5:$BH2149,$BH2149))</f>
        <v/>
      </c>
      <c r="BM2149" s="9" t="str">
        <f t="shared" si="346"/>
        <v/>
      </c>
      <c r="BN2149" s="9" t="str">
        <f t="shared" si="347"/>
        <v/>
      </c>
      <c r="BO2149" s="9">
        <f t="shared" si="348"/>
        <v>0</v>
      </c>
      <c r="BR2149" s="12" t="str">
        <f t="shared" si="349"/>
        <v/>
      </c>
    </row>
    <row r="2150" spans="1:70" ht="14.25" customHeight="1">
      <c r="A2150" s="26"/>
      <c r="C2150" s="26"/>
      <c r="D2150" s="27"/>
      <c r="E2150" s="27"/>
      <c r="BE2150" s="10" t="str">
        <f t="shared" si="340"/>
        <v/>
      </c>
      <c r="BF2150" s="8" t="str">
        <f t="shared" si="341"/>
        <v/>
      </c>
      <c r="BG2150" s="11" t="str">
        <f t="shared" si="342"/>
        <v/>
      </c>
      <c r="BH2150" s="8" t="str">
        <f t="shared" si="343"/>
        <v/>
      </c>
      <c r="BI2150" s="8" t="str">
        <f t="shared" si="344"/>
        <v/>
      </c>
      <c r="BJ2150" s="9" t="str">
        <f t="shared" si="345"/>
        <v/>
      </c>
      <c r="BK2150" s="9" t="str">
        <f>IF($B2150="","",COUNTIFS($B$5:$B2150,$B2150,$BF$5:$BF2150,$BF2150))</f>
        <v/>
      </c>
      <c r="BL2150" s="9" t="str">
        <f>IF($B2150="","",COUNTIFS($B$5:$B2150,$B2150,$BH$5:$BH2150,$BH2150))</f>
        <v/>
      </c>
      <c r="BM2150" s="9" t="str">
        <f t="shared" si="346"/>
        <v/>
      </c>
      <c r="BN2150" s="9" t="str">
        <f t="shared" si="347"/>
        <v/>
      </c>
      <c r="BO2150" s="9">
        <f t="shared" si="348"/>
        <v>0</v>
      </c>
      <c r="BR2150" s="12" t="str">
        <f t="shared" si="349"/>
        <v/>
      </c>
    </row>
    <row r="2151" spans="1:70" ht="14.25" customHeight="1">
      <c r="A2151" s="26"/>
      <c r="C2151" s="26"/>
      <c r="D2151" s="27"/>
      <c r="E2151" s="27"/>
      <c r="BE2151" s="10" t="str">
        <f t="shared" si="340"/>
        <v/>
      </c>
      <c r="BF2151" s="8" t="str">
        <f t="shared" si="341"/>
        <v/>
      </c>
      <c r="BG2151" s="11" t="str">
        <f t="shared" si="342"/>
        <v/>
      </c>
      <c r="BH2151" s="8" t="str">
        <f t="shared" si="343"/>
        <v/>
      </c>
      <c r="BI2151" s="8" t="str">
        <f t="shared" si="344"/>
        <v/>
      </c>
      <c r="BJ2151" s="9" t="str">
        <f t="shared" si="345"/>
        <v/>
      </c>
      <c r="BK2151" s="9" t="str">
        <f>IF($B2151="","",COUNTIFS($B$5:$B2151,$B2151,$BF$5:$BF2151,$BF2151))</f>
        <v/>
      </c>
      <c r="BL2151" s="9" t="str">
        <f>IF($B2151="","",COUNTIFS($B$5:$B2151,$B2151,$BH$5:$BH2151,$BH2151))</f>
        <v/>
      </c>
      <c r="BM2151" s="9" t="str">
        <f t="shared" si="346"/>
        <v/>
      </c>
      <c r="BN2151" s="9" t="str">
        <f t="shared" si="347"/>
        <v/>
      </c>
      <c r="BO2151" s="9">
        <f t="shared" si="348"/>
        <v>0</v>
      </c>
      <c r="BR2151" s="12" t="str">
        <f t="shared" si="349"/>
        <v/>
      </c>
    </row>
    <row r="2152" spans="1:70" ht="14.25" customHeight="1">
      <c r="A2152" s="26"/>
      <c r="C2152" s="26"/>
      <c r="D2152" s="27"/>
      <c r="E2152" s="27"/>
      <c r="BE2152" s="10" t="str">
        <f t="shared" si="340"/>
        <v/>
      </c>
      <c r="BF2152" s="8" t="str">
        <f t="shared" si="341"/>
        <v/>
      </c>
      <c r="BG2152" s="11" t="str">
        <f t="shared" si="342"/>
        <v/>
      </c>
      <c r="BH2152" s="8" t="str">
        <f t="shared" si="343"/>
        <v/>
      </c>
      <c r="BI2152" s="8" t="str">
        <f t="shared" si="344"/>
        <v/>
      </c>
      <c r="BJ2152" s="9" t="str">
        <f t="shared" si="345"/>
        <v/>
      </c>
      <c r="BK2152" s="9" t="str">
        <f>IF($B2152="","",COUNTIFS($B$5:$B2152,$B2152,$BF$5:$BF2152,$BF2152))</f>
        <v/>
      </c>
      <c r="BL2152" s="9" t="str">
        <f>IF($B2152="","",COUNTIFS($B$5:$B2152,$B2152,$BH$5:$BH2152,$BH2152))</f>
        <v/>
      </c>
      <c r="BM2152" s="9" t="str">
        <f t="shared" si="346"/>
        <v/>
      </c>
      <c r="BN2152" s="9" t="str">
        <f t="shared" si="347"/>
        <v/>
      </c>
      <c r="BO2152" s="9">
        <f t="shared" si="348"/>
        <v>0</v>
      </c>
      <c r="BR2152" s="12" t="str">
        <f t="shared" si="349"/>
        <v/>
      </c>
    </row>
    <row r="2153" spans="1:70" ht="14.25" customHeight="1">
      <c r="A2153" s="26"/>
      <c r="C2153" s="26"/>
      <c r="D2153" s="27"/>
      <c r="E2153" s="27"/>
      <c r="BE2153" s="10" t="str">
        <f t="shared" si="340"/>
        <v/>
      </c>
      <c r="BF2153" s="8" t="str">
        <f t="shared" si="341"/>
        <v/>
      </c>
      <c r="BG2153" s="11" t="str">
        <f t="shared" si="342"/>
        <v/>
      </c>
      <c r="BH2153" s="8" t="str">
        <f t="shared" si="343"/>
        <v/>
      </c>
      <c r="BI2153" s="8" t="str">
        <f t="shared" si="344"/>
        <v/>
      </c>
      <c r="BJ2153" s="9" t="str">
        <f t="shared" si="345"/>
        <v/>
      </c>
      <c r="BK2153" s="9" t="str">
        <f>IF($B2153="","",COUNTIFS($B$5:$B2153,$B2153,$BF$5:$BF2153,$BF2153))</f>
        <v/>
      </c>
      <c r="BL2153" s="9" t="str">
        <f>IF($B2153="","",COUNTIFS($B$5:$B2153,$B2153,$BH$5:$BH2153,$BH2153))</f>
        <v/>
      </c>
      <c r="BM2153" s="9" t="str">
        <f t="shared" si="346"/>
        <v/>
      </c>
      <c r="BN2153" s="9" t="str">
        <f t="shared" si="347"/>
        <v/>
      </c>
      <c r="BO2153" s="9">
        <f t="shared" si="348"/>
        <v>0</v>
      </c>
      <c r="BR2153" s="12" t="str">
        <f t="shared" si="349"/>
        <v/>
      </c>
    </row>
    <row r="2154" spans="1:70" ht="14.25" customHeight="1">
      <c r="A2154" s="26"/>
      <c r="C2154" s="26"/>
      <c r="D2154" s="27"/>
      <c r="E2154" s="27"/>
      <c r="BE2154" s="10" t="str">
        <f t="shared" si="340"/>
        <v/>
      </c>
      <c r="BF2154" s="8" t="str">
        <f t="shared" si="341"/>
        <v/>
      </c>
      <c r="BG2154" s="11" t="str">
        <f t="shared" si="342"/>
        <v/>
      </c>
      <c r="BH2154" s="8" t="str">
        <f t="shared" si="343"/>
        <v/>
      </c>
      <c r="BI2154" s="8" t="str">
        <f t="shared" si="344"/>
        <v/>
      </c>
      <c r="BJ2154" s="9" t="str">
        <f t="shared" si="345"/>
        <v/>
      </c>
      <c r="BK2154" s="9" t="str">
        <f>IF($B2154="","",COUNTIFS($B$5:$B2154,$B2154,$BF$5:$BF2154,$BF2154))</f>
        <v/>
      </c>
      <c r="BL2154" s="9" t="str">
        <f>IF($B2154="","",COUNTIFS($B$5:$B2154,$B2154,$BH$5:$BH2154,$BH2154))</f>
        <v/>
      </c>
      <c r="BM2154" s="9" t="str">
        <f t="shared" si="346"/>
        <v/>
      </c>
      <c r="BN2154" s="9" t="str">
        <f t="shared" si="347"/>
        <v/>
      </c>
      <c r="BO2154" s="9">
        <f t="shared" si="348"/>
        <v>0</v>
      </c>
      <c r="BR2154" s="12" t="str">
        <f t="shared" si="349"/>
        <v/>
      </c>
    </row>
    <row r="2155" spans="1:70" ht="14.25" customHeight="1">
      <c r="A2155" s="26"/>
      <c r="C2155" s="26"/>
      <c r="D2155" s="27"/>
      <c r="E2155" s="27"/>
      <c r="BE2155" s="10" t="str">
        <f t="shared" si="340"/>
        <v/>
      </c>
      <c r="BF2155" s="8" t="str">
        <f t="shared" si="341"/>
        <v/>
      </c>
      <c r="BG2155" s="11" t="str">
        <f t="shared" si="342"/>
        <v/>
      </c>
      <c r="BH2155" s="8" t="str">
        <f t="shared" si="343"/>
        <v/>
      </c>
      <c r="BI2155" s="8" t="str">
        <f t="shared" si="344"/>
        <v/>
      </c>
      <c r="BJ2155" s="9" t="str">
        <f t="shared" si="345"/>
        <v/>
      </c>
      <c r="BK2155" s="9" t="str">
        <f>IF($B2155="","",COUNTIFS($B$5:$B2155,$B2155,$BF$5:$BF2155,$BF2155))</f>
        <v/>
      </c>
      <c r="BL2155" s="9" t="str">
        <f>IF($B2155="","",COUNTIFS($B$5:$B2155,$B2155,$BH$5:$BH2155,$BH2155))</f>
        <v/>
      </c>
      <c r="BM2155" s="9" t="str">
        <f t="shared" si="346"/>
        <v/>
      </c>
      <c r="BN2155" s="9" t="str">
        <f t="shared" si="347"/>
        <v/>
      </c>
      <c r="BO2155" s="9">
        <f t="shared" si="348"/>
        <v>0</v>
      </c>
      <c r="BR2155" s="12" t="str">
        <f t="shared" si="349"/>
        <v/>
      </c>
    </row>
    <row r="2156" spans="1:70" ht="14.25" customHeight="1">
      <c r="A2156" s="26"/>
      <c r="C2156" s="26"/>
      <c r="D2156" s="27"/>
      <c r="E2156" s="27"/>
      <c r="BE2156" s="10" t="str">
        <f t="shared" si="340"/>
        <v/>
      </c>
      <c r="BF2156" s="8" t="str">
        <f t="shared" si="341"/>
        <v/>
      </c>
      <c r="BG2156" s="11" t="str">
        <f t="shared" si="342"/>
        <v/>
      </c>
      <c r="BH2156" s="8" t="str">
        <f t="shared" si="343"/>
        <v/>
      </c>
      <c r="BI2156" s="8" t="str">
        <f t="shared" si="344"/>
        <v/>
      </c>
      <c r="BJ2156" s="9" t="str">
        <f t="shared" si="345"/>
        <v/>
      </c>
      <c r="BK2156" s="9" t="str">
        <f>IF($B2156="","",COUNTIFS($B$5:$B2156,$B2156,$BF$5:$BF2156,$BF2156))</f>
        <v/>
      </c>
      <c r="BL2156" s="9" t="str">
        <f>IF($B2156="","",COUNTIFS($B$5:$B2156,$B2156,$BH$5:$BH2156,$BH2156))</f>
        <v/>
      </c>
      <c r="BM2156" s="9" t="str">
        <f t="shared" si="346"/>
        <v/>
      </c>
      <c r="BN2156" s="9" t="str">
        <f t="shared" si="347"/>
        <v/>
      </c>
      <c r="BO2156" s="9">
        <f t="shared" si="348"/>
        <v>0</v>
      </c>
      <c r="BR2156" s="12" t="str">
        <f t="shared" si="349"/>
        <v/>
      </c>
    </row>
    <row r="2157" spans="1:70" ht="14.25" customHeight="1">
      <c r="A2157" s="26"/>
      <c r="C2157" s="26"/>
      <c r="D2157" s="27"/>
      <c r="E2157" s="27"/>
      <c r="BE2157" s="10" t="str">
        <f t="shared" si="340"/>
        <v/>
      </c>
      <c r="BF2157" s="8" t="str">
        <f t="shared" si="341"/>
        <v/>
      </c>
      <c r="BG2157" s="11" t="str">
        <f t="shared" si="342"/>
        <v/>
      </c>
      <c r="BH2157" s="8" t="str">
        <f t="shared" si="343"/>
        <v/>
      </c>
      <c r="BI2157" s="8" t="str">
        <f t="shared" si="344"/>
        <v/>
      </c>
      <c r="BJ2157" s="9" t="str">
        <f t="shared" si="345"/>
        <v/>
      </c>
      <c r="BK2157" s="9" t="str">
        <f>IF($B2157="","",COUNTIFS($B$5:$B2157,$B2157,$BF$5:$BF2157,$BF2157))</f>
        <v/>
      </c>
      <c r="BL2157" s="9" t="str">
        <f>IF($B2157="","",COUNTIFS($B$5:$B2157,$B2157,$BH$5:$BH2157,$BH2157))</f>
        <v/>
      </c>
      <c r="BM2157" s="9" t="str">
        <f t="shared" si="346"/>
        <v/>
      </c>
      <c r="BN2157" s="9" t="str">
        <f t="shared" si="347"/>
        <v/>
      </c>
      <c r="BO2157" s="9">
        <f t="shared" si="348"/>
        <v>0</v>
      </c>
      <c r="BR2157" s="12" t="str">
        <f t="shared" si="349"/>
        <v/>
      </c>
    </row>
    <row r="2158" spans="1:70" ht="14.25" customHeight="1">
      <c r="A2158" s="26"/>
      <c r="C2158" s="26"/>
      <c r="D2158" s="27"/>
      <c r="E2158" s="27"/>
      <c r="BE2158" s="10" t="str">
        <f t="shared" si="340"/>
        <v/>
      </c>
      <c r="BF2158" s="8" t="str">
        <f t="shared" si="341"/>
        <v/>
      </c>
      <c r="BG2158" s="11" t="str">
        <f t="shared" si="342"/>
        <v/>
      </c>
      <c r="BH2158" s="8" t="str">
        <f t="shared" si="343"/>
        <v/>
      </c>
      <c r="BI2158" s="8" t="str">
        <f t="shared" si="344"/>
        <v/>
      </c>
      <c r="BJ2158" s="9" t="str">
        <f t="shared" si="345"/>
        <v/>
      </c>
      <c r="BK2158" s="9" t="str">
        <f>IF($B2158="","",COUNTIFS($B$5:$B2158,$B2158,$BF$5:$BF2158,$BF2158))</f>
        <v/>
      </c>
      <c r="BL2158" s="9" t="str">
        <f>IF($B2158="","",COUNTIFS($B$5:$B2158,$B2158,$BH$5:$BH2158,$BH2158))</f>
        <v/>
      </c>
      <c r="BM2158" s="9" t="str">
        <f t="shared" si="346"/>
        <v/>
      </c>
      <c r="BN2158" s="9" t="str">
        <f t="shared" si="347"/>
        <v/>
      </c>
      <c r="BO2158" s="9">
        <f t="shared" si="348"/>
        <v>0</v>
      </c>
      <c r="BR2158" s="12" t="str">
        <f t="shared" si="349"/>
        <v/>
      </c>
    </row>
    <row r="2159" spans="1:70" ht="14.25" customHeight="1">
      <c r="A2159" s="26"/>
      <c r="C2159" s="26"/>
      <c r="D2159" s="27"/>
      <c r="E2159" s="27"/>
      <c r="BE2159" s="10" t="str">
        <f t="shared" si="340"/>
        <v/>
      </c>
      <c r="BF2159" s="8" t="str">
        <f t="shared" si="341"/>
        <v/>
      </c>
      <c r="BG2159" s="11" t="str">
        <f t="shared" si="342"/>
        <v/>
      </c>
      <c r="BH2159" s="8" t="str">
        <f t="shared" si="343"/>
        <v/>
      </c>
      <c r="BI2159" s="8" t="str">
        <f t="shared" si="344"/>
        <v/>
      </c>
      <c r="BJ2159" s="9" t="str">
        <f t="shared" si="345"/>
        <v/>
      </c>
      <c r="BK2159" s="9" t="str">
        <f>IF($B2159="","",COUNTIFS($B$5:$B2159,$B2159,$BF$5:$BF2159,$BF2159))</f>
        <v/>
      </c>
      <c r="BL2159" s="9" t="str">
        <f>IF($B2159="","",COUNTIFS($B$5:$B2159,$B2159,$BH$5:$BH2159,$BH2159))</f>
        <v/>
      </c>
      <c r="BM2159" s="9" t="str">
        <f t="shared" si="346"/>
        <v/>
      </c>
      <c r="BN2159" s="9" t="str">
        <f t="shared" si="347"/>
        <v/>
      </c>
      <c r="BO2159" s="9">
        <f t="shared" si="348"/>
        <v>0</v>
      </c>
      <c r="BR2159" s="12" t="str">
        <f t="shared" si="349"/>
        <v/>
      </c>
    </row>
    <row r="2160" spans="1:70" ht="14.25" customHeight="1">
      <c r="A2160" s="26"/>
      <c r="C2160" s="26"/>
      <c r="D2160" s="27"/>
      <c r="E2160" s="27"/>
      <c r="BE2160" s="10" t="str">
        <f t="shared" si="340"/>
        <v/>
      </c>
      <c r="BF2160" s="8" t="str">
        <f t="shared" si="341"/>
        <v/>
      </c>
      <c r="BG2160" s="11" t="str">
        <f t="shared" si="342"/>
        <v/>
      </c>
      <c r="BH2160" s="8" t="str">
        <f t="shared" si="343"/>
        <v/>
      </c>
      <c r="BI2160" s="8" t="str">
        <f t="shared" si="344"/>
        <v/>
      </c>
      <c r="BJ2160" s="9" t="str">
        <f t="shared" si="345"/>
        <v/>
      </c>
      <c r="BK2160" s="9" t="str">
        <f>IF($B2160="","",COUNTIFS($B$5:$B2160,$B2160,$BF$5:$BF2160,$BF2160))</f>
        <v/>
      </c>
      <c r="BL2160" s="9" t="str">
        <f>IF($B2160="","",COUNTIFS($B$5:$B2160,$B2160,$BH$5:$BH2160,$BH2160))</f>
        <v/>
      </c>
      <c r="BM2160" s="9" t="str">
        <f t="shared" si="346"/>
        <v/>
      </c>
      <c r="BN2160" s="9" t="str">
        <f t="shared" si="347"/>
        <v/>
      </c>
      <c r="BO2160" s="9">
        <f t="shared" si="348"/>
        <v>0</v>
      </c>
      <c r="BR2160" s="12" t="str">
        <f t="shared" si="349"/>
        <v/>
      </c>
    </row>
    <row r="2161" spans="1:70" ht="14.25" customHeight="1">
      <c r="A2161" s="26"/>
      <c r="C2161" s="26"/>
      <c r="D2161" s="27"/>
      <c r="E2161" s="27"/>
      <c r="BE2161" s="10" t="str">
        <f t="shared" si="340"/>
        <v/>
      </c>
      <c r="BF2161" s="8" t="str">
        <f t="shared" si="341"/>
        <v/>
      </c>
      <c r="BG2161" s="11" t="str">
        <f t="shared" si="342"/>
        <v/>
      </c>
      <c r="BH2161" s="8" t="str">
        <f t="shared" si="343"/>
        <v/>
      </c>
      <c r="BI2161" s="8" t="str">
        <f t="shared" si="344"/>
        <v/>
      </c>
      <c r="BJ2161" s="9" t="str">
        <f t="shared" si="345"/>
        <v/>
      </c>
      <c r="BK2161" s="9" t="str">
        <f>IF($B2161="","",COUNTIFS($B$5:$B2161,$B2161,$BF$5:$BF2161,$BF2161))</f>
        <v/>
      </c>
      <c r="BL2161" s="9" t="str">
        <f>IF($B2161="","",COUNTIFS($B$5:$B2161,$B2161,$BH$5:$BH2161,$BH2161))</f>
        <v/>
      </c>
      <c r="BM2161" s="9" t="str">
        <f t="shared" si="346"/>
        <v/>
      </c>
      <c r="BN2161" s="9" t="str">
        <f t="shared" si="347"/>
        <v/>
      </c>
      <c r="BO2161" s="9">
        <f t="shared" si="348"/>
        <v>0</v>
      </c>
      <c r="BR2161" s="12" t="str">
        <f t="shared" si="349"/>
        <v/>
      </c>
    </row>
    <row r="2162" spans="1:70" ht="14.25" customHeight="1">
      <c r="A2162" s="26"/>
      <c r="C2162" s="26"/>
      <c r="D2162" s="27"/>
      <c r="E2162" s="27"/>
      <c r="BE2162" s="10" t="str">
        <f t="shared" si="340"/>
        <v/>
      </c>
      <c r="BF2162" s="8" t="str">
        <f t="shared" si="341"/>
        <v/>
      </c>
      <c r="BG2162" s="11" t="str">
        <f t="shared" si="342"/>
        <v/>
      </c>
      <c r="BH2162" s="8" t="str">
        <f t="shared" si="343"/>
        <v/>
      </c>
      <c r="BI2162" s="8" t="str">
        <f t="shared" si="344"/>
        <v/>
      </c>
      <c r="BJ2162" s="9" t="str">
        <f t="shared" si="345"/>
        <v/>
      </c>
      <c r="BK2162" s="9" t="str">
        <f>IF($B2162="","",COUNTIFS($B$5:$B2162,$B2162,$BF$5:$BF2162,$BF2162))</f>
        <v/>
      </c>
      <c r="BL2162" s="9" t="str">
        <f>IF($B2162="","",COUNTIFS($B$5:$B2162,$B2162,$BH$5:$BH2162,$BH2162))</f>
        <v/>
      </c>
      <c r="BM2162" s="9" t="str">
        <f t="shared" si="346"/>
        <v/>
      </c>
      <c r="BN2162" s="9" t="str">
        <f t="shared" si="347"/>
        <v/>
      </c>
      <c r="BO2162" s="9">
        <f t="shared" si="348"/>
        <v>0</v>
      </c>
      <c r="BR2162" s="12" t="str">
        <f t="shared" si="349"/>
        <v/>
      </c>
    </row>
    <row r="2163" spans="1:70" ht="14.25" customHeight="1">
      <c r="A2163" s="26"/>
      <c r="C2163" s="26"/>
      <c r="D2163" s="27"/>
      <c r="E2163" s="27"/>
      <c r="BE2163" s="10" t="str">
        <f t="shared" si="340"/>
        <v/>
      </c>
      <c r="BF2163" s="8" t="str">
        <f t="shared" si="341"/>
        <v/>
      </c>
      <c r="BG2163" s="11" t="str">
        <f t="shared" si="342"/>
        <v/>
      </c>
      <c r="BH2163" s="8" t="str">
        <f t="shared" si="343"/>
        <v/>
      </c>
      <c r="BI2163" s="8" t="str">
        <f t="shared" si="344"/>
        <v/>
      </c>
      <c r="BJ2163" s="9" t="str">
        <f t="shared" si="345"/>
        <v/>
      </c>
      <c r="BK2163" s="9" t="str">
        <f>IF($B2163="","",COUNTIFS($B$5:$B2163,$B2163,$BF$5:$BF2163,$BF2163))</f>
        <v/>
      </c>
      <c r="BL2163" s="9" t="str">
        <f>IF($B2163="","",COUNTIFS($B$5:$B2163,$B2163,$BH$5:$BH2163,$BH2163))</f>
        <v/>
      </c>
      <c r="BM2163" s="9" t="str">
        <f t="shared" si="346"/>
        <v/>
      </c>
      <c r="BN2163" s="9" t="str">
        <f t="shared" si="347"/>
        <v/>
      </c>
      <c r="BO2163" s="9">
        <f t="shared" si="348"/>
        <v>0</v>
      </c>
      <c r="BR2163" s="12" t="str">
        <f t="shared" si="349"/>
        <v/>
      </c>
    </row>
    <row r="2164" spans="1:70" ht="14.25" customHeight="1">
      <c r="A2164" s="26"/>
      <c r="C2164" s="26"/>
      <c r="D2164" s="27"/>
      <c r="E2164" s="27"/>
      <c r="BE2164" s="10" t="str">
        <f t="shared" si="340"/>
        <v/>
      </c>
      <c r="BF2164" s="8" t="str">
        <f t="shared" si="341"/>
        <v/>
      </c>
      <c r="BG2164" s="11" t="str">
        <f t="shared" si="342"/>
        <v/>
      </c>
      <c r="BH2164" s="8" t="str">
        <f t="shared" si="343"/>
        <v/>
      </c>
      <c r="BI2164" s="8" t="str">
        <f t="shared" si="344"/>
        <v/>
      </c>
      <c r="BJ2164" s="9" t="str">
        <f t="shared" si="345"/>
        <v/>
      </c>
      <c r="BK2164" s="9" t="str">
        <f>IF($B2164="","",COUNTIFS($B$5:$B2164,$B2164,$BF$5:$BF2164,$BF2164))</f>
        <v/>
      </c>
      <c r="BL2164" s="9" t="str">
        <f>IF($B2164="","",COUNTIFS($B$5:$B2164,$B2164,$BH$5:$BH2164,$BH2164))</f>
        <v/>
      </c>
      <c r="BM2164" s="9" t="str">
        <f t="shared" si="346"/>
        <v/>
      </c>
      <c r="BN2164" s="9" t="str">
        <f t="shared" si="347"/>
        <v/>
      </c>
      <c r="BO2164" s="9">
        <f t="shared" si="348"/>
        <v>0</v>
      </c>
      <c r="BR2164" s="12" t="str">
        <f t="shared" si="349"/>
        <v/>
      </c>
    </row>
    <row r="2165" spans="1:70" ht="14.25" customHeight="1">
      <c r="A2165" s="26"/>
      <c r="C2165" s="26"/>
      <c r="D2165" s="27"/>
      <c r="E2165" s="27"/>
      <c r="BE2165" s="10" t="str">
        <f t="shared" si="340"/>
        <v/>
      </c>
      <c r="BF2165" s="8" t="str">
        <f t="shared" si="341"/>
        <v/>
      </c>
      <c r="BG2165" s="11" t="str">
        <f t="shared" si="342"/>
        <v/>
      </c>
      <c r="BH2165" s="8" t="str">
        <f t="shared" si="343"/>
        <v/>
      </c>
      <c r="BI2165" s="8" t="str">
        <f t="shared" si="344"/>
        <v/>
      </c>
      <c r="BJ2165" s="9" t="str">
        <f t="shared" si="345"/>
        <v/>
      </c>
      <c r="BK2165" s="9" t="str">
        <f>IF($B2165="","",COUNTIFS($B$5:$B2165,$B2165,$BF$5:$BF2165,$BF2165))</f>
        <v/>
      </c>
      <c r="BL2165" s="9" t="str">
        <f>IF($B2165="","",COUNTIFS($B$5:$B2165,$B2165,$BH$5:$BH2165,$BH2165))</f>
        <v/>
      </c>
      <c r="BM2165" s="9" t="str">
        <f t="shared" si="346"/>
        <v/>
      </c>
      <c r="BN2165" s="9" t="str">
        <f t="shared" si="347"/>
        <v/>
      </c>
      <c r="BO2165" s="9">
        <f t="shared" si="348"/>
        <v>0</v>
      </c>
      <c r="BR2165" s="12" t="str">
        <f t="shared" si="349"/>
        <v/>
      </c>
    </row>
    <row r="2166" spans="1:70" ht="14.25" customHeight="1">
      <c r="A2166" s="26"/>
      <c r="C2166" s="26"/>
      <c r="D2166" s="27"/>
      <c r="E2166" s="27"/>
      <c r="BE2166" s="10" t="str">
        <f t="shared" si="340"/>
        <v/>
      </c>
      <c r="BF2166" s="8" t="str">
        <f t="shared" si="341"/>
        <v/>
      </c>
      <c r="BG2166" s="11" t="str">
        <f t="shared" si="342"/>
        <v/>
      </c>
      <c r="BH2166" s="8" t="str">
        <f t="shared" si="343"/>
        <v/>
      </c>
      <c r="BI2166" s="8" t="str">
        <f t="shared" si="344"/>
        <v/>
      </c>
      <c r="BJ2166" s="9" t="str">
        <f t="shared" si="345"/>
        <v/>
      </c>
      <c r="BK2166" s="9" t="str">
        <f>IF($B2166="","",COUNTIFS($B$5:$B2166,$B2166,$BF$5:$BF2166,$BF2166))</f>
        <v/>
      </c>
      <c r="BL2166" s="9" t="str">
        <f>IF($B2166="","",COUNTIFS($B$5:$B2166,$B2166,$BH$5:$BH2166,$BH2166))</f>
        <v/>
      </c>
      <c r="BM2166" s="9" t="str">
        <f t="shared" si="346"/>
        <v/>
      </c>
      <c r="BN2166" s="9" t="str">
        <f t="shared" si="347"/>
        <v/>
      </c>
      <c r="BO2166" s="9">
        <f t="shared" si="348"/>
        <v>0</v>
      </c>
      <c r="BR2166" s="12" t="str">
        <f t="shared" si="349"/>
        <v/>
      </c>
    </row>
    <row r="2167" spans="1:70" ht="14.25" customHeight="1">
      <c r="A2167" s="26"/>
      <c r="C2167" s="26"/>
      <c r="D2167" s="27"/>
      <c r="E2167" s="27"/>
      <c r="BE2167" s="10" t="str">
        <f t="shared" si="340"/>
        <v/>
      </c>
      <c r="BF2167" s="8" t="str">
        <f t="shared" si="341"/>
        <v/>
      </c>
      <c r="BG2167" s="11" t="str">
        <f t="shared" si="342"/>
        <v/>
      </c>
      <c r="BH2167" s="8" t="str">
        <f t="shared" si="343"/>
        <v/>
      </c>
      <c r="BI2167" s="8" t="str">
        <f t="shared" si="344"/>
        <v/>
      </c>
      <c r="BJ2167" s="9" t="str">
        <f t="shared" si="345"/>
        <v/>
      </c>
      <c r="BK2167" s="9" t="str">
        <f>IF($B2167="","",COUNTIFS($B$5:$B2167,$B2167,$BF$5:$BF2167,$BF2167))</f>
        <v/>
      </c>
      <c r="BL2167" s="9" t="str">
        <f>IF($B2167="","",COUNTIFS($B$5:$B2167,$B2167,$BH$5:$BH2167,$BH2167))</f>
        <v/>
      </c>
      <c r="BM2167" s="9" t="str">
        <f t="shared" si="346"/>
        <v/>
      </c>
      <c r="BN2167" s="9" t="str">
        <f t="shared" si="347"/>
        <v/>
      </c>
      <c r="BO2167" s="9">
        <f t="shared" si="348"/>
        <v>0</v>
      </c>
      <c r="BR2167" s="12" t="str">
        <f t="shared" si="349"/>
        <v/>
      </c>
    </row>
    <row r="2168" spans="1:70" ht="14.25" customHeight="1">
      <c r="A2168" s="26"/>
      <c r="C2168" s="26"/>
      <c r="D2168" s="27"/>
      <c r="E2168" s="27"/>
      <c r="BE2168" s="10" t="str">
        <f t="shared" si="340"/>
        <v/>
      </c>
      <c r="BF2168" s="8" t="str">
        <f t="shared" si="341"/>
        <v/>
      </c>
      <c r="BG2168" s="11" t="str">
        <f t="shared" si="342"/>
        <v/>
      </c>
      <c r="BH2168" s="8" t="str">
        <f t="shared" si="343"/>
        <v/>
      </c>
      <c r="BI2168" s="8" t="str">
        <f t="shared" si="344"/>
        <v/>
      </c>
      <c r="BJ2168" s="9" t="str">
        <f t="shared" si="345"/>
        <v/>
      </c>
      <c r="BK2168" s="9" t="str">
        <f>IF($B2168="","",COUNTIFS($B$5:$B2168,$B2168,$BF$5:$BF2168,$BF2168))</f>
        <v/>
      </c>
      <c r="BL2168" s="9" t="str">
        <f>IF($B2168="","",COUNTIFS($B$5:$B2168,$B2168,$BH$5:$BH2168,$BH2168))</f>
        <v/>
      </c>
      <c r="BM2168" s="9" t="str">
        <f t="shared" si="346"/>
        <v/>
      </c>
      <c r="BN2168" s="9" t="str">
        <f t="shared" si="347"/>
        <v/>
      </c>
      <c r="BO2168" s="9">
        <f t="shared" si="348"/>
        <v>0</v>
      </c>
      <c r="BR2168" s="12" t="str">
        <f t="shared" si="349"/>
        <v/>
      </c>
    </row>
    <row r="2169" spans="1:70" ht="14.25" customHeight="1">
      <c r="A2169" s="26"/>
      <c r="C2169" s="26"/>
      <c r="D2169" s="27"/>
      <c r="E2169" s="27"/>
      <c r="BE2169" s="10" t="str">
        <f t="shared" si="340"/>
        <v/>
      </c>
      <c r="BF2169" s="8" t="str">
        <f t="shared" si="341"/>
        <v/>
      </c>
      <c r="BG2169" s="11" t="str">
        <f t="shared" si="342"/>
        <v/>
      </c>
      <c r="BH2169" s="8" t="str">
        <f t="shared" si="343"/>
        <v/>
      </c>
      <c r="BI2169" s="8" t="str">
        <f t="shared" si="344"/>
        <v/>
      </c>
      <c r="BJ2169" s="9" t="str">
        <f t="shared" si="345"/>
        <v/>
      </c>
      <c r="BK2169" s="9" t="str">
        <f>IF($B2169="","",COUNTIFS($B$5:$B2169,$B2169,$BF$5:$BF2169,$BF2169))</f>
        <v/>
      </c>
      <c r="BL2169" s="9" t="str">
        <f>IF($B2169="","",COUNTIFS($B$5:$B2169,$B2169,$BH$5:$BH2169,$BH2169))</f>
        <v/>
      </c>
      <c r="BM2169" s="9" t="str">
        <f t="shared" si="346"/>
        <v/>
      </c>
      <c r="BN2169" s="9" t="str">
        <f t="shared" si="347"/>
        <v/>
      </c>
      <c r="BO2169" s="9">
        <f t="shared" si="348"/>
        <v>0</v>
      </c>
      <c r="BR2169" s="12" t="str">
        <f t="shared" si="349"/>
        <v/>
      </c>
    </row>
    <row r="2170" spans="1:70" ht="14.25" customHeight="1">
      <c r="A2170" s="26"/>
      <c r="C2170" s="26"/>
      <c r="D2170" s="27"/>
      <c r="E2170" s="27"/>
      <c r="BE2170" s="10" t="str">
        <f t="shared" si="340"/>
        <v/>
      </c>
      <c r="BF2170" s="8" t="str">
        <f t="shared" si="341"/>
        <v/>
      </c>
      <c r="BG2170" s="11" t="str">
        <f t="shared" si="342"/>
        <v/>
      </c>
      <c r="BH2170" s="8" t="str">
        <f t="shared" si="343"/>
        <v/>
      </c>
      <c r="BI2170" s="8" t="str">
        <f t="shared" si="344"/>
        <v/>
      </c>
      <c r="BJ2170" s="9" t="str">
        <f t="shared" si="345"/>
        <v/>
      </c>
      <c r="BK2170" s="9" t="str">
        <f>IF($B2170="","",COUNTIFS($B$5:$B2170,$B2170,$BF$5:$BF2170,$BF2170))</f>
        <v/>
      </c>
      <c r="BL2170" s="9" t="str">
        <f>IF($B2170="","",COUNTIFS($B$5:$B2170,$B2170,$BH$5:$BH2170,$BH2170))</f>
        <v/>
      </c>
      <c r="BM2170" s="9" t="str">
        <f t="shared" si="346"/>
        <v/>
      </c>
      <c r="BN2170" s="9" t="str">
        <f t="shared" si="347"/>
        <v/>
      </c>
      <c r="BO2170" s="9">
        <f t="shared" si="348"/>
        <v>0</v>
      </c>
      <c r="BR2170" s="12" t="str">
        <f t="shared" si="349"/>
        <v/>
      </c>
    </row>
    <row r="2171" spans="1:70" ht="14.25" customHeight="1">
      <c r="A2171" s="26"/>
      <c r="C2171" s="26"/>
      <c r="D2171" s="27"/>
      <c r="E2171" s="27"/>
      <c r="BE2171" s="10" t="str">
        <f t="shared" si="340"/>
        <v/>
      </c>
      <c r="BF2171" s="8" t="str">
        <f t="shared" si="341"/>
        <v/>
      </c>
      <c r="BG2171" s="11" t="str">
        <f t="shared" si="342"/>
        <v/>
      </c>
      <c r="BH2171" s="8" t="str">
        <f t="shared" si="343"/>
        <v/>
      </c>
      <c r="BI2171" s="8" t="str">
        <f t="shared" si="344"/>
        <v/>
      </c>
      <c r="BJ2171" s="9" t="str">
        <f t="shared" si="345"/>
        <v/>
      </c>
      <c r="BK2171" s="9" t="str">
        <f>IF($B2171="","",COUNTIFS($B$5:$B2171,$B2171,$BF$5:$BF2171,$BF2171))</f>
        <v/>
      </c>
      <c r="BL2171" s="9" t="str">
        <f>IF($B2171="","",COUNTIFS($B$5:$B2171,$B2171,$BH$5:$BH2171,$BH2171))</f>
        <v/>
      </c>
      <c r="BM2171" s="9" t="str">
        <f t="shared" si="346"/>
        <v/>
      </c>
      <c r="BN2171" s="9" t="str">
        <f t="shared" si="347"/>
        <v/>
      </c>
      <c r="BO2171" s="9">
        <f t="shared" si="348"/>
        <v>0</v>
      </c>
      <c r="BR2171" s="12" t="str">
        <f t="shared" si="349"/>
        <v/>
      </c>
    </row>
    <row r="2172" spans="1:70" ht="14.25" customHeight="1">
      <c r="A2172" s="26"/>
      <c r="C2172" s="26"/>
      <c r="D2172" s="27"/>
      <c r="E2172" s="27"/>
      <c r="BE2172" s="10" t="str">
        <f t="shared" si="340"/>
        <v/>
      </c>
      <c r="BF2172" s="8" t="str">
        <f t="shared" si="341"/>
        <v/>
      </c>
      <c r="BG2172" s="11" t="str">
        <f t="shared" si="342"/>
        <v/>
      </c>
      <c r="BH2172" s="8" t="str">
        <f t="shared" si="343"/>
        <v/>
      </c>
      <c r="BI2172" s="8" t="str">
        <f t="shared" si="344"/>
        <v/>
      </c>
      <c r="BJ2172" s="9" t="str">
        <f t="shared" si="345"/>
        <v/>
      </c>
      <c r="BK2172" s="9" t="str">
        <f>IF($B2172="","",COUNTIFS($B$5:$B2172,$B2172,$BF$5:$BF2172,$BF2172))</f>
        <v/>
      </c>
      <c r="BL2172" s="9" t="str">
        <f>IF($B2172="","",COUNTIFS($B$5:$B2172,$B2172,$BH$5:$BH2172,$BH2172))</f>
        <v/>
      </c>
      <c r="BM2172" s="9" t="str">
        <f t="shared" si="346"/>
        <v/>
      </c>
      <c r="BN2172" s="9" t="str">
        <f t="shared" si="347"/>
        <v/>
      </c>
      <c r="BO2172" s="9">
        <f t="shared" si="348"/>
        <v>0</v>
      </c>
      <c r="BR2172" s="12" t="str">
        <f t="shared" si="349"/>
        <v/>
      </c>
    </row>
    <row r="2173" spans="1:70" ht="14.25" customHeight="1">
      <c r="A2173" s="26"/>
      <c r="C2173" s="26"/>
      <c r="D2173" s="27"/>
      <c r="E2173" s="27"/>
      <c r="BE2173" s="10" t="str">
        <f t="shared" si="340"/>
        <v/>
      </c>
      <c r="BF2173" s="8" t="str">
        <f t="shared" si="341"/>
        <v/>
      </c>
      <c r="BG2173" s="11" t="str">
        <f t="shared" si="342"/>
        <v/>
      </c>
      <c r="BH2173" s="8" t="str">
        <f t="shared" si="343"/>
        <v/>
      </c>
      <c r="BI2173" s="8" t="str">
        <f t="shared" si="344"/>
        <v/>
      </c>
      <c r="BJ2173" s="9" t="str">
        <f t="shared" si="345"/>
        <v/>
      </c>
      <c r="BK2173" s="9" t="str">
        <f>IF($B2173="","",COUNTIFS($B$5:$B2173,$B2173,$BF$5:$BF2173,$BF2173))</f>
        <v/>
      </c>
      <c r="BL2173" s="9" t="str">
        <f>IF($B2173="","",COUNTIFS($B$5:$B2173,$B2173,$BH$5:$BH2173,$BH2173))</f>
        <v/>
      </c>
      <c r="BM2173" s="9" t="str">
        <f t="shared" si="346"/>
        <v/>
      </c>
      <c r="BN2173" s="9" t="str">
        <f t="shared" si="347"/>
        <v/>
      </c>
      <c r="BO2173" s="9">
        <f t="shared" si="348"/>
        <v>0</v>
      </c>
      <c r="BR2173" s="12" t="str">
        <f t="shared" si="349"/>
        <v/>
      </c>
    </row>
    <row r="2174" spans="1:70" ht="14.25" customHeight="1">
      <c r="A2174" s="26"/>
      <c r="C2174" s="26"/>
      <c r="D2174" s="27"/>
      <c r="E2174" s="27"/>
      <c r="BE2174" s="10" t="str">
        <f t="shared" si="340"/>
        <v/>
      </c>
      <c r="BF2174" s="8" t="str">
        <f t="shared" si="341"/>
        <v/>
      </c>
      <c r="BG2174" s="11" t="str">
        <f t="shared" si="342"/>
        <v/>
      </c>
      <c r="BH2174" s="8" t="str">
        <f t="shared" si="343"/>
        <v/>
      </c>
      <c r="BI2174" s="8" t="str">
        <f t="shared" si="344"/>
        <v/>
      </c>
      <c r="BJ2174" s="9" t="str">
        <f t="shared" si="345"/>
        <v/>
      </c>
      <c r="BK2174" s="9" t="str">
        <f>IF($B2174="","",COUNTIFS($B$5:$B2174,$B2174,$BF$5:$BF2174,$BF2174))</f>
        <v/>
      </c>
      <c r="BL2174" s="9" t="str">
        <f>IF($B2174="","",COUNTIFS($B$5:$B2174,$B2174,$BH$5:$BH2174,$BH2174))</f>
        <v/>
      </c>
      <c r="BM2174" s="9" t="str">
        <f t="shared" si="346"/>
        <v/>
      </c>
      <c r="BN2174" s="9" t="str">
        <f t="shared" si="347"/>
        <v/>
      </c>
      <c r="BO2174" s="9">
        <f t="shared" si="348"/>
        <v>0</v>
      </c>
      <c r="BR2174" s="12" t="str">
        <f t="shared" si="349"/>
        <v/>
      </c>
    </row>
    <row r="2175" spans="1:70" ht="14.25" customHeight="1">
      <c r="A2175" s="26"/>
      <c r="C2175" s="26"/>
      <c r="D2175" s="27"/>
      <c r="E2175" s="27"/>
      <c r="BE2175" s="10" t="str">
        <f t="shared" si="340"/>
        <v/>
      </c>
      <c r="BF2175" s="8" t="str">
        <f t="shared" si="341"/>
        <v/>
      </c>
      <c r="BG2175" s="11" t="str">
        <f t="shared" si="342"/>
        <v/>
      </c>
      <c r="BH2175" s="8" t="str">
        <f t="shared" si="343"/>
        <v/>
      </c>
      <c r="BI2175" s="8" t="str">
        <f t="shared" si="344"/>
        <v/>
      </c>
      <c r="BJ2175" s="9" t="str">
        <f t="shared" si="345"/>
        <v/>
      </c>
      <c r="BK2175" s="9" t="str">
        <f>IF($B2175="","",COUNTIFS($B$5:$B2175,$B2175,$BF$5:$BF2175,$BF2175))</f>
        <v/>
      </c>
      <c r="BL2175" s="9" t="str">
        <f>IF($B2175="","",COUNTIFS($B$5:$B2175,$B2175,$BH$5:$BH2175,$BH2175))</f>
        <v/>
      </c>
      <c r="BM2175" s="9" t="str">
        <f t="shared" si="346"/>
        <v/>
      </c>
      <c r="BN2175" s="9" t="str">
        <f t="shared" si="347"/>
        <v/>
      </c>
      <c r="BO2175" s="9">
        <f t="shared" si="348"/>
        <v>0</v>
      </c>
      <c r="BR2175" s="12" t="str">
        <f t="shared" si="349"/>
        <v/>
      </c>
    </row>
    <row r="2176" spans="1:70" ht="14.25" customHeight="1">
      <c r="A2176" s="26"/>
      <c r="C2176" s="26"/>
      <c r="D2176" s="27"/>
      <c r="E2176" s="27"/>
      <c r="BE2176" s="10" t="str">
        <f t="shared" si="340"/>
        <v/>
      </c>
      <c r="BF2176" s="8" t="str">
        <f t="shared" si="341"/>
        <v/>
      </c>
      <c r="BG2176" s="11" t="str">
        <f t="shared" si="342"/>
        <v/>
      </c>
      <c r="BH2176" s="8" t="str">
        <f t="shared" si="343"/>
        <v/>
      </c>
      <c r="BI2176" s="8" t="str">
        <f t="shared" si="344"/>
        <v/>
      </c>
      <c r="BJ2176" s="9" t="str">
        <f t="shared" si="345"/>
        <v/>
      </c>
      <c r="BK2176" s="9" t="str">
        <f>IF($B2176="","",COUNTIFS($B$5:$B2176,$B2176,$BF$5:$BF2176,$BF2176))</f>
        <v/>
      </c>
      <c r="BL2176" s="9" t="str">
        <f>IF($B2176="","",COUNTIFS($B$5:$B2176,$B2176,$BH$5:$BH2176,$BH2176))</f>
        <v/>
      </c>
      <c r="BM2176" s="9" t="str">
        <f t="shared" si="346"/>
        <v/>
      </c>
      <c r="BN2176" s="9" t="str">
        <f t="shared" si="347"/>
        <v/>
      </c>
      <c r="BO2176" s="9">
        <f t="shared" si="348"/>
        <v>0</v>
      </c>
      <c r="BR2176" s="12" t="str">
        <f t="shared" si="349"/>
        <v/>
      </c>
    </row>
    <row r="2177" spans="1:70" ht="14.25" customHeight="1">
      <c r="A2177" s="26"/>
      <c r="C2177" s="26"/>
      <c r="D2177" s="27"/>
      <c r="E2177" s="27"/>
      <c r="BE2177" s="10" t="str">
        <f t="shared" si="340"/>
        <v/>
      </c>
      <c r="BF2177" s="8" t="str">
        <f t="shared" si="341"/>
        <v/>
      </c>
      <c r="BG2177" s="11" t="str">
        <f t="shared" si="342"/>
        <v/>
      </c>
      <c r="BH2177" s="8" t="str">
        <f t="shared" si="343"/>
        <v/>
      </c>
      <c r="BI2177" s="8" t="str">
        <f t="shared" si="344"/>
        <v/>
      </c>
      <c r="BJ2177" s="9" t="str">
        <f t="shared" si="345"/>
        <v/>
      </c>
      <c r="BK2177" s="9" t="str">
        <f>IF($B2177="","",COUNTIFS($B$5:$B2177,$B2177,$BF$5:$BF2177,$BF2177))</f>
        <v/>
      </c>
      <c r="BL2177" s="9" t="str">
        <f>IF($B2177="","",COUNTIFS($B$5:$B2177,$B2177,$BH$5:$BH2177,$BH2177))</f>
        <v/>
      </c>
      <c r="BM2177" s="9" t="str">
        <f t="shared" si="346"/>
        <v/>
      </c>
      <c r="BN2177" s="9" t="str">
        <f t="shared" si="347"/>
        <v/>
      </c>
      <c r="BO2177" s="9">
        <f t="shared" si="348"/>
        <v>0</v>
      </c>
      <c r="BR2177" s="12" t="str">
        <f t="shared" si="349"/>
        <v/>
      </c>
    </row>
    <row r="2178" spans="1:70" ht="14.25" customHeight="1">
      <c r="A2178" s="26"/>
      <c r="C2178" s="26"/>
      <c r="D2178" s="27"/>
      <c r="E2178" s="27"/>
      <c r="BE2178" s="10" t="str">
        <f t="shared" si="340"/>
        <v/>
      </c>
      <c r="BF2178" s="8" t="str">
        <f t="shared" si="341"/>
        <v/>
      </c>
      <c r="BG2178" s="11" t="str">
        <f t="shared" si="342"/>
        <v/>
      </c>
      <c r="BH2178" s="8" t="str">
        <f t="shared" si="343"/>
        <v/>
      </c>
      <c r="BI2178" s="8" t="str">
        <f t="shared" si="344"/>
        <v/>
      </c>
      <c r="BJ2178" s="9" t="str">
        <f t="shared" si="345"/>
        <v/>
      </c>
      <c r="BK2178" s="9" t="str">
        <f>IF($B2178="","",COUNTIFS($B$5:$B2178,$B2178,$BF$5:$BF2178,$BF2178))</f>
        <v/>
      </c>
      <c r="BL2178" s="9" t="str">
        <f>IF($B2178="","",COUNTIFS($B$5:$B2178,$B2178,$BH$5:$BH2178,$BH2178))</f>
        <v/>
      </c>
      <c r="BM2178" s="9" t="str">
        <f t="shared" si="346"/>
        <v/>
      </c>
      <c r="BN2178" s="9" t="str">
        <f t="shared" si="347"/>
        <v/>
      </c>
      <c r="BO2178" s="9">
        <f t="shared" si="348"/>
        <v>0</v>
      </c>
      <c r="BR2178" s="12" t="str">
        <f t="shared" si="349"/>
        <v/>
      </c>
    </row>
    <row r="2179" spans="1:70" ht="14.25" customHeight="1">
      <c r="A2179" s="26"/>
      <c r="C2179" s="26"/>
      <c r="D2179" s="27"/>
      <c r="E2179" s="27"/>
      <c r="BE2179" s="10" t="str">
        <f t="shared" si="340"/>
        <v/>
      </c>
      <c r="BF2179" s="8" t="str">
        <f t="shared" si="341"/>
        <v/>
      </c>
      <c r="BG2179" s="11" t="str">
        <f t="shared" si="342"/>
        <v/>
      </c>
      <c r="BH2179" s="8" t="str">
        <f t="shared" si="343"/>
        <v/>
      </c>
      <c r="BI2179" s="8" t="str">
        <f t="shared" si="344"/>
        <v/>
      </c>
      <c r="BJ2179" s="9" t="str">
        <f t="shared" si="345"/>
        <v/>
      </c>
      <c r="BK2179" s="9" t="str">
        <f>IF($B2179="","",COUNTIFS($B$5:$B2179,$B2179,$BF$5:$BF2179,$BF2179))</f>
        <v/>
      </c>
      <c r="BL2179" s="9" t="str">
        <f>IF($B2179="","",COUNTIFS($B$5:$B2179,$B2179,$BH$5:$BH2179,$BH2179))</f>
        <v/>
      </c>
      <c r="BM2179" s="9" t="str">
        <f t="shared" si="346"/>
        <v/>
      </c>
      <c r="BN2179" s="9" t="str">
        <f t="shared" si="347"/>
        <v/>
      </c>
      <c r="BO2179" s="9">
        <f t="shared" si="348"/>
        <v>0</v>
      </c>
      <c r="BR2179" s="12" t="str">
        <f t="shared" si="349"/>
        <v/>
      </c>
    </row>
    <row r="2180" spans="1:70" ht="14.25" customHeight="1">
      <c r="A2180" s="26"/>
      <c r="C2180" s="26"/>
      <c r="D2180" s="27"/>
      <c r="E2180" s="27"/>
      <c r="BE2180" s="10" t="str">
        <f t="shared" si="340"/>
        <v/>
      </c>
      <c r="BF2180" s="8" t="str">
        <f t="shared" si="341"/>
        <v/>
      </c>
      <c r="BG2180" s="11" t="str">
        <f t="shared" si="342"/>
        <v/>
      </c>
      <c r="BH2180" s="8" t="str">
        <f t="shared" si="343"/>
        <v/>
      </c>
      <c r="BI2180" s="8" t="str">
        <f t="shared" si="344"/>
        <v/>
      </c>
      <c r="BJ2180" s="9" t="str">
        <f t="shared" si="345"/>
        <v/>
      </c>
      <c r="BK2180" s="9" t="str">
        <f>IF($B2180="","",COUNTIFS($B$5:$B2180,$B2180,$BF$5:$BF2180,$BF2180))</f>
        <v/>
      </c>
      <c r="BL2180" s="9" t="str">
        <f>IF($B2180="","",COUNTIFS($B$5:$B2180,$B2180,$BH$5:$BH2180,$BH2180))</f>
        <v/>
      </c>
      <c r="BM2180" s="9" t="str">
        <f t="shared" si="346"/>
        <v/>
      </c>
      <c r="BN2180" s="9" t="str">
        <f t="shared" si="347"/>
        <v/>
      </c>
      <c r="BO2180" s="9">
        <f t="shared" si="348"/>
        <v>0</v>
      </c>
      <c r="BR2180" s="12" t="str">
        <f t="shared" si="349"/>
        <v/>
      </c>
    </row>
    <row r="2181" spans="1:70" ht="14.25" customHeight="1">
      <c r="A2181" s="26"/>
      <c r="C2181" s="26"/>
      <c r="D2181" s="27"/>
      <c r="E2181" s="27"/>
      <c r="BE2181" s="10" t="str">
        <f t="shared" si="340"/>
        <v/>
      </c>
      <c r="BF2181" s="8" t="str">
        <f t="shared" si="341"/>
        <v/>
      </c>
      <c r="BG2181" s="11" t="str">
        <f t="shared" si="342"/>
        <v/>
      </c>
      <c r="BH2181" s="8" t="str">
        <f t="shared" si="343"/>
        <v/>
      </c>
      <c r="BI2181" s="8" t="str">
        <f t="shared" si="344"/>
        <v/>
      </c>
      <c r="BJ2181" s="9" t="str">
        <f t="shared" si="345"/>
        <v/>
      </c>
      <c r="BK2181" s="9" t="str">
        <f>IF($B2181="","",COUNTIFS($B$5:$B2181,$B2181,$BF$5:$BF2181,$BF2181))</f>
        <v/>
      </c>
      <c r="BL2181" s="9" t="str">
        <f>IF($B2181="","",COUNTIFS($B$5:$B2181,$B2181,$BH$5:$BH2181,$BH2181))</f>
        <v/>
      </c>
      <c r="BM2181" s="9" t="str">
        <f t="shared" si="346"/>
        <v/>
      </c>
      <c r="BN2181" s="9" t="str">
        <f t="shared" si="347"/>
        <v/>
      </c>
      <c r="BO2181" s="9">
        <f t="shared" si="348"/>
        <v>0</v>
      </c>
      <c r="BR2181" s="12" t="str">
        <f t="shared" si="349"/>
        <v/>
      </c>
    </row>
    <row r="2182" spans="1:70" ht="14.25" customHeight="1">
      <c r="A2182" s="26"/>
      <c r="C2182" s="26"/>
      <c r="D2182" s="27"/>
      <c r="E2182" s="27"/>
      <c r="BE2182" s="10" t="str">
        <f t="shared" si="340"/>
        <v/>
      </c>
      <c r="BF2182" s="8" t="str">
        <f t="shared" si="341"/>
        <v/>
      </c>
      <c r="BG2182" s="11" t="str">
        <f t="shared" si="342"/>
        <v/>
      </c>
      <c r="BH2182" s="8" t="str">
        <f t="shared" si="343"/>
        <v/>
      </c>
      <c r="BI2182" s="8" t="str">
        <f t="shared" si="344"/>
        <v/>
      </c>
      <c r="BJ2182" s="9" t="str">
        <f t="shared" si="345"/>
        <v/>
      </c>
      <c r="BK2182" s="9" t="str">
        <f>IF($B2182="","",COUNTIFS($B$5:$B2182,$B2182,$BF$5:$BF2182,$BF2182))</f>
        <v/>
      </c>
      <c r="BL2182" s="9" t="str">
        <f>IF($B2182="","",COUNTIFS($B$5:$B2182,$B2182,$BH$5:$BH2182,$BH2182))</f>
        <v/>
      </c>
      <c r="BM2182" s="9" t="str">
        <f t="shared" si="346"/>
        <v/>
      </c>
      <c r="BN2182" s="9" t="str">
        <f t="shared" si="347"/>
        <v/>
      </c>
      <c r="BO2182" s="9">
        <f t="shared" si="348"/>
        <v>0</v>
      </c>
      <c r="BR2182" s="12" t="str">
        <f t="shared" si="349"/>
        <v/>
      </c>
    </row>
    <row r="2183" spans="1:70" ht="14.25" customHeight="1">
      <c r="A2183" s="26"/>
      <c r="C2183" s="26"/>
      <c r="D2183" s="27"/>
      <c r="E2183" s="27"/>
      <c r="BE2183" s="10" t="str">
        <f t="shared" si="340"/>
        <v/>
      </c>
      <c r="BF2183" s="8" t="str">
        <f t="shared" si="341"/>
        <v/>
      </c>
      <c r="BG2183" s="11" t="str">
        <f t="shared" si="342"/>
        <v/>
      </c>
      <c r="BH2183" s="8" t="str">
        <f t="shared" si="343"/>
        <v/>
      </c>
      <c r="BI2183" s="8" t="str">
        <f t="shared" si="344"/>
        <v/>
      </c>
      <c r="BJ2183" s="9" t="str">
        <f t="shared" si="345"/>
        <v/>
      </c>
      <c r="BK2183" s="9" t="str">
        <f>IF($B2183="","",COUNTIFS($B$5:$B2183,$B2183,$BF$5:$BF2183,$BF2183))</f>
        <v/>
      </c>
      <c r="BL2183" s="9" t="str">
        <f>IF($B2183="","",COUNTIFS($B$5:$B2183,$B2183,$BH$5:$BH2183,$BH2183))</f>
        <v/>
      </c>
      <c r="BM2183" s="9" t="str">
        <f t="shared" si="346"/>
        <v/>
      </c>
      <c r="BN2183" s="9" t="str">
        <f t="shared" si="347"/>
        <v/>
      </c>
      <c r="BO2183" s="9">
        <f t="shared" si="348"/>
        <v>0</v>
      </c>
      <c r="BR2183" s="12" t="str">
        <f t="shared" si="349"/>
        <v/>
      </c>
    </row>
    <row r="2184" spans="1:70" ht="14.25" customHeight="1">
      <c r="A2184" s="26"/>
      <c r="C2184" s="26"/>
      <c r="D2184" s="27"/>
      <c r="E2184" s="27"/>
      <c r="BE2184" s="10" t="str">
        <f t="shared" si="340"/>
        <v/>
      </c>
      <c r="BF2184" s="8" t="str">
        <f t="shared" si="341"/>
        <v/>
      </c>
      <c r="BG2184" s="11" t="str">
        <f t="shared" si="342"/>
        <v/>
      </c>
      <c r="BH2184" s="8" t="str">
        <f t="shared" si="343"/>
        <v/>
      </c>
      <c r="BI2184" s="8" t="str">
        <f t="shared" si="344"/>
        <v/>
      </c>
      <c r="BJ2184" s="9" t="str">
        <f t="shared" si="345"/>
        <v/>
      </c>
      <c r="BK2184" s="9" t="str">
        <f>IF($B2184="","",COUNTIFS($B$5:$B2184,$B2184,$BF$5:$BF2184,$BF2184))</f>
        <v/>
      </c>
      <c r="BL2184" s="9" t="str">
        <f>IF($B2184="","",COUNTIFS($B$5:$B2184,$B2184,$BH$5:$BH2184,$BH2184))</f>
        <v/>
      </c>
      <c r="BM2184" s="9" t="str">
        <f t="shared" si="346"/>
        <v/>
      </c>
      <c r="BN2184" s="9" t="str">
        <f t="shared" si="347"/>
        <v/>
      </c>
      <c r="BO2184" s="9">
        <f t="shared" si="348"/>
        <v>0</v>
      </c>
      <c r="BR2184" s="12" t="str">
        <f t="shared" si="349"/>
        <v/>
      </c>
    </row>
    <row r="2185" spans="1:70" ht="14.25" customHeight="1">
      <c r="A2185" s="26"/>
      <c r="C2185" s="26"/>
      <c r="D2185" s="27"/>
      <c r="E2185" s="27"/>
      <c r="BE2185" s="10" t="str">
        <f t="shared" si="340"/>
        <v/>
      </c>
      <c r="BF2185" s="8" t="str">
        <f t="shared" si="341"/>
        <v/>
      </c>
      <c r="BG2185" s="11" t="str">
        <f t="shared" si="342"/>
        <v/>
      </c>
      <c r="BH2185" s="8" t="str">
        <f t="shared" si="343"/>
        <v/>
      </c>
      <c r="BI2185" s="8" t="str">
        <f t="shared" si="344"/>
        <v/>
      </c>
      <c r="BJ2185" s="9" t="str">
        <f t="shared" si="345"/>
        <v/>
      </c>
      <c r="BK2185" s="9" t="str">
        <f>IF($B2185="","",COUNTIFS($B$5:$B2185,$B2185,$BF$5:$BF2185,$BF2185))</f>
        <v/>
      </c>
      <c r="BL2185" s="9" t="str">
        <f>IF($B2185="","",COUNTIFS($B$5:$B2185,$B2185,$BH$5:$BH2185,$BH2185))</f>
        <v/>
      </c>
      <c r="BM2185" s="9" t="str">
        <f t="shared" si="346"/>
        <v/>
      </c>
      <c r="BN2185" s="9" t="str">
        <f t="shared" si="347"/>
        <v/>
      </c>
      <c r="BO2185" s="9">
        <f t="shared" si="348"/>
        <v>0</v>
      </c>
      <c r="BR2185" s="12" t="str">
        <f t="shared" si="349"/>
        <v/>
      </c>
    </row>
    <row r="2186" spans="1:70" ht="14.25" customHeight="1">
      <c r="A2186" s="26"/>
      <c r="C2186" s="26"/>
      <c r="D2186" s="27"/>
      <c r="E2186" s="27"/>
      <c r="BE2186" s="10" t="str">
        <f t="shared" si="340"/>
        <v/>
      </c>
      <c r="BF2186" s="8" t="str">
        <f t="shared" si="341"/>
        <v/>
      </c>
      <c r="BG2186" s="11" t="str">
        <f t="shared" si="342"/>
        <v/>
      </c>
      <c r="BH2186" s="8" t="str">
        <f t="shared" si="343"/>
        <v/>
      </c>
      <c r="BI2186" s="8" t="str">
        <f t="shared" si="344"/>
        <v/>
      </c>
      <c r="BJ2186" s="9" t="str">
        <f t="shared" si="345"/>
        <v/>
      </c>
      <c r="BK2186" s="9" t="str">
        <f>IF($B2186="","",COUNTIFS($B$5:$B2186,$B2186,$BF$5:$BF2186,$BF2186))</f>
        <v/>
      </c>
      <c r="BL2186" s="9" t="str">
        <f>IF($B2186="","",COUNTIFS($B$5:$B2186,$B2186,$BH$5:$BH2186,$BH2186))</f>
        <v/>
      </c>
      <c r="BM2186" s="9" t="str">
        <f t="shared" si="346"/>
        <v/>
      </c>
      <c r="BN2186" s="9" t="str">
        <f t="shared" si="347"/>
        <v/>
      </c>
      <c r="BO2186" s="9">
        <f t="shared" si="348"/>
        <v>0</v>
      </c>
      <c r="BR2186" s="12" t="str">
        <f t="shared" si="349"/>
        <v/>
      </c>
    </row>
    <row r="2187" spans="1:70" ht="14.25" customHeight="1">
      <c r="A2187" s="26"/>
      <c r="C2187" s="26"/>
      <c r="D2187" s="27"/>
      <c r="E2187" s="27"/>
      <c r="BE2187" s="10" t="str">
        <f t="shared" si="340"/>
        <v/>
      </c>
      <c r="BF2187" s="8" t="str">
        <f t="shared" si="341"/>
        <v/>
      </c>
      <c r="BG2187" s="11" t="str">
        <f t="shared" si="342"/>
        <v/>
      </c>
      <c r="BH2187" s="8" t="str">
        <f t="shared" si="343"/>
        <v/>
      </c>
      <c r="BI2187" s="8" t="str">
        <f t="shared" si="344"/>
        <v/>
      </c>
      <c r="BJ2187" s="9" t="str">
        <f t="shared" si="345"/>
        <v/>
      </c>
      <c r="BK2187" s="9" t="str">
        <f>IF($B2187="","",COUNTIFS($B$5:$B2187,$B2187,$BF$5:$BF2187,$BF2187))</f>
        <v/>
      </c>
      <c r="BL2187" s="9" t="str">
        <f>IF($B2187="","",COUNTIFS($B$5:$B2187,$B2187,$BH$5:$BH2187,$BH2187))</f>
        <v/>
      </c>
      <c r="BM2187" s="9" t="str">
        <f t="shared" si="346"/>
        <v/>
      </c>
      <c r="BN2187" s="9" t="str">
        <f t="shared" si="347"/>
        <v/>
      </c>
      <c r="BO2187" s="9">
        <f t="shared" si="348"/>
        <v>0</v>
      </c>
      <c r="BR2187" s="12" t="str">
        <f t="shared" si="349"/>
        <v/>
      </c>
    </row>
    <row r="2188" spans="1:70" ht="14.25" customHeight="1">
      <c r="A2188" s="26"/>
      <c r="C2188" s="26"/>
      <c r="D2188" s="27"/>
      <c r="E2188" s="27"/>
      <c r="BE2188" s="10" t="str">
        <f t="shared" si="340"/>
        <v/>
      </c>
      <c r="BF2188" s="8" t="str">
        <f t="shared" si="341"/>
        <v/>
      </c>
      <c r="BG2188" s="11" t="str">
        <f t="shared" si="342"/>
        <v/>
      </c>
      <c r="BH2188" s="8" t="str">
        <f t="shared" si="343"/>
        <v/>
      </c>
      <c r="BI2188" s="8" t="str">
        <f t="shared" si="344"/>
        <v/>
      </c>
      <c r="BJ2188" s="9" t="str">
        <f t="shared" si="345"/>
        <v/>
      </c>
      <c r="BK2188" s="9" t="str">
        <f>IF($B2188="","",COUNTIFS($B$5:$B2188,$B2188,$BF$5:$BF2188,$BF2188))</f>
        <v/>
      </c>
      <c r="BL2188" s="9" t="str">
        <f>IF($B2188="","",COUNTIFS($B$5:$B2188,$B2188,$BH$5:$BH2188,$BH2188))</f>
        <v/>
      </c>
      <c r="BM2188" s="9" t="str">
        <f t="shared" si="346"/>
        <v/>
      </c>
      <c r="BN2188" s="9" t="str">
        <f t="shared" si="347"/>
        <v/>
      </c>
      <c r="BO2188" s="9">
        <f t="shared" si="348"/>
        <v>0</v>
      </c>
      <c r="BR2188" s="12" t="str">
        <f t="shared" si="349"/>
        <v/>
      </c>
    </row>
    <row r="2189" spans="1:70" ht="14.25" customHeight="1">
      <c r="A2189" s="26"/>
      <c r="C2189" s="26"/>
      <c r="D2189" s="27"/>
      <c r="E2189" s="27"/>
      <c r="BE2189" s="10" t="str">
        <f t="shared" si="340"/>
        <v/>
      </c>
      <c r="BF2189" s="8" t="str">
        <f t="shared" si="341"/>
        <v/>
      </c>
      <c r="BG2189" s="11" t="str">
        <f t="shared" si="342"/>
        <v/>
      </c>
      <c r="BH2189" s="8" t="str">
        <f t="shared" si="343"/>
        <v/>
      </c>
      <c r="BI2189" s="8" t="str">
        <f t="shared" si="344"/>
        <v/>
      </c>
      <c r="BJ2189" s="9" t="str">
        <f t="shared" si="345"/>
        <v/>
      </c>
      <c r="BK2189" s="9" t="str">
        <f>IF($B2189="","",COUNTIFS($B$5:$B2189,$B2189,$BF$5:$BF2189,$BF2189))</f>
        <v/>
      </c>
      <c r="BL2189" s="9" t="str">
        <f>IF($B2189="","",COUNTIFS($B$5:$B2189,$B2189,$BH$5:$BH2189,$BH2189))</f>
        <v/>
      </c>
      <c r="BM2189" s="9" t="str">
        <f t="shared" si="346"/>
        <v/>
      </c>
      <c r="BN2189" s="9" t="str">
        <f t="shared" si="347"/>
        <v/>
      </c>
      <c r="BO2189" s="9">
        <f t="shared" si="348"/>
        <v>0</v>
      </c>
      <c r="BR2189" s="12" t="str">
        <f t="shared" si="349"/>
        <v/>
      </c>
    </row>
    <row r="2190" spans="1:70" ht="14.25" customHeight="1">
      <c r="A2190" s="26"/>
      <c r="C2190" s="26"/>
      <c r="D2190" s="27"/>
      <c r="E2190" s="27"/>
      <c r="BE2190" s="10" t="str">
        <f t="shared" si="340"/>
        <v/>
      </c>
      <c r="BF2190" s="8" t="str">
        <f t="shared" si="341"/>
        <v/>
      </c>
      <c r="BG2190" s="11" t="str">
        <f t="shared" si="342"/>
        <v/>
      </c>
      <c r="BH2190" s="8" t="str">
        <f t="shared" si="343"/>
        <v/>
      </c>
      <c r="BI2190" s="8" t="str">
        <f t="shared" si="344"/>
        <v/>
      </c>
      <c r="BJ2190" s="9" t="str">
        <f t="shared" si="345"/>
        <v/>
      </c>
      <c r="BK2190" s="9" t="str">
        <f>IF($B2190="","",COUNTIFS($B$5:$B2190,$B2190,$BF$5:$BF2190,$BF2190))</f>
        <v/>
      </c>
      <c r="BL2190" s="9" t="str">
        <f>IF($B2190="","",COUNTIFS($B$5:$B2190,$B2190,$BH$5:$BH2190,$BH2190))</f>
        <v/>
      </c>
      <c r="BM2190" s="9" t="str">
        <f t="shared" si="346"/>
        <v/>
      </c>
      <c r="BN2190" s="9" t="str">
        <f t="shared" si="347"/>
        <v/>
      </c>
      <c r="BO2190" s="9">
        <f t="shared" si="348"/>
        <v>0</v>
      </c>
      <c r="BR2190" s="12" t="str">
        <f t="shared" si="349"/>
        <v/>
      </c>
    </row>
    <row r="2191" spans="1:70" ht="14.25" customHeight="1">
      <c r="A2191" s="26"/>
      <c r="C2191" s="26"/>
      <c r="D2191" s="27"/>
      <c r="E2191" s="27"/>
      <c r="BE2191" s="10" t="str">
        <f t="shared" si="340"/>
        <v/>
      </c>
      <c r="BF2191" s="8" t="str">
        <f t="shared" si="341"/>
        <v/>
      </c>
      <c r="BG2191" s="11" t="str">
        <f t="shared" si="342"/>
        <v/>
      </c>
      <c r="BH2191" s="8" t="str">
        <f t="shared" si="343"/>
        <v/>
      </c>
      <c r="BI2191" s="8" t="str">
        <f t="shared" si="344"/>
        <v/>
      </c>
      <c r="BJ2191" s="9" t="str">
        <f t="shared" si="345"/>
        <v/>
      </c>
      <c r="BK2191" s="9" t="str">
        <f>IF($B2191="","",COUNTIFS($B$5:$B2191,$B2191,$BF$5:$BF2191,$BF2191))</f>
        <v/>
      </c>
      <c r="BL2191" s="9" t="str">
        <f>IF($B2191="","",COUNTIFS($B$5:$B2191,$B2191,$BH$5:$BH2191,$BH2191))</f>
        <v/>
      </c>
      <c r="BM2191" s="9" t="str">
        <f t="shared" si="346"/>
        <v/>
      </c>
      <c r="BN2191" s="9" t="str">
        <f t="shared" si="347"/>
        <v/>
      </c>
      <c r="BO2191" s="9">
        <f t="shared" si="348"/>
        <v>0</v>
      </c>
      <c r="BR2191" s="12" t="str">
        <f t="shared" si="349"/>
        <v/>
      </c>
    </row>
    <row r="2192" spans="1:70" ht="14.25" customHeight="1">
      <c r="A2192" s="26"/>
      <c r="C2192" s="26"/>
      <c r="D2192" s="27"/>
      <c r="E2192" s="27"/>
      <c r="BE2192" s="10" t="str">
        <f t="shared" si="340"/>
        <v/>
      </c>
      <c r="BF2192" s="8" t="str">
        <f t="shared" si="341"/>
        <v/>
      </c>
      <c r="BG2192" s="11" t="str">
        <f t="shared" si="342"/>
        <v/>
      </c>
      <c r="BH2192" s="8" t="str">
        <f t="shared" si="343"/>
        <v/>
      </c>
      <c r="BI2192" s="8" t="str">
        <f t="shared" si="344"/>
        <v/>
      </c>
      <c r="BJ2192" s="9" t="str">
        <f t="shared" si="345"/>
        <v/>
      </c>
      <c r="BK2192" s="9" t="str">
        <f>IF($B2192="","",COUNTIFS($B$5:$B2192,$B2192,$BF$5:$BF2192,$BF2192))</f>
        <v/>
      </c>
      <c r="BL2192" s="9" t="str">
        <f>IF($B2192="","",COUNTIFS($B$5:$B2192,$B2192,$BH$5:$BH2192,$BH2192))</f>
        <v/>
      </c>
      <c r="BM2192" s="9" t="str">
        <f t="shared" si="346"/>
        <v/>
      </c>
      <c r="BN2192" s="9" t="str">
        <f t="shared" si="347"/>
        <v/>
      </c>
      <c r="BO2192" s="9">
        <f t="shared" si="348"/>
        <v>0</v>
      </c>
      <c r="BR2192" s="12" t="str">
        <f t="shared" si="349"/>
        <v/>
      </c>
    </row>
    <row r="2193" spans="1:70" ht="14.25" customHeight="1">
      <c r="A2193" s="26"/>
      <c r="C2193" s="26"/>
      <c r="D2193" s="27"/>
      <c r="E2193" s="27"/>
      <c r="BE2193" s="10" t="str">
        <f t="shared" si="340"/>
        <v/>
      </c>
      <c r="BF2193" s="8" t="str">
        <f t="shared" si="341"/>
        <v/>
      </c>
      <c r="BG2193" s="11" t="str">
        <f t="shared" si="342"/>
        <v/>
      </c>
      <c r="BH2193" s="8" t="str">
        <f t="shared" si="343"/>
        <v/>
      </c>
      <c r="BI2193" s="8" t="str">
        <f t="shared" si="344"/>
        <v/>
      </c>
      <c r="BJ2193" s="9" t="str">
        <f t="shared" si="345"/>
        <v/>
      </c>
      <c r="BK2193" s="9" t="str">
        <f>IF($B2193="","",COUNTIFS($B$5:$B2193,$B2193,$BF$5:$BF2193,$BF2193))</f>
        <v/>
      </c>
      <c r="BL2193" s="9" t="str">
        <f>IF($B2193="","",COUNTIFS($B$5:$B2193,$B2193,$BH$5:$BH2193,$BH2193))</f>
        <v/>
      </c>
      <c r="BM2193" s="9" t="str">
        <f t="shared" si="346"/>
        <v/>
      </c>
      <c r="BN2193" s="9" t="str">
        <f t="shared" si="347"/>
        <v/>
      </c>
      <c r="BO2193" s="9">
        <f t="shared" si="348"/>
        <v>0</v>
      </c>
      <c r="BR2193" s="12" t="str">
        <f t="shared" si="349"/>
        <v/>
      </c>
    </row>
    <row r="2194" spans="1:70" ht="14.25" customHeight="1">
      <c r="A2194" s="26"/>
      <c r="C2194" s="26"/>
      <c r="D2194" s="27"/>
      <c r="E2194" s="27"/>
      <c r="BE2194" s="10" t="str">
        <f t="shared" si="340"/>
        <v/>
      </c>
      <c r="BF2194" s="8" t="str">
        <f t="shared" si="341"/>
        <v/>
      </c>
      <c r="BG2194" s="11" t="str">
        <f t="shared" si="342"/>
        <v/>
      </c>
      <c r="BH2194" s="8" t="str">
        <f t="shared" si="343"/>
        <v/>
      </c>
      <c r="BI2194" s="8" t="str">
        <f t="shared" si="344"/>
        <v/>
      </c>
      <c r="BJ2194" s="9" t="str">
        <f t="shared" si="345"/>
        <v/>
      </c>
      <c r="BK2194" s="9" t="str">
        <f>IF($B2194="","",COUNTIFS($B$5:$B2194,$B2194,$BF$5:$BF2194,$BF2194))</f>
        <v/>
      </c>
      <c r="BL2194" s="9" t="str">
        <f>IF($B2194="","",COUNTIFS($B$5:$B2194,$B2194,$BH$5:$BH2194,$BH2194))</f>
        <v/>
      </c>
      <c r="BM2194" s="9" t="str">
        <f t="shared" si="346"/>
        <v/>
      </c>
      <c r="BN2194" s="9" t="str">
        <f t="shared" si="347"/>
        <v/>
      </c>
      <c r="BO2194" s="9">
        <f t="shared" si="348"/>
        <v>0</v>
      </c>
      <c r="BR2194" s="12" t="str">
        <f t="shared" si="349"/>
        <v/>
      </c>
    </row>
    <row r="2195" spans="1:70" ht="14.25" customHeight="1">
      <c r="A2195" s="26"/>
      <c r="C2195" s="26"/>
      <c r="D2195" s="27"/>
      <c r="E2195" s="27"/>
      <c r="BE2195" s="10" t="str">
        <f t="shared" si="340"/>
        <v/>
      </c>
      <c r="BF2195" s="8" t="str">
        <f t="shared" si="341"/>
        <v/>
      </c>
      <c r="BG2195" s="11" t="str">
        <f t="shared" si="342"/>
        <v/>
      </c>
      <c r="BH2195" s="8" t="str">
        <f t="shared" si="343"/>
        <v/>
      </c>
      <c r="BI2195" s="8" t="str">
        <f t="shared" si="344"/>
        <v/>
      </c>
      <c r="BJ2195" s="9" t="str">
        <f t="shared" si="345"/>
        <v/>
      </c>
      <c r="BK2195" s="9" t="str">
        <f>IF($B2195="","",COUNTIFS($B$5:$B2195,$B2195,$BF$5:$BF2195,$BF2195))</f>
        <v/>
      </c>
      <c r="BL2195" s="9" t="str">
        <f>IF($B2195="","",COUNTIFS($B$5:$B2195,$B2195,$BH$5:$BH2195,$BH2195))</f>
        <v/>
      </c>
      <c r="BM2195" s="9" t="str">
        <f t="shared" si="346"/>
        <v/>
      </c>
      <c r="BN2195" s="9" t="str">
        <f t="shared" si="347"/>
        <v/>
      </c>
      <c r="BO2195" s="9">
        <f t="shared" si="348"/>
        <v>0</v>
      </c>
      <c r="BR2195" s="12" t="str">
        <f t="shared" si="349"/>
        <v/>
      </c>
    </row>
    <row r="2196" spans="1:70" ht="14.25" customHeight="1">
      <c r="A2196" s="26"/>
      <c r="C2196" s="26"/>
      <c r="D2196" s="27"/>
      <c r="E2196" s="27"/>
      <c r="BE2196" s="10" t="str">
        <f t="shared" si="340"/>
        <v/>
      </c>
      <c r="BF2196" s="8" t="str">
        <f t="shared" si="341"/>
        <v/>
      </c>
      <c r="BG2196" s="11" t="str">
        <f t="shared" si="342"/>
        <v/>
      </c>
      <c r="BH2196" s="8" t="str">
        <f t="shared" si="343"/>
        <v/>
      </c>
      <c r="BI2196" s="8" t="str">
        <f t="shared" si="344"/>
        <v/>
      </c>
      <c r="BJ2196" s="9" t="str">
        <f t="shared" si="345"/>
        <v/>
      </c>
      <c r="BK2196" s="9" t="str">
        <f>IF($B2196="","",COUNTIFS($B$5:$B2196,$B2196,$BF$5:$BF2196,$BF2196))</f>
        <v/>
      </c>
      <c r="BL2196" s="9" t="str">
        <f>IF($B2196="","",COUNTIFS($B$5:$B2196,$B2196,$BH$5:$BH2196,$BH2196))</f>
        <v/>
      </c>
      <c r="BM2196" s="9" t="str">
        <f t="shared" si="346"/>
        <v/>
      </c>
      <c r="BN2196" s="9" t="str">
        <f t="shared" si="347"/>
        <v/>
      </c>
      <c r="BO2196" s="9">
        <f t="shared" si="348"/>
        <v>0</v>
      </c>
      <c r="BR2196" s="12" t="str">
        <f t="shared" si="349"/>
        <v/>
      </c>
    </row>
    <row r="2197" spans="1:70" ht="14.25" customHeight="1">
      <c r="A2197" s="26"/>
      <c r="C2197" s="26"/>
      <c r="D2197" s="27"/>
      <c r="E2197" s="27"/>
      <c r="BE2197" s="10" t="str">
        <f t="shared" si="340"/>
        <v/>
      </c>
      <c r="BF2197" s="8" t="str">
        <f t="shared" si="341"/>
        <v/>
      </c>
      <c r="BG2197" s="11" t="str">
        <f t="shared" si="342"/>
        <v/>
      </c>
      <c r="BH2197" s="8" t="str">
        <f t="shared" si="343"/>
        <v/>
      </c>
      <c r="BI2197" s="8" t="str">
        <f t="shared" si="344"/>
        <v/>
      </c>
      <c r="BJ2197" s="9" t="str">
        <f t="shared" si="345"/>
        <v/>
      </c>
      <c r="BK2197" s="9" t="str">
        <f>IF($B2197="","",COUNTIFS($B$5:$B2197,$B2197,$BF$5:$BF2197,$BF2197))</f>
        <v/>
      </c>
      <c r="BL2197" s="9" t="str">
        <f>IF($B2197="","",COUNTIFS($B$5:$B2197,$B2197,$BH$5:$BH2197,$BH2197))</f>
        <v/>
      </c>
      <c r="BM2197" s="9" t="str">
        <f t="shared" si="346"/>
        <v/>
      </c>
      <c r="BN2197" s="9" t="str">
        <f t="shared" si="347"/>
        <v/>
      </c>
      <c r="BO2197" s="9">
        <f t="shared" si="348"/>
        <v>0</v>
      </c>
      <c r="BR2197" s="12" t="str">
        <f t="shared" si="349"/>
        <v/>
      </c>
    </row>
    <row r="2198" spans="1:70" ht="14.25" customHeight="1">
      <c r="A2198" s="26"/>
      <c r="C2198" s="26"/>
      <c r="D2198" s="27"/>
      <c r="E2198" s="27"/>
      <c r="BE2198" s="10" t="str">
        <f t="shared" si="340"/>
        <v/>
      </c>
      <c r="BF2198" s="8" t="str">
        <f t="shared" si="341"/>
        <v/>
      </c>
      <c r="BG2198" s="11" t="str">
        <f t="shared" si="342"/>
        <v/>
      </c>
      <c r="BH2198" s="8" t="str">
        <f t="shared" si="343"/>
        <v/>
      </c>
      <c r="BI2198" s="8" t="str">
        <f t="shared" si="344"/>
        <v/>
      </c>
      <c r="BJ2198" s="9" t="str">
        <f t="shared" si="345"/>
        <v/>
      </c>
      <c r="BK2198" s="9" t="str">
        <f>IF($B2198="","",COUNTIFS($B$5:$B2198,$B2198,$BF$5:$BF2198,$BF2198))</f>
        <v/>
      </c>
      <c r="BL2198" s="9" t="str">
        <f>IF($B2198="","",COUNTIFS($B$5:$B2198,$B2198,$BH$5:$BH2198,$BH2198))</f>
        <v/>
      </c>
      <c r="BM2198" s="9" t="str">
        <f t="shared" si="346"/>
        <v/>
      </c>
      <c r="BN2198" s="9" t="str">
        <f t="shared" si="347"/>
        <v/>
      </c>
      <c r="BO2198" s="9">
        <f t="shared" si="348"/>
        <v>0</v>
      </c>
      <c r="BR2198" s="12" t="str">
        <f t="shared" si="349"/>
        <v/>
      </c>
    </row>
    <row r="2199" spans="1:70" ht="14.25" customHeight="1">
      <c r="A2199" s="26"/>
      <c r="C2199" s="26"/>
      <c r="D2199" s="27"/>
      <c r="E2199" s="27"/>
      <c r="BE2199" s="10" t="str">
        <f t="shared" si="340"/>
        <v/>
      </c>
      <c r="BF2199" s="8" t="str">
        <f t="shared" si="341"/>
        <v/>
      </c>
      <c r="BG2199" s="11" t="str">
        <f t="shared" si="342"/>
        <v/>
      </c>
      <c r="BH2199" s="8" t="str">
        <f t="shared" si="343"/>
        <v/>
      </c>
      <c r="BI2199" s="8" t="str">
        <f t="shared" si="344"/>
        <v/>
      </c>
      <c r="BJ2199" s="9" t="str">
        <f t="shared" si="345"/>
        <v/>
      </c>
      <c r="BK2199" s="9" t="str">
        <f>IF($B2199="","",COUNTIFS($B$5:$B2199,$B2199,$BF$5:$BF2199,$BF2199))</f>
        <v/>
      </c>
      <c r="BL2199" s="9" t="str">
        <f>IF($B2199="","",COUNTIFS($B$5:$B2199,$B2199,$BH$5:$BH2199,$BH2199))</f>
        <v/>
      </c>
      <c r="BM2199" s="9" t="str">
        <f t="shared" si="346"/>
        <v/>
      </c>
      <c r="BN2199" s="9" t="str">
        <f t="shared" si="347"/>
        <v/>
      </c>
      <c r="BO2199" s="9">
        <f t="shared" si="348"/>
        <v>0</v>
      </c>
      <c r="BR2199" s="12" t="str">
        <f t="shared" si="349"/>
        <v/>
      </c>
    </row>
    <row r="2200" spans="1:70" ht="14.25" customHeight="1">
      <c r="A2200" s="26"/>
      <c r="C2200" s="26"/>
      <c r="D2200" s="27"/>
      <c r="E2200" s="27"/>
      <c r="BE2200" s="10" t="str">
        <f t="shared" si="340"/>
        <v/>
      </c>
      <c r="BF2200" s="8" t="str">
        <f t="shared" si="341"/>
        <v/>
      </c>
      <c r="BG2200" s="11" t="str">
        <f t="shared" si="342"/>
        <v/>
      </c>
      <c r="BH2200" s="8" t="str">
        <f t="shared" si="343"/>
        <v/>
      </c>
      <c r="BI2200" s="8" t="str">
        <f t="shared" si="344"/>
        <v/>
      </c>
      <c r="BJ2200" s="9" t="str">
        <f t="shared" si="345"/>
        <v/>
      </c>
      <c r="BK2200" s="9" t="str">
        <f>IF($B2200="","",COUNTIFS($B$5:$B2200,$B2200,$BF$5:$BF2200,$BF2200))</f>
        <v/>
      </c>
      <c r="BL2200" s="9" t="str">
        <f>IF($B2200="","",COUNTIFS($B$5:$B2200,$B2200,$BH$5:$BH2200,$BH2200))</f>
        <v/>
      </c>
      <c r="BM2200" s="9" t="str">
        <f t="shared" si="346"/>
        <v/>
      </c>
      <c r="BN2200" s="9" t="str">
        <f t="shared" si="347"/>
        <v/>
      </c>
      <c r="BO2200" s="9">
        <f t="shared" si="348"/>
        <v>0</v>
      </c>
      <c r="BR2200" s="12" t="str">
        <f t="shared" si="349"/>
        <v/>
      </c>
    </row>
    <row r="2201" spans="1:70" ht="14.25" customHeight="1">
      <c r="A2201" s="26"/>
      <c r="C2201" s="26"/>
      <c r="D2201" s="27"/>
      <c r="E2201" s="27"/>
      <c r="BE2201" s="10" t="str">
        <f t="shared" si="340"/>
        <v/>
      </c>
      <c r="BF2201" s="8" t="str">
        <f t="shared" si="341"/>
        <v/>
      </c>
      <c r="BG2201" s="11" t="str">
        <f t="shared" si="342"/>
        <v/>
      </c>
      <c r="BH2201" s="8" t="str">
        <f t="shared" si="343"/>
        <v/>
      </c>
      <c r="BI2201" s="8" t="str">
        <f t="shared" si="344"/>
        <v/>
      </c>
      <c r="BJ2201" s="9" t="str">
        <f t="shared" si="345"/>
        <v/>
      </c>
      <c r="BK2201" s="9" t="str">
        <f>IF($B2201="","",COUNTIFS($B$5:$B2201,$B2201,$BF$5:$BF2201,$BF2201))</f>
        <v/>
      </c>
      <c r="BL2201" s="9" t="str">
        <f>IF($B2201="","",COUNTIFS($B$5:$B2201,$B2201,$BH$5:$BH2201,$BH2201))</f>
        <v/>
      </c>
      <c r="BM2201" s="9" t="str">
        <f t="shared" si="346"/>
        <v/>
      </c>
      <c r="BN2201" s="9" t="str">
        <f t="shared" si="347"/>
        <v/>
      </c>
      <c r="BO2201" s="9">
        <f t="shared" si="348"/>
        <v>0</v>
      </c>
      <c r="BR2201" s="12" t="str">
        <f t="shared" si="349"/>
        <v/>
      </c>
    </row>
    <row r="2202" spans="1:70" ht="14.25" customHeight="1">
      <c r="A2202" s="26"/>
      <c r="C2202" s="26"/>
      <c r="D2202" s="27"/>
      <c r="E2202" s="27"/>
      <c r="BE2202" s="10" t="str">
        <f t="shared" si="340"/>
        <v/>
      </c>
      <c r="BF2202" s="8" t="str">
        <f t="shared" si="341"/>
        <v/>
      </c>
      <c r="BG2202" s="11" t="str">
        <f t="shared" si="342"/>
        <v/>
      </c>
      <c r="BH2202" s="8" t="str">
        <f t="shared" si="343"/>
        <v/>
      </c>
      <c r="BI2202" s="8" t="str">
        <f t="shared" si="344"/>
        <v/>
      </c>
      <c r="BJ2202" s="9" t="str">
        <f t="shared" si="345"/>
        <v/>
      </c>
      <c r="BK2202" s="9" t="str">
        <f>IF($B2202="","",COUNTIFS($B$5:$B2202,$B2202,$BF$5:$BF2202,$BF2202))</f>
        <v/>
      </c>
      <c r="BL2202" s="9" t="str">
        <f>IF($B2202="","",COUNTIFS($B$5:$B2202,$B2202,$BH$5:$BH2202,$BH2202))</f>
        <v/>
      </c>
      <c r="BM2202" s="9" t="str">
        <f t="shared" si="346"/>
        <v/>
      </c>
      <c r="BN2202" s="9" t="str">
        <f t="shared" si="347"/>
        <v/>
      </c>
      <c r="BO2202" s="9">
        <f t="shared" si="348"/>
        <v>0</v>
      </c>
      <c r="BR2202" s="12" t="str">
        <f t="shared" si="349"/>
        <v/>
      </c>
    </row>
    <row r="2203" spans="1:70" ht="14.25" customHeight="1">
      <c r="A2203" s="26"/>
      <c r="C2203" s="26"/>
      <c r="D2203" s="27"/>
      <c r="E2203" s="27"/>
      <c r="BE2203" s="10" t="str">
        <f t="shared" si="340"/>
        <v/>
      </c>
      <c r="BF2203" s="8" t="str">
        <f t="shared" si="341"/>
        <v/>
      </c>
      <c r="BG2203" s="11" t="str">
        <f t="shared" si="342"/>
        <v/>
      </c>
      <c r="BH2203" s="8" t="str">
        <f t="shared" si="343"/>
        <v/>
      </c>
      <c r="BI2203" s="8" t="str">
        <f t="shared" si="344"/>
        <v/>
      </c>
      <c r="BJ2203" s="9" t="str">
        <f t="shared" si="345"/>
        <v/>
      </c>
      <c r="BK2203" s="9" t="str">
        <f>IF($B2203="","",COUNTIFS($B$5:$B2203,$B2203,$BF$5:$BF2203,$BF2203))</f>
        <v/>
      </c>
      <c r="BL2203" s="9" t="str">
        <f>IF($B2203="","",COUNTIFS($B$5:$B2203,$B2203,$BH$5:$BH2203,$BH2203))</f>
        <v/>
      </c>
      <c r="BM2203" s="9" t="str">
        <f t="shared" si="346"/>
        <v/>
      </c>
      <c r="BN2203" s="9" t="str">
        <f t="shared" si="347"/>
        <v/>
      </c>
      <c r="BO2203" s="9">
        <f t="shared" si="348"/>
        <v>0</v>
      </c>
      <c r="BR2203" s="12" t="str">
        <f t="shared" si="349"/>
        <v/>
      </c>
    </row>
    <row r="2204" spans="1:70" ht="14.25" customHeight="1">
      <c r="A2204" s="26"/>
      <c r="C2204" s="26"/>
      <c r="D2204" s="27"/>
      <c r="E2204" s="27"/>
      <c r="BE2204" s="10" t="str">
        <f t="shared" si="340"/>
        <v/>
      </c>
      <c r="BF2204" s="8" t="str">
        <f t="shared" si="341"/>
        <v/>
      </c>
      <c r="BG2204" s="11" t="str">
        <f t="shared" si="342"/>
        <v/>
      </c>
      <c r="BH2204" s="8" t="str">
        <f t="shared" si="343"/>
        <v/>
      </c>
      <c r="BI2204" s="8" t="str">
        <f t="shared" si="344"/>
        <v/>
      </c>
      <c r="BJ2204" s="9" t="str">
        <f t="shared" si="345"/>
        <v/>
      </c>
      <c r="BK2204" s="9" t="str">
        <f>IF($B2204="","",COUNTIFS($B$5:$B2204,$B2204,$BF$5:$BF2204,$BF2204))</f>
        <v/>
      </c>
      <c r="BL2204" s="9" t="str">
        <f>IF($B2204="","",COUNTIFS($B$5:$B2204,$B2204,$BH$5:$BH2204,$BH2204))</f>
        <v/>
      </c>
      <c r="BM2204" s="9" t="str">
        <f t="shared" si="346"/>
        <v/>
      </c>
      <c r="BN2204" s="9" t="str">
        <f t="shared" si="347"/>
        <v/>
      </c>
      <c r="BO2204" s="9">
        <f t="shared" si="348"/>
        <v>0</v>
      </c>
      <c r="BR2204" s="12" t="str">
        <f t="shared" si="349"/>
        <v/>
      </c>
    </row>
    <row r="2205" spans="1:70" ht="14.25" customHeight="1">
      <c r="A2205" s="26"/>
      <c r="C2205" s="26"/>
      <c r="D2205" s="27"/>
      <c r="E2205" s="27"/>
      <c r="BE2205" s="10" t="str">
        <f t="shared" ref="BE2205:BE2268" si="350">IF($B2205="","",IF(COUNT($H2205,$J2205,$L2205,$N2205,$P2205,$R2205)&gt;0,SUM($H2205,$J2205,$L2205,$N2205,$P2205,$R2205),SUM($T2205,$V2205,$X2205,$Z2205,$AB2205,$AD2205,$AF2205,$AH2205,$AJ2205,$AL2205,$AN2205,$AP2205,$AR2205,$AT2205,$AV2205,$AX2205,$AZ2205)))</f>
        <v/>
      </c>
      <c r="BF2205" s="8" t="str">
        <f t="shared" ref="BF2205:BF2268" si="351">IF($C2205="","",DATE(YEAR($C2205),MONTH($C2205),1))</f>
        <v/>
      </c>
      <c r="BG2205" s="11" t="str">
        <f t="shared" ref="BG2205:BG2268" si="352">IF($BF2205="","",TEXT($BF2205,"mmmm yyyy"))</f>
        <v/>
      </c>
      <c r="BH2205" s="8" t="str">
        <f t="shared" ref="BH2205:BH2268" si="353">IF($C2205="","",$C2205-WEEKDAY($C2205,2)+1)</f>
        <v/>
      </c>
      <c r="BI2205" s="8" t="str">
        <f t="shared" ref="BI2205:BI2268" si="354">IF($BH2205="","",$BH2205+6)</f>
        <v/>
      </c>
      <c r="BJ2205" s="9" t="str">
        <f t="shared" ref="BJ2205:BJ2268" si="355">IF($BH2205="","",TEXT($BH2205,"dd/mm/yyyy")&amp;" - "&amp;TEXT($BI2205,"dd/mm/yyyy"))</f>
        <v/>
      </c>
      <c r="BK2205" s="9" t="str">
        <f>IF($B2205="","",COUNTIFS($B$5:$B2205,$B2205,$BF$5:$BF2205,$BF2205))</f>
        <v/>
      </c>
      <c r="BL2205" s="9" t="str">
        <f>IF($B2205="","",COUNTIFS($B$5:$B2205,$B2205,$BH$5:$BH2205,$BH2205))</f>
        <v/>
      </c>
      <c r="BM2205" s="9" t="str">
        <f t="shared" ref="BM2205:BM2268" si="356">IF($B2205="","",TEXT($BK2205,"00")&amp;"|"&amp;$B2205&amp;"|"&amp;TEXT($BF2205,"yyyymmdd"))</f>
        <v/>
      </c>
      <c r="BN2205" s="9" t="str">
        <f t="shared" ref="BN2205:BN2268" si="357">IF($B2205="","",TEXT($BL2205,"00")&amp;"|"&amp;$B2205&amp;"|"&amp;TEXT($BH2205,"yyyymmdd"))</f>
        <v/>
      </c>
      <c r="BO2205" s="9">
        <f t="shared" ref="BO2205:BO2268" si="358">IF(OR($BB2205="YES",$BB2205="Yes",$BB2205="Y",$BB2205=1),1,0)</f>
        <v>0</v>
      </c>
      <c r="BR2205" s="12" t="str">
        <f t="shared" ref="BR2205:BR2268" si="359">IF($C2205="","",IF($C2205&gt;=DATE(2026,6,1),"QA-2026-06",IF($C2205&gt;=DATE(2026,5,1),"May 2026+",IF($C2205&gt;=DATE(2026,4,1),"April 2026",IF($C2205&gt;=DATE(2026,3,1),"March 2026","Jan-Feb 2026")))))</f>
        <v/>
      </c>
    </row>
    <row r="2206" spans="1:70" ht="14.25" customHeight="1">
      <c r="A2206" s="26"/>
      <c r="C2206" s="26"/>
      <c r="D2206" s="27"/>
      <c r="E2206" s="27"/>
      <c r="BE2206" s="10" t="str">
        <f t="shared" si="350"/>
        <v/>
      </c>
      <c r="BF2206" s="8" t="str">
        <f t="shared" si="351"/>
        <v/>
      </c>
      <c r="BG2206" s="11" t="str">
        <f t="shared" si="352"/>
        <v/>
      </c>
      <c r="BH2206" s="8" t="str">
        <f t="shared" si="353"/>
        <v/>
      </c>
      <c r="BI2206" s="8" t="str">
        <f t="shared" si="354"/>
        <v/>
      </c>
      <c r="BJ2206" s="9" t="str">
        <f t="shared" si="355"/>
        <v/>
      </c>
      <c r="BK2206" s="9" t="str">
        <f>IF($B2206="","",COUNTIFS($B$5:$B2206,$B2206,$BF$5:$BF2206,$BF2206))</f>
        <v/>
      </c>
      <c r="BL2206" s="9" t="str">
        <f>IF($B2206="","",COUNTIFS($B$5:$B2206,$B2206,$BH$5:$BH2206,$BH2206))</f>
        <v/>
      </c>
      <c r="BM2206" s="9" t="str">
        <f t="shared" si="356"/>
        <v/>
      </c>
      <c r="BN2206" s="9" t="str">
        <f t="shared" si="357"/>
        <v/>
      </c>
      <c r="BO2206" s="9">
        <f t="shared" si="358"/>
        <v>0</v>
      </c>
      <c r="BR2206" s="12" t="str">
        <f t="shared" si="359"/>
        <v/>
      </c>
    </row>
    <row r="2207" spans="1:70" ht="14.25" customHeight="1">
      <c r="A2207" s="26"/>
      <c r="C2207" s="26"/>
      <c r="D2207" s="27"/>
      <c r="E2207" s="27"/>
      <c r="BE2207" s="10" t="str">
        <f t="shared" si="350"/>
        <v/>
      </c>
      <c r="BF2207" s="8" t="str">
        <f t="shared" si="351"/>
        <v/>
      </c>
      <c r="BG2207" s="11" t="str">
        <f t="shared" si="352"/>
        <v/>
      </c>
      <c r="BH2207" s="8" t="str">
        <f t="shared" si="353"/>
        <v/>
      </c>
      <c r="BI2207" s="8" t="str">
        <f t="shared" si="354"/>
        <v/>
      </c>
      <c r="BJ2207" s="9" t="str">
        <f t="shared" si="355"/>
        <v/>
      </c>
      <c r="BK2207" s="9" t="str">
        <f>IF($B2207="","",COUNTIFS($B$5:$B2207,$B2207,$BF$5:$BF2207,$BF2207))</f>
        <v/>
      </c>
      <c r="BL2207" s="9" t="str">
        <f>IF($B2207="","",COUNTIFS($B$5:$B2207,$B2207,$BH$5:$BH2207,$BH2207))</f>
        <v/>
      </c>
      <c r="BM2207" s="9" t="str">
        <f t="shared" si="356"/>
        <v/>
      </c>
      <c r="BN2207" s="9" t="str">
        <f t="shared" si="357"/>
        <v/>
      </c>
      <c r="BO2207" s="9">
        <f t="shared" si="358"/>
        <v>0</v>
      </c>
      <c r="BR2207" s="12" t="str">
        <f t="shared" si="359"/>
        <v/>
      </c>
    </row>
    <row r="2208" spans="1:70" ht="14.25" customHeight="1">
      <c r="A2208" s="26"/>
      <c r="C2208" s="26"/>
      <c r="D2208" s="27"/>
      <c r="E2208" s="27"/>
      <c r="BE2208" s="10" t="str">
        <f t="shared" si="350"/>
        <v/>
      </c>
      <c r="BF2208" s="8" t="str">
        <f t="shared" si="351"/>
        <v/>
      </c>
      <c r="BG2208" s="11" t="str">
        <f t="shared" si="352"/>
        <v/>
      </c>
      <c r="BH2208" s="8" t="str">
        <f t="shared" si="353"/>
        <v/>
      </c>
      <c r="BI2208" s="8" t="str">
        <f t="shared" si="354"/>
        <v/>
      </c>
      <c r="BJ2208" s="9" t="str">
        <f t="shared" si="355"/>
        <v/>
      </c>
      <c r="BK2208" s="9" t="str">
        <f>IF($B2208="","",COUNTIFS($B$5:$B2208,$B2208,$BF$5:$BF2208,$BF2208))</f>
        <v/>
      </c>
      <c r="BL2208" s="9" t="str">
        <f>IF($B2208="","",COUNTIFS($B$5:$B2208,$B2208,$BH$5:$BH2208,$BH2208))</f>
        <v/>
      </c>
      <c r="BM2208" s="9" t="str">
        <f t="shared" si="356"/>
        <v/>
      </c>
      <c r="BN2208" s="9" t="str">
        <f t="shared" si="357"/>
        <v/>
      </c>
      <c r="BO2208" s="9">
        <f t="shared" si="358"/>
        <v>0</v>
      </c>
      <c r="BR2208" s="12" t="str">
        <f t="shared" si="359"/>
        <v/>
      </c>
    </row>
    <row r="2209" spans="1:70" ht="14.25" customHeight="1">
      <c r="A2209" s="26"/>
      <c r="C2209" s="26"/>
      <c r="D2209" s="27"/>
      <c r="E2209" s="27"/>
      <c r="BE2209" s="10" t="str">
        <f t="shared" si="350"/>
        <v/>
      </c>
      <c r="BF2209" s="8" t="str">
        <f t="shared" si="351"/>
        <v/>
      </c>
      <c r="BG2209" s="11" t="str">
        <f t="shared" si="352"/>
        <v/>
      </c>
      <c r="BH2209" s="8" t="str">
        <f t="shared" si="353"/>
        <v/>
      </c>
      <c r="BI2209" s="8" t="str">
        <f t="shared" si="354"/>
        <v/>
      </c>
      <c r="BJ2209" s="9" t="str">
        <f t="shared" si="355"/>
        <v/>
      </c>
      <c r="BK2209" s="9" t="str">
        <f>IF($B2209="","",COUNTIFS($B$5:$B2209,$B2209,$BF$5:$BF2209,$BF2209))</f>
        <v/>
      </c>
      <c r="BL2209" s="9" t="str">
        <f>IF($B2209="","",COUNTIFS($B$5:$B2209,$B2209,$BH$5:$BH2209,$BH2209))</f>
        <v/>
      </c>
      <c r="BM2209" s="9" t="str">
        <f t="shared" si="356"/>
        <v/>
      </c>
      <c r="BN2209" s="9" t="str">
        <f t="shared" si="357"/>
        <v/>
      </c>
      <c r="BO2209" s="9">
        <f t="shared" si="358"/>
        <v>0</v>
      </c>
      <c r="BR2209" s="12" t="str">
        <f t="shared" si="359"/>
        <v/>
      </c>
    </row>
    <row r="2210" spans="1:70" ht="14.25" customHeight="1">
      <c r="A2210" s="26"/>
      <c r="C2210" s="26"/>
      <c r="D2210" s="27"/>
      <c r="E2210" s="27"/>
      <c r="BE2210" s="10" t="str">
        <f t="shared" si="350"/>
        <v/>
      </c>
      <c r="BF2210" s="8" t="str">
        <f t="shared" si="351"/>
        <v/>
      </c>
      <c r="BG2210" s="11" t="str">
        <f t="shared" si="352"/>
        <v/>
      </c>
      <c r="BH2210" s="8" t="str">
        <f t="shared" si="353"/>
        <v/>
      </c>
      <c r="BI2210" s="8" t="str">
        <f t="shared" si="354"/>
        <v/>
      </c>
      <c r="BJ2210" s="9" t="str">
        <f t="shared" si="355"/>
        <v/>
      </c>
      <c r="BK2210" s="9" t="str">
        <f>IF($B2210="","",COUNTIFS($B$5:$B2210,$B2210,$BF$5:$BF2210,$BF2210))</f>
        <v/>
      </c>
      <c r="BL2210" s="9" t="str">
        <f>IF($B2210="","",COUNTIFS($B$5:$B2210,$B2210,$BH$5:$BH2210,$BH2210))</f>
        <v/>
      </c>
      <c r="BM2210" s="9" t="str">
        <f t="shared" si="356"/>
        <v/>
      </c>
      <c r="BN2210" s="9" t="str">
        <f t="shared" si="357"/>
        <v/>
      </c>
      <c r="BO2210" s="9">
        <f t="shared" si="358"/>
        <v>0</v>
      </c>
      <c r="BR2210" s="12" t="str">
        <f t="shared" si="359"/>
        <v/>
      </c>
    </row>
    <row r="2211" spans="1:70" ht="14.25" customHeight="1">
      <c r="A2211" s="26"/>
      <c r="C2211" s="26"/>
      <c r="D2211" s="27"/>
      <c r="E2211" s="27"/>
      <c r="BE2211" s="10" t="str">
        <f t="shared" si="350"/>
        <v/>
      </c>
      <c r="BF2211" s="8" t="str">
        <f t="shared" si="351"/>
        <v/>
      </c>
      <c r="BG2211" s="11" t="str">
        <f t="shared" si="352"/>
        <v/>
      </c>
      <c r="BH2211" s="8" t="str">
        <f t="shared" si="353"/>
        <v/>
      </c>
      <c r="BI2211" s="8" t="str">
        <f t="shared" si="354"/>
        <v/>
      </c>
      <c r="BJ2211" s="9" t="str">
        <f t="shared" si="355"/>
        <v/>
      </c>
      <c r="BK2211" s="9" t="str">
        <f>IF($B2211="","",COUNTIFS($B$5:$B2211,$B2211,$BF$5:$BF2211,$BF2211))</f>
        <v/>
      </c>
      <c r="BL2211" s="9" t="str">
        <f>IF($B2211="","",COUNTIFS($B$5:$B2211,$B2211,$BH$5:$BH2211,$BH2211))</f>
        <v/>
      </c>
      <c r="BM2211" s="9" t="str">
        <f t="shared" si="356"/>
        <v/>
      </c>
      <c r="BN2211" s="9" t="str">
        <f t="shared" si="357"/>
        <v/>
      </c>
      <c r="BO2211" s="9">
        <f t="shared" si="358"/>
        <v>0</v>
      </c>
      <c r="BR2211" s="12" t="str">
        <f t="shared" si="359"/>
        <v/>
      </c>
    </row>
    <row r="2212" spans="1:70" ht="14.25" customHeight="1">
      <c r="A2212" s="26"/>
      <c r="C2212" s="26"/>
      <c r="D2212" s="27"/>
      <c r="E2212" s="27"/>
      <c r="BE2212" s="10" t="str">
        <f t="shared" si="350"/>
        <v/>
      </c>
      <c r="BF2212" s="8" t="str">
        <f t="shared" si="351"/>
        <v/>
      </c>
      <c r="BG2212" s="11" t="str">
        <f t="shared" si="352"/>
        <v/>
      </c>
      <c r="BH2212" s="8" t="str">
        <f t="shared" si="353"/>
        <v/>
      </c>
      <c r="BI2212" s="8" t="str">
        <f t="shared" si="354"/>
        <v/>
      </c>
      <c r="BJ2212" s="9" t="str">
        <f t="shared" si="355"/>
        <v/>
      </c>
      <c r="BK2212" s="9" t="str">
        <f>IF($B2212="","",COUNTIFS($B$5:$B2212,$B2212,$BF$5:$BF2212,$BF2212))</f>
        <v/>
      </c>
      <c r="BL2212" s="9" t="str">
        <f>IF($B2212="","",COUNTIFS($B$5:$B2212,$B2212,$BH$5:$BH2212,$BH2212))</f>
        <v/>
      </c>
      <c r="BM2212" s="9" t="str">
        <f t="shared" si="356"/>
        <v/>
      </c>
      <c r="BN2212" s="9" t="str">
        <f t="shared" si="357"/>
        <v/>
      </c>
      <c r="BO2212" s="9">
        <f t="shared" si="358"/>
        <v>0</v>
      </c>
      <c r="BR2212" s="12" t="str">
        <f t="shared" si="359"/>
        <v/>
      </c>
    </row>
    <row r="2213" spans="1:70" ht="14.25" customHeight="1">
      <c r="A2213" s="26"/>
      <c r="C2213" s="26"/>
      <c r="D2213" s="27"/>
      <c r="E2213" s="27"/>
      <c r="BE2213" s="10" t="str">
        <f t="shared" si="350"/>
        <v/>
      </c>
      <c r="BF2213" s="8" t="str">
        <f t="shared" si="351"/>
        <v/>
      </c>
      <c r="BG2213" s="11" t="str">
        <f t="shared" si="352"/>
        <v/>
      </c>
      <c r="BH2213" s="8" t="str">
        <f t="shared" si="353"/>
        <v/>
      </c>
      <c r="BI2213" s="8" t="str">
        <f t="shared" si="354"/>
        <v/>
      </c>
      <c r="BJ2213" s="9" t="str">
        <f t="shared" si="355"/>
        <v/>
      </c>
      <c r="BK2213" s="9" t="str">
        <f>IF($B2213="","",COUNTIFS($B$5:$B2213,$B2213,$BF$5:$BF2213,$BF2213))</f>
        <v/>
      </c>
      <c r="BL2213" s="9" t="str">
        <f>IF($B2213="","",COUNTIFS($B$5:$B2213,$B2213,$BH$5:$BH2213,$BH2213))</f>
        <v/>
      </c>
      <c r="BM2213" s="9" t="str">
        <f t="shared" si="356"/>
        <v/>
      </c>
      <c r="BN2213" s="9" t="str">
        <f t="shared" si="357"/>
        <v/>
      </c>
      <c r="BO2213" s="9">
        <f t="shared" si="358"/>
        <v>0</v>
      </c>
      <c r="BR2213" s="12" t="str">
        <f t="shared" si="359"/>
        <v/>
      </c>
    </row>
    <row r="2214" spans="1:70" ht="14.25" customHeight="1">
      <c r="A2214" s="26"/>
      <c r="C2214" s="26"/>
      <c r="D2214" s="27"/>
      <c r="E2214" s="27"/>
      <c r="BE2214" s="10" t="str">
        <f t="shared" si="350"/>
        <v/>
      </c>
      <c r="BF2214" s="8" t="str">
        <f t="shared" si="351"/>
        <v/>
      </c>
      <c r="BG2214" s="11" t="str">
        <f t="shared" si="352"/>
        <v/>
      </c>
      <c r="BH2214" s="8" t="str">
        <f t="shared" si="353"/>
        <v/>
      </c>
      <c r="BI2214" s="8" t="str">
        <f t="shared" si="354"/>
        <v/>
      </c>
      <c r="BJ2214" s="9" t="str">
        <f t="shared" si="355"/>
        <v/>
      </c>
      <c r="BK2214" s="9" t="str">
        <f>IF($B2214="","",COUNTIFS($B$5:$B2214,$B2214,$BF$5:$BF2214,$BF2214))</f>
        <v/>
      </c>
      <c r="BL2214" s="9" t="str">
        <f>IF($B2214="","",COUNTIFS($B$5:$B2214,$B2214,$BH$5:$BH2214,$BH2214))</f>
        <v/>
      </c>
      <c r="BM2214" s="9" t="str">
        <f t="shared" si="356"/>
        <v/>
      </c>
      <c r="BN2214" s="9" t="str">
        <f t="shared" si="357"/>
        <v/>
      </c>
      <c r="BO2214" s="9">
        <f t="shared" si="358"/>
        <v>0</v>
      </c>
      <c r="BR2214" s="12" t="str">
        <f t="shared" si="359"/>
        <v/>
      </c>
    </row>
    <row r="2215" spans="1:70" ht="14.25" customHeight="1">
      <c r="A2215" s="26"/>
      <c r="C2215" s="26"/>
      <c r="D2215" s="27"/>
      <c r="E2215" s="27"/>
      <c r="BE2215" s="10" t="str">
        <f t="shared" si="350"/>
        <v/>
      </c>
      <c r="BF2215" s="8" t="str">
        <f t="shared" si="351"/>
        <v/>
      </c>
      <c r="BG2215" s="11" t="str">
        <f t="shared" si="352"/>
        <v/>
      </c>
      <c r="BH2215" s="8" t="str">
        <f t="shared" si="353"/>
        <v/>
      </c>
      <c r="BI2215" s="8" t="str">
        <f t="shared" si="354"/>
        <v/>
      </c>
      <c r="BJ2215" s="9" t="str">
        <f t="shared" si="355"/>
        <v/>
      </c>
      <c r="BK2215" s="9" t="str">
        <f>IF($B2215="","",COUNTIFS($B$5:$B2215,$B2215,$BF$5:$BF2215,$BF2215))</f>
        <v/>
      </c>
      <c r="BL2215" s="9" t="str">
        <f>IF($B2215="","",COUNTIFS($B$5:$B2215,$B2215,$BH$5:$BH2215,$BH2215))</f>
        <v/>
      </c>
      <c r="BM2215" s="9" t="str">
        <f t="shared" si="356"/>
        <v/>
      </c>
      <c r="BN2215" s="9" t="str">
        <f t="shared" si="357"/>
        <v/>
      </c>
      <c r="BO2215" s="9">
        <f t="shared" si="358"/>
        <v>0</v>
      </c>
      <c r="BR2215" s="12" t="str">
        <f t="shared" si="359"/>
        <v/>
      </c>
    </row>
    <row r="2216" spans="1:70" ht="14.25" customHeight="1">
      <c r="A2216" s="26"/>
      <c r="C2216" s="26"/>
      <c r="D2216" s="27"/>
      <c r="E2216" s="27"/>
      <c r="BE2216" s="10" t="str">
        <f t="shared" si="350"/>
        <v/>
      </c>
      <c r="BF2216" s="8" t="str">
        <f t="shared" si="351"/>
        <v/>
      </c>
      <c r="BG2216" s="11" t="str">
        <f t="shared" si="352"/>
        <v/>
      </c>
      <c r="BH2216" s="8" t="str">
        <f t="shared" si="353"/>
        <v/>
      </c>
      <c r="BI2216" s="8" t="str">
        <f t="shared" si="354"/>
        <v/>
      </c>
      <c r="BJ2216" s="9" t="str">
        <f t="shared" si="355"/>
        <v/>
      </c>
      <c r="BK2216" s="9" t="str">
        <f>IF($B2216="","",COUNTIFS($B$5:$B2216,$B2216,$BF$5:$BF2216,$BF2216))</f>
        <v/>
      </c>
      <c r="BL2216" s="9" t="str">
        <f>IF($B2216="","",COUNTIFS($B$5:$B2216,$B2216,$BH$5:$BH2216,$BH2216))</f>
        <v/>
      </c>
      <c r="BM2216" s="9" t="str">
        <f t="shared" si="356"/>
        <v/>
      </c>
      <c r="BN2216" s="9" t="str">
        <f t="shared" si="357"/>
        <v/>
      </c>
      <c r="BO2216" s="9">
        <f t="shared" si="358"/>
        <v>0</v>
      </c>
      <c r="BR2216" s="12" t="str">
        <f t="shared" si="359"/>
        <v/>
      </c>
    </row>
    <row r="2217" spans="1:70" ht="14.25" customHeight="1">
      <c r="A2217" s="26"/>
      <c r="C2217" s="26"/>
      <c r="D2217" s="27"/>
      <c r="E2217" s="27"/>
      <c r="BE2217" s="10" t="str">
        <f t="shared" si="350"/>
        <v/>
      </c>
      <c r="BF2217" s="8" t="str">
        <f t="shared" si="351"/>
        <v/>
      </c>
      <c r="BG2217" s="11" t="str">
        <f t="shared" si="352"/>
        <v/>
      </c>
      <c r="BH2217" s="8" t="str">
        <f t="shared" si="353"/>
        <v/>
      </c>
      <c r="BI2217" s="8" t="str">
        <f t="shared" si="354"/>
        <v/>
      </c>
      <c r="BJ2217" s="9" t="str">
        <f t="shared" si="355"/>
        <v/>
      </c>
      <c r="BK2217" s="9" t="str">
        <f>IF($B2217="","",COUNTIFS($B$5:$B2217,$B2217,$BF$5:$BF2217,$BF2217))</f>
        <v/>
      </c>
      <c r="BL2217" s="9" t="str">
        <f>IF($B2217="","",COUNTIFS($B$5:$B2217,$B2217,$BH$5:$BH2217,$BH2217))</f>
        <v/>
      </c>
      <c r="BM2217" s="9" t="str">
        <f t="shared" si="356"/>
        <v/>
      </c>
      <c r="BN2217" s="9" t="str">
        <f t="shared" si="357"/>
        <v/>
      </c>
      <c r="BO2217" s="9">
        <f t="shared" si="358"/>
        <v>0</v>
      </c>
      <c r="BR2217" s="12" t="str">
        <f t="shared" si="359"/>
        <v/>
      </c>
    </row>
    <row r="2218" spans="1:70" ht="14.25" customHeight="1">
      <c r="A2218" s="26"/>
      <c r="C2218" s="26"/>
      <c r="D2218" s="27"/>
      <c r="E2218" s="27"/>
      <c r="BE2218" s="10" t="str">
        <f t="shared" si="350"/>
        <v/>
      </c>
      <c r="BF2218" s="8" t="str">
        <f t="shared" si="351"/>
        <v/>
      </c>
      <c r="BG2218" s="11" t="str">
        <f t="shared" si="352"/>
        <v/>
      </c>
      <c r="BH2218" s="8" t="str">
        <f t="shared" si="353"/>
        <v/>
      </c>
      <c r="BI2218" s="8" t="str">
        <f t="shared" si="354"/>
        <v/>
      </c>
      <c r="BJ2218" s="9" t="str">
        <f t="shared" si="355"/>
        <v/>
      </c>
      <c r="BK2218" s="9" t="str">
        <f>IF($B2218="","",COUNTIFS($B$5:$B2218,$B2218,$BF$5:$BF2218,$BF2218))</f>
        <v/>
      </c>
      <c r="BL2218" s="9" t="str">
        <f>IF($B2218="","",COUNTIFS($B$5:$B2218,$B2218,$BH$5:$BH2218,$BH2218))</f>
        <v/>
      </c>
      <c r="BM2218" s="9" t="str">
        <f t="shared" si="356"/>
        <v/>
      </c>
      <c r="BN2218" s="9" t="str">
        <f t="shared" si="357"/>
        <v/>
      </c>
      <c r="BO2218" s="9">
        <f t="shared" si="358"/>
        <v>0</v>
      </c>
      <c r="BR2218" s="12" t="str">
        <f t="shared" si="359"/>
        <v/>
      </c>
    </row>
    <row r="2219" spans="1:70" ht="14.25" customHeight="1">
      <c r="A2219" s="26"/>
      <c r="C2219" s="26"/>
      <c r="D2219" s="27"/>
      <c r="E2219" s="27"/>
      <c r="BE2219" s="10" t="str">
        <f t="shared" si="350"/>
        <v/>
      </c>
      <c r="BF2219" s="8" t="str">
        <f t="shared" si="351"/>
        <v/>
      </c>
      <c r="BG2219" s="11" t="str">
        <f t="shared" si="352"/>
        <v/>
      </c>
      <c r="BH2219" s="8" t="str">
        <f t="shared" si="353"/>
        <v/>
      </c>
      <c r="BI2219" s="8" t="str">
        <f t="shared" si="354"/>
        <v/>
      </c>
      <c r="BJ2219" s="9" t="str">
        <f t="shared" si="355"/>
        <v/>
      </c>
      <c r="BK2219" s="9" t="str">
        <f>IF($B2219="","",COUNTIFS($B$5:$B2219,$B2219,$BF$5:$BF2219,$BF2219))</f>
        <v/>
      </c>
      <c r="BL2219" s="9" t="str">
        <f>IF($B2219="","",COUNTIFS($B$5:$B2219,$B2219,$BH$5:$BH2219,$BH2219))</f>
        <v/>
      </c>
      <c r="BM2219" s="9" t="str">
        <f t="shared" si="356"/>
        <v/>
      </c>
      <c r="BN2219" s="9" t="str">
        <f t="shared" si="357"/>
        <v/>
      </c>
      <c r="BO2219" s="9">
        <f t="shared" si="358"/>
        <v>0</v>
      </c>
      <c r="BR2219" s="12" t="str">
        <f t="shared" si="359"/>
        <v/>
      </c>
    </row>
    <row r="2220" spans="1:70" ht="14.25" customHeight="1">
      <c r="A2220" s="26"/>
      <c r="C2220" s="26"/>
      <c r="D2220" s="27"/>
      <c r="E2220" s="27"/>
      <c r="BE2220" s="10" t="str">
        <f t="shared" si="350"/>
        <v/>
      </c>
      <c r="BF2220" s="8" t="str">
        <f t="shared" si="351"/>
        <v/>
      </c>
      <c r="BG2220" s="11" t="str">
        <f t="shared" si="352"/>
        <v/>
      </c>
      <c r="BH2220" s="8" t="str">
        <f t="shared" si="353"/>
        <v/>
      </c>
      <c r="BI2220" s="8" t="str">
        <f t="shared" si="354"/>
        <v/>
      </c>
      <c r="BJ2220" s="9" t="str">
        <f t="shared" si="355"/>
        <v/>
      </c>
      <c r="BK2220" s="9" t="str">
        <f>IF($B2220="","",COUNTIFS($B$5:$B2220,$B2220,$BF$5:$BF2220,$BF2220))</f>
        <v/>
      </c>
      <c r="BL2220" s="9" t="str">
        <f>IF($B2220="","",COUNTIFS($B$5:$B2220,$B2220,$BH$5:$BH2220,$BH2220))</f>
        <v/>
      </c>
      <c r="BM2220" s="9" t="str">
        <f t="shared" si="356"/>
        <v/>
      </c>
      <c r="BN2220" s="9" t="str">
        <f t="shared" si="357"/>
        <v/>
      </c>
      <c r="BO2220" s="9">
        <f t="shared" si="358"/>
        <v>0</v>
      </c>
      <c r="BR2220" s="12" t="str">
        <f t="shared" si="359"/>
        <v/>
      </c>
    </row>
    <row r="2221" spans="1:70" ht="14.25" customHeight="1">
      <c r="A2221" s="26"/>
      <c r="C2221" s="26"/>
      <c r="D2221" s="27"/>
      <c r="E2221" s="27"/>
      <c r="BE2221" s="10" t="str">
        <f t="shared" si="350"/>
        <v/>
      </c>
      <c r="BF2221" s="8" t="str">
        <f t="shared" si="351"/>
        <v/>
      </c>
      <c r="BG2221" s="11" t="str">
        <f t="shared" si="352"/>
        <v/>
      </c>
      <c r="BH2221" s="8" t="str">
        <f t="shared" si="353"/>
        <v/>
      </c>
      <c r="BI2221" s="8" t="str">
        <f t="shared" si="354"/>
        <v/>
      </c>
      <c r="BJ2221" s="9" t="str">
        <f t="shared" si="355"/>
        <v/>
      </c>
      <c r="BK2221" s="9" t="str">
        <f>IF($B2221="","",COUNTIFS($B$5:$B2221,$B2221,$BF$5:$BF2221,$BF2221))</f>
        <v/>
      </c>
      <c r="BL2221" s="9" t="str">
        <f>IF($B2221="","",COUNTIFS($B$5:$B2221,$B2221,$BH$5:$BH2221,$BH2221))</f>
        <v/>
      </c>
      <c r="BM2221" s="9" t="str">
        <f t="shared" si="356"/>
        <v/>
      </c>
      <c r="BN2221" s="9" t="str">
        <f t="shared" si="357"/>
        <v/>
      </c>
      <c r="BO2221" s="9">
        <f t="shared" si="358"/>
        <v>0</v>
      </c>
      <c r="BR2221" s="12" t="str">
        <f t="shared" si="359"/>
        <v/>
      </c>
    </row>
    <row r="2222" spans="1:70" ht="14.25" customHeight="1">
      <c r="A2222" s="26"/>
      <c r="C2222" s="26"/>
      <c r="D2222" s="27"/>
      <c r="E2222" s="27"/>
      <c r="BE2222" s="10" t="str">
        <f t="shared" si="350"/>
        <v/>
      </c>
      <c r="BF2222" s="8" t="str">
        <f t="shared" si="351"/>
        <v/>
      </c>
      <c r="BG2222" s="11" t="str">
        <f t="shared" si="352"/>
        <v/>
      </c>
      <c r="BH2222" s="8" t="str">
        <f t="shared" si="353"/>
        <v/>
      </c>
      <c r="BI2222" s="8" t="str">
        <f t="shared" si="354"/>
        <v/>
      </c>
      <c r="BJ2222" s="9" t="str">
        <f t="shared" si="355"/>
        <v/>
      </c>
      <c r="BK2222" s="9" t="str">
        <f>IF($B2222="","",COUNTIFS($B$5:$B2222,$B2222,$BF$5:$BF2222,$BF2222))</f>
        <v/>
      </c>
      <c r="BL2222" s="9" t="str">
        <f>IF($B2222="","",COUNTIFS($B$5:$B2222,$B2222,$BH$5:$BH2222,$BH2222))</f>
        <v/>
      </c>
      <c r="BM2222" s="9" t="str">
        <f t="shared" si="356"/>
        <v/>
      </c>
      <c r="BN2222" s="9" t="str">
        <f t="shared" si="357"/>
        <v/>
      </c>
      <c r="BO2222" s="9">
        <f t="shared" si="358"/>
        <v>0</v>
      </c>
      <c r="BR2222" s="12" t="str">
        <f t="shared" si="359"/>
        <v/>
      </c>
    </row>
    <row r="2223" spans="1:70" ht="14.25" customHeight="1">
      <c r="A2223" s="26"/>
      <c r="C2223" s="26"/>
      <c r="D2223" s="27"/>
      <c r="E2223" s="27"/>
      <c r="BE2223" s="10" t="str">
        <f t="shared" si="350"/>
        <v/>
      </c>
      <c r="BF2223" s="8" t="str">
        <f t="shared" si="351"/>
        <v/>
      </c>
      <c r="BG2223" s="11" t="str">
        <f t="shared" si="352"/>
        <v/>
      </c>
      <c r="BH2223" s="8" t="str">
        <f t="shared" si="353"/>
        <v/>
      </c>
      <c r="BI2223" s="8" t="str">
        <f t="shared" si="354"/>
        <v/>
      </c>
      <c r="BJ2223" s="9" t="str">
        <f t="shared" si="355"/>
        <v/>
      </c>
      <c r="BK2223" s="9" t="str">
        <f>IF($B2223="","",COUNTIFS($B$5:$B2223,$B2223,$BF$5:$BF2223,$BF2223))</f>
        <v/>
      </c>
      <c r="BL2223" s="9" t="str">
        <f>IF($B2223="","",COUNTIFS($B$5:$B2223,$B2223,$BH$5:$BH2223,$BH2223))</f>
        <v/>
      </c>
      <c r="BM2223" s="9" t="str">
        <f t="shared" si="356"/>
        <v/>
      </c>
      <c r="BN2223" s="9" t="str">
        <f t="shared" si="357"/>
        <v/>
      </c>
      <c r="BO2223" s="9">
        <f t="shared" si="358"/>
        <v>0</v>
      </c>
      <c r="BR2223" s="12" t="str">
        <f t="shared" si="359"/>
        <v/>
      </c>
    </row>
    <row r="2224" spans="1:70" ht="14.25" customHeight="1">
      <c r="A2224" s="26"/>
      <c r="C2224" s="26"/>
      <c r="D2224" s="27"/>
      <c r="E2224" s="27"/>
      <c r="BE2224" s="10" t="str">
        <f t="shared" si="350"/>
        <v/>
      </c>
      <c r="BF2224" s="8" t="str">
        <f t="shared" si="351"/>
        <v/>
      </c>
      <c r="BG2224" s="11" t="str">
        <f t="shared" si="352"/>
        <v/>
      </c>
      <c r="BH2224" s="8" t="str">
        <f t="shared" si="353"/>
        <v/>
      </c>
      <c r="BI2224" s="8" t="str">
        <f t="shared" si="354"/>
        <v/>
      </c>
      <c r="BJ2224" s="9" t="str">
        <f t="shared" si="355"/>
        <v/>
      </c>
      <c r="BK2224" s="9" t="str">
        <f>IF($B2224="","",COUNTIFS($B$5:$B2224,$B2224,$BF$5:$BF2224,$BF2224))</f>
        <v/>
      </c>
      <c r="BL2224" s="9" t="str">
        <f>IF($B2224="","",COUNTIFS($B$5:$B2224,$B2224,$BH$5:$BH2224,$BH2224))</f>
        <v/>
      </c>
      <c r="BM2224" s="9" t="str">
        <f t="shared" si="356"/>
        <v/>
      </c>
      <c r="BN2224" s="9" t="str">
        <f t="shared" si="357"/>
        <v/>
      </c>
      <c r="BO2224" s="9">
        <f t="shared" si="358"/>
        <v>0</v>
      </c>
      <c r="BR2224" s="12" t="str">
        <f t="shared" si="359"/>
        <v/>
      </c>
    </row>
    <row r="2225" spans="1:70" ht="14.25" customHeight="1">
      <c r="A2225" s="26"/>
      <c r="C2225" s="26"/>
      <c r="D2225" s="27"/>
      <c r="E2225" s="27"/>
      <c r="BE2225" s="10" t="str">
        <f t="shared" si="350"/>
        <v/>
      </c>
      <c r="BF2225" s="8" t="str">
        <f t="shared" si="351"/>
        <v/>
      </c>
      <c r="BG2225" s="11" t="str">
        <f t="shared" si="352"/>
        <v/>
      </c>
      <c r="BH2225" s="8" t="str">
        <f t="shared" si="353"/>
        <v/>
      </c>
      <c r="BI2225" s="8" t="str">
        <f t="shared" si="354"/>
        <v/>
      </c>
      <c r="BJ2225" s="9" t="str">
        <f t="shared" si="355"/>
        <v/>
      </c>
      <c r="BK2225" s="9" t="str">
        <f>IF($B2225="","",COUNTIFS($B$5:$B2225,$B2225,$BF$5:$BF2225,$BF2225))</f>
        <v/>
      </c>
      <c r="BL2225" s="9" t="str">
        <f>IF($B2225="","",COUNTIFS($B$5:$B2225,$B2225,$BH$5:$BH2225,$BH2225))</f>
        <v/>
      </c>
      <c r="BM2225" s="9" t="str">
        <f t="shared" si="356"/>
        <v/>
      </c>
      <c r="BN2225" s="9" t="str">
        <f t="shared" si="357"/>
        <v/>
      </c>
      <c r="BO2225" s="9">
        <f t="shared" si="358"/>
        <v>0</v>
      </c>
      <c r="BR2225" s="12" t="str">
        <f t="shared" si="359"/>
        <v/>
      </c>
    </row>
    <row r="2226" spans="1:70" ht="14.25" customHeight="1">
      <c r="A2226" s="26"/>
      <c r="C2226" s="26"/>
      <c r="D2226" s="27"/>
      <c r="E2226" s="27"/>
      <c r="BE2226" s="10" t="str">
        <f t="shared" si="350"/>
        <v/>
      </c>
      <c r="BF2226" s="8" t="str">
        <f t="shared" si="351"/>
        <v/>
      </c>
      <c r="BG2226" s="11" t="str">
        <f t="shared" si="352"/>
        <v/>
      </c>
      <c r="BH2226" s="8" t="str">
        <f t="shared" si="353"/>
        <v/>
      </c>
      <c r="BI2226" s="8" t="str">
        <f t="shared" si="354"/>
        <v/>
      </c>
      <c r="BJ2226" s="9" t="str">
        <f t="shared" si="355"/>
        <v/>
      </c>
      <c r="BK2226" s="9" t="str">
        <f>IF($B2226="","",COUNTIFS($B$5:$B2226,$B2226,$BF$5:$BF2226,$BF2226))</f>
        <v/>
      </c>
      <c r="BL2226" s="9" t="str">
        <f>IF($B2226="","",COUNTIFS($B$5:$B2226,$B2226,$BH$5:$BH2226,$BH2226))</f>
        <v/>
      </c>
      <c r="BM2226" s="9" t="str">
        <f t="shared" si="356"/>
        <v/>
      </c>
      <c r="BN2226" s="9" t="str">
        <f t="shared" si="357"/>
        <v/>
      </c>
      <c r="BO2226" s="9">
        <f t="shared" si="358"/>
        <v>0</v>
      </c>
      <c r="BR2226" s="12" t="str">
        <f t="shared" si="359"/>
        <v/>
      </c>
    </row>
    <row r="2227" spans="1:70" ht="14.25" customHeight="1">
      <c r="A2227" s="26"/>
      <c r="C2227" s="26"/>
      <c r="D2227" s="27"/>
      <c r="E2227" s="27"/>
      <c r="BE2227" s="10" t="str">
        <f t="shared" si="350"/>
        <v/>
      </c>
      <c r="BF2227" s="8" t="str">
        <f t="shared" si="351"/>
        <v/>
      </c>
      <c r="BG2227" s="11" t="str">
        <f t="shared" si="352"/>
        <v/>
      </c>
      <c r="BH2227" s="8" t="str">
        <f t="shared" si="353"/>
        <v/>
      </c>
      <c r="BI2227" s="8" t="str">
        <f t="shared" si="354"/>
        <v/>
      </c>
      <c r="BJ2227" s="9" t="str">
        <f t="shared" si="355"/>
        <v/>
      </c>
      <c r="BK2227" s="9" t="str">
        <f>IF($B2227="","",COUNTIFS($B$5:$B2227,$B2227,$BF$5:$BF2227,$BF2227))</f>
        <v/>
      </c>
      <c r="BL2227" s="9" t="str">
        <f>IF($B2227="","",COUNTIFS($B$5:$B2227,$B2227,$BH$5:$BH2227,$BH2227))</f>
        <v/>
      </c>
      <c r="BM2227" s="9" t="str">
        <f t="shared" si="356"/>
        <v/>
      </c>
      <c r="BN2227" s="9" t="str">
        <f t="shared" si="357"/>
        <v/>
      </c>
      <c r="BO2227" s="9">
        <f t="shared" si="358"/>
        <v>0</v>
      </c>
      <c r="BR2227" s="12" t="str">
        <f t="shared" si="359"/>
        <v/>
      </c>
    </row>
    <row r="2228" spans="1:70" ht="14.25" customHeight="1">
      <c r="A2228" s="26"/>
      <c r="C2228" s="26"/>
      <c r="D2228" s="27"/>
      <c r="E2228" s="27"/>
      <c r="BE2228" s="10" t="str">
        <f t="shared" si="350"/>
        <v/>
      </c>
      <c r="BF2228" s="8" t="str">
        <f t="shared" si="351"/>
        <v/>
      </c>
      <c r="BG2228" s="11" t="str">
        <f t="shared" si="352"/>
        <v/>
      </c>
      <c r="BH2228" s="8" t="str">
        <f t="shared" si="353"/>
        <v/>
      </c>
      <c r="BI2228" s="8" t="str">
        <f t="shared" si="354"/>
        <v/>
      </c>
      <c r="BJ2228" s="9" t="str">
        <f t="shared" si="355"/>
        <v/>
      </c>
      <c r="BK2228" s="9" t="str">
        <f>IF($B2228="","",COUNTIFS($B$5:$B2228,$B2228,$BF$5:$BF2228,$BF2228))</f>
        <v/>
      </c>
      <c r="BL2228" s="9" t="str">
        <f>IF($B2228="","",COUNTIFS($B$5:$B2228,$B2228,$BH$5:$BH2228,$BH2228))</f>
        <v/>
      </c>
      <c r="BM2228" s="9" t="str">
        <f t="shared" si="356"/>
        <v/>
      </c>
      <c r="BN2228" s="9" t="str">
        <f t="shared" si="357"/>
        <v/>
      </c>
      <c r="BO2228" s="9">
        <f t="shared" si="358"/>
        <v>0</v>
      </c>
      <c r="BR2228" s="12" t="str">
        <f t="shared" si="359"/>
        <v/>
      </c>
    </row>
    <row r="2229" spans="1:70" ht="14.25" customHeight="1">
      <c r="A2229" s="26"/>
      <c r="C2229" s="26"/>
      <c r="D2229" s="27"/>
      <c r="E2229" s="27"/>
      <c r="BE2229" s="10" t="str">
        <f t="shared" si="350"/>
        <v/>
      </c>
      <c r="BF2229" s="8" t="str">
        <f t="shared" si="351"/>
        <v/>
      </c>
      <c r="BG2229" s="11" t="str">
        <f t="shared" si="352"/>
        <v/>
      </c>
      <c r="BH2229" s="8" t="str">
        <f t="shared" si="353"/>
        <v/>
      </c>
      <c r="BI2229" s="8" t="str">
        <f t="shared" si="354"/>
        <v/>
      </c>
      <c r="BJ2229" s="9" t="str">
        <f t="shared" si="355"/>
        <v/>
      </c>
      <c r="BK2229" s="9" t="str">
        <f>IF($B2229="","",COUNTIFS($B$5:$B2229,$B2229,$BF$5:$BF2229,$BF2229))</f>
        <v/>
      </c>
      <c r="BL2229" s="9" t="str">
        <f>IF($B2229="","",COUNTIFS($B$5:$B2229,$B2229,$BH$5:$BH2229,$BH2229))</f>
        <v/>
      </c>
      <c r="BM2229" s="9" t="str">
        <f t="shared" si="356"/>
        <v/>
      </c>
      <c r="BN2229" s="9" t="str">
        <f t="shared" si="357"/>
        <v/>
      </c>
      <c r="BO2229" s="9">
        <f t="shared" si="358"/>
        <v>0</v>
      </c>
      <c r="BR2229" s="12" t="str">
        <f t="shared" si="359"/>
        <v/>
      </c>
    </row>
    <row r="2230" spans="1:70" ht="14.25" customHeight="1">
      <c r="A2230" s="26"/>
      <c r="C2230" s="26"/>
      <c r="D2230" s="27"/>
      <c r="E2230" s="27"/>
      <c r="BE2230" s="10" t="str">
        <f t="shared" si="350"/>
        <v/>
      </c>
      <c r="BF2230" s="8" t="str">
        <f t="shared" si="351"/>
        <v/>
      </c>
      <c r="BG2230" s="11" t="str">
        <f t="shared" si="352"/>
        <v/>
      </c>
      <c r="BH2230" s="8" t="str">
        <f t="shared" si="353"/>
        <v/>
      </c>
      <c r="BI2230" s="8" t="str">
        <f t="shared" si="354"/>
        <v/>
      </c>
      <c r="BJ2230" s="9" t="str">
        <f t="shared" si="355"/>
        <v/>
      </c>
      <c r="BK2230" s="9" t="str">
        <f>IF($B2230="","",COUNTIFS($B$5:$B2230,$B2230,$BF$5:$BF2230,$BF2230))</f>
        <v/>
      </c>
      <c r="BL2230" s="9" t="str">
        <f>IF($B2230="","",COUNTIFS($B$5:$B2230,$B2230,$BH$5:$BH2230,$BH2230))</f>
        <v/>
      </c>
      <c r="BM2230" s="9" t="str">
        <f t="shared" si="356"/>
        <v/>
      </c>
      <c r="BN2230" s="9" t="str">
        <f t="shared" si="357"/>
        <v/>
      </c>
      <c r="BO2230" s="9">
        <f t="shared" si="358"/>
        <v>0</v>
      </c>
      <c r="BR2230" s="12" t="str">
        <f t="shared" si="359"/>
        <v/>
      </c>
    </row>
    <row r="2231" spans="1:70" ht="14.25" customHeight="1">
      <c r="A2231" s="26"/>
      <c r="C2231" s="26"/>
      <c r="D2231" s="27"/>
      <c r="E2231" s="27"/>
      <c r="BE2231" s="10" t="str">
        <f t="shared" si="350"/>
        <v/>
      </c>
      <c r="BF2231" s="8" t="str">
        <f t="shared" si="351"/>
        <v/>
      </c>
      <c r="BG2231" s="11" t="str">
        <f t="shared" si="352"/>
        <v/>
      </c>
      <c r="BH2231" s="8" t="str">
        <f t="shared" si="353"/>
        <v/>
      </c>
      <c r="BI2231" s="8" t="str">
        <f t="shared" si="354"/>
        <v/>
      </c>
      <c r="BJ2231" s="9" t="str">
        <f t="shared" si="355"/>
        <v/>
      </c>
      <c r="BK2231" s="9" t="str">
        <f>IF($B2231="","",COUNTIFS($B$5:$B2231,$B2231,$BF$5:$BF2231,$BF2231))</f>
        <v/>
      </c>
      <c r="BL2231" s="9" t="str">
        <f>IF($B2231="","",COUNTIFS($B$5:$B2231,$B2231,$BH$5:$BH2231,$BH2231))</f>
        <v/>
      </c>
      <c r="BM2231" s="9" t="str">
        <f t="shared" si="356"/>
        <v/>
      </c>
      <c r="BN2231" s="9" t="str">
        <f t="shared" si="357"/>
        <v/>
      </c>
      <c r="BO2231" s="9">
        <f t="shared" si="358"/>
        <v>0</v>
      </c>
      <c r="BR2231" s="12" t="str">
        <f t="shared" si="359"/>
        <v/>
      </c>
    </row>
    <row r="2232" spans="1:70" ht="14.25" customHeight="1">
      <c r="A2232" s="26"/>
      <c r="C2232" s="26"/>
      <c r="D2232" s="27"/>
      <c r="E2232" s="27"/>
      <c r="BE2232" s="10" t="str">
        <f t="shared" si="350"/>
        <v/>
      </c>
      <c r="BF2232" s="8" t="str">
        <f t="shared" si="351"/>
        <v/>
      </c>
      <c r="BG2232" s="11" t="str">
        <f t="shared" si="352"/>
        <v/>
      </c>
      <c r="BH2232" s="8" t="str">
        <f t="shared" si="353"/>
        <v/>
      </c>
      <c r="BI2232" s="8" t="str">
        <f t="shared" si="354"/>
        <v/>
      </c>
      <c r="BJ2232" s="9" t="str">
        <f t="shared" si="355"/>
        <v/>
      </c>
      <c r="BK2232" s="9" t="str">
        <f>IF($B2232="","",COUNTIFS($B$5:$B2232,$B2232,$BF$5:$BF2232,$BF2232))</f>
        <v/>
      </c>
      <c r="BL2232" s="9" t="str">
        <f>IF($B2232="","",COUNTIFS($B$5:$B2232,$B2232,$BH$5:$BH2232,$BH2232))</f>
        <v/>
      </c>
      <c r="BM2232" s="9" t="str">
        <f t="shared" si="356"/>
        <v/>
      </c>
      <c r="BN2232" s="9" t="str">
        <f t="shared" si="357"/>
        <v/>
      </c>
      <c r="BO2232" s="9">
        <f t="shared" si="358"/>
        <v>0</v>
      </c>
      <c r="BR2232" s="12" t="str">
        <f t="shared" si="359"/>
        <v/>
      </c>
    </row>
    <row r="2233" spans="1:70" ht="14.25" customHeight="1">
      <c r="A2233" s="26"/>
      <c r="C2233" s="26"/>
      <c r="D2233" s="27"/>
      <c r="E2233" s="27"/>
      <c r="BE2233" s="10" t="str">
        <f t="shared" si="350"/>
        <v/>
      </c>
      <c r="BF2233" s="8" t="str">
        <f t="shared" si="351"/>
        <v/>
      </c>
      <c r="BG2233" s="11" t="str">
        <f t="shared" si="352"/>
        <v/>
      </c>
      <c r="BH2233" s="8" t="str">
        <f t="shared" si="353"/>
        <v/>
      </c>
      <c r="BI2233" s="8" t="str">
        <f t="shared" si="354"/>
        <v/>
      </c>
      <c r="BJ2233" s="9" t="str">
        <f t="shared" si="355"/>
        <v/>
      </c>
      <c r="BK2233" s="9" t="str">
        <f>IF($B2233="","",COUNTIFS($B$5:$B2233,$B2233,$BF$5:$BF2233,$BF2233))</f>
        <v/>
      </c>
      <c r="BL2233" s="9" t="str">
        <f>IF($B2233="","",COUNTIFS($B$5:$B2233,$B2233,$BH$5:$BH2233,$BH2233))</f>
        <v/>
      </c>
      <c r="BM2233" s="9" t="str">
        <f t="shared" si="356"/>
        <v/>
      </c>
      <c r="BN2233" s="9" t="str">
        <f t="shared" si="357"/>
        <v/>
      </c>
      <c r="BO2233" s="9">
        <f t="shared" si="358"/>
        <v>0</v>
      </c>
      <c r="BR2233" s="12" t="str">
        <f t="shared" si="359"/>
        <v/>
      </c>
    </row>
    <row r="2234" spans="1:70" ht="14.25" customHeight="1">
      <c r="A2234" s="26"/>
      <c r="C2234" s="26"/>
      <c r="D2234" s="27"/>
      <c r="E2234" s="27"/>
      <c r="BE2234" s="10" t="str">
        <f t="shared" si="350"/>
        <v/>
      </c>
      <c r="BF2234" s="8" t="str">
        <f t="shared" si="351"/>
        <v/>
      </c>
      <c r="BG2234" s="11" t="str">
        <f t="shared" si="352"/>
        <v/>
      </c>
      <c r="BH2234" s="8" t="str">
        <f t="shared" si="353"/>
        <v/>
      </c>
      <c r="BI2234" s="8" t="str">
        <f t="shared" si="354"/>
        <v/>
      </c>
      <c r="BJ2234" s="9" t="str">
        <f t="shared" si="355"/>
        <v/>
      </c>
      <c r="BK2234" s="9" t="str">
        <f>IF($B2234="","",COUNTIFS($B$5:$B2234,$B2234,$BF$5:$BF2234,$BF2234))</f>
        <v/>
      </c>
      <c r="BL2234" s="9" t="str">
        <f>IF($B2234="","",COUNTIFS($B$5:$B2234,$B2234,$BH$5:$BH2234,$BH2234))</f>
        <v/>
      </c>
      <c r="BM2234" s="9" t="str">
        <f t="shared" si="356"/>
        <v/>
      </c>
      <c r="BN2234" s="9" t="str">
        <f t="shared" si="357"/>
        <v/>
      </c>
      <c r="BO2234" s="9">
        <f t="shared" si="358"/>
        <v>0</v>
      </c>
      <c r="BR2234" s="12" t="str">
        <f t="shared" si="359"/>
        <v/>
      </c>
    </row>
    <row r="2235" spans="1:70" ht="14.25" customHeight="1">
      <c r="A2235" s="26"/>
      <c r="C2235" s="26"/>
      <c r="D2235" s="27"/>
      <c r="E2235" s="27"/>
      <c r="BE2235" s="10" t="str">
        <f t="shared" si="350"/>
        <v/>
      </c>
      <c r="BF2235" s="8" t="str">
        <f t="shared" si="351"/>
        <v/>
      </c>
      <c r="BG2235" s="11" t="str">
        <f t="shared" si="352"/>
        <v/>
      </c>
      <c r="BH2235" s="8" t="str">
        <f t="shared" si="353"/>
        <v/>
      </c>
      <c r="BI2235" s="8" t="str">
        <f t="shared" si="354"/>
        <v/>
      </c>
      <c r="BJ2235" s="9" t="str">
        <f t="shared" si="355"/>
        <v/>
      </c>
      <c r="BK2235" s="9" t="str">
        <f>IF($B2235="","",COUNTIFS($B$5:$B2235,$B2235,$BF$5:$BF2235,$BF2235))</f>
        <v/>
      </c>
      <c r="BL2235" s="9" t="str">
        <f>IF($B2235="","",COUNTIFS($B$5:$B2235,$B2235,$BH$5:$BH2235,$BH2235))</f>
        <v/>
      </c>
      <c r="BM2235" s="9" t="str">
        <f t="shared" si="356"/>
        <v/>
      </c>
      <c r="BN2235" s="9" t="str">
        <f t="shared" si="357"/>
        <v/>
      </c>
      <c r="BO2235" s="9">
        <f t="shared" si="358"/>
        <v>0</v>
      </c>
      <c r="BR2235" s="12" t="str">
        <f t="shared" si="359"/>
        <v/>
      </c>
    </row>
    <row r="2236" spans="1:70" ht="14.25" customHeight="1">
      <c r="A2236" s="26"/>
      <c r="C2236" s="26"/>
      <c r="D2236" s="27"/>
      <c r="E2236" s="27"/>
      <c r="BE2236" s="10" t="str">
        <f t="shared" si="350"/>
        <v/>
      </c>
      <c r="BF2236" s="8" t="str">
        <f t="shared" si="351"/>
        <v/>
      </c>
      <c r="BG2236" s="11" t="str">
        <f t="shared" si="352"/>
        <v/>
      </c>
      <c r="BH2236" s="8" t="str">
        <f t="shared" si="353"/>
        <v/>
      </c>
      <c r="BI2236" s="8" t="str">
        <f t="shared" si="354"/>
        <v/>
      </c>
      <c r="BJ2236" s="9" t="str">
        <f t="shared" si="355"/>
        <v/>
      </c>
      <c r="BK2236" s="9" t="str">
        <f>IF($B2236="","",COUNTIFS($B$5:$B2236,$B2236,$BF$5:$BF2236,$BF2236))</f>
        <v/>
      </c>
      <c r="BL2236" s="9" t="str">
        <f>IF($B2236="","",COUNTIFS($B$5:$B2236,$B2236,$BH$5:$BH2236,$BH2236))</f>
        <v/>
      </c>
      <c r="BM2236" s="9" t="str">
        <f t="shared" si="356"/>
        <v/>
      </c>
      <c r="BN2236" s="9" t="str">
        <f t="shared" si="357"/>
        <v/>
      </c>
      <c r="BO2236" s="9">
        <f t="shared" si="358"/>
        <v>0</v>
      </c>
      <c r="BR2236" s="12" t="str">
        <f t="shared" si="359"/>
        <v/>
      </c>
    </row>
    <row r="2237" spans="1:70" ht="14.25" customHeight="1">
      <c r="A2237" s="26"/>
      <c r="C2237" s="26"/>
      <c r="D2237" s="27"/>
      <c r="E2237" s="27"/>
      <c r="BE2237" s="10" t="str">
        <f t="shared" si="350"/>
        <v/>
      </c>
      <c r="BF2237" s="8" t="str">
        <f t="shared" si="351"/>
        <v/>
      </c>
      <c r="BG2237" s="11" t="str">
        <f t="shared" si="352"/>
        <v/>
      </c>
      <c r="BH2237" s="8" t="str">
        <f t="shared" si="353"/>
        <v/>
      </c>
      <c r="BI2237" s="8" t="str">
        <f t="shared" si="354"/>
        <v/>
      </c>
      <c r="BJ2237" s="9" t="str">
        <f t="shared" si="355"/>
        <v/>
      </c>
      <c r="BK2237" s="9" t="str">
        <f>IF($B2237="","",COUNTIFS($B$5:$B2237,$B2237,$BF$5:$BF2237,$BF2237))</f>
        <v/>
      </c>
      <c r="BL2237" s="9" t="str">
        <f>IF($B2237="","",COUNTIFS($B$5:$B2237,$B2237,$BH$5:$BH2237,$BH2237))</f>
        <v/>
      </c>
      <c r="BM2237" s="9" t="str">
        <f t="shared" si="356"/>
        <v/>
      </c>
      <c r="BN2237" s="9" t="str">
        <f t="shared" si="357"/>
        <v/>
      </c>
      <c r="BO2237" s="9">
        <f t="shared" si="358"/>
        <v>0</v>
      </c>
      <c r="BR2237" s="12" t="str">
        <f t="shared" si="359"/>
        <v/>
      </c>
    </row>
    <row r="2238" spans="1:70" ht="14.25" customHeight="1">
      <c r="A2238" s="26"/>
      <c r="C2238" s="26"/>
      <c r="D2238" s="27"/>
      <c r="E2238" s="27"/>
      <c r="BE2238" s="10" t="str">
        <f t="shared" si="350"/>
        <v/>
      </c>
      <c r="BF2238" s="8" t="str">
        <f t="shared" si="351"/>
        <v/>
      </c>
      <c r="BG2238" s="11" t="str">
        <f t="shared" si="352"/>
        <v/>
      </c>
      <c r="BH2238" s="8" t="str">
        <f t="shared" si="353"/>
        <v/>
      </c>
      <c r="BI2238" s="8" t="str">
        <f t="shared" si="354"/>
        <v/>
      </c>
      <c r="BJ2238" s="9" t="str">
        <f t="shared" si="355"/>
        <v/>
      </c>
      <c r="BK2238" s="9" t="str">
        <f>IF($B2238="","",COUNTIFS($B$5:$B2238,$B2238,$BF$5:$BF2238,$BF2238))</f>
        <v/>
      </c>
      <c r="BL2238" s="9" t="str">
        <f>IF($B2238="","",COUNTIFS($B$5:$B2238,$B2238,$BH$5:$BH2238,$BH2238))</f>
        <v/>
      </c>
      <c r="BM2238" s="9" t="str">
        <f t="shared" si="356"/>
        <v/>
      </c>
      <c r="BN2238" s="9" t="str">
        <f t="shared" si="357"/>
        <v/>
      </c>
      <c r="BO2238" s="9">
        <f t="shared" si="358"/>
        <v>0</v>
      </c>
      <c r="BR2238" s="12" t="str">
        <f t="shared" si="359"/>
        <v/>
      </c>
    </row>
    <row r="2239" spans="1:70" ht="14.25" customHeight="1">
      <c r="A2239" s="26"/>
      <c r="C2239" s="26"/>
      <c r="D2239" s="27"/>
      <c r="E2239" s="27"/>
      <c r="BE2239" s="10" t="str">
        <f t="shared" si="350"/>
        <v/>
      </c>
      <c r="BF2239" s="8" t="str">
        <f t="shared" si="351"/>
        <v/>
      </c>
      <c r="BG2239" s="11" t="str">
        <f t="shared" si="352"/>
        <v/>
      </c>
      <c r="BH2239" s="8" t="str">
        <f t="shared" si="353"/>
        <v/>
      </c>
      <c r="BI2239" s="8" t="str">
        <f t="shared" si="354"/>
        <v/>
      </c>
      <c r="BJ2239" s="9" t="str">
        <f t="shared" si="355"/>
        <v/>
      </c>
      <c r="BK2239" s="9" t="str">
        <f>IF($B2239="","",COUNTIFS($B$5:$B2239,$B2239,$BF$5:$BF2239,$BF2239))</f>
        <v/>
      </c>
      <c r="BL2239" s="9" t="str">
        <f>IF($B2239="","",COUNTIFS($B$5:$B2239,$B2239,$BH$5:$BH2239,$BH2239))</f>
        <v/>
      </c>
      <c r="BM2239" s="9" t="str">
        <f t="shared" si="356"/>
        <v/>
      </c>
      <c r="BN2239" s="9" t="str">
        <f t="shared" si="357"/>
        <v/>
      </c>
      <c r="BO2239" s="9">
        <f t="shared" si="358"/>
        <v>0</v>
      </c>
      <c r="BR2239" s="12" t="str">
        <f t="shared" si="359"/>
        <v/>
      </c>
    </row>
    <row r="2240" spans="1:70" ht="14.25" customHeight="1">
      <c r="A2240" s="26"/>
      <c r="C2240" s="26"/>
      <c r="D2240" s="27"/>
      <c r="E2240" s="27"/>
      <c r="BE2240" s="10" t="str">
        <f t="shared" si="350"/>
        <v/>
      </c>
      <c r="BF2240" s="8" t="str">
        <f t="shared" si="351"/>
        <v/>
      </c>
      <c r="BG2240" s="11" t="str">
        <f t="shared" si="352"/>
        <v/>
      </c>
      <c r="BH2240" s="8" t="str">
        <f t="shared" si="353"/>
        <v/>
      </c>
      <c r="BI2240" s="8" t="str">
        <f t="shared" si="354"/>
        <v/>
      </c>
      <c r="BJ2240" s="9" t="str">
        <f t="shared" si="355"/>
        <v/>
      </c>
      <c r="BK2240" s="9" t="str">
        <f>IF($B2240="","",COUNTIFS($B$5:$B2240,$B2240,$BF$5:$BF2240,$BF2240))</f>
        <v/>
      </c>
      <c r="BL2240" s="9" t="str">
        <f>IF($B2240="","",COUNTIFS($B$5:$B2240,$B2240,$BH$5:$BH2240,$BH2240))</f>
        <v/>
      </c>
      <c r="BM2240" s="9" t="str">
        <f t="shared" si="356"/>
        <v/>
      </c>
      <c r="BN2240" s="9" t="str">
        <f t="shared" si="357"/>
        <v/>
      </c>
      <c r="BO2240" s="9">
        <f t="shared" si="358"/>
        <v>0</v>
      </c>
      <c r="BR2240" s="12" t="str">
        <f t="shared" si="359"/>
        <v/>
      </c>
    </row>
    <row r="2241" spans="1:70" ht="14.25" customHeight="1">
      <c r="A2241" s="26"/>
      <c r="C2241" s="26"/>
      <c r="D2241" s="27"/>
      <c r="E2241" s="27"/>
      <c r="BE2241" s="10" t="str">
        <f t="shared" si="350"/>
        <v/>
      </c>
      <c r="BF2241" s="8" t="str">
        <f t="shared" si="351"/>
        <v/>
      </c>
      <c r="BG2241" s="11" t="str">
        <f t="shared" si="352"/>
        <v/>
      </c>
      <c r="BH2241" s="8" t="str">
        <f t="shared" si="353"/>
        <v/>
      </c>
      <c r="BI2241" s="8" t="str">
        <f t="shared" si="354"/>
        <v/>
      </c>
      <c r="BJ2241" s="9" t="str">
        <f t="shared" si="355"/>
        <v/>
      </c>
      <c r="BK2241" s="9" t="str">
        <f>IF($B2241="","",COUNTIFS($B$5:$B2241,$B2241,$BF$5:$BF2241,$BF2241))</f>
        <v/>
      </c>
      <c r="BL2241" s="9" t="str">
        <f>IF($B2241="","",COUNTIFS($B$5:$B2241,$B2241,$BH$5:$BH2241,$BH2241))</f>
        <v/>
      </c>
      <c r="BM2241" s="9" t="str">
        <f t="shared" si="356"/>
        <v/>
      </c>
      <c r="BN2241" s="9" t="str">
        <f t="shared" si="357"/>
        <v/>
      </c>
      <c r="BO2241" s="9">
        <f t="shared" si="358"/>
        <v>0</v>
      </c>
      <c r="BR2241" s="12" t="str">
        <f t="shared" si="359"/>
        <v/>
      </c>
    </row>
    <row r="2242" spans="1:70" ht="14.25" customHeight="1">
      <c r="A2242" s="26"/>
      <c r="C2242" s="26"/>
      <c r="D2242" s="27"/>
      <c r="E2242" s="27"/>
      <c r="BE2242" s="10" t="str">
        <f t="shared" si="350"/>
        <v/>
      </c>
      <c r="BF2242" s="8" t="str">
        <f t="shared" si="351"/>
        <v/>
      </c>
      <c r="BG2242" s="11" t="str">
        <f t="shared" si="352"/>
        <v/>
      </c>
      <c r="BH2242" s="8" t="str">
        <f t="shared" si="353"/>
        <v/>
      </c>
      <c r="BI2242" s="8" t="str">
        <f t="shared" si="354"/>
        <v/>
      </c>
      <c r="BJ2242" s="9" t="str">
        <f t="shared" si="355"/>
        <v/>
      </c>
      <c r="BK2242" s="9" t="str">
        <f>IF($B2242="","",COUNTIFS($B$5:$B2242,$B2242,$BF$5:$BF2242,$BF2242))</f>
        <v/>
      </c>
      <c r="BL2242" s="9" t="str">
        <f>IF($B2242="","",COUNTIFS($B$5:$B2242,$B2242,$BH$5:$BH2242,$BH2242))</f>
        <v/>
      </c>
      <c r="BM2242" s="9" t="str">
        <f t="shared" si="356"/>
        <v/>
      </c>
      <c r="BN2242" s="9" t="str">
        <f t="shared" si="357"/>
        <v/>
      </c>
      <c r="BO2242" s="9">
        <f t="shared" si="358"/>
        <v>0</v>
      </c>
      <c r="BR2242" s="12" t="str">
        <f t="shared" si="359"/>
        <v/>
      </c>
    </row>
    <row r="2243" spans="1:70" ht="14.25" customHeight="1">
      <c r="A2243" s="26"/>
      <c r="C2243" s="26"/>
      <c r="D2243" s="27"/>
      <c r="E2243" s="27"/>
      <c r="BE2243" s="10" t="str">
        <f t="shared" si="350"/>
        <v/>
      </c>
      <c r="BF2243" s="8" t="str">
        <f t="shared" si="351"/>
        <v/>
      </c>
      <c r="BG2243" s="11" t="str">
        <f t="shared" si="352"/>
        <v/>
      </c>
      <c r="BH2243" s="8" t="str">
        <f t="shared" si="353"/>
        <v/>
      </c>
      <c r="BI2243" s="8" t="str">
        <f t="shared" si="354"/>
        <v/>
      </c>
      <c r="BJ2243" s="9" t="str">
        <f t="shared" si="355"/>
        <v/>
      </c>
      <c r="BK2243" s="9" t="str">
        <f>IF($B2243="","",COUNTIFS($B$5:$B2243,$B2243,$BF$5:$BF2243,$BF2243))</f>
        <v/>
      </c>
      <c r="BL2243" s="9" t="str">
        <f>IF($B2243="","",COUNTIFS($B$5:$B2243,$B2243,$BH$5:$BH2243,$BH2243))</f>
        <v/>
      </c>
      <c r="BM2243" s="9" t="str">
        <f t="shared" si="356"/>
        <v/>
      </c>
      <c r="BN2243" s="9" t="str">
        <f t="shared" si="357"/>
        <v/>
      </c>
      <c r="BO2243" s="9">
        <f t="shared" si="358"/>
        <v>0</v>
      </c>
      <c r="BR2243" s="12" t="str">
        <f t="shared" si="359"/>
        <v/>
      </c>
    </row>
    <row r="2244" spans="1:70" ht="14.25" customHeight="1">
      <c r="A2244" s="26"/>
      <c r="C2244" s="26"/>
      <c r="D2244" s="27"/>
      <c r="E2244" s="27"/>
      <c r="BE2244" s="10" t="str">
        <f t="shared" si="350"/>
        <v/>
      </c>
      <c r="BF2244" s="8" t="str">
        <f t="shared" si="351"/>
        <v/>
      </c>
      <c r="BG2244" s="11" t="str">
        <f t="shared" si="352"/>
        <v/>
      </c>
      <c r="BH2244" s="8" t="str">
        <f t="shared" si="353"/>
        <v/>
      </c>
      <c r="BI2244" s="8" t="str">
        <f t="shared" si="354"/>
        <v/>
      </c>
      <c r="BJ2244" s="9" t="str">
        <f t="shared" si="355"/>
        <v/>
      </c>
      <c r="BK2244" s="9" t="str">
        <f>IF($B2244="","",COUNTIFS($B$5:$B2244,$B2244,$BF$5:$BF2244,$BF2244))</f>
        <v/>
      </c>
      <c r="BL2244" s="9" t="str">
        <f>IF($B2244="","",COUNTIFS($B$5:$B2244,$B2244,$BH$5:$BH2244,$BH2244))</f>
        <v/>
      </c>
      <c r="BM2244" s="9" t="str">
        <f t="shared" si="356"/>
        <v/>
      </c>
      <c r="BN2244" s="9" t="str">
        <f t="shared" si="357"/>
        <v/>
      </c>
      <c r="BO2244" s="9">
        <f t="shared" si="358"/>
        <v>0</v>
      </c>
      <c r="BR2244" s="12" t="str">
        <f t="shared" si="359"/>
        <v/>
      </c>
    </row>
    <row r="2245" spans="1:70" ht="14.25" customHeight="1">
      <c r="A2245" s="26"/>
      <c r="C2245" s="26"/>
      <c r="D2245" s="27"/>
      <c r="E2245" s="27"/>
      <c r="BE2245" s="10" t="str">
        <f t="shared" si="350"/>
        <v/>
      </c>
      <c r="BF2245" s="8" t="str">
        <f t="shared" si="351"/>
        <v/>
      </c>
      <c r="BG2245" s="11" t="str">
        <f t="shared" si="352"/>
        <v/>
      </c>
      <c r="BH2245" s="8" t="str">
        <f t="shared" si="353"/>
        <v/>
      </c>
      <c r="BI2245" s="8" t="str">
        <f t="shared" si="354"/>
        <v/>
      </c>
      <c r="BJ2245" s="9" t="str">
        <f t="shared" si="355"/>
        <v/>
      </c>
      <c r="BK2245" s="9" t="str">
        <f>IF($B2245="","",COUNTIFS($B$5:$B2245,$B2245,$BF$5:$BF2245,$BF2245))</f>
        <v/>
      </c>
      <c r="BL2245" s="9" t="str">
        <f>IF($B2245="","",COUNTIFS($B$5:$B2245,$B2245,$BH$5:$BH2245,$BH2245))</f>
        <v/>
      </c>
      <c r="BM2245" s="9" t="str">
        <f t="shared" si="356"/>
        <v/>
      </c>
      <c r="BN2245" s="9" t="str">
        <f t="shared" si="357"/>
        <v/>
      </c>
      <c r="BO2245" s="9">
        <f t="shared" si="358"/>
        <v>0</v>
      </c>
      <c r="BR2245" s="12" t="str">
        <f t="shared" si="359"/>
        <v/>
      </c>
    </row>
    <row r="2246" spans="1:70" ht="14.25" customHeight="1">
      <c r="A2246" s="26"/>
      <c r="C2246" s="26"/>
      <c r="D2246" s="27"/>
      <c r="E2246" s="27"/>
      <c r="BE2246" s="10" t="str">
        <f t="shared" si="350"/>
        <v/>
      </c>
      <c r="BF2246" s="8" t="str">
        <f t="shared" si="351"/>
        <v/>
      </c>
      <c r="BG2246" s="11" t="str">
        <f t="shared" si="352"/>
        <v/>
      </c>
      <c r="BH2246" s="8" t="str">
        <f t="shared" si="353"/>
        <v/>
      </c>
      <c r="BI2246" s="8" t="str">
        <f t="shared" si="354"/>
        <v/>
      </c>
      <c r="BJ2246" s="9" t="str">
        <f t="shared" si="355"/>
        <v/>
      </c>
      <c r="BK2246" s="9" t="str">
        <f>IF($B2246="","",COUNTIFS($B$5:$B2246,$B2246,$BF$5:$BF2246,$BF2246))</f>
        <v/>
      </c>
      <c r="BL2246" s="9" t="str">
        <f>IF($B2246="","",COUNTIFS($B$5:$B2246,$B2246,$BH$5:$BH2246,$BH2246))</f>
        <v/>
      </c>
      <c r="BM2246" s="9" t="str">
        <f t="shared" si="356"/>
        <v/>
      </c>
      <c r="BN2246" s="9" t="str">
        <f t="shared" si="357"/>
        <v/>
      </c>
      <c r="BO2246" s="9">
        <f t="shared" si="358"/>
        <v>0</v>
      </c>
      <c r="BR2246" s="12" t="str">
        <f t="shared" si="359"/>
        <v/>
      </c>
    </row>
    <row r="2247" spans="1:70" ht="14.25" customHeight="1">
      <c r="A2247" s="26"/>
      <c r="C2247" s="26"/>
      <c r="D2247" s="27"/>
      <c r="E2247" s="27"/>
      <c r="BE2247" s="10" t="str">
        <f t="shared" si="350"/>
        <v/>
      </c>
      <c r="BF2247" s="8" t="str">
        <f t="shared" si="351"/>
        <v/>
      </c>
      <c r="BG2247" s="11" t="str">
        <f t="shared" si="352"/>
        <v/>
      </c>
      <c r="BH2247" s="8" t="str">
        <f t="shared" si="353"/>
        <v/>
      </c>
      <c r="BI2247" s="8" t="str">
        <f t="shared" si="354"/>
        <v/>
      </c>
      <c r="BJ2247" s="9" t="str">
        <f t="shared" si="355"/>
        <v/>
      </c>
      <c r="BK2247" s="9" t="str">
        <f>IF($B2247="","",COUNTIFS($B$5:$B2247,$B2247,$BF$5:$BF2247,$BF2247))</f>
        <v/>
      </c>
      <c r="BL2247" s="9" t="str">
        <f>IF($B2247="","",COUNTIFS($B$5:$B2247,$B2247,$BH$5:$BH2247,$BH2247))</f>
        <v/>
      </c>
      <c r="BM2247" s="9" t="str">
        <f t="shared" si="356"/>
        <v/>
      </c>
      <c r="BN2247" s="9" t="str">
        <f t="shared" si="357"/>
        <v/>
      </c>
      <c r="BO2247" s="9">
        <f t="shared" si="358"/>
        <v>0</v>
      </c>
      <c r="BR2247" s="12" t="str">
        <f t="shared" si="359"/>
        <v/>
      </c>
    </row>
    <row r="2248" spans="1:70" ht="14.25" customHeight="1">
      <c r="A2248" s="26"/>
      <c r="C2248" s="26"/>
      <c r="D2248" s="27"/>
      <c r="E2248" s="27"/>
      <c r="BE2248" s="10" t="str">
        <f t="shared" si="350"/>
        <v/>
      </c>
      <c r="BF2248" s="8" t="str">
        <f t="shared" si="351"/>
        <v/>
      </c>
      <c r="BG2248" s="11" t="str">
        <f t="shared" si="352"/>
        <v/>
      </c>
      <c r="BH2248" s="8" t="str">
        <f t="shared" si="353"/>
        <v/>
      </c>
      <c r="BI2248" s="8" t="str">
        <f t="shared" si="354"/>
        <v/>
      </c>
      <c r="BJ2248" s="9" t="str">
        <f t="shared" si="355"/>
        <v/>
      </c>
      <c r="BK2248" s="9" t="str">
        <f>IF($B2248="","",COUNTIFS($B$5:$B2248,$B2248,$BF$5:$BF2248,$BF2248))</f>
        <v/>
      </c>
      <c r="BL2248" s="9" t="str">
        <f>IF($B2248="","",COUNTIFS($B$5:$B2248,$B2248,$BH$5:$BH2248,$BH2248))</f>
        <v/>
      </c>
      <c r="BM2248" s="9" t="str">
        <f t="shared" si="356"/>
        <v/>
      </c>
      <c r="BN2248" s="9" t="str">
        <f t="shared" si="357"/>
        <v/>
      </c>
      <c r="BO2248" s="9">
        <f t="shared" si="358"/>
        <v>0</v>
      </c>
      <c r="BR2248" s="12" t="str">
        <f t="shared" si="359"/>
        <v/>
      </c>
    </row>
    <row r="2249" spans="1:70" ht="14.25" customHeight="1">
      <c r="A2249" s="26"/>
      <c r="C2249" s="26"/>
      <c r="D2249" s="27"/>
      <c r="E2249" s="27"/>
      <c r="BE2249" s="10" t="str">
        <f t="shared" si="350"/>
        <v/>
      </c>
      <c r="BF2249" s="8" t="str">
        <f t="shared" si="351"/>
        <v/>
      </c>
      <c r="BG2249" s="11" t="str">
        <f t="shared" si="352"/>
        <v/>
      </c>
      <c r="BH2249" s="8" t="str">
        <f t="shared" si="353"/>
        <v/>
      </c>
      <c r="BI2249" s="8" t="str">
        <f t="shared" si="354"/>
        <v/>
      </c>
      <c r="BJ2249" s="9" t="str">
        <f t="shared" si="355"/>
        <v/>
      </c>
      <c r="BK2249" s="9" t="str">
        <f>IF($B2249="","",COUNTIFS($B$5:$B2249,$B2249,$BF$5:$BF2249,$BF2249))</f>
        <v/>
      </c>
      <c r="BL2249" s="9" t="str">
        <f>IF($B2249="","",COUNTIFS($B$5:$B2249,$B2249,$BH$5:$BH2249,$BH2249))</f>
        <v/>
      </c>
      <c r="BM2249" s="9" t="str">
        <f t="shared" si="356"/>
        <v/>
      </c>
      <c r="BN2249" s="9" t="str">
        <f t="shared" si="357"/>
        <v/>
      </c>
      <c r="BO2249" s="9">
        <f t="shared" si="358"/>
        <v>0</v>
      </c>
      <c r="BR2249" s="12" t="str">
        <f t="shared" si="359"/>
        <v/>
      </c>
    </row>
    <row r="2250" spans="1:70" ht="14.25" customHeight="1">
      <c r="A2250" s="26"/>
      <c r="C2250" s="26"/>
      <c r="D2250" s="27"/>
      <c r="E2250" s="27"/>
      <c r="BE2250" s="10" t="str">
        <f t="shared" si="350"/>
        <v/>
      </c>
      <c r="BF2250" s="8" t="str">
        <f t="shared" si="351"/>
        <v/>
      </c>
      <c r="BG2250" s="11" t="str">
        <f t="shared" si="352"/>
        <v/>
      </c>
      <c r="BH2250" s="8" t="str">
        <f t="shared" si="353"/>
        <v/>
      </c>
      <c r="BI2250" s="8" t="str">
        <f t="shared" si="354"/>
        <v/>
      </c>
      <c r="BJ2250" s="9" t="str">
        <f t="shared" si="355"/>
        <v/>
      </c>
      <c r="BK2250" s="9" t="str">
        <f>IF($B2250="","",COUNTIFS($B$5:$B2250,$B2250,$BF$5:$BF2250,$BF2250))</f>
        <v/>
      </c>
      <c r="BL2250" s="9" t="str">
        <f>IF($B2250="","",COUNTIFS($B$5:$B2250,$B2250,$BH$5:$BH2250,$BH2250))</f>
        <v/>
      </c>
      <c r="BM2250" s="9" t="str">
        <f t="shared" si="356"/>
        <v/>
      </c>
      <c r="BN2250" s="9" t="str">
        <f t="shared" si="357"/>
        <v/>
      </c>
      <c r="BO2250" s="9">
        <f t="shared" si="358"/>
        <v>0</v>
      </c>
      <c r="BR2250" s="12" t="str">
        <f t="shared" si="359"/>
        <v/>
      </c>
    </row>
    <row r="2251" spans="1:70" ht="14.25" customHeight="1">
      <c r="A2251" s="26"/>
      <c r="C2251" s="26"/>
      <c r="D2251" s="27"/>
      <c r="E2251" s="27"/>
      <c r="BE2251" s="10" t="str">
        <f t="shared" si="350"/>
        <v/>
      </c>
      <c r="BF2251" s="8" t="str">
        <f t="shared" si="351"/>
        <v/>
      </c>
      <c r="BG2251" s="11" t="str">
        <f t="shared" si="352"/>
        <v/>
      </c>
      <c r="BH2251" s="8" t="str">
        <f t="shared" si="353"/>
        <v/>
      </c>
      <c r="BI2251" s="8" t="str">
        <f t="shared" si="354"/>
        <v/>
      </c>
      <c r="BJ2251" s="9" t="str">
        <f t="shared" si="355"/>
        <v/>
      </c>
      <c r="BK2251" s="9" t="str">
        <f>IF($B2251="","",COUNTIFS($B$5:$B2251,$B2251,$BF$5:$BF2251,$BF2251))</f>
        <v/>
      </c>
      <c r="BL2251" s="9" t="str">
        <f>IF($B2251="","",COUNTIFS($B$5:$B2251,$B2251,$BH$5:$BH2251,$BH2251))</f>
        <v/>
      </c>
      <c r="BM2251" s="9" t="str">
        <f t="shared" si="356"/>
        <v/>
      </c>
      <c r="BN2251" s="9" t="str">
        <f t="shared" si="357"/>
        <v/>
      </c>
      <c r="BO2251" s="9">
        <f t="shared" si="358"/>
        <v>0</v>
      </c>
      <c r="BR2251" s="12" t="str">
        <f t="shared" si="359"/>
        <v/>
      </c>
    </row>
    <row r="2252" spans="1:70" ht="14.25" customHeight="1">
      <c r="A2252" s="26"/>
      <c r="C2252" s="26"/>
      <c r="D2252" s="27"/>
      <c r="E2252" s="27"/>
      <c r="BE2252" s="10" t="str">
        <f t="shared" si="350"/>
        <v/>
      </c>
      <c r="BF2252" s="8" t="str">
        <f t="shared" si="351"/>
        <v/>
      </c>
      <c r="BG2252" s="11" t="str">
        <f t="shared" si="352"/>
        <v/>
      </c>
      <c r="BH2252" s="8" t="str">
        <f t="shared" si="353"/>
        <v/>
      </c>
      <c r="BI2252" s="8" t="str">
        <f t="shared" si="354"/>
        <v/>
      </c>
      <c r="BJ2252" s="9" t="str">
        <f t="shared" si="355"/>
        <v/>
      </c>
      <c r="BK2252" s="9" t="str">
        <f>IF($B2252="","",COUNTIFS($B$5:$B2252,$B2252,$BF$5:$BF2252,$BF2252))</f>
        <v/>
      </c>
      <c r="BL2252" s="9" t="str">
        <f>IF($B2252="","",COUNTIFS($B$5:$B2252,$B2252,$BH$5:$BH2252,$BH2252))</f>
        <v/>
      </c>
      <c r="BM2252" s="9" t="str">
        <f t="shared" si="356"/>
        <v/>
      </c>
      <c r="BN2252" s="9" t="str">
        <f t="shared" si="357"/>
        <v/>
      </c>
      <c r="BO2252" s="9">
        <f t="shared" si="358"/>
        <v>0</v>
      </c>
      <c r="BR2252" s="12" t="str">
        <f t="shared" si="359"/>
        <v/>
      </c>
    </row>
    <row r="2253" spans="1:70" ht="14.25" customHeight="1">
      <c r="A2253" s="26"/>
      <c r="C2253" s="26"/>
      <c r="D2253" s="27"/>
      <c r="E2253" s="27"/>
      <c r="BE2253" s="10" t="str">
        <f t="shared" si="350"/>
        <v/>
      </c>
      <c r="BF2253" s="8" t="str">
        <f t="shared" si="351"/>
        <v/>
      </c>
      <c r="BG2253" s="11" t="str">
        <f t="shared" si="352"/>
        <v/>
      </c>
      <c r="BH2253" s="8" t="str">
        <f t="shared" si="353"/>
        <v/>
      </c>
      <c r="BI2253" s="8" t="str">
        <f t="shared" si="354"/>
        <v/>
      </c>
      <c r="BJ2253" s="9" t="str">
        <f t="shared" si="355"/>
        <v/>
      </c>
      <c r="BK2253" s="9" t="str">
        <f>IF($B2253="","",COUNTIFS($B$5:$B2253,$B2253,$BF$5:$BF2253,$BF2253))</f>
        <v/>
      </c>
      <c r="BL2253" s="9" t="str">
        <f>IF($B2253="","",COUNTIFS($B$5:$B2253,$B2253,$BH$5:$BH2253,$BH2253))</f>
        <v/>
      </c>
      <c r="BM2253" s="9" t="str">
        <f t="shared" si="356"/>
        <v/>
      </c>
      <c r="BN2253" s="9" t="str">
        <f t="shared" si="357"/>
        <v/>
      </c>
      <c r="BO2253" s="9">
        <f t="shared" si="358"/>
        <v>0</v>
      </c>
      <c r="BR2253" s="12" t="str">
        <f t="shared" si="359"/>
        <v/>
      </c>
    </row>
    <row r="2254" spans="1:70" ht="14.25" customHeight="1">
      <c r="A2254" s="26"/>
      <c r="C2254" s="26"/>
      <c r="D2254" s="27"/>
      <c r="E2254" s="27"/>
      <c r="BE2254" s="10" t="str">
        <f t="shared" si="350"/>
        <v/>
      </c>
      <c r="BF2254" s="8" t="str">
        <f t="shared" si="351"/>
        <v/>
      </c>
      <c r="BG2254" s="11" t="str">
        <f t="shared" si="352"/>
        <v/>
      </c>
      <c r="BH2254" s="8" t="str">
        <f t="shared" si="353"/>
        <v/>
      </c>
      <c r="BI2254" s="8" t="str">
        <f t="shared" si="354"/>
        <v/>
      </c>
      <c r="BJ2254" s="9" t="str">
        <f t="shared" si="355"/>
        <v/>
      </c>
      <c r="BK2254" s="9" t="str">
        <f>IF($B2254="","",COUNTIFS($B$5:$B2254,$B2254,$BF$5:$BF2254,$BF2254))</f>
        <v/>
      </c>
      <c r="BL2254" s="9" t="str">
        <f>IF($B2254="","",COUNTIFS($B$5:$B2254,$B2254,$BH$5:$BH2254,$BH2254))</f>
        <v/>
      </c>
      <c r="BM2254" s="9" t="str">
        <f t="shared" si="356"/>
        <v/>
      </c>
      <c r="BN2254" s="9" t="str">
        <f t="shared" si="357"/>
        <v/>
      </c>
      <c r="BO2254" s="9">
        <f t="shared" si="358"/>
        <v>0</v>
      </c>
      <c r="BR2254" s="12" t="str">
        <f t="shared" si="359"/>
        <v/>
      </c>
    </row>
    <row r="2255" spans="1:70" ht="14.25" customHeight="1">
      <c r="A2255" s="26"/>
      <c r="C2255" s="26"/>
      <c r="D2255" s="27"/>
      <c r="E2255" s="27"/>
      <c r="BE2255" s="10" t="str">
        <f t="shared" si="350"/>
        <v/>
      </c>
      <c r="BF2255" s="8" t="str">
        <f t="shared" si="351"/>
        <v/>
      </c>
      <c r="BG2255" s="11" t="str">
        <f t="shared" si="352"/>
        <v/>
      </c>
      <c r="BH2255" s="8" t="str">
        <f t="shared" si="353"/>
        <v/>
      </c>
      <c r="BI2255" s="8" t="str">
        <f t="shared" si="354"/>
        <v/>
      </c>
      <c r="BJ2255" s="9" t="str">
        <f t="shared" si="355"/>
        <v/>
      </c>
      <c r="BK2255" s="9" t="str">
        <f>IF($B2255="","",COUNTIFS($B$5:$B2255,$B2255,$BF$5:$BF2255,$BF2255))</f>
        <v/>
      </c>
      <c r="BL2255" s="9" t="str">
        <f>IF($B2255="","",COUNTIFS($B$5:$B2255,$B2255,$BH$5:$BH2255,$BH2255))</f>
        <v/>
      </c>
      <c r="BM2255" s="9" t="str">
        <f t="shared" si="356"/>
        <v/>
      </c>
      <c r="BN2255" s="9" t="str">
        <f t="shared" si="357"/>
        <v/>
      </c>
      <c r="BO2255" s="9">
        <f t="shared" si="358"/>
        <v>0</v>
      </c>
      <c r="BR2255" s="12" t="str">
        <f t="shared" si="359"/>
        <v/>
      </c>
    </row>
    <row r="2256" spans="1:70" ht="14.25" customHeight="1">
      <c r="A2256" s="26"/>
      <c r="C2256" s="26"/>
      <c r="D2256" s="27"/>
      <c r="E2256" s="27"/>
      <c r="BE2256" s="10" t="str">
        <f t="shared" si="350"/>
        <v/>
      </c>
      <c r="BF2256" s="8" t="str">
        <f t="shared" si="351"/>
        <v/>
      </c>
      <c r="BG2256" s="11" t="str">
        <f t="shared" si="352"/>
        <v/>
      </c>
      <c r="BH2256" s="8" t="str">
        <f t="shared" si="353"/>
        <v/>
      </c>
      <c r="BI2256" s="8" t="str">
        <f t="shared" si="354"/>
        <v/>
      </c>
      <c r="BJ2256" s="9" t="str">
        <f t="shared" si="355"/>
        <v/>
      </c>
      <c r="BK2256" s="9" t="str">
        <f>IF($B2256="","",COUNTIFS($B$5:$B2256,$B2256,$BF$5:$BF2256,$BF2256))</f>
        <v/>
      </c>
      <c r="BL2256" s="9" t="str">
        <f>IF($B2256="","",COUNTIFS($B$5:$B2256,$B2256,$BH$5:$BH2256,$BH2256))</f>
        <v/>
      </c>
      <c r="BM2256" s="9" t="str">
        <f t="shared" si="356"/>
        <v/>
      </c>
      <c r="BN2256" s="9" t="str">
        <f t="shared" si="357"/>
        <v/>
      </c>
      <c r="BO2256" s="9">
        <f t="shared" si="358"/>
        <v>0</v>
      </c>
      <c r="BR2256" s="12" t="str">
        <f t="shared" si="359"/>
        <v/>
      </c>
    </row>
    <row r="2257" spans="1:70" ht="14.25" customHeight="1">
      <c r="A2257" s="26"/>
      <c r="C2257" s="26"/>
      <c r="D2257" s="27"/>
      <c r="E2257" s="27"/>
      <c r="BE2257" s="10" t="str">
        <f t="shared" si="350"/>
        <v/>
      </c>
      <c r="BF2257" s="8" t="str">
        <f t="shared" si="351"/>
        <v/>
      </c>
      <c r="BG2257" s="11" t="str">
        <f t="shared" si="352"/>
        <v/>
      </c>
      <c r="BH2257" s="8" t="str">
        <f t="shared" si="353"/>
        <v/>
      </c>
      <c r="BI2257" s="8" t="str">
        <f t="shared" si="354"/>
        <v/>
      </c>
      <c r="BJ2257" s="9" t="str">
        <f t="shared" si="355"/>
        <v/>
      </c>
      <c r="BK2257" s="9" t="str">
        <f>IF($B2257="","",COUNTIFS($B$5:$B2257,$B2257,$BF$5:$BF2257,$BF2257))</f>
        <v/>
      </c>
      <c r="BL2257" s="9" t="str">
        <f>IF($B2257="","",COUNTIFS($B$5:$B2257,$B2257,$BH$5:$BH2257,$BH2257))</f>
        <v/>
      </c>
      <c r="BM2257" s="9" t="str">
        <f t="shared" si="356"/>
        <v/>
      </c>
      <c r="BN2257" s="9" t="str">
        <f t="shared" si="357"/>
        <v/>
      </c>
      <c r="BO2257" s="9">
        <f t="shared" si="358"/>
        <v>0</v>
      </c>
      <c r="BR2257" s="12" t="str">
        <f t="shared" si="359"/>
        <v/>
      </c>
    </row>
    <row r="2258" spans="1:70" ht="14.25" customHeight="1">
      <c r="A2258" s="26"/>
      <c r="C2258" s="26"/>
      <c r="D2258" s="27"/>
      <c r="E2258" s="27"/>
      <c r="BE2258" s="10" t="str">
        <f t="shared" si="350"/>
        <v/>
      </c>
      <c r="BF2258" s="8" t="str">
        <f t="shared" si="351"/>
        <v/>
      </c>
      <c r="BG2258" s="11" t="str">
        <f t="shared" si="352"/>
        <v/>
      </c>
      <c r="BH2258" s="8" t="str">
        <f t="shared" si="353"/>
        <v/>
      </c>
      <c r="BI2258" s="8" t="str">
        <f t="shared" si="354"/>
        <v/>
      </c>
      <c r="BJ2258" s="9" t="str">
        <f t="shared" si="355"/>
        <v/>
      </c>
      <c r="BK2258" s="9" t="str">
        <f>IF($B2258="","",COUNTIFS($B$5:$B2258,$B2258,$BF$5:$BF2258,$BF2258))</f>
        <v/>
      </c>
      <c r="BL2258" s="9" t="str">
        <f>IF($B2258="","",COUNTIFS($B$5:$B2258,$B2258,$BH$5:$BH2258,$BH2258))</f>
        <v/>
      </c>
      <c r="BM2258" s="9" t="str">
        <f t="shared" si="356"/>
        <v/>
      </c>
      <c r="BN2258" s="9" t="str">
        <f t="shared" si="357"/>
        <v/>
      </c>
      <c r="BO2258" s="9">
        <f t="shared" si="358"/>
        <v>0</v>
      </c>
      <c r="BR2258" s="12" t="str">
        <f t="shared" si="359"/>
        <v/>
      </c>
    </row>
    <row r="2259" spans="1:70" ht="14.25" customHeight="1">
      <c r="A2259" s="26"/>
      <c r="C2259" s="26"/>
      <c r="D2259" s="27"/>
      <c r="E2259" s="27"/>
      <c r="BE2259" s="10" t="str">
        <f t="shared" si="350"/>
        <v/>
      </c>
      <c r="BF2259" s="8" t="str">
        <f t="shared" si="351"/>
        <v/>
      </c>
      <c r="BG2259" s="11" t="str">
        <f t="shared" si="352"/>
        <v/>
      </c>
      <c r="BH2259" s="8" t="str">
        <f t="shared" si="353"/>
        <v/>
      </c>
      <c r="BI2259" s="8" t="str">
        <f t="shared" si="354"/>
        <v/>
      </c>
      <c r="BJ2259" s="9" t="str">
        <f t="shared" si="355"/>
        <v/>
      </c>
      <c r="BK2259" s="9" t="str">
        <f>IF($B2259="","",COUNTIFS($B$5:$B2259,$B2259,$BF$5:$BF2259,$BF2259))</f>
        <v/>
      </c>
      <c r="BL2259" s="9" t="str">
        <f>IF($B2259="","",COUNTIFS($B$5:$B2259,$B2259,$BH$5:$BH2259,$BH2259))</f>
        <v/>
      </c>
      <c r="BM2259" s="9" t="str">
        <f t="shared" si="356"/>
        <v/>
      </c>
      <c r="BN2259" s="9" t="str">
        <f t="shared" si="357"/>
        <v/>
      </c>
      <c r="BO2259" s="9">
        <f t="shared" si="358"/>
        <v>0</v>
      </c>
      <c r="BR2259" s="12" t="str">
        <f t="shared" si="359"/>
        <v/>
      </c>
    </row>
    <row r="2260" spans="1:70" ht="14.25" customHeight="1">
      <c r="A2260" s="26"/>
      <c r="C2260" s="26"/>
      <c r="D2260" s="27"/>
      <c r="E2260" s="27"/>
      <c r="BE2260" s="10" t="str">
        <f t="shared" si="350"/>
        <v/>
      </c>
      <c r="BF2260" s="8" t="str">
        <f t="shared" si="351"/>
        <v/>
      </c>
      <c r="BG2260" s="11" t="str">
        <f t="shared" si="352"/>
        <v/>
      </c>
      <c r="BH2260" s="8" t="str">
        <f t="shared" si="353"/>
        <v/>
      </c>
      <c r="BI2260" s="8" t="str">
        <f t="shared" si="354"/>
        <v/>
      </c>
      <c r="BJ2260" s="9" t="str">
        <f t="shared" si="355"/>
        <v/>
      </c>
      <c r="BK2260" s="9" t="str">
        <f>IF($B2260="","",COUNTIFS($B$5:$B2260,$B2260,$BF$5:$BF2260,$BF2260))</f>
        <v/>
      </c>
      <c r="BL2260" s="9" t="str">
        <f>IF($B2260="","",COUNTIFS($B$5:$B2260,$B2260,$BH$5:$BH2260,$BH2260))</f>
        <v/>
      </c>
      <c r="BM2260" s="9" t="str">
        <f t="shared" si="356"/>
        <v/>
      </c>
      <c r="BN2260" s="9" t="str">
        <f t="shared" si="357"/>
        <v/>
      </c>
      <c r="BO2260" s="9">
        <f t="shared" si="358"/>
        <v>0</v>
      </c>
      <c r="BR2260" s="12" t="str">
        <f t="shared" si="359"/>
        <v/>
      </c>
    </row>
    <row r="2261" spans="1:70" ht="14.25" customHeight="1">
      <c r="A2261" s="26"/>
      <c r="C2261" s="26"/>
      <c r="D2261" s="27"/>
      <c r="E2261" s="27"/>
      <c r="BE2261" s="10" t="str">
        <f t="shared" si="350"/>
        <v/>
      </c>
      <c r="BF2261" s="8" t="str">
        <f t="shared" si="351"/>
        <v/>
      </c>
      <c r="BG2261" s="11" t="str">
        <f t="shared" si="352"/>
        <v/>
      </c>
      <c r="BH2261" s="8" t="str">
        <f t="shared" si="353"/>
        <v/>
      </c>
      <c r="BI2261" s="8" t="str">
        <f t="shared" si="354"/>
        <v/>
      </c>
      <c r="BJ2261" s="9" t="str">
        <f t="shared" si="355"/>
        <v/>
      </c>
      <c r="BK2261" s="9" t="str">
        <f>IF($B2261="","",COUNTIFS($B$5:$B2261,$B2261,$BF$5:$BF2261,$BF2261))</f>
        <v/>
      </c>
      <c r="BL2261" s="9" t="str">
        <f>IF($B2261="","",COUNTIFS($B$5:$B2261,$B2261,$BH$5:$BH2261,$BH2261))</f>
        <v/>
      </c>
      <c r="BM2261" s="9" t="str">
        <f t="shared" si="356"/>
        <v/>
      </c>
      <c r="BN2261" s="9" t="str">
        <f t="shared" si="357"/>
        <v/>
      </c>
      <c r="BO2261" s="9">
        <f t="shared" si="358"/>
        <v>0</v>
      </c>
      <c r="BR2261" s="12" t="str">
        <f t="shared" si="359"/>
        <v/>
      </c>
    </row>
    <row r="2262" spans="1:70" ht="14.25" customHeight="1">
      <c r="A2262" s="26"/>
      <c r="C2262" s="26"/>
      <c r="D2262" s="27"/>
      <c r="E2262" s="27"/>
      <c r="BE2262" s="10" t="str">
        <f t="shared" si="350"/>
        <v/>
      </c>
      <c r="BF2262" s="8" t="str">
        <f t="shared" si="351"/>
        <v/>
      </c>
      <c r="BG2262" s="11" t="str">
        <f t="shared" si="352"/>
        <v/>
      </c>
      <c r="BH2262" s="8" t="str">
        <f t="shared" si="353"/>
        <v/>
      </c>
      <c r="BI2262" s="8" t="str">
        <f t="shared" si="354"/>
        <v/>
      </c>
      <c r="BJ2262" s="9" t="str">
        <f t="shared" si="355"/>
        <v/>
      </c>
      <c r="BK2262" s="9" t="str">
        <f>IF($B2262="","",COUNTIFS($B$5:$B2262,$B2262,$BF$5:$BF2262,$BF2262))</f>
        <v/>
      </c>
      <c r="BL2262" s="9" t="str">
        <f>IF($B2262="","",COUNTIFS($B$5:$B2262,$B2262,$BH$5:$BH2262,$BH2262))</f>
        <v/>
      </c>
      <c r="BM2262" s="9" t="str">
        <f t="shared" si="356"/>
        <v/>
      </c>
      <c r="BN2262" s="9" t="str">
        <f t="shared" si="357"/>
        <v/>
      </c>
      <c r="BO2262" s="9">
        <f t="shared" si="358"/>
        <v>0</v>
      </c>
      <c r="BR2262" s="12" t="str">
        <f t="shared" si="359"/>
        <v/>
      </c>
    </row>
    <row r="2263" spans="1:70" ht="14.25" customHeight="1">
      <c r="A2263" s="26"/>
      <c r="C2263" s="26"/>
      <c r="D2263" s="27"/>
      <c r="E2263" s="27"/>
      <c r="BE2263" s="10" t="str">
        <f t="shared" si="350"/>
        <v/>
      </c>
      <c r="BF2263" s="8" t="str">
        <f t="shared" si="351"/>
        <v/>
      </c>
      <c r="BG2263" s="11" t="str">
        <f t="shared" si="352"/>
        <v/>
      </c>
      <c r="BH2263" s="8" t="str">
        <f t="shared" si="353"/>
        <v/>
      </c>
      <c r="BI2263" s="8" t="str">
        <f t="shared" si="354"/>
        <v/>
      </c>
      <c r="BJ2263" s="9" t="str">
        <f t="shared" si="355"/>
        <v/>
      </c>
      <c r="BK2263" s="9" t="str">
        <f>IF($B2263="","",COUNTIFS($B$5:$B2263,$B2263,$BF$5:$BF2263,$BF2263))</f>
        <v/>
      </c>
      <c r="BL2263" s="9" t="str">
        <f>IF($B2263="","",COUNTIFS($B$5:$B2263,$B2263,$BH$5:$BH2263,$BH2263))</f>
        <v/>
      </c>
      <c r="BM2263" s="9" t="str">
        <f t="shared" si="356"/>
        <v/>
      </c>
      <c r="BN2263" s="9" t="str">
        <f t="shared" si="357"/>
        <v/>
      </c>
      <c r="BO2263" s="9">
        <f t="shared" si="358"/>
        <v>0</v>
      </c>
      <c r="BR2263" s="12" t="str">
        <f t="shared" si="359"/>
        <v/>
      </c>
    </row>
    <row r="2264" spans="1:70" ht="14.25" customHeight="1">
      <c r="A2264" s="26"/>
      <c r="C2264" s="26"/>
      <c r="D2264" s="27"/>
      <c r="E2264" s="27"/>
      <c r="BE2264" s="10" t="str">
        <f t="shared" si="350"/>
        <v/>
      </c>
      <c r="BF2264" s="8" t="str">
        <f t="shared" si="351"/>
        <v/>
      </c>
      <c r="BG2264" s="11" t="str">
        <f t="shared" si="352"/>
        <v/>
      </c>
      <c r="BH2264" s="8" t="str">
        <f t="shared" si="353"/>
        <v/>
      </c>
      <c r="BI2264" s="8" t="str">
        <f t="shared" si="354"/>
        <v/>
      </c>
      <c r="BJ2264" s="9" t="str">
        <f t="shared" si="355"/>
        <v/>
      </c>
      <c r="BK2264" s="9" t="str">
        <f>IF($B2264="","",COUNTIFS($B$5:$B2264,$B2264,$BF$5:$BF2264,$BF2264))</f>
        <v/>
      </c>
      <c r="BL2264" s="9" t="str">
        <f>IF($B2264="","",COUNTIFS($B$5:$B2264,$B2264,$BH$5:$BH2264,$BH2264))</f>
        <v/>
      </c>
      <c r="BM2264" s="9" t="str">
        <f t="shared" si="356"/>
        <v/>
      </c>
      <c r="BN2264" s="9" t="str">
        <f t="shared" si="357"/>
        <v/>
      </c>
      <c r="BO2264" s="9">
        <f t="shared" si="358"/>
        <v>0</v>
      </c>
      <c r="BR2264" s="12" t="str">
        <f t="shared" si="359"/>
        <v/>
      </c>
    </row>
    <row r="2265" spans="1:70" ht="14.25" customHeight="1">
      <c r="A2265" s="26"/>
      <c r="C2265" s="26"/>
      <c r="D2265" s="27"/>
      <c r="E2265" s="27"/>
      <c r="BE2265" s="10" t="str">
        <f t="shared" si="350"/>
        <v/>
      </c>
      <c r="BF2265" s="8" t="str">
        <f t="shared" si="351"/>
        <v/>
      </c>
      <c r="BG2265" s="11" t="str">
        <f t="shared" si="352"/>
        <v/>
      </c>
      <c r="BH2265" s="8" t="str">
        <f t="shared" si="353"/>
        <v/>
      </c>
      <c r="BI2265" s="8" t="str">
        <f t="shared" si="354"/>
        <v/>
      </c>
      <c r="BJ2265" s="9" t="str">
        <f t="shared" si="355"/>
        <v/>
      </c>
      <c r="BK2265" s="9" t="str">
        <f>IF($B2265="","",COUNTIFS($B$5:$B2265,$B2265,$BF$5:$BF2265,$BF2265))</f>
        <v/>
      </c>
      <c r="BL2265" s="9" t="str">
        <f>IF($B2265="","",COUNTIFS($B$5:$B2265,$B2265,$BH$5:$BH2265,$BH2265))</f>
        <v/>
      </c>
      <c r="BM2265" s="9" t="str">
        <f t="shared" si="356"/>
        <v/>
      </c>
      <c r="BN2265" s="9" t="str">
        <f t="shared" si="357"/>
        <v/>
      </c>
      <c r="BO2265" s="9">
        <f t="shared" si="358"/>
        <v>0</v>
      </c>
      <c r="BR2265" s="12" t="str">
        <f t="shared" si="359"/>
        <v/>
      </c>
    </row>
    <row r="2266" spans="1:70" ht="14.25" customHeight="1">
      <c r="A2266" s="26"/>
      <c r="C2266" s="26"/>
      <c r="D2266" s="27"/>
      <c r="E2266" s="27"/>
      <c r="BE2266" s="10" t="str">
        <f t="shared" si="350"/>
        <v/>
      </c>
      <c r="BF2266" s="8" t="str">
        <f t="shared" si="351"/>
        <v/>
      </c>
      <c r="BG2266" s="11" t="str">
        <f t="shared" si="352"/>
        <v/>
      </c>
      <c r="BH2266" s="8" t="str">
        <f t="shared" si="353"/>
        <v/>
      </c>
      <c r="BI2266" s="8" t="str">
        <f t="shared" si="354"/>
        <v/>
      </c>
      <c r="BJ2266" s="9" t="str">
        <f t="shared" si="355"/>
        <v/>
      </c>
      <c r="BK2266" s="9" t="str">
        <f>IF($B2266="","",COUNTIFS($B$5:$B2266,$B2266,$BF$5:$BF2266,$BF2266))</f>
        <v/>
      </c>
      <c r="BL2266" s="9" t="str">
        <f>IF($B2266="","",COUNTIFS($B$5:$B2266,$B2266,$BH$5:$BH2266,$BH2266))</f>
        <v/>
      </c>
      <c r="BM2266" s="9" t="str">
        <f t="shared" si="356"/>
        <v/>
      </c>
      <c r="BN2266" s="9" t="str">
        <f t="shared" si="357"/>
        <v/>
      </c>
      <c r="BO2266" s="9">
        <f t="shared" si="358"/>
        <v>0</v>
      </c>
      <c r="BR2266" s="12" t="str">
        <f t="shared" si="359"/>
        <v/>
      </c>
    </row>
    <row r="2267" spans="1:70" ht="14.25" customHeight="1">
      <c r="A2267" s="26"/>
      <c r="C2267" s="26"/>
      <c r="D2267" s="27"/>
      <c r="E2267" s="27"/>
      <c r="BE2267" s="10" t="str">
        <f t="shared" si="350"/>
        <v/>
      </c>
      <c r="BF2267" s="8" t="str">
        <f t="shared" si="351"/>
        <v/>
      </c>
      <c r="BG2267" s="11" t="str">
        <f t="shared" si="352"/>
        <v/>
      </c>
      <c r="BH2267" s="8" t="str">
        <f t="shared" si="353"/>
        <v/>
      </c>
      <c r="BI2267" s="8" t="str">
        <f t="shared" si="354"/>
        <v/>
      </c>
      <c r="BJ2267" s="9" t="str">
        <f t="shared" si="355"/>
        <v/>
      </c>
      <c r="BK2267" s="9" t="str">
        <f>IF($B2267="","",COUNTIFS($B$5:$B2267,$B2267,$BF$5:$BF2267,$BF2267))</f>
        <v/>
      </c>
      <c r="BL2267" s="9" t="str">
        <f>IF($B2267="","",COUNTIFS($B$5:$B2267,$B2267,$BH$5:$BH2267,$BH2267))</f>
        <v/>
      </c>
      <c r="BM2267" s="9" t="str">
        <f t="shared" si="356"/>
        <v/>
      </c>
      <c r="BN2267" s="9" t="str">
        <f t="shared" si="357"/>
        <v/>
      </c>
      <c r="BO2267" s="9">
        <f t="shared" si="358"/>
        <v>0</v>
      </c>
      <c r="BR2267" s="12" t="str">
        <f t="shared" si="359"/>
        <v/>
      </c>
    </row>
    <row r="2268" spans="1:70" ht="14.25" customHeight="1">
      <c r="A2268" s="26"/>
      <c r="C2268" s="26"/>
      <c r="D2268" s="27"/>
      <c r="E2268" s="27"/>
      <c r="BE2268" s="10" t="str">
        <f t="shared" si="350"/>
        <v/>
      </c>
      <c r="BF2268" s="8" t="str">
        <f t="shared" si="351"/>
        <v/>
      </c>
      <c r="BG2268" s="11" t="str">
        <f t="shared" si="352"/>
        <v/>
      </c>
      <c r="BH2268" s="8" t="str">
        <f t="shared" si="353"/>
        <v/>
      </c>
      <c r="BI2268" s="8" t="str">
        <f t="shared" si="354"/>
        <v/>
      </c>
      <c r="BJ2268" s="9" t="str">
        <f t="shared" si="355"/>
        <v/>
      </c>
      <c r="BK2268" s="9" t="str">
        <f>IF($B2268="","",COUNTIFS($B$5:$B2268,$B2268,$BF$5:$BF2268,$BF2268))</f>
        <v/>
      </c>
      <c r="BL2268" s="9" t="str">
        <f>IF($B2268="","",COUNTIFS($B$5:$B2268,$B2268,$BH$5:$BH2268,$BH2268))</f>
        <v/>
      </c>
      <c r="BM2268" s="9" t="str">
        <f t="shared" si="356"/>
        <v/>
      </c>
      <c r="BN2268" s="9" t="str">
        <f t="shared" si="357"/>
        <v/>
      </c>
      <c r="BO2268" s="9">
        <f t="shared" si="358"/>
        <v>0</v>
      </c>
      <c r="BR2268" s="12" t="str">
        <f t="shared" si="359"/>
        <v/>
      </c>
    </row>
    <row r="2269" spans="1:70" ht="14.25" customHeight="1">
      <c r="A2269" s="26"/>
      <c r="C2269" s="26"/>
      <c r="D2269" s="27"/>
      <c r="E2269" s="27"/>
      <c r="BE2269" s="10" t="str">
        <f t="shared" ref="BE2269:BE2332" si="360">IF($B2269="","",IF(COUNT($H2269,$J2269,$L2269,$N2269,$P2269,$R2269)&gt;0,SUM($H2269,$J2269,$L2269,$N2269,$P2269,$R2269),SUM($T2269,$V2269,$X2269,$Z2269,$AB2269,$AD2269,$AF2269,$AH2269,$AJ2269,$AL2269,$AN2269,$AP2269,$AR2269,$AT2269,$AV2269,$AX2269,$AZ2269)))</f>
        <v/>
      </c>
      <c r="BF2269" s="8" t="str">
        <f t="shared" ref="BF2269:BF2332" si="361">IF($C2269="","",DATE(YEAR($C2269),MONTH($C2269),1))</f>
        <v/>
      </c>
      <c r="BG2269" s="11" t="str">
        <f t="shared" ref="BG2269:BG2332" si="362">IF($BF2269="","",TEXT($BF2269,"mmmm yyyy"))</f>
        <v/>
      </c>
      <c r="BH2269" s="8" t="str">
        <f t="shared" ref="BH2269:BH2332" si="363">IF($C2269="","",$C2269-WEEKDAY($C2269,2)+1)</f>
        <v/>
      </c>
      <c r="BI2269" s="8" t="str">
        <f t="shared" ref="BI2269:BI2332" si="364">IF($BH2269="","",$BH2269+6)</f>
        <v/>
      </c>
      <c r="BJ2269" s="9" t="str">
        <f t="shared" ref="BJ2269:BJ2332" si="365">IF($BH2269="","",TEXT($BH2269,"dd/mm/yyyy")&amp;" - "&amp;TEXT($BI2269,"dd/mm/yyyy"))</f>
        <v/>
      </c>
      <c r="BK2269" s="9" t="str">
        <f>IF($B2269="","",COUNTIFS($B$5:$B2269,$B2269,$BF$5:$BF2269,$BF2269))</f>
        <v/>
      </c>
      <c r="BL2269" s="9" t="str">
        <f>IF($B2269="","",COUNTIFS($B$5:$B2269,$B2269,$BH$5:$BH2269,$BH2269))</f>
        <v/>
      </c>
      <c r="BM2269" s="9" t="str">
        <f t="shared" ref="BM2269:BM2332" si="366">IF($B2269="","",TEXT($BK2269,"00")&amp;"|"&amp;$B2269&amp;"|"&amp;TEXT($BF2269,"yyyymmdd"))</f>
        <v/>
      </c>
      <c r="BN2269" s="9" t="str">
        <f t="shared" ref="BN2269:BN2332" si="367">IF($B2269="","",TEXT($BL2269,"00")&amp;"|"&amp;$B2269&amp;"|"&amp;TEXT($BH2269,"yyyymmdd"))</f>
        <v/>
      </c>
      <c r="BO2269" s="9">
        <f t="shared" ref="BO2269:BO2332" si="368">IF(OR($BB2269="YES",$BB2269="Yes",$BB2269="Y",$BB2269=1),1,0)</f>
        <v>0</v>
      </c>
      <c r="BR2269" s="12" t="str">
        <f t="shared" ref="BR2269:BR2332" si="369">IF($C2269="","",IF($C2269&gt;=DATE(2026,6,1),"QA-2026-06",IF($C2269&gt;=DATE(2026,5,1),"May 2026+",IF($C2269&gt;=DATE(2026,4,1),"April 2026",IF($C2269&gt;=DATE(2026,3,1),"March 2026","Jan-Feb 2026")))))</f>
        <v/>
      </c>
    </row>
    <row r="2270" spans="1:70" ht="14.25" customHeight="1">
      <c r="A2270" s="26"/>
      <c r="C2270" s="26"/>
      <c r="D2270" s="27"/>
      <c r="E2270" s="27"/>
      <c r="BE2270" s="10" t="str">
        <f t="shared" si="360"/>
        <v/>
      </c>
      <c r="BF2270" s="8" t="str">
        <f t="shared" si="361"/>
        <v/>
      </c>
      <c r="BG2270" s="11" t="str">
        <f t="shared" si="362"/>
        <v/>
      </c>
      <c r="BH2270" s="8" t="str">
        <f t="shared" si="363"/>
        <v/>
      </c>
      <c r="BI2270" s="8" t="str">
        <f t="shared" si="364"/>
        <v/>
      </c>
      <c r="BJ2270" s="9" t="str">
        <f t="shared" si="365"/>
        <v/>
      </c>
      <c r="BK2270" s="9" t="str">
        <f>IF($B2270="","",COUNTIFS($B$5:$B2270,$B2270,$BF$5:$BF2270,$BF2270))</f>
        <v/>
      </c>
      <c r="BL2270" s="9" t="str">
        <f>IF($B2270="","",COUNTIFS($B$5:$B2270,$B2270,$BH$5:$BH2270,$BH2270))</f>
        <v/>
      </c>
      <c r="BM2270" s="9" t="str">
        <f t="shared" si="366"/>
        <v/>
      </c>
      <c r="BN2270" s="9" t="str">
        <f t="shared" si="367"/>
        <v/>
      </c>
      <c r="BO2270" s="9">
        <f t="shared" si="368"/>
        <v>0</v>
      </c>
      <c r="BR2270" s="12" t="str">
        <f t="shared" si="369"/>
        <v/>
      </c>
    </row>
    <row r="2271" spans="1:70" ht="14.25" customHeight="1">
      <c r="A2271" s="26"/>
      <c r="C2271" s="26"/>
      <c r="D2271" s="27"/>
      <c r="E2271" s="27"/>
      <c r="BE2271" s="10" t="str">
        <f t="shared" si="360"/>
        <v/>
      </c>
      <c r="BF2271" s="8" t="str">
        <f t="shared" si="361"/>
        <v/>
      </c>
      <c r="BG2271" s="11" t="str">
        <f t="shared" si="362"/>
        <v/>
      </c>
      <c r="BH2271" s="8" t="str">
        <f t="shared" si="363"/>
        <v/>
      </c>
      <c r="BI2271" s="8" t="str">
        <f t="shared" si="364"/>
        <v/>
      </c>
      <c r="BJ2271" s="9" t="str">
        <f t="shared" si="365"/>
        <v/>
      </c>
      <c r="BK2271" s="9" t="str">
        <f>IF($B2271="","",COUNTIFS($B$5:$B2271,$B2271,$BF$5:$BF2271,$BF2271))</f>
        <v/>
      </c>
      <c r="BL2271" s="9" t="str">
        <f>IF($B2271="","",COUNTIFS($B$5:$B2271,$B2271,$BH$5:$BH2271,$BH2271))</f>
        <v/>
      </c>
      <c r="BM2271" s="9" t="str">
        <f t="shared" si="366"/>
        <v/>
      </c>
      <c r="BN2271" s="9" t="str">
        <f t="shared" si="367"/>
        <v/>
      </c>
      <c r="BO2271" s="9">
        <f t="shared" si="368"/>
        <v>0</v>
      </c>
      <c r="BR2271" s="12" t="str">
        <f t="shared" si="369"/>
        <v/>
      </c>
    </row>
    <row r="2272" spans="1:70" ht="14.25" customHeight="1">
      <c r="A2272" s="26"/>
      <c r="C2272" s="26"/>
      <c r="D2272" s="27"/>
      <c r="E2272" s="27"/>
      <c r="BE2272" s="10" t="str">
        <f t="shared" si="360"/>
        <v/>
      </c>
      <c r="BF2272" s="8" t="str">
        <f t="shared" si="361"/>
        <v/>
      </c>
      <c r="BG2272" s="11" t="str">
        <f t="shared" si="362"/>
        <v/>
      </c>
      <c r="BH2272" s="8" t="str">
        <f t="shared" si="363"/>
        <v/>
      </c>
      <c r="BI2272" s="8" t="str">
        <f t="shared" si="364"/>
        <v/>
      </c>
      <c r="BJ2272" s="9" t="str">
        <f t="shared" si="365"/>
        <v/>
      </c>
      <c r="BK2272" s="9" t="str">
        <f>IF($B2272="","",COUNTIFS($B$5:$B2272,$B2272,$BF$5:$BF2272,$BF2272))</f>
        <v/>
      </c>
      <c r="BL2272" s="9" t="str">
        <f>IF($B2272="","",COUNTIFS($B$5:$B2272,$B2272,$BH$5:$BH2272,$BH2272))</f>
        <v/>
      </c>
      <c r="BM2272" s="9" t="str">
        <f t="shared" si="366"/>
        <v/>
      </c>
      <c r="BN2272" s="9" t="str">
        <f t="shared" si="367"/>
        <v/>
      </c>
      <c r="BO2272" s="9">
        <f t="shared" si="368"/>
        <v>0</v>
      </c>
      <c r="BR2272" s="12" t="str">
        <f t="shared" si="369"/>
        <v/>
      </c>
    </row>
    <row r="2273" spans="1:70" ht="14.25" customHeight="1">
      <c r="A2273" s="26"/>
      <c r="C2273" s="26"/>
      <c r="D2273" s="27"/>
      <c r="E2273" s="27"/>
      <c r="BE2273" s="10" t="str">
        <f t="shared" si="360"/>
        <v/>
      </c>
      <c r="BF2273" s="8" t="str">
        <f t="shared" si="361"/>
        <v/>
      </c>
      <c r="BG2273" s="11" t="str">
        <f t="shared" si="362"/>
        <v/>
      </c>
      <c r="BH2273" s="8" t="str">
        <f t="shared" si="363"/>
        <v/>
      </c>
      <c r="BI2273" s="8" t="str">
        <f t="shared" si="364"/>
        <v/>
      </c>
      <c r="BJ2273" s="9" t="str">
        <f t="shared" si="365"/>
        <v/>
      </c>
      <c r="BK2273" s="9" t="str">
        <f>IF($B2273="","",COUNTIFS($B$5:$B2273,$B2273,$BF$5:$BF2273,$BF2273))</f>
        <v/>
      </c>
      <c r="BL2273" s="9" t="str">
        <f>IF($B2273="","",COUNTIFS($B$5:$B2273,$B2273,$BH$5:$BH2273,$BH2273))</f>
        <v/>
      </c>
      <c r="BM2273" s="9" t="str">
        <f t="shared" si="366"/>
        <v/>
      </c>
      <c r="BN2273" s="9" t="str">
        <f t="shared" si="367"/>
        <v/>
      </c>
      <c r="BO2273" s="9">
        <f t="shared" si="368"/>
        <v>0</v>
      </c>
      <c r="BR2273" s="12" t="str">
        <f t="shared" si="369"/>
        <v/>
      </c>
    </row>
    <row r="2274" spans="1:70" ht="14.25" customHeight="1">
      <c r="A2274" s="26"/>
      <c r="C2274" s="26"/>
      <c r="D2274" s="27"/>
      <c r="E2274" s="27"/>
      <c r="BE2274" s="10" t="str">
        <f t="shared" si="360"/>
        <v/>
      </c>
      <c r="BF2274" s="8" t="str">
        <f t="shared" si="361"/>
        <v/>
      </c>
      <c r="BG2274" s="11" t="str">
        <f t="shared" si="362"/>
        <v/>
      </c>
      <c r="BH2274" s="8" t="str">
        <f t="shared" si="363"/>
        <v/>
      </c>
      <c r="BI2274" s="8" t="str">
        <f t="shared" si="364"/>
        <v/>
      </c>
      <c r="BJ2274" s="9" t="str">
        <f t="shared" si="365"/>
        <v/>
      </c>
      <c r="BK2274" s="9" t="str">
        <f>IF($B2274="","",COUNTIFS($B$5:$B2274,$B2274,$BF$5:$BF2274,$BF2274))</f>
        <v/>
      </c>
      <c r="BL2274" s="9" t="str">
        <f>IF($B2274="","",COUNTIFS($B$5:$B2274,$B2274,$BH$5:$BH2274,$BH2274))</f>
        <v/>
      </c>
      <c r="BM2274" s="9" t="str">
        <f t="shared" si="366"/>
        <v/>
      </c>
      <c r="BN2274" s="9" t="str">
        <f t="shared" si="367"/>
        <v/>
      </c>
      <c r="BO2274" s="9">
        <f t="shared" si="368"/>
        <v>0</v>
      </c>
      <c r="BR2274" s="12" t="str">
        <f t="shared" si="369"/>
        <v/>
      </c>
    </row>
    <row r="2275" spans="1:70" ht="14.25" customHeight="1">
      <c r="A2275" s="26"/>
      <c r="C2275" s="26"/>
      <c r="D2275" s="27"/>
      <c r="E2275" s="27"/>
      <c r="BE2275" s="10" t="str">
        <f t="shared" si="360"/>
        <v/>
      </c>
      <c r="BF2275" s="8" t="str">
        <f t="shared" si="361"/>
        <v/>
      </c>
      <c r="BG2275" s="11" t="str">
        <f t="shared" si="362"/>
        <v/>
      </c>
      <c r="BH2275" s="8" t="str">
        <f t="shared" si="363"/>
        <v/>
      </c>
      <c r="BI2275" s="8" t="str">
        <f t="shared" si="364"/>
        <v/>
      </c>
      <c r="BJ2275" s="9" t="str">
        <f t="shared" si="365"/>
        <v/>
      </c>
      <c r="BK2275" s="9" t="str">
        <f>IF($B2275="","",COUNTIFS($B$5:$B2275,$B2275,$BF$5:$BF2275,$BF2275))</f>
        <v/>
      </c>
      <c r="BL2275" s="9" t="str">
        <f>IF($B2275="","",COUNTIFS($B$5:$B2275,$B2275,$BH$5:$BH2275,$BH2275))</f>
        <v/>
      </c>
      <c r="BM2275" s="9" t="str">
        <f t="shared" si="366"/>
        <v/>
      </c>
      <c r="BN2275" s="9" t="str">
        <f t="shared" si="367"/>
        <v/>
      </c>
      <c r="BO2275" s="9">
        <f t="shared" si="368"/>
        <v>0</v>
      </c>
      <c r="BR2275" s="12" t="str">
        <f t="shared" si="369"/>
        <v/>
      </c>
    </row>
    <row r="2276" spans="1:70" ht="14.25" customHeight="1">
      <c r="A2276" s="26"/>
      <c r="C2276" s="26"/>
      <c r="D2276" s="27"/>
      <c r="E2276" s="27"/>
      <c r="BE2276" s="10" t="str">
        <f t="shared" si="360"/>
        <v/>
      </c>
      <c r="BF2276" s="8" t="str">
        <f t="shared" si="361"/>
        <v/>
      </c>
      <c r="BG2276" s="11" t="str">
        <f t="shared" si="362"/>
        <v/>
      </c>
      <c r="BH2276" s="8" t="str">
        <f t="shared" si="363"/>
        <v/>
      </c>
      <c r="BI2276" s="8" t="str">
        <f t="shared" si="364"/>
        <v/>
      </c>
      <c r="BJ2276" s="9" t="str">
        <f t="shared" si="365"/>
        <v/>
      </c>
      <c r="BK2276" s="9" t="str">
        <f>IF($B2276="","",COUNTIFS($B$5:$B2276,$B2276,$BF$5:$BF2276,$BF2276))</f>
        <v/>
      </c>
      <c r="BL2276" s="9" t="str">
        <f>IF($B2276="","",COUNTIFS($B$5:$B2276,$B2276,$BH$5:$BH2276,$BH2276))</f>
        <v/>
      </c>
      <c r="BM2276" s="9" t="str">
        <f t="shared" si="366"/>
        <v/>
      </c>
      <c r="BN2276" s="9" t="str">
        <f t="shared" si="367"/>
        <v/>
      </c>
      <c r="BO2276" s="9">
        <f t="shared" si="368"/>
        <v>0</v>
      </c>
      <c r="BR2276" s="12" t="str">
        <f t="shared" si="369"/>
        <v/>
      </c>
    </row>
    <row r="2277" spans="1:70" ht="14.25" customHeight="1">
      <c r="A2277" s="26"/>
      <c r="C2277" s="26"/>
      <c r="D2277" s="27"/>
      <c r="E2277" s="27"/>
      <c r="BE2277" s="10" t="str">
        <f t="shared" si="360"/>
        <v/>
      </c>
      <c r="BF2277" s="8" t="str">
        <f t="shared" si="361"/>
        <v/>
      </c>
      <c r="BG2277" s="11" t="str">
        <f t="shared" si="362"/>
        <v/>
      </c>
      <c r="BH2277" s="8" t="str">
        <f t="shared" si="363"/>
        <v/>
      </c>
      <c r="BI2277" s="8" t="str">
        <f t="shared" si="364"/>
        <v/>
      </c>
      <c r="BJ2277" s="9" t="str">
        <f t="shared" si="365"/>
        <v/>
      </c>
      <c r="BK2277" s="9" t="str">
        <f>IF($B2277="","",COUNTIFS($B$5:$B2277,$B2277,$BF$5:$BF2277,$BF2277))</f>
        <v/>
      </c>
      <c r="BL2277" s="9" t="str">
        <f>IF($B2277="","",COUNTIFS($B$5:$B2277,$B2277,$BH$5:$BH2277,$BH2277))</f>
        <v/>
      </c>
      <c r="BM2277" s="9" t="str">
        <f t="shared" si="366"/>
        <v/>
      </c>
      <c r="BN2277" s="9" t="str">
        <f t="shared" si="367"/>
        <v/>
      </c>
      <c r="BO2277" s="9">
        <f t="shared" si="368"/>
        <v>0</v>
      </c>
      <c r="BR2277" s="12" t="str">
        <f t="shared" si="369"/>
        <v/>
      </c>
    </row>
    <row r="2278" spans="1:70" ht="14.25" customHeight="1">
      <c r="A2278" s="26"/>
      <c r="C2278" s="26"/>
      <c r="D2278" s="27"/>
      <c r="E2278" s="27"/>
      <c r="BE2278" s="10" t="str">
        <f t="shared" si="360"/>
        <v/>
      </c>
      <c r="BF2278" s="8" t="str">
        <f t="shared" si="361"/>
        <v/>
      </c>
      <c r="BG2278" s="11" t="str">
        <f t="shared" si="362"/>
        <v/>
      </c>
      <c r="BH2278" s="8" t="str">
        <f t="shared" si="363"/>
        <v/>
      </c>
      <c r="BI2278" s="8" t="str">
        <f t="shared" si="364"/>
        <v/>
      </c>
      <c r="BJ2278" s="9" t="str">
        <f t="shared" si="365"/>
        <v/>
      </c>
      <c r="BK2278" s="9" t="str">
        <f>IF($B2278="","",COUNTIFS($B$5:$B2278,$B2278,$BF$5:$BF2278,$BF2278))</f>
        <v/>
      </c>
      <c r="BL2278" s="9" t="str">
        <f>IF($B2278="","",COUNTIFS($B$5:$B2278,$B2278,$BH$5:$BH2278,$BH2278))</f>
        <v/>
      </c>
      <c r="BM2278" s="9" t="str">
        <f t="shared" si="366"/>
        <v/>
      </c>
      <c r="BN2278" s="9" t="str">
        <f t="shared" si="367"/>
        <v/>
      </c>
      <c r="BO2278" s="9">
        <f t="shared" si="368"/>
        <v>0</v>
      </c>
      <c r="BR2278" s="12" t="str">
        <f t="shared" si="369"/>
        <v/>
      </c>
    </row>
    <row r="2279" spans="1:70" ht="14.25" customHeight="1">
      <c r="A2279" s="26"/>
      <c r="C2279" s="26"/>
      <c r="D2279" s="27"/>
      <c r="E2279" s="27"/>
      <c r="BE2279" s="10" t="str">
        <f t="shared" si="360"/>
        <v/>
      </c>
      <c r="BF2279" s="8" t="str">
        <f t="shared" si="361"/>
        <v/>
      </c>
      <c r="BG2279" s="11" t="str">
        <f t="shared" si="362"/>
        <v/>
      </c>
      <c r="BH2279" s="8" t="str">
        <f t="shared" si="363"/>
        <v/>
      </c>
      <c r="BI2279" s="8" t="str">
        <f t="shared" si="364"/>
        <v/>
      </c>
      <c r="BJ2279" s="9" t="str">
        <f t="shared" si="365"/>
        <v/>
      </c>
      <c r="BK2279" s="9" t="str">
        <f>IF($B2279="","",COUNTIFS($B$5:$B2279,$B2279,$BF$5:$BF2279,$BF2279))</f>
        <v/>
      </c>
      <c r="BL2279" s="9" t="str">
        <f>IF($B2279="","",COUNTIFS($B$5:$B2279,$B2279,$BH$5:$BH2279,$BH2279))</f>
        <v/>
      </c>
      <c r="BM2279" s="9" t="str">
        <f t="shared" si="366"/>
        <v/>
      </c>
      <c r="BN2279" s="9" t="str">
        <f t="shared" si="367"/>
        <v/>
      </c>
      <c r="BO2279" s="9">
        <f t="shared" si="368"/>
        <v>0</v>
      </c>
      <c r="BR2279" s="12" t="str">
        <f t="shared" si="369"/>
        <v/>
      </c>
    </row>
    <row r="2280" spans="1:70" ht="14.25" customHeight="1">
      <c r="A2280" s="26"/>
      <c r="C2280" s="26"/>
      <c r="D2280" s="27"/>
      <c r="E2280" s="27"/>
      <c r="BE2280" s="10" t="str">
        <f t="shared" si="360"/>
        <v/>
      </c>
      <c r="BF2280" s="8" t="str">
        <f t="shared" si="361"/>
        <v/>
      </c>
      <c r="BG2280" s="11" t="str">
        <f t="shared" si="362"/>
        <v/>
      </c>
      <c r="BH2280" s="8" t="str">
        <f t="shared" si="363"/>
        <v/>
      </c>
      <c r="BI2280" s="8" t="str">
        <f t="shared" si="364"/>
        <v/>
      </c>
      <c r="BJ2280" s="9" t="str">
        <f t="shared" si="365"/>
        <v/>
      </c>
      <c r="BK2280" s="9" t="str">
        <f>IF($B2280="","",COUNTIFS($B$5:$B2280,$B2280,$BF$5:$BF2280,$BF2280))</f>
        <v/>
      </c>
      <c r="BL2280" s="9" t="str">
        <f>IF($B2280="","",COUNTIFS($B$5:$B2280,$B2280,$BH$5:$BH2280,$BH2280))</f>
        <v/>
      </c>
      <c r="BM2280" s="9" t="str">
        <f t="shared" si="366"/>
        <v/>
      </c>
      <c r="BN2280" s="9" t="str">
        <f t="shared" si="367"/>
        <v/>
      </c>
      <c r="BO2280" s="9">
        <f t="shared" si="368"/>
        <v>0</v>
      </c>
      <c r="BR2280" s="12" t="str">
        <f t="shared" si="369"/>
        <v/>
      </c>
    </row>
    <row r="2281" spans="1:70" ht="14.25" customHeight="1">
      <c r="A2281" s="26"/>
      <c r="C2281" s="26"/>
      <c r="D2281" s="27"/>
      <c r="E2281" s="27"/>
      <c r="BE2281" s="10" t="str">
        <f t="shared" si="360"/>
        <v/>
      </c>
      <c r="BF2281" s="8" t="str">
        <f t="shared" si="361"/>
        <v/>
      </c>
      <c r="BG2281" s="11" t="str">
        <f t="shared" si="362"/>
        <v/>
      </c>
      <c r="BH2281" s="8" t="str">
        <f t="shared" si="363"/>
        <v/>
      </c>
      <c r="BI2281" s="8" t="str">
        <f t="shared" si="364"/>
        <v/>
      </c>
      <c r="BJ2281" s="9" t="str">
        <f t="shared" si="365"/>
        <v/>
      </c>
      <c r="BK2281" s="9" t="str">
        <f>IF($B2281="","",COUNTIFS($B$5:$B2281,$B2281,$BF$5:$BF2281,$BF2281))</f>
        <v/>
      </c>
      <c r="BL2281" s="9" t="str">
        <f>IF($B2281="","",COUNTIFS($B$5:$B2281,$B2281,$BH$5:$BH2281,$BH2281))</f>
        <v/>
      </c>
      <c r="BM2281" s="9" t="str">
        <f t="shared" si="366"/>
        <v/>
      </c>
      <c r="BN2281" s="9" t="str">
        <f t="shared" si="367"/>
        <v/>
      </c>
      <c r="BO2281" s="9">
        <f t="shared" si="368"/>
        <v>0</v>
      </c>
      <c r="BR2281" s="12" t="str">
        <f t="shared" si="369"/>
        <v/>
      </c>
    </row>
    <row r="2282" spans="1:70" ht="14.25" customHeight="1">
      <c r="A2282" s="26"/>
      <c r="C2282" s="26"/>
      <c r="D2282" s="27"/>
      <c r="E2282" s="27"/>
      <c r="BE2282" s="10" t="str">
        <f t="shared" si="360"/>
        <v/>
      </c>
      <c r="BF2282" s="8" t="str">
        <f t="shared" si="361"/>
        <v/>
      </c>
      <c r="BG2282" s="11" t="str">
        <f t="shared" si="362"/>
        <v/>
      </c>
      <c r="BH2282" s="8" t="str">
        <f t="shared" si="363"/>
        <v/>
      </c>
      <c r="BI2282" s="8" t="str">
        <f t="shared" si="364"/>
        <v/>
      </c>
      <c r="BJ2282" s="9" t="str">
        <f t="shared" si="365"/>
        <v/>
      </c>
      <c r="BK2282" s="9" t="str">
        <f>IF($B2282="","",COUNTIFS($B$5:$B2282,$B2282,$BF$5:$BF2282,$BF2282))</f>
        <v/>
      </c>
      <c r="BL2282" s="9" t="str">
        <f>IF($B2282="","",COUNTIFS($B$5:$B2282,$B2282,$BH$5:$BH2282,$BH2282))</f>
        <v/>
      </c>
      <c r="BM2282" s="9" t="str">
        <f t="shared" si="366"/>
        <v/>
      </c>
      <c r="BN2282" s="9" t="str">
        <f t="shared" si="367"/>
        <v/>
      </c>
      <c r="BO2282" s="9">
        <f t="shared" si="368"/>
        <v>0</v>
      </c>
      <c r="BR2282" s="12" t="str">
        <f t="shared" si="369"/>
        <v/>
      </c>
    </row>
    <row r="2283" spans="1:70" ht="14.25" customHeight="1">
      <c r="A2283" s="26"/>
      <c r="C2283" s="26"/>
      <c r="D2283" s="27"/>
      <c r="E2283" s="27"/>
      <c r="BE2283" s="10" t="str">
        <f t="shared" si="360"/>
        <v/>
      </c>
      <c r="BF2283" s="8" t="str">
        <f t="shared" si="361"/>
        <v/>
      </c>
      <c r="BG2283" s="11" t="str">
        <f t="shared" si="362"/>
        <v/>
      </c>
      <c r="BH2283" s="8" t="str">
        <f t="shared" si="363"/>
        <v/>
      </c>
      <c r="BI2283" s="8" t="str">
        <f t="shared" si="364"/>
        <v/>
      </c>
      <c r="BJ2283" s="9" t="str">
        <f t="shared" si="365"/>
        <v/>
      </c>
      <c r="BK2283" s="9" t="str">
        <f>IF($B2283="","",COUNTIFS($B$5:$B2283,$B2283,$BF$5:$BF2283,$BF2283))</f>
        <v/>
      </c>
      <c r="BL2283" s="9" t="str">
        <f>IF($B2283="","",COUNTIFS($B$5:$B2283,$B2283,$BH$5:$BH2283,$BH2283))</f>
        <v/>
      </c>
      <c r="BM2283" s="9" t="str">
        <f t="shared" si="366"/>
        <v/>
      </c>
      <c r="BN2283" s="9" t="str">
        <f t="shared" si="367"/>
        <v/>
      </c>
      <c r="BO2283" s="9">
        <f t="shared" si="368"/>
        <v>0</v>
      </c>
      <c r="BR2283" s="12" t="str">
        <f t="shared" si="369"/>
        <v/>
      </c>
    </row>
    <row r="2284" spans="1:70" ht="14.25" customHeight="1">
      <c r="A2284" s="26"/>
      <c r="C2284" s="26"/>
      <c r="D2284" s="27"/>
      <c r="E2284" s="27"/>
      <c r="BE2284" s="10" t="str">
        <f t="shared" si="360"/>
        <v/>
      </c>
      <c r="BF2284" s="8" t="str">
        <f t="shared" si="361"/>
        <v/>
      </c>
      <c r="BG2284" s="11" t="str">
        <f t="shared" si="362"/>
        <v/>
      </c>
      <c r="BH2284" s="8" t="str">
        <f t="shared" si="363"/>
        <v/>
      </c>
      <c r="BI2284" s="8" t="str">
        <f t="shared" si="364"/>
        <v/>
      </c>
      <c r="BJ2284" s="9" t="str">
        <f t="shared" si="365"/>
        <v/>
      </c>
      <c r="BK2284" s="9" t="str">
        <f>IF($B2284="","",COUNTIFS($B$5:$B2284,$B2284,$BF$5:$BF2284,$BF2284))</f>
        <v/>
      </c>
      <c r="BL2284" s="9" t="str">
        <f>IF($B2284="","",COUNTIFS($B$5:$B2284,$B2284,$BH$5:$BH2284,$BH2284))</f>
        <v/>
      </c>
      <c r="BM2284" s="9" t="str">
        <f t="shared" si="366"/>
        <v/>
      </c>
      <c r="BN2284" s="9" t="str">
        <f t="shared" si="367"/>
        <v/>
      </c>
      <c r="BO2284" s="9">
        <f t="shared" si="368"/>
        <v>0</v>
      </c>
      <c r="BR2284" s="12" t="str">
        <f t="shared" si="369"/>
        <v/>
      </c>
    </row>
    <row r="2285" spans="1:70" ht="14.25" customHeight="1">
      <c r="A2285" s="26"/>
      <c r="C2285" s="26"/>
      <c r="D2285" s="27"/>
      <c r="E2285" s="27"/>
      <c r="BE2285" s="10" t="str">
        <f t="shared" si="360"/>
        <v/>
      </c>
      <c r="BF2285" s="8" t="str">
        <f t="shared" si="361"/>
        <v/>
      </c>
      <c r="BG2285" s="11" t="str">
        <f t="shared" si="362"/>
        <v/>
      </c>
      <c r="BH2285" s="8" t="str">
        <f t="shared" si="363"/>
        <v/>
      </c>
      <c r="BI2285" s="8" t="str">
        <f t="shared" si="364"/>
        <v/>
      </c>
      <c r="BJ2285" s="9" t="str">
        <f t="shared" si="365"/>
        <v/>
      </c>
      <c r="BK2285" s="9" t="str">
        <f>IF($B2285="","",COUNTIFS($B$5:$B2285,$B2285,$BF$5:$BF2285,$BF2285))</f>
        <v/>
      </c>
      <c r="BL2285" s="9" t="str">
        <f>IF($B2285="","",COUNTIFS($B$5:$B2285,$B2285,$BH$5:$BH2285,$BH2285))</f>
        <v/>
      </c>
      <c r="BM2285" s="9" t="str">
        <f t="shared" si="366"/>
        <v/>
      </c>
      <c r="BN2285" s="9" t="str">
        <f t="shared" si="367"/>
        <v/>
      </c>
      <c r="BO2285" s="9">
        <f t="shared" si="368"/>
        <v>0</v>
      </c>
      <c r="BR2285" s="12" t="str">
        <f t="shared" si="369"/>
        <v/>
      </c>
    </row>
    <row r="2286" spans="1:70" ht="14.25" customHeight="1">
      <c r="A2286" s="26"/>
      <c r="C2286" s="26"/>
      <c r="D2286" s="27"/>
      <c r="E2286" s="27"/>
      <c r="BE2286" s="10" t="str">
        <f t="shared" si="360"/>
        <v/>
      </c>
      <c r="BF2286" s="8" t="str">
        <f t="shared" si="361"/>
        <v/>
      </c>
      <c r="BG2286" s="11" t="str">
        <f t="shared" si="362"/>
        <v/>
      </c>
      <c r="BH2286" s="8" t="str">
        <f t="shared" si="363"/>
        <v/>
      </c>
      <c r="BI2286" s="8" t="str">
        <f t="shared" si="364"/>
        <v/>
      </c>
      <c r="BJ2286" s="9" t="str">
        <f t="shared" si="365"/>
        <v/>
      </c>
      <c r="BK2286" s="9" t="str">
        <f>IF($B2286="","",COUNTIFS($B$5:$B2286,$B2286,$BF$5:$BF2286,$BF2286))</f>
        <v/>
      </c>
      <c r="BL2286" s="9" t="str">
        <f>IF($B2286="","",COUNTIFS($B$5:$B2286,$B2286,$BH$5:$BH2286,$BH2286))</f>
        <v/>
      </c>
      <c r="BM2286" s="9" t="str">
        <f t="shared" si="366"/>
        <v/>
      </c>
      <c r="BN2286" s="9" t="str">
        <f t="shared" si="367"/>
        <v/>
      </c>
      <c r="BO2286" s="9">
        <f t="shared" si="368"/>
        <v>0</v>
      </c>
      <c r="BR2286" s="12" t="str">
        <f t="shared" si="369"/>
        <v/>
      </c>
    </row>
    <row r="2287" spans="1:70" ht="14.25" customHeight="1">
      <c r="A2287" s="26"/>
      <c r="C2287" s="26"/>
      <c r="D2287" s="27"/>
      <c r="E2287" s="27"/>
      <c r="BE2287" s="10" t="str">
        <f t="shared" si="360"/>
        <v/>
      </c>
      <c r="BF2287" s="8" t="str">
        <f t="shared" si="361"/>
        <v/>
      </c>
      <c r="BG2287" s="11" t="str">
        <f t="shared" si="362"/>
        <v/>
      </c>
      <c r="BH2287" s="8" t="str">
        <f t="shared" si="363"/>
        <v/>
      </c>
      <c r="BI2287" s="8" t="str">
        <f t="shared" si="364"/>
        <v/>
      </c>
      <c r="BJ2287" s="9" t="str">
        <f t="shared" si="365"/>
        <v/>
      </c>
      <c r="BK2287" s="9" t="str">
        <f>IF($B2287="","",COUNTIFS($B$5:$B2287,$B2287,$BF$5:$BF2287,$BF2287))</f>
        <v/>
      </c>
      <c r="BL2287" s="9" t="str">
        <f>IF($B2287="","",COUNTIFS($B$5:$B2287,$B2287,$BH$5:$BH2287,$BH2287))</f>
        <v/>
      </c>
      <c r="BM2287" s="9" t="str">
        <f t="shared" si="366"/>
        <v/>
      </c>
      <c r="BN2287" s="9" t="str">
        <f t="shared" si="367"/>
        <v/>
      </c>
      <c r="BO2287" s="9">
        <f t="shared" si="368"/>
        <v>0</v>
      </c>
      <c r="BR2287" s="12" t="str">
        <f t="shared" si="369"/>
        <v/>
      </c>
    </row>
    <row r="2288" spans="1:70" ht="14.25" customHeight="1">
      <c r="A2288" s="26"/>
      <c r="C2288" s="26"/>
      <c r="D2288" s="27"/>
      <c r="E2288" s="27"/>
      <c r="BE2288" s="10" t="str">
        <f t="shared" si="360"/>
        <v/>
      </c>
      <c r="BF2288" s="8" t="str">
        <f t="shared" si="361"/>
        <v/>
      </c>
      <c r="BG2288" s="11" t="str">
        <f t="shared" si="362"/>
        <v/>
      </c>
      <c r="BH2288" s="8" t="str">
        <f t="shared" si="363"/>
        <v/>
      </c>
      <c r="BI2288" s="8" t="str">
        <f t="shared" si="364"/>
        <v/>
      </c>
      <c r="BJ2288" s="9" t="str">
        <f t="shared" si="365"/>
        <v/>
      </c>
      <c r="BK2288" s="9" t="str">
        <f>IF($B2288="","",COUNTIFS($B$5:$B2288,$B2288,$BF$5:$BF2288,$BF2288))</f>
        <v/>
      </c>
      <c r="BL2288" s="9" t="str">
        <f>IF($B2288="","",COUNTIFS($B$5:$B2288,$B2288,$BH$5:$BH2288,$BH2288))</f>
        <v/>
      </c>
      <c r="BM2288" s="9" t="str">
        <f t="shared" si="366"/>
        <v/>
      </c>
      <c r="BN2288" s="9" t="str">
        <f t="shared" si="367"/>
        <v/>
      </c>
      <c r="BO2288" s="9">
        <f t="shared" si="368"/>
        <v>0</v>
      </c>
      <c r="BR2288" s="12" t="str">
        <f t="shared" si="369"/>
        <v/>
      </c>
    </row>
    <row r="2289" spans="1:70" ht="14.25" customHeight="1">
      <c r="A2289" s="26"/>
      <c r="C2289" s="26"/>
      <c r="D2289" s="27"/>
      <c r="E2289" s="27"/>
      <c r="BE2289" s="10" t="str">
        <f t="shared" si="360"/>
        <v/>
      </c>
      <c r="BF2289" s="8" t="str">
        <f t="shared" si="361"/>
        <v/>
      </c>
      <c r="BG2289" s="11" t="str">
        <f t="shared" si="362"/>
        <v/>
      </c>
      <c r="BH2289" s="8" t="str">
        <f t="shared" si="363"/>
        <v/>
      </c>
      <c r="BI2289" s="8" t="str">
        <f t="shared" si="364"/>
        <v/>
      </c>
      <c r="BJ2289" s="9" t="str">
        <f t="shared" si="365"/>
        <v/>
      </c>
      <c r="BK2289" s="9" t="str">
        <f>IF($B2289="","",COUNTIFS($B$5:$B2289,$B2289,$BF$5:$BF2289,$BF2289))</f>
        <v/>
      </c>
      <c r="BL2289" s="9" t="str">
        <f>IF($B2289="","",COUNTIFS($B$5:$B2289,$B2289,$BH$5:$BH2289,$BH2289))</f>
        <v/>
      </c>
      <c r="BM2289" s="9" t="str">
        <f t="shared" si="366"/>
        <v/>
      </c>
      <c r="BN2289" s="9" t="str">
        <f t="shared" si="367"/>
        <v/>
      </c>
      <c r="BO2289" s="9">
        <f t="shared" si="368"/>
        <v>0</v>
      </c>
      <c r="BR2289" s="12" t="str">
        <f t="shared" si="369"/>
        <v/>
      </c>
    </row>
    <row r="2290" spans="1:70" ht="14.25" customHeight="1">
      <c r="A2290" s="26"/>
      <c r="C2290" s="26"/>
      <c r="D2290" s="27"/>
      <c r="E2290" s="27"/>
      <c r="BE2290" s="10" t="str">
        <f t="shared" si="360"/>
        <v/>
      </c>
      <c r="BF2290" s="8" t="str">
        <f t="shared" si="361"/>
        <v/>
      </c>
      <c r="BG2290" s="11" t="str">
        <f t="shared" si="362"/>
        <v/>
      </c>
      <c r="BH2290" s="8" t="str">
        <f t="shared" si="363"/>
        <v/>
      </c>
      <c r="BI2290" s="8" t="str">
        <f t="shared" si="364"/>
        <v/>
      </c>
      <c r="BJ2290" s="9" t="str">
        <f t="shared" si="365"/>
        <v/>
      </c>
      <c r="BK2290" s="9" t="str">
        <f>IF($B2290="","",COUNTIFS($B$5:$B2290,$B2290,$BF$5:$BF2290,$BF2290))</f>
        <v/>
      </c>
      <c r="BL2290" s="9" t="str">
        <f>IF($B2290="","",COUNTIFS($B$5:$B2290,$B2290,$BH$5:$BH2290,$BH2290))</f>
        <v/>
      </c>
      <c r="BM2290" s="9" t="str">
        <f t="shared" si="366"/>
        <v/>
      </c>
      <c r="BN2290" s="9" t="str">
        <f t="shared" si="367"/>
        <v/>
      </c>
      <c r="BO2290" s="9">
        <f t="shared" si="368"/>
        <v>0</v>
      </c>
      <c r="BR2290" s="12" t="str">
        <f t="shared" si="369"/>
        <v/>
      </c>
    </row>
    <row r="2291" spans="1:70" ht="14.25" customHeight="1">
      <c r="A2291" s="26"/>
      <c r="C2291" s="26"/>
      <c r="D2291" s="27"/>
      <c r="E2291" s="27"/>
      <c r="BE2291" s="10" t="str">
        <f t="shared" si="360"/>
        <v/>
      </c>
      <c r="BF2291" s="8" t="str">
        <f t="shared" si="361"/>
        <v/>
      </c>
      <c r="BG2291" s="11" t="str">
        <f t="shared" si="362"/>
        <v/>
      </c>
      <c r="BH2291" s="8" t="str">
        <f t="shared" si="363"/>
        <v/>
      </c>
      <c r="BI2291" s="8" t="str">
        <f t="shared" si="364"/>
        <v/>
      </c>
      <c r="BJ2291" s="9" t="str">
        <f t="shared" si="365"/>
        <v/>
      </c>
      <c r="BK2291" s="9" t="str">
        <f>IF($B2291="","",COUNTIFS($B$5:$B2291,$B2291,$BF$5:$BF2291,$BF2291))</f>
        <v/>
      </c>
      <c r="BL2291" s="9" t="str">
        <f>IF($B2291="","",COUNTIFS($B$5:$B2291,$B2291,$BH$5:$BH2291,$BH2291))</f>
        <v/>
      </c>
      <c r="BM2291" s="9" t="str">
        <f t="shared" si="366"/>
        <v/>
      </c>
      <c r="BN2291" s="9" t="str">
        <f t="shared" si="367"/>
        <v/>
      </c>
      <c r="BO2291" s="9">
        <f t="shared" si="368"/>
        <v>0</v>
      </c>
      <c r="BR2291" s="12" t="str">
        <f t="shared" si="369"/>
        <v/>
      </c>
    </row>
    <row r="2292" spans="1:70" ht="14.25" customHeight="1">
      <c r="A2292" s="26"/>
      <c r="C2292" s="26"/>
      <c r="D2292" s="27"/>
      <c r="E2292" s="27"/>
      <c r="BE2292" s="10" t="str">
        <f t="shared" si="360"/>
        <v/>
      </c>
      <c r="BF2292" s="8" t="str">
        <f t="shared" si="361"/>
        <v/>
      </c>
      <c r="BG2292" s="11" t="str">
        <f t="shared" si="362"/>
        <v/>
      </c>
      <c r="BH2292" s="8" t="str">
        <f t="shared" si="363"/>
        <v/>
      </c>
      <c r="BI2292" s="8" t="str">
        <f t="shared" si="364"/>
        <v/>
      </c>
      <c r="BJ2292" s="9" t="str">
        <f t="shared" si="365"/>
        <v/>
      </c>
      <c r="BK2292" s="9" t="str">
        <f>IF($B2292="","",COUNTIFS($B$5:$B2292,$B2292,$BF$5:$BF2292,$BF2292))</f>
        <v/>
      </c>
      <c r="BL2292" s="9" t="str">
        <f>IF($B2292="","",COUNTIFS($B$5:$B2292,$B2292,$BH$5:$BH2292,$BH2292))</f>
        <v/>
      </c>
      <c r="BM2292" s="9" t="str">
        <f t="shared" si="366"/>
        <v/>
      </c>
      <c r="BN2292" s="9" t="str">
        <f t="shared" si="367"/>
        <v/>
      </c>
      <c r="BO2292" s="9">
        <f t="shared" si="368"/>
        <v>0</v>
      </c>
      <c r="BR2292" s="12" t="str">
        <f t="shared" si="369"/>
        <v/>
      </c>
    </row>
    <row r="2293" spans="1:70" ht="14.25" customHeight="1">
      <c r="A2293" s="26"/>
      <c r="C2293" s="26"/>
      <c r="D2293" s="27"/>
      <c r="E2293" s="27"/>
      <c r="BE2293" s="10" t="str">
        <f t="shared" si="360"/>
        <v/>
      </c>
      <c r="BF2293" s="8" t="str">
        <f t="shared" si="361"/>
        <v/>
      </c>
      <c r="BG2293" s="11" t="str">
        <f t="shared" si="362"/>
        <v/>
      </c>
      <c r="BH2293" s="8" t="str">
        <f t="shared" si="363"/>
        <v/>
      </c>
      <c r="BI2293" s="8" t="str">
        <f t="shared" si="364"/>
        <v/>
      </c>
      <c r="BJ2293" s="9" t="str">
        <f t="shared" si="365"/>
        <v/>
      </c>
      <c r="BK2293" s="9" t="str">
        <f>IF($B2293="","",COUNTIFS($B$5:$B2293,$B2293,$BF$5:$BF2293,$BF2293))</f>
        <v/>
      </c>
      <c r="BL2293" s="9" t="str">
        <f>IF($B2293="","",COUNTIFS($B$5:$B2293,$B2293,$BH$5:$BH2293,$BH2293))</f>
        <v/>
      </c>
      <c r="BM2293" s="9" t="str">
        <f t="shared" si="366"/>
        <v/>
      </c>
      <c r="BN2293" s="9" t="str">
        <f t="shared" si="367"/>
        <v/>
      </c>
      <c r="BO2293" s="9">
        <f t="shared" si="368"/>
        <v>0</v>
      </c>
      <c r="BR2293" s="12" t="str">
        <f t="shared" si="369"/>
        <v/>
      </c>
    </row>
    <row r="2294" spans="1:70" ht="14.25" customHeight="1">
      <c r="A2294" s="26"/>
      <c r="C2294" s="26"/>
      <c r="D2294" s="27"/>
      <c r="E2294" s="27"/>
      <c r="BE2294" s="10" t="str">
        <f t="shared" si="360"/>
        <v/>
      </c>
      <c r="BF2294" s="8" t="str">
        <f t="shared" si="361"/>
        <v/>
      </c>
      <c r="BG2294" s="11" t="str">
        <f t="shared" si="362"/>
        <v/>
      </c>
      <c r="BH2294" s="8" t="str">
        <f t="shared" si="363"/>
        <v/>
      </c>
      <c r="BI2294" s="8" t="str">
        <f t="shared" si="364"/>
        <v/>
      </c>
      <c r="BJ2294" s="9" t="str">
        <f t="shared" si="365"/>
        <v/>
      </c>
      <c r="BK2294" s="9" t="str">
        <f>IF($B2294="","",COUNTIFS($B$5:$B2294,$B2294,$BF$5:$BF2294,$BF2294))</f>
        <v/>
      </c>
      <c r="BL2294" s="9" t="str">
        <f>IF($B2294="","",COUNTIFS($B$5:$B2294,$B2294,$BH$5:$BH2294,$BH2294))</f>
        <v/>
      </c>
      <c r="BM2294" s="9" t="str">
        <f t="shared" si="366"/>
        <v/>
      </c>
      <c r="BN2294" s="9" t="str">
        <f t="shared" si="367"/>
        <v/>
      </c>
      <c r="BO2294" s="9">
        <f t="shared" si="368"/>
        <v>0</v>
      </c>
      <c r="BR2294" s="12" t="str">
        <f t="shared" si="369"/>
        <v/>
      </c>
    </row>
    <row r="2295" spans="1:70" ht="14.25" customHeight="1">
      <c r="A2295" s="26"/>
      <c r="C2295" s="26"/>
      <c r="D2295" s="27"/>
      <c r="E2295" s="27"/>
      <c r="BE2295" s="10" t="str">
        <f t="shared" si="360"/>
        <v/>
      </c>
      <c r="BF2295" s="8" t="str">
        <f t="shared" si="361"/>
        <v/>
      </c>
      <c r="BG2295" s="11" t="str">
        <f t="shared" si="362"/>
        <v/>
      </c>
      <c r="BH2295" s="8" t="str">
        <f t="shared" si="363"/>
        <v/>
      </c>
      <c r="BI2295" s="8" t="str">
        <f t="shared" si="364"/>
        <v/>
      </c>
      <c r="BJ2295" s="9" t="str">
        <f t="shared" si="365"/>
        <v/>
      </c>
      <c r="BK2295" s="9" t="str">
        <f>IF($B2295="","",COUNTIFS($B$5:$B2295,$B2295,$BF$5:$BF2295,$BF2295))</f>
        <v/>
      </c>
      <c r="BL2295" s="9" t="str">
        <f>IF($B2295="","",COUNTIFS($B$5:$B2295,$B2295,$BH$5:$BH2295,$BH2295))</f>
        <v/>
      </c>
      <c r="BM2295" s="9" t="str">
        <f t="shared" si="366"/>
        <v/>
      </c>
      <c r="BN2295" s="9" t="str">
        <f t="shared" si="367"/>
        <v/>
      </c>
      <c r="BO2295" s="9">
        <f t="shared" si="368"/>
        <v>0</v>
      </c>
      <c r="BR2295" s="12" t="str">
        <f t="shared" si="369"/>
        <v/>
      </c>
    </row>
    <row r="2296" spans="1:70" ht="14.25" customHeight="1">
      <c r="A2296" s="26"/>
      <c r="C2296" s="26"/>
      <c r="D2296" s="27"/>
      <c r="E2296" s="27"/>
      <c r="BE2296" s="10" t="str">
        <f t="shared" si="360"/>
        <v/>
      </c>
      <c r="BF2296" s="8" t="str">
        <f t="shared" si="361"/>
        <v/>
      </c>
      <c r="BG2296" s="11" t="str">
        <f t="shared" si="362"/>
        <v/>
      </c>
      <c r="BH2296" s="8" t="str">
        <f t="shared" si="363"/>
        <v/>
      </c>
      <c r="BI2296" s="8" t="str">
        <f t="shared" si="364"/>
        <v/>
      </c>
      <c r="BJ2296" s="9" t="str">
        <f t="shared" si="365"/>
        <v/>
      </c>
      <c r="BK2296" s="9" t="str">
        <f>IF($B2296="","",COUNTIFS($B$5:$B2296,$B2296,$BF$5:$BF2296,$BF2296))</f>
        <v/>
      </c>
      <c r="BL2296" s="9" t="str">
        <f>IF($B2296="","",COUNTIFS($B$5:$B2296,$B2296,$BH$5:$BH2296,$BH2296))</f>
        <v/>
      </c>
      <c r="BM2296" s="9" t="str">
        <f t="shared" si="366"/>
        <v/>
      </c>
      <c r="BN2296" s="9" t="str">
        <f t="shared" si="367"/>
        <v/>
      </c>
      <c r="BO2296" s="9">
        <f t="shared" si="368"/>
        <v>0</v>
      </c>
      <c r="BR2296" s="12" t="str">
        <f t="shared" si="369"/>
        <v/>
      </c>
    </row>
    <row r="2297" spans="1:70" ht="14.25" customHeight="1">
      <c r="A2297" s="26"/>
      <c r="C2297" s="26"/>
      <c r="D2297" s="27"/>
      <c r="E2297" s="27"/>
      <c r="BE2297" s="10" t="str">
        <f t="shared" si="360"/>
        <v/>
      </c>
      <c r="BF2297" s="8" t="str">
        <f t="shared" si="361"/>
        <v/>
      </c>
      <c r="BG2297" s="11" t="str">
        <f t="shared" si="362"/>
        <v/>
      </c>
      <c r="BH2297" s="8" t="str">
        <f t="shared" si="363"/>
        <v/>
      </c>
      <c r="BI2297" s="8" t="str">
        <f t="shared" si="364"/>
        <v/>
      </c>
      <c r="BJ2297" s="9" t="str">
        <f t="shared" si="365"/>
        <v/>
      </c>
      <c r="BK2297" s="9" t="str">
        <f>IF($B2297="","",COUNTIFS($B$5:$B2297,$B2297,$BF$5:$BF2297,$BF2297))</f>
        <v/>
      </c>
      <c r="BL2297" s="9" t="str">
        <f>IF($B2297="","",COUNTIFS($B$5:$B2297,$B2297,$BH$5:$BH2297,$BH2297))</f>
        <v/>
      </c>
      <c r="BM2297" s="9" t="str">
        <f t="shared" si="366"/>
        <v/>
      </c>
      <c r="BN2297" s="9" t="str">
        <f t="shared" si="367"/>
        <v/>
      </c>
      <c r="BO2297" s="9">
        <f t="shared" si="368"/>
        <v>0</v>
      </c>
      <c r="BR2297" s="12" t="str">
        <f t="shared" si="369"/>
        <v/>
      </c>
    </row>
    <row r="2298" spans="1:70" ht="14.25" customHeight="1">
      <c r="A2298" s="26"/>
      <c r="C2298" s="26"/>
      <c r="D2298" s="27"/>
      <c r="E2298" s="27"/>
      <c r="BE2298" s="10" t="str">
        <f t="shared" si="360"/>
        <v/>
      </c>
      <c r="BF2298" s="8" t="str">
        <f t="shared" si="361"/>
        <v/>
      </c>
      <c r="BG2298" s="11" t="str">
        <f t="shared" si="362"/>
        <v/>
      </c>
      <c r="BH2298" s="8" t="str">
        <f t="shared" si="363"/>
        <v/>
      </c>
      <c r="BI2298" s="8" t="str">
        <f t="shared" si="364"/>
        <v/>
      </c>
      <c r="BJ2298" s="9" t="str">
        <f t="shared" si="365"/>
        <v/>
      </c>
      <c r="BK2298" s="9" t="str">
        <f>IF($B2298="","",COUNTIFS($B$5:$B2298,$B2298,$BF$5:$BF2298,$BF2298))</f>
        <v/>
      </c>
      <c r="BL2298" s="9" t="str">
        <f>IF($B2298="","",COUNTIFS($B$5:$B2298,$B2298,$BH$5:$BH2298,$BH2298))</f>
        <v/>
      </c>
      <c r="BM2298" s="9" t="str">
        <f t="shared" si="366"/>
        <v/>
      </c>
      <c r="BN2298" s="9" t="str">
        <f t="shared" si="367"/>
        <v/>
      </c>
      <c r="BO2298" s="9">
        <f t="shared" si="368"/>
        <v>0</v>
      </c>
      <c r="BR2298" s="12" t="str">
        <f t="shared" si="369"/>
        <v/>
      </c>
    </row>
    <row r="2299" spans="1:70" ht="14.25" customHeight="1">
      <c r="A2299" s="26"/>
      <c r="C2299" s="26"/>
      <c r="D2299" s="27"/>
      <c r="E2299" s="27"/>
      <c r="BE2299" s="10" t="str">
        <f t="shared" si="360"/>
        <v/>
      </c>
      <c r="BF2299" s="8" t="str">
        <f t="shared" si="361"/>
        <v/>
      </c>
      <c r="BG2299" s="11" t="str">
        <f t="shared" si="362"/>
        <v/>
      </c>
      <c r="BH2299" s="8" t="str">
        <f t="shared" si="363"/>
        <v/>
      </c>
      <c r="BI2299" s="8" t="str">
        <f t="shared" si="364"/>
        <v/>
      </c>
      <c r="BJ2299" s="9" t="str">
        <f t="shared" si="365"/>
        <v/>
      </c>
      <c r="BK2299" s="9" t="str">
        <f>IF($B2299="","",COUNTIFS($B$5:$B2299,$B2299,$BF$5:$BF2299,$BF2299))</f>
        <v/>
      </c>
      <c r="BL2299" s="9" t="str">
        <f>IF($B2299="","",COUNTIFS($B$5:$B2299,$B2299,$BH$5:$BH2299,$BH2299))</f>
        <v/>
      </c>
      <c r="BM2299" s="9" t="str">
        <f t="shared" si="366"/>
        <v/>
      </c>
      <c r="BN2299" s="9" t="str">
        <f t="shared" si="367"/>
        <v/>
      </c>
      <c r="BO2299" s="9">
        <f t="shared" si="368"/>
        <v>0</v>
      </c>
      <c r="BR2299" s="12" t="str">
        <f t="shared" si="369"/>
        <v/>
      </c>
    </row>
    <row r="2300" spans="1:70" ht="14.25" customHeight="1">
      <c r="A2300" s="26"/>
      <c r="C2300" s="26"/>
      <c r="D2300" s="27"/>
      <c r="E2300" s="27"/>
      <c r="BE2300" s="10" t="str">
        <f t="shared" si="360"/>
        <v/>
      </c>
      <c r="BF2300" s="8" t="str">
        <f t="shared" si="361"/>
        <v/>
      </c>
      <c r="BG2300" s="11" t="str">
        <f t="shared" si="362"/>
        <v/>
      </c>
      <c r="BH2300" s="8" t="str">
        <f t="shared" si="363"/>
        <v/>
      </c>
      <c r="BI2300" s="8" t="str">
        <f t="shared" si="364"/>
        <v/>
      </c>
      <c r="BJ2300" s="9" t="str">
        <f t="shared" si="365"/>
        <v/>
      </c>
      <c r="BK2300" s="9" t="str">
        <f>IF($B2300="","",COUNTIFS($B$5:$B2300,$B2300,$BF$5:$BF2300,$BF2300))</f>
        <v/>
      </c>
      <c r="BL2300" s="9" t="str">
        <f>IF($B2300="","",COUNTIFS($B$5:$B2300,$B2300,$BH$5:$BH2300,$BH2300))</f>
        <v/>
      </c>
      <c r="BM2300" s="9" t="str">
        <f t="shared" si="366"/>
        <v/>
      </c>
      <c r="BN2300" s="9" t="str">
        <f t="shared" si="367"/>
        <v/>
      </c>
      <c r="BO2300" s="9">
        <f t="shared" si="368"/>
        <v>0</v>
      </c>
      <c r="BR2300" s="12" t="str">
        <f t="shared" si="369"/>
        <v/>
      </c>
    </row>
    <row r="2301" spans="1:70" ht="14.25" customHeight="1">
      <c r="A2301" s="26"/>
      <c r="C2301" s="26"/>
      <c r="D2301" s="27"/>
      <c r="E2301" s="27"/>
      <c r="BE2301" s="10" t="str">
        <f t="shared" si="360"/>
        <v/>
      </c>
      <c r="BF2301" s="8" t="str">
        <f t="shared" si="361"/>
        <v/>
      </c>
      <c r="BG2301" s="11" t="str">
        <f t="shared" si="362"/>
        <v/>
      </c>
      <c r="BH2301" s="8" t="str">
        <f t="shared" si="363"/>
        <v/>
      </c>
      <c r="BI2301" s="8" t="str">
        <f t="shared" si="364"/>
        <v/>
      </c>
      <c r="BJ2301" s="9" t="str">
        <f t="shared" si="365"/>
        <v/>
      </c>
      <c r="BK2301" s="9" t="str">
        <f>IF($B2301="","",COUNTIFS($B$5:$B2301,$B2301,$BF$5:$BF2301,$BF2301))</f>
        <v/>
      </c>
      <c r="BL2301" s="9" t="str">
        <f>IF($B2301="","",COUNTIFS($B$5:$B2301,$B2301,$BH$5:$BH2301,$BH2301))</f>
        <v/>
      </c>
      <c r="BM2301" s="9" t="str">
        <f t="shared" si="366"/>
        <v/>
      </c>
      <c r="BN2301" s="9" t="str">
        <f t="shared" si="367"/>
        <v/>
      </c>
      <c r="BO2301" s="9">
        <f t="shared" si="368"/>
        <v>0</v>
      </c>
      <c r="BR2301" s="12" t="str">
        <f t="shared" si="369"/>
        <v/>
      </c>
    </row>
    <row r="2302" spans="1:70" ht="14.25" customHeight="1">
      <c r="A2302" s="26"/>
      <c r="C2302" s="26"/>
      <c r="D2302" s="27"/>
      <c r="E2302" s="27"/>
      <c r="BE2302" s="10" t="str">
        <f t="shared" si="360"/>
        <v/>
      </c>
      <c r="BF2302" s="8" t="str">
        <f t="shared" si="361"/>
        <v/>
      </c>
      <c r="BG2302" s="11" t="str">
        <f t="shared" si="362"/>
        <v/>
      </c>
      <c r="BH2302" s="8" t="str">
        <f t="shared" si="363"/>
        <v/>
      </c>
      <c r="BI2302" s="8" t="str">
        <f t="shared" si="364"/>
        <v/>
      </c>
      <c r="BJ2302" s="9" t="str">
        <f t="shared" si="365"/>
        <v/>
      </c>
      <c r="BK2302" s="9" t="str">
        <f>IF($B2302="","",COUNTIFS($B$5:$B2302,$B2302,$BF$5:$BF2302,$BF2302))</f>
        <v/>
      </c>
      <c r="BL2302" s="9" t="str">
        <f>IF($B2302="","",COUNTIFS($B$5:$B2302,$B2302,$BH$5:$BH2302,$BH2302))</f>
        <v/>
      </c>
      <c r="BM2302" s="9" t="str">
        <f t="shared" si="366"/>
        <v/>
      </c>
      <c r="BN2302" s="9" t="str">
        <f t="shared" si="367"/>
        <v/>
      </c>
      <c r="BO2302" s="9">
        <f t="shared" si="368"/>
        <v>0</v>
      </c>
      <c r="BR2302" s="12" t="str">
        <f t="shared" si="369"/>
        <v/>
      </c>
    </row>
    <row r="2303" spans="1:70" ht="14.25" customHeight="1">
      <c r="A2303" s="26"/>
      <c r="C2303" s="26"/>
      <c r="D2303" s="27"/>
      <c r="E2303" s="27"/>
      <c r="BE2303" s="10" t="str">
        <f t="shared" si="360"/>
        <v/>
      </c>
      <c r="BF2303" s="8" t="str">
        <f t="shared" si="361"/>
        <v/>
      </c>
      <c r="BG2303" s="11" t="str">
        <f t="shared" si="362"/>
        <v/>
      </c>
      <c r="BH2303" s="8" t="str">
        <f t="shared" si="363"/>
        <v/>
      </c>
      <c r="BI2303" s="8" t="str">
        <f t="shared" si="364"/>
        <v/>
      </c>
      <c r="BJ2303" s="9" t="str">
        <f t="shared" si="365"/>
        <v/>
      </c>
      <c r="BK2303" s="9" t="str">
        <f>IF($B2303="","",COUNTIFS($B$5:$B2303,$B2303,$BF$5:$BF2303,$BF2303))</f>
        <v/>
      </c>
      <c r="BL2303" s="9" t="str">
        <f>IF($B2303="","",COUNTIFS($B$5:$B2303,$B2303,$BH$5:$BH2303,$BH2303))</f>
        <v/>
      </c>
      <c r="BM2303" s="9" t="str">
        <f t="shared" si="366"/>
        <v/>
      </c>
      <c r="BN2303" s="9" t="str">
        <f t="shared" si="367"/>
        <v/>
      </c>
      <c r="BO2303" s="9">
        <f t="shared" si="368"/>
        <v>0</v>
      </c>
      <c r="BR2303" s="12" t="str">
        <f t="shared" si="369"/>
        <v/>
      </c>
    </row>
    <row r="2304" spans="1:70" ht="14.25" customHeight="1">
      <c r="A2304" s="26"/>
      <c r="C2304" s="26"/>
      <c r="D2304" s="27"/>
      <c r="E2304" s="27"/>
      <c r="BE2304" s="10" t="str">
        <f t="shared" si="360"/>
        <v/>
      </c>
      <c r="BF2304" s="8" t="str">
        <f t="shared" si="361"/>
        <v/>
      </c>
      <c r="BG2304" s="11" t="str">
        <f t="shared" si="362"/>
        <v/>
      </c>
      <c r="BH2304" s="8" t="str">
        <f t="shared" si="363"/>
        <v/>
      </c>
      <c r="BI2304" s="8" t="str">
        <f t="shared" si="364"/>
        <v/>
      </c>
      <c r="BJ2304" s="9" t="str">
        <f t="shared" si="365"/>
        <v/>
      </c>
      <c r="BK2304" s="9" t="str">
        <f>IF($B2304="","",COUNTIFS($B$5:$B2304,$B2304,$BF$5:$BF2304,$BF2304))</f>
        <v/>
      </c>
      <c r="BL2304" s="9" t="str">
        <f>IF($B2304="","",COUNTIFS($B$5:$B2304,$B2304,$BH$5:$BH2304,$BH2304))</f>
        <v/>
      </c>
      <c r="BM2304" s="9" t="str">
        <f t="shared" si="366"/>
        <v/>
      </c>
      <c r="BN2304" s="9" t="str">
        <f t="shared" si="367"/>
        <v/>
      </c>
      <c r="BO2304" s="9">
        <f t="shared" si="368"/>
        <v>0</v>
      </c>
      <c r="BR2304" s="12" t="str">
        <f t="shared" si="369"/>
        <v/>
      </c>
    </row>
    <row r="2305" spans="1:70" ht="14.25" customHeight="1">
      <c r="A2305" s="26"/>
      <c r="C2305" s="26"/>
      <c r="D2305" s="27"/>
      <c r="E2305" s="27"/>
      <c r="BE2305" s="10" t="str">
        <f t="shared" si="360"/>
        <v/>
      </c>
      <c r="BF2305" s="8" t="str">
        <f t="shared" si="361"/>
        <v/>
      </c>
      <c r="BG2305" s="11" t="str">
        <f t="shared" si="362"/>
        <v/>
      </c>
      <c r="BH2305" s="8" t="str">
        <f t="shared" si="363"/>
        <v/>
      </c>
      <c r="BI2305" s="8" t="str">
        <f t="shared" si="364"/>
        <v/>
      </c>
      <c r="BJ2305" s="9" t="str">
        <f t="shared" si="365"/>
        <v/>
      </c>
      <c r="BK2305" s="9" t="str">
        <f>IF($B2305="","",COUNTIFS($B$5:$B2305,$B2305,$BF$5:$BF2305,$BF2305))</f>
        <v/>
      </c>
      <c r="BL2305" s="9" t="str">
        <f>IF($B2305="","",COUNTIFS($B$5:$B2305,$B2305,$BH$5:$BH2305,$BH2305))</f>
        <v/>
      </c>
      <c r="BM2305" s="9" t="str">
        <f t="shared" si="366"/>
        <v/>
      </c>
      <c r="BN2305" s="9" t="str">
        <f t="shared" si="367"/>
        <v/>
      </c>
      <c r="BO2305" s="9">
        <f t="shared" si="368"/>
        <v>0</v>
      </c>
      <c r="BR2305" s="12" t="str">
        <f t="shared" si="369"/>
        <v/>
      </c>
    </row>
    <row r="2306" spans="1:70" ht="14.25" customHeight="1">
      <c r="A2306" s="26"/>
      <c r="C2306" s="26"/>
      <c r="D2306" s="27"/>
      <c r="E2306" s="27"/>
      <c r="BE2306" s="10" t="str">
        <f t="shared" si="360"/>
        <v/>
      </c>
      <c r="BF2306" s="8" t="str">
        <f t="shared" si="361"/>
        <v/>
      </c>
      <c r="BG2306" s="11" t="str">
        <f t="shared" si="362"/>
        <v/>
      </c>
      <c r="BH2306" s="8" t="str">
        <f t="shared" si="363"/>
        <v/>
      </c>
      <c r="BI2306" s="8" t="str">
        <f t="shared" si="364"/>
        <v/>
      </c>
      <c r="BJ2306" s="9" t="str">
        <f t="shared" si="365"/>
        <v/>
      </c>
      <c r="BK2306" s="9" t="str">
        <f>IF($B2306="","",COUNTIFS($B$5:$B2306,$B2306,$BF$5:$BF2306,$BF2306))</f>
        <v/>
      </c>
      <c r="BL2306" s="9" t="str">
        <f>IF($B2306="","",COUNTIFS($B$5:$B2306,$B2306,$BH$5:$BH2306,$BH2306))</f>
        <v/>
      </c>
      <c r="BM2306" s="9" t="str">
        <f t="shared" si="366"/>
        <v/>
      </c>
      <c r="BN2306" s="9" t="str">
        <f t="shared" si="367"/>
        <v/>
      </c>
      <c r="BO2306" s="9">
        <f t="shared" si="368"/>
        <v>0</v>
      </c>
      <c r="BR2306" s="12" t="str">
        <f t="shared" si="369"/>
        <v/>
      </c>
    </row>
    <row r="2307" spans="1:70" ht="14.25" customHeight="1">
      <c r="A2307" s="26"/>
      <c r="C2307" s="26"/>
      <c r="D2307" s="27"/>
      <c r="E2307" s="27"/>
      <c r="BE2307" s="10" t="str">
        <f t="shared" si="360"/>
        <v/>
      </c>
      <c r="BF2307" s="8" t="str">
        <f t="shared" si="361"/>
        <v/>
      </c>
      <c r="BG2307" s="11" t="str">
        <f t="shared" si="362"/>
        <v/>
      </c>
      <c r="BH2307" s="8" t="str">
        <f t="shared" si="363"/>
        <v/>
      </c>
      <c r="BI2307" s="8" t="str">
        <f t="shared" si="364"/>
        <v/>
      </c>
      <c r="BJ2307" s="9" t="str">
        <f t="shared" si="365"/>
        <v/>
      </c>
      <c r="BK2307" s="9" t="str">
        <f>IF($B2307="","",COUNTIFS($B$5:$B2307,$B2307,$BF$5:$BF2307,$BF2307))</f>
        <v/>
      </c>
      <c r="BL2307" s="9" t="str">
        <f>IF($B2307="","",COUNTIFS($B$5:$B2307,$B2307,$BH$5:$BH2307,$BH2307))</f>
        <v/>
      </c>
      <c r="BM2307" s="9" t="str">
        <f t="shared" si="366"/>
        <v/>
      </c>
      <c r="BN2307" s="9" t="str">
        <f t="shared" si="367"/>
        <v/>
      </c>
      <c r="BO2307" s="9">
        <f t="shared" si="368"/>
        <v>0</v>
      </c>
      <c r="BR2307" s="12" t="str">
        <f t="shared" si="369"/>
        <v/>
      </c>
    </row>
    <row r="2308" spans="1:70" ht="14.25" customHeight="1">
      <c r="A2308" s="26"/>
      <c r="C2308" s="26"/>
      <c r="D2308" s="27"/>
      <c r="E2308" s="27"/>
      <c r="BE2308" s="10" t="str">
        <f t="shared" si="360"/>
        <v/>
      </c>
      <c r="BF2308" s="8" t="str">
        <f t="shared" si="361"/>
        <v/>
      </c>
      <c r="BG2308" s="11" t="str">
        <f t="shared" si="362"/>
        <v/>
      </c>
      <c r="BH2308" s="8" t="str">
        <f t="shared" si="363"/>
        <v/>
      </c>
      <c r="BI2308" s="8" t="str">
        <f t="shared" si="364"/>
        <v/>
      </c>
      <c r="BJ2308" s="9" t="str">
        <f t="shared" si="365"/>
        <v/>
      </c>
      <c r="BK2308" s="9" t="str">
        <f>IF($B2308="","",COUNTIFS($B$5:$B2308,$B2308,$BF$5:$BF2308,$BF2308))</f>
        <v/>
      </c>
      <c r="BL2308" s="9" t="str">
        <f>IF($B2308="","",COUNTIFS($B$5:$B2308,$B2308,$BH$5:$BH2308,$BH2308))</f>
        <v/>
      </c>
      <c r="BM2308" s="9" t="str">
        <f t="shared" si="366"/>
        <v/>
      </c>
      <c r="BN2308" s="9" t="str">
        <f t="shared" si="367"/>
        <v/>
      </c>
      <c r="BO2308" s="9">
        <f t="shared" si="368"/>
        <v>0</v>
      </c>
      <c r="BR2308" s="12" t="str">
        <f t="shared" si="369"/>
        <v/>
      </c>
    </row>
    <row r="2309" spans="1:70" ht="14.25" customHeight="1">
      <c r="A2309" s="26"/>
      <c r="C2309" s="26"/>
      <c r="D2309" s="27"/>
      <c r="E2309" s="27"/>
      <c r="BE2309" s="10" t="str">
        <f t="shared" si="360"/>
        <v/>
      </c>
      <c r="BF2309" s="8" t="str">
        <f t="shared" si="361"/>
        <v/>
      </c>
      <c r="BG2309" s="11" t="str">
        <f t="shared" si="362"/>
        <v/>
      </c>
      <c r="BH2309" s="8" t="str">
        <f t="shared" si="363"/>
        <v/>
      </c>
      <c r="BI2309" s="8" t="str">
        <f t="shared" si="364"/>
        <v/>
      </c>
      <c r="BJ2309" s="9" t="str">
        <f t="shared" si="365"/>
        <v/>
      </c>
      <c r="BK2309" s="9" t="str">
        <f>IF($B2309="","",COUNTIFS($B$5:$B2309,$B2309,$BF$5:$BF2309,$BF2309))</f>
        <v/>
      </c>
      <c r="BL2309" s="9" t="str">
        <f>IF($B2309="","",COUNTIFS($B$5:$B2309,$B2309,$BH$5:$BH2309,$BH2309))</f>
        <v/>
      </c>
      <c r="BM2309" s="9" t="str">
        <f t="shared" si="366"/>
        <v/>
      </c>
      <c r="BN2309" s="9" t="str">
        <f t="shared" si="367"/>
        <v/>
      </c>
      <c r="BO2309" s="9">
        <f t="shared" si="368"/>
        <v>0</v>
      </c>
      <c r="BR2309" s="12" t="str">
        <f t="shared" si="369"/>
        <v/>
      </c>
    </row>
    <row r="2310" spans="1:70" ht="14.25" customHeight="1">
      <c r="A2310" s="26"/>
      <c r="C2310" s="26"/>
      <c r="D2310" s="27"/>
      <c r="E2310" s="27"/>
      <c r="BE2310" s="10" t="str">
        <f t="shared" si="360"/>
        <v/>
      </c>
      <c r="BF2310" s="8" t="str">
        <f t="shared" si="361"/>
        <v/>
      </c>
      <c r="BG2310" s="11" t="str">
        <f t="shared" si="362"/>
        <v/>
      </c>
      <c r="BH2310" s="8" t="str">
        <f t="shared" si="363"/>
        <v/>
      </c>
      <c r="BI2310" s="8" t="str">
        <f t="shared" si="364"/>
        <v/>
      </c>
      <c r="BJ2310" s="9" t="str">
        <f t="shared" si="365"/>
        <v/>
      </c>
      <c r="BK2310" s="9" t="str">
        <f>IF($B2310="","",COUNTIFS($B$5:$B2310,$B2310,$BF$5:$BF2310,$BF2310))</f>
        <v/>
      </c>
      <c r="BL2310" s="9" t="str">
        <f>IF($B2310="","",COUNTIFS($B$5:$B2310,$B2310,$BH$5:$BH2310,$BH2310))</f>
        <v/>
      </c>
      <c r="BM2310" s="9" t="str">
        <f t="shared" si="366"/>
        <v/>
      </c>
      <c r="BN2310" s="9" t="str">
        <f t="shared" si="367"/>
        <v/>
      </c>
      <c r="BO2310" s="9">
        <f t="shared" si="368"/>
        <v>0</v>
      </c>
      <c r="BR2310" s="12" t="str">
        <f t="shared" si="369"/>
        <v/>
      </c>
    </row>
    <row r="2311" spans="1:70" ht="14.25" customHeight="1">
      <c r="A2311" s="26"/>
      <c r="C2311" s="26"/>
      <c r="D2311" s="27"/>
      <c r="E2311" s="27"/>
      <c r="BE2311" s="10" t="str">
        <f t="shared" si="360"/>
        <v/>
      </c>
      <c r="BF2311" s="8" t="str">
        <f t="shared" si="361"/>
        <v/>
      </c>
      <c r="BG2311" s="11" t="str">
        <f t="shared" si="362"/>
        <v/>
      </c>
      <c r="BH2311" s="8" t="str">
        <f t="shared" si="363"/>
        <v/>
      </c>
      <c r="BI2311" s="8" t="str">
        <f t="shared" si="364"/>
        <v/>
      </c>
      <c r="BJ2311" s="9" t="str">
        <f t="shared" si="365"/>
        <v/>
      </c>
      <c r="BK2311" s="9" t="str">
        <f>IF($B2311="","",COUNTIFS($B$5:$B2311,$B2311,$BF$5:$BF2311,$BF2311))</f>
        <v/>
      </c>
      <c r="BL2311" s="9" t="str">
        <f>IF($B2311="","",COUNTIFS($B$5:$B2311,$B2311,$BH$5:$BH2311,$BH2311))</f>
        <v/>
      </c>
      <c r="BM2311" s="9" t="str">
        <f t="shared" si="366"/>
        <v/>
      </c>
      <c r="BN2311" s="9" t="str">
        <f t="shared" si="367"/>
        <v/>
      </c>
      <c r="BO2311" s="9">
        <f t="shared" si="368"/>
        <v>0</v>
      </c>
      <c r="BR2311" s="12" t="str">
        <f t="shared" si="369"/>
        <v/>
      </c>
    </row>
    <row r="2312" spans="1:70" ht="14.25" customHeight="1">
      <c r="A2312" s="26"/>
      <c r="C2312" s="26"/>
      <c r="D2312" s="27"/>
      <c r="E2312" s="27"/>
      <c r="BE2312" s="10" t="str">
        <f t="shared" si="360"/>
        <v/>
      </c>
      <c r="BF2312" s="8" t="str">
        <f t="shared" si="361"/>
        <v/>
      </c>
      <c r="BG2312" s="11" t="str">
        <f t="shared" si="362"/>
        <v/>
      </c>
      <c r="BH2312" s="8" t="str">
        <f t="shared" si="363"/>
        <v/>
      </c>
      <c r="BI2312" s="8" t="str">
        <f t="shared" si="364"/>
        <v/>
      </c>
      <c r="BJ2312" s="9" t="str">
        <f t="shared" si="365"/>
        <v/>
      </c>
      <c r="BK2312" s="9" t="str">
        <f>IF($B2312="","",COUNTIFS($B$5:$B2312,$B2312,$BF$5:$BF2312,$BF2312))</f>
        <v/>
      </c>
      <c r="BL2312" s="9" t="str">
        <f>IF($B2312="","",COUNTIFS($B$5:$B2312,$B2312,$BH$5:$BH2312,$BH2312))</f>
        <v/>
      </c>
      <c r="BM2312" s="9" t="str">
        <f t="shared" si="366"/>
        <v/>
      </c>
      <c r="BN2312" s="9" t="str">
        <f t="shared" si="367"/>
        <v/>
      </c>
      <c r="BO2312" s="9">
        <f t="shared" si="368"/>
        <v>0</v>
      </c>
      <c r="BR2312" s="12" t="str">
        <f t="shared" si="369"/>
        <v/>
      </c>
    </row>
    <row r="2313" spans="1:70" ht="14.25" customHeight="1">
      <c r="A2313" s="26"/>
      <c r="C2313" s="26"/>
      <c r="D2313" s="27"/>
      <c r="E2313" s="27"/>
      <c r="BE2313" s="10" t="str">
        <f t="shared" si="360"/>
        <v/>
      </c>
      <c r="BF2313" s="8" t="str">
        <f t="shared" si="361"/>
        <v/>
      </c>
      <c r="BG2313" s="11" t="str">
        <f t="shared" si="362"/>
        <v/>
      </c>
      <c r="BH2313" s="8" t="str">
        <f t="shared" si="363"/>
        <v/>
      </c>
      <c r="BI2313" s="8" t="str">
        <f t="shared" si="364"/>
        <v/>
      </c>
      <c r="BJ2313" s="9" t="str">
        <f t="shared" si="365"/>
        <v/>
      </c>
      <c r="BK2313" s="9" t="str">
        <f>IF($B2313="","",COUNTIFS($B$5:$B2313,$B2313,$BF$5:$BF2313,$BF2313))</f>
        <v/>
      </c>
      <c r="BL2313" s="9" t="str">
        <f>IF($B2313="","",COUNTIFS($B$5:$B2313,$B2313,$BH$5:$BH2313,$BH2313))</f>
        <v/>
      </c>
      <c r="BM2313" s="9" t="str">
        <f t="shared" si="366"/>
        <v/>
      </c>
      <c r="BN2313" s="9" t="str">
        <f t="shared" si="367"/>
        <v/>
      </c>
      <c r="BO2313" s="9">
        <f t="shared" si="368"/>
        <v>0</v>
      </c>
      <c r="BR2313" s="12" t="str">
        <f t="shared" si="369"/>
        <v/>
      </c>
    </row>
    <row r="2314" spans="1:70" ht="14.25" customHeight="1">
      <c r="A2314" s="26"/>
      <c r="C2314" s="26"/>
      <c r="D2314" s="27"/>
      <c r="E2314" s="27"/>
      <c r="BE2314" s="10" t="str">
        <f t="shared" si="360"/>
        <v/>
      </c>
      <c r="BF2314" s="8" t="str">
        <f t="shared" si="361"/>
        <v/>
      </c>
      <c r="BG2314" s="11" t="str">
        <f t="shared" si="362"/>
        <v/>
      </c>
      <c r="BH2314" s="8" t="str">
        <f t="shared" si="363"/>
        <v/>
      </c>
      <c r="BI2314" s="8" t="str">
        <f t="shared" si="364"/>
        <v/>
      </c>
      <c r="BJ2314" s="9" t="str">
        <f t="shared" si="365"/>
        <v/>
      </c>
      <c r="BK2314" s="9" t="str">
        <f>IF($B2314="","",COUNTIFS($B$5:$B2314,$B2314,$BF$5:$BF2314,$BF2314))</f>
        <v/>
      </c>
      <c r="BL2314" s="9" t="str">
        <f>IF($B2314="","",COUNTIFS($B$5:$B2314,$B2314,$BH$5:$BH2314,$BH2314))</f>
        <v/>
      </c>
      <c r="BM2314" s="9" t="str">
        <f t="shared" si="366"/>
        <v/>
      </c>
      <c r="BN2314" s="9" t="str">
        <f t="shared" si="367"/>
        <v/>
      </c>
      <c r="BO2314" s="9">
        <f t="shared" si="368"/>
        <v>0</v>
      </c>
      <c r="BR2314" s="12" t="str">
        <f t="shared" si="369"/>
        <v/>
      </c>
    </row>
    <row r="2315" spans="1:70" ht="14.25" customHeight="1">
      <c r="A2315" s="26"/>
      <c r="C2315" s="26"/>
      <c r="D2315" s="27"/>
      <c r="E2315" s="27"/>
      <c r="BE2315" s="10" t="str">
        <f t="shared" si="360"/>
        <v/>
      </c>
      <c r="BF2315" s="8" t="str">
        <f t="shared" si="361"/>
        <v/>
      </c>
      <c r="BG2315" s="11" t="str">
        <f t="shared" si="362"/>
        <v/>
      </c>
      <c r="BH2315" s="8" t="str">
        <f t="shared" si="363"/>
        <v/>
      </c>
      <c r="BI2315" s="8" t="str">
        <f t="shared" si="364"/>
        <v/>
      </c>
      <c r="BJ2315" s="9" t="str">
        <f t="shared" si="365"/>
        <v/>
      </c>
      <c r="BK2315" s="9" t="str">
        <f>IF($B2315="","",COUNTIFS($B$5:$B2315,$B2315,$BF$5:$BF2315,$BF2315))</f>
        <v/>
      </c>
      <c r="BL2315" s="9" t="str">
        <f>IF($B2315="","",COUNTIFS($B$5:$B2315,$B2315,$BH$5:$BH2315,$BH2315))</f>
        <v/>
      </c>
      <c r="BM2315" s="9" t="str">
        <f t="shared" si="366"/>
        <v/>
      </c>
      <c r="BN2315" s="9" t="str">
        <f t="shared" si="367"/>
        <v/>
      </c>
      <c r="BO2315" s="9">
        <f t="shared" si="368"/>
        <v>0</v>
      </c>
      <c r="BR2315" s="12" t="str">
        <f t="shared" si="369"/>
        <v/>
      </c>
    </row>
    <row r="2316" spans="1:70" ht="14.25" customHeight="1">
      <c r="A2316" s="26"/>
      <c r="C2316" s="26"/>
      <c r="D2316" s="27"/>
      <c r="E2316" s="27"/>
      <c r="BE2316" s="10" t="str">
        <f t="shared" si="360"/>
        <v/>
      </c>
      <c r="BF2316" s="8" t="str">
        <f t="shared" si="361"/>
        <v/>
      </c>
      <c r="BG2316" s="11" t="str">
        <f t="shared" si="362"/>
        <v/>
      </c>
      <c r="BH2316" s="8" t="str">
        <f t="shared" si="363"/>
        <v/>
      </c>
      <c r="BI2316" s="8" t="str">
        <f t="shared" si="364"/>
        <v/>
      </c>
      <c r="BJ2316" s="9" t="str">
        <f t="shared" si="365"/>
        <v/>
      </c>
      <c r="BK2316" s="9" t="str">
        <f>IF($B2316="","",COUNTIFS($B$5:$B2316,$B2316,$BF$5:$BF2316,$BF2316))</f>
        <v/>
      </c>
      <c r="BL2316" s="9" t="str">
        <f>IF($B2316="","",COUNTIFS($B$5:$B2316,$B2316,$BH$5:$BH2316,$BH2316))</f>
        <v/>
      </c>
      <c r="BM2316" s="9" t="str">
        <f t="shared" si="366"/>
        <v/>
      </c>
      <c r="BN2316" s="9" t="str">
        <f t="shared" si="367"/>
        <v/>
      </c>
      <c r="BO2316" s="9">
        <f t="shared" si="368"/>
        <v>0</v>
      </c>
      <c r="BR2316" s="12" t="str">
        <f t="shared" si="369"/>
        <v/>
      </c>
    </row>
    <row r="2317" spans="1:70" ht="14.25" customHeight="1">
      <c r="A2317" s="26"/>
      <c r="C2317" s="26"/>
      <c r="D2317" s="27"/>
      <c r="E2317" s="27"/>
      <c r="BE2317" s="10" t="str">
        <f t="shared" si="360"/>
        <v/>
      </c>
      <c r="BF2317" s="8" t="str">
        <f t="shared" si="361"/>
        <v/>
      </c>
      <c r="BG2317" s="11" t="str">
        <f t="shared" si="362"/>
        <v/>
      </c>
      <c r="BH2317" s="8" t="str">
        <f t="shared" si="363"/>
        <v/>
      </c>
      <c r="BI2317" s="8" t="str">
        <f t="shared" si="364"/>
        <v/>
      </c>
      <c r="BJ2317" s="9" t="str">
        <f t="shared" si="365"/>
        <v/>
      </c>
      <c r="BK2317" s="9" t="str">
        <f>IF($B2317="","",COUNTIFS($B$5:$B2317,$B2317,$BF$5:$BF2317,$BF2317))</f>
        <v/>
      </c>
      <c r="BL2317" s="9" t="str">
        <f>IF($B2317="","",COUNTIFS($B$5:$B2317,$B2317,$BH$5:$BH2317,$BH2317))</f>
        <v/>
      </c>
      <c r="BM2317" s="9" t="str">
        <f t="shared" si="366"/>
        <v/>
      </c>
      <c r="BN2317" s="9" t="str">
        <f t="shared" si="367"/>
        <v/>
      </c>
      <c r="BO2317" s="9">
        <f t="shared" si="368"/>
        <v>0</v>
      </c>
      <c r="BR2317" s="12" t="str">
        <f t="shared" si="369"/>
        <v/>
      </c>
    </row>
    <row r="2318" spans="1:70" ht="14.25" customHeight="1">
      <c r="A2318" s="26"/>
      <c r="C2318" s="26"/>
      <c r="D2318" s="27"/>
      <c r="E2318" s="27"/>
      <c r="BE2318" s="10" t="str">
        <f t="shared" si="360"/>
        <v/>
      </c>
      <c r="BF2318" s="8" t="str">
        <f t="shared" si="361"/>
        <v/>
      </c>
      <c r="BG2318" s="11" t="str">
        <f t="shared" si="362"/>
        <v/>
      </c>
      <c r="BH2318" s="8" t="str">
        <f t="shared" si="363"/>
        <v/>
      </c>
      <c r="BI2318" s="8" t="str">
        <f t="shared" si="364"/>
        <v/>
      </c>
      <c r="BJ2318" s="9" t="str">
        <f t="shared" si="365"/>
        <v/>
      </c>
      <c r="BK2318" s="9" t="str">
        <f>IF($B2318="","",COUNTIFS($B$5:$B2318,$B2318,$BF$5:$BF2318,$BF2318))</f>
        <v/>
      </c>
      <c r="BL2318" s="9" t="str">
        <f>IF($B2318="","",COUNTIFS($B$5:$B2318,$B2318,$BH$5:$BH2318,$BH2318))</f>
        <v/>
      </c>
      <c r="BM2318" s="9" t="str">
        <f t="shared" si="366"/>
        <v/>
      </c>
      <c r="BN2318" s="9" t="str">
        <f t="shared" si="367"/>
        <v/>
      </c>
      <c r="BO2318" s="9">
        <f t="shared" si="368"/>
        <v>0</v>
      </c>
      <c r="BR2318" s="12" t="str">
        <f t="shared" si="369"/>
        <v/>
      </c>
    </row>
    <row r="2319" spans="1:70" ht="14.25" customHeight="1">
      <c r="A2319" s="26"/>
      <c r="C2319" s="26"/>
      <c r="D2319" s="27"/>
      <c r="E2319" s="27"/>
      <c r="BE2319" s="10" t="str">
        <f t="shared" si="360"/>
        <v/>
      </c>
      <c r="BF2319" s="8" t="str">
        <f t="shared" si="361"/>
        <v/>
      </c>
      <c r="BG2319" s="11" t="str">
        <f t="shared" si="362"/>
        <v/>
      </c>
      <c r="BH2319" s="8" t="str">
        <f t="shared" si="363"/>
        <v/>
      </c>
      <c r="BI2319" s="8" t="str">
        <f t="shared" si="364"/>
        <v/>
      </c>
      <c r="BJ2319" s="9" t="str">
        <f t="shared" si="365"/>
        <v/>
      </c>
      <c r="BK2319" s="9" t="str">
        <f>IF($B2319="","",COUNTIFS($B$5:$B2319,$B2319,$BF$5:$BF2319,$BF2319))</f>
        <v/>
      </c>
      <c r="BL2319" s="9" t="str">
        <f>IF($B2319="","",COUNTIFS($B$5:$B2319,$B2319,$BH$5:$BH2319,$BH2319))</f>
        <v/>
      </c>
      <c r="BM2319" s="9" t="str">
        <f t="shared" si="366"/>
        <v/>
      </c>
      <c r="BN2319" s="9" t="str">
        <f t="shared" si="367"/>
        <v/>
      </c>
      <c r="BO2319" s="9">
        <f t="shared" si="368"/>
        <v>0</v>
      </c>
      <c r="BR2319" s="12" t="str">
        <f t="shared" si="369"/>
        <v/>
      </c>
    </row>
    <row r="2320" spans="1:70" ht="14.25" customHeight="1">
      <c r="A2320" s="26"/>
      <c r="C2320" s="26"/>
      <c r="D2320" s="27"/>
      <c r="E2320" s="27"/>
      <c r="BE2320" s="10" t="str">
        <f t="shared" si="360"/>
        <v/>
      </c>
      <c r="BF2320" s="8" t="str">
        <f t="shared" si="361"/>
        <v/>
      </c>
      <c r="BG2320" s="11" t="str">
        <f t="shared" si="362"/>
        <v/>
      </c>
      <c r="BH2320" s="8" t="str">
        <f t="shared" si="363"/>
        <v/>
      </c>
      <c r="BI2320" s="8" t="str">
        <f t="shared" si="364"/>
        <v/>
      </c>
      <c r="BJ2320" s="9" t="str">
        <f t="shared" si="365"/>
        <v/>
      </c>
      <c r="BK2320" s="9" t="str">
        <f>IF($B2320="","",COUNTIFS($B$5:$B2320,$B2320,$BF$5:$BF2320,$BF2320))</f>
        <v/>
      </c>
      <c r="BL2320" s="9" t="str">
        <f>IF($B2320="","",COUNTIFS($B$5:$B2320,$B2320,$BH$5:$BH2320,$BH2320))</f>
        <v/>
      </c>
      <c r="BM2320" s="9" t="str">
        <f t="shared" si="366"/>
        <v/>
      </c>
      <c r="BN2320" s="9" t="str">
        <f t="shared" si="367"/>
        <v/>
      </c>
      <c r="BO2320" s="9">
        <f t="shared" si="368"/>
        <v>0</v>
      </c>
      <c r="BR2320" s="12" t="str">
        <f t="shared" si="369"/>
        <v/>
      </c>
    </row>
    <row r="2321" spans="1:70" ht="14.25" customHeight="1">
      <c r="A2321" s="26"/>
      <c r="C2321" s="26"/>
      <c r="D2321" s="27"/>
      <c r="E2321" s="27"/>
      <c r="BE2321" s="10" t="str">
        <f t="shared" si="360"/>
        <v/>
      </c>
      <c r="BF2321" s="8" t="str">
        <f t="shared" si="361"/>
        <v/>
      </c>
      <c r="BG2321" s="11" t="str">
        <f t="shared" si="362"/>
        <v/>
      </c>
      <c r="BH2321" s="8" t="str">
        <f t="shared" si="363"/>
        <v/>
      </c>
      <c r="BI2321" s="8" t="str">
        <f t="shared" si="364"/>
        <v/>
      </c>
      <c r="BJ2321" s="9" t="str">
        <f t="shared" si="365"/>
        <v/>
      </c>
      <c r="BK2321" s="9" t="str">
        <f>IF($B2321="","",COUNTIFS($B$5:$B2321,$B2321,$BF$5:$BF2321,$BF2321))</f>
        <v/>
      </c>
      <c r="BL2321" s="9" t="str">
        <f>IF($B2321="","",COUNTIFS($B$5:$B2321,$B2321,$BH$5:$BH2321,$BH2321))</f>
        <v/>
      </c>
      <c r="BM2321" s="9" t="str">
        <f t="shared" si="366"/>
        <v/>
      </c>
      <c r="BN2321" s="9" t="str">
        <f t="shared" si="367"/>
        <v/>
      </c>
      <c r="BO2321" s="9">
        <f t="shared" si="368"/>
        <v>0</v>
      </c>
      <c r="BR2321" s="12" t="str">
        <f t="shared" si="369"/>
        <v/>
      </c>
    </row>
    <row r="2322" spans="1:70" ht="14.25" customHeight="1">
      <c r="A2322" s="26"/>
      <c r="C2322" s="26"/>
      <c r="D2322" s="27"/>
      <c r="E2322" s="27"/>
      <c r="BE2322" s="10" t="str">
        <f t="shared" si="360"/>
        <v/>
      </c>
      <c r="BF2322" s="8" t="str">
        <f t="shared" si="361"/>
        <v/>
      </c>
      <c r="BG2322" s="11" t="str">
        <f t="shared" si="362"/>
        <v/>
      </c>
      <c r="BH2322" s="8" t="str">
        <f t="shared" si="363"/>
        <v/>
      </c>
      <c r="BI2322" s="8" t="str">
        <f t="shared" si="364"/>
        <v/>
      </c>
      <c r="BJ2322" s="9" t="str">
        <f t="shared" si="365"/>
        <v/>
      </c>
      <c r="BK2322" s="9" t="str">
        <f>IF($B2322="","",COUNTIFS($B$5:$B2322,$B2322,$BF$5:$BF2322,$BF2322))</f>
        <v/>
      </c>
      <c r="BL2322" s="9" t="str">
        <f>IF($B2322="","",COUNTIFS($B$5:$B2322,$B2322,$BH$5:$BH2322,$BH2322))</f>
        <v/>
      </c>
      <c r="BM2322" s="9" t="str">
        <f t="shared" si="366"/>
        <v/>
      </c>
      <c r="BN2322" s="9" t="str">
        <f t="shared" si="367"/>
        <v/>
      </c>
      <c r="BO2322" s="9">
        <f t="shared" si="368"/>
        <v>0</v>
      </c>
      <c r="BR2322" s="12" t="str">
        <f t="shared" si="369"/>
        <v/>
      </c>
    </row>
    <row r="2323" spans="1:70" ht="14.25" customHeight="1">
      <c r="A2323" s="26"/>
      <c r="C2323" s="26"/>
      <c r="D2323" s="27"/>
      <c r="E2323" s="27"/>
      <c r="BE2323" s="10" t="str">
        <f t="shared" si="360"/>
        <v/>
      </c>
      <c r="BF2323" s="8" t="str">
        <f t="shared" si="361"/>
        <v/>
      </c>
      <c r="BG2323" s="11" t="str">
        <f t="shared" si="362"/>
        <v/>
      </c>
      <c r="BH2323" s="8" t="str">
        <f t="shared" si="363"/>
        <v/>
      </c>
      <c r="BI2323" s="8" t="str">
        <f t="shared" si="364"/>
        <v/>
      </c>
      <c r="BJ2323" s="9" t="str">
        <f t="shared" si="365"/>
        <v/>
      </c>
      <c r="BK2323" s="9" t="str">
        <f>IF($B2323="","",COUNTIFS($B$5:$B2323,$B2323,$BF$5:$BF2323,$BF2323))</f>
        <v/>
      </c>
      <c r="BL2323" s="9" t="str">
        <f>IF($B2323="","",COUNTIFS($B$5:$B2323,$B2323,$BH$5:$BH2323,$BH2323))</f>
        <v/>
      </c>
      <c r="BM2323" s="9" t="str">
        <f t="shared" si="366"/>
        <v/>
      </c>
      <c r="BN2323" s="9" t="str">
        <f t="shared" si="367"/>
        <v/>
      </c>
      <c r="BO2323" s="9">
        <f t="shared" si="368"/>
        <v>0</v>
      </c>
      <c r="BR2323" s="12" t="str">
        <f t="shared" si="369"/>
        <v/>
      </c>
    </row>
    <row r="2324" spans="1:70" ht="14.25" customHeight="1">
      <c r="A2324" s="26"/>
      <c r="C2324" s="26"/>
      <c r="D2324" s="27"/>
      <c r="E2324" s="27"/>
      <c r="BE2324" s="10" t="str">
        <f t="shared" si="360"/>
        <v/>
      </c>
      <c r="BF2324" s="8" t="str">
        <f t="shared" si="361"/>
        <v/>
      </c>
      <c r="BG2324" s="11" t="str">
        <f t="shared" si="362"/>
        <v/>
      </c>
      <c r="BH2324" s="8" t="str">
        <f t="shared" si="363"/>
        <v/>
      </c>
      <c r="BI2324" s="8" t="str">
        <f t="shared" si="364"/>
        <v/>
      </c>
      <c r="BJ2324" s="9" t="str">
        <f t="shared" si="365"/>
        <v/>
      </c>
      <c r="BK2324" s="9" t="str">
        <f>IF($B2324="","",COUNTIFS($B$5:$B2324,$B2324,$BF$5:$BF2324,$BF2324))</f>
        <v/>
      </c>
      <c r="BL2324" s="9" t="str">
        <f>IF($B2324="","",COUNTIFS($B$5:$B2324,$B2324,$BH$5:$BH2324,$BH2324))</f>
        <v/>
      </c>
      <c r="BM2324" s="9" t="str">
        <f t="shared" si="366"/>
        <v/>
      </c>
      <c r="BN2324" s="9" t="str">
        <f t="shared" si="367"/>
        <v/>
      </c>
      <c r="BO2324" s="9">
        <f t="shared" si="368"/>
        <v>0</v>
      </c>
      <c r="BR2324" s="12" t="str">
        <f t="shared" si="369"/>
        <v/>
      </c>
    </row>
    <row r="2325" spans="1:70" ht="14.25" customHeight="1">
      <c r="A2325" s="26"/>
      <c r="C2325" s="26"/>
      <c r="D2325" s="27"/>
      <c r="E2325" s="27"/>
      <c r="BE2325" s="10" t="str">
        <f t="shared" si="360"/>
        <v/>
      </c>
      <c r="BF2325" s="8" t="str">
        <f t="shared" si="361"/>
        <v/>
      </c>
      <c r="BG2325" s="11" t="str">
        <f t="shared" si="362"/>
        <v/>
      </c>
      <c r="BH2325" s="8" t="str">
        <f t="shared" si="363"/>
        <v/>
      </c>
      <c r="BI2325" s="8" t="str">
        <f t="shared" si="364"/>
        <v/>
      </c>
      <c r="BJ2325" s="9" t="str">
        <f t="shared" si="365"/>
        <v/>
      </c>
      <c r="BK2325" s="9" t="str">
        <f>IF($B2325="","",COUNTIFS($B$5:$B2325,$B2325,$BF$5:$BF2325,$BF2325))</f>
        <v/>
      </c>
      <c r="BL2325" s="9" t="str">
        <f>IF($B2325="","",COUNTIFS($B$5:$B2325,$B2325,$BH$5:$BH2325,$BH2325))</f>
        <v/>
      </c>
      <c r="BM2325" s="9" t="str">
        <f t="shared" si="366"/>
        <v/>
      </c>
      <c r="BN2325" s="9" t="str">
        <f t="shared" si="367"/>
        <v/>
      </c>
      <c r="BO2325" s="9">
        <f t="shared" si="368"/>
        <v>0</v>
      </c>
      <c r="BR2325" s="12" t="str">
        <f t="shared" si="369"/>
        <v/>
      </c>
    </row>
    <row r="2326" spans="1:70" ht="14.25" customHeight="1">
      <c r="A2326" s="26"/>
      <c r="C2326" s="26"/>
      <c r="D2326" s="27"/>
      <c r="E2326" s="27"/>
      <c r="BE2326" s="10" t="str">
        <f t="shared" si="360"/>
        <v/>
      </c>
      <c r="BF2326" s="8" t="str">
        <f t="shared" si="361"/>
        <v/>
      </c>
      <c r="BG2326" s="11" t="str">
        <f t="shared" si="362"/>
        <v/>
      </c>
      <c r="BH2326" s="8" t="str">
        <f t="shared" si="363"/>
        <v/>
      </c>
      <c r="BI2326" s="8" t="str">
        <f t="shared" si="364"/>
        <v/>
      </c>
      <c r="BJ2326" s="9" t="str">
        <f t="shared" si="365"/>
        <v/>
      </c>
      <c r="BK2326" s="9" t="str">
        <f>IF($B2326="","",COUNTIFS($B$5:$B2326,$B2326,$BF$5:$BF2326,$BF2326))</f>
        <v/>
      </c>
      <c r="BL2326" s="9" t="str">
        <f>IF($B2326="","",COUNTIFS($B$5:$B2326,$B2326,$BH$5:$BH2326,$BH2326))</f>
        <v/>
      </c>
      <c r="BM2326" s="9" t="str">
        <f t="shared" si="366"/>
        <v/>
      </c>
      <c r="BN2326" s="9" t="str">
        <f t="shared" si="367"/>
        <v/>
      </c>
      <c r="BO2326" s="9">
        <f t="shared" si="368"/>
        <v>0</v>
      </c>
      <c r="BR2326" s="12" t="str">
        <f t="shared" si="369"/>
        <v/>
      </c>
    </row>
    <row r="2327" spans="1:70" ht="14.25" customHeight="1">
      <c r="A2327" s="26"/>
      <c r="C2327" s="26"/>
      <c r="D2327" s="27"/>
      <c r="E2327" s="27"/>
      <c r="BE2327" s="10" t="str">
        <f t="shared" si="360"/>
        <v/>
      </c>
      <c r="BF2327" s="8" t="str">
        <f t="shared" si="361"/>
        <v/>
      </c>
      <c r="BG2327" s="11" t="str">
        <f t="shared" si="362"/>
        <v/>
      </c>
      <c r="BH2327" s="8" t="str">
        <f t="shared" si="363"/>
        <v/>
      </c>
      <c r="BI2327" s="8" t="str">
        <f t="shared" si="364"/>
        <v/>
      </c>
      <c r="BJ2327" s="9" t="str">
        <f t="shared" si="365"/>
        <v/>
      </c>
      <c r="BK2327" s="9" t="str">
        <f>IF($B2327="","",COUNTIFS($B$5:$B2327,$B2327,$BF$5:$BF2327,$BF2327))</f>
        <v/>
      </c>
      <c r="BL2327" s="9" t="str">
        <f>IF($B2327="","",COUNTIFS($B$5:$B2327,$B2327,$BH$5:$BH2327,$BH2327))</f>
        <v/>
      </c>
      <c r="BM2327" s="9" t="str">
        <f t="shared" si="366"/>
        <v/>
      </c>
      <c r="BN2327" s="9" t="str">
        <f t="shared" si="367"/>
        <v/>
      </c>
      <c r="BO2327" s="9">
        <f t="shared" si="368"/>
        <v>0</v>
      </c>
      <c r="BR2327" s="12" t="str">
        <f t="shared" si="369"/>
        <v/>
      </c>
    </row>
    <row r="2328" spans="1:70" ht="14.25" customHeight="1">
      <c r="A2328" s="26"/>
      <c r="C2328" s="26"/>
      <c r="D2328" s="27"/>
      <c r="E2328" s="27"/>
      <c r="BE2328" s="10" t="str">
        <f t="shared" si="360"/>
        <v/>
      </c>
      <c r="BF2328" s="8" t="str">
        <f t="shared" si="361"/>
        <v/>
      </c>
      <c r="BG2328" s="11" t="str">
        <f t="shared" si="362"/>
        <v/>
      </c>
      <c r="BH2328" s="8" t="str">
        <f t="shared" si="363"/>
        <v/>
      </c>
      <c r="BI2328" s="8" t="str">
        <f t="shared" si="364"/>
        <v/>
      </c>
      <c r="BJ2328" s="9" t="str">
        <f t="shared" si="365"/>
        <v/>
      </c>
      <c r="BK2328" s="9" t="str">
        <f>IF($B2328="","",COUNTIFS($B$5:$B2328,$B2328,$BF$5:$BF2328,$BF2328))</f>
        <v/>
      </c>
      <c r="BL2328" s="9" t="str">
        <f>IF($B2328="","",COUNTIFS($B$5:$B2328,$B2328,$BH$5:$BH2328,$BH2328))</f>
        <v/>
      </c>
      <c r="BM2328" s="9" t="str">
        <f t="shared" si="366"/>
        <v/>
      </c>
      <c r="BN2328" s="9" t="str">
        <f t="shared" si="367"/>
        <v/>
      </c>
      <c r="BO2328" s="9">
        <f t="shared" si="368"/>
        <v>0</v>
      </c>
      <c r="BR2328" s="12" t="str">
        <f t="shared" si="369"/>
        <v/>
      </c>
    </row>
    <row r="2329" spans="1:70" ht="14.25" customHeight="1">
      <c r="A2329" s="26"/>
      <c r="C2329" s="26"/>
      <c r="D2329" s="27"/>
      <c r="E2329" s="27"/>
      <c r="BE2329" s="10" t="str">
        <f t="shared" si="360"/>
        <v/>
      </c>
      <c r="BF2329" s="8" t="str">
        <f t="shared" si="361"/>
        <v/>
      </c>
      <c r="BG2329" s="11" t="str">
        <f t="shared" si="362"/>
        <v/>
      </c>
      <c r="BH2329" s="8" t="str">
        <f t="shared" si="363"/>
        <v/>
      </c>
      <c r="BI2329" s="8" t="str">
        <f t="shared" si="364"/>
        <v/>
      </c>
      <c r="BJ2329" s="9" t="str">
        <f t="shared" si="365"/>
        <v/>
      </c>
      <c r="BK2329" s="9" t="str">
        <f>IF($B2329="","",COUNTIFS($B$5:$B2329,$B2329,$BF$5:$BF2329,$BF2329))</f>
        <v/>
      </c>
      <c r="BL2329" s="9" t="str">
        <f>IF($B2329="","",COUNTIFS($B$5:$B2329,$B2329,$BH$5:$BH2329,$BH2329))</f>
        <v/>
      </c>
      <c r="BM2329" s="9" t="str">
        <f t="shared" si="366"/>
        <v/>
      </c>
      <c r="BN2329" s="9" t="str">
        <f t="shared" si="367"/>
        <v/>
      </c>
      <c r="BO2329" s="9">
        <f t="shared" si="368"/>
        <v>0</v>
      </c>
      <c r="BR2329" s="12" t="str">
        <f t="shared" si="369"/>
        <v/>
      </c>
    </row>
    <row r="2330" spans="1:70" ht="14.25" customHeight="1">
      <c r="A2330" s="26"/>
      <c r="C2330" s="26"/>
      <c r="D2330" s="27"/>
      <c r="E2330" s="27"/>
      <c r="BE2330" s="10" t="str">
        <f t="shared" si="360"/>
        <v/>
      </c>
      <c r="BF2330" s="8" t="str">
        <f t="shared" si="361"/>
        <v/>
      </c>
      <c r="BG2330" s="11" t="str">
        <f t="shared" si="362"/>
        <v/>
      </c>
      <c r="BH2330" s="8" t="str">
        <f t="shared" si="363"/>
        <v/>
      </c>
      <c r="BI2330" s="8" t="str">
        <f t="shared" si="364"/>
        <v/>
      </c>
      <c r="BJ2330" s="9" t="str">
        <f t="shared" si="365"/>
        <v/>
      </c>
      <c r="BK2330" s="9" t="str">
        <f>IF($B2330="","",COUNTIFS($B$5:$B2330,$B2330,$BF$5:$BF2330,$BF2330))</f>
        <v/>
      </c>
      <c r="BL2330" s="9" t="str">
        <f>IF($B2330="","",COUNTIFS($B$5:$B2330,$B2330,$BH$5:$BH2330,$BH2330))</f>
        <v/>
      </c>
      <c r="BM2330" s="9" t="str">
        <f t="shared" si="366"/>
        <v/>
      </c>
      <c r="BN2330" s="9" t="str">
        <f t="shared" si="367"/>
        <v/>
      </c>
      <c r="BO2330" s="9">
        <f t="shared" si="368"/>
        <v>0</v>
      </c>
      <c r="BR2330" s="12" t="str">
        <f t="shared" si="369"/>
        <v/>
      </c>
    </row>
    <row r="2331" spans="1:70" ht="14.25" customHeight="1">
      <c r="A2331" s="26"/>
      <c r="C2331" s="26"/>
      <c r="D2331" s="27"/>
      <c r="E2331" s="27"/>
      <c r="BE2331" s="10" t="str">
        <f t="shared" si="360"/>
        <v/>
      </c>
      <c r="BF2331" s="8" t="str">
        <f t="shared" si="361"/>
        <v/>
      </c>
      <c r="BG2331" s="11" t="str">
        <f t="shared" si="362"/>
        <v/>
      </c>
      <c r="BH2331" s="8" t="str">
        <f t="shared" si="363"/>
        <v/>
      </c>
      <c r="BI2331" s="8" t="str">
        <f t="shared" si="364"/>
        <v/>
      </c>
      <c r="BJ2331" s="9" t="str">
        <f t="shared" si="365"/>
        <v/>
      </c>
      <c r="BK2331" s="9" t="str">
        <f>IF($B2331="","",COUNTIFS($B$5:$B2331,$B2331,$BF$5:$BF2331,$BF2331))</f>
        <v/>
      </c>
      <c r="BL2331" s="9" t="str">
        <f>IF($B2331="","",COUNTIFS($B$5:$B2331,$B2331,$BH$5:$BH2331,$BH2331))</f>
        <v/>
      </c>
      <c r="BM2331" s="9" t="str">
        <f t="shared" si="366"/>
        <v/>
      </c>
      <c r="BN2331" s="9" t="str">
        <f t="shared" si="367"/>
        <v/>
      </c>
      <c r="BO2331" s="9">
        <f t="shared" si="368"/>
        <v>0</v>
      </c>
      <c r="BR2331" s="12" t="str">
        <f t="shared" si="369"/>
        <v/>
      </c>
    </row>
    <row r="2332" spans="1:70" ht="14.25" customHeight="1">
      <c r="A2332" s="26"/>
      <c r="C2332" s="26"/>
      <c r="D2332" s="27"/>
      <c r="E2332" s="27"/>
      <c r="BE2332" s="10" t="str">
        <f t="shared" si="360"/>
        <v/>
      </c>
      <c r="BF2332" s="8" t="str">
        <f t="shared" si="361"/>
        <v/>
      </c>
      <c r="BG2332" s="11" t="str">
        <f t="shared" si="362"/>
        <v/>
      </c>
      <c r="BH2332" s="8" t="str">
        <f t="shared" si="363"/>
        <v/>
      </c>
      <c r="BI2332" s="8" t="str">
        <f t="shared" si="364"/>
        <v/>
      </c>
      <c r="BJ2332" s="9" t="str">
        <f t="shared" si="365"/>
        <v/>
      </c>
      <c r="BK2332" s="9" t="str">
        <f>IF($B2332="","",COUNTIFS($B$5:$B2332,$B2332,$BF$5:$BF2332,$BF2332))</f>
        <v/>
      </c>
      <c r="BL2332" s="9" t="str">
        <f>IF($B2332="","",COUNTIFS($B$5:$B2332,$B2332,$BH$5:$BH2332,$BH2332))</f>
        <v/>
      </c>
      <c r="BM2332" s="9" t="str">
        <f t="shared" si="366"/>
        <v/>
      </c>
      <c r="BN2332" s="9" t="str">
        <f t="shared" si="367"/>
        <v/>
      </c>
      <c r="BO2332" s="9">
        <f t="shared" si="368"/>
        <v>0</v>
      </c>
      <c r="BR2332" s="12" t="str">
        <f t="shared" si="369"/>
        <v/>
      </c>
    </row>
    <row r="2333" spans="1:70" ht="14.25" customHeight="1">
      <c r="A2333" s="26"/>
      <c r="C2333" s="26"/>
      <c r="D2333" s="27"/>
      <c r="E2333" s="27"/>
      <c r="BE2333" s="10" t="str">
        <f t="shared" ref="BE2333:BE2396" si="370">IF($B2333="","",IF(COUNT($H2333,$J2333,$L2333,$N2333,$P2333,$R2333)&gt;0,SUM($H2333,$J2333,$L2333,$N2333,$P2333,$R2333),SUM($T2333,$V2333,$X2333,$Z2333,$AB2333,$AD2333,$AF2333,$AH2333,$AJ2333,$AL2333,$AN2333,$AP2333,$AR2333,$AT2333,$AV2333,$AX2333,$AZ2333)))</f>
        <v/>
      </c>
      <c r="BF2333" s="8" t="str">
        <f t="shared" ref="BF2333:BF2396" si="371">IF($C2333="","",DATE(YEAR($C2333),MONTH($C2333),1))</f>
        <v/>
      </c>
      <c r="BG2333" s="11" t="str">
        <f t="shared" ref="BG2333:BG2396" si="372">IF($BF2333="","",TEXT($BF2333,"mmmm yyyy"))</f>
        <v/>
      </c>
      <c r="BH2333" s="8" t="str">
        <f t="shared" ref="BH2333:BH2396" si="373">IF($C2333="","",$C2333-WEEKDAY($C2333,2)+1)</f>
        <v/>
      </c>
      <c r="BI2333" s="8" t="str">
        <f t="shared" ref="BI2333:BI2396" si="374">IF($BH2333="","",$BH2333+6)</f>
        <v/>
      </c>
      <c r="BJ2333" s="9" t="str">
        <f t="shared" ref="BJ2333:BJ2396" si="375">IF($BH2333="","",TEXT($BH2333,"dd/mm/yyyy")&amp;" - "&amp;TEXT($BI2333,"dd/mm/yyyy"))</f>
        <v/>
      </c>
      <c r="BK2333" s="9" t="str">
        <f>IF($B2333="","",COUNTIFS($B$5:$B2333,$B2333,$BF$5:$BF2333,$BF2333))</f>
        <v/>
      </c>
      <c r="BL2333" s="9" t="str">
        <f>IF($B2333="","",COUNTIFS($B$5:$B2333,$B2333,$BH$5:$BH2333,$BH2333))</f>
        <v/>
      </c>
      <c r="BM2333" s="9" t="str">
        <f t="shared" ref="BM2333:BM2396" si="376">IF($B2333="","",TEXT($BK2333,"00")&amp;"|"&amp;$B2333&amp;"|"&amp;TEXT($BF2333,"yyyymmdd"))</f>
        <v/>
      </c>
      <c r="BN2333" s="9" t="str">
        <f t="shared" ref="BN2333:BN2396" si="377">IF($B2333="","",TEXT($BL2333,"00")&amp;"|"&amp;$B2333&amp;"|"&amp;TEXT($BH2333,"yyyymmdd"))</f>
        <v/>
      </c>
      <c r="BO2333" s="9">
        <f t="shared" ref="BO2333:BO2396" si="378">IF(OR($BB2333="YES",$BB2333="Yes",$BB2333="Y",$BB2333=1),1,0)</f>
        <v>0</v>
      </c>
      <c r="BR2333" s="12" t="str">
        <f t="shared" ref="BR2333:BR2396" si="379">IF($C2333="","",IF($C2333&gt;=DATE(2026,6,1),"QA-2026-06",IF($C2333&gt;=DATE(2026,5,1),"May 2026+",IF($C2333&gt;=DATE(2026,4,1),"April 2026",IF($C2333&gt;=DATE(2026,3,1),"March 2026","Jan-Feb 2026")))))</f>
        <v/>
      </c>
    </row>
    <row r="2334" spans="1:70" ht="14.25" customHeight="1">
      <c r="A2334" s="26"/>
      <c r="C2334" s="26"/>
      <c r="D2334" s="27"/>
      <c r="E2334" s="27"/>
      <c r="BE2334" s="10" t="str">
        <f t="shared" si="370"/>
        <v/>
      </c>
      <c r="BF2334" s="8" t="str">
        <f t="shared" si="371"/>
        <v/>
      </c>
      <c r="BG2334" s="11" t="str">
        <f t="shared" si="372"/>
        <v/>
      </c>
      <c r="BH2334" s="8" t="str">
        <f t="shared" si="373"/>
        <v/>
      </c>
      <c r="BI2334" s="8" t="str">
        <f t="shared" si="374"/>
        <v/>
      </c>
      <c r="BJ2334" s="9" t="str">
        <f t="shared" si="375"/>
        <v/>
      </c>
      <c r="BK2334" s="9" t="str">
        <f>IF($B2334="","",COUNTIFS($B$5:$B2334,$B2334,$BF$5:$BF2334,$BF2334))</f>
        <v/>
      </c>
      <c r="BL2334" s="9" t="str">
        <f>IF($B2334="","",COUNTIFS($B$5:$B2334,$B2334,$BH$5:$BH2334,$BH2334))</f>
        <v/>
      </c>
      <c r="BM2334" s="9" t="str">
        <f t="shared" si="376"/>
        <v/>
      </c>
      <c r="BN2334" s="9" t="str">
        <f t="shared" si="377"/>
        <v/>
      </c>
      <c r="BO2334" s="9">
        <f t="shared" si="378"/>
        <v>0</v>
      </c>
      <c r="BR2334" s="12" t="str">
        <f t="shared" si="379"/>
        <v/>
      </c>
    </row>
    <row r="2335" spans="1:70" ht="14.25" customHeight="1">
      <c r="A2335" s="26"/>
      <c r="C2335" s="26"/>
      <c r="D2335" s="27"/>
      <c r="E2335" s="27"/>
      <c r="BE2335" s="10" t="str">
        <f t="shared" si="370"/>
        <v/>
      </c>
      <c r="BF2335" s="8" t="str">
        <f t="shared" si="371"/>
        <v/>
      </c>
      <c r="BG2335" s="11" t="str">
        <f t="shared" si="372"/>
        <v/>
      </c>
      <c r="BH2335" s="8" t="str">
        <f t="shared" si="373"/>
        <v/>
      </c>
      <c r="BI2335" s="8" t="str">
        <f t="shared" si="374"/>
        <v/>
      </c>
      <c r="BJ2335" s="9" t="str">
        <f t="shared" si="375"/>
        <v/>
      </c>
      <c r="BK2335" s="9" t="str">
        <f>IF($B2335="","",COUNTIFS($B$5:$B2335,$B2335,$BF$5:$BF2335,$BF2335))</f>
        <v/>
      </c>
      <c r="BL2335" s="9" t="str">
        <f>IF($B2335="","",COUNTIFS($B$5:$B2335,$B2335,$BH$5:$BH2335,$BH2335))</f>
        <v/>
      </c>
      <c r="BM2335" s="9" t="str">
        <f t="shared" si="376"/>
        <v/>
      </c>
      <c r="BN2335" s="9" t="str">
        <f t="shared" si="377"/>
        <v/>
      </c>
      <c r="BO2335" s="9">
        <f t="shared" si="378"/>
        <v>0</v>
      </c>
      <c r="BR2335" s="12" t="str">
        <f t="shared" si="379"/>
        <v/>
      </c>
    </row>
    <row r="2336" spans="1:70" ht="14.25" customHeight="1">
      <c r="A2336" s="26"/>
      <c r="C2336" s="26"/>
      <c r="D2336" s="27"/>
      <c r="E2336" s="27"/>
      <c r="BE2336" s="10" t="str">
        <f t="shared" si="370"/>
        <v/>
      </c>
      <c r="BF2336" s="8" t="str">
        <f t="shared" si="371"/>
        <v/>
      </c>
      <c r="BG2336" s="11" t="str">
        <f t="shared" si="372"/>
        <v/>
      </c>
      <c r="BH2336" s="8" t="str">
        <f t="shared" si="373"/>
        <v/>
      </c>
      <c r="BI2336" s="8" t="str">
        <f t="shared" si="374"/>
        <v/>
      </c>
      <c r="BJ2336" s="9" t="str">
        <f t="shared" si="375"/>
        <v/>
      </c>
      <c r="BK2336" s="9" t="str">
        <f>IF($B2336="","",COUNTIFS($B$5:$B2336,$B2336,$BF$5:$BF2336,$BF2336))</f>
        <v/>
      </c>
      <c r="BL2336" s="9" t="str">
        <f>IF($B2336="","",COUNTIFS($B$5:$B2336,$B2336,$BH$5:$BH2336,$BH2336))</f>
        <v/>
      </c>
      <c r="BM2336" s="9" t="str">
        <f t="shared" si="376"/>
        <v/>
      </c>
      <c r="BN2336" s="9" t="str">
        <f t="shared" si="377"/>
        <v/>
      </c>
      <c r="BO2336" s="9">
        <f t="shared" si="378"/>
        <v>0</v>
      </c>
      <c r="BR2336" s="12" t="str">
        <f t="shared" si="379"/>
        <v/>
      </c>
    </row>
    <row r="2337" spans="1:70" ht="14.25" customHeight="1">
      <c r="A2337" s="26"/>
      <c r="C2337" s="26"/>
      <c r="D2337" s="27"/>
      <c r="E2337" s="27"/>
      <c r="BE2337" s="10" t="str">
        <f t="shared" si="370"/>
        <v/>
      </c>
      <c r="BF2337" s="8" t="str">
        <f t="shared" si="371"/>
        <v/>
      </c>
      <c r="BG2337" s="11" t="str">
        <f t="shared" si="372"/>
        <v/>
      </c>
      <c r="BH2337" s="8" t="str">
        <f t="shared" si="373"/>
        <v/>
      </c>
      <c r="BI2337" s="8" t="str">
        <f t="shared" si="374"/>
        <v/>
      </c>
      <c r="BJ2337" s="9" t="str">
        <f t="shared" si="375"/>
        <v/>
      </c>
      <c r="BK2337" s="9" t="str">
        <f>IF($B2337="","",COUNTIFS($B$5:$B2337,$B2337,$BF$5:$BF2337,$BF2337))</f>
        <v/>
      </c>
      <c r="BL2337" s="9" t="str">
        <f>IF($B2337="","",COUNTIFS($B$5:$B2337,$B2337,$BH$5:$BH2337,$BH2337))</f>
        <v/>
      </c>
      <c r="BM2337" s="9" t="str">
        <f t="shared" si="376"/>
        <v/>
      </c>
      <c r="BN2337" s="9" t="str">
        <f t="shared" si="377"/>
        <v/>
      </c>
      <c r="BO2337" s="9">
        <f t="shared" si="378"/>
        <v>0</v>
      </c>
      <c r="BR2337" s="12" t="str">
        <f t="shared" si="379"/>
        <v/>
      </c>
    </row>
    <row r="2338" spans="1:70" ht="14.25" customHeight="1">
      <c r="A2338" s="26"/>
      <c r="C2338" s="26"/>
      <c r="D2338" s="27"/>
      <c r="E2338" s="27"/>
      <c r="BE2338" s="10" t="str">
        <f t="shared" si="370"/>
        <v/>
      </c>
      <c r="BF2338" s="8" t="str">
        <f t="shared" si="371"/>
        <v/>
      </c>
      <c r="BG2338" s="11" t="str">
        <f t="shared" si="372"/>
        <v/>
      </c>
      <c r="BH2338" s="8" t="str">
        <f t="shared" si="373"/>
        <v/>
      </c>
      <c r="BI2338" s="8" t="str">
        <f t="shared" si="374"/>
        <v/>
      </c>
      <c r="BJ2338" s="9" t="str">
        <f t="shared" si="375"/>
        <v/>
      </c>
      <c r="BK2338" s="9" t="str">
        <f>IF($B2338="","",COUNTIFS($B$5:$B2338,$B2338,$BF$5:$BF2338,$BF2338))</f>
        <v/>
      </c>
      <c r="BL2338" s="9" t="str">
        <f>IF($B2338="","",COUNTIFS($B$5:$B2338,$B2338,$BH$5:$BH2338,$BH2338))</f>
        <v/>
      </c>
      <c r="BM2338" s="9" t="str">
        <f t="shared" si="376"/>
        <v/>
      </c>
      <c r="BN2338" s="9" t="str">
        <f t="shared" si="377"/>
        <v/>
      </c>
      <c r="BO2338" s="9">
        <f t="shared" si="378"/>
        <v>0</v>
      </c>
      <c r="BR2338" s="12" t="str">
        <f t="shared" si="379"/>
        <v/>
      </c>
    </row>
    <row r="2339" spans="1:70" ht="14.25" customHeight="1">
      <c r="A2339" s="26"/>
      <c r="C2339" s="26"/>
      <c r="D2339" s="27"/>
      <c r="E2339" s="27"/>
      <c r="BE2339" s="10" t="str">
        <f t="shared" si="370"/>
        <v/>
      </c>
      <c r="BF2339" s="8" t="str">
        <f t="shared" si="371"/>
        <v/>
      </c>
      <c r="BG2339" s="11" t="str">
        <f t="shared" si="372"/>
        <v/>
      </c>
      <c r="BH2339" s="8" t="str">
        <f t="shared" si="373"/>
        <v/>
      </c>
      <c r="BI2339" s="8" t="str">
        <f t="shared" si="374"/>
        <v/>
      </c>
      <c r="BJ2339" s="9" t="str">
        <f t="shared" si="375"/>
        <v/>
      </c>
      <c r="BK2339" s="9" t="str">
        <f>IF($B2339="","",COUNTIFS($B$5:$B2339,$B2339,$BF$5:$BF2339,$BF2339))</f>
        <v/>
      </c>
      <c r="BL2339" s="9" t="str">
        <f>IF($B2339="","",COUNTIFS($B$5:$B2339,$B2339,$BH$5:$BH2339,$BH2339))</f>
        <v/>
      </c>
      <c r="BM2339" s="9" t="str">
        <f t="shared" si="376"/>
        <v/>
      </c>
      <c r="BN2339" s="9" t="str">
        <f t="shared" si="377"/>
        <v/>
      </c>
      <c r="BO2339" s="9">
        <f t="shared" si="378"/>
        <v>0</v>
      </c>
      <c r="BR2339" s="12" t="str">
        <f t="shared" si="379"/>
        <v/>
      </c>
    </row>
    <row r="2340" spans="1:70" ht="14.25" customHeight="1">
      <c r="A2340" s="26"/>
      <c r="C2340" s="26"/>
      <c r="D2340" s="27"/>
      <c r="E2340" s="27"/>
      <c r="BE2340" s="10" t="str">
        <f t="shared" si="370"/>
        <v/>
      </c>
      <c r="BF2340" s="8" t="str">
        <f t="shared" si="371"/>
        <v/>
      </c>
      <c r="BG2340" s="11" t="str">
        <f t="shared" si="372"/>
        <v/>
      </c>
      <c r="BH2340" s="8" t="str">
        <f t="shared" si="373"/>
        <v/>
      </c>
      <c r="BI2340" s="8" t="str">
        <f t="shared" si="374"/>
        <v/>
      </c>
      <c r="BJ2340" s="9" t="str">
        <f t="shared" si="375"/>
        <v/>
      </c>
      <c r="BK2340" s="9" t="str">
        <f>IF($B2340="","",COUNTIFS($B$5:$B2340,$B2340,$BF$5:$BF2340,$BF2340))</f>
        <v/>
      </c>
      <c r="BL2340" s="9" t="str">
        <f>IF($B2340="","",COUNTIFS($B$5:$B2340,$B2340,$BH$5:$BH2340,$BH2340))</f>
        <v/>
      </c>
      <c r="BM2340" s="9" t="str">
        <f t="shared" si="376"/>
        <v/>
      </c>
      <c r="BN2340" s="9" t="str">
        <f t="shared" si="377"/>
        <v/>
      </c>
      <c r="BO2340" s="9">
        <f t="shared" si="378"/>
        <v>0</v>
      </c>
      <c r="BR2340" s="12" t="str">
        <f t="shared" si="379"/>
        <v/>
      </c>
    </row>
    <row r="2341" spans="1:70" ht="14.25" customHeight="1">
      <c r="A2341" s="26"/>
      <c r="C2341" s="26"/>
      <c r="D2341" s="27"/>
      <c r="E2341" s="27"/>
      <c r="BE2341" s="10" t="str">
        <f t="shared" si="370"/>
        <v/>
      </c>
      <c r="BF2341" s="8" t="str">
        <f t="shared" si="371"/>
        <v/>
      </c>
      <c r="BG2341" s="11" t="str">
        <f t="shared" si="372"/>
        <v/>
      </c>
      <c r="BH2341" s="8" t="str">
        <f t="shared" si="373"/>
        <v/>
      </c>
      <c r="BI2341" s="8" t="str">
        <f t="shared" si="374"/>
        <v/>
      </c>
      <c r="BJ2341" s="9" t="str">
        <f t="shared" si="375"/>
        <v/>
      </c>
      <c r="BK2341" s="9" t="str">
        <f>IF($B2341="","",COUNTIFS($B$5:$B2341,$B2341,$BF$5:$BF2341,$BF2341))</f>
        <v/>
      </c>
      <c r="BL2341" s="9" t="str">
        <f>IF($B2341="","",COUNTIFS($B$5:$B2341,$B2341,$BH$5:$BH2341,$BH2341))</f>
        <v/>
      </c>
      <c r="BM2341" s="9" t="str">
        <f t="shared" si="376"/>
        <v/>
      </c>
      <c r="BN2341" s="9" t="str">
        <f t="shared" si="377"/>
        <v/>
      </c>
      <c r="BO2341" s="9">
        <f t="shared" si="378"/>
        <v>0</v>
      </c>
      <c r="BR2341" s="12" t="str">
        <f t="shared" si="379"/>
        <v/>
      </c>
    </row>
    <row r="2342" spans="1:70" ht="14.25" customHeight="1">
      <c r="A2342" s="26"/>
      <c r="C2342" s="26"/>
      <c r="D2342" s="27"/>
      <c r="E2342" s="27"/>
      <c r="BE2342" s="10" t="str">
        <f t="shared" si="370"/>
        <v/>
      </c>
      <c r="BF2342" s="8" t="str">
        <f t="shared" si="371"/>
        <v/>
      </c>
      <c r="BG2342" s="11" t="str">
        <f t="shared" si="372"/>
        <v/>
      </c>
      <c r="BH2342" s="8" t="str">
        <f t="shared" si="373"/>
        <v/>
      </c>
      <c r="BI2342" s="8" t="str">
        <f t="shared" si="374"/>
        <v/>
      </c>
      <c r="BJ2342" s="9" t="str">
        <f t="shared" si="375"/>
        <v/>
      </c>
      <c r="BK2342" s="9" t="str">
        <f>IF($B2342="","",COUNTIFS($B$5:$B2342,$B2342,$BF$5:$BF2342,$BF2342))</f>
        <v/>
      </c>
      <c r="BL2342" s="9" t="str">
        <f>IF($B2342="","",COUNTIFS($B$5:$B2342,$B2342,$BH$5:$BH2342,$BH2342))</f>
        <v/>
      </c>
      <c r="BM2342" s="9" t="str">
        <f t="shared" si="376"/>
        <v/>
      </c>
      <c r="BN2342" s="9" t="str">
        <f t="shared" si="377"/>
        <v/>
      </c>
      <c r="BO2342" s="9">
        <f t="shared" si="378"/>
        <v>0</v>
      </c>
      <c r="BR2342" s="12" t="str">
        <f t="shared" si="379"/>
        <v/>
      </c>
    </row>
    <row r="2343" spans="1:70" ht="14.25" customHeight="1">
      <c r="A2343" s="26"/>
      <c r="C2343" s="26"/>
      <c r="D2343" s="27"/>
      <c r="E2343" s="27"/>
      <c r="BE2343" s="10" t="str">
        <f t="shared" si="370"/>
        <v/>
      </c>
      <c r="BF2343" s="8" t="str">
        <f t="shared" si="371"/>
        <v/>
      </c>
      <c r="BG2343" s="11" t="str">
        <f t="shared" si="372"/>
        <v/>
      </c>
      <c r="BH2343" s="8" t="str">
        <f t="shared" si="373"/>
        <v/>
      </c>
      <c r="BI2343" s="8" t="str">
        <f t="shared" si="374"/>
        <v/>
      </c>
      <c r="BJ2343" s="9" t="str">
        <f t="shared" si="375"/>
        <v/>
      </c>
      <c r="BK2343" s="9" t="str">
        <f>IF($B2343="","",COUNTIFS($B$5:$B2343,$B2343,$BF$5:$BF2343,$BF2343))</f>
        <v/>
      </c>
      <c r="BL2343" s="9" t="str">
        <f>IF($B2343="","",COUNTIFS($B$5:$B2343,$B2343,$BH$5:$BH2343,$BH2343))</f>
        <v/>
      </c>
      <c r="BM2343" s="9" t="str">
        <f t="shared" si="376"/>
        <v/>
      </c>
      <c r="BN2343" s="9" t="str">
        <f t="shared" si="377"/>
        <v/>
      </c>
      <c r="BO2343" s="9">
        <f t="shared" si="378"/>
        <v>0</v>
      </c>
      <c r="BR2343" s="12" t="str">
        <f t="shared" si="379"/>
        <v/>
      </c>
    </row>
    <row r="2344" spans="1:70" ht="14.25" customHeight="1">
      <c r="A2344" s="26"/>
      <c r="C2344" s="26"/>
      <c r="D2344" s="27"/>
      <c r="E2344" s="27"/>
      <c r="BE2344" s="10" t="str">
        <f t="shared" si="370"/>
        <v/>
      </c>
      <c r="BF2344" s="8" t="str">
        <f t="shared" si="371"/>
        <v/>
      </c>
      <c r="BG2344" s="11" t="str">
        <f t="shared" si="372"/>
        <v/>
      </c>
      <c r="BH2344" s="8" t="str">
        <f t="shared" si="373"/>
        <v/>
      </c>
      <c r="BI2344" s="8" t="str">
        <f t="shared" si="374"/>
        <v/>
      </c>
      <c r="BJ2344" s="9" t="str">
        <f t="shared" si="375"/>
        <v/>
      </c>
      <c r="BK2344" s="9" t="str">
        <f>IF($B2344="","",COUNTIFS($B$5:$B2344,$B2344,$BF$5:$BF2344,$BF2344))</f>
        <v/>
      </c>
      <c r="BL2344" s="9" t="str">
        <f>IF($B2344="","",COUNTIFS($B$5:$B2344,$B2344,$BH$5:$BH2344,$BH2344))</f>
        <v/>
      </c>
      <c r="BM2344" s="9" t="str">
        <f t="shared" si="376"/>
        <v/>
      </c>
      <c r="BN2344" s="9" t="str">
        <f t="shared" si="377"/>
        <v/>
      </c>
      <c r="BO2344" s="9">
        <f t="shared" si="378"/>
        <v>0</v>
      </c>
      <c r="BR2344" s="12" t="str">
        <f t="shared" si="379"/>
        <v/>
      </c>
    </row>
    <row r="2345" spans="1:70" ht="14.25" customHeight="1">
      <c r="A2345" s="26"/>
      <c r="C2345" s="26"/>
      <c r="D2345" s="27"/>
      <c r="E2345" s="27"/>
      <c r="BE2345" s="10" t="str">
        <f t="shared" si="370"/>
        <v/>
      </c>
      <c r="BF2345" s="8" t="str">
        <f t="shared" si="371"/>
        <v/>
      </c>
      <c r="BG2345" s="11" t="str">
        <f t="shared" si="372"/>
        <v/>
      </c>
      <c r="BH2345" s="8" t="str">
        <f t="shared" si="373"/>
        <v/>
      </c>
      <c r="BI2345" s="8" t="str">
        <f t="shared" si="374"/>
        <v/>
      </c>
      <c r="BJ2345" s="9" t="str">
        <f t="shared" si="375"/>
        <v/>
      </c>
      <c r="BK2345" s="9" t="str">
        <f>IF($B2345="","",COUNTIFS($B$5:$B2345,$B2345,$BF$5:$BF2345,$BF2345))</f>
        <v/>
      </c>
      <c r="BL2345" s="9" t="str">
        <f>IF($B2345="","",COUNTIFS($B$5:$B2345,$B2345,$BH$5:$BH2345,$BH2345))</f>
        <v/>
      </c>
      <c r="BM2345" s="9" t="str">
        <f t="shared" si="376"/>
        <v/>
      </c>
      <c r="BN2345" s="9" t="str">
        <f t="shared" si="377"/>
        <v/>
      </c>
      <c r="BO2345" s="9">
        <f t="shared" si="378"/>
        <v>0</v>
      </c>
      <c r="BR2345" s="12" t="str">
        <f t="shared" si="379"/>
        <v/>
      </c>
    </row>
    <row r="2346" spans="1:70" ht="14.25" customHeight="1">
      <c r="A2346" s="26"/>
      <c r="C2346" s="26"/>
      <c r="D2346" s="27"/>
      <c r="E2346" s="27"/>
      <c r="BE2346" s="10" t="str">
        <f t="shared" si="370"/>
        <v/>
      </c>
      <c r="BF2346" s="8" t="str">
        <f t="shared" si="371"/>
        <v/>
      </c>
      <c r="BG2346" s="11" t="str">
        <f t="shared" si="372"/>
        <v/>
      </c>
      <c r="BH2346" s="8" t="str">
        <f t="shared" si="373"/>
        <v/>
      </c>
      <c r="BI2346" s="8" t="str">
        <f t="shared" si="374"/>
        <v/>
      </c>
      <c r="BJ2346" s="9" t="str">
        <f t="shared" si="375"/>
        <v/>
      </c>
      <c r="BK2346" s="9" t="str">
        <f>IF($B2346="","",COUNTIFS($B$5:$B2346,$B2346,$BF$5:$BF2346,$BF2346))</f>
        <v/>
      </c>
      <c r="BL2346" s="9" t="str">
        <f>IF($B2346="","",COUNTIFS($B$5:$B2346,$B2346,$BH$5:$BH2346,$BH2346))</f>
        <v/>
      </c>
      <c r="BM2346" s="9" t="str">
        <f t="shared" si="376"/>
        <v/>
      </c>
      <c r="BN2346" s="9" t="str">
        <f t="shared" si="377"/>
        <v/>
      </c>
      <c r="BO2346" s="9">
        <f t="shared" si="378"/>
        <v>0</v>
      </c>
      <c r="BR2346" s="12" t="str">
        <f t="shared" si="379"/>
        <v/>
      </c>
    </row>
    <row r="2347" spans="1:70" ht="14.25" customHeight="1">
      <c r="A2347" s="26"/>
      <c r="C2347" s="26"/>
      <c r="D2347" s="27"/>
      <c r="E2347" s="27"/>
      <c r="BE2347" s="10" t="str">
        <f t="shared" si="370"/>
        <v/>
      </c>
      <c r="BF2347" s="8" t="str">
        <f t="shared" si="371"/>
        <v/>
      </c>
      <c r="BG2347" s="11" t="str">
        <f t="shared" si="372"/>
        <v/>
      </c>
      <c r="BH2347" s="8" t="str">
        <f t="shared" si="373"/>
        <v/>
      </c>
      <c r="BI2347" s="8" t="str">
        <f t="shared" si="374"/>
        <v/>
      </c>
      <c r="BJ2347" s="9" t="str">
        <f t="shared" si="375"/>
        <v/>
      </c>
      <c r="BK2347" s="9" t="str">
        <f>IF($B2347="","",COUNTIFS($B$5:$B2347,$B2347,$BF$5:$BF2347,$BF2347))</f>
        <v/>
      </c>
      <c r="BL2347" s="9" t="str">
        <f>IF($B2347="","",COUNTIFS($B$5:$B2347,$B2347,$BH$5:$BH2347,$BH2347))</f>
        <v/>
      </c>
      <c r="BM2347" s="9" t="str">
        <f t="shared" si="376"/>
        <v/>
      </c>
      <c r="BN2347" s="9" t="str">
        <f t="shared" si="377"/>
        <v/>
      </c>
      <c r="BO2347" s="9">
        <f t="shared" si="378"/>
        <v>0</v>
      </c>
      <c r="BR2347" s="12" t="str">
        <f t="shared" si="379"/>
        <v/>
      </c>
    </row>
    <row r="2348" spans="1:70" ht="14.25" customHeight="1">
      <c r="A2348" s="26"/>
      <c r="C2348" s="26"/>
      <c r="D2348" s="27"/>
      <c r="E2348" s="27"/>
      <c r="BE2348" s="10" t="str">
        <f t="shared" si="370"/>
        <v/>
      </c>
      <c r="BF2348" s="8" t="str">
        <f t="shared" si="371"/>
        <v/>
      </c>
      <c r="BG2348" s="11" t="str">
        <f t="shared" si="372"/>
        <v/>
      </c>
      <c r="BH2348" s="8" t="str">
        <f t="shared" si="373"/>
        <v/>
      </c>
      <c r="BI2348" s="8" t="str">
        <f t="shared" si="374"/>
        <v/>
      </c>
      <c r="BJ2348" s="9" t="str">
        <f t="shared" si="375"/>
        <v/>
      </c>
      <c r="BK2348" s="9" t="str">
        <f>IF($B2348="","",COUNTIFS($B$5:$B2348,$B2348,$BF$5:$BF2348,$BF2348))</f>
        <v/>
      </c>
      <c r="BL2348" s="9" t="str">
        <f>IF($B2348="","",COUNTIFS($B$5:$B2348,$B2348,$BH$5:$BH2348,$BH2348))</f>
        <v/>
      </c>
      <c r="BM2348" s="9" t="str">
        <f t="shared" si="376"/>
        <v/>
      </c>
      <c r="BN2348" s="9" t="str">
        <f t="shared" si="377"/>
        <v/>
      </c>
      <c r="BO2348" s="9">
        <f t="shared" si="378"/>
        <v>0</v>
      </c>
      <c r="BR2348" s="12" t="str">
        <f t="shared" si="379"/>
        <v/>
      </c>
    </row>
    <row r="2349" spans="1:70" ht="14.25" customHeight="1">
      <c r="A2349" s="26"/>
      <c r="C2349" s="26"/>
      <c r="D2349" s="27"/>
      <c r="E2349" s="27"/>
      <c r="BE2349" s="10" t="str">
        <f t="shared" si="370"/>
        <v/>
      </c>
      <c r="BF2349" s="8" t="str">
        <f t="shared" si="371"/>
        <v/>
      </c>
      <c r="BG2349" s="11" t="str">
        <f t="shared" si="372"/>
        <v/>
      </c>
      <c r="BH2349" s="8" t="str">
        <f t="shared" si="373"/>
        <v/>
      </c>
      <c r="BI2349" s="8" t="str">
        <f t="shared" si="374"/>
        <v/>
      </c>
      <c r="BJ2349" s="9" t="str">
        <f t="shared" si="375"/>
        <v/>
      </c>
      <c r="BK2349" s="9" t="str">
        <f>IF($B2349="","",COUNTIFS($B$5:$B2349,$B2349,$BF$5:$BF2349,$BF2349))</f>
        <v/>
      </c>
      <c r="BL2349" s="9" t="str">
        <f>IF($B2349="","",COUNTIFS($B$5:$B2349,$B2349,$BH$5:$BH2349,$BH2349))</f>
        <v/>
      </c>
      <c r="BM2349" s="9" t="str">
        <f t="shared" si="376"/>
        <v/>
      </c>
      <c r="BN2349" s="9" t="str">
        <f t="shared" si="377"/>
        <v/>
      </c>
      <c r="BO2349" s="9">
        <f t="shared" si="378"/>
        <v>0</v>
      </c>
      <c r="BR2349" s="12" t="str">
        <f t="shared" si="379"/>
        <v/>
      </c>
    </row>
    <row r="2350" spans="1:70" ht="14.25" customHeight="1">
      <c r="A2350" s="26"/>
      <c r="C2350" s="26"/>
      <c r="D2350" s="27"/>
      <c r="E2350" s="27"/>
      <c r="BE2350" s="10" t="str">
        <f t="shared" si="370"/>
        <v/>
      </c>
      <c r="BF2350" s="8" t="str">
        <f t="shared" si="371"/>
        <v/>
      </c>
      <c r="BG2350" s="11" t="str">
        <f t="shared" si="372"/>
        <v/>
      </c>
      <c r="BH2350" s="8" t="str">
        <f t="shared" si="373"/>
        <v/>
      </c>
      <c r="BI2350" s="8" t="str">
        <f t="shared" si="374"/>
        <v/>
      </c>
      <c r="BJ2350" s="9" t="str">
        <f t="shared" si="375"/>
        <v/>
      </c>
      <c r="BK2350" s="9" t="str">
        <f>IF($B2350="","",COUNTIFS($B$5:$B2350,$B2350,$BF$5:$BF2350,$BF2350))</f>
        <v/>
      </c>
      <c r="BL2350" s="9" t="str">
        <f>IF($B2350="","",COUNTIFS($B$5:$B2350,$B2350,$BH$5:$BH2350,$BH2350))</f>
        <v/>
      </c>
      <c r="BM2350" s="9" t="str">
        <f t="shared" si="376"/>
        <v/>
      </c>
      <c r="BN2350" s="9" t="str">
        <f t="shared" si="377"/>
        <v/>
      </c>
      <c r="BO2350" s="9">
        <f t="shared" si="378"/>
        <v>0</v>
      </c>
      <c r="BR2350" s="12" t="str">
        <f t="shared" si="379"/>
        <v/>
      </c>
    </row>
    <row r="2351" spans="1:70" ht="14.25" customHeight="1">
      <c r="A2351" s="26"/>
      <c r="C2351" s="26"/>
      <c r="D2351" s="27"/>
      <c r="E2351" s="27"/>
      <c r="BE2351" s="10" t="str">
        <f t="shared" si="370"/>
        <v/>
      </c>
      <c r="BF2351" s="8" t="str">
        <f t="shared" si="371"/>
        <v/>
      </c>
      <c r="BG2351" s="11" t="str">
        <f t="shared" si="372"/>
        <v/>
      </c>
      <c r="BH2351" s="8" t="str">
        <f t="shared" si="373"/>
        <v/>
      </c>
      <c r="BI2351" s="8" t="str">
        <f t="shared" si="374"/>
        <v/>
      </c>
      <c r="BJ2351" s="9" t="str">
        <f t="shared" si="375"/>
        <v/>
      </c>
      <c r="BK2351" s="9" t="str">
        <f>IF($B2351="","",COUNTIFS($B$5:$B2351,$B2351,$BF$5:$BF2351,$BF2351))</f>
        <v/>
      </c>
      <c r="BL2351" s="9" t="str">
        <f>IF($B2351="","",COUNTIFS($B$5:$B2351,$B2351,$BH$5:$BH2351,$BH2351))</f>
        <v/>
      </c>
      <c r="BM2351" s="9" t="str">
        <f t="shared" si="376"/>
        <v/>
      </c>
      <c r="BN2351" s="9" t="str">
        <f t="shared" si="377"/>
        <v/>
      </c>
      <c r="BO2351" s="9">
        <f t="shared" si="378"/>
        <v>0</v>
      </c>
      <c r="BR2351" s="12" t="str">
        <f t="shared" si="379"/>
        <v/>
      </c>
    </row>
    <row r="2352" spans="1:70" ht="14.25" customHeight="1">
      <c r="A2352" s="26"/>
      <c r="C2352" s="26"/>
      <c r="D2352" s="27"/>
      <c r="E2352" s="27"/>
      <c r="BE2352" s="10" t="str">
        <f t="shared" si="370"/>
        <v/>
      </c>
      <c r="BF2352" s="8" t="str">
        <f t="shared" si="371"/>
        <v/>
      </c>
      <c r="BG2352" s="11" t="str">
        <f t="shared" si="372"/>
        <v/>
      </c>
      <c r="BH2352" s="8" t="str">
        <f t="shared" si="373"/>
        <v/>
      </c>
      <c r="BI2352" s="8" t="str">
        <f t="shared" si="374"/>
        <v/>
      </c>
      <c r="BJ2352" s="9" t="str">
        <f t="shared" si="375"/>
        <v/>
      </c>
      <c r="BK2352" s="9" t="str">
        <f>IF($B2352="","",COUNTIFS($B$5:$B2352,$B2352,$BF$5:$BF2352,$BF2352))</f>
        <v/>
      </c>
      <c r="BL2352" s="9" t="str">
        <f>IF($B2352="","",COUNTIFS($B$5:$B2352,$B2352,$BH$5:$BH2352,$BH2352))</f>
        <v/>
      </c>
      <c r="BM2352" s="9" t="str">
        <f t="shared" si="376"/>
        <v/>
      </c>
      <c r="BN2352" s="9" t="str">
        <f t="shared" si="377"/>
        <v/>
      </c>
      <c r="BO2352" s="9">
        <f t="shared" si="378"/>
        <v>0</v>
      </c>
      <c r="BR2352" s="12" t="str">
        <f t="shared" si="379"/>
        <v/>
      </c>
    </row>
    <row r="2353" spans="1:70" ht="14.25" customHeight="1">
      <c r="A2353" s="26"/>
      <c r="C2353" s="26"/>
      <c r="D2353" s="27"/>
      <c r="E2353" s="27"/>
      <c r="BE2353" s="10" t="str">
        <f t="shared" si="370"/>
        <v/>
      </c>
      <c r="BF2353" s="8" t="str">
        <f t="shared" si="371"/>
        <v/>
      </c>
      <c r="BG2353" s="11" t="str">
        <f t="shared" si="372"/>
        <v/>
      </c>
      <c r="BH2353" s="8" t="str">
        <f t="shared" si="373"/>
        <v/>
      </c>
      <c r="BI2353" s="8" t="str">
        <f t="shared" si="374"/>
        <v/>
      </c>
      <c r="BJ2353" s="9" t="str">
        <f t="shared" si="375"/>
        <v/>
      </c>
      <c r="BK2353" s="9" t="str">
        <f>IF($B2353="","",COUNTIFS($B$5:$B2353,$B2353,$BF$5:$BF2353,$BF2353))</f>
        <v/>
      </c>
      <c r="BL2353" s="9" t="str">
        <f>IF($B2353="","",COUNTIFS($B$5:$B2353,$B2353,$BH$5:$BH2353,$BH2353))</f>
        <v/>
      </c>
      <c r="BM2353" s="9" t="str">
        <f t="shared" si="376"/>
        <v/>
      </c>
      <c r="BN2353" s="9" t="str">
        <f t="shared" si="377"/>
        <v/>
      </c>
      <c r="BO2353" s="9">
        <f t="shared" si="378"/>
        <v>0</v>
      </c>
      <c r="BR2353" s="12" t="str">
        <f t="shared" si="379"/>
        <v/>
      </c>
    </row>
    <row r="2354" spans="1:70" ht="14.25" customHeight="1">
      <c r="A2354" s="26"/>
      <c r="C2354" s="26"/>
      <c r="D2354" s="27"/>
      <c r="E2354" s="27"/>
      <c r="BE2354" s="10" t="str">
        <f t="shared" si="370"/>
        <v/>
      </c>
      <c r="BF2354" s="8" t="str">
        <f t="shared" si="371"/>
        <v/>
      </c>
      <c r="BG2354" s="11" t="str">
        <f t="shared" si="372"/>
        <v/>
      </c>
      <c r="BH2354" s="8" t="str">
        <f t="shared" si="373"/>
        <v/>
      </c>
      <c r="BI2354" s="8" t="str">
        <f t="shared" si="374"/>
        <v/>
      </c>
      <c r="BJ2354" s="9" t="str">
        <f t="shared" si="375"/>
        <v/>
      </c>
      <c r="BK2354" s="9" t="str">
        <f>IF($B2354="","",COUNTIFS($B$5:$B2354,$B2354,$BF$5:$BF2354,$BF2354))</f>
        <v/>
      </c>
      <c r="BL2354" s="9" t="str">
        <f>IF($B2354="","",COUNTIFS($B$5:$B2354,$B2354,$BH$5:$BH2354,$BH2354))</f>
        <v/>
      </c>
      <c r="BM2354" s="9" t="str">
        <f t="shared" si="376"/>
        <v/>
      </c>
      <c r="BN2354" s="9" t="str">
        <f t="shared" si="377"/>
        <v/>
      </c>
      <c r="BO2354" s="9">
        <f t="shared" si="378"/>
        <v>0</v>
      </c>
      <c r="BR2354" s="12" t="str">
        <f t="shared" si="379"/>
        <v/>
      </c>
    </row>
    <row r="2355" spans="1:70" ht="14.25" customHeight="1">
      <c r="A2355" s="26"/>
      <c r="C2355" s="26"/>
      <c r="D2355" s="27"/>
      <c r="E2355" s="27"/>
      <c r="BE2355" s="10" t="str">
        <f t="shared" si="370"/>
        <v/>
      </c>
      <c r="BF2355" s="8" t="str">
        <f t="shared" si="371"/>
        <v/>
      </c>
      <c r="BG2355" s="11" t="str">
        <f t="shared" si="372"/>
        <v/>
      </c>
      <c r="BH2355" s="8" t="str">
        <f t="shared" si="373"/>
        <v/>
      </c>
      <c r="BI2355" s="8" t="str">
        <f t="shared" si="374"/>
        <v/>
      </c>
      <c r="BJ2355" s="9" t="str">
        <f t="shared" si="375"/>
        <v/>
      </c>
      <c r="BK2355" s="9" t="str">
        <f>IF($B2355="","",COUNTIFS($B$5:$B2355,$B2355,$BF$5:$BF2355,$BF2355))</f>
        <v/>
      </c>
      <c r="BL2355" s="9" t="str">
        <f>IF($B2355="","",COUNTIFS($B$5:$B2355,$B2355,$BH$5:$BH2355,$BH2355))</f>
        <v/>
      </c>
      <c r="BM2355" s="9" t="str">
        <f t="shared" si="376"/>
        <v/>
      </c>
      <c r="BN2355" s="9" t="str">
        <f t="shared" si="377"/>
        <v/>
      </c>
      <c r="BO2355" s="9">
        <f t="shared" si="378"/>
        <v>0</v>
      </c>
      <c r="BR2355" s="12" t="str">
        <f t="shared" si="379"/>
        <v/>
      </c>
    </row>
    <row r="2356" spans="1:70" ht="14.25" customHeight="1">
      <c r="A2356" s="26"/>
      <c r="C2356" s="26"/>
      <c r="D2356" s="27"/>
      <c r="E2356" s="27"/>
      <c r="BE2356" s="10" t="str">
        <f t="shared" si="370"/>
        <v/>
      </c>
      <c r="BF2356" s="8" t="str">
        <f t="shared" si="371"/>
        <v/>
      </c>
      <c r="BG2356" s="11" t="str">
        <f t="shared" si="372"/>
        <v/>
      </c>
      <c r="BH2356" s="8" t="str">
        <f t="shared" si="373"/>
        <v/>
      </c>
      <c r="BI2356" s="8" t="str">
        <f t="shared" si="374"/>
        <v/>
      </c>
      <c r="BJ2356" s="9" t="str">
        <f t="shared" si="375"/>
        <v/>
      </c>
      <c r="BK2356" s="9" t="str">
        <f>IF($B2356="","",COUNTIFS($B$5:$B2356,$B2356,$BF$5:$BF2356,$BF2356))</f>
        <v/>
      </c>
      <c r="BL2356" s="9" t="str">
        <f>IF($B2356="","",COUNTIFS($B$5:$B2356,$B2356,$BH$5:$BH2356,$BH2356))</f>
        <v/>
      </c>
      <c r="BM2356" s="9" t="str">
        <f t="shared" si="376"/>
        <v/>
      </c>
      <c r="BN2356" s="9" t="str">
        <f t="shared" si="377"/>
        <v/>
      </c>
      <c r="BO2356" s="9">
        <f t="shared" si="378"/>
        <v>0</v>
      </c>
      <c r="BR2356" s="12" t="str">
        <f t="shared" si="379"/>
        <v/>
      </c>
    </row>
    <row r="2357" spans="1:70" ht="14.25" customHeight="1">
      <c r="A2357" s="26"/>
      <c r="C2357" s="26"/>
      <c r="D2357" s="27"/>
      <c r="E2357" s="27"/>
      <c r="BE2357" s="10" t="str">
        <f t="shared" si="370"/>
        <v/>
      </c>
      <c r="BF2357" s="8" t="str">
        <f t="shared" si="371"/>
        <v/>
      </c>
      <c r="BG2357" s="11" t="str">
        <f t="shared" si="372"/>
        <v/>
      </c>
      <c r="BH2357" s="8" t="str">
        <f t="shared" si="373"/>
        <v/>
      </c>
      <c r="BI2357" s="8" t="str">
        <f t="shared" si="374"/>
        <v/>
      </c>
      <c r="BJ2357" s="9" t="str">
        <f t="shared" si="375"/>
        <v/>
      </c>
      <c r="BK2357" s="9" t="str">
        <f>IF($B2357="","",COUNTIFS($B$5:$B2357,$B2357,$BF$5:$BF2357,$BF2357))</f>
        <v/>
      </c>
      <c r="BL2357" s="9" t="str">
        <f>IF($B2357="","",COUNTIFS($B$5:$B2357,$B2357,$BH$5:$BH2357,$BH2357))</f>
        <v/>
      </c>
      <c r="BM2357" s="9" t="str">
        <f t="shared" si="376"/>
        <v/>
      </c>
      <c r="BN2357" s="9" t="str">
        <f t="shared" si="377"/>
        <v/>
      </c>
      <c r="BO2357" s="9">
        <f t="shared" si="378"/>
        <v>0</v>
      </c>
      <c r="BR2357" s="12" t="str">
        <f t="shared" si="379"/>
        <v/>
      </c>
    </row>
    <row r="2358" spans="1:70" ht="14.25" customHeight="1">
      <c r="A2358" s="26"/>
      <c r="C2358" s="26"/>
      <c r="D2358" s="27"/>
      <c r="E2358" s="27"/>
      <c r="BE2358" s="10" t="str">
        <f t="shared" si="370"/>
        <v/>
      </c>
      <c r="BF2358" s="8" t="str">
        <f t="shared" si="371"/>
        <v/>
      </c>
      <c r="BG2358" s="11" t="str">
        <f t="shared" si="372"/>
        <v/>
      </c>
      <c r="BH2358" s="8" t="str">
        <f t="shared" si="373"/>
        <v/>
      </c>
      <c r="BI2358" s="8" t="str">
        <f t="shared" si="374"/>
        <v/>
      </c>
      <c r="BJ2358" s="9" t="str">
        <f t="shared" si="375"/>
        <v/>
      </c>
      <c r="BK2358" s="9" t="str">
        <f>IF($B2358="","",COUNTIFS($B$5:$B2358,$B2358,$BF$5:$BF2358,$BF2358))</f>
        <v/>
      </c>
      <c r="BL2358" s="9" t="str">
        <f>IF($B2358="","",COUNTIFS($B$5:$B2358,$B2358,$BH$5:$BH2358,$BH2358))</f>
        <v/>
      </c>
      <c r="BM2358" s="9" t="str">
        <f t="shared" si="376"/>
        <v/>
      </c>
      <c r="BN2358" s="9" t="str">
        <f t="shared" si="377"/>
        <v/>
      </c>
      <c r="BO2358" s="9">
        <f t="shared" si="378"/>
        <v>0</v>
      </c>
      <c r="BR2358" s="12" t="str">
        <f t="shared" si="379"/>
        <v/>
      </c>
    </row>
    <row r="2359" spans="1:70" ht="14.25" customHeight="1">
      <c r="A2359" s="26"/>
      <c r="C2359" s="26"/>
      <c r="D2359" s="27"/>
      <c r="E2359" s="27"/>
      <c r="BE2359" s="10" t="str">
        <f t="shared" si="370"/>
        <v/>
      </c>
      <c r="BF2359" s="8" t="str">
        <f t="shared" si="371"/>
        <v/>
      </c>
      <c r="BG2359" s="11" t="str">
        <f t="shared" si="372"/>
        <v/>
      </c>
      <c r="BH2359" s="8" t="str">
        <f t="shared" si="373"/>
        <v/>
      </c>
      <c r="BI2359" s="8" t="str">
        <f t="shared" si="374"/>
        <v/>
      </c>
      <c r="BJ2359" s="9" t="str">
        <f t="shared" si="375"/>
        <v/>
      </c>
      <c r="BK2359" s="9" t="str">
        <f>IF($B2359="","",COUNTIFS($B$5:$B2359,$B2359,$BF$5:$BF2359,$BF2359))</f>
        <v/>
      </c>
      <c r="BL2359" s="9" t="str">
        <f>IF($B2359="","",COUNTIFS($B$5:$B2359,$B2359,$BH$5:$BH2359,$BH2359))</f>
        <v/>
      </c>
      <c r="BM2359" s="9" t="str">
        <f t="shared" si="376"/>
        <v/>
      </c>
      <c r="BN2359" s="9" t="str">
        <f t="shared" si="377"/>
        <v/>
      </c>
      <c r="BO2359" s="9">
        <f t="shared" si="378"/>
        <v>0</v>
      </c>
      <c r="BR2359" s="12" t="str">
        <f t="shared" si="379"/>
        <v/>
      </c>
    </row>
    <row r="2360" spans="1:70" ht="14.25" customHeight="1">
      <c r="A2360" s="26"/>
      <c r="C2360" s="26"/>
      <c r="D2360" s="27"/>
      <c r="E2360" s="27"/>
      <c r="BE2360" s="10" t="str">
        <f t="shared" si="370"/>
        <v/>
      </c>
      <c r="BF2360" s="8" t="str">
        <f t="shared" si="371"/>
        <v/>
      </c>
      <c r="BG2360" s="11" t="str">
        <f t="shared" si="372"/>
        <v/>
      </c>
      <c r="BH2360" s="8" t="str">
        <f t="shared" si="373"/>
        <v/>
      </c>
      <c r="BI2360" s="8" t="str">
        <f t="shared" si="374"/>
        <v/>
      </c>
      <c r="BJ2360" s="9" t="str">
        <f t="shared" si="375"/>
        <v/>
      </c>
      <c r="BK2360" s="9" t="str">
        <f>IF($B2360="","",COUNTIFS($B$5:$B2360,$B2360,$BF$5:$BF2360,$BF2360))</f>
        <v/>
      </c>
      <c r="BL2360" s="9" t="str">
        <f>IF($B2360="","",COUNTIFS($B$5:$B2360,$B2360,$BH$5:$BH2360,$BH2360))</f>
        <v/>
      </c>
      <c r="BM2360" s="9" t="str">
        <f t="shared" si="376"/>
        <v/>
      </c>
      <c r="BN2360" s="9" t="str">
        <f t="shared" si="377"/>
        <v/>
      </c>
      <c r="BO2360" s="9">
        <f t="shared" si="378"/>
        <v>0</v>
      </c>
      <c r="BR2360" s="12" t="str">
        <f t="shared" si="379"/>
        <v/>
      </c>
    </row>
    <row r="2361" spans="1:70" ht="14.25" customHeight="1">
      <c r="A2361" s="26"/>
      <c r="C2361" s="26"/>
      <c r="D2361" s="27"/>
      <c r="E2361" s="27"/>
      <c r="BE2361" s="10" t="str">
        <f t="shared" si="370"/>
        <v/>
      </c>
      <c r="BF2361" s="8" t="str">
        <f t="shared" si="371"/>
        <v/>
      </c>
      <c r="BG2361" s="11" t="str">
        <f t="shared" si="372"/>
        <v/>
      </c>
      <c r="BH2361" s="8" t="str">
        <f t="shared" si="373"/>
        <v/>
      </c>
      <c r="BI2361" s="8" t="str">
        <f t="shared" si="374"/>
        <v/>
      </c>
      <c r="BJ2361" s="9" t="str">
        <f t="shared" si="375"/>
        <v/>
      </c>
      <c r="BK2361" s="9" t="str">
        <f>IF($B2361="","",COUNTIFS($B$5:$B2361,$B2361,$BF$5:$BF2361,$BF2361))</f>
        <v/>
      </c>
      <c r="BL2361" s="9" t="str">
        <f>IF($B2361="","",COUNTIFS($B$5:$B2361,$B2361,$BH$5:$BH2361,$BH2361))</f>
        <v/>
      </c>
      <c r="BM2361" s="9" t="str">
        <f t="shared" si="376"/>
        <v/>
      </c>
      <c r="BN2361" s="9" t="str">
        <f t="shared" si="377"/>
        <v/>
      </c>
      <c r="BO2361" s="9">
        <f t="shared" si="378"/>
        <v>0</v>
      </c>
      <c r="BR2361" s="12" t="str">
        <f t="shared" si="379"/>
        <v/>
      </c>
    </row>
    <row r="2362" spans="1:70" ht="14.25" customHeight="1">
      <c r="A2362" s="26"/>
      <c r="C2362" s="26"/>
      <c r="D2362" s="27"/>
      <c r="E2362" s="27"/>
      <c r="BE2362" s="10" t="str">
        <f t="shared" si="370"/>
        <v/>
      </c>
      <c r="BF2362" s="8" t="str">
        <f t="shared" si="371"/>
        <v/>
      </c>
      <c r="BG2362" s="11" t="str">
        <f t="shared" si="372"/>
        <v/>
      </c>
      <c r="BH2362" s="8" t="str">
        <f t="shared" si="373"/>
        <v/>
      </c>
      <c r="BI2362" s="8" t="str">
        <f t="shared" si="374"/>
        <v/>
      </c>
      <c r="BJ2362" s="9" t="str">
        <f t="shared" si="375"/>
        <v/>
      </c>
      <c r="BK2362" s="9" t="str">
        <f>IF($B2362="","",COUNTIFS($B$5:$B2362,$B2362,$BF$5:$BF2362,$BF2362))</f>
        <v/>
      </c>
      <c r="BL2362" s="9" t="str">
        <f>IF($B2362="","",COUNTIFS($B$5:$B2362,$B2362,$BH$5:$BH2362,$BH2362))</f>
        <v/>
      </c>
      <c r="BM2362" s="9" t="str">
        <f t="shared" si="376"/>
        <v/>
      </c>
      <c r="BN2362" s="9" t="str">
        <f t="shared" si="377"/>
        <v/>
      </c>
      <c r="BO2362" s="9">
        <f t="shared" si="378"/>
        <v>0</v>
      </c>
      <c r="BR2362" s="12" t="str">
        <f t="shared" si="379"/>
        <v/>
      </c>
    </row>
    <row r="2363" spans="1:70" ht="14.25" customHeight="1">
      <c r="A2363" s="26"/>
      <c r="C2363" s="26"/>
      <c r="D2363" s="27"/>
      <c r="E2363" s="27"/>
      <c r="BE2363" s="10" t="str">
        <f t="shared" si="370"/>
        <v/>
      </c>
      <c r="BF2363" s="8" t="str">
        <f t="shared" si="371"/>
        <v/>
      </c>
      <c r="BG2363" s="11" t="str">
        <f t="shared" si="372"/>
        <v/>
      </c>
      <c r="BH2363" s="8" t="str">
        <f t="shared" si="373"/>
        <v/>
      </c>
      <c r="BI2363" s="8" t="str">
        <f t="shared" si="374"/>
        <v/>
      </c>
      <c r="BJ2363" s="9" t="str">
        <f t="shared" si="375"/>
        <v/>
      </c>
      <c r="BK2363" s="9" t="str">
        <f>IF($B2363="","",COUNTIFS($B$5:$B2363,$B2363,$BF$5:$BF2363,$BF2363))</f>
        <v/>
      </c>
      <c r="BL2363" s="9" t="str">
        <f>IF($B2363="","",COUNTIFS($B$5:$B2363,$B2363,$BH$5:$BH2363,$BH2363))</f>
        <v/>
      </c>
      <c r="BM2363" s="9" t="str">
        <f t="shared" si="376"/>
        <v/>
      </c>
      <c r="BN2363" s="9" t="str">
        <f t="shared" si="377"/>
        <v/>
      </c>
      <c r="BO2363" s="9">
        <f t="shared" si="378"/>
        <v>0</v>
      </c>
      <c r="BR2363" s="12" t="str">
        <f t="shared" si="379"/>
        <v/>
      </c>
    </row>
    <row r="2364" spans="1:70" ht="14.25" customHeight="1">
      <c r="A2364" s="26"/>
      <c r="C2364" s="26"/>
      <c r="D2364" s="27"/>
      <c r="E2364" s="27"/>
      <c r="BE2364" s="10" t="str">
        <f t="shared" si="370"/>
        <v/>
      </c>
      <c r="BF2364" s="8" t="str">
        <f t="shared" si="371"/>
        <v/>
      </c>
      <c r="BG2364" s="11" t="str">
        <f t="shared" si="372"/>
        <v/>
      </c>
      <c r="BH2364" s="8" t="str">
        <f t="shared" si="373"/>
        <v/>
      </c>
      <c r="BI2364" s="8" t="str">
        <f t="shared" si="374"/>
        <v/>
      </c>
      <c r="BJ2364" s="9" t="str">
        <f t="shared" si="375"/>
        <v/>
      </c>
      <c r="BK2364" s="9" t="str">
        <f>IF($B2364="","",COUNTIFS($B$5:$B2364,$B2364,$BF$5:$BF2364,$BF2364))</f>
        <v/>
      </c>
      <c r="BL2364" s="9" t="str">
        <f>IF($B2364="","",COUNTIFS($B$5:$B2364,$B2364,$BH$5:$BH2364,$BH2364))</f>
        <v/>
      </c>
      <c r="BM2364" s="9" t="str">
        <f t="shared" si="376"/>
        <v/>
      </c>
      <c r="BN2364" s="9" t="str">
        <f t="shared" si="377"/>
        <v/>
      </c>
      <c r="BO2364" s="9">
        <f t="shared" si="378"/>
        <v>0</v>
      </c>
      <c r="BR2364" s="12" t="str">
        <f t="shared" si="379"/>
        <v/>
      </c>
    </row>
    <row r="2365" spans="1:70" ht="14.25" customHeight="1">
      <c r="A2365" s="26"/>
      <c r="C2365" s="26"/>
      <c r="D2365" s="27"/>
      <c r="E2365" s="27"/>
      <c r="BE2365" s="10" t="str">
        <f t="shared" si="370"/>
        <v/>
      </c>
      <c r="BF2365" s="8" t="str">
        <f t="shared" si="371"/>
        <v/>
      </c>
      <c r="BG2365" s="11" t="str">
        <f t="shared" si="372"/>
        <v/>
      </c>
      <c r="BH2365" s="8" t="str">
        <f t="shared" si="373"/>
        <v/>
      </c>
      <c r="BI2365" s="8" t="str">
        <f t="shared" si="374"/>
        <v/>
      </c>
      <c r="BJ2365" s="9" t="str">
        <f t="shared" si="375"/>
        <v/>
      </c>
      <c r="BK2365" s="9" t="str">
        <f>IF($B2365="","",COUNTIFS($B$5:$B2365,$B2365,$BF$5:$BF2365,$BF2365))</f>
        <v/>
      </c>
      <c r="BL2365" s="9" t="str">
        <f>IF($B2365="","",COUNTIFS($B$5:$B2365,$B2365,$BH$5:$BH2365,$BH2365))</f>
        <v/>
      </c>
      <c r="BM2365" s="9" t="str">
        <f t="shared" si="376"/>
        <v/>
      </c>
      <c r="BN2365" s="9" t="str">
        <f t="shared" si="377"/>
        <v/>
      </c>
      <c r="BO2365" s="9">
        <f t="shared" si="378"/>
        <v>0</v>
      </c>
      <c r="BR2365" s="12" t="str">
        <f t="shared" si="379"/>
        <v/>
      </c>
    </row>
    <row r="2366" spans="1:70" ht="14.25" customHeight="1">
      <c r="A2366" s="26"/>
      <c r="C2366" s="26"/>
      <c r="D2366" s="27"/>
      <c r="E2366" s="27"/>
      <c r="BE2366" s="10" t="str">
        <f t="shared" si="370"/>
        <v/>
      </c>
      <c r="BF2366" s="8" t="str">
        <f t="shared" si="371"/>
        <v/>
      </c>
      <c r="BG2366" s="11" t="str">
        <f t="shared" si="372"/>
        <v/>
      </c>
      <c r="BH2366" s="8" t="str">
        <f t="shared" si="373"/>
        <v/>
      </c>
      <c r="BI2366" s="8" t="str">
        <f t="shared" si="374"/>
        <v/>
      </c>
      <c r="BJ2366" s="9" t="str">
        <f t="shared" si="375"/>
        <v/>
      </c>
      <c r="BK2366" s="9" t="str">
        <f>IF($B2366="","",COUNTIFS($B$5:$B2366,$B2366,$BF$5:$BF2366,$BF2366))</f>
        <v/>
      </c>
      <c r="BL2366" s="9" t="str">
        <f>IF($B2366="","",COUNTIFS($B$5:$B2366,$B2366,$BH$5:$BH2366,$BH2366))</f>
        <v/>
      </c>
      <c r="BM2366" s="9" t="str">
        <f t="shared" si="376"/>
        <v/>
      </c>
      <c r="BN2366" s="9" t="str">
        <f t="shared" si="377"/>
        <v/>
      </c>
      <c r="BO2366" s="9">
        <f t="shared" si="378"/>
        <v>0</v>
      </c>
      <c r="BR2366" s="12" t="str">
        <f t="shared" si="379"/>
        <v/>
      </c>
    </row>
    <row r="2367" spans="1:70" ht="14.25" customHeight="1">
      <c r="A2367" s="26"/>
      <c r="C2367" s="26"/>
      <c r="D2367" s="27"/>
      <c r="E2367" s="27"/>
      <c r="BE2367" s="10" t="str">
        <f t="shared" si="370"/>
        <v/>
      </c>
      <c r="BF2367" s="8" t="str">
        <f t="shared" si="371"/>
        <v/>
      </c>
      <c r="BG2367" s="11" t="str">
        <f t="shared" si="372"/>
        <v/>
      </c>
      <c r="BH2367" s="8" t="str">
        <f t="shared" si="373"/>
        <v/>
      </c>
      <c r="BI2367" s="8" t="str">
        <f t="shared" si="374"/>
        <v/>
      </c>
      <c r="BJ2367" s="9" t="str">
        <f t="shared" si="375"/>
        <v/>
      </c>
      <c r="BK2367" s="9" t="str">
        <f>IF($B2367="","",COUNTIFS($B$5:$B2367,$B2367,$BF$5:$BF2367,$BF2367))</f>
        <v/>
      </c>
      <c r="BL2367" s="9" t="str">
        <f>IF($B2367="","",COUNTIFS($B$5:$B2367,$B2367,$BH$5:$BH2367,$BH2367))</f>
        <v/>
      </c>
      <c r="BM2367" s="9" t="str">
        <f t="shared" si="376"/>
        <v/>
      </c>
      <c r="BN2367" s="9" t="str">
        <f t="shared" si="377"/>
        <v/>
      </c>
      <c r="BO2367" s="9">
        <f t="shared" si="378"/>
        <v>0</v>
      </c>
      <c r="BR2367" s="12" t="str">
        <f t="shared" si="379"/>
        <v/>
      </c>
    </row>
    <row r="2368" spans="1:70" ht="14.25" customHeight="1">
      <c r="A2368" s="26"/>
      <c r="C2368" s="26"/>
      <c r="D2368" s="27"/>
      <c r="E2368" s="27"/>
      <c r="BE2368" s="10" t="str">
        <f t="shared" si="370"/>
        <v/>
      </c>
      <c r="BF2368" s="8" t="str">
        <f t="shared" si="371"/>
        <v/>
      </c>
      <c r="BG2368" s="11" t="str">
        <f t="shared" si="372"/>
        <v/>
      </c>
      <c r="BH2368" s="8" t="str">
        <f t="shared" si="373"/>
        <v/>
      </c>
      <c r="BI2368" s="8" t="str">
        <f t="shared" si="374"/>
        <v/>
      </c>
      <c r="BJ2368" s="9" t="str">
        <f t="shared" si="375"/>
        <v/>
      </c>
      <c r="BK2368" s="9" t="str">
        <f>IF($B2368="","",COUNTIFS($B$5:$B2368,$B2368,$BF$5:$BF2368,$BF2368))</f>
        <v/>
      </c>
      <c r="BL2368" s="9" t="str">
        <f>IF($B2368="","",COUNTIFS($B$5:$B2368,$B2368,$BH$5:$BH2368,$BH2368))</f>
        <v/>
      </c>
      <c r="BM2368" s="9" t="str">
        <f t="shared" si="376"/>
        <v/>
      </c>
      <c r="BN2368" s="9" t="str">
        <f t="shared" si="377"/>
        <v/>
      </c>
      <c r="BO2368" s="9">
        <f t="shared" si="378"/>
        <v>0</v>
      </c>
      <c r="BR2368" s="12" t="str">
        <f t="shared" si="379"/>
        <v/>
      </c>
    </row>
    <row r="2369" spans="1:70" ht="14.25" customHeight="1">
      <c r="A2369" s="26"/>
      <c r="C2369" s="26"/>
      <c r="D2369" s="27"/>
      <c r="E2369" s="27"/>
      <c r="BE2369" s="10" t="str">
        <f t="shared" si="370"/>
        <v/>
      </c>
      <c r="BF2369" s="8" t="str">
        <f t="shared" si="371"/>
        <v/>
      </c>
      <c r="BG2369" s="11" t="str">
        <f t="shared" si="372"/>
        <v/>
      </c>
      <c r="BH2369" s="8" t="str">
        <f t="shared" si="373"/>
        <v/>
      </c>
      <c r="BI2369" s="8" t="str">
        <f t="shared" si="374"/>
        <v/>
      </c>
      <c r="BJ2369" s="9" t="str">
        <f t="shared" si="375"/>
        <v/>
      </c>
      <c r="BK2369" s="9" t="str">
        <f>IF($B2369="","",COUNTIFS($B$5:$B2369,$B2369,$BF$5:$BF2369,$BF2369))</f>
        <v/>
      </c>
      <c r="BL2369" s="9" t="str">
        <f>IF($B2369="","",COUNTIFS($B$5:$B2369,$B2369,$BH$5:$BH2369,$BH2369))</f>
        <v/>
      </c>
      <c r="BM2369" s="9" t="str">
        <f t="shared" si="376"/>
        <v/>
      </c>
      <c r="BN2369" s="9" t="str">
        <f t="shared" si="377"/>
        <v/>
      </c>
      <c r="BO2369" s="9">
        <f t="shared" si="378"/>
        <v>0</v>
      </c>
      <c r="BR2369" s="12" t="str">
        <f t="shared" si="379"/>
        <v/>
      </c>
    </row>
    <row r="2370" spans="1:70" ht="14.25" customHeight="1">
      <c r="A2370" s="26"/>
      <c r="C2370" s="26"/>
      <c r="D2370" s="27"/>
      <c r="E2370" s="27"/>
      <c r="BE2370" s="10" t="str">
        <f t="shared" si="370"/>
        <v/>
      </c>
      <c r="BF2370" s="8" t="str">
        <f t="shared" si="371"/>
        <v/>
      </c>
      <c r="BG2370" s="11" t="str">
        <f t="shared" si="372"/>
        <v/>
      </c>
      <c r="BH2370" s="8" t="str">
        <f t="shared" si="373"/>
        <v/>
      </c>
      <c r="BI2370" s="8" t="str">
        <f t="shared" si="374"/>
        <v/>
      </c>
      <c r="BJ2370" s="9" t="str">
        <f t="shared" si="375"/>
        <v/>
      </c>
      <c r="BK2370" s="9" t="str">
        <f>IF($B2370="","",COUNTIFS($B$5:$B2370,$B2370,$BF$5:$BF2370,$BF2370))</f>
        <v/>
      </c>
      <c r="BL2370" s="9" t="str">
        <f>IF($B2370="","",COUNTIFS($B$5:$B2370,$B2370,$BH$5:$BH2370,$BH2370))</f>
        <v/>
      </c>
      <c r="BM2370" s="9" t="str">
        <f t="shared" si="376"/>
        <v/>
      </c>
      <c r="BN2370" s="9" t="str">
        <f t="shared" si="377"/>
        <v/>
      </c>
      <c r="BO2370" s="9">
        <f t="shared" si="378"/>
        <v>0</v>
      </c>
      <c r="BR2370" s="12" t="str">
        <f t="shared" si="379"/>
        <v/>
      </c>
    </row>
    <row r="2371" spans="1:70" ht="14.25" customHeight="1">
      <c r="A2371" s="26"/>
      <c r="C2371" s="26"/>
      <c r="D2371" s="27"/>
      <c r="E2371" s="27"/>
      <c r="BE2371" s="10" t="str">
        <f t="shared" si="370"/>
        <v/>
      </c>
      <c r="BF2371" s="8" t="str">
        <f t="shared" si="371"/>
        <v/>
      </c>
      <c r="BG2371" s="11" t="str">
        <f t="shared" si="372"/>
        <v/>
      </c>
      <c r="BH2371" s="8" t="str">
        <f t="shared" si="373"/>
        <v/>
      </c>
      <c r="BI2371" s="8" t="str">
        <f t="shared" si="374"/>
        <v/>
      </c>
      <c r="BJ2371" s="9" t="str">
        <f t="shared" si="375"/>
        <v/>
      </c>
      <c r="BK2371" s="9" t="str">
        <f>IF($B2371="","",COUNTIFS($B$5:$B2371,$B2371,$BF$5:$BF2371,$BF2371))</f>
        <v/>
      </c>
      <c r="BL2371" s="9" t="str">
        <f>IF($B2371="","",COUNTIFS($B$5:$B2371,$B2371,$BH$5:$BH2371,$BH2371))</f>
        <v/>
      </c>
      <c r="BM2371" s="9" t="str">
        <f t="shared" si="376"/>
        <v/>
      </c>
      <c r="BN2371" s="9" t="str">
        <f t="shared" si="377"/>
        <v/>
      </c>
      <c r="BO2371" s="9">
        <f t="shared" si="378"/>
        <v>0</v>
      </c>
      <c r="BR2371" s="12" t="str">
        <f t="shared" si="379"/>
        <v/>
      </c>
    </row>
    <row r="2372" spans="1:70" ht="14.25" customHeight="1">
      <c r="A2372" s="26"/>
      <c r="C2372" s="26"/>
      <c r="D2372" s="27"/>
      <c r="E2372" s="27"/>
      <c r="BE2372" s="10" t="str">
        <f t="shared" si="370"/>
        <v/>
      </c>
      <c r="BF2372" s="8" t="str">
        <f t="shared" si="371"/>
        <v/>
      </c>
      <c r="BG2372" s="11" t="str">
        <f t="shared" si="372"/>
        <v/>
      </c>
      <c r="BH2372" s="8" t="str">
        <f t="shared" si="373"/>
        <v/>
      </c>
      <c r="BI2372" s="8" t="str">
        <f t="shared" si="374"/>
        <v/>
      </c>
      <c r="BJ2372" s="9" t="str">
        <f t="shared" si="375"/>
        <v/>
      </c>
      <c r="BK2372" s="9" t="str">
        <f>IF($B2372="","",COUNTIFS($B$5:$B2372,$B2372,$BF$5:$BF2372,$BF2372))</f>
        <v/>
      </c>
      <c r="BL2372" s="9" t="str">
        <f>IF($B2372="","",COUNTIFS($B$5:$B2372,$B2372,$BH$5:$BH2372,$BH2372))</f>
        <v/>
      </c>
      <c r="BM2372" s="9" t="str">
        <f t="shared" si="376"/>
        <v/>
      </c>
      <c r="BN2372" s="9" t="str">
        <f t="shared" si="377"/>
        <v/>
      </c>
      <c r="BO2372" s="9">
        <f t="shared" si="378"/>
        <v>0</v>
      </c>
      <c r="BR2372" s="12" t="str">
        <f t="shared" si="379"/>
        <v/>
      </c>
    </row>
    <row r="2373" spans="1:70" ht="14.25" customHeight="1">
      <c r="A2373" s="26"/>
      <c r="C2373" s="26"/>
      <c r="D2373" s="27"/>
      <c r="E2373" s="27"/>
      <c r="BE2373" s="10" t="str">
        <f t="shared" si="370"/>
        <v/>
      </c>
      <c r="BF2373" s="8" t="str">
        <f t="shared" si="371"/>
        <v/>
      </c>
      <c r="BG2373" s="11" t="str">
        <f t="shared" si="372"/>
        <v/>
      </c>
      <c r="BH2373" s="8" t="str">
        <f t="shared" si="373"/>
        <v/>
      </c>
      <c r="BI2373" s="8" t="str">
        <f t="shared" si="374"/>
        <v/>
      </c>
      <c r="BJ2373" s="9" t="str">
        <f t="shared" si="375"/>
        <v/>
      </c>
      <c r="BK2373" s="9" t="str">
        <f>IF($B2373="","",COUNTIFS($B$5:$B2373,$B2373,$BF$5:$BF2373,$BF2373))</f>
        <v/>
      </c>
      <c r="BL2373" s="9" t="str">
        <f>IF($B2373="","",COUNTIFS($B$5:$B2373,$B2373,$BH$5:$BH2373,$BH2373))</f>
        <v/>
      </c>
      <c r="BM2373" s="9" t="str">
        <f t="shared" si="376"/>
        <v/>
      </c>
      <c r="BN2373" s="9" t="str">
        <f t="shared" si="377"/>
        <v/>
      </c>
      <c r="BO2373" s="9">
        <f t="shared" si="378"/>
        <v>0</v>
      </c>
      <c r="BR2373" s="12" t="str">
        <f t="shared" si="379"/>
        <v/>
      </c>
    </row>
    <row r="2374" spans="1:70" ht="14.25" customHeight="1">
      <c r="A2374" s="26"/>
      <c r="C2374" s="26"/>
      <c r="D2374" s="27"/>
      <c r="E2374" s="27"/>
      <c r="BE2374" s="10" t="str">
        <f t="shared" si="370"/>
        <v/>
      </c>
      <c r="BF2374" s="8" t="str">
        <f t="shared" si="371"/>
        <v/>
      </c>
      <c r="BG2374" s="11" t="str">
        <f t="shared" si="372"/>
        <v/>
      </c>
      <c r="BH2374" s="8" t="str">
        <f t="shared" si="373"/>
        <v/>
      </c>
      <c r="BI2374" s="8" t="str">
        <f t="shared" si="374"/>
        <v/>
      </c>
      <c r="BJ2374" s="9" t="str">
        <f t="shared" si="375"/>
        <v/>
      </c>
      <c r="BK2374" s="9" t="str">
        <f>IF($B2374="","",COUNTIFS($B$5:$B2374,$B2374,$BF$5:$BF2374,$BF2374))</f>
        <v/>
      </c>
      <c r="BL2374" s="9" t="str">
        <f>IF($B2374="","",COUNTIFS($B$5:$B2374,$B2374,$BH$5:$BH2374,$BH2374))</f>
        <v/>
      </c>
      <c r="BM2374" s="9" t="str">
        <f t="shared" si="376"/>
        <v/>
      </c>
      <c r="BN2374" s="9" t="str">
        <f t="shared" si="377"/>
        <v/>
      </c>
      <c r="BO2374" s="9">
        <f t="shared" si="378"/>
        <v>0</v>
      </c>
      <c r="BR2374" s="12" t="str">
        <f t="shared" si="379"/>
        <v/>
      </c>
    </row>
    <row r="2375" spans="1:70" ht="14.25" customHeight="1">
      <c r="A2375" s="26"/>
      <c r="C2375" s="26"/>
      <c r="D2375" s="27"/>
      <c r="E2375" s="27"/>
      <c r="BE2375" s="10" t="str">
        <f t="shared" si="370"/>
        <v/>
      </c>
      <c r="BF2375" s="8" t="str">
        <f t="shared" si="371"/>
        <v/>
      </c>
      <c r="BG2375" s="11" t="str">
        <f t="shared" si="372"/>
        <v/>
      </c>
      <c r="BH2375" s="8" t="str">
        <f t="shared" si="373"/>
        <v/>
      </c>
      <c r="BI2375" s="8" t="str">
        <f t="shared" si="374"/>
        <v/>
      </c>
      <c r="BJ2375" s="9" t="str">
        <f t="shared" si="375"/>
        <v/>
      </c>
      <c r="BK2375" s="9" t="str">
        <f>IF($B2375="","",COUNTIFS($B$5:$B2375,$B2375,$BF$5:$BF2375,$BF2375))</f>
        <v/>
      </c>
      <c r="BL2375" s="9" t="str">
        <f>IF($B2375="","",COUNTIFS($B$5:$B2375,$B2375,$BH$5:$BH2375,$BH2375))</f>
        <v/>
      </c>
      <c r="BM2375" s="9" t="str">
        <f t="shared" si="376"/>
        <v/>
      </c>
      <c r="BN2375" s="9" t="str">
        <f t="shared" si="377"/>
        <v/>
      </c>
      <c r="BO2375" s="9">
        <f t="shared" si="378"/>
        <v>0</v>
      </c>
      <c r="BR2375" s="12" t="str">
        <f t="shared" si="379"/>
        <v/>
      </c>
    </row>
    <row r="2376" spans="1:70" ht="14.25" customHeight="1">
      <c r="A2376" s="26"/>
      <c r="C2376" s="26"/>
      <c r="D2376" s="27"/>
      <c r="E2376" s="27"/>
      <c r="BE2376" s="10" t="str">
        <f t="shared" si="370"/>
        <v/>
      </c>
      <c r="BF2376" s="8" t="str">
        <f t="shared" si="371"/>
        <v/>
      </c>
      <c r="BG2376" s="11" t="str">
        <f t="shared" si="372"/>
        <v/>
      </c>
      <c r="BH2376" s="8" t="str">
        <f t="shared" si="373"/>
        <v/>
      </c>
      <c r="BI2376" s="8" t="str">
        <f t="shared" si="374"/>
        <v/>
      </c>
      <c r="BJ2376" s="9" t="str">
        <f t="shared" si="375"/>
        <v/>
      </c>
      <c r="BK2376" s="9" t="str">
        <f>IF($B2376="","",COUNTIFS($B$5:$B2376,$B2376,$BF$5:$BF2376,$BF2376))</f>
        <v/>
      </c>
      <c r="BL2376" s="9" t="str">
        <f>IF($B2376="","",COUNTIFS($B$5:$B2376,$B2376,$BH$5:$BH2376,$BH2376))</f>
        <v/>
      </c>
      <c r="BM2376" s="9" t="str">
        <f t="shared" si="376"/>
        <v/>
      </c>
      <c r="BN2376" s="9" t="str">
        <f t="shared" si="377"/>
        <v/>
      </c>
      <c r="BO2376" s="9">
        <f t="shared" si="378"/>
        <v>0</v>
      </c>
      <c r="BR2376" s="12" t="str">
        <f t="shared" si="379"/>
        <v/>
      </c>
    </row>
    <row r="2377" spans="1:70" ht="14.25" customHeight="1">
      <c r="A2377" s="26"/>
      <c r="C2377" s="26"/>
      <c r="D2377" s="27"/>
      <c r="E2377" s="27"/>
      <c r="BE2377" s="10" t="str">
        <f t="shared" si="370"/>
        <v/>
      </c>
      <c r="BF2377" s="8" t="str">
        <f t="shared" si="371"/>
        <v/>
      </c>
      <c r="BG2377" s="11" t="str">
        <f t="shared" si="372"/>
        <v/>
      </c>
      <c r="BH2377" s="8" t="str">
        <f t="shared" si="373"/>
        <v/>
      </c>
      <c r="BI2377" s="8" t="str">
        <f t="shared" si="374"/>
        <v/>
      </c>
      <c r="BJ2377" s="9" t="str">
        <f t="shared" si="375"/>
        <v/>
      </c>
      <c r="BK2377" s="9" t="str">
        <f>IF($B2377="","",COUNTIFS($B$5:$B2377,$B2377,$BF$5:$BF2377,$BF2377))</f>
        <v/>
      </c>
      <c r="BL2377" s="9" t="str">
        <f>IF($B2377="","",COUNTIFS($B$5:$B2377,$B2377,$BH$5:$BH2377,$BH2377))</f>
        <v/>
      </c>
      <c r="BM2377" s="9" t="str">
        <f t="shared" si="376"/>
        <v/>
      </c>
      <c r="BN2377" s="9" t="str">
        <f t="shared" si="377"/>
        <v/>
      </c>
      <c r="BO2377" s="9">
        <f t="shared" si="378"/>
        <v>0</v>
      </c>
      <c r="BR2377" s="12" t="str">
        <f t="shared" si="379"/>
        <v/>
      </c>
    </row>
    <row r="2378" spans="1:70" ht="14.25" customHeight="1">
      <c r="A2378" s="26"/>
      <c r="C2378" s="26"/>
      <c r="D2378" s="27"/>
      <c r="E2378" s="27"/>
      <c r="BE2378" s="10" t="str">
        <f t="shared" si="370"/>
        <v/>
      </c>
      <c r="BF2378" s="8" t="str">
        <f t="shared" si="371"/>
        <v/>
      </c>
      <c r="BG2378" s="11" t="str">
        <f t="shared" si="372"/>
        <v/>
      </c>
      <c r="BH2378" s="8" t="str">
        <f t="shared" si="373"/>
        <v/>
      </c>
      <c r="BI2378" s="8" t="str">
        <f t="shared" si="374"/>
        <v/>
      </c>
      <c r="BJ2378" s="9" t="str">
        <f t="shared" si="375"/>
        <v/>
      </c>
      <c r="BK2378" s="9" t="str">
        <f>IF($B2378="","",COUNTIFS($B$5:$B2378,$B2378,$BF$5:$BF2378,$BF2378))</f>
        <v/>
      </c>
      <c r="BL2378" s="9" t="str">
        <f>IF($B2378="","",COUNTIFS($B$5:$B2378,$B2378,$BH$5:$BH2378,$BH2378))</f>
        <v/>
      </c>
      <c r="BM2378" s="9" t="str">
        <f t="shared" si="376"/>
        <v/>
      </c>
      <c r="BN2378" s="9" t="str">
        <f t="shared" si="377"/>
        <v/>
      </c>
      <c r="BO2378" s="9">
        <f t="shared" si="378"/>
        <v>0</v>
      </c>
      <c r="BR2378" s="12" t="str">
        <f t="shared" si="379"/>
        <v/>
      </c>
    </row>
    <row r="2379" spans="1:70" ht="14.25" customHeight="1">
      <c r="A2379" s="26"/>
      <c r="C2379" s="26"/>
      <c r="D2379" s="27"/>
      <c r="E2379" s="27"/>
      <c r="BE2379" s="10" t="str">
        <f t="shared" si="370"/>
        <v/>
      </c>
      <c r="BF2379" s="8" t="str">
        <f t="shared" si="371"/>
        <v/>
      </c>
      <c r="BG2379" s="11" t="str">
        <f t="shared" si="372"/>
        <v/>
      </c>
      <c r="BH2379" s="8" t="str">
        <f t="shared" si="373"/>
        <v/>
      </c>
      <c r="BI2379" s="8" t="str">
        <f t="shared" si="374"/>
        <v/>
      </c>
      <c r="BJ2379" s="9" t="str">
        <f t="shared" si="375"/>
        <v/>
      </c>
      <c r="BK2379" s="9" t="str">
        <f>IF($B2379="","",COUNTIFS($B$5:$B2379,$B2379,$BF$5:$BF2379,$BF2379))</f>
        <v/>
      </c>
      <c r="BL2379" s="9" t="str">
        <f>IF($B2379="","",COUNTIFS($B$5:$B2379,$B2379,$BH$5:$BH2379,$BH2379))</f>
        <v/>
      </c>
      <c r="BM2379" s="9" t="str">
        <f t="shared" si="376"/>
        <v/>
      </c>
      <c r="BN2379" s="9" t="str">
        <f t="shared" si="377"/>
        <v/>
      </c>
      <c r="BO2379" s="9">
        <f t="shared" si="378"/>
        <v>0</v>
      </c>
      <c r="BR2379" s="12" t="str">
        <f t="shared" si="379"/>
        <v/>
      </c>
    </row>
    <row r="2380" spans="1:70" ht="14.25" customHeight="1">
      <c r="A2380" s="26"/>
      <c r="C2380" s="26"/>
      <c r="D2380" s="27"/>
      <c r="E2380" s="27"/>
      <c r="BE2380" s="10" t="str">
        <f t="shared" si="370"/>
        <v/>
      </c>
      <c r="BF2380" s="8" t="str">
        <f t="shared" si="371"/>
        <v/>
      </c>
      <c r="BG2380" s="11" t="str">
        <f t="shared" si="372"/>
        <v/>
      </c>
      <c r="BH2380" s="8" t="str">
        <f t="shared" si="373"/>
        <v/>
      </c>
      <c r="BI2380" s="8" t="str">
        <f t="shared" si="374"/>
        <v/>
      </c>
      <c r="BJ2380" s="9" t="str">
        <f t="shared" si="375"/>
        <v/>
      </c>
      <c r="BK2380" s="9" t="str">
        <f>IF($B2380="","",COUNTIFS($B$5:$B2380,$B2380,$BF$5:$BF2380,$BF2380))</f>
        <v/>
      </c>
      <c r="BL2380" s="9" t="str">
        <f>IF($B2380="","",COUNTIFS($B$5:$B2380,$B2380,$BH$5:$BH2380,$BH2380))</f>
        <v/>
      </c>
      <c r="BM2380" s="9" t="str">
        <f t="shared" si="376"/>
        <v/>
      </c>
      <c r="BN2380" s="9" t="str">
        <f t="shared" si="377"/>
        <v/>
      </c>
      <c r="BO2380" s="9">
        <f t="shared" si="378"/>
        <v>0</v>
      </c>
      <c r="BR2380" s="12" t="str">
        <f t="shared" si="379"/>
        <v/>
      </c>
    </row>
    <row r="2381" spans="1:70" ht="14.25" customHeight="1">
      <c r="A2381" s="26"/>
      <c r="C2381" s="26"/>
      <c r="D2381" s="27"/>
      <c r="E2381" s="27"/>
      <c r="BE2381" s="10" t="str">
        <f t="shared" si="370"/>
        <v/>
      </c>
      <c r="BF2381" s="8" t="str">
        <f t="shared" si="371"/>
        <v/>
      </c>
      <c r="BG2381" s="11" t="str">
        <f t="shared" si="372"/>
        <v/>
      </c>
      <c r="BH2381" s="8" t="str">
        <f t="shared" si="373"/>
        <v/>
      </c>
      <c r="BI2381" s="8" t="str">
        <f t="shared" si="374"/>
        <v/>
      </c>
      <c r="BJ2381" s="9" t="str">
        <f t="shared" si="375"/>
        <v/>
      </c>
      <c r="BK2381" s="9" t="str">
        <f>IF($B2381="","",COUNTIFS($B$5:$B2381,$B2381,$BF$5:$BF2381,$BF2381))</f>
        <v/>
      </c>
      <c r="BL2381" s="9" t="str">
        <f>IF($B2381="","",COUNTIFS($B$5:$B2381,$B2381,$BH$5:$BH2381,$BH2381))</f>
        <v/>
      </c>
      <c r="BM2381" s="9" t="str">
        <f t="shared" si="376"/>
        <v/>
      </c>
      <c r="BN2381" s="9" t="str">
        <f t="shared" si="377"/>
        <v/>
      </c>
      <c r="BO2381" s="9">
        <f t="shared" si="378"/>
        <v>0</v>
      </c>
      <c r="BR2381" s="12" t="str">
        <f t="shared" si="379"/>
        <v/>
      </c>
    </row>
    <row r="2382" spans="1:70" ht="14.25" customHeight="1">
      <c r="A2382" s="26"/>
      <c r="C2382" s="26"/>
      <c r="D2382" s="27"/>
      <c r="E2382" s="27"/>
      <c r="BE2382" s="10" t="str">
        <f t="shared" si="370"/>
        <v/>
      </c>
      <c r="BF2382" s="8" t="str">
        <f t="shared" si="371"/>
        <v/>
      </c>
      <c r="BG2382" s="11" t="str">
        <f t="shared" si="372"/>
        <v/>
      </c>
      <c r="BH2382" s="8" t="str">
        <f t="shared" si="373"/>
        <v/>
      </c>
      <c r="BI2382" s="8" t="str">
        <f t="shared" si="374"/>
        <v/>
      </c>
      <c r="BJ2382" s="9" t="str">
        <f t="shared" si="375"/>
        <v/>
      </c>
      <c r="BK2382" s="9" t="str">
        <f>IF($B2382="","",COUNTIFS($B$5:$B2382,$B2382,$BF$5:$BF2382,$BF2382))</f>
        <v/>
      </c>
      <c r="BL2382" s="9" t="str">
        <f>IF($B2382="","",COUNTIFS($B$5:$B2382,$B2382,$BH$5:$BH2382,$BH2382))</f>
        <v/>
      </c>
      <c r="BM2382" s="9" t="str">
        <f t="shared" si="376"/>
        <v/>
      </c>
      <c r="BN2382" s="9" t="str">
        <f t="shared" si="377"/>
        <v/>
      </c>
      <c r="BO2382" s="9">
        <f t="shared" si="378"/>
        <v>0</v>
      </c>
      <c r="BR2382" s="12" t="str">
        <f t="shared" si="379"/>
        <v/>
      </c>
    </row>
    <row r="2383" spans="1:70" ht="14.25" customHeight="1">
      <c r="A2383" s="26"/>
      <c r="C2383" s="26"/>
      <c r="D2383" s="27"/>
      <c r="E2383" s="27"/>
      <c r="BE2383" s="10" t="str">
        <f t="shared" si="370"/>
        <v/>
      </c>
      <c r="BF2383" s="8" t="str">
        <f t="shared" si="371"/>
        <v/>
      </c>
      <c r="BG2383" s="11" t="str">
        <f t="shared" si="372"/>
        <v/>
      </c>
      <c r="BH2383" s="8" t="str">
        <f t="shared" si="373"/>
        <v/>
      </c>
      <c r="BI2383" s="8" t="str">
        <f t="shared" si="374"/>
        <v/>
      </c>
      <c r="BJ2383" s="9" t="str">
        <f t="shared" si="375"/>
        <v/>
      </c>
      <c r="BK2383" s="9" t="str">
        <f>IF($B2383="","",COUNTIFS($B$5:$B2383,$B2383,$BF$5:$BF2383,$BF2383))</f>
        <v/>
      </c>
      <c r="BL2383" s="9" t="str">
        <f>IF($B2383="","",COUNTIFS($B$5:$B2383,$B2383,$BH$5:$BH2383,$BH2383))</f>
        <v/>
      </c>
      <c r="BM2383" s="9" t="str">
        <f t="shared" si="376"/>
        <v/>
      </c>
      <c r="BN2383" s="9" t="str">
        <f t="shared" si="377"/>
        <v/>
      </c>
      <c r="BO2383" s="9">
        <f t="shared" si="378"/>
        <v>0</v>
      </c>
      <c r="BR2383" s="12" t="str">
        <f t="shared" si="379"/>
        <v/>
      </c>
    </row>
    <row r="2384" spans="1:70" ht="14.25" customHeight="1">
      <c r="A2384" s="26"/>
      <c r="C2384" s="26"/>
      <c r="D2384" s="27"/>
      <c r="E2384" s="27"/>
      <c r="BE2384" s="10" t="str">
        <f t="shared" si="370"/>
        <v/>
      </c>
      <c r="BF2384" s="8" t="str">
        <f t="shared" si="371"/>
        <v/>
      </c>
      <c r="BG2384" s="11" t="str">
        <f t="shared" si="372"/>
        <v/>
      </c>
      <c r="BH2384" s="8" t="str">
        <f t="shared" si="373"/>
        <v/>
      </c>
      <c r="BI2384" s="8" t="str">
        <f t="shared" si="374"/>
        <v/>
      </c>
      <c r="BJ2384" s="9" t="str">
        <f t="shared" si="375"/>
        <v/>
      </c>
      <c r="BK2384" s="9" t="str">
        <f>IF($B2384="","",COUNTIFS($B$5:$B2384,$B2384,$BF$5:$BF2384,$BF2384))</f>
        <v/>
      </c>
      <c r="BL2384" s="9" t="str">
        <f>IF($B2384="","",COUNTIFS($B$5:$B2384,$B2384,$BH$5:$BH2384,$BH2384))</f>
        <v/>
      </c>
      <c r="BM2384" s="9" t="str">
        <f t="shared" si="376"/>
        <v/>
      </c>
      <c r="BN2384" s="9" t="str">
        <f t="shared" si="377"/>
        <v/>
      </c>
      <c r="BO2384" s="9">
        <f t="shared" si="378"/>
        <v>0</v>
      </c>
      <c r="BR2384" s="12" t="str">
        <f t="shared" si="379"/>
        <v/>
      </c>
    </row>
    <row r="2385" spans="1:70" ht="14.25" customHeight="1">
      <c r="A2385" s="26"/>
      <c r="C2385" s="26"/>
      <c r="D2385" s="27"/>
      <c r="E2385" s="27"/>
      <c r="BE2385" s="10" t="str">
        <f t="shared" si="370"/>
        <v/>
      </c>
      <c r="BF2385" s="8" t="str">
        <f t="shared" si="371"/>
        <v/>
      </c>
      <c r="BG2385" s="11" t="str">
        <f t="shared" si="372"/>
        <v/>
      </c>
      <c r="BH2385" s="8" t="str">
        <f t="shared" si="373"/>
        <v/>
      </c>
      <c r="BI2385" s="8" t="str">
        <f t="shared" si="374"/>
        <v/>
      </c>
      <c r="BJ2385" s="9" t="str">
        <f t="shared" si="375"/>
        <v/>
      </c>
      <c r="BK2385" s="9" t="str">
        <f>IF($B2385="","",COUNTIFS($B$5:$B2385,$B2385,$BF$5:$BF2385,$BF2385))</f>
        <v/>
      </c>
      <c r="BL2385" s="9" t="str">
        <f>IF($B2385="","",COUNTIFS($B$5:$B2385,$B2385,$BH$5:$BH2385,$BH2385))</f>
        <v/>
      </c>
      <c r="BM2385" s="9" t="str">
        <f t="shared" si="376"/>
        <v/>
      </c>
      <c r="BN2385" s="9" t="str">
        <f t="shared" si="377"/>
        <v/>
      </c>
      <c r="BO2385" s="9">
        <f t="shared" si="378"/>
        <v>0</v>
      </c>
      <c r="BR2385" s="12" t="str">
        <f t="shared" si="379"/>
        <v/>
      </c>
    </row>
    <row r="2386" spans="1:70" ht="14.25" customHeight="1">
      <c r="A2386" s="26"/>
      <c r="C2386" s="26"/>
      <c r="D2386" s="27"/>
      <c r="E2386" s="27"/>
      <c r="BE2386" s="10" t="str">
        <f t="shared" si="370"/>
        <v/>
      </c>
      <c r="BF2386" s="8" t="str">
        <f t="shared" si="371"/>
        <v/>
      </c>
      <c r="BG2386" s="11" t="str">
        <f t="shared" si="372"/>
        <v/>
      </c>
      <c r="BH2386" s="8" t="str">
        <f t="shared" si="373"/>
        <v/>
      </c>
      <c r="BI2386" s="8" t="str">
        <f t="shared" si="374"/>
        <v/>
      </c>
      <c r="BJ2386" s="9" t="str">
        <f t="shared" si="375"/>
        <v/>
      </c>
      <c r="BK2386" s="9" t="str">
        <f>IF($B2386="","",COUNTIFS($B$5:$B2386,$B2386,$BF$5:$BF2386,$BF2386))</f>
        <v/>
      </c>
      <c r="BL2386" s="9" t="str">
        <f>IF($B2386="","",COUNTIFS($B$5:$B2386,$B2386,$BH$5:$BH2386,$BH2386))</f>
        <v/>
      </c>
      <c r="BM2386" s="9" t="str">
        <f t="shared" si="376"/>
        <v/>
      </c>
      <c r="BN2386" s="9" t="str">
        <f t="shared" si="377"/>
        <v/>
      </c>
      <c r="BO2386" s="9">
        <f t="shared" si="378"/>
        <v>0</v>
      </c>
      <c r="BR2386" s="12" t="str">
        <f t="shared" si="379"/>
        <v/>
      </c>
    </row>
    <row r="2387" spans="1:70" ht="14.25" customHeight="1">
      <c r="A2387" s="26"/>
      <c r="C2387" s="26"/>
      <c r="D2387" s="27"/>
      <c r="E2387" s="27"/>
      <c r="BE2387" s="10" t="str">
        <f t="shared" si="370"/>
        <v/>
      </c>
      <c r="BF2387" s="8" t="str">
        <f t="shared" si="371"/>
        <v/>
      </c>
      <c r="BG2387" s="11" t="str">
        <f t="shared" si="372"/>
        <v/>
      </c>
      <c r="BH2387" s="8" t="str">
        <f t="shared" si="373"/>
        <v/>
      </c>
      <c r="BI2387" s="8" t="str">
        <f t="shared" si="374"/>
        <v/>
      </c>
      <c r="BJ2387" s="9" t="str">
        <f t="shared" si="375"/>
        <v/>
      </c>
      <c r="BK2387" s="9" t="str">
        <f>IF($B2387="","",COUNTIFS($B$5:$B2387,$B2387,$BF$5:$BF2387,$BF2387))</f>
        <v/>
      </c>
      <c r="BL2387" s="9" t="str">
        <f>IF($B2387="","",COUNTIFS($B$5:$B2387,$B2387,$BH$5:$BH2387,$BH2387))</f>
        <v/>
      </c>
      <c r="BM2387" s="9" t="str">
        <f t="shared" si="376"/>
        <v/>
      </c>
      <c r="BN2387" s="9" t="str">
        <f t="shared" si="377"/>
        <v/>
      </c>
      <c r="BO2387" s="9">
        <f t="shared" si="378"/>
        <v>0</v>
      </c>
      <c r="BR2387" s="12" t="str">
        <f t="shared" si="379"/>
        <v/>
      </c>
    </row>
    <row r="2388" spans="1:70" ht="14.25" customHeight="1">
      <c r="A2388" s="26"/>
      <c r="C2388" s="26"/>
      <c r="D2388" s="27"/>
      <c r="E2388" s="27"/>
      <c r="BE2388" s="10" t="str">
        <f t="shared" si="370"/>
        <v/>
      </c>
      <c r="BF2388" s="8" t="str">
        <f t="shared" si="371"/>
        <v/>
      </c>
      <c r="BG2388" s="11" t="str">
        <f t="shared" si="372"/>
        <v/>
      </c>
      <c r="BH2388" s="8" t="str">
        <f t="shared" si="373"/>
        <v/>
      </c>
      <c r="BI2388" s="8" t="str">
        <f t="shared" si="374"/>
        <v/>
      </c>
      <c r="BJ2388" s="9" t="str">
        <f t="shared" si="375"/>
        <v/>
      </c>
      <c r="BK2388" s="9" t="str">
        <f>IF($B2388="","",COUNTIFS($B$5:$B2388,$B2388,$BF$5:$BF2388,$BF2388))</f>
        <v/>
      </c>
      <c r="BL2388" s="9" t="str">
        <f>IF($B2388="","",COUNTIFS($B$5:$B2388,$B2388,$BH$5:$BH2388,$BH2388))</f>
        <v/>
      </c>
      <c r="BM2388" s="9" t="str">
        <f t="shared" si="376"/>
        <v/>
      </c>
      <c r="BN2388" s="9" t="str">
        <f t="shared" si="377"/>
        <v/>
      </c>
      <c r="BO2388" s="9">
        <f t="shared" si="378"/>
        <v>0</v>
      </c>
      <c r="BR2388" s="12" t="str">
        <f t="shared" si="379"/>
        <v/>
      </c>
    </row>
    <row r="2389" spans="1:70" ht="14.25" customHeight="1">
      <c r="A2389" s="26"/>
      <c r="C2389" s="26"/>
      <c r="D2389" s="27"/>
      <c r="E2389" s="27"/>
      <c r="BE2389" s="10" t="str">
        <f t="shared" si="370"/>
        <v/>
      </c>
      <c r="BF2389" s="8" t="str">
        <f t="shared" si="371"/>
        <v/>
      </c>
      <c r="BG2389" s="11" t="str">
        <f t="shared" si="372"/>
        <v/>
      </c>
      <c r="BH2389" s="8" t="str">
        <f t="shared" si="373"/>
        <v/>
      </c>
      <c r="BI2389" s="8" t="str">
        <f t="shared" si="374"/>
        <v/>
      </c>
      <c r="BJ2389" s="9" t="str">
        <f t="shared" si="375"/>
        <v/>
      </c>
      <c r="BK2389" s="9" t="str">
        <f>IF($B2389="","",COUNTIFS($B$5:$B2389,$B2389,$BF$5:$BF2389,$BF2389))</f>
        <v/>
      </c>
      <c r="BL2389" s="9" t="str">
        <f>IF($B2389="","",COUNTIFS($B$5:$B2389,$B2389,$BH$5:$BH2389,$BH2389))</f>
        <v/>
      </c>
      <c r="BM2389" s="9" t="str">
        <f t="shared" si="376"/>
        <v/>
      </c>
      <c r="BN2389" s="9" t="str">
        <f t="shared" si="377"/>
        <v/>
      </c>
      <c r="BO2389" s="9">
        <f t="shared" si="378"/>
        <v>0</v>
      </c>
      <c r="BR2389" s="12" t="str">
        <f t="shared" si="379"/>
        <v/>
      </c>
    </row>
    <row r="2390" spans="1:70" ht="14.25" customHeight="1">
      <c r="A2390" s="26"/>
      <c r="C2390" s="26"/>
      <c r="D2390" s="27"/>
      <c r="E2390" s="27"/>
      <c r="BE2390" s="10" t="str">
        <f t="shared" si="370"/>
        <v/>
      </c>
      <c r="BF2390" s="8" t="str">
        <f t="shared" si="371"/>
        <v/>
      </c>
      <c r="BG2390" s="11" t="str">
        <f t="shared" si="372"/>
        <v/>
      </c>
      <c r="BH2390" s="8" t="str">
        <f t="shared" si="373"/>
        <v/>
      </c>
      <c r="BI2390" s="8" t="str">
        <f t="shared" si="374"/>
        <v/>
      </c>
      <c r="BJ2390" s="9" t="str">
        <f t="shared" si="375"/>
        <v/>
      </c>
      <c r="BK2390" s="9" t="str">
        <f>IF($B2390="","",COUNTIFS($B$5:$B2390,$B2390,$BF$5:$BF2390,$BF2390))</f>
        <v/>
      </c>
      <c r="BL2390" s="9" t="str">
        <f>IF($B2390="","",COUNTIFS($B$5:$B2390,$B2390,$BH$5:$BH2390,$BH2390))</f>
        <v/>
      </c>
      <c r="BM2390" s="9" t="str">
        <f t="shared" si="376"/>
        <v/>
      </c>
      <c r="BN2390" s="9" t="str">
        <f t="shared" si="377"/>
        <v/>
      </c>
      <c r="BO2390" s="9">
        <f t="shared" si="378"/>
        <v>0</v>
      </c>
      <c r="BR2390" s="12" t="str">
        <f t="shared" si="379"/>
        <v/>
      </c>
    </row>
    <row r="2391" spans="1:70" ht="14.25" customHeight="1">
      <c r="A2391" s="26"/>
      <c r="C2391" s="26"/>
      <c r="D2391" s="27"/>
      <c r="E2391" s="27"/>
      <c r="BE2391" s="10" t="str">
        <f t="shared" si="370"/>
        <v/>
      </c>
      <c r="BF2391" s="8" t="str">
        <f t="shared" si="371"/>
        <v/>
      </c>
      <c r="BG2391" s="11" t="str">
        <f t="shared" si="372"/>
        <v/>
      </c>
      <c r="BH2391" s="8" t="str">
        <f t="shared" si="373"/>
        <v/>
      </c>
      <c r="BI2391" s="8" t="str">
        <f t="shared" si="374"/>
        <v/>
      </c>
      <c r="BJ2391" s="9" t="str">
        <f t="shared" si="375"/>
        <v/>
      </c>
      <c r="BK2391" s="9" t="str">
        <f>IF($B2391="","",COUNTIFS($B$5:$B2391,$B2391,$BF$5:$BF2391,$BF2391))</f>
        <v/>
      </c>
      <c r="BL2391" s="9" t="str">
        <f>IF($B2391="","",COUNTIFS($B$5:$B2391,$B2391,$BH$5:$BH2391,$BH2391))</f>
        <v/>
      </c>
      <c r="BM2391" s="9" t="str">
        <f t="shared" si="376"/>
        <v/>
      </c>
      <c r="BN2391" s="9" t="str">
        <f t="shared" si="377"/>
        <v/>
      </c>
      <c r="BO2391" s="9">
        <f t="shared" si="378"/>
        <v>0</v>
      </c>
      <c r="BR2391" s="12" t="str">
        <f t="shared" si="379"/>
        <v/>
      </c>
    </row>
    <row r="2392" spans="1:70" ht="14.25" customHeight="1">
      <c r="A2392" s="26"/>
      <c r="C2392" s="26"/>
      <c r="D2392" s="27"/>
      <c r="E2392" s="27"/>
      <c r="BE2392" s="10" t="str">
        <f t="shared" si="370"/>
        <v/>
      </c>
      <c r="BF2392" s="8" t="str">
        <f t="shared" si="371"/>
        <v/>
      </c>
      <c r="BG2392" s="11" t="str">
        <f t="shared" si="372"/>
        <v/>
      </c>
      <c r="BH2392" s="8" t="str">
        <f t="shared" si="373"/>
        <v/>
      </c>
      <c r="BI2392" s="8" t="str">
        <f t="shared" si="374"/>
        <v/>
      </c>
      <c r="BJ2392" s="9" t="str">
        <f t="shared" si="375"/>
        <v/>
      </c>
      <c r="BK2392" s="9" t="str">
        <f>IF($B2392="","",COUNTIFS($B$5:$B2392,$B2392,$BF$5:$BF2392,$BF2392))</f>
        <v/>
      </c>
      <c r="BL2392" s="9" t="str">
        <f>IF($B2392="","",COUNTIFS($B$5:$B2392,$B2392,$BH$5:$BH2392,$BH2392))</f>
        <v/>
      </c>
      <c r="BM2392" s="9" t="str">
        <f t="shared" si="376"/>
        <v/>
      </c>
      <c r="BN2392" s="9" t="str">
        <f t="shared" si="377"/>
        <v/>
      </c>
      <c r="BO2392" s="9">
        <f t="shared" si="378"/>
        <v>0</v>
      </c>
      <c r="BR2392" s="12" t="str">
        <f t="shared" si="379"/>
        <v/>
      </c>
    </row>
    <row r="2393" spans="1:70" ht="14.25" customHeight="1">
      <c r="A2393" s="26"/>
      <c r="C2393" s="26"/>
      <c r="D2393" s="27"/>
      <c r="E2393" s="27"/>
      <c r="BE2393" s="10" t="str">
        <f t="shared" si="370"/>
        <v/>
      </c>
      <c r="BF2393" s="8" t="str">
        <f t="shared" si="371"/>
        <v/>
      </c>
      <c r="BG2393" s="11" t="str">
        <f t="shared" si="372"/>
        <v/>
      </c>
      <c r="BH2393" s="8" t="str">
        <f t="shared" si="373"/>
        <v/>
      </c>
      <c r="BI2393" s="8" t="str">
        <f t="shared" si="374"/>
        <v/>
      </c>
      <c r="BJ2393" s="9" t="str">
        <f t="shared" si="375"/>
        <v/>
      </c>
      <c r="BK2393" s="9" t="str">
        <f>IF($B2393="","",COUNTIFS($B$5:$B2393,$B2393,$BF$5:$BF2393,$BF2393))</f>
        <v/>
      </c>
      <c r="BL2393" s="9" t="str">
        <f>IF($B2393="","",COUNTIFS($B$5:$B2393,$B2393,$BH$5:$BH2393,$BH2393))</f>
        <v/>
      </c>
      <c r="BM2393" s="9" t="str">
        <f t="shared" si="376"/>
        <v/>
      </c>
      <c r="BN2393" s="9" t="str">
        <f t="shared" si="377"/>
        <v/>
      </c>
      <c r="BO2393" s="9">
        <f t="shared" si="378"/>
        <v>0</v>
      </c>
      <c r="BR2393" s="12" t="str">
        <f t="shared" si="379"/>
        <v/>
      </c>
    </row>
    <row r="2394" spans="1:70" ht="14.25" customHeight="1">
      <c r="A2394" s="26"/>
      <c r="C2394" s="26"/>
      <c r="D2394" s="27"/>
      <c r="E2394" s="27"/>
      <c r="BE2394" s="10" t="str">
        <f t="shared" si="370"/>
        <v/>
      </c>
      <c r="BF2394" s="8" t="str">
        <f t="shared" si="371"/>
        <v/>
      </c>
      <c r="BG2394" s="11" t="str">
        <f t="shared" si="372"/>
        <v/>
      </c>
      <c r="BH2394" s="8" t="str">
        <f t="shared" si="373"/>
        <v/>
      </c>
      <c r="BI2394" s="8" t="str">
        <f t="shared" si="374"/>
        <v/>
      </c>
      <c r="BJ2394" s="9" t="str">
        <f t="shared" si="375"/>
        <v/>
      </c>
      <c r="BK2394" s="9" t="str">
        <f>IF($B2394="","",COUNTIFS($B$5:$B2394,$B2394,$BF$5:$BF2394,$BF2394))</f>
        <v/>
      </c>
      <c r="BL2394" s="9" t="str">
        <f>IF($B2394="","",COUNTIFS($B$5:$B2394,$B2394,$BH$5:$BH2394,$BH2394))</f>
        <v/>
      </c>
      <c r="BM2394" s="9" t="str">
        <f t="shared" si="376"/>
        <v/>
      </c>
      <c r="BN2394" s="9" t="str">
        <f t="shared" si="377"/>
        <v/>
      </c>
      <c r="BO2394" s="9">
        <f t="shared" si="378"/>
        <v>0</v>
      </c>
      <c r="BR2394" s="12" t="str">
        <f t="shared" si="379"/>
        <v/>
      </c>
    </row>
    <row r="2395" spans="1:70" ht="14.25" customHeight="1">
      <c r="A2395" s="26"/>
      <c r="C2395" s="26"/>
      <c r="D2395" s="27"/>
      <c r="E2395" s="27"/>
      <c r="BE2395" s="10" t="str">
        <f t="shared" si="370"/>
        <v/>
      </c>
      <c r="BF2395" s="8" t="str">
        <f t="shared" si="371"/>
        <v/>
      </c>
      <c r="BG2395" s="11" t="str">
        <f t="shared" si="372"/>
        <v/>
      </c>
      <c r="BH2395" s="8" t="str">
        <f t="shared" si="373"/>
        <v/>
      </c>
      <c r="BI2395" s="8" t="str">
        <f t="shared" si="374"/>
        <v/>
      </c>
      <c r="BJ2395" s="9" t="str">
        <f t="shared" si="375"/>
        <v/>
      </c>
      <c r="BK2395" s="9" t="str">
        <f>IF($B2395="","",COUNTIFS($B$5:$B2395,$B2395,$BF$5:$BF2395,$BF2395))</f>
        <v/>
      </c>
      <c r="BL2395" s="9" t="str">
        <f>IF($B2395="","",COUNTIFS($B$5:$B2395,$B2395,$BH$5:$BH2395,$BH2395))</f>
        <v/>
      </c>
      <c r="BM2395" s="9" t="str">
        <f t="shared" si="376"/>
        <v/>
      </c>
      <c r="BN2395" s="9" t="str">
        <f t="shared" si="377"/>
        <v/>
      </c>
      <c r="BO2395" s="9">
        <f t="shared" si="378"/>
        <v>0</v>
      </c>
      <c r="BR2395" s="12" t="str">
        <f t="shared" si="379"/>
        <v/>
      </c>
    </row>
    <row r="2396" spans="1:70" ht="14.25" customHeight="1">
      <c r="A2396" s="26"/>
      <c r="C2396" s="26"/>
      <c r="D2396" s="27"/>
      <c r="E2396" s="27"/>
      <c r="BE2396" s="10" t="str">
        <f t="shared" si="370"/>
        <v/>
      </c>
      <c r="BF2396" s="8" t="str">
        <f t="shared" si="371"/>
        <v/>
      </c>
      <c r="BG2396" s="11" t="str">
        <f t="shared" si="372"/>
        <v/>
      </c>
      <c r="BH2396" s="8" t="str">
        <f t="shared" si="373"/>
        <v/>
      </c>
      <c r="BI2396" s="8" t="str">
        <f t="shared" si="374"/>
        <v/>
      </c>
      <c r="BJ2396" s="9" t="str">
        <f t="shared" si="375"/>
        <v/>
      </c>
      <c r="BK2396" s="9" t="str">
        <f>IF($B2396="","",COUNTIFS($B$5:$B2396,$B2396,$BF$5:$BF2396,$BF2396))</f>
        <v/>
      </c>
      <c r="BL2396" s="9" t="str">
        <f>IF($B2396="","",COUNTIFS($B$5:$B2396,$B2396,$BH$5:$BH2396,$BH2396))</f>
        <v/>
      </c>
      <c r="BM2396" s="9" t="str">
        <f t="shared" si="376"/>
        <v/>
      </c>
      <c r="BN2396" s="9" t="str">
        <f t="shared" si="377"/>
        <v/>
      </c>
      <c r="BO2396" s="9">
        <f t="shared" si="378"/>
        <v>0</v>
      </c>
      <c r="BR2396" s="12" t="str">
        <f t="shared" si="379"/>
        <v/>
      </c>
    </row>
    <row r="2397" spans="1:70" ht="14.25" customHeight="1">
      <c r="A2397" s="26"/>
      <c r="C2397" s="26"/>
      <c r="D2397" s="27"/>
      <c r="E2397" s="27"/>
      <c r="BE2397" s="10" t="str">
        <f t="shared" ref="BE2397:BE2460" si="380">IF($B2397="","",IF(COUNT($H2397,$J2397,$L2397,$N2397,$P2397,$R2397)&gt;0,SUM($H2397,$J2397,$L2397,$N2397,$P2397,$R2397),SUM($T2397,$V2397,$X2397,$Z2397,$AB2397,$AD2397,$AF2397,$AH2397,$AJ2397,$AL2397,$AN2397,$AP2397,$AR2397,$AT2397,$AV2397,$AX2397,$AZ2397)))</f>
        <v/>
      </c>
      <c r="BF2397" s="8" t="str">
        <f t="shared" ref="BF2397:BF2460" si="381">IF($C2397="","",DATE(YEAR($C2397),MONTH($C2397),1))</f>
        <v/>
      </c>
      <c r="BG2397" s="11" t="str">
        <f t="shared" ref="BG2397:BG2460" si="382">IF($BF2397="","",TEXT($BF2397,"mmmm yyyy"))</f>
        <v/>
      </c>
      <c r="BH2397" s="8" t="str">
        <f t="shared" ref="BH2397:BH2460" si="383">IF($C2397="","",$C2397-WEEKDAY($C2397,2)+1)</f>
        <v/>
      </c>
      <c r="BI2397" s="8" t="str">
        <f t="shared" ref="BI2397:BI2460" si="384">IF($BH2397="","",$BH2397+6)</f>
        <v/>
      </c>
      <c r="BJ2397" s="9" t="str">
        <f t="shared" ref="BJ2397:BJ2460" si="385">IF($BH2397="","",TEXT($BH2397,"dd/mm/yyyy")&amp;" - "&amp;TEXT($BI2397,"dd/mm/yyyy"))</f>
        <v/>
      </c>
      <c r="BK2397" s="9" t="str">
        <f>IF($B2397="","",COUNTIFS($B$5:$B2397,$B2397,$BF$5:$BF2397,$BF2397))</f>
        <v/>
      </c>
      <c r="BL2397" s="9" t="str">
        <f>IF($B2397="","",COUNTIFS($B$5:$B2397,$B2397,$BH$5:$BH2397,$BH2397))</f>
        <v/>
      </c>
      <c r="BM2397" s="9" t="str">
        <f t="shared" ref="BM2397:BM2460" si="386">IF($B2397="","",TEXT($BK2397,"00")&amp;"|"&amp;$B2397&amp;"|"&amp;TEXT($BF2397,"yyyymmdd"))</f>
        <v/>
      </c>
      <c r="BN2397" s="9" t="str">
        <f t="shared" ref="BN2397:BN2460" si="387">IF($B2397="","",TEXT($BL2397,"00")&amp;"|"&amp;$B2397&amp;"|"&amp;TEXT($BH2397,"yyyymmdd"))</f>
        <v/>
      </c>
      <c r="BO2397" s="9">
        <f t="shared" ref="BO2397:BO2460" si="388">IF(OR($BB2397="YES",$BB2397="Yes",$BB2397="Y",$BB2397=1),1,0)</f>
        <v>0</v>
      </c>
      <c r="BR2397" s="12" t="str">
        <f t="shared" ref="BR2397:BR2460" si="389">IF($C2397="","",IF($C2397&gt;=DATE(2026,6,1),"QA-2026-06",IF($C2397&gt;=DATE(2026,5,1),"May 2026+",IF($C2397&gt;=DATE(2026,4,1),"April 2026",IF($C2397&gt;=DATE(2026,3,1),"March 2026","Jan-Feb 2026")))))</f>
        <v/>
      </c>
    </row>
    <row r="2398" spans="1:70" ht="14.25" customHeight="1">
      <c r="A2398" s="26"/>
      <c r="C2398" s="26"/>
      <c r="D2398" s="27"/>
      <c r="E2398" s="27"/>
      <c r="BE2398" s="10" t="str">
        <f t="shared" si="380"/>
        <v/>
      </c>
      <c r="BF2398" s="8" t="str">
        <f t="shared" si="381"/>
        <v/>
      </c>
      <c r="BG2398" s="11" t="str">
        <f t="shared" si="382"/>
        <v/>
      </c>
      <c r="BH2398" s="8" t="str">
        <f t="shared" si="383"/>
        <v/>
      </c>
      <c r="BI2398" s="8" t="str">
        <f t="shared" si="384"/>
        <v/>
      </c>
      <c r="BJ2398" s="9" t="str">
        <f t="shared" si="385"/>
        <v/>
      </c>
      <c r="BK2398" s="9" t="str">
        <f>IF($B2398="","",COUNTIFS($B$5:$B2398,$B2398,$BF$5:$BF2398,$BF2398))</f>
        <v/>
      </c>
      <c r="BL2398" s="9" t="str">
        <f>IF($B2398="","",COUNTIFS($B$5:$B2398,$B2398,$BH$5:$BH2398,$BH2398))</f>
        <v/>
      </c>
      <c r="BM2398" s="9" t="str">
        <f t="shared" si="386"/>
        <v/>
      </c>
      <c r="BN2398" s="9" t="str">
        <f t="shared" si="387"/>
        <v/>
      </c>
      <c r="BO2398" s="9">
        <f t="shared" si="388"/>
        <v>0</v>
      </c>
      <c r="BR2398" s="12" t="str">
        <f t="shared" si="389"/>
        <v/>
      </c>
    </row>
    <row r="2399" spans="1:70" ht="14.25" customHeight="1">
      <c r="A2399" s="26"/>
      <c r="C2399" s="26"/>
      <c r="D2399" s="27"/>
      <c r="E2399" s="27"/>
      <c r="BE2399" s="10" t="str">
        <f t="shared" si="380"/>
        <v/>
      </c>
      <c r="BF2399" s="8" t="str">
        <f t="shared" si="381"/>
        <v/>
      </c>
      <c r="BG2399" s="11" t="str">
        <f t="shared" si="382"/>
        <v/>
      </c>
      <c r="BH2399" s="8" t="str">
        <f t="shared" si="383"/>
        <v/>
      </c>
      <c r="BI2399" s="8" t="str">
        <f t="shared" si="384"/>
        <v/>
      </c>
      <c r="BJ2399" s="9" t="str">
        <f t="shared" si="385"/>
        <v/>
      </c>
      <c r="BK2399" s="9" t="str">
        <f>IF($B2399="","",COUNTIFS($B$5:$B2399,$B2399,$BF$5:$BF2399,$BF2399))</f>
        <v/>
      </c>
      <c r="BL2399" s="9" t="str">
        <f>IF($B2399="","",COUNTIFS($B$5:$B2399,$B2399,$BH$5:$BH2399,$BH2399))</f>
        <v/>
      </c>
      <c r="BM2399" s="9" t="str">
        <f t="shared" si="386"/>
        <v/>
      </c>
      <c r="BN2399" s="9" t="str">
        <f t="shared" si="387"/>
        <v/>
      </c>
      <c r="BO2399" s="9">
        <f t="shared" si="388"/>
        <v>0</v>
      </c>
      <c r="BR2399" s="12" t="str">
        <f t="shared" si="389"/>
        <v/>
      </c>
    </row>
    <row r="2400" spans="1:70" ht="14.25" customHeight="1">
      <c r="A2400" s="26"/>
      <c r="C2400" s="26"/>
      <c r="D2400" s="27"/>
      <c r="E2400" s="27"/>
      <c r="BE2400" s="10" t="str">
        <f t="shared" si="380"/>
        <v/>
      </c>
      <c r="BF2400" s="8" t="str">
        <f t="shared" si="381"/>
        <v/>
      </c>
      <c r="BG2400" s="11" t="str">
        <f t="shared" si="382"/>
        <v/>
      </c>
      <c r="BH2400" s="8" t="str">
        <f t="shared" si="383"/>
        <v/>
      </c>
      <c r="BI2400" s="8" t="str">
        <f t="shared" si="384"/>
        <v/>
      </c>
      <c r="BJ2400" s="9" t="str">
        <f t="shared" si="385"/>
        <v/>
      </c>
      <c r="BK2400" s="9" t="str">
        <f>IF($B2400="","",COUNTIFS($B$5:$B2400,$B2400,$BF$5:$BF2400,$BF2400))</f>
        <v/>
      </c>
      <c r="BL2400" s="9" t="str">
        <f>IF($B2400="","",COUNTIFS($B$5:$B2400,$B2400,$BH$5:$BH2400,$BH2400))</f>
        <v/>
      </c>
      <c r="BM2400" s="9" t="str">
        <f t="shared" si="386"/>
        <v/>
      </c>
      <c r="BN2400" s="9" t="str">
        <f t="shared" si="387"/>
        <v/>
      </c>
      <c r="BO2400" s="9">
        <f t="shared" si="388"/>
        <v>0</v>
      </c>
      <c r="BR2400" s="12" t="str">
        <f t="shared" si="389"/>
        <v/>
      </c>
    </row>
    <row r="2401" spans="1:70" ht="14.25" customHeight="1">
      <c r="A2401" s="26"/>
      <c r="C2401" s="26"/>
      <c r="D2401" s="27"/>
      <c r="E2401" s="27"/>
      <c r="BE2401" s="10" t="str">
        <f t="shared" si="380"/>
        <v/>
      </c>
      <c r="BF2401" s="8" t="str">
        <f t="shared" si="381"/>
        <v/>
      </c>
      <c r="BG2401" s="11" t="str">
        <f t="shared" si="382"/>
        <v/>
      </c>
      <c r="BH2401" s="8" t="str">
        <f t="shared" si="383"/>
        <v/>
      </c>
      <c r="BI2401" s="8" t="str">
        <f t="shared" si="384"/>
        <v/>
      </c>
      <c r="BJ2401" s="9" t="str">
        <f t="shared" si="385"/>
        <v/>
      </c>
      <c r="BK2401" s="9" t="str">
        <f>IF($B2401="","",COUNTIFS($B$5:$B2401,$B2401,$BF$5:$BF2401,$BF2401))</f>
        <v/>
      </c>
      <c r="BL2401" s="9" t="str">
        <f>IF($B2401="","",COUNTIFS($B$5:$B2401,$B2401,$BH$5:$BH2401,$BH2401))</f>
        <v/>
      </c>
      <c r="BM2401" s="9" t="str">
        <f t="shared" si="386"/>
        <v/>
      </c>
      <c r="BN2401" s="9" t="str">
        <f t="shared" si="387"/>
        <v/>
      </c>
      <c r="BO2401" s="9">
        <f t="shared" si="388"/>
        <v>0</v>
      </c>
      <c r="BR2401" s="12" t="str">
        <f t="shared" si="389"/>
        <v/>
      </c>
    </row>
    <row r="2402" spans="1:70" ht="14.25" customHeight="1">
      <c r="A2402" s="26"/>
      <c r="C2402" s="26"/>
      <c r="D2402" s="27"/>
      <c r="E2402" s="27"/>
      <c r="BE2402" s="10" t="str">
        <f t="shared" si="380"/>
        <v/>
      </c>
      <c r="BF2402" s="8" t="str">
        <f t="shared" si="381"/>
        <v/>
      </c>
      <c r="BG2402" s="11" t="str">
        <f t="shared" si="382"/>
        <v/>
      </c>
      <c r="BH2402" s="8" t="str">
        <f t="shared" si="383"/>
        <v/>
      </c>
      <c r="BI2402" s="8" t="str">
        <f t="shared" si="384"/>
        <v/>
      </c>
      <c r="BJ2402" s="9" t="str">
        <f t="shared" si="385"/>
        <v/>
      </c>
      <c r="BK2402" s="9" t="str">
        <f>IF($B2402="","",COUNTIFS($B$5:$B2402,$B2402,$BF$5:$BF2402,$BF2402))</f>
        <v/>
      </c>
      <c r="BL2402" s="9" t="str">
        <f>IF($B2402="","",COUNTIFS($B$5:$B2402,$B2402,$BH$5:$BH2402,$BH2402))</f>
        <v/>
      </c>
      <c r="BM2402" s="9" t="str">
        <f t="shared" si="386"/>
        <v/>
      </c>
      <c r="BN2402" s="9" t="str">
        <f t="shared" si="387"/>
        <v/>
      </c>
      <c r="BO2402" s="9">
        <f t="shared" si="388"/>
        <v>0</v>
      </c>
      <c r="BR2402" s="12" t="str">
        <f t="shared" si="389"/>
        <v/>
      </c>
    </row>
    <row r="2403" spans="1:70" ht="14.25" customHeight="1">
      <c r="A2403" s="26"/>
      <c r="C2403" s="26"/>
      <c r="D2403" s="27"/>
      <c r="E2403" s="27"/>
      <c r="BE2403" s="10" t="str">
        <f t="shared" si="380"/>
        <v/>
      </c>
      <c r="BF2403" s="8" t="str">
        <f t="shared" si="381"/>
        <v/>
      </c>
      <c r="BG2403" s="11" t="str">
        <f t="shared" si="382"/>
        <v/>
      </c>
      <c r="BH2403" s="8" t="str">
        <f t="shared" si="383"/>
        <v/>
      </c>
      <c r="BI2403" s="8" t="str">
        <f t="shared" si="384"/>
        <v/>
      </c>
      <c r="BJ2403" s="9" t="str">
        <f t="shared" si="385"/>
        <v/>
      </c>
      <c r="BK2403" s="9" t="str">
        <f>IF($B2403="","",COUNTIFS($B$5:$B2403,$B2403,$BF$5:$BF2403,$BF2403))</f>
        <v/>
      </c>
      <c r="BL2403" s="9" t="str">
        <f>IF($B2403="","",COUNTIFS($B$5:$B2403,$B2403,$BH$5:$BH2403,$BH2403))</f>
        <v/>
      </c>
      <c r="BM2403" s="9" t="str">
        <f t="shared" si="386"/>
        <v/>
      </c>
      <c r="BN2403" s="9" t="str">
        <f t="shared" si="387"/>
        <v/>
      </c>
      <c r="BO2403" s="9">
        <f t="shared" si="388"/>
        <v>0</v>
      </c>
      <c r="BR2403" s="12" t="str">
        <f t="shared" si="389"/>
        <v/>
      </c>
    </row>
    <row r="2404" spans="1:70" ht="14.25" customHeight="1">
      <c r="A2404" s="26"/>
      <c r="C2404" s="26"/>
      <c r="D2404" s="27"/>
      <c r="E2404" s="27"/>
      <c r="BE2404" s="10" t="str">
        <f t="shared" si="380"/>
        <v/>
      </c>
      <c r="BF2404" s="8" t="str">
        <f t="shared" si="381"/>
        <v/>
      </c>
      <c r="BG2404" s="11" t="str">
        <f t="shared" si="382"/>
        <v/>
      </c>
      <c r="BH2404" s="8" t="str">
        <f t="shared" si="383"/>
        <v/>
      </c>
      <c r="BI2404" s="8" t="str">
        <f t="shared" si="384"/>
        <v/>
      </c>
      <c r="BJ2404" s="9" t="str">
        <f t="shared" si="385"/>
        <v/>
      </c>
      <c r="BK2404" s="9" t="str">
        <f>IF($B2404="","",COUNTIFS($B$5:$B2404,$B2404,$BF$5:$BF2404,$BF2404))</f>
        <v/>
      </c>
      <c r="BL2404" s="9" t="str">
        <f>IF($B2404="","",COUNTIFS($B$5:$B2404,$B2404,$BH$5:$BH2404,$BH2404))</f>
        <v/>
      </c>
      <c r="BM2404" s="9" t="str">
        <f t="shared" si="386"/>
        <v/>
      </c>
      <c r="BN2404" s="9" t="str">
        <f t="shared" si="387"/>
        <v/>
      </c>
      <c r="BO2404" s="9">
        <f t="shared" si="388"/>
        <v>0</v>
      </c>
      <c r="BR2404" s="12" t="str">
        <f t="shared" si="389"/>
        <v/>
      </c>
    </row>
    <row r="2405" spans="1:70" ht="14.25" customHeight="1">
      <c r="A2405" s="26"/>
      <c r="C2405" s="26"/>
      <c r="D2405" s="27"/>
      <c r="E2405" s="27"/>
      <c r="BE2405" s="10" t="str">
        <f t="shared" si="380"/>
        <v/>
      </c>
      <c r="BF2405" s="8" t="str">
        <f t="shared" si="381"/>
        <v/>
      </c>
      <c r="BG2405" s="11" t="str">
        <f t="shared" si="382"/>
        <v/>
      </c>
      <c r="BH2405" s="8" t="str">
        <f t="shared" si="383"/>
        <v/>
      </c>
      <c r="BI2405" s="8" t="str">
        <f t="shared" si="384"/>
        <v/>
      </c>
      <c r="BJ2405" s="9" t="str">
        <f t="shared" si="385"/>
        <v/>
      </c>
      <c r="BK2405" s="9" t="str">
        <f>IF($B2405="","",COUNTIFS($B$5:$B2405,$B2405,$BF$5:$BF2405,$BF2405))</f>
        <v/>
      </c>
      <c r="BL2405" s="9" t="str">
        <f>IF($B2405="","",COUNTIFS($B$5:$B2405,$B2405,$BH$5:$BH2405,$BH2405))</f>
        <v/>
      </c>
      <c r="BM2405" s="9" t="str">
        <f t="shared" si="386"/>
        <v/>
      </c>
      <c r="BN2405" s="9" t="str">
        <f t="shared" si="387"/>
        <v/>
      </c>
      <c r="BO2405" s="9">
        <f t="shared" si="388"/>
        <v>0</v>
      </c>
      <c r="BR2405" s="12" t="str">
        <f t="shared" si="389"/>
        <v/>
      </c>
    </row>
    <row r="2406" spans="1:70" ht="14.25" customHeight="1">
      <c r="A2406" s="26"/>
      <c r="C2406" s="26"/>
      <c r="D2406" s="27"/>
      <c r="E2406" s="27"/>
      <c r="BE2406" s="10" t="str">
        <f t="shared" si="380"/>
        <v/>
      </c>
      <c r="BF2406" s="8" t="str">
        <f t="shared" si="381"/>
        <v/>
      </c>
      <c r="BG2406" s="11" t="str">
        <f t="shared" si="382"/>
        <v/>
      </c>
      <c r="BH2406" s="8" t="str">
        <f t="shared" si="383"/>
        <v/>
      </c>
      <c r="BI2406" s="8" t="str">
        <f t="shared" si="384"/>
        <v/>
      </c>
      <c r="BJ2406" s="9" t="str">
        <f t="shared" si="385"/>
        <v/>
      </c>
      <c r="BK2406" s="9" t="str">
        <f>IF($B2406="","",COUNTIFS($B$5:$B2406,$B2406,$BF$5:$BF2406,$BF2406))</f>
        <v/>
      </c>
      <c r="BL2406" s="9" t="str">
        <f>IF($B2406="","",COUNTIFS($B$5:$B2406,$B2406,$BH$5:$BH2406,$BH2406))</f>
        <v/>
      </c>
      <c r="BM2406" s="9" t="str">
        <f t="shared" si="386"/>
        <v/>
      </c>
      <c r="BN2406" s="9" t="str">
        <f t="shared" si="387"/>
        <v/>
      </c>
      <c r="BO2406" s="9">
        <f t="shared" si="388"/>
        <v>0</v>
      </c>
      <c r="BR2406" s="12" t="str">
        <f t="shared" si="389"/>
        <v/>
      </c>
    </row>
    <row r="2407" spans="1:70" ht="14.25" customHeight="1">
      <c r="A2407" s="26"/>
      <c r="C2407" s="26"/>
      <c r="D2407" s="27"/>
      <c r="E2407" s="27"/>
      <c r="BE2407" s="10" t="str">
        <f t="shared" si="380"/>
        <v/>
      </c>
      <c r="BF2407" s="8" t="str">
        <f t="shared" si="381"/>
        <v/>
      </c>
      <c r="BG2407" s="11" t="str">
        <f t="shared" si="382"/>
        <v/>
      </c>
      <c r="BH2407" s="8" t="str">
        <f t="shared" si="383"/>
        <v/>
      </c>
      <c r="BI2407" s="8" t="str">
        <f t="shared" si="384"/>
        <v/>
      </c>
      <c r="BJ2407" s="9" t="str">
        <f t="shared" si="385"/>
        <v/>
      </c>
      <c r="BK2407" s="9" t="str">
        <f>IF($B2407="","",COUNTIFS($B$5:$B2407,$B2407,$BF$5:$BF2407,$BF2407))</f>
        <v/>
      </c>
      <c r="BL2407" s="9" t="str">
        <f>IF($B2407="","",COUNTIFS($B$5:$B2407,$B2407,$BH$5:$BH2407,$BH2407))</f>
        <v/>
      </c>
      <c r="BM2407" s="9" t="str">
        <f t="shared" si="386"/>
        <v/>
      </c>
      <c r="BN2407" s="9" t="str">
        <f t="shared" si="387"/>
        <v/>
      </c>
      <c r="BO2407" s="9">
        <f t="shared" si="388"/>
        <v>0</v>
      </c>
      <c r="BR2407" s="12" t="str">
        <f t="shared" si="389"/>
        <v/>
      </c>
    </row>
    <row r="2408" spans="1:70" ht="14.25" customHeight="1">
      <c r="A2408" s="26"/>
      <c r="C2408" s="26"/>
      <c r="D2408" s="27"/>
      <c r="E2408" s="27"/>
      <c r="BE2408" s="10" t="str">
        <f t="shared" si="380"/>
        <v/>
      </c>
      <c r="BF2408" s="8" t="str">
        <f t="shared" si="381"/>
        <v/>
      </c>
      <c r="BG2408" s="11" t="str">
        <f t="shared" si="382"/>
        <v/>
      </c>
      <c r="BH2408" s="8" t="str">
        <f t="shared" si="383"/>
        <v/>
      </c>
      <c r="BI2408" s="8" t="str">
        <f t="shared" si="384"/>
        <v/>
      </c>
      <c r="BJ2408" s="9" t="str">
        <f t="shared" si="385"/>
        <v/>
      </c>
      <c r="BK2408" s="9" t="str">
        <f>IF($B2408="","",COUNTIFS($B$5:$B2408,$B2408,$BF$5:$BF2408,$BF2408))</f>
        <v/>
      </c>
      <c r="BL2408" s="9" t="str">
        <f>IF($B2408="","",COUNTIFS($B$5:$B2408,$B2408,$BH$5:$BH2408,$BH2408))</f>
        <v/>
      </c>
      <c r="BM2408" s="9" t="str">
        <f t="shared" si="386"/>
        <v/>
      </c>
      <c r="BN2408" s="9" t="str">
        <f t="shared" si="387"/>
        <v/>
      </c>
      <c r="BO2408" s="9">
        <f t="shared" si="388"/>
        <v>0</v>
      </c>
      <c r="BR2408" s="12" t="str">
        <f t="shared" si="389"/>
        <v/>
      </c>
    </row>
    <row r="2409" spans="1:70" ht="14.25" customHeight="1">
      <c r="A2409" s="26"/>
      <c r="C2409" s="26"/>
      <c r="D2409" s="27"/>
      <c r="E2409" s="27"/>
      <c r="BE2409" s="10" t="str">
        <f t="shared" si="380"/>
        <v/>
      </c>
      <c r="BF2409" s="8" t="str">
        <f t="shared" si="381"/>
        <v/>
      </c>
      <c r="BG2409" s="11" t="str">
        <f t="shared" si="382"/>
        <v/>
      </c>
      <c r="BH2409" s="8" t="str">
        <f t="shared" si="383"/>
        <v/>
      </c>
      <c r="BI2409" s="8" t="str">
        <f t="shared" si="384"/>
        <v/>
      </c>
      <c r="BJ2409" s="9" t="str">
        <f t="shared" si="385"/>
        <v/>
      </c>
      <c r="BK2409" s="9" t="str">
        <f>IF($B2409="","",COUNTIFS($B$5:$B2409,$B2409,$BF$5:$BF2409,$BF2409))</f>
        <v/>
      </c>
      <c r="BL2409" s="9" t="str">
        <f>IF($B2409="","",COUNTIFS($B$5:$B2409,$B2409,$BH$5:$BH2409,$BH2409))</f>
        <v/>
      </c>
      <c r="BM2409" s="9" t="str">
        <f t="shared" si="386"/>
        <v/>
      </c>
      <c r="BN2409" s="9" t="str">
        <f t="shared" si="387"/>
        <v/>
      </c>
      <c r="BO2409" s="9">
        <f t="shared" si="388"/>
        <v>0</v>
      </c>
      <c r="BR2409" s="12" t="str">
        <f t="shared" si="389"/>
        <v/>
      </c>
    </row>
    <row r="2410" spans="1:70" ht="14.25" customHeight="1">
      <c r="A2410" s="26"/>
      <c r="C2410" s="26"/>
      <c r="D2410" s="27"/>
      <c r="E2410" s="27"/>
      <c r="BE2410" s="10" t="str">
        <f t="shared" si="380"/>
        <v/>
      </c>
      <c r="BF2410" s="8" t="str">
        <f t="shared" si="381"/>
        <v/>
      </c>
      <c r="BG2410" s="11" t="str">
        <f t="shared" si="382"/>
        <v/>
      </c>
      <c r="BH2410" s="8" t="str">
        <f t="shared" si="383"/>
        <v/>
      </c>
      <c r="BI2410" s="8" t="str">
        <f t="shared" si="384"/>
        <v/>
      </c>
      <c r="BJ2410" s="9" t="str">
        <f t="shared" si="385"/>
        <v/>
      </c>
      <c r="BK2410" s="9" t="str">
        <f>IF($B2410="","",COUNTIFS($B$5:$B2410,$B2410,$BF$5:$BF2410,$BF2410))</f>
        <v/>
      </c>
      <c r="BL2410" s="9" t="str">
        <f>IF($B2410="","",COUNTIFS($B$5:$B2410,$B2410,$BH$5:$BH2410,$BH2410))</f>
        <v/>
      </c>
      <c r="BM2410" s="9" t="str">
        <f t="shared" si="386"/>
        <v/>
      </c>
      <c r="BN2410" s="9" t="str">
        <f t="shared" si="387"/>
        <v/>
      </c>
      <c r="BO2410" s="9">
        <f t="shared" si="388"/>
        <v>0</v>
      </c>
      <c r="BR2410" s="12" t="str">
        <f t="shared" si="389"/>
        <v/>
      </c>
    </row>
    <row r="2411" spans="1:70" ht="14.25" customHeight="1">
      <c r="A2411" s="26"/>
      <c r="C2411" s="26"/>
      <c r="D2411" s="27"/>
      <c r="E2411" s="27"/>
      <c r="BE2411" s="10" t="str">
        <f t="shared" si="380"/>
        <v/>
      </c>
      <c r="BF2411" s="8" t="str">
        <f t="shared" si="381"/>
        <v/>
      </c>
      <c r="BG2411" s="11" t="str">
        <f t="shared" si="382"/>
        <v/>
      </c>
      <c r="BH2411" s="8" t="str">
        <f t="shared" si="383"/>
        <v/>
      </c>
      <c r="BI2411" s="8" t="str">
        <f t="shared" si="384"/>
        <v/>
      </c>
      <c r="BJ2411" s="9" t="str">
        <f t="shared" si="385"/>
        <v/>
      </c>
      <c r="BK2411" s="9" t="str">
        <f>IF($B2411="","",COUNTIFS($B$5:$B2411,$B2411,$BF$5:$BF2411,$BF2411))</f>
        <v/>
      </c>
      <c r="BL2411" s="9" t="str">
        <f>IF($B2411="","",COUNTIFS($B$5:$B2411,$B2411,$BH$5:$BH2411,$BH2411))</f>
        <v/>
      </c>
      <c r="BM2411" s="9" t="str">
        <f t="shared" si="386"/>
        <v/>
      </c>
      <c r="BN2411" s="9" t="str">
        <f t="shared" si="387"/>
        <v/>
      </c>
      <c r="BO2411" s="9">
        <f t="shared" si="388"/>
        <v>0</v>
      </c>
      <c r="BR2411" s="12" t="str">
        <f t="shared" si="389"/>
        <v/>
      </c>
    </row>
    <row r="2412" spans="1:70" ht="14.25" customHeight="1">
      <c r="A2412" s="26"/>
      <c r="C2412" s="26"/>
      <c r="D2412" s="27"/>
      <c r="E2412" s="27"/>
      <c r="BE2412" s="10" t="str">
        <f t="shared" si="380"/>
        <v/>
      </c>
      <c r="BF2412" s="8" t="str">
        <f t="shared" si="381"/>
        <v/>
      </c>
      <c r="BG2412" s="11" t="str">
        <f t="shared" si="382"/>
        <v/>
      </c>
      <c r="BH2412" s="8" t="str">
        <f t="shared" si="383"/>
        <v/>
      </c>
      <c r="BI2412" s="8" t="str">
        <f t="shared" si="384"/>
        <v/>
      </c>
      <c r="BJ2412" s="9" t="str">
        <f t="shared" si="385"/>
        <v/>
      </c>
      <c r="BK2412" s="9" t="str">
        <f>IF($B2412="","",COUNTIFS($B$5:$B2412,$B2412,$BF$5:$BF2412,$BF2412))</f>
        <v/>
      </c>
      <c r="BL2412" s="9" t="str">
        <f>IF($B2412="","",COUNTIFS($B$5:$B2412,$B2412,$BH$5:$BH2412,$BH2412))</f>
        <v/>
      </c>
      <c r="BM2412" s="9" t="str">
        <f t="shared" si="386"/>
        <v/>
      </c>
      <c r="BN2412" s="9" t="str">
        <f t="shared" si="387"/>
        <v/>
      </c>
      <c r="BO2412" s="9">
        <f t="shared" si="388"/>
        <v>0</v>
      </c>
      <c r="BR2412" s="12" t="str">
        <f t="shared" si="389"/>
        <v/>
      </c>
    </row>
    <row r="2413" spans="1:70" ht="14.25" customHeight="1">
      <c r="A2413" s="26"/>
      <c r="C2413" s="26"/>
      <c r="D2413" s="27"/>
      <c r="E2413" s="27"/>
      <c r="BE2413" s="10" t="str">
        <f t="shared" si="380"/>
        <v/>
      </c>
      <c r="BF2413" s="8" t="str">
        <f t="shared" si="381"/>
        <v/>
      </c>
      <c r="BG2413" s="11" t="str">
        <f t="shared" si="382"/>
        <v/>
      </c>
      <c r="BH2413" s="8" t="str">
        <f t="shared" si="383"/>
        <v/>
      </c>
      <c r="BI2413" s="8" t="str">
        <f t="shared" si="384"/>
        <v/>
      </c>
      <c r="BJ2413" s="9" t="str">
        <f t="shared" si="385"/>
        <v/>
      </c>
      <c r="BK2413" s="9" t="str">
        <f>IF($B2413="","",COUNTIFS($B$5:$B2413,$B2413,$BF$5:$BF2413,$BF2413))</f>
        <v/>
      </c>
      <c r="BL2413" s="9" t="str">
        <f>IF($B2413="","",COUNTIFS($B$5:$B2413,$B2413,$BH$5:$BH2413,$BH2413))</f>
        <v/>
      </c>
      <c r="BM2413" s="9" t="str">
        <f t="shared" si="386"/>
        <v/>
      </c>
      <c r="BN2413" s="9" t="str">
        <f t="shared" si="387"/>
        <v/>
      </c>
      <c r="BO2413" s="9">
        <f t="shared" si="388"/>
        <v>0</v>
      </c>
      <c r="BR2413" s="12" t="str">
        <f t="shared" si="389"/>
        <v/>
      </c>
    </row>
    <row r="2414" spans="1:70" ht="14.25" customHeight="1">
      <c r="A2414" s="26"/>
      <c r="C2414" s="26"/>
      <c r="D2414" s="27"/>
      <c r="E2414" s="27"/>
      <c r="BE2414" s="10" t="str">
        <f t="shared" si="380"/>
        <v/>
      </c>
      <c r="BF2414" s="8" t="str">
        <f t="shared" si="381"/>
        <v/>
      </c>
      <c r="BG2414" s="11" t="str">
        <f t="shared" si="382"/>
        <v/>
      </c>
      <c r="BH2414" s="8" t="str">
        <f t="shared" si="383"/>
        <v/>
      </c>
      <c r="BI2414" s="8" t="str">
        <f t="shared" si="384"/>
        <v/>
      </c>
      <c r="BJ2414" s="9" t="str">
        <f t="shared" si="385"/>
        <v/>
      </c>
      <c r="BK2414" s="9" t="str">
        <f>IF($B2414="","",COUNTIFS($B$5:$B2414,$B2414,$BF$5:$BF2414,$BF2414))</f>
        <v/>
      </c>
      <c r="BL2414" s="9" t="str">
        <f>IF($B2414="","",COUNTIFS($B$5:$B2414,$B2414,$BH$5:$BH2414,$BH2414))</f>
        <v/>
      </c>
      <c r="BM2414" s="9" t="str">
        <f t="shared" si="386"/>
        <v/>
      </c>
      <c r="BN2414" s="9" t="str">
        <f t="shared" si="387"/>
        <v/>
      </c>
      <c r="BO2414" s="9">
        <f t="shared" si="388"/>
        <v>0</v>
      </c>
      <c r="BR2414" s="12" t="str">
        <f t="shared" si="389"/>
        <v/>
      </c>
    </row>
    <row r="2415" spans="1:70" ht="14.25" customHeight="1">
      <c r="A2415" s="26"/>
      <c r="C2415" s="26"/>
      <c r="D2415" s="27"/>
      <c r="E2415" s="27"/>
      <c r="BE2415" s="10" t="str">
        <f t="shared" si="380"/>
        <v/>
      </c>
      <c r="BF2415" s="8" t="str">
        <f t="shared" si="381"/>
        <v/>
      </c>
      <c r="BG2415" s="11" t="str">
        <f t="shared" si="382"/>
        <v/>
      </c>
      <c r="BH2415" s="8" t="str">
        <f t="shared" si="383"/>
        <v/>
      </c>
      <c r="BI2415" s="8" t="str">
        <f t="shared" si="384"/>
        <v/>
      </c>
      <c r="BJ2415" s="9" t="str">
        <f t="shared" si="385"/>
        <v/>
      </c>
      <c r="BK2415" s="9" t="str">
        <f>IF($B2415="","",COUNTIFS($B$5:$B2415,$B2415,$BF$5:$BF2415,$BF2415))</f>
        <v/>
      </c>
      <c r="BL2415" s="9" t="str">
        <f>IF($B2415="","",COUNTIFS($B$5:$B2415,$B2415,$BH$5:$BH2415,$BH2415))</f>
        <v/>
      </c>
      <c r="BM2415" s="9" t="str">
        <f t="shared" si="386"/>
        <v/>
      </c>
      <c r="BN2415" s="9" t="str">
        <f t="shared" si="387"/>
        <v/>
      </c>
      <c r="BO2415" s="9">
        <f t="shared" si="388"/>
        <v>0</v>
      </c>
      <c r="BR2415" s="12" t="str">
        <f t="shared" si="389"/>
        <v/>
      </c>
    </row>
    <row r="2416" spans="1:70" ht="14.25" customHeight="1">
      <c r="A2416" s="26"/>
      <c r="C2416" s="26"/>
      <c r="D2416" s="27"/>
      <c r="E2416" s="27"/>
      <c r="BE2416" s="10" t="str">
        <f t="shared" si="380"/>
        <v/>
      </c>
      <c r="BF2416" s="8" t="str">
        <f t="shared" si="381"/>
        <v/>
      </c>
      <c r="BG2416" s="11" t="str">
        <f t="shared" si="382"/>
        <v/>
      </c>
      <c r="BH2416" s="8" t="str">
        <f t="shared" si="383"/>
        <v/>
      </c>
      <c r="BI2416" s="8" t="str">
        <f t="shared" si="384"/>
        <v/>
      </c>
      <c r="BJ2416" s="9" t="str">
        <f t="shared" si="385"/>
        <v/>
      </c>
      <c r="BK2416" s="9" t="str">
        <f>IF($B2416="","",COUNTIFS($B$5:$B2416,$B2416,$BF$5:$BF2416,$BF2416))</f>
        <v/>
      </c>
      <c r="BL2416" s="9" t="str">
        <f>IF($B2416="","",COUNTIFS($B$5:$B2416,$B2416,$BH$5:$BH2416,$BH2416))</f>
        <v/>
      </c>
      <c r="BM2416" s="9" t="str">
        <f t="shared" si="386"/>
        <v/>
      </c>
      <c r="BN2416" s="9" t="str">
        <f t="shared" si="387"/>
        <v/>
      </c>
      <c r="BO2416" s="9">
        <f t="shared" si="388"/>
        <v>0</v>
      </c>
      <c r="BR2416" s="12" t="str">
        <f t="shared" si="389"/>
        <v/>
      </c>
    </row>
    <row r="2417" spans="1:70" ht="14.25" customHeight="1">
      <c r="A2417" s="26"/>
      <c r="C2417" s="26"/>
      <c r="D2417" s="27"/>
      <c r="E2417" s="27"/>
      <c r="BE2417" s="10" t="str">
        <f t="shared" si="380"/>
        <v/>
      </c>
      <c r="BF2417" s="8" t="str">
        <f t="shared" si="381"/>
        <v/>
      </c>
      <c r="BG2417" s="11" t="str">
        <f t="shared" si="382"/>
        <v/>
      </c>
      <c r="BH2417" s="8" t="str">
        <f t="shared" si="383"/>
        <v/>
      </c>
      <c r="BI2417" s="8" t="str">
        <f t="shared" si="384"/>
        <v/>
      </c>
      <c r="BJ2417" s="9" t="str">
        <f t="shared" si="385"/>
        <v/>
      </c>
      <c r="BK2417" s="9" t="str">
        <f>IF($B2417="","",COUNTIFS($B$5:$B2417,$B2417,$BF$5:$BF2417,$BF2417))</f>
        <v/>
      </c>
      <c r="BL2417" s="9" t="str">
        <f>IF($B2417="","",COUNTIFS($B$5:$B2417,$B2417,$BH$5:$BH2417,$BH2417))</f>
        <v/>
      </c>
      <c r="BM2417" s="9" t="str">
        <f t="shared" si="386"/>
        <v/>
      </c>
      <c r="BN2417" s="9" t="str">
        <f t="shared" si="387"/>
        <v/>
      </c>
      <c r="BO2417" s="9">
        <f t="shared" si="388"/>
        <v>0</v>
      </c>
      <c r="BR2417" s="12" t="str">
        <f t="shared" si="389"/>
        <v/>
      </c>
    </row>
    <row r="2418" spans="1:70" ht="14.25" customHeight="1">
      <c r="A2418" s="26"/>
      <c r="C2418" s="26"/>
      <c r="D2418" s="27"/>
      <c r="E2418" s="27"/>
      <c r="BE2418" s="10" t="str">
        <f t="shared" si="380"/>
        <v/>
      </c>
      <c r="BF2418" s="8" t="str">
        <f t="shared" si="381"/>
        <v/>
      </c>
      <c r="BG2418" s="11" t="str">
        <f t="shared" si="382"/>
        <v/>
      </c>
      <c r="BH2418" s="8" t="str">
        <f t="shared" si="383"/>
        <v/>
      </c>
      <c r="BI2418" s="8" t="str">
        <f t="shared" si="384"/>
        <v/>
      </c>
      <c r="BJ2418" s="9" t="str">
        <f t="shared" si="385"/>
        <v/>
      </c>
      <c r="BK2418" s="9" t="str">
        <f>IF($B2418="","",COUNTIFS($B$5:$B2418,$B2418,$BF$5:$BF2418,$BF2418))</f>
        <v/>
      </c>
      <c r="BL2418" s="9" t="str">
        <f>IF($B2418="","",COUNTIFS($B$5:$B2418,$B2418,$BH$5:$BH2418,$BH2418))</f>
        <v/>
      </c>
      <c r="BM2418" s="9" t="str">
        <f t="shared" si="386"/>
        <v/>
      </c>
      <c r="BN2418" s="9" t="str">
        <f t="shared" si="387"/>
        <v/>
      </c>
      <c r="BO2418" s="9">
        <f t="shared" si="388"/>
        <v>0</v>
      </c>
      <c r="BR2418" s="12" t="str">
        <f t="shared" si="389"/>
        <v/>
      </c>
    </row>
    <row r="2419" spans="1:70" ht="14.25" customHeight="1">
      <c r="A2419" s="26"/>
      <c r="C2419" s="26"/>
      <c r="D2419" s="27"/>
      <c r="E2419" s="27"/>
      <c r="BE2419" s="10" t="str">
        <f t="shared" si="380"/>
        <v/>
      </c>
      <c r="BF2419" s="8" t="str">
        <f t="shared" si="381"/>
        <v/>
      </c>
      <c r="BG2419" s="11" t="str">
        <f t="shared" si="382"/>
        <v/>
      </c>
      <c r="BH2419" s="8" t="str">
        <f t="shared" si="383"/>
        <v/>
      </c>
      <c r="BI2419" s="8" t="str">
        <f t="shared" si="384"/>
        <v/>
      </c>
      <c r="BJ2419" s="9" t="str">
        <f t="shared" si="385"/>
        <v/>
      </c>
      <c r="BK2419" s="9" t="str">
        <f>IF($B2419="","",COUNTIFS($B$5:$B2419,$B2419,$BF$5:$BF2419,$BF2419))</f>
        <v/>
      </c>
      <c r="BL2419" s="9" t="str">
        <f>IF($B2419="","",COUNTIFS($B$5:$B2419,$B2419,$BH$5:$BH2419,$BH2419))</f>
        <v/>
      </c>
      <c r="BM2419" s="9" t="str">
        <f t="shared" si="386"/>
        <v/>
      </c>
      <c r="BN2419" s="9" t="str">
        <f t="shared" si="387"/>
        <v/>
      </c>
      <c r="BO2419" s="9">
        <f t="shared" si="388"/>
        <v>0</v>
      </c>
      <c r="BR2419" s="12" t="str">
        <f t="shared" si="389"/>
        <v/>
      </c>
    </row>
    <row r="2420" spans="1:70" ht="14.25" customHeight="1">
      <c r="A2420" s="26"/>
      <c r="C2420" s="26"/>
      <c r="D2420" s="27"/>
      <c r="E2420" s="27"/>
      <c r="BE2420" s="10" t="str">
        <f t="shared" si="380"/>
        <v/>
      </c>
      <c r="BF2420" s="8" t="str">
        <f t="shared" si="381"/>
        <v/>
      </c>
      <c r="BG2420" s="11" t="str">
        <f t="shared" si="382"/>
        <v/>
      </c>
      <c r="BH2420" s="8" t="str">
        <f t="shared" si="383"/>
        <v/>
      </c>
      <c r="BI2420" s="8" t="str">
        <f t="shared" si="384"/>
        <v/>
      </c>
      <c r="BJ2420" s="9" t="str">
        <f t="shared" si="385"/>
        <v/>
      </c>
      <c r="BK2420" s="9" t="str">
        <f>IF($B2420="","",COUNTIFS($B$5:$B2420,$B2420,$BF$5:$BF2420,$BF2420))</f>
        <v/>
      </c>
      <c r="BL2420" s="9" t="str">
        <f>IF($B2420="","",COUNTIFS($B$5:$B2420,$B2420,$BH$5:$BH2420,$BH2420))</f>
        <v/>
      </c>
      <c r="BM2420" s="9" t="str">
        <f t="shared" si="386"/>
        <v/>
      </c>
      <c r="BN2420" s="9" t="str">
        <f t="shared" si="387"/>
        <v/>
      </c>
      <c r="BO2420" s="9">
        <f t="shared" si="388"/>
        <v>0</v>
      </c>
      <c r="BR2420" s="12" t="str">
        <f t="shared" si="389"/>
        <v/>
      </c>
    </row>
    <row r="2421" spans="1:70" ht="14.25" customHeight="1">
      <c r="A2421" s="26"/>
      <c r="C2421" s="26"/>
      <c r="D2421" s="27"/>
      <c r="E2421" s="27"/>
      <c r="BE2421" s="10" t="str">
        <f t="shared" si="380"/>
        <v/>
      </c>
      <c r="BF2421" s="8" t="str">
        <f t="shared" si="381"/>
        <v/>
      </c>
      <c r="BG2421" s="11" t="str">
        <f t="shared" si="382"/>
        <v/>
      </c>
      <c r="BH2421" s="8" t="str">
        <f t="shared" si="383"/>
        <v/>
      </c>
      <c r="BI2421" s="8" t="str">
        <f t="shared" si="384"/>
        <v/>
      </c>
      <c r="BJ2421" s="9" t="str">
        <f t="shared" si="385"/>
        <v/>
      </c>
      <c r="BK2421" s="9" t="str">
        <f>IF($B2421="","",COUNTIFS($B$5:$B2421,$B2421,$BF$5:$BF2421,$BF2421))</f>
        <v/>
      </c>
      <c r="BL2421" s="9" t="str">
        <f>IF($B2421="","",COUNTIFS($B$5:$B2421,$B2421,$BH$5:$BH2421,$BH2421))</f>
        <v/>
      </c>
      <c r="BM2421" s="9" t="str">
        <f t="shared" si="386"/>
        <v/>
      </c>
      <c r="BN2421" s="9" t="str">
        <f t="shared" si="387"/>
        <v/>
      </c>
      <c r="BO2421" s="9">
        <f t="shared" si="388"/>
        <v>0</v>
      </c>
      <c r="BR2421" s="12" t="str">
        <f t="shared" si="389"/>
        <v/>
      </c>
    </row>
    <row r="2422" spans="1:70" ht="14.25" customHeight="1">
      <c r="A2422" s="26"/>
      <c r="C2422" s="26"/>
      <c r="D2422" s="27"/>
      <c r="E2422" s="27"/>
      <c r="BE2422" s="10" t="str">
        <f t="shared" si="380"/>
        <v/>
      </c>
      <c r="BF2422" s="8" t="str">
        <f t="shared" si="381"/>
        <v/>
      </c>
      <c r="BG2422" s="11" t="str">
        <f t="shared" si="382"/>
        <v/>
      </c>
      <c r="BH2422" s="8" t="str">
        <f t="shared" si="383"/>
        <v/>
      </c>
      <c r="BI2422" s="8" t="str">
        <f t="shared" si="384"/>
        <v/>
      </c>
      <c r="BJ2422" s="9" t="str">
        <f t="shared" si="385"/>
        <v/>
      </c>
      <c r="BK2422" s="9" t="str">
        <f>IF($B2422="","",COUNTIFS($B$5:$B2422,$B2422,$BF$5:$BF2422,$BF2422))</f>
        <v/>
      </c>
      <c r="BL2422" s="9" t="str">
        <f>IF($B2422="","",COUNTIFS($B$5:$B2422,$B2422,$BH$5:$BH2422,$BH2422))</f>
        <v/>
      </c>
      <c r="BM2422" s="9" t="str">
        <f t="shared" si="386"/>
        <v/>
      </c>
      <c r="BN2422" s="9" t="str">
        <f t="shared" si="387"/>
        <v/>
      </c>
      <c r="BO2422" s="9">
        <f t="shared" si="388"/>
        <v>0</v>
      </c>
      <c r="BR2422" s="12" t="str">
        <f t="shared" si="389"/>
        <v/>
      </c>
    </row>
    <row r="2423" spans="1:70" ht="14.25" customHeight="1">
      <c r="A2423" s="26"/>
      <c r="C2423" s="26"/>
      <c r="D2423" s="27"/>
      <c r="E2423" s="27"/>
      <c r="BE2423" s="10" t="str">
        <f t="shared" si="380"/>
        <v/>
      </c>
      <c r="BF2423" s="8" t="str">
        <f t="shared" si="381"/>
        <v/>
      </c>
      <c r="BG2423" s="11" t="str">
        <f t="shared" si="382"/>
        <v/>
      </c>
      <c r="BH2423" s="8" t="str">
        <f t="shared" si="383"/>
        <v/>
      </c>
      <c r="BI2423" s="8" t="str">
        <f t="shared" si="384"/>
        <v/>
      </c>
      <c r="BJ2423" s="9" t="str">
        <f t="shared" si="385"/>
        <v/>
      </c>
      <c r="BK2423" s="9" t="str">
        <f>IF($B2423="","",COUNTIFS($B$5:$B2423,$B2423,$BF$5:$BF2423,$BF2423))</f>
        <v/>
      </c>
      <c r="BL2423" s="9" t="str">
        <f>IF($B2423="","",COUNTIFS($B$5:$B2423,$B2423,$BH$5:$BH2423,$BH2423))</f>
        <v/>
      </c>
      <c r="BM2423" s="9" t="str">
        <f t="shared" si="386"/>
        <v/>
      </c>
      <c r="BN2423" s="9" t="str">
        <f t="shared" si="387"/>
        <v/>
      </c>
      <c r="BO2423" s="9">
        <f t="shared" si="388"/>
        <v>0</v>
      </c>
      <c r="BR2423" s="12" t="str">
        <f t="shared" si="389"/>
        <v/>
      </c>
    </row>
    <row r="2424" spans="1:70" ht="14.25" customHeight="1">
      <c r="A2424" s="26"/>
      <c r="C2424" s="26"/>
      <c r="D2424" s="27"/>
      <c r="E2424" s="27"/>
      <c r="BE2424" s="10" t="str">
        <f t="shared" si="380"/>
        <v/>
      </c>
      <c r="BF2424" s="8" t="str">
        <f t="shared" si="381"/>
        <v/>
      </c>
      <c r="BG2424" s="11" t="str">
        <f t="shared" si="382"/>
        <v/>
      </c>
      <c r="BH2424" s="8" t="str">
        <f t="shared" si="383"/>
        <v/>
      </c>
      <c r="BI2424" s="8" t="str">
        <f t="shared" si="384"/>
        <v/>
      </c>
      <c r="BJ2424" s="9" t="str">
        <f t="shared" si="385"/>
        <v/>
      </c>
      <c r="BK2424" s="9" t="str">
        <f>IF($B2424="","",COUNTIFS($B$5:$B2424,$B2424,$BF$5:$BF2424,$BF2424))</f>
        <v/>
      </c>
      <c r="BL2424" s="9" t="str">
        <f>IF($B2424="","",COUNTIFS($B$5:$B2424,$B2424,$BH$5:$BH2424,$BH2424))</f>
        <v/>
      </c>
      <c r="BM2424" s="9" t="str">
        <f t="shared" si="386"/>
        <v/>
      </c>
      <c r="BN2424" s="9" t="str">
        <f t="shared" si="387"/>
        <v/>
      </c>
      <c r="BO2424" s="9">
        <f t="shared" si="388"/>
        <v>0</v>
      </c>
      <c r="BR2424" s="12" t="str">
        <f t="shared" si="389"/>
        <v/>
      </c>
    </row>
    <row r="2425" spans="1:70" ht="14.25" customHeight="1">
      <c r="A2425" s="26"/>
      <c r="C2425" s="26"/>
      <c r="D2425" s="27"/>
      <c r="E2425" s="27"/>
      <c r="BE2425" s="10" t="str">
        <f t="shared" si="380"/>
        <v/>
      </c>
      <c r="BF2425" s="8" t="str">
        <f t="shared" si="381"/>
        <v/>
      </c>
      <c r="BG2425" s="11" t="str">
        <f t="shared" si="382"/>
        <v/>
      </c>
      <c r="BH2425" s="8" t="str">
        <f t="shared" si="383"/>
        <v/>
      </c>
      <c r="BI2425" s="8" t="str">
        <f t="shared" si="384"/>
        <v/>
      </c>
      <c r="BJ2425" s="9" t="str">
        <f t="shared" si="385"/>
        <v/>
      </c>
      <c r="BK2425" s="9" t="str">
        <f>IF($B2425="","",COUNTIFS($B$5:$B2425,$B2425,$BF$5:$BF2425,$BF2425))</f>
        <v/>
      </c>
      <c r="BL2425" s="9" t="str">
        <f>IF($B2425="","",COUNTIFS($B$5:$B2425,$B2425,$BH$5:$BH2425,$BH2425))</f>
        <v/>
      </c>
      <c r="BM2425" s="9" t="str">
        <f t="shared" si="386"/>
        <v/>
      </c>
      <c r="BN2425" s="9" t="str">
        <f t="shared" si="387"/>
        <v/>
      </c>
      <c r="BO2425" s="9">
        <f t="shared" si="388"/>
        <v>0</v>
      </c>
      <c r="BR2425" s="12" t="str">
        <f t="shared" si="389"/>
        <v/>
      </c>
    </row>
    <row r="2426" spans="1:70" ht="14.25" customHeight="1">
      <c r="A2426" s="26"/>
      <c r="C2426" s="26"/>
      <c r="D2426" s="27"/>
      <c r="E2426" s="27"/>
      <c r="BE2426" s="10" t="str">
        <f t="shared" si="380"/>
        <v/>
      </c>
      <c r="BF2426" s="8" t="str">
        <f t="shared" si="381"/>
        <v/>
      </c>
      <c r="BG2426" s="11" t="str">
        <f t="shared" si="382"/>
        <v/>
      </c>
      <c r="BH2426" s="8" t="str">
        <f t="shared" si="383"/>
        <v/>
      </c>
      <c r="BI2426" s="8" t="str">
        <f t="shared" si="384"/>
        <v/>
      </c>
      <c r="BJ2426" s="9" t="str">
        <f t="shared" si="385"/>
        <v/>
      </c>
      <c r="BK2426" s="9" t="str">
        <f>IF($B2426="","",COUNTIFS($B$5:$B2426,$B2426,$BF$5:$BF2426,$BF2426))</f>
        <v/>
      </c>
      <c r="BL2426" s="9" t="str">
        <f>IF($B2426="","",COUNTIFS($B$5:$B2426,$B2426,$BH$5:$BH2426,$BH2426))</f>
        <v/>
      </c>
      <c r="BM2426" s="9" t="str">
        <f t="shared" si="386"/>
        <v/>
      </c>
      <c r="BN2426" s="9" t="str">
        <f t="shared" si="387"/>
        <v/>
      </c>
      <c r="BO2426" s="9">
        <f t="shared" si="388"/>
        <v>0</v>
      </c>
      <c r="BR2426" s="12" t="str">
        <f t="shared" si="389"/>
        <v/>
      </c>
    </row>
    <row r="2427" spans="1:70" ht="14.25" customHeight="1">
      <c r="A2427" s="26"/>
      <c r="C2427" s="26"/>
      <c r="D2427" s="27"/>
      <c r="E2427" s="27"/>
      <c r="BE2427" s="10" t="str">
        <f t="shared" si="380"/>
        <v/>
      </c>
      <c r="BF2427" s="8" t="str">
        <f t="shared" si="381"/>
        <v/>
      </c>
      <c r="BG2427" s="11" t="str">
        <f t="shared" si="382"/>
        <v/>
      </c>
      <c r="BH2427" s="8" t="str">
        <f t="shared" si="383"/>
        <v/>
      </c>
      <c r="BI2427" s="8" t="str">
        <f t="shared" si="384"/>
        <v/>
      </c>
      <c r="BJ2427" s="9" t="str">
        <f t="shared" si="385"/>
        <v/>
      </c>
      <c r="BK2427" s="9" t="str">
        <f>IF($B2427="","",COUNTIFS($B$5:$B2427,$B2427,$BF$5:$BF2427,$BF2427))</f>
        <v/>
      </c>
      <c r="BL2427" s="9" t="str">
        <f>IF($B2427="","",COUNTIFS($B$5:$B2427,$B2427,$BH$5:$BH2427,$BH2427))</f>
        <v/>
      </c>
      <c r="BM2427" s="9" t="str">
        <f t="shared" si="386"/>
        <v/>
      </c>
      <c r="BN2427" s="9" t="str">
        <f t="shared" si="387"/>
        <v/>
      </c>
      <c r="BO2427" s="9">
        <f t="shared" si="388"/>
        <v>0</v>
      </c>
      <c r="BR2427" s="12" t="str">
        <f t="shared" si="389"/>
        <v/>
      </c>
    </row>
    <row r="2428" spans="1:70" ht="14.25" customHeight="1">
      <c r="A2428" s="26"/>
      <c r="C2428" s="26"/>
      <c r="D2428" s="27"/>
      <c r="E2428" s="27"/>
      <c r="BE2428" s="10" t="str">
        <f t="shared" si="380"/>
        <v/>
      </c>
      <c r="BF2428" s="8" t="str">
        <f t="shared" si="381"/>
        <v/>
      </c>
      <c r="BG2428" s="11" t="str">
        <f t="shared" si="382"/>
        <v/>
      </c>
      <c r="BH2428" s="8" t="str">
        <f t="shared" si="383"/>
        <v/>
      </c>
      <c r="BI2428" s="8" t="str">
        <f t="shared" si="384"/>
        <v/>
      </c>
      <c r="BJ2428" s="9" t="str">
        <f t="shared" si="385"/>
        <v/>
      </c>
      <c r="BK2428" s="9" t="str">
        <f>IF($B2428="","",COUNTIFS($B$5:$B2428,$B2428,$BF$5:$BF2428,$BF2428))</f>
        <v/>
      </c>
      <c r="BL2428" s="9" t="str">
        <f>IF($B2428="","",COUNTIFS($B$5:$B2428,$B2428,$BH$5:$BH2428,$BH2428))</f>
        <v/>
      </c>
      <c r="BM2428" s="9" t="str">
        <f t="shared" si="386"/>
        <v/>
      </c>
      <c r="BN2428" s="9" t="str">
        <f t="shared" si="387"/>
        <v/>
      </c>
      <c r="BO2428" s="9">
        <f t="shared" si="388"/>
        <v>0</v>
      </c>
      <c r="BR2428" s="12" t="str">
        <f t="shared" si="389"/>
        <v/>
      </c>
    </row>
    <row r="2429" spans="1:70" ht="14.25" customHeight="1">
      <c r="A2429" s="26"/>
      <c r="C2429" s="26"/>
      <c r="D2429" s="27"/>
      <c r="E2429" s="27"/>
      <c r="BE2429" s="10" t="str">
        <f t="shared" si="380"/>
        <v/>
      </c>
      <c r="BF2429" s="8" t="str">
        <f t="shared" si="381"/>
        <v/>
      </c>
      <c r="BG2429" s="11" t="str">
        <f t="shared" si="382"/>
        <v/>
      </c>
      <c r="BH2429" s="8" t="str">
        <f t="shared" si="383"/>
        <v/>
      </c>
      <c r="BI2429" s="8" t="str">
        <f t="shared" si="384"/>
        <v/>
      </c>
      <c r="BJ2429" s="9" t="str">
        <f t="shared" si="385"/>
        <v/>
      </c>
      <c r="BK2429" s="9" t="str">
        <f>IF($B2429="","",COUNTIFS($B$5:$B2429,$B2429,$BF$5:$BF2429,$BF2429))</f>
        <v/>
      </c>
      <c r="BL2429" s="9" t="str">
        <f>IF($B2429="","",COUNTIFS($B$5:$B2429,$B2429,$BH$5:$BH2429,$BH2429))</f>
        <v/>
      </c>
      <c r="BM2429" s="9" t="str">
        <f t="shared" si="386"/>
        <v/>
      </c>
      <c r="BN2429" s="9" t="str">
        <f t="shared" si="387"/>
        <v/>
      </c>
      <c r="BO2429" s="9">
        <f t="shared" si="388"/>
        <v>0</v>
      </c>
      <c r="BR2429" s="12" t="str">
        <f t="shared" si="389"/>
        <v/>
      </c>
    </row>
    <row r="2430" spans="1:70" ht="14.25" customHeight="1">
      <c r="A2430" s="26"/>
      <c r="C2430" s="26"/>
      <c r="D2430" s="27"/>
      <c r="E2430" s="27"/>
      <c r="BE2430" s="10" t="str">
        <f t="shared" si="380"/>
        <v/>
      </c>
      <c r="BF2430" s="8" t="str">
        <f t="shared" si="381"/>
        <v/>
      </c>
      <c r="BG2430" s="11" t="str">
        <f t="shared" si="382"/>
        <v/>
      </c>
      <c r="BH2430" s="8" t="str">
        <f t="shared" si="383"/>
        <v/>
      </c>
      <c r="BI2430" s="8" t="str">
        <f t="shared" si="384"/>
        <v/>
      </c>
      <c r="BJ2430" s="9" t="str">
        <f t="shared" si="385"/>
        <v/>
      </c>
      <c r="BK2430" s="9" t="str">
        <f>IF($B2430="","",COUNTIFS($B$5:$B2430,$B2430,$BF$5:$BF2430,$BF2430))</f>
        <v/>
      </c>
      <c r="BL2430" s="9" t="str">
        <f>IF($B2430="","",COUNTIFS($B$5:$B2430,$B2430,$BH$5:$BH2430,$BH2430))</f>
        <v/>
      </c>
      <c r="BM2430" s="9" t="str">
        <f t="shared" si="386"/>
        <v/>
      </c>
      <c r="BN2430" s="9" t="str">
        <f t="shared" si="387"/>
        <v/>
      </c>
      <c r="BO2430" s="9">
        <f t="shared" si="388"/>
        <v>0</v>
      </c>
      <c r="BR2430" s="12" t="str">
        <f t="shared" si="389"/>
        <v/>
      </c>
    </row>
    <row r="2431" spans="1:70" ht="14.25" customHeight="1">
      <c r="A2431" s="26"/>
      <c r="C2431" s="26"/>
      <c r="D2431" s="27"/>
      <c r="E2431" s="27"/>
      <c r="BE2431" s="10" t="str">
        <f t="shared" si="380"/>
        <v/>
      </c>
      <c r="BF2431" s="8" t="str">
        <f t="shared" si="381"/>
        <v/>
      </c>
      <c r="BG2431" s="11" t="str">
        <f t="shared" si="382"/>
        <v/>
      </c>
      <c r="BH2431" s="8" t="str">
        <f t="shared" si="383"/>
        <v/>
      </c>
      <c r="BI2431" s="8" t="str">
        <f t="shared" si="384"/>
        <v/>
      </c>
      <c r="BJ2431" s="9" t="str">
        <f t="shared" si="385"/>
        <v/>
      </c>
      <c r="BK2431" s="9" t="str">
        <f>IF($B2431="","",COUNTIFS($B$5:$B2431,$B2431,$BF$5:$BF2431,$BF2431))</f>
        <v/>
      </c>
      <c r="BL2431" s="9" t="str">
        <f>IF($B2431="","",COUNTIFS($B$5:$B2431,$B2431,$BH$5:$BH2431,$BH2431))</f>
        <v/>
      </c>
      <c r="BM2431" s="9" t="str">
        <f t="shared" si="386"/>
        <v/>
      </c>
      <c r="BN2431" s="9" t="str">
        <f t="shared" si="387"/>
        <v/>
      </c>
      <c r="BO2431" s="9">
        <f t="shared" si="388"/>
        <v>0</v>
      </c>
      <c r="BR2431" s="12" t="str">
        <f t="shared" si="389"/>
        <v/>
      </c>
    </row>
    <row r="2432" spans="1:70" ht="14.25" customHeight="1">
      <c r="A2432" s="26"/>
      <c r="C2432" s="26"/>
      <c r="D2432" s="27"/>
      <c r="E2432" s="27"/>
      <c r="BE2432" s="10" t="str">
        <f t="shared" si="380"/>
        <v/>
      </c>
      <c r="BF2432" s="8" t="str">
        <f t="shared" si="381"/>
        <v/>
      </c>
      <c r="BG2432" s="11" t="str">
        <f t="shared" si="382"/>
        <v/>
      </c>
      <c r="BH2432" s="8" t="str">
        <f t="shared" si="383"/>
        <v/>
      </c>
      <c r="BI2432" s="8" t="str">
        <f t="shared" si="384"/>
        <v/>
      </c>
      <c r="BJ2432" s="9" t="str">
        <f t="shared" si="385"/>
        <v/>
      </c>
      <c r="BK2432" s="9" t="str">
        <f>IF($B2432="","",COUNTIFS($B$5:$B2432,$B2432,$BF$5:$BF2432,$BF2432))</f>
        <v/>
      </c>
      <c r="BL2432" s="9" t="str">
        <f>IF($B2432="","",COUNTIFS($B$5:$B2432,$B2432,$BH$5:$BH2432,$BH2432))</f>
        <v/>
      </c>
      <c r="BM2432" s="9" t="str">
        <f t="shared" si="386"/>
        <v/>
      </c>
      <c r="BN2432" s="9" t="str">
        <f t="shared" si="387"/>
        <v/>
      </c>
      <c r="BO2432" s="9">
        <f t="shared" si="388"/>
        <v>0</v>
      </c>
      <c r="BR2432" s="12" t="str">
        <f t="shared" si="389"/>
        <v/>
      </c>
    </row>
    <row r="2433" spans="1:70" ht="14.25" customHeight="1">
      <c r="A2433" s="26"/>
      <c r="C2433" s="26"/>
      <c r="D2433" s="27"/>
      <c r="E2433" s="27"/>
      <c r="BE2433" s="10" t="str">
        <f t="shared" si="380"/>
        <v/>
      </c>
      <c r="BF2433" s="8" t="str">
        <f t="shared" si="381"/>
        <v/>
      </c>
      <c r="BG2433" s="11" t="str">
        <f t="shared" si="382"/>
        <v/>
      </c>
      <c r="BH2433" s="8" t="str">
        <f t="shared" si="383"/>
        <v/>
      </c>
      <c r="BI2433" s="8" t="str">
        <f t="shared" si="384"/>
        <v/>
      </c>
      <c r="BJ2433" s="9" t="str">
        <f t="shared" si="385"/>
        <v/>
      </c>
      <c r="BK2433" s="9" t="str">
        <f>IF($B2433="","",COUNTIFS($B$5:$B2433,$B2433,$BF$5:$BF2433,$BF2433))</f>
        <v/>
      </c>
      <c r="BL2433" s="9" t="str">
        <f>IF($B2433="","",COUNTIFS($B$5:$B2433,$B2433,$BH$5:$BH2433,$BH2433))</f>
        <v/>
      </c>
      <c r="BM2433" s="9" t="str">
        <f t="shared" si="386"/>
        <v/>
      </c>
      <c r="BN2433" s="9" t="str">
        <f t="shared" si="387"/>
        <v/>
      </c>
      <c r="BO2433" s="9">
        <f t="shared" si="388"/>
        <v>0</v>
      </c>
      <c r="BR2433" s="12" t="str">
        <f t="shared" si="389"/>
        <v/>
      </c>
    </row>
    <row r="2434" spans="1:70" ht="14.25" customHeight="1">
      <c r="A2434" s="26"/>
      <c r="C2434" s="26"/>
      <c r="D2434" s="27"/>
      <c r="E2434" s="27"/>
      <c r="BE2434" s="10" t="str">
        <f t="shared" si="380"/>
        <v/>
      </c>
      <c r="BF2434" s="8" t="str">
        <f t="shared" si="381"/>
        <v/>
      </c>
      <c r="BG2434" s="11" t="str">
        <f t="shared" si="382"/>
        <v/>
      </c>
      <c r="BH2434" s="8" t="str">
        <f t="shared" si="383"/>
        <v/>
      </c>
      <c r="BI2434" s="8" t="str">
        <f t="shared" si="384"/>
        <v/>
      </c>
      <c r="BJ2434" s="9" t="str">
        <f t="shared" si="385"/>
        <v/>
      </c>
      <c r="BK2434" s="9" t="str">
        <f>IF($B2434="","",COUNTIFS($B$5:$B2434,$B2434,$BF$5:$BF2434,$BF2434))</f>
        <v/>
      </c>
      <c r="BL2434" s="9" t="str">
        <f>IF($B2434="","",COUNTIFS($B$5:$B2434,$B2434,$BH$5:$BH2434,$BH2434))</f>
        <v/>
      </c>
      <c r="BM2434" s="9" t="str">
        <f t="shared" si="386"/>
        <v/>
      </c>
      <c r="BN2434" s="9" t="str">
        <f t="shared" si="387"/>
        <v/>
      </c>
      <c r="BO2434" s="9">
        <f t="shared" si="388"/>
        <v>0</v>
      </c>
      <c r="BR2434" s="12" t="str">
        <f t="shared" si="389"/>
        <v/>
      </c>
    </row>
    <row r="2435" spans="1:70" ht="14.25" customHeight="1">
      <c r="A2435" s="26"/>
      <c r="C2435" s="26"/>
      <c r="D2435" s="27"/>
      <c r="E2435" s="27"/>
      <c r="BE2435" s="10" t="str">
        <f t="shared" si="380"/>
        <v/>
      </c>
      <c r="BF2435" s="8" t="str">
        <f t="shared" si="381"/>
        <v/>
      </c>
      <c r="BG2435" s="11" t="str">
        <f t="shared" si="382"/>
        <v/>
      </c>
      <c r="BH2435" s="8" t="str">
        <f t="shared" si="383"/>
        <v/>
      </c>
      <c r="BI2435" s="8" t="str">
        <f t="shared" si="384"/>
        <v/>
      </c>
      <c r="BJ2435" s="9" t="str">
        <f t="shared" si="385"/>
        <v/>
      </c>
      <c r="BK2435" s="9" t="str">
        <f>IF($B2435="","",COUNTIFS($B$5:$B2435,$B2435,$BF$5:$BF2435,$BF2435))</f>
        <v/>
      </c>
      <c r="BL2435" s="9" t="str">
        <f>IF($B2435="","",COUNTIFS($B$5:$B2435,$B2435,$BH$5:$BH2435,$BH2435))</f>
        <v/>
      </c>
      <c r="BM2435" s="9" t="str">
        <f t="shared" si="386"/>
        <v/>
      </c>
      <c r="BN2435" s="9" t="str">
        <f t="shared" si="387"/>
        <v/>
      </c>
      <c r="BO2435" s="9">
        <f t="shared" si="388"/>
        <v>0</v>
      </c>
      <c r="BR2435" s="12" t="str">
        <f t="shared" si="389"/>
        <v/>
      </c>
    </row>
    <row r="2436" spans="1:70" ht="14.25" customHeight="1">
      <c r="A2436" s="26"/>
      <c r="C2436" s="26"/>
      <c r="D2436" s="27"/>
      <c r="E2436" s="27"/>
      <c r="BE2436" s="10" t="str">
        <f t="shared" si="380"/>
        <v/>
      </c>
      <c r="BF2436" s="8" t="str">
        <f t="shared" si="381"/>
        <v/>
      </c>
      <c r="BG2436" s="11" t="str">
        <f t="shared" si="382"/>
        <v/>
      </c>
      <c r="BH2436" s="8" t="str">
        <f t="shared" si="383"/>
        <v/>
      </c>
      <c r="BI2436" s="8" t="str">
        <f t="shared" si="384"/>
        <v/>
      </c>
      <c r="BJ2436" s="9" t="str">
        <f t="shared" si="385"/>
        <v/>
      </c>
      <c r="BK2436" s="9" t="str">
        <f>IF($B2436="","",COUNTIFS($B$5:$B2436,$B2436,$BF$5:$BF2436,$BF2436))</f>
        <v/>
      </c>
      <c r="BL2436" s="9" t="str">
        <f>IF($B2436="","",COUNTIFS($B$5:$B2436,$B2436,$BH$5:$BH2436,$BH2436))</f>
        <v/>
      </c>
      <c r="BM2436" s="9" t="str">
        <f t="shared" si="386"/>
        <v/>
      </c>
      <c r="BN2436" s="9" t="str">
        <f t="shared" si="387"/>
        <v/>
      </c>
      <c r="BO2436" s="9">
        <f t="shared" si="388"/>
        <v>0</v>
      </c>
      <c r="BR2436" s="12" t="str">
        <f t="shared" si="389"/>
        <v/>
      </c>
    </row>
    <row r="2437" spans="1:70" ht="14.25" customHeight="1">
      <c r="A2437" s="26"/>
      <c r="C2437" s="26"/>
      <c r="D2437" s="27"/>
      <c r="E2437" s="27"/>
      <c r="BE2437" s="10" t="str">
        <f t="shared" si="380"/>
        <v/>
      </c>
      <c r="BF2437" s="8" t="str">
        <f t="shared" si="381"/>
        <v/>
      </c>
      <c r="BG2437" s="11" t="str">
        <f t="shared" si="382"/>
        <v/>
      </c>
      <c r="BH2437" s="8" t="str">
        <f t="shared" si="383"/>
        <v/>
      </c>
      <c r="BI2437" s="8" t="str">
        <f t="shared" si="384"/>
        <v/>
      </c>
      <c r="BJ2437" s="9" t="str">
        <f t="shared" si="385"/>
        <v/>
      </c>
      <c r="BK2437" s="9" t="str">
        <f>IF($B2437="","",COUNTIFS($B$5:$B2437,$B2437,$BF$5:$BF2437,$BF2437))</f>
        <v/>
      </c>
      <c r="BL2437" s="9" t="str">
        <f>IF($B2437="","",COUNTIFS($B$5:$B2437,$B2437,$BH$5:$BH2437,$BH2437))</f>
        <v/>
      </c>
      <c r="BM2437" s="9" t="str">
        <f t="shared" si="386"/>
        <v/>
      </c>
      <c r="BN2437" s="9" t="str">
        <f t="shared" si="387"/>
        <v/>
      </c>
      <c r="BO2437" s="9">
        <f t="shared" si="388"/>
        <v>0</v>
      </c>
      <c r="BR2437" s="12" t="str">
        <f t="shared" si="389"/>
        <v/>
      </c>
    </row>
    <row r="2438" spans="1:70" ht="14.25" customHeight="1">
      <c r="A2438" s="26"/>
      <c r="C2438" s="26"/>
      <c r="D2438" s="27"/>
      <c r="E2438" s="27"/>
      <c r="BE2438" s="10" t="str">
        <f t="shared" si="380"/>
        <v/>
      </c>
      <c r="BF2438" s="8" t="str">
        <f t="shared" si="381"/>
        <v/>
      </c>
      <c r="BG2438" s="11" t="str">
        <f t="shared" si="382"/>
        <v/>
      </c>
      <c r="BH2438" s="8" t="str">
        <f t="shared" si="383"/>
        <v/>
      </c>
      <c r="BI2438" s="8" t="str">
        <f t="shared" si="384"/>
        <v/>
      </c>
      <c r="BJ2438" s="9" t="str">
        <f t="shared" si="385"/>
        <v/>
      </c>
      <c r="BK2438" s="9" t="str">
        <f>IF($B2438="","",COUNTIFS($B$5:$B2438,$B2438,$BF$5:$BF2438,$BF2438))</f>
        <v/>
      </c>
      <c r="BL2438" s="9" t="str">
        <f>IF($B2438="","",COUNTIFS($B$5:$B2438,$B2438,$BH$5:$BH2438,$BH2438))</f>
        <v/>
      </c>
      <c r="BM2438" s="9" t="str">
        <f t="shared" si="386"/>
        <v/>
      </c>
      <c r="BN2438" s="9" t="str">
        <f t="shared" si="387"/>
        <v/>
      </c>
      <c r="BO2438" s="9">
        <f t="shared" si="388"/>
        <v>0</v>
      </c>
      <c r="BR2438" s="12" t="str">
        <f t="shared" si="389"/>
        <v/>
      </c>
    </row>
    <row r="2439" spans="1:70" ht="14.25" customHeight="1">
      <c r="A2439" s="26"/>
      <c r="C2439" s="26"/>
      <c r="D2439" s="27"/>
      <c r="E2439" s="27"/>
      <c r="BE2439" s="10" t="str">
        <f t="shared" si="380"/>
        <v/>
      </c>
      <c r="BF2439" s="8" t="str">
        <f t="shared" si="381"/>
        <v/>
      </c>
      <c r="BG2439" s="11" t="str">
        <f t="shared" si="382"/>
        <v/>
      </c>
      <c r="BH2439" s="8" t="str">
        <f t="shared" si="383"/>
        <v/>
      </c>
      <c r="BI2439" s="8" t="str">
        <f t="shared" si="384"/>
        <v/>
      </c>
      <c r="BJ2439" s="9" t="str">
        <f t="shared" si="385"/>
        <v/>
      </c>
      <c r="BK2439" s="9" t="str">
        <f>IF($B2439="","",COUNTIFS($B$5:$B2439,$B2439,$BF$5:$BF2439,$BF2439))</f>
        <v/>
      </c>
      <c r="BL2439" s="9" t="str">
        <f>IF($B2439="","",COUNTIFS($B$5:$B2439,$B2439,$BH$5:$BH2439,$BH2439))</f>
        <v/>
      </c>
      <c r="BM2439" s="9" t="str">
        <f t="shared" si="386"/>
        <v/>
      </c>
      <c r="BN2439" s="9" t="str">
        <f t="shared" si="387"/>
        <v/>
      </c>
      <c r="BO2439" s="9">
        <f t="shared" si="388"/>
        <v>0</v>
      </c>
      <c r="BR2439" s="12" t="str">
        <f t="shared" si="389"/>
        <v/>
      </c>
    </row>
    <row r="2440" spans="1:70" ht="14.25" customHeight="1">
      <c r="A2440" s="26"/>
      <c r="C2440" s="26"/>
      <c r="D2440" s="27"/>
      <c r="E2440" s="27"/>
      <c r="BE2440" s="10" t="str">
        <f t="shared" si="380"/>
        <v/>
      </c>
      <c r="BF2440" s="8" t="str">
        <f t="shared" si="381"/>
        <v/>
      </c>
      <c r="BG2440" s="11" t="str">
        <f t="shared" si="382"/>
        <v/>
      </c>
      <c r="BH2440" s="8" t="str">
        <f t="shared" si="383"/>
        <v/>
      </c>
      <c r="BI2440" s="8" t="str">
        <f t="shared" si="384"/>
        <v/>
      </c>
      <c r="BJ2440" s="9" t="str">
        <f t="shared" si="385"/>
        <v/>
      </c>
      <c r="BK2440" s="9" t="str">
        <f>IF($B2440="","",COUNTIFS($B$5:$B2440,$B2440,$BF$5:$BF2440,$BF2440))</f>
        <v/>
      </c>
      <c r="BL2440" s="9" t="str">
        <f>IF($B2440="","",COUNTIFS($B$5:$B2440,$B2440,$BH$5:$BH2440,$BH2440))</f>
        <v/>
      </c>
      <c r="BM2440" s="9" t="str">
        <f t="shared" si="386"/>
        <v/>
      </c>
      <c r="BN2440" s="9" t="str">
        <f t="shared" si="387"/>
        <v/>
      </c>
      <c r="BO2440" s="9">
        <f t="shared" si="388"/>
        <v>0</v>
      </c>
      <c r="BR2440" s="12" t="str">
        <f t="shared" si="389"/>
        <v/>
      </c>
    </row>
    <row r="2441" spans="1:70" ht="14.25" customHeight="1">
      <c r="A2441" s="26"/>
      <c r="C2441" s="26"/>
      <c r="D2441" s="27"/>
      <c r="E2441" s="27"/>
      <c r="BE2441" s="10" t="str">
        <f t="shared" si="380"/>
        <v/>
      </c>
      <c r="BF2441" s="8" t="str">
        <f t="shared" si="381"/>
        <v/>
      </c>
      <c r="BG2441" s="11" t="str">
        <f t="shared" si="382"/>
        <v/>
      </c>
      <c r="BH2441" s="8" t="str">
        <f t="shared" si="383"/>
        <v/>
      </c>
      <c r="BI2441" s="8" t="str">
        <f t="shared" si="384"/>
        <v/>
      </c>
      <c r="BJ2441" s="9" t="str">
        <f t="shared" si="385"/>
        <v/>
      </c>
      <c r="BK2441" s="9" t="str">
        <f>IF($B2441="","",COUNTIFS($B$5:$B2441,$B2441,$BF$5:$BF2441,$BF2441))</f>
        <v/>
      </c>
      <c r="BL2441" s="9" t="str">
        <f>IF($B2441="","",COUNTIFS($B$5:$B2441,$B2441,$BH$5:$BH2441,$BH2441))</f>
        <v/>
      </c>
      <c r="BM2441" s="9" t="str">
        <f t="shared" si="386"/>
        <v/>
      </c>
      <c r="BN2441" s="9" t="str">
        <f t="shared" si="387"/>
        <v/>
      </c>
      <c r="BO2441" s="9">
        <f t="shared" si="388"/>
        <v>0</v>
      </c>
      <c r="BR2441" s="12" t="str">
        <f t="shared" si="389"/>
        <v/>
      </c>
    </row>
    <row r="2442" spans="1:70" ht="14.25" customHeight="1">
      <c r="A2442" s="26"/>
      <c r="C2442" s="26"/>
      <c r="D2442" s="27"/>
      <c r="E2442" s="27"/>
      <c r="BE2442" s="10" t="str">
        <f t="shared" si="380"/>
        <v/>
      </c>
      <c r="BF2442" s="8" t="str">
        <f t="shared" si="381"/>
        <v/>
      </c>
      <c r="BG2442" s="11" t="str">
        <f t="shared" si="382"/>
        <v/>
      </c>
      <c r="BH2442" s="8" t="str">
        <f t="shared" si="383"/>
        <v/>
      </c>
      <c r="BI2442" s="8" t="str">
        <f t="shared" si="384"/>
        <v/>
      </c>
      <c r="BJ2442" s="9" t="str">
        <f t="shared" si="385"/>
        <v/>
      </c>
      <c r="BK2442" s="9" t="str">
        <f>IF($B2442="","",COUNTIFS($B$5:$B2442,$B2442,$BF$5:$BF2442,$BF2442))</f>
        <v/>
      </c>
      <c r="BL2442" s="9" t="str">
        <f>IF($B2442="","",COUNTIFS($B$5:$B2442,$B2442,$BH$5:$BH2442,$BH2442))</f>
        <v/>
      </c>
      <c r="BM2442" s="9" t="str">
        <f t="shared" si="386"/>
        <v/>
      </c>
      <c r="BN2442" s="9" t="str">
        <f t="shared" si="387"/>
        <v/>
      </c>
      <c r="BO2442" s="9">
        <f t="shared" si="388"/>
        <v>0</v>
      </c>
      <c r="BR2442" s="12" t="str">
        <f t="shared" si="389"/>
        <v/>
      </c>
    </row>
    <row r="2443" spans="1:70" ht="14.25" customHeight="1">
      <c r="A2443" s="26"/>
      <c r="C2443" s="26"/>
      <c r="D2443" s="27"/>
      <c r="E2443" s="27"/>
      <c r="BE2443" s="10" t="str">
        <f t="shared" si="380"/>
        <v/>
      </c>
      <c r="BF2443" s="8" t="str">
        <f t="shared" si="381"/>
        <v/>
      </c>
      <c r="BG2443" s="11" t="str">
        <f t="shared" si="382"/>
        <v/>
      </c>
      <c r="BH2443" s="8" t="str">
        <f t="shared" si="383"/>
        <v/>
      </c>
      <c r="BI2443" s="8" t="str">
        <f t="shared" si="384"/>
        <v/>
      </c>
      <c r="BJ2443" s="9" t="str">
        <f t="shared" si="385"/>
        <v/>
      </c>
      <c r="BK2443" s="9" t="str">
        <f>IF($B2443="","",COUNTIFS($B$5:$B2443,$B2443,$BF$5:$BF2443,$BF2443))</f>
        <v/>
      </c>
      <c r="BL2443" s="9" t="str">
        <f>IF($B2443="","",COUNTIFS($B$5:$B2443,$B2443,$BH$5:$BH2443,$BH2443))</f>
        <v/>
      </c>
      <c r="BM2443" s="9" t="str">
        <f t="shared" si="386"/>
        <v/>
      </c>
      <c r="BN2443" s="9" t="str">
        <f t="shared" si="387"/>
        <v/>
      </c>
      <c r="BO2443" s="9">
        <f t="shared" si="388"/>
        <v>0</v>
      </c>
      <c r="BR2443" s="12" t="str">
        <f t="shared" si="389"/>
        <v/>
      </c>
    </row>
    <row r="2444" spans="1:70" ht="14.25" customHeight="1">
      <c r="A2444" s="26"/>
      <c r="C2444" s="26"/>
      <c r="D2444" s="27"/>
      <c r="E2444" s="27"/>
      <c r="BE2444" s="10" t="str">
        <f t="shared" si="380"/>
        <v/>
      </c>
      <c r="BF2444" s="8" t="str">
        <f t="shared" si="381"/>
        <v/>
      </c>
      <c r="BG2444" s="11" t="str">
        <f t="shared" si="382"/>
        <v/>
      </c>
      <c r="BH2444" s="8" t="str">
        <f t="shared" si="383"/>
        <v/>
      </c>
      <c r="BI2444" s="8" t="str">
        <f t="shared" si="384"/>
        <v/>
      </c>
      <c r="BJ2444" s="9" t="str">
        <f t="shared" si="385"/>
        <v/>
      </c>
      <c r="BK2444" s="9" t="str">
        <f>IF($B2444="","",COUNTIFS($B$5:$B2444,$B2444,$BF$5:$BF2444,$BF2444))</f>
        <v/>
      </c>
      <c r="BL2444" s="9" t="str">
        <f>IF($B2444="","",COUNTIFS($B$5:$B2444,$B2444,$BH$5:$BH2444,$BH2444))</f>
        <v/>
      </c>
      <c r="BM2444" s="9" t="str">
        <f t="shared" si="386"/>
        <v/>
      </c>
      <c r="BN2444" s="9" t="str">
        <f t="shared" si="387"/>
        <v/>
      </c>
      <c r="BO2444" s="9">
        <f t="shared" si="388"/>
        <v>0</v>
      </c>
      <c r="BR2444" s="12" t="str">
        <f t="shared" si="389"/>
        <v/>
      </c>
    </row>
    <row r="2445" spans="1:70" ht="14.25" customHeight="1">
      <c r="A2445" s="26"/>
      <c r="C2445" s="26"/>
      <c r="D2445" s="27"/>
      <c r="E2445" s="27"/>
      <c r="BE2445" s="10" t="str">
        <f t="shared" si="380"/>
        <v/>
      </c>
      <c r="BF2445" s="8" t="str">
        <f t="shared" si="381"/>
        <v/>
      </c>
      <c r="BG2445" s="11" t="str">
        <f t="shared" si="382"/>
        <v/>
      </c>
      <c r="BH2445" s="8" t="str">
        <f t="shared" si="383"/>
        <v/>
      </c>
      <c r="BI2445" s="8" t="str">
        <f t="shared" si="384"/>
        <v/>
      </c>
      <c r="BJ2445" s="9" t="str">
        <f t="shared" si="385"/>
        <v/>
      </c>
      <c r="BK2445" s="9" t="str">
        <f>IF($B2445="","",COUNTIFS($B$5:$B2445,$B2445,$BF$5:$BF2445,$BF2445))</f>
        <v/>
      </c>
      <c r="BL2445" s="9" t="str">
        <f>IF($B2445="","",COUNTIFS($B$5:$B2445,$B2445,$BH$5:$BH2445,$BH2445))</f>
        <v/>
      </c>
      <c r="BM2445" s="9" t="str">
        <f t="shared" si="386"/>
        <v/>
      </c>
      <c r="BN2445" s="9" t="str">
        <f t="shared" si="387"/>
        <v/>
      </c>
      <c r="BO2445" s="9">
        <f t="shared" si="388"/>
        <v>0</v>
      </c>
      <c r="BR2445" s="12" t="str">
        <f t="shared" si="389"/>
        <v/>
      </c>
    </row>
    <row r="2446" spans="1:70" ht="14.25" customHeight="1">
      <c r="A2446" s="26"/>
      <c r="C2446" s="26"/>
      <c r="D2446" s="27"/>
      <c r="E2446" s="27"/>
      <c r="BE2446" s="10" t="str">
        <f t="shared" si="380"/>
        <v/>
      </c>
      <c r="BF2446" s="8" t="str">
        <f t="shared" si="381"/>
        <v/>
      </c>
      <c r="BG2446" s="11" t="str">
        <f t="shared" si="382"/>
        <v/>
      </c>
      <c r="BH2446" s="8" t="str">
        <f t="shared" si="383"/>
        <v/>
      </c>
      <c r="BI2446" s="8" t="str">
        <f t="shared" si="384"/>
        <v/>
      </c>
      <c r="BJ2446" s="9" t="str">
        <f t="shared" si="385"/>
        <v/>
      </c>
      <c r="BK2446" s="9" t="str">
        <f>IF($B2446="","",COUNTIFS($B$5:$B2446,$B2446,$BF$5:$BF2446,$BF2446))</f>
        <v/>
      </c>
      <c r="BL2446" s="9" t="str">
        <f>IF($B2446="","",COUNTIFS($B$5:$B2446,$B2446,$BH$5:$BH2446,$BH2446))</f>
        <v/>
      </c>
      <c r="BM2446" s="9" t="str">
        <f t="shared" si="386"/>
        <v/>
      </c>
      <c r="BN2446" s="9" t="str">
        <f t="shared" si="387"/>
        <v/>
      </c>
      <c r="BO2446" s="9">
        <f t="shared" si="388"/>
        <v>0</v>
      </c>
      <c r="BR2446" s="12" t="str">
        <f t="shared" si="389"/>
        <v/>
      </c>
    </row>
    <row r="2447" spans="1:70" ht="14.25" customHeight="1">
      <c r="A2447" s="26"/>
      <c r="C2447" s="26"/>
      <c r="D2447" s="27"/>
      <c r="E2447" s="27"/>
      <c r="BE2447" s="10" t="str">
        <f t="shared" si="380"/>
        <v/>
      </c>
      <c r="BF2447" s="8" t="str">
        <f t="shared" si="381"/>
        <v/>
      </c>
      <c r="BG2447" s="11" t="str">
        <f t="shared" si="382"/>
        <v/>
      </c>
      <c r="BH2447" s="8" t="str">
        <f t="shared" si="383"/>
        <v/>
      </c>
      <c r="BI2447" s="8" t="str">
        <f t="shared" si="384"/>
        <v/>
      </c>
      <c r="BJ2447" s="9" t="str">
        <f t="shared" si="385"/>
        <v/>
      </c>
      <c r="BK2447" s="9" t="str">
        <f>IF($B2447="","",COUNTIFS($B$5:$B2447,$B2447,$BF$5:$BF2447,$BF2447))</f>
        <v/>
      </c>
      <c r="BL2447" s="9" t="str">
        <f>IF($B2447="","",COUNTIFS($B$5:$B2447,$B2447,$BH$5:$BH2447,$BH2447))</f>
        <v/>
      </c>
      <c r="BM2447" s="9" t="str">
        <f t="shared" si="386"/>
        <v/>
      </c>
      <c r="BN2447" s="9" t="str">
        <f t="shared" si="387"/>
        <v/>
      </c>
      <c r="BO2447" s="9">
        <f t="shared" si="388"/>
        <v>0</v>
      </c>
      <c r="BR2447" s="12" t="str">
        <f t="shared" si="389"/>
        <v/>
      </c>
    </row>
    <row r="2448" spans="1:70" ht="14.25" customHeight="1">
      <c r="A2448" s="26"/>
      <c r="C2448" s="26"/>
      <c r="D2448" s="27"/>
      <c r="E2448" s="27"/>
      <c r="BE2448" s="10" t="str">
        <f t="shared" si="380"/>
        <v/>
      </c>
      <c r="BF2448" s="8" t="str">
        <f t="shared" si="381"/>
        <v/>
      </c>
      <c r="BG2448" s="11" t="str">
        <f t="shared" si="382"/>
        <v/>
      </c>
      <c r="BH2448" s="8" t="str">
        <f t="shared" si="383"/>
        <v/>
      </c>
      <c r="BI2448" s="8" t="str">
        <f t="shared" si="384"/>
        <v/>
      </c>
      <c r="BJ2448" s="9" t="str">
        <f t="shared" si="385"/>
        <v/>
      </c>
      <c r="BK2448" s="9" t="str">
        <f>IF($B2448="","",COUNTIFS($B$5:$B2448,$B2448,$BF$5:$BF2448,$BF2448))</f>
        <v/>
      </c>
      <c r="BL2448" s="9" t="str">
        <f>IF($B2448="","",COUNTIFS($B$5:$B2448,$B2448,$BH$5:$BH2448,$BH2448))</f>
        <v/>
      </c>
      <c r="BM2448" s="9" t="str">
        <f t="shared" si="386"/>
        <v/>
      </c>
      <c r="BN2448" s="9" t="str">
        <f t="shared" si="387"/>
        <v/>
      </c>
      <c r="BO2448" s="9">
        <f t="shared" si="388"/>
        <v>0</v>
      </c>
      <c r="BR2448" s="12" t="str">
        <f t="shared" si="389"/>
        <v/>
      </c>
    </row>
    <row r="2449" spans="1:70" ht="14.25" customHeight="1">
      <c r="A2449" s="26"/>
      <c r="C2449" s="26"/>
      <c r="D2449" s="27"/>
      <c r="E2449" s="27"/>
      <c r="BE2449" s="10" t="str">
        <f t="shared" si="380"/>
        <v/>
      </c>
      <c r="BF2449" s="8" t="str">
        <f t="shared" si="381"/>
        <v/>
      </c>
      <c r="BG2449" s="11" t="str">
        <f t="shared" si="382"/>
        <v/>
      </c>
      <c r="BH2449" s="8" t="str">
        <f t="shared" si="383"/>
        <v/>
      </c>
      <c r="BI2449" s="8" t="str">
        <f t="shared" si="384"/>
        <v/>
      </c>
      <c r="BJ2449" s="9" t="str">
        <f t="shared" si="385"/>
        <v/>
      </c>
      <c r="BK2449" s="9" t="str">
        <f>IF($B2449="","",COUNTIFS($B$5:$B2449,$B2449,$BF$5:$BF2449,$BF2449))</f>
        <v/>
      </c>
      <c r="BL2449" s="9" t="str">
        <f>IF($B2449="","",COUNTIFS($B$5:$B2449,$B2449,$BH$5:$BH2449,$BH2449))</f>
        <v/>
      </c>
      <c r="BM2449" s="9" t="str">
        <f t="shared" si="386"/>
        <v/>
      </c>
      <c r="BN2449" s="9" t="str">
        <f t="shared" si="387"/>
        <v/>
      </c>
      <c r="BO2449" s="9">
        <f t="shared" si="388"/>
        <v>0</v>
      </c>
      <c r="BR2449" s="12" t="str">
        <f t="shared" si="389"/>
        <v/>
      </c>
    </row>
    <row r="2450" spans="1:70" ht="14.25" customHeight="1">
      <c r="A2450" s="26"/>
      <c r="C2450" s="26"/>
      <c r="D2450" s="27"/>
      <c r="E2450" s="27"/>
      <c r="BE2450" s="10" t="str">
        <f t="shared" si="380"/>
        <v/>
      </c>
      <c r="BF2450" s="8" t="str">
        <f t="shared" si="381"/>
        <v/>
      </c>
      <c r="BG2450" s="11" t="str">
        <f t="shared" si="382"/>
        <v/>
      </c>
      <c r="BH2450" s="8" t="str">
        <f t="shared" si="383"/>
        <v/>
      </c>
      <c r="BI2450" s="8" t="str">
        <f t="shared" si="384"/>
        <v/>
      </c>
      <c r="BJ2450" s="9" t="str">
        <f t="shared" si="385"/>
        <v/>
      </c>
      <c r="BK2450" s="9" t="str">
        <f>IF($B2450="","",COUNTIFS($B$5:$B2450,$B2450,$BF$5:$BF2450,$BF2450))</f>
        <v/>
      </c>
      <c r="BL2450" s="9" t="str">
        <f>IF($B2450="","",COUNTIFS($B$5:$B2450,$B2450,$BH$5:$BH2450,$BH2450))</f>
        <v/>
      </c>
      <c r="BM2450" s="9" t="str">
        <f t="shared" si="386"/>
        <v/>
      </c>
      <c r="BN2450" s="9" t="str">
        <f t="shared" si="387"/>
        <v/>
      </c>
      <c r="BO2450" s="9">
        <f t="shared" si="388"/>
        <v>0</v>
      </c>
      <c r="BR2450" s="12" t="str">
        <f t="shared" si="389"/>
        <v/>
      </c>
    </row>
    <row r="2451" spans="1:70" ht="14.25" customHeight="1">
      <c r="A2451" s="26"/>
      <c r="C2451" s="26"/>
      <c r="D2451" s="27"/>
      <c r="E2451" s="27"/>
      <c r="BE2451" s="10" t="str">
        <f t="shared" si="380"/>
        <v/>
      </c>
      <c r="BF2451" s="8" t="str">
        <f t="shared" si="381"/>
        <v/>
      </c>
      <c r="BG2451" s="11" t="str">
        <f t="shared" si="382"/>
        <v/>
      </c>
      <c r="BH2451" s="8" t="str">
        <f t="shared" si="383"/>
        <v/>
      </c>
      <c r="BI2451" s="8" t="str">
        <f t="shared" si="384"/>
        <v/>
      </c>
      <c r="BJ2451" s="9" t="str">
        <f t="shared" si="385"/>
        <v/>
      </c>
      <c r="BK2451" s="9" t="str">
        <f>IF($B2451="","",COUNTIFS($B$5:$B2451,$B2451,$BF$5:$BF2451,$BF2451))</f>
        <v/>
      </c>
      <c r="BL2451" s="9" t="str">
        <f>IF($B2451="","",COUNTIFS($B$5:$B2451,$B2451,$BH$5:$BH2451,$BH2451))</f>
        <v/>
      </c>
      <c r="BM2451" s="9" t="str">
        <f t="shared" si="386"/>
        <v/>
      </c>
      <c r="BN2451" s="9" t="str">
        <f t="shared" si="387"/>
        <v/>
      </c>
      <c r="BO2451" s="9">
        <f t="shared" si="388"/>
        <v>0</v>
      </c>
      <c r="BR2451" s="12" t="str">
        <f t="shared" si="389"/>
        <v/>
      </c>
    </row>
    <row r="2452" spans="1:70" ht="14.25" customHeight="1">
      <c r="A2452" s="26"/>
      <c r="C2452" s="26"/>
      <c r="D2452" s="27"/>
      <c r="E2452" s="27"/>
      <c r="BE2452" s="10" t="str">
        <f t="shared" si="380"/>
        <v/>
      </c>
      <c r="BF2452" s="8" t="str">
        <f t="shared" si="381"/>
        <v/>
      </c>
      <c r="BG2452" s="11" t="str">
        <f t="shared" si="382"/>
        <v/>
      </c>
      <c r="BH2452" s="8" t="str">
        <f t="shared" si="383"/>
        <v/>
      </c>
      <c r="BI2452" s="8" t="str">
        <f t="shared" si="384"/>
        <v/>
      </c>
      <c r="BJ2452" s="9" t="str">
        <f t="shared" si="385"/>
        <v/>
      </c>
      <c r="BK2452" s="9" t="str">
        <f>IF($B2452="","",COUNTIFS($B$5:$B2452,$B2452,$BF$5:$BF2452,$BF2452))</f>
        <v/>
      </c>
      <c r="BL2452" s="9" t="str">
        <f>IF($B2452="","",COUNTIFS($B$5:$B2452,$B2452,$BH$5:$BH2452,$BH2452))</f>
        <v/>
      </c>
      <c r="BM2452" s="9" t="str">
        <f t="shared" si="386"/>
        <v/>
      </c>
      <c r="BN2452" s="9" t="str">
        <f t="shared" si="387"/>
        <v/>
      </c>
      <c r="BO2452" s="9">
        <f t="shared" si="388"/>
        <v>0</v>
      </c>
      <c r="BR2452" s="12" t="str">
        <f t="shared" si="389"/>
        <v/>
      </c>
    </row>
    <row r="2453" spans="1:70" ht="14.25" customHeight="1">
      <c r="A2453" s="26"/>
      <c r="C2453" s="26"/>
      <c r="D2453" s="27"/>
      <c r="E2453" s="27"/>
      <c r="BE2453" s="10" t="str">
        <f t="shared" si="380"/>
        <v/>
      </c>
      <c r="BF2453" s="8" t="str">
        <f t="shared" si="381"/>
        <v/>
      </c>
      <c r="BG2453" s="11" t="str">
        <f t="shared" si="382"/>
        <v/>
      </c>
      <c r="BH2453" s="8" t="str">
        <f t="shared" si="383"/>
        <v/>
      </c>
      <c r="BI2453" s="8" t="str">
        <f t="shared" si="384"/>
        <v/>
      </c>
      <c r="BJ2453" s="9" t="str">
        <f t="shared" si="385"/>
        <v/>
      </c>
      <c r="BK2453" s="9" t="str">
        <f>IF($B2453="","",COUNTIFS($B$5:$B2453,$B2453,$BF$5:$BF2453,$BF2453))</f>
        <v/>
      </c>
      <c r="BL2453" s="9" t="str">
        <f>IF($B2453="","",COUNTIFS($B$5:$B2453,$B2453,$BH$5:$BH2453,$BH2453))</f>
        <v/>
      </c>
      <c r="BM2453" s="9" t="str">
        <f t="shared" si="386"/>
        <v/>
      </c>
      <c r="BN2453" s="9" t="str">
        <f t="shared" si="387"/>
        <v/>
      </c>
      <c r="BO2453" s="9">
        <f t="shared" si="388"/>
        <v>0</v>
      </c>
      <c r="BR2453" s="12" t="str">
        <f t="shared" si="389"/>
        <v/>
      </c>
    </row>
    <row r="2454" spans="1:70" ht="14.25" customHeight="1">
      <c r="A2454" s="26"/>
      <c r="C2454" s="26"/>
      <c r="D2454" s="27"/>
      <c r="E2454" s="27"/>
      <c r="BE2454" s="10" t="str">
        <f t="shared" si="380"/>
        <v/>
      </c>
      <c r="BF2454" s="8" t="str">
        <f t="shared" si="381"/>
        <v/>
      </c>
      <c r="BG2454" s="11" t="str">
        <f t="shared" si="382"/>
        <v/>
      </c>
      <c r="BH2454" s="8" t="str">
        <f t="shared" si="383"/>
        <v/>
      </c>
      <c r="BI2454" s="8" t="str">
        <f t="shared" si="384"/>
        <v/>
      </c>
      <c r="BJ2454" s="9" t="str">
        <f t="shared" si="385"/>
        <v/>
      </c>
      <c r="BK2454" s="9" t="str">
        <f>IF($B2454="","",COUNTIFS($B$5:$B2454,$B2454,$BF$5:$BF2454,$BF2454))</f>
        <v/>
      </c>
      <c r="BL2454" s="9" t="str">
        <f>IF($B2454="","",COUNTIFS($B$5:$B2454,$B2454,$BH$5:$BH2454,$BH2454))</f>
        <v/>
      </c>
      <c r="BM2454" s="9" t="str">
        <f t="shared" si="386"/>
        <v/>
      </c>
      <c r="BN2454" s="9" t="str">
        <f t="shared" si="387"/>
        <v/>
      </c>
      <c r="BO2454" s="9">
        <f t="shared" si="388"/>
        <v>0</v>
      </c>
      <c r="BR2454" s="12" t="str">
        <f t="shared" si="389"/>
        <v/>
      </c>
    </row>
    <row r="2455" spans="1:70" ht="14.25" customHeight="1">
      <c r="A2455" s="26"/>
      <c r="C2455" s="26"/>
      <c r="D2455" s="27"/>
      <c r="E2455" s="27"/>
      <c r="BE2455" s="10" t="str">
        <f t="shared" si="380"/>
        <v/>
      </c>
      <c r="BF2455" s="8" t="str">
        <f t="shared" si="381"/>
        <v/>
      </c>
      <c r="BG2455" s="11" t="str">
        <f t="shared" si="382"/>
        <v/>
      </c>
      <c r="BH2455" s="8" t="str">
        <f t="shared" si="383"/>
        <v/>
      </c>
      <c r="BI2455" s="8" t="str">
        <f t="shared" si="384"/>
        <v/>
      </c>
      <c r="BJ2455" s="9" t="str">
        <f t="shared" si="385"/>
        <v/>
      </c>
      <c r="BK2455" s="9" t="str">
        <f>IF($B2455="","",COUNTIFS($B$5:$B2455,$B2455,$BF$5:$BF2455,$BF2455))</f>
        <v/>
      </c>
      <c r="BL2455" s="9" t="str">
        <f>IF($B2455="","",COUNTIFS($B$5:$B2455,$B2455,$BH$5:$BH2455,$BH2455))</f>
        <v/>
      </c>
      <c r="BM2455" s="9" t="str">
        <f t="shared" si="386"/>
        <v/>
      </c>
      <c r="BN2455" s="9" t="str">
        <f t="shared" si="387"/>
        <v/>
      </c>
      <c r="BO2455" s="9">
        <f t="shared" si="388"/>
        <v>0</v>
      </c>
      <c r="BR2455" s="12" t="str">
        <f t="shared" si="389"/>
        <v/>
      </c>
    </row>
    <row r="2456" spans="1:70" ht="14.25" customHeight="1">
      <c r="A2456" s="26"/>
      <c r="C2456" s="26"/>
      <c r="D2456" s="27"/>
      <c r="E2456" s="27"/>
      <c r="BE2456" s="10" t="str">
        <f t="shared" si="380"/>
        <v/>
      </c>
      <c r="BF2456" s="8" t="str">
        <f t="shared" si="381"/>
        <v/>
      </c>
      <c r="BG2456" s="11" t="str">
        <f t="shared" si="382"/>
        <v/>
      </c>
      <c r="BH2456" s="8" t="str">
        <f t="shared" si="383"/>
        <v/>
      </c>
      <c r="BI2456" s="8" t="str">
        <f t="shared" si="384"/>
        <v/>
      </c>
      <c r="BJ2456" s="9" t="str">
        <f t="shared" si="385"/>
        <v/>
      </c>
      <c r="BK2456" s="9" t="str">
        <f>IF($B2456="","",COUNTIFS($B$5:$B2456,$B2456,$BF$5:$BF2456,$BF2456))</f>
        <v/>
      </c>
      <c r="BL2456" s="9" t="str">
        <f>IF($B2456="","",COUNTIFS($B$5:$B2456,$B2456,$BH$5:$BH2456,$BH2456))</f>
        <v/>
      </c>
      <c r="BM2456" s="9" t="str">
        <f t="shared" si="386"/>
        <v/>
      </c>
      <c r="BN2456" s="9" t="str">
        <f t="shared" si="387"/>
        <v/>
      </c>
      <c r="BO2456" s="9">
        <f t="shared" si="388"/>
        <v>0</v>
      </c>
      <c r="BR2456" s="12" t="str">
        <f t="shared" si="389"/>
        <v/>
      </c>
    </row>
    <row r="2457" spans="1:70" ht="14.25" customHeight="1">
      <c r="A2457" s="26"/>
      <c r="C2457" s="26"/>
      <c r="D2457" s="27"/>
      <c r="E2457" s="27"/>
      <c r="BE2457" s="10" t="str">
        <f t="shared" si="380"/>
        <v/>
      </c>
      <c r="BF2457" s="8" t="str">
        <f t="shared" si="381"/>
        <v/>
      </c>
      <c r="BG2457" s="11" t="str">
        <f t="shared" si="382"/>
        <v/>
      </c>
      <c r="BH2457" s="8" t="str">
        <f t="shared" si="383"/>
        <v/>
      </c>
      <c r="BI2457" s="8" t="str">
        <f t="shared" si="384"/>
        <v/>
      </c>
      <c r="BJ2457" s="9" t="str">
        <f t="shared" si="385"/>
        <v/>
      </c>
      <c r="BK2457" s="9" t="str">
        <f>IF($B2457="","",COUNTIFS($B$5:$B2457,$B2457,$BF$5:$BF2457,$BF2457))</f>
        <v/>
      </c>
      <c r="BL2457" s="9" t="str">
        <f>IF($B2457="","",COUNTIFS($B$5:$B2457,$B2457,$BH$5:$BH2457,$BH2457))</f>
        <v/>
      </c>
      <c r="BM2457" s="9" t="str">
        <f t="shared" si="386"/>
        <v/>
      </c>
      <c r="BN2457" s="9" t="str">
        <f t="shared" si="387"/>
        <v/>
      </c>
      <c r="BO2457" s="9">
        <f t="shared" si="388"/>
        <v>0</v>
      </c>
      <c r="BR2457" s="12" t="str">
        <f t="shared" si="389"/>
        <v/>
      </c>
    </row>
    <row r="2458" spans="1:70" ht="14.25" customHeight="1">
      <c r="A2458" s="26"/>
      <c r="C2458" s="26"/>
      <c r="D2458" s="27"/>
      <c r="E2458" s="27"/>
      <c r="BE2458" s="10" t="str">
        <f t="shared" si="380"/>
        <v/>
      </c>
      <c r="BF2458" s="8" t="str">
        <f t="shared" si="381"/>
        <v/>
      </c>
      <c r="BG2458" s="11" t="str">
        <f t="shared" si="382"/>
        <v/>
      </c>
      <c r="BH2458" s="8" t="str">
        <f t="shared" si="383"/>
        <v/>
      </c>
      <c r="BI2458" s="8" t="str">
        <f t="shared" si="384"/>
        <v/>
      </c>
      <c r="BJ2458" s="9" t="str">
        <f t="shared" si="385"/>
        <v/>
      </c>
      <c r="BK2458" s="9" t="str">
        <f>IF($B2458="","",COUNTIFS($B$5:$B2458,$B2458,$BF$5:$BF2458,$BF2458))</f>
        <v/>
      </c>
      <c r="BL2458" s="9" t="str">
        <f>IF($B2458="","",COUNTIFS($B$5:$B2458,$B2458,$BH$5:$BH2458,$BH2458))</f>
        <v/>
      </c>
      <c r="BM2458" s="9" t="str">
        <f t="shared" si="386"/>
        <v/>
      </c>
      <c r="BN2458" s="9" t="str">
        <f t="shared" si="387"/>
        <v/>
      </c>
      <c r="BO2458" s="9">
        <f t="shared" si="388"/>
        <v>0</v>
      </c>
      <c r="BR2458" s="12" t="str">
        <f t="shared" si="389"/>
        <v/>
      </c>
    </row>
    <row r="2459" spans="1:70" ht="14.25" customHeight="1">
      <c r="A2459" s="26"/>
      <c r="C2459" s="26"/>
      <c r="D2459" s="27"/>
      <c r="E2459" s="27"/>
      <c r="BE2459" s="10" t="str">
        <f t="shared" si="380"/>
        <v/>
      </c>
      <c r="BF2459" s="8" t="str">
        <f t="shared" si="381"/>
        <v/>
      </c>
      <c r="BG2459" s="11" t="str">
        <f t="shared" si="382"/>
        <v/>
      </c>
      <c r="BH2459" s="8" t="str">
        <f t="shared" si="383"/>
        <v/>
      </c>
      <c r="BI2459" s="8" t="str">
        <f t="shared" si="384"/>
        <v/>
      </c>
      <c r="BJ2459" s="9" t="str">
        <f t="shared" si="385"/>
        <v/>
      </c>
      <c r="BK2459" s="9" t="str">
        <f>IF($B2459="","",COUNTIFS($B$5:$B2459,$B2459,$BF$5:$BF2459,$BF2459))</f>
        <v/>
      </c>
      <c r="BL2459" s="9" t="str">
        <f>IF($B2459="","",COUNTIFS($B$5:$B2459,$B2459,$BH$5:$BH2459,$BH2459))</f>
        <v/>
      </c>
      <c r="BM2459" s="9" t="str">
        <f t="shared" si="386"/>
        <v/>
      </c>
      <c r="BN2459" s="9" t="str">
        <f t="shared" si="387"/>
        <v/>
      </c>
      <c r="BO2459" s="9">
        <f t="shared" si="388"/>
        <v>0</v>
      </c>
      <c r="BR2459" s="12" t="str">
        <f t="shared" si="389"/>
        <v/>
      </c>
    </row>
    <row r="2460" spans="1:70" ht="14.25" customHeight="1">
      <c r="A2460" s="26"/>
      <c r="C2460" s="26"/>
      <c r="D2460" s="27"/>
      <c r="E2460" s="27"/>
      <c r="BE2460" s="10" t="str">
        <f t="shared" si="380"/>
        <v/>
      </c>
      <c r="BF2460" s="8" t="str">
        <f t="shared" si="381"/>
        <v/>
      </c>
      <c r="BG2460" s="11" t="str">
        <f t="shared" si="382"/>
        <v/>
      </c>
      <c r="BH2460" s="8" t="str">
        <f t="shared" si="383"/>
        <v/>
      </c>
      <c r="BI2460" s="8" t="str">
        <f t="shared" si="384"/>
        <v/>
      </c>
      <c r="BJ2460" s="9" t="str">
        <f t="shared" si="385"/>
        <v/>
      </c>
      <c r="BK2460" s="9" t="str">
        <f>IF($B2460="","",COUNTIFS($B$5:$B2460,$B2460,$BF$5:$BF2460,$BF2460))</f>
        <v/>
      </c>
      <c r="BL2460" s="9" t="str">
        <f>IF($B2460="","",COUNTIFS($B$5:$B2460,$B2460,$BH$5:$BH2460,$BH2460))</f>
        <v/>
      </c>
      <c r="BM2460" s="9" t="str">
        <f t="shared" si="386"/>
        <v/>
      </c>
      <c r="BN2460" s="9" t="str">
        <f t="shared" si="387"/>
        <v/>
      </c>
      <c r="BO2460" s="9">
        <f t="shared" si="388"/>
        <v>0</v>
      </c>
      <c r="BR2460" s="12" t="str">
        <f t="shared" si="389"/>
        <v/>
      </c>
    </row>
    <row r="2461" spans="1:70" ht="14.25" customHeight="1">
      <c r="A2461" s="26"/>
      <c r="C2461" s="26"/>
      <c r="D2461" s="27"/>
      <c r="E2461" s="27"/>
      <c r="BE2461" s="10" t="str">
        <f t="shared" ref="BE2461:BE2524" si="390">IF($B2461="","",IF(COUNT($H2461,$J2461,$L2461,$N2461,$P2461,$R2461)&gt;0,SUM($H2461,$J2461,$L2461,$N2461,$P2461,$R2461),SUM($T2461,$V2461,$X2461,$Z2461,$AB2461,$AD2461,$AF2461,$AH2461,$AJ2461,$AL2461,$AN2461,$AP2461,$AR2461,$AT2461,$AV2461,$AX2461,$AZ2461)))</f>
        <v/>
      </c>
      <c r="BF2461" s="8" t="str">
        <f t="shared" ref="BF2461:BF2524" si="391">IF($C2461="","",DATE(YEAR($C2461),MONTH($C2461),1))</f>
        <v/>
      </c>
      <c r="BG2461" s="11" t="str">
        <f t="shared" ref="BG2461:BG2524" si="392">IF($BF2461="","",TEXT($BF2461,"mmmm yyyy"))</f>
        <v/>
      </c>
      <c r="BH2461" s="8" t="str">
        <f t="shared" ref="BH2461:BH2524" si="393">IF($C2461="","",$C2461-WEEKDAY($C2461,2)+1)</f>
        <v/>
      </c>
      <c r="BI2461" s="8" t="str">
        <f t="shared" ref="BI2461:BI2524" si="394">IF($BH2461="","",$BH2461+6)</f>
        <v/>
      </c>
      <c r="BJ2461" s="9" t="str">
        <f t="shared" ref="BJ2461:BJ2524" si="395">IF($BH2461="","",TEXT($BH2461,"dd/mm/yyyy")&amp;" - "&amp;TEXT($BI2461,"dd/mm/yyyy"))</f>
        <v/>
      </c>
      <c r="BK2461" s="9" t="str">
        <f>IF($B2461="","",COUNTIFS($B$5:$B2461,$B2461,$BF$5:$BF2461,$BF2461))</f>
        <v/>
      </c>
      <c r="BL2461" s="9" t="str">
        <f>IF($B2461="","",COUNTIFS($B$5:$B2461,$B2461,$BH$5:$BH2461,$BH2461))</f>
        <v/>
      </c>
      <c r="BM2461" s="9" t="str">
        <f t="shared" ref="BM2461:BM2524" si="396">IF($B2461="","",TEXT($BK2461,"00")&amp;"|"&amp;$B2461&amp;"|"&amp;TEXT($BF2461,"yyyymmdd"))</f>
        <v/>
      </c>
      <c r="BN2461" s="9" t="str">
        <f t="shared" ref="BN2461:BN2524" si="397">IF($B2461="","",TEXT($BL2461,"00")&amp;"|"&amp;$B2461&amp;"|"&amp;TEXT($BH2461,"yyyymmdd"))</f>
        <v/>
      </c>
      <c r="BO2461" s="9">
        <f t="shared" ref="BO2461:BO2524" si="398">IF(OR($BB2461="YES",$BB2461="Yes",$BB2461="Y",$BB2461=1),1,0)</f>
        <v>0</v>
      </c>
      <c r="BR2461" s="12" t="str">
        <f t="shared" ref="BR2461:BR2524" si="399">IF($C2461="","",IF($C2461&gt;=DATE(2026,6,1),"QA-2026-06",IF($C2461&gt;=DATE(2026,5,1),"May 2026+",IF($C2461&gt;=DATE(2026,4,1),"April 2026",IF($C2461&gt;=DATE(2026,3,1),"March 2026","Jan-Feb 2026")))))</f>
        <v/>
      </c>
    </row>
    <row r="2462" spans="1:70" ht="14.25" customHeight="1">
      <c r="A2462" s="26"/>
      <c r="C2462" s="26"/>
      <c r="D2462" s="27"/>
      <c r="E2462" s="27"/>
      <c r="BE2462" s="10" t="str">
        <f t="shared" si="390"/>
        <v/>
      </c>
      <c r="BF2462" s="8" t="str">
        <f t="shared" si="391"/>
        <v/>
      </c>
      <c r="BG2462" s="11" t="str">
        <f t="shared" si="392"/>
        <v/>
      </c>
      <c r="BH2462" s="8" t="str">
        <f t="shared" si="393"/>
        <v/>
      </c>
      <c r="BI2462" s="8" t="str">
        <f t="shared" si="394"/>
        <v/>
      </c>
      <c r="BJ2462" s="9" t="str">
        <f t="shared" si="395"/>
        <v/>
      </c>
      <c r="BK2462" s="9" t="str">
        <f>IF($B2462="","",COUNTIFS($B$5:$B2462,$B2462,$BF$5:$BF2462,$BF2462))</f>
        <v/>
      </c>
      <c r="BL2462" s="9" t="str">
        <f>IF($B2462="","",COUNTIFS($B$5:$B2462,$B2462,$BH$5:$BH2462,$BH2462))</f>
        <v/>
      </c>
      <c r="BM2462" s="9" t="str">
        <f t="shared" si="396"/>
        <v/>
      </c>
      <c r="BN2462" s="9" t="str">
        <f t="shared" si="397"/>
        <v/>
      </c>
      <c r="BO2462" s="9">
        <f t="shared" si="398"/>
        <v>0</v>
      </c>
      <c r="BR2462" s="12" t="str">
        <f t="shared" si="399"/>
        <v/>
      </c>
    </row>
    <row r="2463" spans="1:70" ht="14.25" customHeight="1">
      <c r="A2463" s="26"/>
      <c r="C2463" s="26"/>
      <c r="D2463" s="27"/>
      <c r="E2463" s="27"/>
      <c r="BE2463" s="10" t="str">
        <f t="shared" si="390"/>
        <v/>
      </c>
      <c r="BF2463" s="8" t="str">
        <f t="shared" si="391"/>
        <v/>
      </c>
      <c r="BG2463" s="11" t="str">
        <f t="shared" si="392"/>
        <v/>
      </c>
      <c r="BH2463" s="8" t="str">
        <f t="shared" si="393"/>
        <v/>
      </c>
      <c r="BI2463" s="8" t="str">
        <f t="shared" si="394"/>
        <v/>
      </c>
      <c r="BJ2463" s="9" t="str">
        <f t="shared" si="395"/>
        <v/>
      </c>
      <c r="BK2463" s="9" t="str">
        <f>IF($B2463="","",COUNTIFS($B$5:$B2463,$B2463,$BF$5:$BF2463,$BF2463))</f>
        <v/>
      </c>
      <c r="BL2463" s="9" t="str">
        <f>IF($B2463="","",COUNTIFS($B$5:$B2463,$B2463,$BH$5:$BH2463,$BH2463))</f>
        <v/>
      </c>
      <c r="BM2463" s="9" t="str">
        <f t="shared" si="396"/>
        <v/>
      </c>
      <c r="BN2463" s="9" t="str">
        <f t="shared" si="397"/>
        <v/>
      </c>
      <c r="BO2463" s="9">
        <f t="shared" si="398"/>
        <v>0</v>
      </c>
      <c r="BR2463" s="12" t="str">
        <f t="shared" si="399"/>
        <v/>
      </c>
    </row>
    <row r="2464" spans="1:70" ht="14.25" customHeight="1">
      <c r="A2464" s="26"/>
      <c r="C2464" s="26"/>
      <c r="D2464" s="27"/>
      <c r="E2464" s="27"/>
      <c r="BE2464" s="10" t="str">
        <f t="shared" si="390"/>
        <v/>
      </c>
      <c r="BF2464" s="8" t="str">
        <f t="shared" si="391"/>
        <v/>
      </c>
      <c r="BG2464" s="11" t="str">
        <f t="shared" si="392"/>
        <v/>
      </c>
      <c r="BH2464" s="8" t="str">
        <f t="shared" si="393"/>
        <v/>
      </c>
      <c r="BI2464" s="8" t="str">
        <f t="shared" si="394"/>
        <v/>
      </c>
      <c r="BJ2464" s="9" t="str">
        <f t="shared" si="395"/>
        <v/>
      </c>
      <c r="BK2464" s="9" t="str">
        <f>IF($B2464="","",COUNTIFS($B$5:$B2464,$B2464,$BF$5:$BF2464,$BF2464))</f>
        <v/>
      </c>
      <c r="BL2464" s="9" t="str">
        <f>IF($B2464="","",COUNTIFS($B$5:$B2464,$B2464,$BH$5:$BH2464,$BH2464))</f>
        <v/>
      </c>
      <c r="BM2464" s="9" t="str">
        <f t="shared" si="396"/>
        <v/>
      </c>
      <c r="BN2464" s="9" t="str">
        <f t="shared" si="397"/>
        <v/>
      </c>
      <c r="BO2464" s="9">
        <f t="shared" si="398"/>
        <v>0</v>
      </c>
      <c r="BR2464" s="12" t="str">
        <f t="shared" si="399"/>
        <v/>
      </c>
    </row>
    <row r="2465" spans="1:70" ht="14.25" customHeight="1">
      <c r="A2465" s="26"/>
      <c r="C2465" s="26"/>
      <c r="D2465" s="27"/>
      <c r="E2465" s="27"/>
      <c r="BE2465" s="10" t="str">
        <f t="shared" si="390"/>
        <v/>
      </c>
      <c r="BF2465" s="8" t="str">
        <f t="shared" si="391"/>
        <v/>
      </c>
      <c r="BG2465" s="11" t="str">
        <f t="shared" si="392"/>
        <v/>
      </c>
      <c r="BH2465" s="8" t="str">
        <f t="shared" si="393"/>
        <v/>
      </c>
      <c r="BI2465" s="8" t="str">
        <f t="shared" si="394"/>
        <v/>
      </c>
      <c r="BJ2465" s="9" t="str">
        <f t="shared" si="395"/>
        <v/>
      </c>
      <c r="BK2465" s="9" t="str">
        <f>IF($B2465="","",COUNTIFS($B$5:$B2465,$B2465,$BF$5:$BF2465,$BF2465))</f>
        <v/>
      </c>
      <c r="BL2465" s="9" t="str">
        <f>IF($B2465="","",COUNTIFS($B$5:$B2465,$B2465,$BH$5:$BH2465,$BH2465))</f>
        <v/>
      </c>
      <c r="BM2465" s="9" t="str">
        <f t="shared" si="396"/>
        <v/>
      </c>
      <c r="BN2465" s="9" t="str">
        <f t="shared" si="397"/>
        <v/>
      </c>
      <c r="BO2465" s="9">
        <f t="shared" si="398"/>
        <v>0</v>
      </c>
      <c r="BR2465" s="12" t="str">
        <f t="shared" si="399"/>
        <v/>
      </c>
    </row>
    <row r="2466" spans="1:70" ht="14.25" customHeight="1">
      <c r="A2466" s="26"/>
      <c r="C2466" s="26"/>
      <c r="D2466" s="27"/>
      <c r="E2466" s="27"/>
      <c r="BE2466" s="10" t="str">
        <f t="shared" si="390"/>
        <v/>
      </c>
      <c r="BF2466" s="8" t="str">
        <f t="shared" si="391"/>
        <v/>
      </c>
      <c r="BG2466" s="11" t="str">
        <f t="shared" si="392"/>
        <v/>
      </c>
      <c r="BH2466" s="8" t="str">
        <f t="shared" si="393"/>
        <v/>
      </c>
      <c r="BI2466" s="8" t="str">
        <f t="shared" si="394"/>
        <v/>
      </c>
      <c r="BJ2466" s="9" t="str">
        <f t="shared" si="395"/>
        <v/>
      </c>
      <c r="BK2466" s="9" t="str">
        <f>IF($B2466="","",COUNTIFS($B$5:$B2466,$B2466,$BF$5:$BF2466,$BF2466))</f>
        <v/>
      </c>
      <c r="BL2466" s="9" t="str">
        <f>IF($B2466="","",COUNTIFS($B$5:$B2466,$B2466,$BH$5:$BH2466,$BH2466))</f>
        <v/>
      </c>
      <c r="BM2466" s="9" t="str">
        <f t="shared" si="396"/>
        <v/>
      </c>
      <c r="BN2466" s="9" t="str">
        <f t="shared" si="397"/>
        <v/>
      </c>
      <c r="BO2466" s="9">
        <f t="shared" si="398"/>
        <v>0</v>
      </c>
      <c r="BR2466" s="12" t="str">
        <f t="shared" si="399"/>
        <v/>
      </c>
    </row>
    <row r="2467" spans="1:70" ht="14.25" customHeight="1">
      <c r="A2467" s="26"/>
      <c r="C2467" s="26"/>
      <c r="D2467" s="27"/>
      <c r="E2467" s="27"/>
      <c r="BE2467" s="10" t="str">
        <f t="shared" si="390"/>
        <v/>
      </c>
      <c r="BF2467" s="8" t="str">
        <f t="shared" si="391"/>
        <v/>
      </c>
      <c r="BG2467" s="11" t="str">
        <f t="shared" si="392"/>
        <v/>
      </c>
      <c r="BH2467" s="8" t="str">
        <f t="shared" si="393"/>
        <v/>
      </c>
      <c r="BI2467" s="8" t="str">
        <f t="shared" si="394"/>
        <v/>
      </c>
      <c r="BJ2467" s="9" t="str">
        <f t="shared" si="395"/>
        <v/>
      </c>
      <c r="BK2467" s="9" t="str">
        <f>IF($B2467="","",COUNTIFS($B$5:$B2467,$B2467,$BF$5:$BF2467,$BF2467))</f>
        <v/>
      </c>
      <c r="BL2467" s="9" t="str">
        <f>IF($B2467="","",COUNTIFS($B$5:$B2467,$B2467,$BH$5:$BH2467,$BH2467))</f>
        <v/>
      </c>
      <c r="BM2467" s="9" t="str">
        <f t="shared" si="396"/>
        <v/>
      </c>
      <c r="BN2467" s="9" t="str">
        <f t="shared" si="397"/>
        <v/>
      </c>
      <c r="BO2467" s="9">
        <f t="shared" si="398"/>
        <v>0</v>
      </c>
      <c r="BR2467" s="12" t="str">
        <f t="shared" si="399"/>
        <v/>
      </c>
    </row>
    <row r="2468" spans="1:70" ht="14.25" customHeight="1">
      <c r="A2468" s="26"/>
      <c r="C2468" s="26"/>
      <c r="D2468" s="27"/>
      <c r="E2468" s="27"/>
      <c r="BE2468" s="10" t="str">
        <f t="shared" si="390"/>
        <v/>
      </c>
      <c r="BF2468" s="8" t="str">
        <f t="shared" si="391"/>
        <v/>
      </c>
      <c r="BG2468" s="11" t="str">
        <f t="shared" si="392"/>
        <v/>
      </c>
      <c r="BH2468" s="8" t="str">
        <f t="shared" si="393"/>
        <v/>
      </c>
      <c r="BI2468" s="8" t="str">
        <f t="shared" si="394"/>
        <v/>
      </c>
      <c r="BJ2468" s="9" t="str">
        <f t="shared" si="395"/>
        <v/>
      </c>
      <c r="BK2468" s="9" t="str">
        <f>IF($B2468="","",COUNTIFS($B$5:$B2468,$B2468,$BF$5:$BF2468,$BF2468))</f>
        <v/>
      </c>
      <c r="BL2468" s="9" t="str">
        <f>IF($B2468="","",COUNTIFS($B$5:$B2468,$B2468,$BH$5:$BH2468,$BH2468))</f>
        <v/>
      </c>
      <c r="BM2468" s="9" t="str">
        <f t="shared" si="396"/>
        <v/>
      </c>
      <c r="BN2468" s="9" t="str">
        <f t="shared" si="397"/>
        <v/>
      </c>
      <c r="BO2468" s="9">
        <f t="shared" si="398"/>
        <v>0</v>
      </c>
      <c r="BR2468" s="12" t="str">
        <f t="shared" si="399"/>
        <v/>
      </c>
    </row>
    <row r="2469" spans="1:70" ht="14.25" customHeight="1">
      <c r="A2469" s="26"/>
      <c r="C2469" s="26"/>
      <c r="D2469" s="27"/>
      <c r="E2469" s="27"/>
      <c r="BE2469" s="10" t="str">
        <f t="shared" si="390"/>
        <v/>
      </c>
      <c r="BF2469" s="8" t="str">
        <f t="shared" si="391"/>
        <v/>
      </c>
      <c r="BG2469" s="11" t="str">
        <f t="shared" si="392"/>
        <v/>
      </c>
      <c r="BH2469" s="8" t="str">
        <f t="shared" si="393"/>
        <v/>
      </c>
      <c r="BI2469" s="8" t="str">
        <f t="shared" si="394"/>
        <v/>
      </c>
      <c r="BJ2469" s="9" t="str">
        <f t="shared" si="395"/>
        <v/>
      </c>
      <c r="BK2469" s="9" t="str">
        <f>IF($B2469="","",COUNTIFS($B$5:$B2469,$B2469,$BF$5:$BF2469,$BF2469))</f>
        <v/>
      </c>
      <c r="BL2469" s="9" t="str">
        <f>IF($B2469="","",COUNTIFS($B$5:$B2469,$B2469,$BH$5:$BH2469,$BH2469))</f>
        <v/>
      </c>
      <c r="BM2469" s="9" t="str">
        <f t="shared" si="396"/>
        <v/>
      </c>
      <c r="BN2469" s="9" t="str">
        <f t="shared" si="397"/>
        <v/>
      </c>
      <c r="BO2469" s="9">
        <f t="shared" si="398"/>
        <v>0</v>
      </c>
      <c r="BR2469" s="12" t="str">
        <f t="shared" si="399"/>
        <v/>
      </c>
    </row>
    <row r="2470" spans="1:70" ht="14.25" customHeight="1">
      <c r="A2470" s="26"/>
      <c r="C2470" s="26"/>
      <c r="D2470" s="27"/>
      <c r="E2470" s="27"/>
      <c r="BE2470" s="10" t="str">
        <f t="shared" si="390"/>
        <v/>
      </c>
      <c r="BF2470" s="8" t="str">
        <f t="shared" si="391"/>
        <v/>
      </c>
      <c r="BG2470" s="11" t="str">
        <f t="shared" si="392"/>
        <v/>
      </c>
      <c r="BH2470" s="8" t="str">
        <f t="shared" si="393"/>
        <v/>
      </c>
      <c r="BI2470" s="8" t="str">
        <f t="shared" si="394"/>
        <v/>
      </c>
      <c r="BJ2470" s="9" t="str">
        <f t="shared" si="395"/>
        <v/>
      </c>
      <c r="BK2470" s="9" t="str">
        <f>IF($B2470="","",COUNTIFS($B$5:$B2470,$B2470,$BF$5:$BF2470,$BF2470))</f>
        <v/>
      </c>
      <c r="BL2470" s="9" t="str">
        <f>IF($B2470="","",COUNTIFS($B$5:$B2470,$B2470,$BH$5:$BH2470,$BH2470))</f>
        <v/>
      </c>
      <c r="BM2470" s="9" t="str">
        <f t="shared" si="396"/>
        <v/>
      </c>
      <c r="BN2470" s="9" t="str">
        <f t="shared" si="397"/>
        <v/>
      </c>
      <c r="BO2470" s="9">
        <f t="shared" si="398"/>
        <v>0</v>
      </c>
      <c r="BR2470" s="12" t="str">
        <f t="shared" si="399"/>
        <v/>
      </c>
    </row>
    <row r="2471" spans="1:70" ht="14.25" customHeight="1">
      <c r="A2471" s="26"/>
      <c r="C2471" s="26"/>
      <c r="D2471" s="27"/>
      <c r="E2471" s="27"/>
      <c r="BE2471" s="10" t="str">
        <f t="shared" si="390"/>
        <v/>
      </c>
      <c r="BF2471" s="8" t="str">
        <f t="shared" si="391"/>
        <v/>
      </c>
      <c r="BG2471" s="11" t="str">
        <f t="shared" si="392"/>
        <v/>
      </c>
      <c r="BH2471" s="8" t="str">
        <f t="shared" si="393"/>
        <v/>
      </c>
      <c r="BI2471" s="8" t="str">
        <f t="shared" si="394"/>
        <v/>
      </c>
      <c r="BJ2471" s="9" t="str">
        <f t="shared" si="395"/>
        <v/>
      </c>
      <c r="BK2471" s="9" t="str">
        <f>IF($B2471="","",COUNTIFS($B$5:$B2471,$B2471,$BF$5:$BF2471,$BF2471))</f>
        <v/>
      </c>
      <c r="BL2471" s="9" t="str">
        <f>IF($B2471="","",COUNTIFS($B$5:$B2471,$B2471,$BH$5:$BH2471,$BH2471))</f>
        <v/>
      </c>
      <c r="BM2471" s="9" t="str">
        <f t="shared" si="396"/>
        <v/>
      </c>
      <c r="BN2471" s="9" t="str">
        <f t="shared" si="397"/>
        <v/>
      </c>
      <c r="BO2471" s="9">
        <f t="shared" si="398"/>
        <v>0</v>
      </c>
      <c r="BR2471" s="12" t="str">
        <f t="shared" si="399"/>
        <v/>
      </c>
    </row>
    <row r="2472" spans="1:70" ht="14.25" customHeight="1">
      <c r="A2472" s="26"/>
      <c r="C2472" s="26"/>
      <c r="D2472" s="27"/>
      <c r="E2472" s="27"/>
      <c r="BE2472" s="10" t="str">
        <f t="shared" si="390"/>
        <v/>
      </c>
      <c r="BF2472" s="8" t="str">
        <f t="shared" si="391"/>
        <v/>
      </c>
      <c r="BG2472" s="11" t="str">
        <f t="shared" si="392"/>
        <v/>
      </c>
      <c r="BH2472" s="8" t="str">
        <f t="shared" si="393"/>
        <v/>
      </c>
      <c r="BI2472" s="8" t="str">
        <f t="shared" si="394"/>
        <v/>
      </c>
      <c r="BJ2472" s="9" t="str">
        <f t="shared" si="395"/>
        <v/>
      </c>
      <c r="BK2472" s="9" t="str">
        <f>IF($B2472="","",COUNTIFS($B$5:$B2472,$B2472,$BF$5:$BF2472,$BF2472))</f>
        <v/>
      </c>
      <c r="BL2472" s="9" t="str">
        <f>IF($B2472="","",COUNTIFS($B$5:$B2472,$B2472,$BH$5:$BH2472,$BH2472))</f>
        <v/>
      </c>
      <c r="BM2472" s="9" t="str">
        <f t="shared" si="396"/>
        <v/>
      </c>
      <c r="BN2472" s="9" t="str">
        <f t="shared" si="397"/>
        <v/>
      </c>
      <c r="BO2472" s="9">
        <f t="shared" si="398"/>
        <v>0</v>
      </c>
      <c r="BR2472" s="12" t="str">
        <f t="shared" si="399"/>
        <v/>
      </c>
    </row>
    <row r="2473" spans="1:70" ht="14.25" customHeight="1">
      <c r="A2473" s="26"/>
      <c r="C2473" s="26"/>
      <c r="D2473" s="27"/>
      <c r="E2473" s="27"/>
      <c r="BE2473" s="10" t="str">
        <f t="shared" si="390"/>
        <v/>
      </c>
      <c r="BF2473" s="8" t="str">
        <f t="shared" si="391"/>
        <v/>
      </c>
      <c r="BG2473" s="11" t="str">
        <f t="shared" si="392"/>
        <v/>
      </c>
      <c r="BH2473" s="8" t="str">
        <f t="shared" si="393"/>
        <v/>
      </c>
      <c r="BI2473" s="8" t="str">
        <f t="shared" si="394"/>
        <v/>
      </c>
      <c r="BJ2473" s="9" t="str">
        <f t="shared" si="395"/>
        <v/>
      </c>
      <c r="BK2473" s="9" t="str">
        <f>IF($B2473="","",COUNTIFS($B$5:$B2473,$B2473,$BF$5:$BF2473,$BF2473))</f>
        <v/>
      </c>
      <c r="BL2473" s="9" t="str">
        <f>IF($B2473="","",COUNTIFS($B$5:$B2473,$B2473,$BH$5:$BH2473,$BH2473))</f>
        <v/>
      </c>
      <c r="BM2473" s="9" t="str">
        <f t="shared" si="396"/>
        <v/>
      </c>
      <c r="BN2473" s="9" t="str">
        <f t="shared" si="397"/>
        <v/>
      </c>
      <c r="BO2473" s="9">
        <f t="shared" si="398"/>
        <v>0</v>
      </c>
      <c r="BR2473" s="12" t="str">
        <f t="shared" si="399"/>
        <v/>
      </c>
    </row>
    <row r="2474" spans="1:70" ht="14.25" customHeight="1">
      <c r="A2474" s="26"/>
      <c r="C2474" s="26"/>
      <c r="D2474" s="27"/>
      <c r="E2474" s="27"/>
      <c r="BE2474" s="10" t="str">
        <f t="shared" si="390"/>
        <v/>
      </c>
      <c r="BF2474" s="8" t="str">
        <f t="shared" si="391"/>
        <v/>
      </c>
      <c r="BG2474" s="11" t="str">
        <f t="shared" si="392"/>
        <v/>
      </c>
      <c r="BH2474" s="8" t="str">
        <f t="shared" si="393"/>
        <v/>
      </c>
      <c r="BI2474" s="8" t="str">
        <f t="shared" si="394"/>
        <v/>
      </c>
      <c r="BJ2474" s="9" t="str">
        <f t="shared" si="395"/>
        <v/>
      </c>
      <c r="BK2474" s="9" t="str">
        <f>IF($B2474="","",COUNTIFS($B$5:$B2474,$B2474,$BF$5:$BF2474,$BF2474))</f>
        <v/>
      </c>
      <c r="BL2474" s="9" t="str">
        <f>IF($B2474="","",COUNTIFS($B$5:$B2474,$B2474,$BH$5:$BH2474,$BH2474))</f>
        <v/>
      </c>
      <c r="BM2474" s="9" t="str">
        <f t="shared" si="396"/>
        <v/>
      </c>
      <c r="BN2474" s="9" t="str">
        <f t="shared" si="397"/>
        <v/>
      </c>
      <c r="BO2474" s="9">
        <f t="shared" si="398"/>
        <v>0</v>
      </c>
      <c r="BR2474" s="12" t="str">
        <f t="shared" si="399"/>
        <v/>
      </c>
    </row>
    <row r="2475" spans="1:70" ht="14.25" customHeight="1">
      <c r="A2475" s="26"/>
      <c r="C2475" s="26"/>
      <c r="D2475" s="27"/>
      <c r="E2475" s="27"/>
      <c r="BE2475" s="10" t="str">
        <f t="shared" si="390"/>
        <v/>
      </c>
      <c r="BF2475" s="8" t="str">
        <f t="shared" si="391"/>
        <v/>
      </c>
      <c r="BG2475" s="11" t="str">
        <f t="shared" si="392"/>
        <v/>
      </c>
      <c r="BH2475" s="8" t="str">
        <f t="shared" si="393"/>
        <v/>
      </c>
      <c r="BI2475" s="8" t="str">
        <f t="shared" si="394"/>
        <v/>
      </c>
      <c r="BJ2475" s="9" t="str">
        <f t="shared" si="395"/>
        <v/>
      </c>
      <c r="BK2475" s="9" t="str">
        <f>IF($B2475="","",COUNTIFS($B$5:$B2475,$B2475,$BF$5:$BF2475,$BF2475))</f>
        <v/>
      </c>
      <c r="BL2475" s="9" t="str">
        <f>IF($B2475="","",COUNTIFS($B$5:$B2475,$B2475,$BH$5:$BH2475,$BH2475))</f>
        <v/>
      </c>
      <c r="BM2475" s="9" t="str">
        <f t="shared" si="396"/>
        <v/>
      </c>
      <c r="BN2475" s="9" t="str">
        <f t="shared" si="397"/>
        <v/>
      </c>
      <c r="BO2475" s="9">
        <f t="shared" si="398"/>
        <v>0</v>
      </c>
      <c r="BR2475" s="12" t="str">
        <f t="shared" si="399"/>
        <v/>
      </c>
    </row>
    <row r="2476" spans="1:70" ht="14.25" customHeight="1">
      <c r="A2476" s="26"/>
      <c r="C2476" s="26"/>
      <c r="D2476" s="27"/>
      <c r="E2476" s="27"/>
      <c r="BE2476" s="10" t="str">
        <f t="shared" si="390"/>
        <v/>
      </c>
      <c r="BF2476" s="8" t="str">
        <f t="shared" si="391"/>
        <v/>
      </c>
      <c r="BG2476" s="11" t="str">
        <f t="shared" si="392"/>
        <v/>
      </c>
      <c r="BH2476" s="8" t="str">
        <f t="shared" si="393"/>
        <v/>
      </c>
      <c r="BI2476" s="8" t="str">
        <f t="shared" si="394"/>
        <v/>
      </c>
      <c r="BJ2476" s="9" t="str">
        <f t="shared" si="395"/>
        <v/>
      </c>
      <c r="BK2476" s="9" t="str">
        <f>IF($B2476="","",COUNTIFS($B$5:$B2476,$B2476,$BF$5:$BF2476,$BF2476))</f>
        <v/>
      </c>
      <c r="BL2476" s="9" t="str">
        <f>IF($B2476="","",COUNTIFS($B$5:$B2476,$B2476,$BH$5:$BH2476,$BH2476))</f>
        <v/>
      </c>
      <c r="BM2476" s="9" t="str">
        <f t="shared" si="396"/>
        <v/>
      </c>
      <c r="BN2476" s="9" t="str">
        <f t="shared" si="397"/>
        <v/>
      </c>
      <c r="BO2476" s="9">
        <f t="shared" si="398"/>
        <v>0</v>
      </c>
      <c r="BR2476" s="12" t="str">
        <f t="shared" si="399"/>
        <v/>
      </c>
    </row>
    <row r="2477" spans="1:70" ht="14.25" customHeight="1">
      <c r="A2477" s="26"/>
      <c r="C2477" s="26"/>
      <c r="D2477" s="27"/>
      <c r="E2477" s="27"/>
      <c r="BE2477" s="10" t="str">
        <f t="shared" si="390"/>
        <v/>
      </c>
      <c r="BF2477" s="8" t="str">
        <f t="shared" si="391"/>
        <v/>
      </c>
      <c r="BG2477" s="11" t="str">
        <f t="shared" si="392"/>
        <v/>
      </c>
      <c r="BH2477" s="8" t="str">
        <f t="shared" si="393"/>
        <v/>
      </c>
      <c r="BI2477" s="8" t="str">
        <f t="shared" si="394"/>
        <v/>
      </c>
      <c r="BJ2477" s="9" t="str">
        <f t="shared" si="395"/>
        <v/>
      </c>
      <c r="BK2477" s="9" t="str">
        <f>IF($B2477="","",COUNTIFS($B$5:$B2477,$B2477,$BF$5:$BF2477,$BF2477))</f>
        <v/>
      </c>
      <c r="BL2477" s="9" t="str">
        <f>IF($B2477="","",COUNTIFS($B$5:$B2477,$B2477,$BH$5:$BH2477,$BH2477))</f>
        <v/>
      </c>
      <c r="BM2477" s="9" t="str">
        <f t="shared" si="396"/>
        <v/>
      </c>
      <c r="BN2477" s="9" t="str">
        <f t="shared" si="397"/>
        <v/>
      </c>
      <c r="BO2477" s="9">
        <f t="shared" si="398"/>
        <v>0</v>
      </c>
      <c r="BR2477" s="12" t="str">
        <f t="shared" si="399"/>
        <v/>
      </c>
    </row>
    <row r="2478" spans="1:70" ht="14.25" customHeight="1">
      <c r="A2478" s="26"/>
      <c r="C2478" s="26"/>
      <c r="D2478" s="27"/>
      <c r="E2478" s="27"/>
      <c r="BE2478" s="10" t="str">
        <f t="shared" si="390"/>
        <v/>
      </c>
      <c r="BF2478" s="8" t="str">
        <f t="shared" si="391"/>
        <v/>
      </c>
      <c r="BG2478" s="11" t="str">
        <f t="shared" si="392"/>
        <v/>
      </c>
      <c r="BH2478" s="8" t="str">
        <f t="shared" si="393"/>
        <v/>
      </c>
      <c r="BI2478" s="8" t="str">
        <f t="shared" si="394"/>
        <v/>
      </c>
      <c r="BJ2478" s="9" t="str">
        <f t="shared" si="395"/>
        <v/>
      </c>
      <c r="BK2478" s="9" t="str">
        <f>IF($B2478="","",COUNTIFS($B$5:$B2478,$B2478,$BF$5:$BF2478,$BF2478))</f>
        <v/>
      </c>
      <c r="BL2478" s="9" t="str">
        <f>IF($B2478="","",COUNTIFS($B$5:$B2478,$B2478,$BH$5:$BH2478,$BH2478))</f>
        <v/>
      </c>
      <c r="BM2478" s="9" t="str">
        <f t="shared" si="396"/>
        <v/>
      </c>
      <c r="BN2478" s="9" t="str">
        <f t="shared" si="397"/>
        <v/>
      </c>
      <c r="BO2478" s="9">
        <f t="shared" si="398"/>
        <v>0</v>
      </c>
      <c r="BR2478" s="12" t="str">
        <f t="shared" si="399"/>
        <v/>
      </c>
    </row>
    <row r="2479" spans="1:70" ht="14.25" customHeight="1">
      <c r="A2479" s="26"/>
      <c r="C2479" s="26"/>
      <c r="D2479" s="27"/>
      <c r="E2479" s="27"/>
      <c r="BE2479" s="10" t="str">
        <f t="shared" si="390"/>
        <v/>
      </c>
      <c r="BF2479" s="8" t="str">
        <f t="shared" si="391"/>
        <v/>
      </c>
      <c r="BG2479" s="11" t="str">
        <f t="shared" si="392"/>
        <v/>
      </c>
      <c r="BH2479" s="8" t="str">
        <f t="shared" si="393"/>
        <v/>
      </c>
      <c r="BI2479" s="8" t="str">
        <f t="shared" si="394"/>
        <v/>
      </c>
      <c r="BJ2479" s="9" t="str">
        <f t="shared" si="395"/>
        <v/>
      </c>
      <c r="BK2479" s="9" t="str">
        <f>IF($B2479="","",COUNTIFS($B$5:$B2479,$B2479,$BF$5:$BF2479,$BF2479))</f>
        <v/>
      </c>
      <c r="BL2479" s="9" t="str">
        <f>IF($B2479="","",COUNTIFS($B$5:$B2479,$B2479,$BH$5:$BH2479,$BH2479))</f>
        <v/>
      </c>
      <c r="BM2479" s="9" t="str">
        <f t="shared" si="396"/>
        <v/>
      </c>
      <c r="BN2479" s="9" t="str">
        <f t="shared" si="397"/>
        <v/>
      </c>
      <c r="BO2479" s="9">
        <f t="shared" si="398"/>
        <v>0</v>
      </c>
      <c r="BR2479" s="12" t="str">
        <f t="shared" si="399"/>
        <v/>
      </c>
    </row>
    <row r="2480" spans="1:70" ht="14.25" customHeight="1">
      <c r="A2480" s="26"/>
      <c r="C2480" s="26"/>
      <c r="D2480" s="27"/>
      <c r="E2480" s="27"/>
      <c r="BE2480" s="10" t="str">
        <f t="shared" si="390"/>
        <v/>
      </c>
      <c r="BF2480" s="8" t="str">
        <f t="shared" si="391"/>
        <v/>
      </c>
      <c r="BG2480" s="11" t="str">
        <f t="shared" si="392"/>
        <v/>
      </c>
      <c r="BH2480" s="8" t="str">
        <f t="shared" si="393"/>
        <v/>
      </c>
      <c r="BI2480" s="8" t="str">
        <f t="shared" si="394"/>
        <v/>
      </c>
      <c r="BJ2480" s="9" t="str">
        <f t="shared" si="395"/>
        <v/>
      </c>
      <c r="BK2480" s="9" t="str">
        <f>IF($B2480="","",COUNTIFS($B$5:$B2480,$B2480,$BF$5:$BF2480,$BF2480))</f>
        <v/>
      </c>
      <c r="BL2480" s="9" t="str">
        <f>IF($B2480="","",COUNTIFS($B$5:$B2480,$B2480,$BH$5:$BH2480,$BH2480))</f>
        <v/>
      </c>
      <c r="BM2480" s="9" t="str">
        <f t="shared" si="396"/>
        <v/>
      </c>
      <c r="BN2480" s="9" t="str">
        <f t="shared" si="397"/>
        <v/>
      </c>
      <c r="BO2480" s="9">
        <f t="shared" si="398"/>
        <v>0</v>
      </c>
      <c r="BR2480" s="12" t="str">
        <f t="shared" si="399"/>
        <v/>
      </c>
    </row>
    <row r="2481" spans="1:70" ht="14.25" customHeight="1">
      <c r="A2481" s="26"/>
      <c r="C2481" s="26"/>
      <c r="D2481" s="27"/>
      <c r="E2481" s="27"/>
      <c r="BE2481" s="10" t="str">
        <f t="shared" si="390"/>
        <v/>
      </c>
      <c r="BF2481" s="8" t="str">
        <f t="shared" si="391"/>
        <v/>
      </c>
      <c r="BG2481" s="11" t="str">
        <f t="shared" si="392"/>
        <v/>
      </c>
      <c r="BH2481" s="8" t="str">
        <f t="shared" si="393"/>
        <v/>
      </c>
      <c r="BI2481" s="8" t="str">
        <f t="shared" si="394"/>
        <v/>
      </c>
      <c r="BJ2481" s="9" t="str">
        <f t="shared" si="395"/>
        <v/>
      </c>
      <c r="BK2481" s="9" t="str">
        <f>IF($B2481="","",COUNTIFS($B$5:$B2481,$B2481,$BF$5:$BF2481,$BF2481))</f>
        <v/>
      </c>
      <c r="BL2481" s="9" t="str">
        <f>IF($B2481="","",COUNTIFS($B$5:$B2481,$B2481,$BH$5:$BH2481,$BH2481))</f>
        <v/>
      </c>
      <c r="BM2481" s="9" t="str">
        <f t="shared" si="396"/>
        <v/>
      </c>
      <c r="BN2481" s="9" t="str">
        <f t="shared" si="397"/>
        <v/>
      </c>
      <c r="BO2481" s="9">
        <f t="shared" si="398"/>
        <v>0</v>
      </c>
      <c r="BR2481" s="12" t="str">
        <f t="shared" si="399"/>
        <v/>
      </c>
    </row>
    <row r="2482" spans="1:70" ht="14.25" customHeight="1">
      <c r="A2482" s="26"/>
      <c r="C2482" s="26"/>
      <c r="D2482" s="27"/>
      <c r="E2482" s="27"/>
      <c r="BE2482" s="10" t="str">
        <f t="shared" si="390"/>
        <v/>
      </c>
      <c r="BF2482" s="8" t="str">
        <f t="shared" si="391"/>
        <v/>
      </c>
      <c r="BG2482" s="11" t="str">
        <f t="shared" si="392"/>
        <v/>
      </c>
      <c r="BH2482" s="8" t="str">
        <f t="shared" si="393"/>
        <v/>
      </c>
      <c r="BI2482" s="8" t="str">
        <f t="shared" si="394"/>
        <v/>
      </c>
      <c r="BJ2482" s="9" t="str">
        <f t="shared" si="395"/>
        <v/>
      </c>
      <c r="BK2482" s="9" t="str">
        <f>IF($B2482="","",COUNTIFS($B$5:$B2482,$B2482,$BF$5:$BF2482,$BF2482))</f>
        <v/>
      </c>
      <c r="BL2482" s="9" t="str">
        <f>IF($B2482="","",COUNTIFS($B$5:$B2482,$B2482,$BH$5:$BH2482,$BH2482))</f>
        <v/>
      </c>
      <c r="BM2482" s="9" t="str">
        <f t="shared" si="396"/>
        <v/>
      </c>
      <c r="BN2482" s="9" t="str">
        <f t="shared" si="397"/>
        <v/>
      </c>
      <c r="BO2482" s="9">
        <f t="shared" si="398"/>
        <v>0</v>
      </c>
      <c r="BR2482" s="12" t="str">
        <f t="shared" si="399"/>
        <v/>
      </c>
    </row>
    <row r="2483" spans="1:70" ht="14.25" customHeight="1">
      <c r="A2483" s="26"/>
      <c r="C2483" s="26"/>
      <c r="D2483" s="27"/>
      <c r="E2483" s="27"/>
      <c r="BE2483" s="10" t="str">
        <f t="shared" si="390"/>
        <v/>
      </c>
      <c r="BF2483" s="8" t="str">
        <f t="shared" si="391"/>
        <v/>
      </c>
      <c r="BG2483" s="11" t="str">
        <f t="shared" si="392"/>
        <v/>
      </c>
      <c r="BH2483" s="8" t="str">
        <f t="shared" si="393"/>
        <v/>
      </c>
      <c r="BI2483" s="8" t="str">
        <f t="shared" si="394"/>
        <v/>
      </c>
      <c r="BJ2483" s="9" t="str">
        <f t="shared" si="395"/>
        <v/>
      </c>
      <c r="BK2483" s="9" t="str">
        <f>IF($B2483="","",COUNTIFS($B$5:$B2483,$B2483,$BF$5:$BF2483,$BF2483))</f>
        <v/>
      </c>
      <c r="BL2483" s="9" t="str">
        <f>IF($B2483="","",COUNTIFS($B$5:$B2483,$B2483,$BH$5:$BH2483,$BH2483))</f>
        <v/>
      </c>
      <c r="BM2483" s="9" t="str">
        <f t="shared" si="396"/>
        <v/>
      </c>
      <c r="BN2483" s="9" t="str">
        <f t="shared" si="397"/>
        <v/>
      </c>
      <c r="BO2483" s="9">
        <f t="shared" si="398"/>
        <v>0</v>
      </c>
      <c r="BR2483" s="12" t="str">
        <f t="shared" si="399"/>
        <v/>
      </c>
    </row>
    <row r="2484" spans="1:70" ht="14.25" customHeight="1">
      <c r="A2484" s="26"/>
      <c r="C2484" s="26"/>
      <c r="D2484" s="27"/>
      <c r="E2484" s="27"/>
      <c r="BE2484" s="10" t="str">
        <f t="shared" si="390"/>
        <v/>
      </c>
      <c r="BF2484" s="8" t="str">
        <f t="shared" si="391"/>
        <v/>
      </c>
      <c r="BG2484" s="11" t="str">
        <f t="shared" si="392"/>
        <v/>
      </c>
      <c r="BH2484" s="8" t="str">
        <f t="shared" si="393"/>
        <v/>
      </c>
      <c r="BI2484" s="8" t="str">
        <f t="shared" si="394"/>
        <v/>
      </c>
      <c r="BJ2484" s="9" t="str">
        <f t="shared" si="395"/>
        <v/>
      </c>
      <c r="BK2484" s="9" t="str">
        <f>IF($B2484="","",COUNTIFS($B$5:$B2484,$B2484,$BF$5:$BF2484,$BF2484))</f>
        <v/>
      </c>
      <c r="BL2484" s="9" t="str">
        <f>IF($B2484="","",COUNTIFS($B$5:$B2484,$B2484,$BH$5:$BH2484,$BH2484))</f>
        <v/>
      </c>
      <c r="BM2484" s="9" t="str">
        <f t="shared" si="396"/>
        <v/>
      </c>
      <c r="BN2484" s="9" t="str">
        <f t="shared" si="397"/>
        <v/>
      </c>
      <c r="BO2484" s="9">
        <f t="shared" si="398"/>
        <v>0</v>
      </c>
      <c r="BR2484" s="12" t="str">
        <f t="shared" si="399"/>
        <v/>
      </c>
    </row>
    <row r="2485" spans="1:70" ht="14.25" customHeight="1">
      <c r="A2485" s="26"/>
      <c r="C2485" s="26"/>
      <c r="D2485" s="27"/>
      <c r="E2485" s="27"/>
      <c r="BE2485" s="10" t="str">
        <f t="shared" si="390"/>
        <v/>
      </c>
      <c r="BF2485" s="8" t="str">
        <f t="shared" si="391"/>
        <v/>
      </c>
      <c r="BG2485" s="11" t="str">
        <f t="shared" si="392"/>
        <v/>
      </c>
      <c r="BH2485" s="8" t="str">
        <f t="shared" si="393"/>
        <v/>
      </c>
      <c r="BI2485" s="8" t="str">
        <f t="shared" si="394"/>
        <v/>
      </c>
      <c r="BJ2485" s="9" t="str">
        <f t="shared" si="395"/>
        <v/>
      </c>
      <c r="BK2485" s="9" t="str">
        <f>IF($B2485="","",COUNTIFS($B$5:$B2485,$B2485,$BF$5:$BF2485,$BF2485))</f>
        <v/>
      </c>
      <c r="BL2485" s="9" t="str">
        <f>IF($B2485="","",COUNTIFS($B$5:$B2485,$B2485,$BH$5:$BH2485,$BH2485))</f>
        <v/>
      </c>
      <c r="BM2485" s="9" t="str">
        <f t="shared" si="396"/>
        <v/>
      </c>
      <c r="BN2485" s="9" t="str">
        <f t="shared" si="397"/>
        <v/>
      </c>
      <c r="BO2485" s="9">
        <f t="shared" si="398"/>
        <v>0</v>
      </c>
      <c r="BR2485" s="12" t="str">
        <f t="shared" si="399"/>
        <v/>
      </c>
    </row>
    <row r="2486" spans="1:70" ht="14.25" customHeight="1">
      <c r="A2486" s="26"/>
      <c r="C2486" s="26"/>
      <c r="D2486" s="27"/>
      <c r="E2486" s="27"/>
      <c r="BE2486" s="10" t="str">
        <f t="shared" si="390"/>
        <v/>
      </c>
      <c r="BF2486" s="8" t="str">
        <f t="shared" si="391"/>
        <v/>
      </c>
      <c r="BG2486" s="11" t="str">
        <f t="shared" si="392"/>
        <v/>
      </c>
      <c r="BH2486" s="8" t="str">
        <f t="shared" si="393"/>
        <v/>
      </c>
      <c r="BI2486" s="8" t="str">
        <f t="shared" si="394"/>
        <v/>
      </c>
      <c r="BJ2486" s="9" t="str">
        <f t="shared" si="395"/>
        <v/>
      </c>
      <c r="BK2486" s="9" t="str">
        <f>IF($B2486="","",COUNTIFS($B$5:$B2486,$B2486,$BF$5:$BF2486,$BF2486))</f>
        <v/>
      </c>
      <c r="BL2486" s="9" t="str">
        <f>IF($B2486="","",COUNTIFS($B$5:$B2486,$B2486,$BH$5:$BH2486,$BH2486))</f>
        <v/>
      </c>
      <c r="BM2486" s="9" t="str">
        <f t="shared" si="396"/>
        <v/>
      </c>
      <c r="BN2486" s="9" t="str">
        <f t="shared" si="397"/>
        <v/>
      </c>
      <c r="BO2486" s="9">
        <f t="shared" si="398"/>
        <v>0</v>
      </c>
      <c r="BR2486" s="12" t="str">
        <f t="shared" si="399"/>
        <v/>
      </c>
    </row>
    <row r="2487" spans="1:70" ht="14.25" customHeight="1">
      <c r="A2487" s="26"/>
      <c r="C2487" s="26"/>
      <c r="D2487" s="27"/>
      <c r="E2487" s="27"/>
      <c r="BE2487" s="10" t="str">
        <f t="shared" si="390"/>
        <v/>
      </c>
      <c r="BF2487" s="8" t="str">
        <f t="shared" si="391"/>
        <v/>
      </c>
      <c r="BG2487" s="11" t="str">
        <f t="shared" si="392"/>
        <v/>
      </c>
      <c r="BH2487" s="8" t="str">
        <f t="shared" si="393"/>
        <v/>
      </c>
      <c r="BI2487" s="8" t="str">
        <f t="shared" si="394"/>
        <v/>
      </c>
      <c r="BJ2487" s="9" t="str">
        <f t="shared" si="395"/>
        <v/>
      </c>
      <c r="BK2487" s="9" t="str">
        <f>IF($B2487="","",COUNTIFS($B$5:$B2487,$B2487,$BF$5:$BF2487,$BF2487))</f>
        <v/>
      </c>
      <c r="BL2487" s="9" t="str">
        <f>IF($B2487="","",COUNTIFS($B$5:$B2487,$B2487,$BH$5:$BH2487,$BH2487))</f>
        <v/>
      </c>
      <c r="BM2487" s="9" t="str">
        <f t="shared" si="396"/>
        <v/>
      </c>
      <c r="BN2487" s="9" t="str">
        <f t="shared" si="397"/>
        <v/>
      </c>
      <c r="BO2487" s="9">
        <f t="shared" si="398"/>
        <v>0</v>
      </c>
      <c r="BR2487" s="12" t="str">
        <f t="shared" si="399"/>
        <v/>
      </c>
    </row>
    <row r="2488" spans="1:70" ht="14.25" customHeight="1">
      <c r="A2488" s="26"/>
      <c r="C2488" s="26"/>
      <c r="D2488" s="27"/>
      <c r="E2488" s="27"/>
      <c r="BE2488" s="10" t="str">
        <f t="shared" si="390"/>
        <v/>
      </c>
      <c r="BF2488" s="8" t="str">
        <f t="shared" si="391"/>
        <v/>
      </c>
      <c r="BG2488" s="11" t="str">
        <f t="shared" si="392"/>
        <v/>
      </c>
      <c r="BH2488" s="8" t="str">
        <f t="shared" si="393"/>
        <v/>
      </c>
      <c r="BI2488" s="8" t="str">
        <f t="shared" si="394"/>
        <v/>
      </c>
      <c r="BJ2488" s="9" t="str">
        <f t="shared" si="395"/>
        <v/>
      </c>
      <c r="BK2488" s="9" t="str">
        <f>IF($B2488="","",COUNTIFS($B$5:$B2488,$B2488,$BF$5:$BF2488,$BF2488))</f>
        <v/>
      </c>
      <c r="BL2488" s="9" t="str">
        <f>IF($B2488="","",COUNTIFS($B$5:$B2488,$B2488,$BH$5:$BH2488,$BH2488))</f>
        <v/>
      </c>
      <c r="BM2488" s="9" t="str">
        <f t="shared" si="396"/>
        <v/>
      </c>
      <c r="BN2488" s="9" t="str">
        <f t="shared" si="397"/>
        <v/>
      </c>
      <c r="BO2488" s="9">
        <f t="shared" si="398"/>
        <v>0</v>
      </c>
      <c r="BR2488" s="12" t="str">
        <f t="shared" si="399"/>
        <v/>
      </c>
    </row>
    <row r="2489" spans="1:70" ht="14.25" customHeight="1">
      <c r="A2489" s="26"/>
      <c r="C2489" s="26"/>
      <c r="D2489" s="27"/>
      <c r="E2489" s="27"/>
      <c r="BE2489" s="10" t="str">
        <f t="shared" si="390"/>
        <v/>
      </c>
      <c r="BF2489" s="8" t="str">
        <f t="shared" si="391"/>
        <v/>
      </c>
      <c r="BG2489" s="11" t="str">
        <f t="shared" si="392"/>
        <v/>
      </c>
      <c r="BH2489" s="8" t="str">
        <f t="shared" si="393"/>
        <v/>
      </c>
      <c r="BI2489" s="8" t="str">
        <f t="shared" si="394"/>
        <v/>
      </c>
      <c r="BJ2489" s="9" t="str">
        <f t="shared" si="395"/>
        <v/>
      </c>
      <c r="BK2489" s="9" t="str">
        <f>IF($B2489="","",COUNTIFS($B$5:$B2489,$B2489,$BF$5:$BF2489,$BF2489))</f>
        <v/>
      </c>
      <c r="BL2489" s="9" t="str">
        <f>IF($B2489="","",COUNTIFS($B$5:$B2489,$B2489,$BH$5:$BH2489,$BH2489))</f>
        <v/>
      </c>
      <c r="BM2489" s="9" t="str">
        <f t="shared" si="396"/>
        <v/>
      </c>
      <c r="BN2489" s="9" t="str">
        <f t="shared" si="397"/>
        <v/>
      </c>
      <c r="BO2489" s="9">
        <f t="shared" si="398"/>
        <v>0</v>
      </c>
      <c r="BR2489" s="12" t="str">
        <f t="shared" si="399"/>
        <v/>
      </c>
    </row>
    <row r="2490" spans="1:70" ht="14.25" customHeight="1">
      <c r="A2490" s="26"/>
      <c r="C2490" s="26"/>
      <c r="D2490" s="27"/>
      <c r="E2490" s="27"/>
      <c r="BE2490" s="10" t="str">
        <f t="shared" si="390"/>
        <v/>
      </c>
      <c r="BF2490" s="8" t="str">
        <f t="shared" si="391"/>
        <v/>
      </c>
      <c r="BG2490" s="11" t="str">
        <f t="shared" si="392"/>
        <v/>
      </c>
      <c r="BH2490" s="8" t="str">
        <f t="shared" si="393"/>
        <v/>
      </c>
      <c r="BI2490" s="8" t="str">
        <f t="shared" si="394"/>
        <v/>
      </c>
      <c r="BJ2490" s="9" t="str">
        <f t="shared" si="395"/>
        <v/>
      </c>
      <c r="BK2490" s="9" t="str">
        <f>IF($B2490="","",COUNTIFS($B$5:$B2490,$B2490,$BF$5:$BF2490,$BF2490))</f>
        <v/>
      </c>
      <c r="BL2490" s="9" t="str">
        <f>IF($B2490="","",COUNTIFS($B$5:$B2490,$B2490,$BH$5:$BH2490,$BH2490))</f>
        <v/>
      </c>
      <c r="BM2490" s="9" t="str">
        <f t="shared" si="396"/>
        <v/>
      </c>
      <c r="BN2490" s="9" t="str">
        <f t="shared" si="397"/>
        <v/>
      </c>
      <c r="BO2490" s="9">
        <f t="shared" si="398"/>
        <v>0</v>
      </c>
      <c r="BR2490" s="12" t="str">
        <f t="shared" si="399"/>
        <v/>
      </c>
    </row>
    <row r="2491" spans="1:70" ht="14.25" customHeight="1">
      <c r="A2491" s="26"/>
      <c r="C2491" s="26"/>
      <c r="D2491" s="27"/>
      <c r="E2491" s="27"/>
      <c r="BE2491" s="10" t="str">
        <f t="shared" si="390"/>
        <v/>
      </c>
      <c r="BF2491" s="8" t="str">
        <f t="shared" si="391"/>
        <v/>
      </c>
      <c r="BG2491" s="11" t="str">
        <f t="shared" si="392"/>
        <v/>
      </c>
      <c r="BH2491" s="8" t="str">
        <f t="shared" si="393"/>
        <v/>
      </c>
      <c r="BI2491" s="8" t="str">
        <f t="shared" si="394"/>
        <v/>
      </c>
      <c r="BJ2491" s="9" t="str">
        <f t="shared" si="395"/>
        <v/>
      </c>
      <c r="BK2491" s="9" t="str">
        <f>IF($B2491="","",COUNTIFS($B$5:$B2491,$B2491,$BF$5:$BF2491,$BF2491))</f>
        <v/>
      </c>
      <c r="BL2491" s="9" t="str">
        <f>IF($B2491="","",COUNTIFS($B$5:$B2491,$B2491,$BH$5:$BH2491,$BH2491))</f>
        <v/>
      </c>
      <c r="BM2491" s="9" t="str">
        <f t="shared" si="396"/>
        <v/>
      </c>
      <c r="BN2491" s="9" t="str">
        <f t="shared" si="397"/>
        <v/>
      </c>
      <c r="BO2491" s="9">
        <f t="shared" si="398"/>
        <v>0</v>
      </c>
      <c r="BR2491" s="12" t="str">
        <f t="shared" si="399"/>
        <v/>
      </c>
    </row>
    <row r="2492" spans="1:70" ht="14.25" customHeight="1">
      <c r="A2492" s="26"/>
      <c r="C2492" s="26"/>
      <c r="D2492" s="27"/>
      <c r="E2492" s="27"/>
      <c r="BE2492" s="10" t="str">
        <f t="shared" si="390"/>
        <v/>
      </c>
      <c r="BF2492" s="8" t="str">
        <f t="shared" si="391"/>
        <v/>
      </c>
      <c r="BG2492" s="11" t="str">
        <f t="shared" si="392"/>
        <v/>
      </c>
      <c r="BH2492" s="8" t="str">
        <f t="shared" si="393"/>
        <v/>
      </c>
      <c r="BI2492" s="8" t="str">
        <f t="shared" si="394"/>
        <v/>
      </c>
      <c r="BJ2492" s="9" t="str">
        <f t="shared" si="395"/>
        <v/>
      </c>
      <c r="BK2492" s="9" t="str">
        <f>IF($B2492="","",COUNTIFS($B$5:$B2492,$B2492,$BF$5:$BF2492,$BF2492))</f>
        <v/>
      </c>
      <c r="BL2492" s="9" t="str">
        <f>IF($B2492="","",COUNTIFS($B$5:$B2492,$B2492,$BH$5:$BH2492,$BH2492))</f>
        <v/>
      </c>
      <c r="BM2492" s="9" t="str">
        <f t="shared" si="396"/>
        <v/>
      </c>
      <c r="BN2492" s="9" t="str">
        <f t="shared" si="397"/>
        <v/>
      </c>
      <c r="BO2492" s="9">
        <f t="shared" si="398"/>
        <v>0</v>
      </c>
      <c r="BR2492" s="12" t="str">
        <f t="shared" si="399"/>
        <v/>
      </c>
    </row>
    <row r="2493" spans="1:70" ht="14.25" customHeight="1">
      <c r="A2493" s="26"/>
      <c r="C2493" s="26"/>
      <c r="D2493" s="27"/>
      <c r="E2493" s="27"/>
      <c r="BE2493" s="10" t="str">
        <f t="shared" si="390"/>
        <v/>
      </c>
      <c r="BF2493" s="8" t="str">
        <f t="shared" si="391"/>
        <v/>
      </c>
      <c r="BG2493" s="11" t="str">
        <f t="shared" si="392"/>
        <v/>
      </c>
      <c r="BH2493" s="8" t="str">
        <f t="shared" si="393"/>
        <v/>
      </c>
      <c r="BI2493" s="8" t="str">
        <f t="shared" si="394"/>
        <v/>
      </c>
      <c r="BJ2493" s="9" t="str">
        <f t="shared" si="395"/>
        <v/>
      </c>
      <c r="BK2493" s="9" t="str">
        <f>IF($B2493="","",COUNTIFS($B$5:$B2493,$B2493,$BF$5:$BF2493,$BF2493))</f>
        <v/>
      </c>
      <c r="BL2493" s="9" t="str">
        <f>IF($B2493="","",COUNTIFS($B$5:$B2493,$B2493,$BH$5:$BH2493,$BH2493))</f>
        <v/>
      </c>
      <c r="BM2493" s="9" t="str">
        <f t="shared" si="396"/>
        <v/>
      </c>
      <c r="BN2493" s="9" t="str">
        <f t="shared" si="397"/>
        <v/>
      </c>
      <c r="BO2493" s="9">
        <f t="shared" si="398"/>
        <v>0</v>
      </c>
      <c r="BR2493" s="12" t="str">
        <f t="shared" si="399"/>
        <v/>
      </c>
    </row>
    <row r="2494" spans="1:70" ht="14.25" customHeight="1">
      <c r="A2494" s="26"/>
      <c r="C2494" s="26"/>
      <c r="D2494" s="27"/>
      <c r="E2494" s="27"/>
      <c r="BE2494" s="10" t="str">
        <f t="shared" si="390"/>
        <v/>
      </c>
      <c r="BF2494" s="8" t="str">
        <f t="shared" si="391"/>
        <v/>
      </c>
      <c r="BG2494" s="11" t="str">
        <f t="shared" si="392"/>
        <v/>
      </c>
      <c r="BH2494" s="8" t="str">
        <f t="shared" si="393"/>
        <v/>
      </c>
      <c r="BI2494" s="8" t="str">
        <f t="shared" si="394"/>
        <v/>
      </c>
      <c r="BJ2494" s="9" t="str">
        <f t="shared" si="395"/>
        <v/>
      </c>
      <c r="BK2494" s="9" t="str">
        <f>IF($B2494="","",COUNTIFS($B$5:$B2494,$B2494,$BF$5:$BF2494,$BF2494))</f>
        <v/>
      </c>
      <c r="BL2494" s="9" t="str">
        <f>IF($B2494="","",COUNTIFS($B$5:$B2494,$B2494,$BH$5:$BH2494,$BH2494))</f>
        <v/>
      </c>
      <c r="BM2494" s="9" t="str">
        <f t="shared" si="396"/>
        <v/>
      </c>
      <c r="BN2494" s="9" t="str">
        <f t="shared" si="397"/>
        <v/>
      </c>
      <c r="BO2494" s="9">
        <f t="shared" si="398"/>
        <v>0</v>
      </c>
      <c r="BR2494" s="12" t="str">
        <f t="shared" si="399"/>
        <v/>
      </c>
    </row>
    <row r="2495" spans="1:70" ht="14.25" customHeight="1">
      <c r="A2495" s="26"/>
      <c r="C2495" s="26"/>
      <c r="D2495" s="27"/>
      <c r="E2495" s="27"/>
      <c r="BE2495" s="10" t="str">
        <f t="shared" si="390"/>
        <v/>
      </c>
      <c r="BF2495" s="8" t="str">
        <f t="shared" si="391"/>
        <v/>
      </c>
      <c r="BG2495" s="11" t="str">
        <f t="shared" si="392"/>
        <v/>
      </c>
      <c r="BH2495" s="8" t="str">
        <f t="shared" si="393"/>
        <v/>
      </c>
      <c r="BI2495" s="8" t="str">
        <f t="shared" si="394"/>
        <v/>
      </c>
      <c r="BJ2495" s="9" t="str">
        <f t="shared" si="395"/>
        <v/>
      </c>
      <c r="BK2495" s="9" t="str">
        <f>IF($B2495="","",COUNTIFS($B$5:$B2495,$B2495,$BF$5:$BF2495,$BF2495))</f>
        <v/>
      </c>
      <c r="BL2495" s="9" t="str">
        <f>IF($B2495="","",COUNTIFS($B$5:$B2495,$B2495,$BH$5:$BH2495,$BH2495))</f>
        <v/>
      </c>
      <c r="BM2495" s="9" t="str">
        <f t="shared" si="396"/>
        <v/>
      </c>
      <c r="BN2495" s="9" t="str">
        <f t="shared" si="397"/>
        <v/>
      </c>
      <c r="BO2495" s="9">
        <f t="shared" si="398"/>
        <v>0</v>
      </c>
      <c r="BR2495" s="12" t="str">
        <f t="shared" si="399"/>
        <v/>
      </c>
    </row>
    <row r="2496" spans="1:70" ht="14.25" customHeight="1">
      <c r="A2496" s="26"/>
      <c r="C2496" s="26"/>
      <c r="D2496" s="27"/>
      <c r="E2496" s="27"/>
      <c r="BE2496" s="10" t="str">
        <f t="shared" si="390"/>
        <v/>
      </c>
      <c r="BF2496" s="8" t="str">
        <f t="shared" si="391"/>
        <v/>
      </c>
      <c r="BG2496" s="11" t="str">
        <f t="shared" si="392"/>
        <v/>
      </c>
      <c r="BH2496" s="8" t="str">
        <f t="shared" si="393"/>
        <v/>
      </c>
      <c r="BI2496" s="8" t="str">
        <f t="shared" si="394"/>
        <v/>
      </c>
      <c r="BJ2496" s="9" t="str">
        <f t="shared" si="395"/>
        <v/>
      </c>
      <c r="BK2496" s="9" t="str">
        <f>IF($B2496="","",COUNTIFS($B$5:$B2496,$B2496,$BF$5:$BF2496,$BF2496))</f>
        <v/>
      </c>
      <c r="BL2496" s="9" t="str">
        <f>IF($B2496="","",COUNTIFS($B$5:$B2496,$B2496,$BH$5:$BH2496,$BH2496))</f>
        <v/>
      </c>
      <c r="BM2496" s="9" t="str">
        <f t="shared" si="396"/>
        <v/>
      </c>
      <c r="BN2496" s="9" t="str">
        <f t="shared" si="397"/>
        <v/>
      </c>
      <c r="BO2496" s="9">
        <f t="shared" si="398"/>
        <v>0</v>
      </c>
      <c r="BR2496" s="12" t="str">
        <f t="shared" si="399"/>
        <v/>
      </c>
    </row>
    <row r="2497" spans="1:70" ht="14.25" customHeight="1">
      <c r="A2497" s="26"/>
      <c r="C2497" s="26"/>
      <c r="D2497" s="27"/>
      <c r="E2497" s="27"/>
      <c r="BE2497" s="10" t="str">
        <f t="shared" si="390"/>
        <v/>
      </c>
      <c r="BF2497" s="8" t="str">
        <f t="shared" si="391"/>
        <v/>
      </c>
      <c r="BG2497" s="11" t="str">
        <f t="shared" si="392"/>
        <v/>
      </c>
      <c r="BH2497" s="8" t="str">
        <f t="shared" si="393"/>
        <v/>
      </c>
      <c r="BI2497" s="8" t="str">
        <f t="shared" si="394"/>
        <v/>
      </c>
      <c r="BJ2497" s="9" t="str">
        <f t="shared" si="395"/>
        <v/>
      </c>
      <c r="BK2497" s="9" t="str">
        <f>IF($B2497="","",COUNTIFS($B$5:$B2497,$B2497,$BF$5:$BF2497,$BF2497))</f>
        <v/>
      </c>
      <c r="BL2497" s="9" t="str">
        <f>IF($B2497="","",COUNTIFS($B$5:$B2497,$B2497,$BH$5:$BH2497,$BH2497))</f>
        <v/>
      </c>
      <c r="BM2497" s="9" t="str">
        <f t="shared" si="396"/>
        <v/>
      </c>
      <c r="BN2497" s="9" t="str">
        <f t="shared" si="397"/>
        <v/>
      </c>
      <c r="BO2497" s="9">
        <f t="shared" si="398"/>
        <v>0</v>
      </c>
      <c r="BR2497" s="12" t="str">
        <f t="shared" si="399"/>
        <v/>
      </c>
    </row>
    <row r="2498" spans="1:70" ht="14.25" customHeight="1">
      <c r="A2498" s="26"/>
      <c r="C2498" s="26"/>
      <c r="D2498" s="27"/>
      <c r="E2498" s="27"/>
      <c r="BE2498" s="10" t="str">
        <f t="shared" si="390"/>
        <v/>
      </c>
      <c r="BF2498" s="8" t="str">
        <f t="shared" si="391"/>
        <v/>
      </c>
      <c r="BG2498" s="11" t="str">
        <f t="shared" si="392"/>
        <v/>
      </c>
      <c r="BH2498" s="8" t="str">
        <f t="shared" si="393"/>
        <v/>
      </c>
      <c r="BI2498" s="8" t="str">
        <f t="shared" si="394"/>
        <v/>
      </c>
      <c r="BJ2498" s="9" t="str">
        <f t="shared" si="395"/>
        <v/>
      </c>
      <c r="BK2498" s="9" t="str">
        <f>IF($B2498="","",COUNTIFS($B$5:$B2498,$B2498,$BF$5:$BF2498,$BF2498))</f>
        <v/>
      </c>
      <c r="BL2498" s="9" t="str">
        <f>IF($B2498="","",COUNTIFS($B$5:$B2498,$B2498,$BH$5:$BH2498,$BH2498))</f>
        <v/>
      </c>
      <c r="BM2498" s="9" t="str">
        <f t="shared" si="396"/>
        <v/>
      </c>
      <c r="BN2498" s="9" t="str">
        <f t="shared" si="397"/>
        <v/>
      </c>
      <c r="BO2498" s="9">
        <f t="shared" si="398"/>
        <v>0</v>
      </c>
      <c r="BR2498" s="12" t="str">
        <f t="shared" si="399"/>
        <v/>
      </c>
    </row>
    <row r="2499" spans="1:70" ht="14.25" customHeight="1">
      <c r="A2499" s="26"/>
      <c r="C2499" s="26"/>
      <c r="D2499" s="27"/>
      <c r="E2499" s="27"/>
      <c r="BE2499" s="10" t="str">
        <f t="shared" si="390"/>
        <v/>
      </c>
      <c r="BF2499" s="8" t="str">
        <f t="shared" si="391"/>
        <v/>
      </c>
      <c r="BG2499" s="11" t="str">
        <f t="shared" si="392"/>
        <v/>
      </c>
      <c r="BH2499" s="8" t="str">
        <f t="shared" si="393"/>
        <v/>
      </c>
      <c r="BI2499" s="8" t="str">
        <f t="shared" si="394"/>
        <v/>
      </c>
      <c r="BJ2499" s="9" t="str">
        <f t="shared" si="395"/>
        <v/>
      </c>
      <c r="BK2499" s="9" t="str">
        <f>IF($B2499="","",COUNTIFS($B$5:$B2499,$B2499,$BF$5:$BF2499,$BF2499))</f>
        <v/>
      </c>
      <c r="BL2499" s="9" t="str">
        <f>IF($B2499="","",COUNTIFS($B$5:$B2499,$B2499,$BH$5:$BH2499,$BH2499))</f>
        <v/>
      </c>
      <c r="BM2499" s="9" t="str">
        <f t="shared" si="396"/>
        <v/>
      </c>
      <c r="BN2499" s="9" t="str">
        <f t="shared" si="397"/>
        <v/>
      </c>
      <c r="BO2499" s="9">
        <f t="shared" si="398"/>
        <v>0</v>
      </c>
      <c r="BR2499" s="12" t="str">
        <f t="shared" si="399"/>
        <v/>
      </c>
    </row>
    <row r="2500" spans="1:70" ht="14.25" customHeight="1">
      <c r="A2500" s="26"/>
      <c r="C2500" s="26"/>
      <c r="D2500" s="27"/>
      <c r="E2500" s="27"/>
      <c r="BE2500" s="10" t="str">
        <f t="shared" si="390"/>
        <v/>
      </c>
      <c r="BF2500" s="8" t="str">
        <f t="shared" si="391"/>
        <v/>
      </c>
      <c r="BG2500" s="11" t="str">
        <f t="shared" si="392"/>
        <v/>
      </c>
      <c r="BH2500" s="8" t="str">
        <f t="shared" si="393"/>
        <v/>
      </c>
      <c r="BI2500" s="8" t="str">
        <f t="shared" si="394"/>
        <v/>
      </c>
      <c r="BJ2500" s="9" t="str">
        <f t="shared" si="395"/>
        <v/>
      </c>
      <c r="BK2500" s="9" t="str">
        <f>IF($B2500="","",COUNTIFS($B$5:$B2500,$B2500,$BF$5:$BF2500,$BF2500))</f>
        <v/>
      </c>
      <c r="BL2500" s="9" t="str">
        <f>IF($B2500="","",COUNTIFS($B$5:$B2500,$B2500,$BH$5:$BH2500,$BH2500))</f>
        <v/>
      </c>
      <c r="BM2500" s="9" t="str">
        <f t="shared" si="396"/>
        <v/>
      </c>
      <c r="BN2500" s="9" t="str">
        <f t="shared" si="397"/>
        <v/>
      </c>
      <c r="BO2500" s="9">
        <f t="shared" si="398"/>
        <v>0</v>
      </c>
      <c r="BR2500" s="12" t="str">
        <f t="shared" si="399"/>
        <v/>
      </c>
    </row>
    <row r="2501" spans="1:70" ht="14.25" customHeight="1">
      <c r="A2501" s="26"/>
      <c r="C2501" s="26"/>
      <c r="D2501" s="27"/>
      <c r="E2501" s="27"/>
      <c r="BE2501" s="10" t="str">
        <f t="shared" si="390"/>
        <v/>
      </c>
      <c r="BF2501" s="8" t="str">
        <f t="shared" si="391"/>
        <v/>
      </c>
      <c r="BG2501" s="11" t="str">
        <f t="shared" si="392"/>
        <v/>
      </c>
      <c r="BH2501" s="8" t="str">
        <f t="shared" si="393"/>
        <v/>
      </c>
      <c r="BI2501" s="8" t="str">
        <f t="shared" si="394"/>
        <v/>
      </c>
      <c r="BJ2501" s="9" t="str">
        <f t="shared" si="395"/>
        <v/>
      </c>
      <c r="BK2501" s="9" t="str">
        <f>IF($B2501="","",COUNTIFS($B$5:$B2501,$B2501,$BF$5:$BF2501,$BF2501))</f>
        <v/>
      </c>
      <c r="BL2501" s="9" t="str">
        <f>IF($B2501="","",COUNTIFS($B$5:$B2501,$B2501,$BH$5:$BH2501,$BH2501))</f>
        <v/>
      </c>
      <c r="BM2501" s="9" t="str">
        <f t="shared" si="396"/>
        <v/>
      </c>
      <c r="BN2501" s="9" t="str">
        <f t="shared" si="397"/>
        <v/>
      </c>
      <c r="BO2501" s="9">
        <f t="shared" si="398"/>
        <v>0</v>
      </c>
      <c r="BR2501" s="12" t="str">
        <f t="shared" si="399"/>
        <v/>
      </c>
    </row>
    <row r="2502" spans="1:70" ht="14.25" customHeight="1">
      <c r="A2502" s="26"/>
      <c r="C2502" s="26"/>
      <c r="D2502" s="27"/>
      <c r="E2502" s="27"/>
      <c r="BE2502" s="10" t="str">
        <f t="shared" si="390"/>
        <v/>
      </c>
      <c r="BF2502" s="8" t="str">
        <f t="shared" si="391"/>
        <v/>
      </c>
      <c r="BG2502" s="11" t="str">
        <f t="shared" si="392"/>
        <v/>
      </c>
      <c r="BH2502" s="8" t="str">
        <f t="shared" si="393"/>
        <v/>
      </c>
      <c r="BI2502" s="8" t="str">
        <f t="shared" si="394"/>
        <v/>
      </c>
      <c r="BJ2502" s="9" t="str">
        <f t="shared" si="395"/>
        <v/>
      </c>
      <c r="BK2502" s="9" t="str">
        <f>IF($B2502="","",COUNTIFS($B$5:$B2502,$B2502,$BF$5:$BF2502,$BF2502))</f>
        <v/>
      </c>
      <c r="BL2502" s="9" t="str">
        <f>IF($B2502="","",COUNTIFS($B$5:$B2502,$B2502,$BH$5:$BH2502,$BH2502))</f>
        <v/>
      </c>
      <c r="BM2502" s="9" t="str">
        <f t="shared" si="396"/>
        <v/>
      </c>
      <c r="BN2502" s="9" t="str">
        <f t="shared" si="397"/>
        <v/>
      </c>
      <c r="BO2502" s="9">
        <f t="shared" si="398"/>
        <v>0</v>
      </c>
      <c r="BR2502" s="12" t="str">
        <f t="shared" si="399"/>
        <v/>
      </c>
    </row>
    <row r="2503" spans="1:70" ht="14.25" customHeight="1">
      <c r="A2503" s="26"/>
      <c r="C2503" s="26"/>
      <c r="D2503" s="27"/>
      <c r="E2503" s="27"/>
      <c r="BE2503" s="10" t="str">
        <f t="shared" si="390"/>
        <v/>
      </c>
      <c r="BF2503" s="8" t="str">
        <f t="shared" si="391"/>
        <v/>
      </c>
      <c r="BG2503" s="11" t="str">
        <f t="shared" si="392"/>
        <v/>
      </c>
      <c r="BH2503" s="8" t="str">
        <f t="shared" si="393"/>
        <v/>
      </c>
      <c r="BI2503" s="8" t="str">
        <f t="shared" si="394"/>
        <v/>
      </c>
      <c r="BJ2503" s="9" t="str">
        <f t="shared" si="395"/>
        <v/>
      </c>
      <c r="BK2503" s="9" t="str">
        <f>IF($B2503="","",COUNTIFS($B$5:$B2503,$B2503,$BF$5:$BF2503,$BF2503))</f>
        <v/>
      </c>
      <c r="BL2503" s="9" t="str">
        <f>IF($B2503="","",COUNTIFS($B$5:$B2503,$B2503,$BH$5:$BH2503,$BH2503))</f>
        <v/>
      </c>
      <c r="BM2503" s="9" t="str">
        <f t="shared" si="396"/>
        <v/>
      </c>
      <c r="BN2503" s="9" t="str">
        <f t="shared" si="397"/>
        <v/>
      </c>
      <c r="BO2503" s="9">
        <f t="shared" si="398"/>
        <v>0</v>
      </c>
      <c r="BR2503" s="12" t="str">
        <f t="shared" si="399"/>
        <v/>
      </c>
    </row>
    <row r="2504" spans="1:70" ht="14.25" customHeight="1">
      <c r="A2504" s="26"/>
      <c r="C2504" s="26"/>
      <c r="D2504" s="27"/>
      <c r="E2504" s="27"/>
      <c r="BE2504" s="10" t="str">
        <f t="shared" si="390"/>
        <v/>
      </c>
      <c r="BF2504" s="8" t="str">
        <f t="shared" si="391"/>
        <v/>
      </c>
      <c r="BG2504" s="11" t="str">
        <f t="shared" si="392"/>
        <v/>
      </c>
      <c r="BH2504" s="8" t="str">
        <f t="shared" si="393"/>
        <v/>
      </c>
      <c r="BI2504" s="8" t="str">
        <f t="shared" si="394"/>
        <v/>
      </c>
      <c r="BJ2504" s="9" t="str">
        <f t="shared" si="395"/>
        <v/>
      </c>
      <c r="BK2504" s="9" t="str">
        <f>IF($B2504="","",COUNTIFS($B$5:$B2504,$B2504,$BF$5:$BF2504,$BF2504))</f>
        <v/>
      </c>
      <c r="BL2504" s="9" t="str">
        <f>IF($B2504="","",COUNTIFS($B$5:$B2504,$B2504,$BH$5:$BH2504,$BH2504))</f>
        <v/>
      </c>
      <c r="BM2504" s="9" t="str">
        <f t="shared" si="396"/>
        <v/>
      </c>
      <c r="BN2504" s="9" t="str">
        <f t="shared" si="397"/>
        <v/>
      </c>
      <c r="BO2504" s="9">
        <f t="shared" si="398"/>
        <v>0</v>
      </c>
      <c r="BR2504" s="12" t="str">
        <f t="shared" si="399"/>
        <v/>
      </c>
    </row>
    <row r="2505" spans="1:70" ht="14.25" customHeight="1">
      <c r="A2505" s="26"/>
      <c r="C2505" s="26"/>
      <c r="D2505" s="27"/>
      <c r="E2505" s="27"/>
      <c r="BE2505" s="10" t="str">
        <f t="shared" si="390"/>
        <v/>
      </c>
      <c r="BF2505" s="8" t="str">
        <f t="shared" si="391"/>
        <v/>
      </c>
      <c r="BG2505" s="11" t="str">
        <f t="shared" si="392"/>
        <v/>
      </c>
      <c r="BH2505" s="8" t="str">
        <f t="shared" si="393"/>
        <v/>
      </c>
      <c r="BI2505" s="8" t="str">
        <f t="shared" si="394"/>
        <v/>
      </c>
      <c r="BJ2505" s="9" t="str">
        <f t="shared" si="395"/>
        <v/>
      </c>
      <c r="BK2505" s="9" t="str">
        <f>IF($B2505="","",COUNTIFS($B$5:$B2505,$B2505,$BF$5:$BF2505,$BF2505))</f>
        <v/>
      </c>
      <c r="BL2505" s="9" t="str">
        <f>IF($B2505="","",COUNTIFS($B$5:$B2505,$B2505,$BH$5:$BH2505,$BH2505))</f>
        <v/>
      </c>
      <c r="BM2505" s="9" t="str">
        <f t="shared" si="396"/>
        <v/>
      </c>
      <c r="BN2505" s="9" t="str">
        <f t="shared" si="397"/>
        <v/>
      </c>
      <c r="BO2505" s="9">
        <f t="shared" si="398"/>
        <v>0</v>
      </c>
      <c r="BR2505" s="12" t="str">
        <f t="shared" si="399"/>
        <v/>
      </c>
    </row>
    <row r="2506" spans="1:70" ht="14.25" customHeight="1">
      <c r="A2506" s="26"/>
      <c r="C2506" s="26"/>
      <c r="D2506" s="27"/>
      <c r="E2506" s="27"/>
      <c r="BE2506" s="10" t="str">
        <f t="shared" si="390"/>
        <v/>
      </c>
      <c r="BF2506" s="8" t="str">
        <f t="shared" si="391"/>
        <v/>
      </c>
      <c r="BG2506" s="11" t="str">
        <f t="shared" si="392"/>
        <v/>
      </c>
      <c r="BH2506" s="8" t="str">
        <f t="shared" si="393"/>
        <v/>
      </c>
      <c r="BI2506" s="8" t="str">
        <f t="shared" si="394"/>
        <v/>
      </c>
      <c r="BJ2506" s="9" t="str">
        <f t="shared" si="395"/>
        <v/>
      </c>
      <c r="BK2506" s="9" t="str">
        <f>IF($B2506="","",COUNTIFS($B$5:$B2506,$B2506,$BF$5:$BF2506,$BF2506))</f>
        <v/>
      </c>
      <c r="BL2506" s="9" t="str">
        <f>IF($B2506="","",COUNTIFS($B$5:$B2506,$B2506,$BH$5:$BH2506,$BH2506))</f>
        <v/>
      </c>
      <c r="BM2506" s="9" t="str">
        <f t="shared" si="396"/>
        <v/>
      </c>
      <c r="BN2506" s="9" t="str">
        <f t="shared" si="397"/>
        <v/>
      </c>
      <c r="BO2506" s="9">
        <f t="shared" si="398"/>
        <v>0</v>
      </c>
      <c r="BR2506" s="12" t="str">
        <f t="shared" si="399"/>
        <v/>
      </c>
    </row>
    <row r="2507" spans="1:70" ht="14.25" customHeight="1">
      <c r="A2507" s="26"/>
      <c r="C2507" s="26"/>
      <c r="D2507" s="27"/>
      <c r="E2507" s="27"/>
      <c r="BE2507" s="10" t="str">
        <f t="shared" si="390"/>
        <v/>
      </c>
      <c r="BF2507" s="8" t="str">
        <f t="shared" si="391"/>
        <v/>
      </c>
      <c r="BG2507" s="11" t="str">
        <f t="shared" si="392"/>
        <v/>
      </c>
      <c r="BH2507" s="8" t="str">
        <f t="shared" si="393"/>
        <v/>
      </c>
      <c r="BI2507" s="8" t="str">
        <f t="shared" si="394"/>
        <v/>
      </c>
      <c r="BJ2507" s="9" t="str">
        <f t="shared" si="395"/>
        <v/>
      </c>
      <c r="BK2507" s="9" t="str">
        <f>IF($B2507="","",COUNTIFS($B$5:$B2507,$B2507,$BF$5:$BF2507,$BF2507))</f>
        <v/>
      </c>
      <c r="BL2507" s="9" t="str">
        <f>IF($B2507="","",COUNTIFS($B$5:$B2507,$B2507,$BH$5:$BH2507,$BH2507))</f>
        <v/>
      </c>
      <c r="BM2507" s="9" t="str">
        <f t="shared" si="396"/>
        <v/>
      </c>
      <c r="BN2507" s="9" t="str">
        <f t="shared" si="397"/>
        <v/>
      </c>
      <c r="BO2507" s="9">
        <f t="shared" si="398"/>
        <v>0</v>
      </c>
      <c r="BR2507" s="12" t="str">
        <f t="shared" si="399"/>
        <v/>
      </c>
    </row>
    <row r="2508" spans="1:70" ht="14.25" customHeight="1">
      <c r="A2508" s="26"/>
      <c r="C2508" s="26"/>
      <c r="D2508" s="27"/>
      <c r="E2508" s="27"/>
      <c r="BE2508" s="10" t="str">
        <f t="shared" si="390"/>
        <v/>
      </c>
      <c r="BF2508" s="8" t="str">
        <f t="shared" si="391"/>
        <v/>
      </c>
      <c r="BG2508" s="11" t="str">
        <f t="shared" si="392"/>
        <v/>
      </c>
      <c r="BH2508" s="8" t="str">
        <f t="shared" si="393"/>
        <v/>
      </c>
      <c r="BI2508" s="8" t="str">
        <f t="shared" si="394"/>
        <v/>
      </c>
      <c r="BJ2508" s="9" t="str">
        <f t="shared" si="395"/>
        <v/>
      </c>
      <c r="BK2508" s="9" t="str">
        <f>IF($B2508="","",COUNTIFS($B$5:$B2508,$B2508,$BF$5:$BF2508,$BF2508))</f>
        <v/>
      </c>
      <c r="BL2508" s="9" t="str">
        <f>IF($B2508="","",COUNTIFS($B$5:$B2508,$B2508,$BH$5:$BH2508,$BH2508))</f>
        <v/>
      </c>
      <c r="BM2508" s="9" t="str">
        <f t="shared" si="396"/>
        <v/>
      </c>
      <c r="BN2508" s="9" t="str">
        <f t="shared" si="397"/>
        <v/>
      </c>
      <c r="BO2508" s="9">
        <f t="shared" si="398"/>
        <v>0</v>
      </c>
      <c r="BR2508" s="12" t="str">
        <f t="shared" si="399"/>
        <v/>
      </c>
    </row>
    <row r="2509" spans="1:70" ht="14.25" customHeight="1">
      <c r="A2509" s="26"/>
      <c r="C2509" s="26"/>
      <c r="D2509" s="27"/>
      <c r="E2509" s="27"/>
      <c r="BE2509" s="10" t="str">
        <f t="shared" si="390"/>
        <v/>
      </c>
      <c r="BF2509" s="8" t="str">
        <f t="shared" si="391"/>
        <v/>
      </c>
      <c r="BG2509" s="11" t="str">
        <f t="shared" si="392"/>
        <v/>
      </c>
      <c r="BH2509" s="8" t="str">
        <f t="shared" si="393"/>
        <v/>
      </c>
      <c r="BI2509" s="8" t="str">
        <f t="shared" si="394"/>
        <v/>
      </c>
      <c r="BJ2509" s="9" t="str">
        <f t="shared" si="395"/>
        <v/>
      </c>
      <c r="BK2509" s="9" t="str">
        <f>IF($B2509="","",COUNTIFS($B$5:$B2509,$B2509,$BF$5:$BF2509,$BF2509))</f>
        <v/>
      </c>
      <c r="BL2509" s="9" t="str">
        <f>IF($B2509="","",COUNTIFS($B$5:$B2509,$B2509,$BH$5:$BH2509,$BH2509))</f>
        <v/>
      </c>
      <c r="BM2509" s="9" t="str">
        <f t="shared" si="396"/>
        <v/>
      </c>
      <c r="BN2509" s="9" t="str">
        <f t="shared" si="397"/>
        <v/>
      </c>
      <c r="BO2509" s="9">
        <f t="shared" si="398"/>
        <v>0</v>
      </c>
      <c r="BR2509" s="12" t="str">
        <f t="shared" si="399"/>
        <v/>
      </c>
    </row>
    <row r="2510" spans="1:70" ht="14.25" customHeight="1">
      <c r="A2510" s="26"/>
      <c r="C2510" s="26"/>
      <c r="D2510" s="27"/>
      <c r="E2510" s="27"/>
      <c r="BE2510" s="10" t="str">
        <f t="shared" si="390"/>
        <v/>
      </c>
      <c r="BF2510" s="8" t="str">
        <f t="shared" si="391"/>
        <v/>
      </c>
      <c r="BG2510" s="11" t="str">
        <f t="shared" si="392"/>
        <v/>
      </c>
      <c r="BH2510" s="8" t="str">
        <f t="shared" si="393"/>
        <v/>
      </c>
      <c r="BI2510" s="8" t="str">
        <f t="shared" si="394"/>
        <v/>
      </c>
      <c r="BJ2510" s="9" t="str">
        <f t="shared" si="395"/>
        <v/>
      </c>
      <c r="BK2510" s="9" t="str">
        <f>IF($B2510="","",COUNTIFS($B$5:$B2510,$B2510,$BF$5:$BF2510,$BF2510))</f>
        <v/>
      </c>
      <c r="BL2510" s="9" t="str">
        <f>IF($B2510="","",COUNTIFS($B$5:$B2510,$B2510,$BH$5:$BH2510,$BH2510))</f>
        <v/>
      </c>
      <c r="BM2510" s="9" t="str">
        <f t="shared" si="396"/>
        <v/>
      </c>
      <c r="BN2510" s="9" t="str">
        <f t="shared" si="397"/>
        <v/>
      </c>
      <c r="BO2510" s="9">
        <f t="shared" si="398"/>
        <v>0</v>
      </c>
      <c r="BR2510" s="12" t="str">
        <f t="shared" si="399"/>
        <v/>
      </c>
    </row>
    <row r="2511" spans="1:70" ht="14.25" customHeight="1">
      <c r="A2511" s="26"/>
      <c r="C2511" s="26"/>
      <c r="D2511" s="27"/>
      <c r="E2511" s="27"/>
      <c r="BE2511" s="10" t="str">
        <f t="shared" si="390"/>
        <v/>
      </c>
      <c r="BF2511" s="8" t="str">
        <f t="shared" si="391"/>
        <v/>
      </c>
      <c r="BG2511" s="11" t="str">
        <f t="shared" si="392"/>
        <v/>
      </c>
      <c r="BH2511" s="8" t="str">
        <f t="shared" si="393"/>
        <v/>
      </c>
      <c r="BI2511" s="8" t="str">
        <f t="shared" si="394"/>
        <v/>
      </c>
      <c r="BJ2511" s="9" t="str">
        <f t="shared" si="395"/>
        <v/>
      </c>
      <c r="BK2511" s="9" t="str">
        <f>IF($B2511="","",COUNTIFS($B$5:$B2511,$B2511,$BF$5:$BF2511,$BF2511))</f>
        <v/>
      </c>
      <c r="BL2511" s="9" t="str">
        <f>IF($B2511="","",COUNTIFS($B$5:$B2511,$B2511,$BH$5:$BH2511,$BH2511))</f>
        <v/>
      </c>
      <c r="BM2511" s="9" t="str">
        <f t="shared" si="396"/>
        <v/>
      </c>
      <c r="BN2511" s="9" t="str">
        <f t="shared" si="397"/>
        <v/>
      </c>
      <c r="BO2511" s="9">
        <f t="shared" si="398"/>
        <v>0</v>
      </c>
      <c r="BR2511" s="12" t="str">
        <f t="shared" si="399"/>
        <v/>
      </c>
    </row>
    <row r="2512" spans="1:70" ht="14.25" customHeight="1">
      <c r="A2512" s="26"/>
      <c r="C2512" s="26"/>
      <c r="D2512" s="27"/>
      <c r="E2512" s="27"/>
      <c r="BE2512" s="10" t="str">
        <f t="shared" si="390"/>
        <v/>
      </c>
      <c r="BF2512" s="8" t="str">
        <f t="shared" si="391"/>
        <v/>
      </c>
      <c r="BG2512" s="11" t="str">
        <f t="shared" si="392"/>
        <v/>
      </c>
      <c r="BH2512" s="8" t="str">
        <f t="shared" si="393"/>
        <v/>
      </c>
      <c r="BI2512" s="8" t="str">
        <f t="shared" si="394"/>
        <v/>
      </c>
      <c r="BJ2512" s="9" t="str">
        <f t="shared" si="395"/>
        <v/>
      </c>
      <c r="BK2512" s="9" t="str">
        <f>IF($B2512="","",COUNTIFS($B$5:$B2512,$B2512,$BF$5:$BF2512,$BF2512))</f>
        <v/>
      </c>
      <c r="BL2512" s="9" t="str">
        <f>IF($B2512="","",COUNTIFS($B$5:$B2512,$B2512,$BH$5:$BH2512,$BH2512))</f>
        <v/>
      </c>
      <c r="BM2512" s="9" t="str">
        <f t="shared" si="396"/>
        <v/>
      </c>
      <c r="BN2512" s="9" t="str">
        <f t="shared" si="397"/>
        <v/>
      </c>
      <c r="BO2512" s="9">
        <f t="shared" si="398"/>
        <v>0</v>
      </c>
      <c r="BR2512" s="12" t="str">
        <f t="shared" si="399"/>
        <v/>
      </c>
    </row>
    <row r="2513" spans="1:70" ht="14.25" customHeight="1">
      <c r="A2513" s="26"/>
      <c r="C2513" s="26"/>
      <c r="D2513" s="27"/>
      <c r="E2513" s="27"/>
      <c r="BE2513" s="10" t="str">
        <f t="shared" si="390"/>
        <v/>
      </c>
      <c r="BF2513" s="8" t="str">
        <f t="shared" si="391"/>
        <v/>
      </c>
      <c r="BG2513" s="11" t="str">
        <f t="shared" si="392"/>
        <v/>
      </c>
      <c r="BH2513" s="8" t="str">
        <f t="shared" si="393"/>
        <v/>
      </c>
      <c r="BI2513" s="8" t="str">
        <f t="shared" si="394"/>
        <v/>
      </c>
      <c r="BJ2513" s="9" t="str">
        <f t="shared" si="395"/>
        <v/>
      </c>
      <c r="BK2513" s="9" t="str">
        <f>IF($B2513="","",COUNTIFS($B$5:$B2513,$B2513,$BF$5:$BF2513,$BF2513))</f>
        <v/>
      </c>
      <c r="BL2513" s="9" t="str">
        <f>IF($B2513="","",COUNTIFS($B$5:$B2513,$B2513,$BH$5:$BH2513,$BH2513))</f>
        <v/>
      </c>
      <c r="BM2513" s="9" t="str">
        <f t="shared" si="396"/>
        <v/>
      </c>
      <c r="BN2513" s="9" t="str">
        <f t="shared" si="397"/>
        <v/>
      </c>
      <c r="BO2513" s="9">
        <f t="shared" si="398"/>
        <v>0</v>
      </c>
      <c r="BR2513" s="12" t="str">
        <f t="shared" si="399"/>
        <v/>
      </c>
    </row>
    <row r="2514" spans="1:70" ht="14.25" customHeight="1">
      <c r="A2514" s="26"/>
      <c r="C2514" s="26"/>
      <c r="D2514" s="27"/>
      <c r="E2514" s="27"/>
      <c r="BE2514" s="10" t="str">
        <f t="shared" si="390"/>
        <v/>
      </c>
      <c r="BF2514" s="8" t="str">
        <f t="shared" si="391"/>
        <v/>
      </c>
      <c r="BG2514" s="11" t="str">
        <f t="shared" si="392"/>
        <v/>
      </c>
      <c r="BH2514" s="8" t="str">
        <f t="shared" si="393"/>
        <v/>
      </c>
      <c r="BI2514" s="8" t="str">
        <f t="shared" si="394"/>
        <v/>
      </c>
      <c r="BJ2514" s="9" t="str">
        <f t="shared" si="395"/>
        <v/>
      </c>
      <c r="BK2514" s="9" t="str">
        <f>IF($B2514="","",COUNTIFS($B$5:$B2514,$B2514,$BF$5:$BF2514,$BF2514))</f>
        <v/>
      </c>
      <c r="BL2514" s="9" t="str">
        <f>IF($B2514="","",COUNTIFS($B$5:$B2514,$B2514,$BH$5:$BH2514,$BH2514))</f>
        <v/>
      </c>
      <c r="BM2514" s="9" t="str">
        <f t="shared" si="396"/>
        <v/>
      </c>
      <c r="BN2514" s="9" t="str">
        <f t="shared" si="397"/>
        <v/>
      </c>
      <c r="BO2514" s="9">
        <f t="shared" si="398"/>
        <v>0</v>
      </c>
      <c r="BR2514" s="12" t="str">
        <f t="shared" si="399"/>
        <v/>
      </c>
    </row>
    <row r="2515" spans="1:70" ht="14.25" customHeight="1">
      <c r="A2515" s="26"/>
      <c r="C2515" s="26"/>
      <c r="D2515" s="27"/>
      <c r="E2515" s="27"/>
      <c r="BE2515" s="10" t="str">
        <f t="shared" si="390"/>
        <v/>
      </c>
      <c r="BF2515" s="8" t="str">
        <f t="shared" si="391"/>
        <v/>
      </c>
      <c r="BG2515" s="11" t="str">
        <f t="shared" si="392"/>
        <v/>
      </c>
      <c r="BH2515" s="8" t="str">
        <f t="shared" si="393"/>
        <v/>
      </c>
      <c r="BI2515" s="8" t="str">
        <f t="shared" si="394"/>
        <v/>
      </c>
      <c r="BJ2515" s="9" t="str">
        <f t="shared" si="395"/>
        <v/>
      </c>
      <c r="BK2515" s="9" t="str">
        <f>IF($B2515="","",COUNTIFS($B$5:$B2515,$B2515,$BF$5:$BF2515,$BF2515))</f>
        <v/>
      </c>
      <c r="BL2515" s="9" t="str">
        <f>IF($B2515="","",COUNTIFS($B$5:$B2515,$B2515,$BH$5:$BH2515,$BH2515))</f>
        <v/>
      </c>
      <c r="BM2515" s="9" t="str">
        <f t="shared" si="396"/>
        <v/>
      </c>
      <c r="BN2515" s="9" t="str">
        <f t="shared" si="397"/>
        <v/>
      </c>
      <c r="BO2515" s="9">
        <f t="shared" si="398"/>
        <v>0</v>
      </c>
      <c r="BR2515" s="12" t="str">
        <f t="shared" si="399"/>
        <v/>
      </c>
    </row>
    <row r="2516" spans="1:70" ht="14.25" customHeight="1">
      <c r="A2516" s="26"/>
      <c r="C2516" s="26"/>
      <c r="D2516" s="27"/>
      <c r="E2516" s="27"/>
      <c r="BE2516" s="10" t="str">
        <f t="shared" si="390"/>
        <v/>
      </c>
      <c r="BF2516" s="8" t="str">
        <f t="shared" si="391"/>
        <v/>
      </c>
      <c r="BG2516" s="11" t="str">
        <f t="shared" si="392"/>
        <v/>
      </c>
      <c r="BH2516" s="8" t="str">
        <f t="shared" si="393"/>
        <v/>
      </c>
      <c r="BI2516" s="8" t="str">
        <f t="shared" si="394"/>
        <v/>
      </c>
      <c r="BJ2516" s="9" t="str">
        <f t="shared" si="395"/>
        <v/>
      </c>
      <c r="BK2516" s="9" t="str">
        <f>IF($B2516="","",COUNTIFS($B$5:$B2516,$B2516,$BF$5:$BF2516,$BF2516))</f>
        <v/>
      </c>
      <c r="BL2516" s="9" t="str">
        <f>IF($B2516="","",COUNTIFS($B$5:$B2516,$B2516,$BH$5:$BH2516,$BH2516))</f>
        <v/>
      </c>
      <c r="BM2516" s="9" t="str">
        <f t="shared" si="396"/>
        <v/>
      </c>
      <c r="BN2516" s="9" t="str">
        <f t="shared" si="397"/>
        <v/>
      </c>
      <c r="BO2516" s="9">
        <f t="shared" si="398"/>
        <v>0</v>
      </c>
      <c r="BR2516" s="12" t="str">
        <f t="shared" si="399"/>
        <v/>
      </c>
    </row>
    <row r="2517" spans="1:70" ht="14.25" customHeight="1">
      <c r="A2517" s="26"/>
      <c r="C2517" s="26"/>
      <c r="D2517" s="27"/>
      <c r="E2517" s="27"/>
      <c r="BE2517" s="10" t="str">
        <f t="shared" si="390"/>
        <v/>
      </c>
      <c r="BF2517" s="8" t="str">
        <f t="shared" si="391"/>
        <v/>
      </c>
      <c r="BG2517" s="11" t="str">
        <f t="shared" si="392"/>
        <v/>
      </c>
      <c r="BH2517" s="8" t="str">
        <f t="shared" si="393"/>
        <v/>
      </c>
      <c r="BI2517" s="8" t="str">
        <f t="shared" si="394"/>
        <v/>
      </c>
      <c r="BJ2517" s="9" t="str">
        <f t="shared" si="395"/>
        <v/>
      </c>
      <c r="BK2517" s="9" t="str">
        <f>IF($B2517="","",COUNTIFS($B$5:$B2517,$B2517,$BF$5:$BF2517,$BF2517))</f>
        <v/>
      </c>
      <c r="BL2517" s="9" t="str">
        <f>IF($B2517="","",COUNTIFS($B$5:$B2517,$B2517,$BH$5:$BH2517,$BH2517))</f>
        <v/>
      </c>
      <c r="BM2517" s="9" t="str">
        <f t="shared" si="396"/>
        <v/>
      </c>
      <c r="BN2517" s="9" t="str">
        <f t="shared" si="397"/>
        <v/>
      </c>
      <c r="BO2517" s="9">
        <f t="shared" si="398"/>
        <v>0</v>
      </c>
      <c r="BR2517" s="12" t="str">
        <f t="shared" si="399"/>
        <v/>
      </c>
    </row>
    <row r="2518" spans="1:70" ht="14.25" customHeight="1">
      <c r="A2518" s="26"/>
      <c r="C2518" s="26"/>
      <c r="D2518" s="27"/>
      <c r="E2518" s="27"/>
      <c r="BE2518" s="10" t="str">
        <f t="shared" si="390"/>
        <v/>
      </c>
      <c r="BF2518" s="8" t="str">
        <f t="shared" si="391"/>
        <v/>
      </c>
      <c r="BG2518" s="11" t="str">
        <f t="shared" si="392"/>
        <v/>
      </c>
      <c r="BH2518" s="8" t="str">
        <f t="shared" si="393"/>
        <v/>
      </c>
      <c r="BI2518" s="8" t="str">
        <f t="shared" si="394"/>
        <v/>
      </c>
      <c r="BJ2518" s="9" t="str">
        <f t="shared" si="395"/>
        <v/>
      </c>
      <c r="BK2518" s="9" t="str">
        <f>IF($B2518="","",COUNTIFS($B$5:$B2518,$B2518,$BF$5:$BF2518,$BF2518))</f>
        <v/>
      </c>
      <c r="BL2518" s="9" t="str">
        <f>IF($B2518="","",COUNTIFS($B$5:$B2518,$B2518,$BH$5:$BH2518,$BH2518))</f>
        <v/>
      </c>
      <c r="BM2518" s="9" t="str">
        <f t="shared" si="396"/>
        <v/>
      </c>
      <c r="BN2518" s="9" t="str">
        <f t="shared" si="397"/>
        <v/>
      </c>
      <c r="BO2518" s="9">
        <f t="shared" si="398"/>
        <v>0</v>
      </c>
      <c r="BR2518" s="12" t="str">
        <f t="shared" si="399"/>
        <v/>
      </c>
    </row>
    <row r="2519" spans="1:70" ht="14.25" customHeight="1">
      <c r="A2519" s="26"/>
      <c r="C2519" s="26"/>
      <c r="D2519" s="27"/>
      <c r="E2519" s="27"/>
      <c r="BE2519" s="10" t="str">
        <f t="shared" si="390"/>
        <v/>
      </c>
      <c r="BF2519" s="8" t="str">
        <f t="shared" si="391"/>
        <v/>
      </c>
      <c r="BG2519" s="11" t="str">
        <f t="shared" si="392"/>
        <v/>
      </c>
      <c r="BH2519" s="8" t="str">
        <f t="shared" si="393"/>
        <v/>
      </c>
      <c r="BI2519" s="8" t="str">
        <f t="shared" si="394"/>
        <v/>
      </c>
      <c r="BJ2519" s="9" t="str">
        <f t="shared" si="395"/>
        <v/>
      </c>
      <c r="BK2519" s="9" t="str">
        <f>IF($B2519="","",COUNTIFS($B$5:$B2519,$B2519,$BF$5:$BF2519,$BF2519))</f>
        <v/>
      </c>
      <c r="BL2519" s="9" t="str">
        <f>IF($B2519="","",COUNTIFS($B$5:$B2519,$B2519,$BH$5:$BH2519,$BH2519))</f>
        <v/>
      </c>
      <c r="BM2519" s="9" t="str">
        <f t="shared" si="396"/>
        <v/>
      </c>
      <c r="BN2519" s="9" t="str">
        <f t="shared" si="397"/>
        <v/>
      </c>
      <c r="BO2519" s="9">
        <f t="shared" si="398"/>
        <v>0</v>
      </c>
      <c r="BR2519" s="12" t="str">
        <f t="shared" si="399"/>
        <v/>
      </c>
    </row>
    <row r="2520" spans="1:70" ht="14.25" customHeight="1">
      <c r="A2520" s="26"/>
      <c r="C2520" s="26"/>
      <c r="D2520" s="27"/>
      <c r="E2520" s="27"/>
      <c r="BE2520" s="10" t="str">
        <f t="shared" si="390"/>
        <v/>
      </c>
      <c r="BF2520" s="8" t="str">
        <f t="shared" si="391"/>
        <v/>
      </c>
      <c r="BG2520" s="11" t="str">
        <f t="shared" si="392"/>
        <v/>
      </c>
      <c r="BH2520" s="8" t="str">
        <f t="shared" si="393"/>
        <v/>
      </c>
      <c r="BI2520" s="8" t="str">
        <f t="shared" si="394"/>
        <v/>
      </c>
      <c r="BJ2520" s="9" t="str">
        <f t="shared" si="395"/>
        <v/>
      </c>
      <c r="BK2520" s="9" t="str">
        <f>IF($B2520="","",COUNTIFS($B$5:$B2520,$B2520,$BF$5:$BF2520,$BF2520))</f>
        <v/>
      </c>
      <c r="BL2520" s="9" t="str">
        <f>IF($B2520="","",COUNTIFS($B$5:$B2520,$B2520,$BH$5:$BH2520,$BH2520))</f>
        <v/>
      </c>
      <c r="BM2520" s="9" t="str">
        <f t="shared" si="396"/>
        <v/>
      </c>
      <c r="BN2520" s="9" t="str">
        <f t="shared" si="397"/>
        <v/>
      </c>
      <c r="BO2520" s="9">
        <f t="shared" si="398"/>
        <v>0</v>
      </c>
      <c r="BR2520" s="12" t="str">
        <f t="shared" si="399"/>
        <v/>
      </c>
    </row>
    <row r="2521" spans="1:70" ht="14.25" customHeight="1">
      <c r="A2521" s="26"/>
      <c r="C2521" s="26"/>
      <c r="D2521" s="27"/>
      <c r="E2521" s="27"/>
      <c r="BE2521" s="10" t="str">
        <f t="shared" si="390"/>
        <v/>
      </c>
      <c r="BF2521" s="8" t="str">
        <f t="shared" si="391"/>
        <v/>
      </c>
      <c r="BG2521" s="11" t="str">
        <f t="shared" si="392"/>
        <v/>
      </c>
      <c r="BH2521" s="8" t="str">
        <f t="shared" si="393"/>
        <v/>
      </c>
      <c r="BI2521" s="8" t="str">
        <f t="shared" si="394"/>
        <v/>
      </c>
      <c r="BJ2521" s="9" t="str">
        <f t="shared" si="395"/>
        <v/>
      </c>
      <c r="BK2521" s="9" t="str">
        <f>IF($B2521="","",COUNTIFS($B$5:$B2521,$B2521,$BF$5:$BF2521,$BF2521))</f>
        <v/>
      </c>
      <c r="BL2521" s="9" t="str">
        <f>IF($B2521="","",COUNTIFS($B$5:$B2521,$B2521,$BH$5:$BH2521,$BH2521))</f>
        <v/>
      </c>
      <c r="BM2521" s="9" t="str">
        <f t="shared" si="396"/>
        <v/>
      </c>
      <c r="BN2521" s="9" t="str">
        <f t="shared" si="397"/>
        <v/>
      </c>
      <c r="BO2521" s="9">
        <f t="shared" si="398"/>
        <v>0</v>
      </c>
      <c r="BR2521" s="12" t="str">
        <f t="shared" si="399"/>
        <v/>
      </c>
    </row>
    <row r="2522" spans="1:70" ht="14.25" customHeight="1">
      <c r="A2522" s="26"/>
      <c r="C2522" s="26"/>
      <c r="D2522" s="27"/>
      <c r="E2522" s="27"/>
      <c r="BE2522" s="10" t="str">
        <f t="shared" si="390"/>
        <v/>
      </c>
      <c r="BF2522" s="8" t="str">
        <f t="shared" si="391"/>
        <v/>
      </c>
      <c r="BG2522" s="11" t="str">
        <f t="shared" si="392"/>
        <v/>
      </c>
      <c r="BH2522" s="8" t="str">
        <f t="shared" si="393"/>
        <v/>
      </c>
      <c r="BI2522" s="8" t="str">
        <f t="shared" si="394"/>
        <v/>
      </c>
      <c r="BJ2522" s="9" t="str">
        <f t="shared" si="395"/>
        <v/>
      </c>
      <c r="BK2522" s="9" t="str">
        <f>IF($B2522="","",COUNTIFS($B$5:$B2522,$B2522,$BF$5:$BF2522,$BF2522))</f>
        <v/>
      </c>
      <c r="BL2522" s="9" t="str">
        <f>IF($B2522="","",COUNTIFS($B$5:$B2522,$B2522,$BH$5:$BH2522,$BH2522))</f>
        <v/>
      </c>
      <c r="BM2522" s="9" t="str">
        <f t="shared" si="396"/>
        <v/>
      </c>
      <c r="BN2522" s="9" t="str">
        <f t="shared" si="397"/>
        <v/>
      </c>
      <c r="BO2522" s="9">
        <f t="shared" si="398"/>
        <v>0</v>
      </c>
      <c r="BR2522" s="12" t="str">
        <f t="shared" si="399"/>
        <v/>
      </c>
    </row>
    <row r="2523" spans="1:70" ht="14.25" customHeight="1">
      <c r="A2523" s="26"/>
      <c r="C2523" s="26"/>
      <c r="D2523" s="27"/>
      <c r="E2523" s="27"/>
      <c r="BE2523" s="10" t="str">
        <f t="shared" si="390"/>
        <v/>
      </c>
      <c r="BF2523" s="8" t="str">
        <f t="shared" si="391"/>
        <v/>
      </c>
      <c r="BG2523" s="11" t="str">
        <f t="shared" si="392"/>
        <v/>
      </c>
      <c r="BH2523" s="8" t="str">
        <f t="shared" si="393"/>
        <v/>
      </c>
      <c r="BI2523" s="8" t="str">
        <f t="shared" si="394"/>
        <v/>
      </c>
      <c r="BJ2523" s="9" t="str">
        <f t="shared" si="395"/>
        <v/>
      </c>
      <c r="BK2523" s="9" t="str">
        <f>IF($B2523="","",COUNTIFS($B$5:$B2523,$B2523,$BF$5:$BF2523,$BF2523))</f>
        <v/>
      </c>
      <c r="BL2523" s="9" t="str">
        <f>IF($B2523="","",COUNTIFS($B$5:$B2523,$B2523,$BH$5:$BH2523,$BH2523))</f>
        <v/>
      </c>
      <c r="BM2523" s="9" t="str">
        <f t="shared" si="396"/>
        <v/>
      </c>
      <c r="BN2523" s="9" t="str">
        <f t="shared" si="397"/>
        <v/>
      </c>
      <c r="BO2523" s="9">
        <f t="shared" si="398"/>
        <v>0</v>
      </c>
      <c r="BR2523" s="12" t="str">
        <f t="shared" si="399"/>
        <v/>
      </c>
    </row>
    <row r="2524" spans="1:70" ht="14.25" customHeight="1">
      <c r="A2524" s="26"/>
      <c r="C2524" s="26"/>
      <c r="D2524" s="27"/>
      <c r="E2524" s="27"/>
      <c r="BE2524" s="10" t="str">
        <f t="shared" si="390"/>
        <v/>
      </c>
      <c r="BF2524" s="8" t="str">
        <f t="shared" si="391"/>
        <v/>
      </c>
      <c r="BG2524" s="11" t="str">
        <f t="shared" si="392"/>
        <v/>
      </c>
      <c r="BH2524" s="8" t="str">
        <f t="shared" si="393"/>
        <v/>
      </c>
      <c r="BI2524" s="8" t="str">
        <f t="shared" si="394"/>
        <v/>
      </c>
      <c r="BJ2524" s="9" t="str">
        <f t="shared" si="395"/>
        <v/>
      </c>
      <c r="BK2524" s="9" t="str">
        <f>IF($B2524="","",COUNTIFS($B$5:$B2524,$B2524,$BF$5:$BF2524,$BF2524))</f>
        <v/>
      </c>
      <c r="BL2524" s="9" t="str">
        <f>IF($B2524="","",COUNTIFS($B$5:$B2524,$B2524,$BH$5:$BH2524,$BH2524))</f>
        <v/>
      </c>
      <c r="BM2524" s="9" t="str">
        <f t="shared" si="396"/>
        <v/>
      </c>
      <c r="BN2524" s="9" t="str">
        <f t="shared" si="397"/>
        <v/>
      </c>
      <c r="BO2524" s="9">
        <f t="shared" si="398"/>
        <v>0</v>
      </c>
      <c r="BR2524" s="12" t="str">
        <f t="shared" si="399"/>
        <v/>
      </c>
    </row>
    <row r="2525" spans="1:70" ht="14.25" customHeight="1">
      <c r="A2525" s="26"/>
      <c r="C2525" s="26"/>
      <c r="D2525" s="27"/>
      <c r="E2525" s="27"/>
      <c r="BE2525" s="10" t="str">
        <f t="shared" ref="BE2525:BE2588" si="400">IF($B2525="","",IF(COUNT($H2525,$J2525,$L2525,$N2525,$P2525,$R2525)&gt;0,SUM($H2525,$J2525,$L2525,$N2525,$P2525,$R2525),SUM($T2525,$V2525,$X2525,$Z2525,$AB2525,$AD2525,$AF2525,$AH2525,$AJ2525,$AL2525,$AN2525,$AP2525,$AR2525,$AT2525,$AV2525,$AX2525,$AZ2525)))</f>
        <v/>
      </c>
      <c r="BF2525" s="8" t="str">
        <f t="shared" ref="BF2525:BF2588" si="401">IF($C2525="","",DATE(YEAR($C2525),MONTH($C2525),1))</f>
        <v/>
      </c>
      <c r="BG2525" s="11" t="str">
        <f t="shared" ref="BG2525:BG2588" si="402">IF($BF2525="","",TEXT($BF2525,"mmmm yyyy"))</f>
        <v/>
      </c>
      <c r="BH2525" s="8" t="str">
        <f t="shared" ref="BH2525:BH2588" si="403">IF($C2525="","",$C2525-WEEKDAY($C2525,2)+1)</f>
        <v/>
      </c>
      <c r="BI2525" s="8" t="str">
        <f t="shared" ref="BI2525:BI2588" si="404">IF($BH2525="","",$BH2525+6)</f>
        <v/>
      </c>
      <c r="BJ2525" s="9" t="str">
        <f t="shared" ref="BJ2525:BJ2588" si="405">IF($BH2525="","",TEXT($BH2525,"dd/mm/yyyy")&amp;" - "&amp;TEXT($BI2525,"dd/mm/yyyy"))</f>
        <v/>
      </c>
      <c r="BK2525" s="9" t="str">
        <f>IF($B2525="","",COUNTIFS($B$5:$B2525,$B2525,$BF$5:$BF2525,$BF2525))</f>
        <v/>
      </c>
      <c r="BL2525" s="9" t="str">
        <f>IF($B2525="","",COUNTIFS($B$5:$B2525,$B2525,$BH$5:$BH2525,$BH2525))</f>
        <v/>
      </c>
      <c r="BM2525" s="9" t="str">
        <f t="shared" ref="BM2525:BM2588" si="406">IF($B2525="","",TEXT($BK2525,"00")&amp;"|"&amp;$B2525&amp;"|"&amp;TEXT($BF2525,"yyyymmdd"))</f>
        <v/>
      </c>
      <c r="BN2525" s="9" t="str">
        <f t="shared" ref="BN2525:BN2588" si="407">IF($B2525="","",TEXT($BL2525,"00")&amp;"|"&amp;$B2525&amp;"|"&amp;TEXT($BH2525,"yyyymmdd"))</f>
        <v/>
      </c>
      <c r="BO2525" s="9">
        <f t="shared" ref="BO2525:BO2588" si="408">IF(OR($BB2525="YES",$BB2525="Yes",$BB2525="Y",$BB2525=1),1,0)</f>
        <v>0</v>
      </c>
      <c r="BR2525" s="12" t="str">
        <f t="shared" ref="BR2525:BR2588" si="409">IF($C2525="","",IF($C2525&gt;=DATE(2026,6,1),"QA-2026-06",IF($C2525&gt;=DATE(2026,5,1),"May 2026+",IF($C2525&gt;=DATE(2026,4,1),"April 2026",IF($C2525&gt;=DATE(2026,3,1),"March 2026","Jan-Feb 2026")))))</f>
        <v/>
      </c>
    </row>
    <row r="2526" spans="1:70" ht="14.25" customHeight="1">
      <c r="A2526" s="26"/>
      <c r="C2526" s="26"/>
      <c r="D2526" s="27"/>
      <c r="E2526" s="27"/>
      <c r="BE2526" s="10" t="str">
        <f t="shared" si="400"/>
        <v/>
      </c>
      <c r="BF2526" s="8" t="str">
        <f t="shared" si="401"/>
        <v/>
      </c>
      <c r="BG2526" s="11" t="str">
        <f t="shared" si="402"/>
        <v/>
      </c>
      <c r="BH2526" s="8" t="str">
        <f t="shared" si="403"/>
        <v/>
      </c>
      <c r="BI2526" s="8" t="str">
        <f t="shared" si="404"/>
        <v/>
      </c>
      <c r="BJ2526" s="9" t="str">
        <f t="shared" si="405"/>
        <v/>
      </c>
      <c r="BK2526" s="9" t="str">
        <f>IF($B2526="","",COUNTIFS($B$5:$B2526,$B2526,$BF$5:$BF2526,$BF2526))</f>
        <v/>
      </c>
      <c r="BL2526" s="9" t="str">
        <f>IF($B2526="","",COUNTIFS($B$5:$B2526,$B2526,$BH$5:$BH2526,$BH2526))</f>
        <v/>
      </c>
      <c r="BM2526" s="9" t="str">
        <f t="shared" si="406"/>
        <v/>
      </c>
      <c r="BN2526" s="9" t="str">
        <f t="shared" si="407"/>
        <v/>
      </c>
      <c r="BO2526" s="9">
        <f t="shared" si="408"/>
        <v>0</v>
      </c>
      <c r="BR2526" s="12" t="str">
        <f t="shared" si="409"/>
        <v/>
      </c>
    </row>
    <row r="2527" spans="1:70" ht="14.25" customHeight="1">
      <c r="A2527" s="26"/>
      <c r="C2527" s="26"/>
      <c r="D2527" s="27"/>
      <c r="E2527" s="27"/>
      <c r="BE2527" s="10" t="str">
        <f t="shared" si="400"/>
        <v/>
      </c>
      <c r="BF2527" s="8" t="str">
        <f t="shared" si="401"/>
        <v/>
      </c>
      <c r="BG2527" s="11" t="str">
        <f t="shared" si="402"/>
        <v/>
      </c>
      <c r="BH2527" s="8" t="str">
        <f t="shared" si="403"/>
        <v/>
      </c>
      <c r="BI2527" s="8" t="str">
        <f t="shared" si="404"/>
        <v/>
      </c>
      <c r="BJ2527" s="9" t="str">
        <f t="shared" si="405"/>
        <v/>
      </c>
      <c r="BK2527" s="9" t="str">
        <f>IF($B2527="","",COUNTIFS($B$5:$B2527,$B2527,$BF$5:$BF2527,$BF2527))</f>
        <v/>
      </c>
      <c r="BL2527" s="9" t="str">
        <f>IF($B2527="","",COUNTIFS($B$5:$B2527,$B2527,$BH$5:$BH2527,$BH2527))</f>
        <v/>
      </c>
      <c r="BM2527" s="9" t="str">
        <f t="shared" si="406"/>
        <v/>
      </c>
      <c r="BN2527" s="9" t="str">
        <f t="shared" si="407"/>
        <v/>
      </c>
      <c r="BO2527" s="9">
        <f t="shared" si="408"/>
        <v>0</v>
      </c>
      <c r="BR2527" s="12" t="str">
        <f t="shared" si="409"/>
        <v/>
      </c>
    </row>
    <row r="2528" spans="1:70" ht="14.25" customHeight="1">
      <c r="A2528" s="26"/>
      <c r="C2528" s="26"/>
      <c r="D2528" s="27"/>
      <c r="E2528" s="27"/>
      <c r="BE2528" s="10" t="str">
        <f t="shared" si="400"/>
        <v/>
      </c>
      <c r="BF2528" s="8" t="str">
        <f t="shared" si="401"/>
        <v/>
      </c>
      <c r="BG2528" s="11" t="str">
        <f t="shared" si="402"/>
        <v/>
      </c>
      <c r="BH2528" s="8" t="str">
        <f t="shared" si="403"/>
        <v/>
      </c>
      <c r="BI2528" s="8" t="str">
        <f t="shared" si="404"/>
        <v/>
      </c>
      <c r="BJ2528" s="9" t="str">
        <f t="shared" si="405"/>
        <v/>
      </c>
      <c r="BK2528" s="9" t="str">
        <f>IF($B2528="","",COUNTIFS($B$5:$B2528,$B2528,$BF$5:$BF2528,$BF2528))</f>
        <v/>
      </c>
      <c r="BL2528" s="9" t="str">
        <f>IF($B2528="","",COUNTIFS($B$5:$B2528,$B2528,$BH$5:$BH2528,$BH2528))</f>
        <v/>
      </c>
      <c r="BM2528" s="9" t="str">
        <f t="shared" si="406"/>
        <v/>
      </c>
      <c r="BN2528" s="9" t="str">
        <f t="shared" si="407"/>
        <v/>
      </c>
      <c r="BO2528" s="9">
        <f t="shared" si="408"/>
        <v>0</v>
      </c>
      <c r="BR2528" s="12" t="str">
        <f t="shared" si="409"/>
        <v/>
      </c>
    </row>
    <row r="2529" spans="1:70" ht="14.25" customHeight="1">
      <c r="A2529" s="26"/>
      <c r="C2529" s="26"/>
      <c r="D2529" s="27"/>
      <c r="E2529" s="27"/>
      <c r="BE2529" s="10" t="str">
        <f t="shared" si="400"/>
        <v/>
      </c>
      <c r="BF2529" s="8" t="str">
        <f t="shared" si="401"/>
        <v/>
      </c>
      <c r="BG2529" s="11" t="str">
        <f t="shared" si="402"/>
        <v/>
      </c>
      <c r="BH2529" s="8" t="str">
        <f t="shared" si="403"/>
        <v/>
      </c>
      <c r="BI2529" s="8" t="str">
        <f t="shared" si="404"/>
        <v/>
      </c>
      <c r="BJ2529" s="9" t="str">
        <f t="shared" si="405"/>
        <v/>
      </c>
      <c r="BK2529" s="9" t="str">
        <f>IF($B2529="","",COUNTIFS($B$5:$B2529,$B2529,$BF$5:$BF2529,$BF2529))</f>
        <v/>
      </c>
      <c r="BL2529" s="9" t="str">
        <f>IF($B2529="","",COUNTIFS($B$5:$B2529,$B2529,$BH$5:$BH2529,$BH2529))</f>
        <v/>
      </c>
      <c r="BM2529" s="9" t="str">
        <f t="shared" si="406"/>
        <v/>
      </c>
      <c r="BN2529" s="9" t="str">
        <f t="shared" si="407"/>
        <v/>
      </c>
      <c r="BO2529" s="9">
        <f t="shared" si="408"/>
        <v>0</v>
      </c>
      <c r="BR2529" s="12" t="str">
        <f t="shared" si="409"/>
        <v/>
      </c>
    </row>
    <row r="2530" spans="1:70" ht="14.25" customHeight="1">
      <c r="A2530" s="26"/>
      <c r="C2530" s="26"/>
      <c r="D2530" s="27"/>
      <c r="E2530" s="27"/>
      <c r="BE2530" s="10" t="str">
        <f t="shared" si="400"/>
        <v/>
      </c>
      <c r="BF2530" s="8" t="str">
        <f t="shared" si="401"/>
        <v/>
      </c>
      <c r="BG2530" s="11" t="str">
        <f t="shared" si="402"/>
        <v/>
      </c>
      <c r="BH2530" s="8" t="str">
        <f t="shared" si="403"/>
        <v/>
      </c>
      <c r="BI2530" s="8" t="str">
        <f t="shared" si="404"/>
        <v/>
      </c>
      <c r="BJ2530" s="9" t="str">
        <f t="shared" si="405"/>
        <v/>
      </c>
      <c r="BK2530" s="9" t="str">
        <f>IF($B2530="","",COUNTIFS($B$5:$B2530,$B2530,$BF$5:$BF2530,$BF2530))</f>
        <v/>
      </c>
      <c r="BL2530" s="9" t="str">
        <f>IF($B2530="","",COUNTIFS($B$5:$B2530,$B2530,$BH$5:$BH2530,$BH2530))</f>
        <v/>
      </c>
      <c r="BM2530" s="9" t="str">
        <f t="shared" si="406"/>
        <v/>
      </c>
      <c r="BN2530" s="9" t="str">
        <f t="shared" si="407"/>
        <v/>
      </c>
      <c r="BO2530" s="9">
        <f t="shared" si="408"/>
        <v>0</v>
      </c>
      <c r="BR2530" s="12" t="str">
        <f t="shared" si="409"/>
        <v/>
      </c>
    </row>
    <row r="2531" spans="1:70" ht="14.25" customHeight="1">
      <c r="A2531" s="26"/>
      <c r="C2531" s="26"/>
      <c r="D2531" s="27"/>
      <c r="E2531" s="27"/>
      <c r="BE2531" s="10" t="str">
        <f t="shared" si="400"/>
        <v/>
      </c>
      <c r="BF2531" s="8" t="str">
        <f t="shared" si="401"/>
        <v/>
      </c>
      <c r="BG2531" s="11" t="str">
        <f t="shared" si="402"/>
        <v/>
      </c>
      <c r="BH2531" s="8" t="str">
        <f t="shared" si="403"/>
        <v/>
      </c>
      <c r="BI2531" s="8" t="str">
        <f t="shared" si="404"/>
        <v/>
      </c>
      <c r="BJ2531" s="9" t="str">
        <f t="shared" si="405"/>
        <v/>
      </c>
      <c r="BK2531" s="9" t="str">
        <f>IF($B2531="","",COUNTIFS($B$5:$B2531,$B2531,$BF$5:$BF2531,$BF2531))</f>
        <v/>
      </c>
      <c r="BL2531" s="9" t="str">
        <f>IF($B2531="","",COUNTIFS($B$5:$B2531,$B2531,$BH$5:$BH2531,$BH2531))</f>
        <v/>
      </c>
      <c r="BM2531" s="9" t="str">
        <f t="shared" si="406"/>
        <v/>
      </c>
      <c r="BN2531" s="9" t="str">
        <f t="shared" si="407"/>
        <v/>
      </c>
      <c r="BO2531" s="9">
        <f t="shared" si="408"/>
        <v>0</v>
      </c>
      <c r="BR2531" s="12" t="str">
        <f t="shared" si="409"/>
        <v/>
      </c>
    </row>
    <row r="2532" spans="1:70" ht="14.25" customHeight="1">
      <c r="A2532" s="26"/>
      <c r="C2532" s="26"/>
      <c r="D2532" s="27"/>
      <c r="E2532" s="27"/>
      <c r="BE2532" s="10" t="str">
        <f t="shared" si="400"/>
        <v/>
      </c>
      <c r="BF2532" s="8" t="str">
        <f t="shared" si="401"/>
        <v/>
      </c>
      <c r="BG2532" s="11" t="str">
        <f t="shared" si="402"/>
        <v/>
      </c>
      <c r="BH2532" s="8" t="str">
        <f t="shared" si="403"/>
        <v/>
      </c>
      <c r="BI2532" s="8" t="str">
        <f t="shared" si="404"/>
        <v/>
      </c>
      <c r="BJ2532" s="9" t="str">
        <f t="shared" si="405"/>
        <v/>
      </c>
      <c r="BK2532" s="9" t="str">
        <f>IF($B2532="","",COUNTIFS($B$5:$B2532,$B2532,$BF$5:$BF2532,$BF2532))</f>
        <v/>
      </c>
      <c r="BL2532" s="9" t="str">
        <f>IF($B2532="","",COUNTIFS($B$5:$B2532,$B2532,$BH$5:$BH2532,$BH2532))</f>
        <v/>
      </c>
      <c r="BM2532" s="9" t="str">
        <f t="shared" si="406"/>
        <v/>
      </c>
      <c r="BN2532" s="9" t="str">
        <f t="shared" si="407"/>
        <v/>
      </c>
      <c r="BO2532" s="9">
        <f t="shared" si="408"/>
        <v>0</v>
      </c>
      <c r="BR2532" s="12" t="str">
        <f t="shared" si="409"/>
        <v/>
      </c>
    </row>
    <row r="2533" spans="1:70" ht="14.25" customHeight="1">
      <c r="A2533" s="26"/>
      <c r="C2533" s="26"/>
      <c r="D2533" s="27"/>
      <c r="E2533" s="27"/>
      <c r="BE2533" s="10" t="str">
        <f t="shared" si="400"/>
        <v/>
      </c>
      <c r="BF2533" s="8" t="str">
        <f t="shared" si="401"/>
        <v/>
      </c>
      <c r="BG2533" s="11" t="str">
        <f t="shared" si="402"/>
        <v/>
      </c>
      <c r="BH2533" s="8" t="str">
        <f t="shared" si="403"/>
        <v/>
      </c>
      <c r="BI2533" s="8" t="str">
        <f t="shared" si="404"/>
        <v/>
      </c>
      <c r="BJ2533" s="9" t="str">
        <f t="shared" si="405"/>
        <v/>
      </c>
      <c r="BK2533" s="9" t="str">
        <f>IF($B2533="","",COUNTIFS($B$5:$B2533,$B2533,$BF$5:$BF2533,$BF2533))</f>
        <v/>
      </c>
      <c r="BL2533" s="9" t="str">
        <f>IF($B2533="","",COUNTIFS($B$5:$B2533,$B2533,$BH$5:$BH2533,$BH2533))</f>
        <v/>
      </c>
      <c r="BM2533" s="9" t="str">
        <f t="shared" si="406"/>
        <v/>
      </c>
      <c r="BN2533" s="9" t="str">
        <f t="shared" si="407"/>
        <v/>
      </c>
      <c r="BO2533" s="9">
        <f t="shared" si="408"/>
        <v>0</v>
      </c>
      <c r="BR2533" s="12" t="str">
        <f t="shared" si="409"/>
        <v/>
      </c>
    </row>
    <row r="2534" spans="1:70" ht="14.25" customHeight="1">
      <c r="A2534" s="26"/>
      <c r="C2534" s="26"/>
      <c r="D2534" s="27"/>
      <c r="E2534" s="27"/>
      <c r="BE2534" s="10" t="str">
        <f t="shared" si="400"/>
        <v/>
      </c>
      <c r="BF2534" s="8" t="str">
        <f t="shared" si="401"/>
        <v/>
      </c>
      <c r="BG2534" s="11" t="str">
        <f t="shared" si="402"/>
        <v/>
      </c>
      <c r="BH2534" s="8" t="str">
        <f t="shared" si="403"/>
        <v/>
      </c>
      <c r="BI2534" s="8" t="str">
        <f t="shared" si="404"/>
        <v/>
      </c>
      <c r="BJ2534" s="9" t="str">
        <f t="shared" si="405"/>
        <v/>
      </c>
      <c r="BK2534" s="9" t="str">
        <f>IF($B2534="","",COUNTIFS($B$5:$B2534,$B2534,$BF$5:$BF2534,$BF2534))</f>
        <v/>
      </c>
      <c r="BL2534" s="9" t="str">
        <f>IF($B2534="","",COUNTIFS($B$5:$B2534,$B2534,$BH$5:$BH2534,$BH2534))</f>
        <v/>
      </c>
      <c r="BM2534" s="9" t="str">
        <f t="shared" si="406"/>
        <v/>
      </c>
      <c r="BN2534" s="9" t="str">
        <f t="shared" si="407"/>
        <v/>
      </c>
      <c r="BO2534" s="9">
        <f t="shared" si="408"/>
        <v>0</v>
      </c>
      <c r="BR2534" s="12" t="str">
        <f t="shared" si="409"/>
        <v/>
      </c>
    </row>
    <row r="2535" spans="1:70" ht="14.25" customHeight="1">
      <c r="A2535" s="26"/>
      <c r="C2535" s="26"/>
      <c r="D2535" s="27"/>
      <c r="E2535" s="27"/>
      <c r="BE2535" s="10" t="str">
        <f t="shared" si="400"/>
        <v/>
      </c>
      <c r="BF2535" s="8" t="str">
        <f t="shared" si="401"/>
        <v/>
      </c>
      <c r="BG2535" s="11" t="str">
        <f t="shared" si="402"/>
        <v/>
      </c>
      <c r="BH2535" s="8" t="str">
        <f t="shared" si="403"/>
        <v/>
      </c>
      <c r="BI2535" s="8" t="str">
        <f t="shared" si="404"/>
        <v/>
      </c>
      <c r="BJ2535" s="9" t="str">
        <f t="shared" si="405"/>
        <v/>
      </c>
      <c r="BK2535" s="9" t="str">
        <f>IF($B2535="","",COUNTIFS($B$5:$B2535,$B2535,$BF$5:$BF2535,$BF2535))</f>
        <v/>
      </c>
      <c r="BL2535" s="9" t="str">
        <f>IF($B2535="","",COUNTIFS($B$5:$B2535,$B2535,$BH$5:$BH2535,$BH2535))</f>
        <v/>
      </c>
      <c r="BM2535" s="9" t="str">
        <f t="shared" si="406"/>
        <v/>
      </c>
      <c r="BN2535" s="9" t="str">
        <f t="shared" si="407"/>
        <v/>
      </c>
      <c r="BO2535" s="9">
        <f t="shared" si="408"/>
        <v>0</v>
      </c>
      <c r="BR2535" s="12" t="str">
        <f t="shared" si="409"/>
        <v/>
      </c>
    </row>
    <row r="2536" spans="1:70" ht="14.25" customHeight="1">
      <c r="A2536" s="26"/>
      <c r="C2536" s="26"/>
      <c r="D2536" s="27"/>
      <c r="E2536" s="27"/>
      <c r="BE2536" s="10" t="str">
        <f t="shared" si="400"/>
        <v/>
      </c>
      <c r="BF2536" s="8" t="str">
        <f t="shared" si="401"/>
        <v/>
      </c>
      <c r="BG2536" s="11" t="str">
        <f t="shared" si="402"/>
        <v/>
      </c>
      <c r="BH2536" s="8" t="str">
        <f t="shared" si="403"/>
        <v/>
      </c>
      <c r="BI2536" s="8" t="str">
        <f t="shared" si="404"/>
        <v/>
      </c>
      <c r="BJ2536" s="9" t="str">
        <f t="shared" si="405"/>
        <v/>
      </c>
      <c r="BK2536" s="9" t="str">
        <f>IF($B2536="","",COUNTIFS($B$5:$B2536,$B2536,$BF$5:$BF2536,$BF2536))</f>
        <v/>
      </c>
      <c r="BL2536" s="9" t="str">
        <f>IF($B2536="","",COUNTIFS($B$5:$B2536,$B2536,$BH$5:$BH2536,$BH2536))</f>
        <v/>
      </c>
      <c r="BM2536" s="9" t="str">
        <f t="shared" si="406"/>
        <v/>
      </c>
      <c r="BN2536" s="9" t="str">
        <f t="shared" si="407"/>
        <v/>
      </c>
      <c r="BO2536" s="9">
        <f t="shared" si="408"/>
        <v>0</v>
      </c>
      <c r="BR2536" s="12" t="str">
        <f t="shared" si="409"/>
        <v/>
      </c>
    </row>
    <row r="2537" spans="1:70" ht="14.25" customHeight="1">
      <c r="A2537" s="26"/>
      <c r="C2537" s="26"/>
      <c r="D2537" s="27"/>
      <c r="E2537" s="27"/>
      <c r="BE2537" s="10" t="str">
        <f t="shared" si="400"/>
        <v/>
      </c>
      <c r="BF2537" s="8" t="str">
        <f t="shared" si="401"/>
        <v/>
      </c>
      <c r="BG2537" s="11" t="str">
        <f t="shared" si="402"/>
        <v/>
      </c>
      <c r="BH2537" s="8" t="str">
        <f t="shared" si="403"/>
        <v/>
      </c>
      <c r="BI2537" s="8" t="str">
        <f t="shared" si="404"/>
        <v/>
      </c>
      <c r="BJ2537" s="9" t="str">
        <f t="shared" si="405"/>
        <v/>
      </c>
      <c r="BK2537" s="9" t="str">
        <f>IF($B2537="","",COUNTIFS($B$5:$B2537,$B2537,$BF$5:$BF2537,$BF2537))</f>
        <v/>
      </c>
      <c r="BL2537" s="9" t="str">
        <f>IF($B2537="","",COUNTIFS($B$5:$B2537,$B2537,$BH$5:$BH2537,$BH2537))</f>
        <v/>
      </c>
      <c r="BM2537" s="9" t="str">
        <f t="shared" si="406"/>
        <v/>
      </c>
      <c r="BN2537" s="9" t="str">
        <f t="shared" si="407"/>
        <v/>
      </c>
      <c r="BO2537" s="9">
        <f t="shared" si="408"/>
        <v>0</v>
      </c>
      <c r="BR2537" s="12" t="str">
        <f t="shared" si="409"/>
        <v/>
      </c>
    </row>
    <row r="2538" spans="1:70" ht="14.25" customHeight="1">
      <c r="A2538" s="26"/>
      <c r="C2538" s="26"/>
      <c r="D2538" s="27"/>
      <c r="E2538" s="27"/>
      <c r="BE2538" s="10" t="str">
        <f t="shared" si="400"/>
        <v/>
      </c>
      <c r="BF2538" s="8" t="str">
        <f t="shared" si="401"/>
        <v/>
      </c>
      <c r="BG2538" s="11" t="str">
        <f t="shared" si="402"/>
        <v/>
      </c>
      <c r="BH2538" s="8" t="str">
        <f t="shared" si="403"/>
        <v/>
      </c>
      <c r="BI2538" s="8" t="str">
        <f t="shared" si="404"/>
        <v/>
      </c>
      <c r="BJ2538" s="9" t="str">
        <f t="shared" si="405"/>
        <v/>
      </c>
      <c r="BK2538" s="9" t="str">
        <f>IF($B2538="","",COUNTIFS($B$5:$B2538,$B2538,$BF$5:$BF2538,$BF2538))</f>
        <v/>
      </c>
      <c r="BL2538" s="9" t="str">
        <f>IF($B2538="","",COUNTIFS($B$5:$B2538,$B2538,$BH$5:$BH2538,$BH2538))</f>
        <v/>
      </c>
      <c r="BM2538" s="9" t="str">
        <f t="shared" si="406"/>
        <v/>
      </c>
      <c r="BN2538" s="9" t="str">
        <f t="shared" si="407"/>
        <v/>
      </c>
      <c r="BO2538" s="9">
        <f t="shared" si="408"/>
        <v>0</v>
      </c>
      <c r="BR2538" s="12" t="str">
        <f t="shared" si="409"/>
        <v/>
      </c>
    </row>
    <row r="2539" spans="1:70" ht="14.25" customHeight="1">
      <c r="A2539" s="26"/>
      <c r="C2539" s="26"/>
      <c r="D2539" s="27"/>
      <c r="E2539" s="27"/>
      <c r="BE2539" s="10" t="str">
        <f t="shared" si="400"/>
        <v/>
      </c>
      <c r="BF2539" s="8" t="str">
        <f t="shared" si="401"/>
        <v/>
      </c>
      <c r="BG2539" s="11" t="str">
        <f t="shared" si="402"/>
        <v/>
      </c>
      <c r="BH2539" s="8" t="str">
        <f t="shared" si="403"/>
        <v/>
      </c>
      <c r="BI2539" s="8" t="str">
        <f t="shared" si="404"/>
        <v/>
      </c>
      <c r="BJ2539" s="9" t="str">
        <f t="shared" si="405"/>
        <v/>
      </c>
      <c r="BK2539" s="9" t="str">
        <f>IF($B2539="","",COUNTIFS($B$5:$B2539,$B2539,$BF$5:$BF2539,$BF2539))</f>
        <v/>
      </c>
      <c r="BL2539" s="9" t="str">
        <f>IF($B2539="","",COUNTIFS($B$5:$B2539,$B2539,$BH$5:$BH2539,$BH2539))</f>
        <v/>
      </c>
      <c r="BM2539" s="9" t="str">
        <f t="shared" si="406"/>
        <v/>
      </c>
      <c r="BN2539" s="9" t="str">
        <f t="shared" si="407"/>
        <v/>
      </c>
      <c r="BO2539" s="9">
        <f t="shared" si="408"/>
        <v>0</v>
      </c>
      <c r="BR2539" s="12" t="str">
        <f t="shared" si="409"/>
        <v/>
      </c>
    </row>
    <row r="2540" spans="1:70" ht="14.25" customHeight="1">
      <c r="A2540" s="26"/>
      <c r="C2540" s="26"/>
      <c r="D2540" s="27"/>
      <c r="E2540" s="27"/>
      <c r="BE2540" s="10" t="str">
        <f t="shared" si="400"/>
        <v/>
      </c>
      <c r="BF2540" s="8" t="str">
        <f t="shared" si="401"/>
        <v/>
      </c>
      <c r="BG2540" s="11" t="str">
        <f t="shared" si="402"/>
        <v/>
      </c>
      <c r="BH2540" s="8" t="str">
        <f t="shared" si="403"/>
        <v/>
      </c>
      <c r="BI2540" s="8" t="str">
        <f t="shared" si="404"/>
        <v/>
      </c>
      <c r="BJ2540" s="9" t="str">
        <f t="shared" si="405"/>
        <v/>
      </c>
      <c r="BK2540" s="9" t="str">
        <f>IF($B2540="","",COUNTIFS($B$5:$B2540,$B2540,$BF$5:$BF2540,$BF2540))</f>
        <v/>
      </c>
      <c r="BL2540" s="9" t="str">
        <f>IF($B2540="","",COUNTIFS($B$5:$B2540,$B2540,$BH$5:$BH2540,$BH2540))</f>
        <v/>
      </c>
      <c r="BM2540" s="9" t="str">
        <f t="shared" si="406"/>
        <v/>
      </c>
      <c r="BN2540" s="9" t="str">
        <f t="shared" si="407"/>
        <v/>
      </c>
      <c r="BO2540" s="9">
        <f t="shared" si="408"/>
        <v>0</v>
      </c>
      <c r="BR2540" s="12" t="str">
        <f t="shared" si="409"/>
        <v/>
      </c>
    </row>
    <row r="2541" spans="1:70" ht="14.25" customHeight="1">
      <c r="A2541" s="26"/>
      <c r="C2541" s="26"/>
      <c r="D2541" s="27"/>
      <c r="E2541" s="27"/>
      <c r="BE2541" s="10" t="str">
        <f t="shared" si="400"/>
        <v/>
      </c>
      <c r="BF2541" s="8" t="str">
        <f t="shared" si="401"/>
        <v/>
      </c>
      <c r="BG2541" s="11" t="str">
        <f t="shared" si="402"/>
        <v/>
      </c>
      <c r="BH2541" s="8" t="str">
        <f t="shared" si="403"/>
        <v/>
      </c>
      <c r="BI2541" s="8" t="str">
        <f t="shared" si="404"/>
        <v/>
      </c>
      <c r="BJ2541" s="9" t="str">
        <f t="shared" si="405"/>
        <v/>
      </c>
      <c r="BK2541" s="9" t="str">
        <f>IF($B2541="","",COUNTIFS($B$5:$B2541,$B2541,$BF$5:$BF2541,$BF2541))</f>
        <v/>
      </c>
      <c r="BL2541" s="9" t="str">
        <f>IF($B2541="","",COUNTIFS($B$5:$B2541,$B2541,$BH$5:$BH2541,$BH2541))</f>
        <v/>
      </c>
      <c r="BM2541" s="9" t="str">
        <f t="shared" si="406"/>
        <v/>
      </c>
      <c r="BN2541" s="9" t="str">
        <f t="shared" si="407"/>
        <v/>
      </c>
      <c r="BO2541" s="9">
        <f t="shared" si="408"/>
        <v>0</v>
      </c>
      <c r="BR2541" s="12" t="str">
        <f t="shared" si="409"/>
        <v/>
      </c>
    </row>
    <row r="2542" spans="1:70" ht="14.25" customHeight="1">
      <c r="A2542" s="26"/>
      <c r="C2542" s="26"/>
      <c r="D2542" s="27"/>
      <c r="E2542" s="27"/>
      <c r="BE2542" s="10" t="str">
        <f t="shared" si="400"/>
        <v/>
      </c>
      <c r="BF2542" s="8" t="str">
        <f t="shared" si="401"/>
        <v/>
      </c>
      <c r="BG2542" s="11" t="str">
        <f t="shared" si="402"/>
        <v/>
      </c>
      <c r="BH2542" s="8" t="str">
        <f t="shared" si="403"/>
        <v/>
      </c>
      <c r="BI2542" s="8" t="str">
        <f t="shared" si="404"/>
        <v/>
      </c>
      <c r="BJ2542" s="9" t="str">
        <f t="shared" si="405"/>
        <v/>
      </c>
      <c r="BK2542" s="9" t="str">
        <f>IF($B2542="","",COUNTIFS($B$5:$B2542,$B2542,$BF$5:$BF2542,$BF2542))</f>
        <v/>
      </c>
      <c r="BL2542" s="9" t="str">
        <f>IF($B2542="","",COUNTIFS($B$5:$B2542,$B2542,$BH$5:$BH2542,$BH2542))</f>
        <v/>
      </c>
      <c r="BM2542" s="9" t="str">
        <f t="shared" si="406"/>
        <v/>
      </c>
      <c r="BN2542" s="9" t="str">
        <f t="shared" si="407"/>
        <v/>
      </c>
      <c r="BO2542" s="9">
        <f t="shared" si="408"/>
        <v>0</v>
      </c>
      <c r="BR2542" s="12" t="str">
        <f t="shared" si="409"/>
        <v/>
      </c>
    </row>
    <row r="2543" spans="1:70" ht="14.25" customHeight="1">
      <c r="A2543" s="26"/>
      <c r="C2543" s="26"/>
      <c r="D2543" s="27"/>
      <c r="E2543" s="27"/>
      <c r="BE2543" s="10" t="str">
        <f t="shared" si="400"/>
        <v/>
      </c>
      <c r="BF2543" s="8" t="str">
        <f t="shared" si="401"/>
        <v/>
      </c>
      <c r="BG2543" s="11" t="str">
        <f t="shared" si="402"/>
        <v/>
      </c>
      <c r="BH2543" s="8" t="str">
        <f t="shared" si="403"/>
        <v/>
      </c>
      <c r="BI2543" s="8" t="str">
        <f t="shared" si="404"/>
        <v/>
      </c>
      <c r="BJ2543" s="9" t="str">
        <f t="shared" si="405"/>
        <v/>
      </c>
      <c r="BK2543" s="9" t="str">
        <f>IF($B2543="","",COUNTIFS($B$5:$B2543,$B2543,$BF$5:$BF2543,$BF2543))</f>
        <v/>
      </c>
      <c r="BL2543" s="9" t="str">
        <f>IF($B2543="","",COUNTIFS($B$5:$B2543,$B2543,$BH$5:$BH2543,$BH2543))</f>
        <v/>
      </c>
      <c r="BM2543" s="9" t="str">
        <f t="shared" si="406"/>
        <v/>
      </c>
      <c r="BN2543" s="9" t="str">
        <f t="shared" si="407"/>
        <v/>
      </c>
      <c r="BO2543" s="9">
        <f t="shared" si="408"/>
        <v>0</v>
      </c>
      <c r="BR2543" s="12" t="str">
        <f t="shared" si="409"/>
        <v/>
      </c>
    </row>
    <row r="2544" spans="1:70" ht="14.25" customHeight="1">
      <c r="A2544" s="26"/>
      <c r="C2544" s="26"/>
      <c r="D2544" s="27"/>
      <c r="E2544" s="27"/>
      <c r="BE2544" s="10" t="str">
        <f t="shared" si="400"/>
        <v/>
      </c>
      <c r="BF2544" s="8" t="str">
        <f t="shared" si="401"/>
        <v/>
      </c>
      <c r="BG2544" s="11" t="str">
        <f t="shared" si="402"/>
        <v/>
      </c>
      <c r="BH2544" s="8" t="str">
        <f t="shared" si="403"/>
        <v/>
      </c>
      <c r="BI2544" s="8" t="str">
        <f t="shared" si="404"/>
        <v/>
      </c>
      <c r="BJ2544" s="9" t="str">
        <f t="shared" si="405"/>
        <v/>
      </c>
      <c r="BK2544" s="9" t="str">
        <f>IF($B2544="","",COUNTIFS($B$5:$B2544,$B2544,$BF$5:$BF2544,$BF2544))</f>
        <v/>
      </c>
      <c r="BL2544" s="9" t="str">
        <f>IF($B2544="","",COUNTIFS($B$5:$B2544,$B2544,$BH$5:$BH2544,$BH2544))</f>
        <v/>
      </c>
      <c r="BM2544" s="9" t="str">
        <f t="shared" si="406"/>
        <v/>
      </c>
      <c r="BN2544" s="9" t="str">
        <f t="shared" si="407"/>
        <v/>
      </c>
      <c r="BO2544" s="9">
        <f t="shared" si="408"/>
        <v>0</v>
      </c>
      <c r="BR2544" s="12" t="str">
        <f t="shared" si="409"/>
        <v/>
      </c>
    </row>
    <row r="2545" spans="1:70" ht="14.25" customHeight="1">
      <c r="A2545" s="26"/>
      <c r="C2545" s="26"/>
      <c r="D2545" s="27"/>
      <c r="E2545" s="27"/>
      <c r="BE2545" s="10" t="str">
        <f t="shared" si="400"/>
        <v/>
      </c>
      <c r="BF2545" s="8" t="str">
        <f t="shared" si="401"/>
        <v/>
      </c>
      <c r="BG2545" s="11" t="str">
        <f t="shared" si="402"/>
        <v/>
      </c>
      <c r="BH2545" s="8" t="str">
        <f t="shared" si="403"/>
        <v/>
      </c>
      <c r="BI2545" s="8" t="str">
        <f t="shared" si="404"/>
        <v/>
      </c>
      <c r="BJ2545" s="9" t="str">
        <f t="shared" si="405"/>
        <v/>
      </c>
      <c r="BK2545" s="9" t="str">
        <f>IF($B2545="","",COUNTIFS($B$5:$B2545,$B2545,$BF$5:$BF2545,$BF2545))</f>
        <v/>
      </c>
      <c r="BL2545" s="9" t="str">
        <f>IF($B2545="","",COUNTIFS($B$5:$B2545,$B2545,$BH$5:$BH2545,$BH2545))</f>
        <v/>
      </c>
      <c r="BM2545" s="9" t="str">
        <f t="shared" si="406"/>
        <v/>
      </c>
      <c r="BN2545" s="9" t="str">
        <f t="shared" si="407"/>
        <v/>
      </c>
      <c r="BO2545" s="9">
        <f t="shared" si="408"/>
        <v>0</v>
      </c>
      <c r="BR2545" s="12" t="str">
        <f t="shared" si="409"/>
        <v/>
      </c>
    </row>
    <row r="2546" spans="1:70" ht="14.25" customHeight="1">
      <c r="A2546" s="26"/>
      <c r="C2546" s="26"/>
      <c r="D2546" s="27"/>
      <c r="E2546" s="27"/>
      <c r="BE2546" s="10" t="str">
        <f t="shared" si="400"/>
        <v/>
      </c>
      <c r="BF2546" s="8" t="str">
        <f t="shared" si="401"/>
        <v/>
      </c>
      <c r="BG2546" s="11" t="str">
        <f t="shared" si="402"/>
        <v/>
      </c>
      <c r="BH2546" s="8" t="str">
        <f t="shared" si="403"/>
        <v/>
      </c>
      <c r="BI2546" s="8" t="str">
        <f t="shared" si="404"/>
        <v/>
      </c>
      <c r="BJ2546" s="9" t="str">
        <f t="shared" si="405"/>
        <v/>
      </c>
      <c r="BK2546" s="9" t="str">
        <f>IF($B2546="","",COUNTIFS($B$5:$B2546,$B2546,$BF$5:$BF2546,$BF2546))</f>
        <v/>
      </c>
      <c r="BL2546" s="9" t="str">
        <f>IF($B2546="","",COUNTIFS($B$5:$B2546,$B2546,$BH$5:$BH2546,$BH2546))</f>
        <v/>
      </c>
      <c r="BM2546" s="9" t="str">
        <f t="shared" si="406"/>
        <v/>
      </c>
      <c r="BN2546" s="9" t="str">
        <f t="shared" si="407"/>
        <v/>
      </c>
      <c r="BO2546" s="9">
        <f t="shared" si="408"/>
        <v>0</v>
      </c>
      <c r="BR2546" s="12" t="str">
        <f t="shared" si="409"/>
        <v/>
      </c>
    </row>
    <row r="2547" spans="1:70" ht="14.25" customHeight="1">
      <c r="A2547" s="26"/>
      <c r="C2547" s="26"/>
      <c r="D2547" s="27"/>
      <c r="E2547" s="27"/>
      <c r="BE2547" s="10" t="str">
        <f t="shared" si="400"/>
        <v/>
      </c>
      <c r="BF2547" s="8" t="str">
        <f t="shared" si="401"/>
        <v/>
      </c>
      <c r="BG2547" s="11" t="str">
        <f t="shared" si="402"/>
        <v/>
      </c>
      <c r="BH2547" s="8" t="str">
        <f t="shared" si="403"/>
        <v/>
      </c>
      <c r="BI2547" s="8" t="str">
        <f t="shared" si="404"/>
        <v/>
      </c>
      <c r="BJ2547" s="9" t="str">
        <f t="shared" si="405"/>
        <v/>
      </c>
      <c r="BK2547" s="9" t="str">
        <f>IF($B2547="","",COUNTIFS($B$5:$B2547,$B2547,$BF$5:$BF2547,$BF2547))</f>
        <v/>
      </c>
      <c r="BL2547" s="9" t="str">
        <f>IF($B2547="","",COUNTIFS($B$5:$B2547,$B2547,$BH$5:$BH2547,$BH2547))</f>
        <v/>
      </c>
      <c r="BM2547" s="9" t="str">
        <f t="shared" si="406"/>
        <v/>
      </c>
      <c r="BN2547" s="9" t="str">
        <f t="shared" si="407"/>
        <v/>
      </c>
      <c r="BO2547" s="9">
        <f t="shared" si="408"/>
        <v>0</v>
      </c>
      <c r="BR2547" s="12" t="str">
        <f t="shared" si="409"/>
        <v/>
      </c>
    </row>
    <row r="2548" spans="1:70" ht="14.25" customHeight="1">
      <c r="A2548" s="26"/>
      <c r="C2548" s="26"/>
      <c r="D2548" s="27"/>
      <c r="E2548" s="27"/>
      <c r="BE2548" s="10" t="str">
        <f t="shared" si="400"/>
        <v/>
      </c>
      <c r="BF2548" s="8" t="str">
        <f t="shared" si="401"/>
        <v/>
      </c>
      <c r="BG2548" s="11" t="str">
        <f t="shared" si="402"/>
        <v/>
      </c>
      <c r="BH2548" s="8" t="str">
        <f t="shared" si="403"/>
        <v/>
      </c>
      <c r="BI2548" s="8" t="str">
        <f t="shared" si="404"/>
        <v/>
      </c>
      <c r="BJ2548" s="9" t="str">
        <f t="shared" si="405"/>
        <v/>
      </c>
      <c r="BK2548" s="9" t="str">
        <f>IF($B2548="","",COUNTIFS($B$5:$B2548,$B2548,$BF$5:$BF2548,$BF2548))</f>
        <v/>
      </c>
      <c r="BL2548" s="9" t="str">
        <f>IF($B2548="","",COUNTIFS($B$5:$B2548,$B2548,$BH$5:$BH2548,$BH2548))</f>
        <v/>
      </c>
      <c r="BM2548" s="9" t="str">
        <f t="shared" si="406"/>
        <v/>
      </c>
      <c r="BN2548" s="9" t="str">
        <f t="shared" si="407"/>
        <v/>
      </c>
      <c r="BO2548" s="9">
        <f t="shared" si="408"/>
        <v>0</v>
      </c>
      <c r="BR2548" s="12" t="str">
        <f t="shared" si="409"/>
        <v/>
      </c>
    </row>
    <row r="2549" spans="1:70" ht="14.25" customHeight="1">
      <c r="A2549" s="26"/>
      <c r="C2549" s="26"/>
      <c r="D2549" s="27"/>
      <c r="E2549" s="27"/>
      <c r="BE2549" s="10" t="str">
        <f t="shared" si="400"/>
        <v/>
      </c>
      <c r="BF2549" s="8" t="str">
        <f t="shared" si="401"/>
        <v/>
      </c>
      <c r="BG2549" s="11" t="str">
        <f t="shared" si="402"/>
        <v/>
      </c>
      <c r="BH2549" s="8" t="str">
        <f t="shared" si="403"/>
        <v/>
      </c>
      <c r="BI2549" s="8" t="str">
        <f t="shared" si="404"/>
        <v/>
      </c>
      <c r="BJ2549" s="9" t="str">
        <f t="shared" si="405"/>
        <v/>
      </c>
      <c r="BK2549" s="9" t="str">
        <f>IF($B2549="","",COUNTIFS($B$5:$B2549,$B2549,$BF$5:$BF2549,$BF2549))</f>
        <v/>
      </c>
      <c r="BL2549" s="9" t="str">
        <f>IF($B2549="","",COUNTIFS($B$5:$B2549,$B2549,$BH$5:$BH2549,$BH2549))</f>
        <v/>
      </c>
      <c r="BM2549" s="9" t="str">
        <f t="shared" si="406"/>
        <v/>
      </c>
      <c r="BN2549" s="9" t="str">
        <f t="shared" si="407"/>
        <v/>
      </c>
      <c r="BO2549" s="9">
        <f t="shared" si="408"/>
        <v>0</v>
      </c>
      <c r="BR2549" s="12" t="str">
        <f t="shared" si="409"/>
        <v/>
      </c>
    </row>
    <row r="2550" spans="1:70" ht="14.25" customHeight="1">
      <c r="A2550" s="26"/>
      <c r="C2550" s="26"/>
      <c r="D2550" s="27"/>
      <c r="E2550" s="27"/>
      <c r="BE2550" s="10" t="str">
        <f t="shared" si="400"/>
        <v/>
      </c>
      <c r="BF2550" s="8" t="str">
        <f t="shared" si="401"/>
        <v/>
      </c>
      <c r="BG2550" s="11" t="str">
        <f t="shared" si="402"/>
        <v/>
      </c>
      <c r="BH2550" s="8" t="str">
        <f t="shared" si="403"/>
        <v/>
      </c>
      <c r="BI2550" s="8" t="str">
        <f t="shared" si="404"/>
        <v/>
      </c>
      <c r="BJ2550" s="9" t="str">
        <f t="shared" si="405"/>
        <v/>
      </c>
      <c r="BK2550" s="9" t="str">
        <f>IF($B2550="","",COUNTIFS($B$5:$B2550,$B2550,$BF$5:$BF2550,$BF2550))</f>
        <v/>
      </c>
      <c r="BL2550" s="9" t="str">
        <f>IF($B2550="","",COUNTIFS($B$5:$B2550,$B2550,$BH$5:$BH2550,$BH2550))</f>
        <v/>
      </c>
      <c r="BM2550" s="9" t="str">
        <f t="shared" si="406"/>
        <v/>
      </c>
      <c r="BN2550" s="9" t="str">
        <f t="shared" si="407"/>
        <v/>
      </c>
      <c r="BO2550" s="9">
        <f t="shared" si="408"/>
        <v>0</v>
      </c>
      <c r="BR2550" s="12" t="str">
        <f t="shared" si="409"/>
        <v/>
      </c>
    </row>
    <row r="2551" spans="1:70" ht="14.25" customHeight="1">
      <c r="A2551" s="26"/>
      <c r="C2551" s="26"/>
      <c r="D2551" s="27"/>
      <c r="E2551" s="27"/>
      <c r="BE2551" s="10" t="str">
        <f t="shared" si="400"/>
        <v/>
      </c>
      <c r="BF2551" s="8" t="str">
        <f t="shared" si="401"/>
        <v/>
      </c>
      <c r="BG2551" s="11" t="str">
        <f t="shared" si="402"/>
        <v/>
      </c>
      <c r="BH2551" s="8" t="str">
        <f t="shared" si="403"/>
        <v/>
      </c>
      <c r="BI2551" s="8" t="str">
        <f t="shared" si="404"/>
        <v/>
      </c>
      <c r="BJ2551" s="9" t="str">
        <f t="shared" si="405"/>
        <v/>
      </c>
      <c r="BK2551" s="9" t="str">
        <f>IF($B2551="","",COUNTIFS($B$5:$B2551,$B2551,$BF$5:$BF2551,$BF2551))</f>
        <v/>
      </c>
      <c r="BL2551" s="9" t="str">
        <f>IF($B2551="","",COUNTIFS($B$5:$B2551,$B2551,$BH$5:$BH2551,$BH2551))</f>
        <v/>
      </c>
      <c r="BM2551" s="9" t="str">
        <f t="shared" si="406"/>
        <v/>
      </c>
      <c r="BN2551" s="9" t="str">
        <f t="shared" si="407"/>
        <v/>
      </c>
      <c r="BO2551" s="9">
        <f t="shared" si="408"/>
        <v>0</v>
      </c>
      <c r="BR2551" s="12" t="str">
        <f t="shared" si="409"/>
        <v/>
      </c>
    </row>
    <row r="2552" spans="1:70" ht="14.25" customHeight="1">
      <c r="A2552" s="26"/>
      <c r="C2552" s="26"/>
      <c r="D2552" s="27"/>
      <c r="E2552" s="27"/>
      <c r="BE2552" s="10" t="str">
        <f t="shared" si="400"/>
        <v/>
      </c>
      <c r="BF2552" s="8" t="str">
        <f t="shared" si="401"/>
        <v/>
      </c>
      <c r="BG2552" s="11" t="str">
        <f t="shared" si="402"/>
        <v/>
      </c>
      <c r="BH2552" s="8" t="str">
        <f t="shared" si="403"/>
        <v/>
      </c>
      <c r="BI2552" s="8" t="str">
        <f t="shared" si="404"/>
        <v/>
      </c>
      <c r="BJ2552" s="9" t="str">
        <f t="shared" si="405"/>
        <v/>
      </c>
      <c r="BK2552" s="9" t="str">
        <f>IF($B2552="","",COUNTIFS($B$5:$B2552,$B2552,$BF$5:$BF2552,$BF2552))</f>
        <v/>
      </c>
      <c r="BL2552" s="9" t="str">
        <f>IF($B2552="","",COUNTIFS($B$5:$B2552,$B2552,$BH$5:$BH2552,$BH2552))</f>
        <v/>
      </c>
      <c r="BM2552" s="9" t="str">
        <f t="shared" si="406"/>
        <v/>
      </c>
      <c r="BN2552" s="9" t="str">
        <f t="shared" si="407"/>
        <v/>
      </c>
      <c r="BO2552" s="9">
        <f t="shared" si="408"/>
        <v>0</v>
      </c>
      <c r="BR2552" s="12" t="str">
        <f t="shared" si="409"/>
        <v/>
      </c>
    </row>
    <row r="2553" spans="1:70" ht="14.25" customHeight="1">
      <c r="A2553" s="26"/>
      <c r="C2553" s="26"/>
      <c r="D2553" s="27"/>
      <c r="E2553" s="27"/>
      <c r="BE2553" s="10" t="str">
        <f t="shared" si="400"/>
        <v/>
      </c>
      <c r="BF2553" s="8" t="str">
        <f t="shared" si="401"/>
        <v/>
      </c>
      <c r="BG2553" s="11" t="str">
        <f t="shared" si="402"/>
        <v/>
      </c>
      <c r="BH2553" s="8" t="str">
        <f t="shared" si="403"/>
        <v/>
      </c>
      <c r="BI2553" s="8" t="str">
        <f t="shared" si="404"/>
        <v/>
      </c>
      <c r="BJ2553" s="9" t="str">
        <f t="shared" si="405"/>
        <v/>
      </c>
      <c r="BK2553" s="9" t="str">
        <f>IF($B2553="","",COUNTIFS($B$5:$B2553,$B2553,$BF$5:$BF2553,$BF2553))</f>
        <v/>
      </c>
      <c r="BL2553" s="9" t="str">
        <f>IF($B2553="","",COUNTIFS($B$5:$B2553,$B2553,$BH$5:$BH2553,$BH2553))</f>
        <v/>
      </c>
      <c r="BM2553" s="9" t="str">
        <f t="shared" si="406"/>
        <v/>
      </c>
      <c r="BN2553" s="9" t="str">
        <f t="shared" si="407"/>
        <v/>
      </c>
      <c r="BO2553" s="9">
        <f t="shared" si="408"/>
        <v>0</v>
      </c>
      <c r="BR2553" s="12" t="str">
        <f t="shared" si="409"/>
        <v/>
      </c>
    </row>
    <row r="2554" spans="1:70" ht="14.25" customHeight="1">
      <c r="A2554" s="26"/>
      <c r="C2554" s="26"/>
      <c r="D2554" s="27"/>
      <c r="E2554" s="27"/>
      <c r="BE2554" s="10" t="str">
        <f t="shared" si="400"/>
        <v/>
      </c>
      <c r="BF2554" s="8" t="str">
        <f t="shared" si="401"/>
        <v/>
      </c>
      <c r="BG2554" s="11" t="str">
        <f t="shared" si="402"/>
        <v/>
      </c>
      <c r="BH2554" s="8" t="str">
        <f t="shared" si="403"/>
        <v/>
      </c>
      <c r="BI2554" s="8" t="str">
        <f t="shared" si="404"/>
        <v/>
      </c>
      <c r="BJ2554" s="9" t="str">
        <f t="shared" si="405"/>
        <v/>
      </c>
      <c r="BK2554" s="9" t="str">
        <f>IF($B2554="","",COUNTIFS($B$5:$B2554,$B2554,$BF$5:$BF2554,$BF2554))</f>
        <v/>
      </c>
      <c r="BL2554" s="9" t="str">
        <f>IF($B2554="","",COUNTIFS($B$5:$B2554,$B2554,$BH$5:$BH2554,$BH2554))</f>
        <v/>
      </c>
      <c r="BM2554" s="9" t="str">
        <f t="shared" si="406"/>
        <v/>
      </c>
      <c r="BN2554" s="9" t="str">
        <f t="shared" si="407"/>
        <v/>
      </c>
      <c r="BO2554" s="9">
        <f t="shared" si="408"/>
        <v>0</v>
      </c>
      <c r="BR2554" s="12" t="str">
        <f t="shared" si="409"/>
        <v/>
      </c>
    </row>
    <row r="2555" spans="1:70" ht="14.25" customHeight="1">
      <c r="A2555" s="26"/>
      <c r="C2555" s="26"/>
      <c r="D2555" s="27"/>
      <c r="E2555" s="27"/>
      <c r="BE2555" s="10" t="str">
        <f t="shared" si="400"/>
        <v/>
      </c>
      <c r="BF2555" s="8" t="str">
        <f t="shared" si="401"/>
        <v/>
      </c>
      <c r="BG2555" s="11" t="str">
        <f t="shared" si="402"/>
        <v/>
      </c>
      <c r="BH2555" s="8" t="str">
        <f t="shared" si="403"/>
        <v/>
      </c>
      <c r="BI2555" s="8" t="str">
        <f t="shared" si="404"/>
        <v/>
      </c>
      <c r="BJ2555" s="9" t="str">
        <f t="shared" si="405"/>
        <v/>
      </c>
      <c r="BK2555" s="9" t="str">
        <f>IF($B2555="","",COUNTIFS($B$5:$B2555,$B2555,$BF$5:$BF2555,$BF2555))</f>
        <v/>
      </c>
      <c r="BL2555" s="9" t="str">
        <f>IF($B2555="","",COUNTIFS($B$5:$B2555,$B2555,$BH$5:$BH2555,$BH2555))</f>
        <v/>
      </c>
      <c r="BM2555" s="9" t="str">
        <f t="shared" si="406"/>
        <v/>
      </c>
      <c r="BN2555" s="9" t="str">
        <f t="shared" si="407"/>
        <v/>
      </c>
      <c r="BO2555" s="9">
        <f t="shared" si="408"/>
        <v>0</v>
      </c>
      <c r="BR2555" s="12" t="str">
        <f t="shared" si="409"/>
        <v/>
      </c>
    </row>
    <row r="2556" spans="1:70" ht="14.25" customHeight="1">
      <c r="A2556" s="26"/>
      <c r="C2556" s="26"/>
      <c r="D2556" s="27"/>
      <c r="E2556" s="27"/>
      <c r="BE2556" s="10" t="str">
        <f t="shared" si="400"/>
        <v/>
      </c>
      <c r="BF2556" s="8" t="str">
        <f t="shared" si="401"/>
        <v/>
      </c>
      <c r="BG2556" s="11" t="str">
        <f t="shared" si="402"/>
        <v/>
      </c>
      <c r="BH2556" s="8" t="str">
        <f t="shared" si="403"/>
        <v/>
      </c>
      <c r="BI2556" s="8" t="str">
        <f t="shared" si="404"/>
        <v/>
      </c>
      <c r="BJ2556" s="9" t="str">
        <f t="shared" si="405"/>
        <v/>
      </c>
      <c r="BK2556" s="9" t="str">
        <f>IF($B2556="","",COUNTIFS($B$5:$B2556,$B2556,$BF$5:$BF2556,$BF2556))</f>
        <v/>
      </c>
      <c r="BL2556" s="9" t="str">
        <f>IF($B2556="","",COUNTIFS($B$5:$B2556,$B2556,$BH$5:$BH2556,$BH2556))</f>
        <v/>
      </c>
      <c r="BM2556" s="9" t="str">
        <f t="shared" si="406"/>
        <v/>
      </c>
      <c r="BN2556" s="9" t="str">
        <f t="shared" si="407"/>
        <v/>
      </c>
      <c r="BO2556" s="9">
        <f t="shared" si="408"/>
        <v>0</v>
      </c>
      <c r="BR2556" s="12" t="str">
        <f t="shared" si="409"/>
        <v/>
      </c>
    </row>
    <row r="2557" spans="1:70" ht="14.25" customHeight="1">
      <c r="A2557" s="26"/>
      <c r="C2557" s="26"/>
      <c r="D2557" s="27"/>
      <c r="E2557" s="27"/>
      <c r="BE2557" s="10" t="str">
        <f t="shared" si="400"/>
        <v/>
      </c>
      <c r="BF2557" s="8" t="str">
        <f t="shared" si="401"/>
        <v/>
      </c>
      <c r="BG2557" s="11" t="str">
        <f t="shared" si="402"/>
        <v/>
      </c>
      <c r="BH2557" s="8" t="str">
        <f t="shared" si="403"/>
        <v/>
      </c>
      <c r="BI2557" s="8" t="str">
        <f t="shared" si="404"/>
        <v/>
      </c>
      <c r="BJ2557" s="9" t="str">
        <f t="shared" si="405"/>
        <v/>
      </c>
      <c r="BK2557" s="9" t="str">
        <f>IF($B2557="","",COUNTIFS($B$5:$B2557,$B2557,$BF$5:$BF2557,$BF2557))</f>
        <v/>
      </c>
      <c r="BL2557" s="9" t="str">
        <f>IF($B2557="","",COUNTIFS($B$5:$B2557,$B2557,$BH$5:$BH2557,$BH2557))</f>
        <v/>
      </c>
      <c r="BM2557" s="9" t="str">
        <f t="shared" si="406"/>
        <v/>
      </c>
      <c r="BN2557" s="9" t="str">
        <f t="shared" si="407"/>
        <v/>
      </c>
      <c r="BO2557" s="9">
        <f t="shared" si="408"/>
        <v>0</v>
      </c>
      <c r="BR2557" s="12" t="str">
        <f t="shared" si="409"/>
        <v/>
      </c>
    </row>
    <row r="2558" spans="1:70" ht="14.25" customHeight="1">
      <c r="A2558" s="26"/>
      <c r="C2558" s="26"/>
      <c r="D2558" s="27"/>
      <c r="E2558" s="27"/>
      <c r="BE2558" s="10" t="str">
        <f t="shared" si="400"/>
        <v/>
      </c>
      <c r="BF2558" s="8" t="str">
        <f t="shared" si="401"/>
        <v/>
      </c>
      <c r="BG2558" s="11" t="str">
        <f t="shared" si="402"/>
        <v/>
      </c>
      <c r="BH2558" s="8" t="str">
        <f t="shared" si="403"/>
        <v/>
      </c>
      <c r="BI2558" s="8" t="str">
        <f t="shared" si="404"/>
        <v/>
      </c>
      <c r="BJ2558" s="9" t="str">
        <f t="shared" si="405"/>
        <v/>
      </c>
      <c r="BK2558" s="9" t="str">
        <f>IF($B2558="","",COUNTIFS($B$5:$B2558,$B2558,$BF$5:$BF2558,$BF2558))</f>
        <v/>
      </c>
      <c r="BL2558" s="9" t="str">
        <f>IF($B2558="","",COUNTIFS($B$5:$B2558,$B2558,$BH$5:$BH2558,$BH2558))</f>
        <v/>
      </c>
      <c r="BM2558" s="9" t="str">
        <f t="shared" si="406"/>
        <v/>
      </c>
      <c r="BN2558" s="9" t="str">
        <f t="shared" si="407"/>
        <v/>
      </c>
      <c r="BO2558" s="9">
        <f t="shared" si="408"/>
        <v>0</v>
      </c>
      <c r="BR2558" s="12" t="str">
        <f t="shared" si="409"/>
        <v/>
      </c>
    </row>
    <row r="2559" spans="1:70" ht="14.25" customHeight="1">
      <c r="A2559" s="26"/>
      <c r="C2559" s="26"/>
      <c r="D2559" s="27"/>
      <c r="E2559" s="27"/>
      <c r="BE2559" s="10" t="str">
        <f t="shared" si="400"/>
        <v/>
      </c>
      <c r="BF2559" s="8" t="str">
        <f t="shared" si="401"/>
        <v/>
      </c>
      <c r="BG2559" s="11" t="str">
        <f t="shared" si="402"/>
        <v/>
      </c>
      <c r="BH2559" s="8" t="str">
        <f t="shared" si="403"/>
        <v/>
      </c>
      <c r="BI2559" s="8" t="str">
        <f t="shared" si="404"/>
        <v/>
      </c>
      <c r="BJ2559" s="9" t="str">
        <f t="shared" si="405"/>
        <v/>
      </c>
      <c r="BK2559" s="9" t="str">
        <f>IF($B2559="","",COUNTIFS($B$5:$B2559,$B2559,$BF$5:$BF2559,$BF2559))</f>
        <v/>
      </c>
      <c r="BL2559" s="9" t="str">
        <f>IF($B2559="","",COUNTIFS($B$5:$B2559,$B2559,$BH$5:$BH2559,$BH2559))</f>
        <v/>
      </c>
      <c r="BM2559" s="9" t="str">
        <f t="shared" si="406"/>
        <v/>
      </c>
      <c r="BN2559" s="9" t="str">
        <f t="shared" si="407"/>
        <v/>
      </c>
      <c r="BO2559" s="9">
        <f t="shared" si="408"/>
        <v>0</v>
      </c>
      <c r="BR2559" s="12" t="str">
        <f t="shared" si="409"/>
        <v/>
      </c>
    </row>
    <row r="2560" spans="1:70" ht="14.25" customHeight="1">
      <c r="A2560" s="26"/>
      <c r="C2560" s="26"/>
      <c r="D2560" s="27"/>
      <c r="E2560" s="27"/>
      <c r="BE2560" s="10" t="str">
        <f t="shared" si="400"/>
        <v/>
      </c>
      <c r="BF2560" s="8" t="str">
        <f t="shared" si="401"/>
        <v/>
      </c>
      <c r="BG2560" s="11" t="str">
        <f t="shared" si="402"/>
        <v/>
      </c>
      <c r="BH2560" s="8" t="str">
        <f t="shared" si="403"/>
        <v/>
      </c>
      <c r="BI2560" s="8" t="str">
        <f t="shared" si="404"/>
        <v/>
      </c>
      <c r="BJ2560" s="9" t="str">
        <f t="shared" si="405"/>
        <v/>
      </c>
      <c r="BK2560" s="9" t="str">
        <f>IF($B2560="","",COUNTIFS($B$5:$B2560,$B2560,$BF$5:$BF2560,$BF2560))</f>
        <v/>
      </c>
      <c r="BL2560" s="9" t="str">
        <f>IF($B2560="","",COUNTIFS($B$5:$B2560,$B2560,$BH$5:$BH2560,$BH2560))</f>
        <v/>
      </c>
      <c r="BM2560" s="9" t="str">
        <f t="shared" si="406"/>
        <v/>
      </c>
      <c r="BN2560" s="9" t="str">
        <f t="shared" si="407"/>
        <v/>
      </c>
      <c r="BO2560" s="9">
        <f t="shared" si="408"/>
        <v>0</v>
      </c>
      <c r="BR2560" s="12" t="str">
        <f t="shared" si="409"/>
        <v/>
      </c>
    </row>
    <row r="2561" spans="1:70" ht="14.25" customHeight="1">
      <c r="A2561" s="26"/>
      <c r="C2561" s="26"/>
      <c r="D2561" s="27"/>
      <c r="E2561" s="27"/>
      <c r="BE2561" s="10" t="str">
        <f t="shared" si="400"/>
        <v/>
      </c>
      <c r="BF2561" s="8" t="str">
        <f t="shared" si="401"/>
        <v/>
      </c>
      <c r="BG2561" s="11" t="str">
        <f t="shared" si="402"/>
        <v/>
      </c>
      <c r="BH2561" s="8" t="str">
        <f t="shared" si="403"/>
        <v/>
      </c>
      <c r="BI2561" s="8" t="str">
        <f t="shared" si="404"/>
        <v/>
      </c>
      <c r="BJ2561" s="9" t="str">
        <f t="shared" si="405"/>
        <v/>
      </c>
      <c r="BK2561" s="9" t="str">
        <f>IF($B2561="","",COUNTIFS($B$5:$B2561,$B2561,$BF$5:$BF2561,$BF2561))</f>
        <v/>
      </c>
      <c r="BL2561" s="9" t="str">
        <f>IF($B2561="","",COUNTIFS($B$5:$B2561,$B2561,$BH$5:$BH2561,$BH2561))</f>
        <v/>
      </c>
      <c r="BM2561" s="9" t="str">
        <f t="shared" si="406"/>
        <v/>
      </c>
      <c r="BN2561" s="9" t="str">
        <f t="shared" si="407"/>
        <v/>
      </c>
      <c r="BO2561" s="9">
        <f t="shared" si="408"/>
        <v>0</v>
      </c>
      <c r="BR2561" s="12" t="str">
        <f t="shared" si="409"/>
        <v/>
      </c>
    </row>
    <row r="2562" spans="1:70" ht="14.25" customHeight="1">
      <c r="A2562" s="26"/>
      <c r="C2562" s="26"/>
      <c r="D2562" s="27"/>
      <c r="E2562" s="27"/>
      <c r="BE2562" s="10" t="str">
        <f t="shared" si="400"/>
        <v/>
      </c>
      <c r="BF2562" s="8" t="str">
        <f t="shared" si="401"/>
        <v/>
      </c>
      <c r="BG2562" s="11" t="str">
        <f t="shared" si="402"/>
        <v/>
      </c>
      <c r="BH2562" s="8" t="str">
        <f t="shared" si="403"/>
        <v/>
      </c>
      <c r="BI2562" s="8" t="str">
        <f t="shared" si="404"/>
        <v/>
      </c>
      <c r="BJ2562" s="9" t="str">
        <f t="shared" si="405"/>
        <v/>
      </c>
      <c r="BK2562" s="9" t="str">
        <f>IF($B2562="","",COUNTIFS($B$5:$B2562,$B2562,$BF$5:$BF2562,$BF2562))</f>
        <v/>
      </c>
      <c r="BL2562" s="9" t="str">
        <f>IF($B2562="","",COUNTIFS($B$5:$B2562,$B2562,$BH$5:$BH2562,$BH2562))</f>
        <v/>
      </c>
      <c r="BM2562" s="9" t="str">
        <f t="shared" si="406"/>
        <v/>
      </c>
      <c r="BN2562" s="9" t="str">
        <f t="shared" si="407"/>
        <v/>
      </c>
      <c r="BO2562" s="9">
        <f t="shared" si="408"/>
        <v>0</v>
      </c>
      <c r="BR2562" s="12" t="str">
        <f t="shared" si="409"/>
        <v/>
      </c>
    </row>
    <row r="2563" spans="1:70" ht="14.25" customHeight="1">
      <c r="A2563" s="26"/>
      <c r="C2563" s="26"/>
      <c r="D2563" s="27"/>
      <c r="E2563" s="27"/>
      <c r="BE2563" s="10" t="str">
        <f t="shared" si="400"/>
        <v/>
      </c>
      <c r="BF2563" s="8" t="str">
        <f t="shared" si="401"/>
        <v/>
      </c>
      <c r="BG2563" s="11" t="str">
        <f t="shared" si="402"/>
        <v/>
      </c>
      <c r="BH2563" s="8" t="str">
        <f t="shared" si="403"/>
        <v/>
      </c>
      <c r="BI2563" s="8" t="str">
        <f t="shared" si="404"/>
        <v/>
      </c>
      <c r="BJ2563" s="9" t="str">
        <f t="shared" si="405"/>
        <v/>
      </c>
      <c r="BK2563" s="9" t="str">
        <f>IF($B2563="","",COUNTIFS($B$5:$B2563,$B2563,$BF$5:$BF2563,$BF2563))</f>
        <v/>
      </c>
      <c r="BL2563" s="9" t="str">
        <f>IF($B2563="","",COUNTIFS($B$5:$B2563,$B2563,$BH$5:$BH2563,$BH2563))</f>
        <v/>
      </c>
      <c r="BM2563" s="9" t="str">
        <f t="shared" si="406"/>
        <v/>
      </c>
      <c r="BN2563" s="9" t="str">
        <f t="shared" si="407"/>
        <v/>
      </c>
      <c r="BO2563" s="9">
        <f t="shared" si="408"/>
        <v>0</v>
      </c>
      <c r="BR2563" s="12" t="str">
        <f t="shared" si="409"/>
        <v/>
      </c>
    </row>
    <row r="2564" spans="1:70" ht="14.25" customHeight="1">
      <c r="A2564" s="26"/>
      <c r="C2564" s="26"/>
      <c r="D2564" s="27"/>
      <c r="E2564" s="27"/>
      <c r="BE2564" s="10" t="str">
        <f t="shared" si="400"/>
        <v/>
      </c>
      <c r="BF2564" s="8" t="str">
        <f t="shared" si="401"/>
        <v/>
      </c>
      <c r="BG2564" s="11" t="str">
        <f t="shared" si="402"/>
        <v/>
      </c>
      <c r="BH2564" s="8" t="str">
        <f t="shared" si="403"/>
        <v/>
      </c>
      <c r="BI2564" s="8" t="str">
        <f t="shared" si="404"/>
        <v/>
      </c>
      <c r="BJ2564" s="9" t="str">
        <f t="shared" si="405"/>
        <v/>
      </c>
      <c r="BK2564" s="9" t="str">
        <f>IF($B2564="","",COUNTIFS($B$5:$B2564,$B2564,$BF$5:$BF2564,$BF2564))</f>
        <v/>
      </c>
      <c r="BL2564" s="9" t="str">
        <f>IF($B2564="","",COUNTIFS($B$5:$B2564,$B2564,$BH$5:$BH2564,$BH2564))</f>
        <v/>
      </c>
      <c r="BM2564" s="9" t="str">
        <f t="shared" si="406"/>
        <v/>
      </c>
      <c r="BN2564" s="9" t="str">
        <f t="shared" si="407"/>
        <v/>
      </c>
      <c r="BO2564" s="9">
        <f t="shared" si="408"/>
        <v>0</v>
      </c>
      <c r="BR2564" s="12" t="str">
        <f t="shared" si="409"/>
        <v/>
      </c>
    </row>
    <row r="2565" spans="1:70" ht="14.25" customHeight="1">
      <c r="A2565" s="26"/>
      <c r="C2565" s="26"/>
      <c r="D2565" s="27"/>
      <c r="E2565" s="27"/>
      <c r="BE2565" s="10" t="str">
        <f t="shared" si="400"/>
        <v/>
      </c>
      <c r="BF2565" s="8" t="str">
        <f t="shared" si="401"/>
        <v/>
      </c>
      <c r="BG2565" s="11" t="str">
        <f t="shared" si="402"/>
        <v/>
      </c>
      <c r="BH2565" s="8" t="str">
        <f t="shared" si="403"/>
        <v/>
      </c>
      <c r="BI2565" s="8" t="str">
        <f t="shared" si="404"/>
        <v/>
      </c>
      <c r="BJ2565" s="9" t="str">
        <f t="shared" si="405"/>
        <v/>
      </c>
      <c r="BK2565" s="9" t="str">
        <f>IF($B2565="","",COUNTIFS($B$5:$B2565,$B2565,$BF$5:$BF2565,$BF2565))</f>
        <v/>
      </c>
      <c r="BL2565" s="9" t="str">
        <f>IF($B2565="","",COUNTIFS($B$5:$B2565,$B2565,$BH$5:$BH2565,$BH2565))</f>
        <v/>
      </c>
      <c r="BM2565" s="9" t="str">
        <f t="shared" si="406"/>
        <v/>
      </c>
      <c r="BN2565" s="9" t="str">
        <f t="shared" si="407"/>
        <v/>
      </c>
      <c r="BO2565" s="9">
        <f t="shared" si="408"/>
        <v>0</v>
      </c>
      <c r="BR2565" s="12" t="str">
        <f t="shared" si="409"/>
        <v/>
      </c>
    </row>
    <row r="2566" spans="1:70" ht="14.25" customHeight="1">
      <c r="A2566" s="26"/>
      <c r="C2566" s="26"/>
      <c r="D2566" s="27"/>
      <c r="E2566" s="27"/>
      <c r="BE2566" s="10" t="str">
        <f t="shared" si="400"/>
        <v/>
      </c>
      <c r="BF2566" s="8" t="str">
        <f t="shared" si="401"/>
        <v/>
      </c>
      <c r="BG2566" s="11" t="str">
        <f t="shared" si="402"/>
        <v/>
      </c>
      <c r="BH2566" s="8" t="str">
        <f t="shared" si="403"/>
        <v/>
      </c>
      <c r="BI2566" s="8" t="str">
        <f t="shared" si="404"/>
        <v/>
      </c>
      <c r="BJ2566" s="9" t="str">
        <f t="shared" si="405"/>
        <v/>
      </c>
      <c r="BK2566" s="9" t="str">
        <f>IF($B2566="","",COUNTIFS($B$5:$B2566,$B2566,$BF$5:$BF2566,$BF2566))</f>
        <v/>
      </c>
      <c r="BL2566" s="9" t="str">
        <f>IF($B2566="","",COUNTIFS($B$5:$B2566,$B2566,$BH$5:$BH2566,$BH2566))</f>
        <v/>
      </c>
      <c r="BM2566" s="9" t="str">
        <f t="shared" si="406"/>
        <v/>
      </c>
      <c r="BN2566" s="9" t="str">
        <f t="shared" si="407"/>
        <v/>
      </c>
      <c r="BO2566" s="9">
        <f t="shared" si="408"/>
        <v>0</v>
      </c>
      <c r="BR2566" s="12" t="str">
        <f t="shared" si="409"/>
        <v/>
      </c>
    </row>
    <row r="2567" spans="1:70" ht="14.25" customHeight="1">
      <c r="A2567" s="26"/>
      <c r="C2567" s="26"/>
      <c r="D2567" s="27"/>
      <c r="E2567" s="27"/>
      <c r="BE2567" s="10" t="str">
        <f t="shared" si="400"/>
        <v/>
      </c>
      <c r="BF2567" s="8" t="str">
        <f t="shared" si="401"/>
        <v/>
      </c>
      <c r="BG2567" s="11" t="str">
        <f t="shared" si="402"/>
        <v/>
      </c>
      <c r="BH2567" s="8" t="str">
        <f t="shared" si="403"/>
        <v/>
      </c>
      <c r="BI2567" s="8" t="str">
        <f t="shared" si="404"/>
        <v/>
      </c>
      <c r="BJ2567" s="9" t="str">
        <f t="shared" si="405"/>
        <v/>
      </c>
      <c r="BK2567" s="9" t="str">
        <f>IF($B2567="","",COUNTIFS($B$5:$B2567,$B2567,$BF$5:$BF2567,$BF2567))</f>
        <v/>
      </c>
      <c r="BL2567" s="9" t="str">
        <f>IF($B2567="","",COUNTIFS($B$5:$B2567,$B2567,$BH$5:$BH2567,$BH2567))</f>
        <v/>
      </c>
      <c r="BM2567" s="9" t="str">
        <f t="shared" si="406"/>
        <v/>
      </c>
      <c r="BN2567" s="9" t="str">
        <f t="shared" si="407"/>
        <v/>
      </c>
      <c r="BO2567" s="9">
        <f t="shared" si="408"/>
        <v>0</v>
      </c>
      <c r="BR2567" s="12" t="str">
        <f t="shared" si="409"/>
        <v/>
      </c>
    </row>
    <row r="2568" spans="1:70" ht="14.25" customHeight="1">
      <c r="A2568" s="26"/>
      <c r="C2568" s="26"/>
      <c r="D2568" s="27"/>
      <c r="E2568" s="27"/>
      <c r="BE2568" s="10" t="str">
        <f t="shared" si="400"/>
        <v/>
      </c>
      <c r="BF2568" s="8" t="str">
        <f t="shared" si="401"/>
        <v/>
      </c>
      <c r="BG2568" s="11" t="str">
        <f t="shared" si="402"/>
        <v/>
      </c>
      <c r="BH2568" s="8" t="str">
        <f t="shared" si="403"/>
        <v/>
      </c>
      <c r="BI2568" s="8" t="str">
        <f t="shared" si="404"/>
        <v/>
      </c>
      <c r="BJ2568" s="9" t="str">
        <f t="shared" si="405"/>
        <v/>
      </c>
      <c r="BK2568" s="9" t="str">
        <f>IF($B2568="","",COUNTIFS($B$5:$B2568,$B2568,$BF$5:$BF2568,$BF2568))</f>
        <v/>
      </c>
      <c r="BL2568" s="9" t="str">
        <f>IF($B2568="","",COUNTIFS($B$5:$B2568,$B2568,$BH$5:$BH2568,$BH2568))</f>
        <v/>
      </c>
      <c r="BM2568" s="9" t="str">
        <f t="shared" si="406"/>
        <v/>
      </c>
      <c r="BN2568" s="9" t="str">
        <f t="shared" si="407"/>
        <v/>
      </c>
      <c r="BO2568" s="9">
        <f t="shared" si="408"/>
        <v>0</v>
      </c>
      <c r="BR2568" s="12" t="str">
        <f t="shared" si="409"/>
        <v/>
      </c>
    </row>
    <row r="2569" spans="1:70" ht="14.25" customHeight="1">
      <c r="A2569" s="26"/>
      <c r="C2569" s="26"/>
      <c r="D2569" s="27"/>
      <c r="E2569" s="27"/>
      <c r="BE2569" s="10" t="str">
        <f t="shared" si="400"/>
        <v/>
      </c>
      <c r="BF2569" s="8" t="str">
        <f t="shared" si="401"/>
        <v/>
      </c>
      <c r="BG2569" s="11" t="str">
        <f t="shared" si="402"/>
        <v/>
      </c>
      <c r="BH2569" s="8" t="str">
        <f t="shared" si="403"/>
        <v/>
      </c>
      <c r="BI2569" s="8" t="str">
        <f t="shared" si="404"/>
        <v/>
      </c>
      <c r="BJ2569" s="9" t="str">
        <f t="shared" si="405"/>
        <v/>
      </c>
      <c r="BK2569" s="9" t="str">
        <f>IF($B2569="","",COUNTIFS($B$5:$B2569,$B2569,$BF$5:$BF2569,$BF2569))</f>
        <v/>
      </c>
      <c r="BL2569" s="9" t="str">
        <f>IF($B2569="","",COUNTIFS($B$5:$B2569,$B2569,$BH$5:$BH2569,$BH2569))</f>
        <v/>
      </c>
      <c r="BM2569" s="9" t="str">
        <f t="shared" si="406"/>
        <v/>
      </c>
      <c r="BN2569" s="9" t="str">
        <f t="shared" si="407"/>
        <v/>
      </c>
      <c r="BO2569" s="9">
        <f t="shared" si="408"/>
        <v>0</v>
      </c>
      <c r="BR2569" s="12" t="str">
        <f t="shared" si="409"/>
        <v/>
      </c>
    </row>
    <row r="2570" spans="1:70" ht="14.25" customHeight="1">
      <c r="A2570" s="26"/>
      <c r="C2570" s="26"/>
      <c r="D2570" s="27"/>
      <c r="E2570" s="27"/>
      <c r="BE2570" s="10" t="str">
        <f t="shared" si="400"/>
        <v/>
      </c>
      <c r="BF2570" s="8" t="str">
        <f t="shared" si="401"/>
        <v/>
      </c>
      <c r="BG2570" s="11" t="str">
        <f t="shared" si="402"/>
        <v/>
      </c>
      <c r="BH2570" s="8" t="str">
        <f t="shared" si="403"/>
        <v/>
      </c>
      <c r="BI2570" s="8" t="str">
        <f t="shared" si="404"/>
        <v/>
      </c>
      <c r="BJ2570" s="9" t="str">
        <f t="shared" si="405"/>
        <v/>
      </c>
      <c r="BK2570" s="9" t="str">
        <f>IF($B2570="","",COUNTIFS($B$5:$B2570,$B2570,$BF$5:$BF2570,$BF2570))</f>
        <v/>
      </c>
      <c r="BL2570" s="9" t="str">
        <f>IF($B2570="","",COUNTIFS($B$5:$B2570,$B2570,$BH$5:$BH2570,$BH2570))</f>
        <v/>
      </c>
      <c r="BM2570" s="9" t="str">
        <f t="shared" si="406"/>
        <v/>
      </c>
      <c r="BN2570" s="9" t="str">
        <f t="shared" si="407"/>
        <v/>
      </c>
      <c r="BO2570" s="9">
        <f t="shared" si="408"/>
        <v>0</v>
      </c>
      <c r="BR2570" s="12" t="str">
        <f t="shared" si="409"/>
        <v/>
      </c>
    </row>
    <row r="2571" spans="1:70" ht="14.25" customHeight="1">
      <c r="A2571" s="26"/>
      <c r="C2571" s="26"/>
      <c r="D2571" s="27"/>
      <c r="E2571" s="27"/>
      <c r="BE2571" s="10" t="str">
        <f t="shared" si="400"/>
        <v/>
      </c>
      <c r="BF2571" s="8" t="str">
        <f t="shared" si="401"/>
        <v/>
      </c>
      <c r="BG2571" s="11" t="str">
        <f t="shared" si="402"/>
        <v/>
      </c>
      <c r="BH2571" s="8" t="str">
        <f t="shared" si="403"/>
        <v/>
      </c>
      <c r="BI2571" s="8" t="str">
        <f t="shared" si="404"/>
        <v/>
      </c>
      <c r="BJ2571" s="9" t="str">
        <f t="shared" si="405"/>
        <v/>
      </c>
      <c r="BK2571" s="9" t="str">
        <f>IF($B2571="","",COUNTIFS($B$5:$B2571,$B2571,$BF$5:$BF2571,$BF2571))</f>
        <v/>
      </c>
      <c r="BL2571" s="9" t="str">
        <f>IF($B2571="","",COUNTIFS($B$5:$B2571,$B2571,$BH$5:$BH2571,$BH2571))</f>
        <v/>
      </c>
      <c r="BM2571" s="9" t="str">
        <f t="shared" si="406"/>
        <v/>
      </c>
      <c r="BN2571" s="9" t="str">
        <f t="shared" si="407"/>
        <v/>
      </c>
      <c r="BO2571" s="9">
        <f t="shared" si="408"/>
        <v>0</v>
      </c>
      <c r="BR2571" s="12" t="str">
        <f t="shared" si="409"/>
        <v/>
      </c>
    </row>
    <row r="2572" spans="1:70" ht="14.25" customHeight="1">
      <c r="A2572" s="26"/>
      <c r="C2572" s="26"/>
      <c r="D2572" s="27"/>
      <c r="E2572" s="27"/>
      <c r="BE2572" s="10" t="str">
        <f t="shared" si="400"/>
        <v/>
      </c>
      <c r="BF2572" s="8" t="str">
        <f t="shared" si="401"/>
        <v/>
      </c>
      <c r="BG2572" s="11" t="str">
        <f t="shared" si="402"/>
        <v/>
      </c>
      <c r="BH2572" s="8" t="str">
        <f t="shared" si="403"/>
        <v/>
      </c>
      <c r="BI2572" s="8" t="str">
        <f t="shared" si="404"/>
        <v/>
      </c>
      <c r="BJ2572" s="9" t="str">
        <f t="shared" si="405"/>
        <v/>
      </c>
      <c r="BK2572" s="9" t="str">
        <f>IF($B2572="","",COUNTIFS($B$5:$B2572,$B2572,$BF$5:$BF2572,$BF2572))</f>
        <v/>
      </c>
      <c r="BL2572" s="9" t="str">
        <f>IF($B2572="","",COUNTIFS($B$5:$B2572,$B2572,$BH$5:$BH2572,$BH2572))</f>
        <v/>
      </c>
      <c r="BM2572" s="9" t="str">
        <f t="shared" si="406"/>
        <v/>
      </c>
      <c r="BN2572" s="9" t="str">
        <f t="shared" si="407"/>
        <v/>
      </c>
      <c r="BO2572" s="9">
        <f t="shared" si="408"/>
        <v>0</v>
      </c>
      <c r="BR2572" s="12" t="str">
        <f t="shared" si="409"/>
        <v/>
      </c>
    </row>
    <row r="2573" spans="1:70" ht="14.25" customHeight="1">
      <c r="A2573" s="26"/>
      <c r="C2573" s="26"/>
      <c r="D2573" s="27"/>
      <c r="E2573" s="27"/>
      <c r="BE2573" s="10" t="str">
        <f t="shared" si="400"/>
        <v/>
      </c>
      <c r="BF2573" s="8" t="str">
        <f t="shared" si="401"/>
        <v/>
      </c>
      <c r="BG2573" s="11" t="str">
        <f t="shared" si="402"/>
        <v/>
      </c>
      <c r="BH2573" s="8" t="str">
        <f t="shared" si="403"/>
        <v/>
      </c>
      <c r="BI2573" s="8" t="str">
        <f t="shared" si="404"/>
        <v/>
      </c>
      <c r="BJ2573" s="9" t="str">
        <f t="shared" si="405"/>
        <v/>
      </c>
      <c r="BK2573" s="9" t="str">
        <f>IF($B2573="","",COUNTIFS($B$5:$B2573,$B2573,$BF$5:$BF2573,$BF2573))</f>
        <v/>
      </c>
      <c r="BL2573" s="9" t="str">
        <f>IF($B2573="","",COUNTIFS($B$5:$B2573,$B2573,$BH$5:$BH2573,$BH2573))</f>
        <v/>
      </c>
      <c r="BM2573" s="9" t="str">
        <f t="shared" si="406"/>
        <v/>
      </c>
      <c r="BN2573" s="9" t="str">
        <f t="shared" si="407"/>
        <v/>
      </c>
      <c r="BO2573" s="9">
        <f t="shared" si="408"/>
        <v>0</v>
      </c>
      <c r="BR2573" s="12" t="str">
        <f t="shared" si="409"/>
        <v/>
      </c>
    </row>
    <row r="2574" spans="1:70" ht="14.25" customHeight="1">
      <c r="A2574" s="26"/>
      <c r="C2574" s="26"/>
      <c r="D2574" s="27"/>
      <c r="E2574" s="27"/>
      <c r="BE2574" s="10" t="str">
        <f t="shared" si="400"/>
        <v/>
      </c>
      <c r="BF2574" s="8" t="str">
        <f t="shared" si="401"/>
        <v/>
      </c>
      <c r="BG2574" s="11" t="str">
        <f t="shared" si="402"/>
        <v/>
      </c>
      <c r="BH2574" s="8" t="str">
        <f t="shared" si="403"/>
        <v/>
      </c>
      <c r="BI2574" s="8" t="str">
        <f t="shared" si="404"/>
        <v/>
      </c>
      <c r="BJ2574" s="9" t="str">
        <f t="shared" si="405"/>
        <v/>
      </c>
      <c r="BK2574" s="9" t="str">
        <f>IF($B2574="","",COUNTIFS($B$5:$B2574,$B2574,$BF$5:$BF2574,$BF2574))</f>
        <v/>
      </c>
      <c r="BL2574" s="9" t="str">
        <f>IF($B2574="","",COUNTIFS($B$5:$B2574,$B2574,$BH$5:$BH2574,$BH2574))</f>
        <v/>
      </c>
      <c r="BM2574" s="9" t="str">
        <f t="shared" si="406"/>
        <v/>
      </c>
      <c r="BN2574" s="9" t="str">
        <f t="shared" si="407"/>
        <v/>
      </c>
      <c r="BO2574" s="9">
        <f t="shared" si="408"/>
        <v>0</v>
      </c>
      <c r="BR2574" s="12" t="str">
        <f t="shared" si="409"/>
        <v/>
      </c>
    </row>
    <row r="2575" spans="1:70" ht="14.25" customHeight="1">
      <c r="A2575" s="26"/>
      <c r="C2575" s="26"/>
      <c r="D2575" s="27"/>
      <c r="E2575" s="27"/>
      <c r="BE2575" s="10" t="str">
        <f t="shared" si="400"/>
        <v/>
      </c>
      <c r="BF2575" s="8" t="str">
        <f t="shared" si="401"/>
        <v/>
      </c>
      <c r="BG2575" s="11" t="str">
        <f t="shared" si="402"/>
        <v/>
      </c>
      <c r="BH2575" s="8" t="str">
        <f t="shared" si="403"/>
        <v/>
      </c>
      <c r="BI2575" s="8" t="str">
        <f t="shared" si="404"/>
        <v/>
      </c>
      <c r="BJ2575" s="9" t="str">
        <f t="shared" si="405"/>
        <v/>
      </c>
      <c r="BK2575" s="9" t="str">
        <f>IF($B2575="","",COUNTIFS($B$5:$B2575,$B2575,$BF$5:$BF2575,$BF2575))</f>
        <v/>
      </c>
      <c r="BL2575" s="9" t="str">
        <f>IF($B2575="","",COUNTIFS($B$5:$B2575,$B2575,$BH$5:$BH2575,$BH2575))</f>
        <v/>
      </c>
      <c r="BM2575" s="9" t="str">
        <f t="shared" si="406"/>
        <v/>
      </c>
      <c r="BN2575" s="9" t="str">
        <f t="shared" si="407"/>
        <v/>
      </c>
      <c r="BO2575" s="9">
        <f t="shared" si="408"/>
        <v>0</v>
      </c>
      <c r="BR2575" s="12" t="str">
        <f t="shared" si="409"/>
        <v/>
      </c>
    </row>
    <row r="2576" spans="1:70" ht="14.25" customHeight="1">
      <c r="A2576" s="26"/>
      <c r="C2576" s="26"/>
      <c r="D2576" s="27"/>
      <c r="E2576" s="27"/>
      <c r="BE2576" s="10" t="str">
        <f t="shared" si="400"/>
        <v/>
      </c>
      <c r="BF2576" s="8" t="str">
        <f t="shared" si="401"/>
        <v/>
      </c>
      <c r="BG2576" s="11" t="str">
        <f t="shared" si="402"/>
        <v/>
      </c>
      <c r="BH2576" s="8" t="str">
        <f t="shared" si="403"/>
        <v/>
      </c>
      <c r="BI2576" s="8" t="str">
        <f t="shared" si="404"/>
        <v/>
      </c>
      <c r="BJ2576" s="9" t="str">
        <f t="shared" si="405"/>
        <v/>
      </c>
      <c r="BK2576" s="9" t="str">
        <f>IF($B2576="","",COUNTIFS($B$5:$B2576,$B2576,$BF$5:$BF2576,$BF2576))</f>
        <v/>
      </c>
      <c r="BL2576" s="9" t="str">
        <f>IF($B2576="","",COUNTIFS($B$5:$B2576,$B2576,$BH$5:$BH2576,$BH2576))</f>
        <v/>
      </c>
      <c r="BM2576" s="9" t="str">
        <f t="shared" si="406"/>
        <v/>
      </c>
      <c r="BN2576" s="9" t="str">
        <f t="shared" si="407"/>
        <v/>
      </c>
      <c r="BO2576" s="9">
        <f t="shared" si="408"/>
        <v>0</v>
      </c>
      <c r="BR2576" s="12" t="str">
        <f t="shared" si="409"/>
        <v/>
      </c>
    </row>
    <row r="2577" spans="1:70" ht="14.25" customHeight="1">
      <c r="A2577" s="26"/>
      <c r="C2577" s="26"/>
      <c r="D2577" s="27"/>
      <c r="E2577" s="27"/>
      <c r="BE2577" s="10" t="str">
        <f t="shared" si="400"/>
        <v/>
      </c>
      <c r="BF2577" s="8" t="str">
        <f t="shared" si="401"/>
        <v/>
      </c>
      <c r="BG2577" s="11" t="str">
        <f t="shared" si="402"/>
        <v/>
      </c>
      <c r="BH2577" s="8" t="str">
        <f t="shared" si="403"/>
        <v/>
      </c>
      <c r="BI2577" s="8" t="str">
        <f t="shared" si="404"/>
        <v/>
      </c>
      <c r="BJ2577" s="9" t="str">
        <f t="shared" si="405"/>
        <v/>
      </c>
      <c r="BK2577" s="9" t="str">
        <f>IF($B2577="","",COUNTIFS($B$5:$B2577,$B2577,$BF$5:$BF2577,$BF2577))</f>
        <v/>
      </c>
      <c r="BL2577" s="9" t="str">
        <f>IF($B2577="","",COUNTIFS($B$5:$B2577,$B2577,$BH$5:$BH2577,$BH2577))</f>
        <v/>
      </c>
      <c r="BM2577" s="9" t="str">
        <f t="shared" si="406"/>
        <v/>
      </c>
      <c r="BN2577" s="9" t="str">
        <f t="shared" si="407"/>
        <v/>
      </c>
      <c r="BO2577" s="9">
        <f t="shared" si="408"/>
        <v>0</v>
      </c>
      <c r="BR2577" s="12" t="str">
        <f t="shared" si="409"/>
        <v/>
      </c>
    </row>
    <row r="2578" spans="1:70" ht="14.25" customHeight="1">
      <c r="A2578" s="26"/>
      <c r="C2578" s="26"/>
      <c r="D2578" s="27"/>
      <c r="E2578" s="27"/>
      <c r="BE2578" s="10" t="str">
        <f t="shared" si="400"/>
        <v/>
      </c>
      <c r="BF2578" s="8" t="str">
        <f t="shared" si="401"/>
        <v/>
      </c>
      <c r="BG2578" s="11" t="str">
        <f t="shared" si="402"/>
        <v/>
      </c>
      <c r="BH2578" s="8" t="str">
        <f t="shared" si="403"/>
        <v/>
      </c>
      <c r="BI2578" s="8" t="str">
        <f t="shared" si="404"/>
        <v/>
      </c>
      <c r="BJ2578" s="9" t="str">
        <f t="shared" si="405"/>
        <v/>
      </c>
      <c r="BK2578" s="9" t="str">
        <f>IF($B2578="","",COUNTIFS($B$5:$B2578,$B2578,$BF$5:$BF2578,$BF2578))</f>
        <v/>
      </c>
      <c r="BL2578" s="9" t="str">
        <f>IF($B2578="","",COUNTIFS($B$5:$B2578,$B2578,$BH$5:$BH2578,$BH2578))</f>
        <v/>
      </c>
      <c r="BM2578" s="9" t="str">
        <f t="shared" si="406"/>
        <v/>
      </c>
      <c r="BN2578" s="9" t="str">
        <f t="shared" si="407"/>
        <v/>
      </c>
      <c r="BO2578" s="9">
        <f t="shared" si="408"/>
        <v>0</v>
      </c>
      <c r="BR2578" s="12" t="str">
        <f t="shared" si="409"/>
        <v/>
      </c>
    </row>
    <row r="2579" spans="1:70" ht="14.25" customHeight="1">
      <c r="A2579" s="26"/>
      <c r="C2579" s="26"/>
      <c r="D2579" s="27"/>
      <c r="E2579" s="27"/>
      <c r="BE2579" s="10" t="str">
        <f t="shared" si="400"/>
        <v/>
      </c>
      <c r="BF2579" s="8" t="str">
        <f t="shared" si="401"/>
        <v/>
      </c>
      <c r="BG2579" s="11" t="str">
        <f t="shared" si="402"/>
        <v/>
      </c>
      <c r="BH2579" s="8" t="str">
        <f t="shared" si="403"/>
        <v/>
      </c>
      <c r="BI2579" s="8" t="str">
        <f t="shared" si="404"/>
        <v/>
      </c>
      <c r="BJ2579" s="9" t="str">
        <f t="shared" si="405"/>
        <v/>
      </c>
      <c r="BK2579" s="9" t="str">
        <f>IF($B2579="","",COUNTIFS($B$5:$B2579,$B2579,$BF$5:$BF2579,$BF2579))</f>
        <v/>
      </c>
      <c r="BL2579" s="9" t="str">
        <f>IF($B2579="","",COUNTIFS($B$5:$B2579,$B2579,$BH$5:$BH2579,$BH2579))</f>
        <v/>
      </c>
      <c r="BM2579" s="9" t="str">
        <f t="shared" si="406"/>
        <v/>
      </c>
      <c r="BN2579" s="9" t="str">
        <f t="shared" si="407"/>
        <v/>
      </c>
      <c r="BO2579" s="9">
        <f t="shared" si="408"/>
        <v>0</v>
      </c>
      <c r="BR2579" s="12" t="str">
        <f t="shared" si="409"/>
        <v/>
      </c>
    </row>
    <row r="2580" spans="1:70" ht="14.25" customHeight="1">
      <c r="A2580" s="26"/>
      <c r="C2580" s="26"/>
      <c r="D2580" s="27"/>
      <c r="E2580" s="27"/>
      <c r="BE2580" s="10" t="str">
        <f t="shared" si="400"/>
        <v/>
      </c>
      <c r="BF2580" s="8" t="str">
        <f t="shared" si="401"/>
        <v/>
      </c>
      <c r="BG2580" s="11" t="str">
        <f t="shared" si="402"/>
        <v/>
      </c>
      <c r="BH2580" s="8" t="str">
        <f t="shared" si="403"/>
        <v/>
      </c>
      <c r="BI2580" s="8" t="str">
        <f t="shared" si="404"/>
        <v/>
      </c>
      <c r="BJ2580" s="9" t="str">
        <f t="shared" si="405"/>
        <v/>
      </c>
      <c r="BK2580" s="9" t="str">
        <f>IF($B2580="","",COUNTIFS($B$5:$B2580,$B2580,$BF$5:$BF2580,$BF2580))</f>
        <v/>
      </c>
      <c r="BL2580" s="9" t="str">
        <f>IF($B2580="","",COUNTIFS($B$5:$B2580,$B2580,$BH$5:$BH2580,$BH2580))</f>
        <v/>
      </c>
      <c r="BM2580" s="9" t="str">
        <f t="shared" si="406"/>
        <v/>
      </c>
      <c r="BN2580" s="9" t="str">
        <f t="shared" si="407"/>
        <v/>
      </c>
      <c r="BO2580" s="9">
        <f t="shared" si="408"/>
        <v>0</v>
      </c>
      <c r="BR2580" s="12" t="str">
        <f t="shared" si="409"/>
        <v/>
      </c>
    </row>
    <row r="2581" spans="1:70" ht="14.25" customHeight="1">
      <c r="A2581" s="26"/>
      <c r="C2581" s="26"/>
      <c r="D2581" s="27"/>
      <c r="E2581" s="27"/>
      <c r="BE2581" s="10" t="str">
        <f t="shared" si="400"/>
        <v/>
      </c>
      <c r="BF2581" s="8" t="str">
        <f t="shared" si="401"/>
        <v/>
      </c>
      <c r="BG2581" s="11" t="str">
        <f t="shared" si="402"/>
        <v/>
      </c>
      <c r="BH2581" s="8" t="str">
        <f t="shared" si="403"/>
        <v/>
      </c>
      <c r="BI2581" s="8" t="str">
        <f t="shared" si="404"/>
        <v/>
      </c>
      <c r="BJ2581" s="9" t="str">
        <f t="shared" si="405"/>
        <v/>
      </c>
      <c r="BK2581" s="9" t="str">
        <f>IF($B2581="","",COUNTIFS($B$5:$B2581,$B2581,$BF$5:$BF2581,$BF2581))</f>
        <v/>
      </c>
      <c r="BL2581" s="9" t="str">
        <f>IF($B2581="","",COUNTIFS($B$5:$B2581,$B2581,$BH$5:$BH2581,$BH2581))</f>
        <v/>
      </c>
      <c r="BM2581" s="9" t="str">
        <f t="shared" si="406"/>
        <v/>
      </c>
      <c r="BN2581" s="9" t="str">
        <f t="shared" si="407"/>
        <v/>
      </c>
      <c r="BO2581" s="9">
        <f t="shared" si="408"/>
        <v>0</v>
      </c>
      <c r="BR2581" s="12" t="str">
        <f t="shared" si="409"/>
        <v/>
      </c>
    </row>
    <row r="2582" spans="1:70" ht="14.25" customHeight="1">
      <c r="A2582" s="26"/>
      <c r="C2582" s="26"/>
      <c r="D2582" s="27"/>
      <c r="E2582" s="27"/>
      <c r="BE2582" s="10" t="str">
        <f t="shared" si="400"/>
        <v/>
      </c>
      <c r="BF2582" s="8" t="str">
        <f t="shared" si="401"/>
        <v/>
      </c>
      <c r="BG2582" s="11" t="str">
        <f t="shared" si="402"/>
        <v/>
      </c>
      <c r="BH2582" s="8" t="str">
        <f t="shared" si="403"/>
        <v/>
      </c>
      <c r="BI2582" s="8" t="str">
        <f t="shared" si="404"/>
        <v/>
      </c>
      <c r="BJ2582" s="9" t="str">
        <f t="shared" si="405"/>
        <v/>
      </c>
      <c r="BK2582" s="9" t="str">
        <f>IF($B2582="","",COUNTIFS($B$5:$B2582,$B2582,$BF$5:$BF2582,$BF2582))</f>
        <v/>
      </c>
      <c r="BL2582" s="9" t="str">
        <f>IF($B2582="","",COUNTIFS($B$5:$B2582,$B2582,$BH$5:$BH2582,$BH2582))</f>
        <v/>
      </c>
      <c r="BM2582" s="9" t="str">
        <f t="shared" si="406"/>
        <v/>
      </c>
      <c r="BN2582" s="9" t="str">
        <f t="shared" si="407"/>
        <v/>
      </c>
      <c r="BO2582" s="9">
        <f t="shared" si="408"/>
        <v>0</v>
      </c>
      <c r="BR2582" s="12" t="str">
        <f t="shared" si="409"/>
        <v/>
      </c>
    </row>
    <row r="2583" spans="1:70" ht="14.25" customHeight="1">
      <c r="A2583" s="26"/>
      <c r="C2583" s="26"/>
      <c r="D2583" s="27"/>
      <c r="E2583" s="27"/>
      <c r="BE2583" s="10" t="str">
        <f t="shared" si="400"/>
        <v/>
      </c>
      <c r="BF2583" s="8" t="str">
        <f t="shared" si="401"/>
        <v/>
      </c>
      <c r="BG2583" s="11" t="str">
        <f t="shared" si="402"/>
        <v/>
      </c>
      <c r="BH2583" s="8" t="str">
        <f t="shared" si="403"/>
        <v/>
      </c>
      <c r="BI2583" s="8" t="str">
        <f t="shared" si="404"/>
        <v/>
      </c>
      <c r="BJ2583" s="9" t="str">
        <f t="shared" si="405"/>
        <v/>
      </c>
      <c r="BK2583" s="9" t="str">
        <f>IF($B2583="","",COUNTIFS($B$5:$B2583,$B2583,$BF$5:$BF2583,$BF2583))</f>
        <v/>
      </c>
      <c r="BL2583" s="9" t="str">
        <f>IF($B2583="","",COUNTIFS($B$5:$B2583,$B2583,$BH$5:$BH2583,$BH2583))</f>
        <v/>
      </c>
      <c r="BM2583" s="9" t="str">
        <f t="shared" si="406"/>
        <v/>
      </c>
      <c r="BN2583" s="9" t="str">
        <f t="shared" si="407"/>
        <v/>
      </c>
      <c r="BO2583" s="9">
        <f t="shared" si="408"/>
        <v>0</v>
      </c>
      <c r="BR2583" s="12" t="str">
        <f t="shared" si="409"/>
        <v/>
      </c>
    </row>
    <row r="2584" spans="1:70" ht="14.25" customHeight="1">
      <c r="A2584" s="26"/>
      <c r="C2584" s="26"/>
      <c r="D2584" s="27"/>
      <c r="E2584" s="27"/>
      <c r="BE2584" s="10" t="str">
        <f t="shared" si="400"/>
        <v/>
      </c>
      <c r="BF2584" s="8" t="str">
        <f t="shared" si="401"/>
        <v/>
      </c>
      <c r="BG2584" s="11" t="str">
        <f t="shared" si="402"/>
        <v/>
      </c>
      <c r="BH2584" s="8" t="str">
        <f t="shared" si="403"/>
        <v/>
      </c>
      <c r="BI2584" s="8" t="str">
        <f t="shared" si="404"/>
        <v/>
      </c>
      <c r="BJ2584" s="9" t="str">
        <f t="shared" si="405"/>
        <v/>
      </c>
      <c r="BK2584" s="9" t="str">
        <f>IF($B2584="","",COUNTIFS($B$5:$B2584,$B2584,$BF$5:$BF2584,$BF2584))</f>
        <v/>
      </c>
      <c r="BL2584" s="9" t="str">
        <f>IF($B2584="","",COUNTIFS($B$5:$B2584,$B2584,$BH$5:$BH2584,$BH2584))</f>
        <v/>
      </c>
      <c r="BM2584" s="9" t="str">
        <f t="shared" si="406"/>
        <v/>
      </c>
      <c r="BN2584" s="9" t="str">
        <f t="shared" si="407"/>
        <v/>
      </c>
      <c r="BO2584" s="9">
        <f t="shared" si="408"/>
        <v>0</v>
      </c>
      <c r="BR2584" s="12" t="str">
        <f t="shared" si="409"/>
        <v/>
      </c>
    </row>
    <row r="2585" spans="1:70" ht="14.25" customHeight="1">
      <c r="A2585" s="26"/>
      <c r="C2585" s="26"/>
      <c r="D2585" s="27"/>
      <c r="E2585" s="27"/>
      <c r="BE2585" s="10" t="str">
        <f t="shared" si="400"/>
        <v/>
      </c>
      <c r="BF2585" s="8" t="str">
        <f t="shared" si="401"/>
        <v/>
      </c>
      <c r="BG2585" s="11" t="str">
        <f t="shared" si="402"/>
        <v/>
      </c>
      <c r="BH2585" s="8" t="str">
        <f t="shared" si="403"/>
        <v/>
      </c>
      <c r="BI2585" s="8" t="str">
        <f t="shared" si="404"/>
        <v/>
      </c>
      <c r="BJ2585" s="9" t="str">
        <f t="shared" si="405"/>
        <v/>
      </c>
      <c r="BK2585" s="9" t="str">
        <f>IF($B2585="","",COUNTIFS($B$5:$B2585,$B2585,$BF$5:$BF2585,$BF2585))</f>
        <v/>
      </c>
      <c r="BL2585" s="9" t="str">
        <f>IF($B2585="","",COUNTIFS($B$5:$B2585,$B2585,$BH$5:$BH2585,$BH2585))</f>
        <v/>
      </c>
      <c r="BM2585" s="9" t="str">
        <f t="shared" si="406"/>
        <v/>
      </c>
      <c r="BN2585" s="9" t="str">
        <f t="shared" si="407"/>
        <v/>
      </c>
      <c r="BO2585" s="9">
        <f t="shared" si="408"/>
        <v>0</v>
      </c>
      <c r="BR2585" s="12" t="str">
        <f t="shared" si="409"/>
        <v/>
      </c>
    </row>
    <row r="2586" spans="1:70" ht="14.25" customHeight="1">
      <c r="A2586" s="26"/>
      <c r="C2586" s="26"/>
      <c r="D2586" s="27"/>
      <c r="E2586" s="27"/>
      <c r="BE2586" s="10" t="str">
        <f t="shared" si="400"/>
        <v/>
      </c>
      <c r="BF2586" s="8" t="str">
        <f t="shared" si="401"/>
        <v/>
      </c>
      <c r="BG2586" s="11" t="str">
        <f t="shared" si="402"/>
        <v/>
      </c>
      <c r="BH2586" s="8" t="str">
        <f t="shared" si="403"/>
        <v/>
      </c>
      <c r="BI2586" s="8" t="str">
        <f t="shared" si="404"/>
        <v/>
      </c>
      <c r="BJ2586" s="9" t="str">
        <f t="shared" si="405"/>
        <v/>
      </c>
      <c r="BK2586" s="9" t="str">
        <f>IF($B2586="","",COUNTIFS($B$5:$B2586,$B2586,$BF$5:$BF2586,$BF2586))</f>
        <v/>
      </c>
      <c r="BL2586" s="9" t="str">
        <f>IF($B2586="","",COUNTIFS($B$5:$B2586,$B2586,$BH$5:$BH2586,$BH2586))</f>
        <v/>
      </c>
      <c r="BM2586" s="9" t="str">
        <f t="shared" si="406"/>
        <v/>
      </c>
      <c r="BN2586" s="9" t="str">
        <f t="shared" si="407"/>
        <v/>
      </c>
      <c r="BO2586" s="9">
        <f t="shared" si="408"/>
        <v>0</v>
      </c>
      <c r="BR2586" s="12" t="str">
        <f t="shared" si="409"/>
        <v/>
      </c>
    </row>
    <row r="2587" spans="1:70" ht="14.25" customHeight="1">
      <c r="A2587" s="26"/>
      <c r="C2587" s="26"/>
      <c r="D2587" s="27"/>
      <c r="E2587" s="27"/>
      <c r="BE2587" s="10" t="str">
        <f t="shared" si="400"/>
        <v/>
      </c>
      <c r="BF2587" s="8" t="str">
        <f t="shared" si="401"/>
        <v/>
      </c>
      <c r="BG2587" s="11" t="str">
        <f t="shared" si="402"/>
        <v/>
      </c>
      <c r="BH2587" s="8" t="str">
        <f t="shared" si="403"/>
        <v/>
      </c>
      <c r="BI2587" s="8" t="str">
        <f t="shared" si="404"/>
        <v/>
      </c>
      <c r="BJ2587" s="9" t="str">
        <f t="shared" si="405"/>
        <v/>
      </c>
      <c r="BK2587" s="9" t="str">
        <f>IF($B2587="","",COUNTIFS($B$5:$B2587,$B2587,$BF$5:$BF2587,$BF2587))</f>
        <v/>
      </c>
      <c r="BL2587" s="9" t="str">
        <f>IF($B2587="","",COUNTIFS($B$5:$B2587,$B2587,$BH$5:$BH2587,$BH2587))</f>
        <v/>
      </c>
      <c r="BM2587" s="9" t="str">
        <f t="shared" si="406"/>
        <v/>
      </c>
      <c r="BN2587" s="9" t="str">
        <f t="shared" si="407"/>
        <v/>
      </c>
      <c r="BO2587" s="9">
        <f t="shared" si="408"/>
        <v>0</v>
      </c>
      <c r="BR2587" s="12" t="str">
        <f t="shared" si="409"/>
        <v/>
      </c>
    </row>
    <row r="2588" spans="1:70" ht="14.25" customHeight="1">
      <c r="A2588" s="26"/>
      <c r="C2588" s="26"/>
      <c r="D2588" s="27"/>
      <c r="E2588" s="27"/>
      <c r="BE2588" s="10" t="str">
        <f t="shared" si="400"/>
        <v/>
      </c>
      <c r="BF2588" s="8" t="str">
        <f t="shared" si="401"/>
        <v/>
      </c>
      <c r="BG2588" s="11" t="str">
        <f t="shared" si="402"/>
        <v/>
      </c>
      <c r="BH2588" s="8" t="str">
        <f t="shared" si="403"/>
        <v/>
      </c>
      <c r="BI2588" s="8" t="str">
        <f t="shared" si="404"/>
        <v/>
      </c>
      <c r="BJ2588" s="9" t="str">
        <f t="shared" si="405"/>
        <v/>
      </c>
      <c r="BK2588" s="9" t="str">
        <f>IF($B2588="","",COUNTIFS($B$5:$B2588,$B2588,$BF$5:$BF2588,$BF2588))</f>
        <v/>
      </c>
      <c r="BL2588" s="9" t="str">
        <f>IF($B2588="","",COUNTIFS($B$5:$B2588,$B2588,$BH$5:$BH2588,$BH2588))</f>
        <v/>
      </c>
      <c r="BM2588" s="9" t="str">
        <f t="shared" si="406"/>
        <v/>
      </c>
      <c r="BN2588" s="9" t="str">
        <f t="shared" si="407"/>
        <v/>
      </c>
      <c r="BO2588" s="9">
        <f t="shared" si="408"/>
        <v>0</v>
      </c>
      <c r="BR2588" s="12" t="str">
        <f t="shared" si="409"/>
        <v/>
      </c>
    </row>
    <row r="2589" spans="1:70" ht="14.25" customHeight="1">
      <c r="A2589" s="26"/>
      <c r="C2589" s="26"/>
      <c r="D2589" s="27"/>
      <c r="E2589" s="27"/>
      <c r="BE2589" s="10" t="str">
        <f t="shared" ref="BE2589:BE2640" si="410">IF($B2589="","",IF(COUNT($H2589,$J2589,$L2589,$N2589,$P2589,$R2589)&gt;0,SUM($H2589,$J2589,$L2589,$N2589,$P2589,$R2589),SUM($T2589,$V2589,$X2589,$Z2589,$AB2589,$AD2589,$AF2589,$AH2589,$AJ2589,$AL2589,$AN2589,$AP2589,$AR2589,$AT2589,$AV2589,$AX2589,$AZ2589)))</f>
        <v/>
      </c>
      <c r="BF2589" s="8" t="str">
        <f t="shared" ref="BF2589:BF2640" si="411">IF($C2589="","",DATE(YEAR($C2589),MONTH($C2589),1))</f>
        <v/>
      </c>
      <c r="BG2589" s="11" t="str">
        <f t="shared" ref="BG2589:BG2640" si="412">IF($BF2589="","",TEXT($BF2589,"mmmm yyyy"))</f>
        <v/>
      </c>
      <c r="BH2589" s="8" t="str">
        <f t="shared" ref="BH2589:BH2640" si="413">IF($C2589="","",$C2589-WEEKDAY($C2589,2)+1)</f>
        <v/>
      </c>
      <c r="BI2589" s="8" t="str">
        <f t="shared" ref="BI2589:BI2640" si="414">IF($BH2589="","",$BH2589+6)</f>
        <v/>
      </c>
      <c r="BJ2589" s="9" t="str">
        <f t="shared" ref="BJ2589:BJ2640" si="415">IF($BH2589="","",TEXT($BH2589,"dd/mm/yyyy")&amp;" - "&amp;TEXT($BI2589,"dd/mm/yyyy"))</f>
        <v/>
      </c>
      <c r="BK2589" s="9" t="str">
        <f>IF($B2589="","",COUNTIFS($B$5:$B2589,$B2589,$BF$5:$BF2589,$BF2589))</f>
        <v/>
      </c>
      <c r="BL2589" s="9" t="str">
        <f>IF($B2589="","",COUNTIFS($B$5:$B2589,$B2589,$BH$5:$BH2589,$BH2589))</f>
        <v/>
      </c>
      <c r="BM2589" s="9" t="str">
        <f t="shared" ref="BM2589:BM2640" si="416">IF($B2589="","",TEXT($BK2589,"00")&amp;"|"&amp;$B2589&amp;"|"&amp;TEXT($BF2589,"yyyymmdd"))</f>
        <v/>
      </c>
      <c r="BN2589" s="9" t="str">
        <f t="shared" ref="BN2589:BN2640" si="417">IF($B2589="","",TEXT($BL2589,"00")&amp;"|"&amp;$B2589&amp;"|"&amp;TEXT($BH2589,"yyyymmdd"))</f>
        <v/>
      </c>
      <c r="BO2589" s="9">
        <f t="shared" ref="BO2589:BO2640" si="418">IF(OR($BB2589="YES",$BB2589="Yes",$BB2589="Y",$BB2589=1),1,0)</f>
        <v>0</v>
      </c>
      <c r="BR2589" s="12" t="str">
        <f t="shared" ref="BR2589:BR2640" si="419">IF($C2589="","",IF($C2589&gt;=DATE(2026,6,1),"QA-2026-06",IF($C2589&gt;=DATE(2026,5,1),"May 2026+",IF($C2589&gt;=DATE(2026,4,1),"April 2026",IF($C2589&gt;=DATE(2026,3,1),"March 2026","Jan-Feb 2026")))))</f>
        <v/>
      </c>
    </row>
    <row r="2590" spans="1:70" ht="14.25" customHeight="1">
      <c r="A2590" s="26"/>
      <c r="C2590" s="26"/>
      <c r="D2590" s="27"/>
      <c r="E2590" s="27"/>
      <c r="BE2590" s="10" t="str">
        <f t="shared" si="410"/>
        <v/>
      </c>
      <c r="BF2590" s="8" t="str">
        <f t="shared" si="411"/>
        <v/>
      </c>
      <c r="BG2590" s="11" t="str">
        <f t="shared" si="412"/>
        <v/>
      </c>
      <c r="BH2590" s="8" t="str">
        <f t="shared" si="413"/>
        <v/>
      </c>
      <c r="BI2590" s="8" t="str">
        <f t="shared" si="414"/>
        <v/>
      </c>
      <c r="BJ2590" s="9" t="str">
        <f t="shared" si="415"/>
        <v/>
      </c>
      <c r="BK2590" s="9" t="str">
        <f>IF($B2590="","",COUNTIFS($B$5:$B2590,$B2590,$BF$5:$BF2590,$BF2590))</f>
        <v/>
      </c>
      <c r="BL2590" s="9" t="str">
        <f>IF($B2590="","",COUNTIFS($B$5:$B2590,$B2590,$BH$5:$BH2590,$BH2590))</f>
        <v/>
      </c>
      <c r="BM2590" s="9" t="str">
        <f t="shared" si="416"/>
        <v/>
      </c>
      <c r="BN2590" s="9" t="str">
        <f t="shared" si="417"/>
        <v/>
      </c>
      <c r="BO2590" s="9">
        <f t="shared" si="418"/>
        <v>0</v>
      </c>
      <c r="BR2590" s="12" t="str">
        <f t="shared" si="419"/>
        <v/>
      </c>
    </row>
    <row r="2591" spans="1:70" ht="14.25" customHeight="1">
      <c r="A2591" s="26"/>
      <c r="C2591" s="26"/>
      <c r="D2591" s="27"/>
      <c r="E2591" s="27"/>
      <c r="BE2591" s="10" t="str">
        <f t="shared" si="410"/>
        <v/>
      </c>
      <c r="BF2591" s="8" t="str">
        <f t="shared" si="411"/>
        <v/>
      </c>
      <c r="BG2591" s="11" t="str">
        <f t="shared" si="412"/>
        <v/>
      </c>
      <c r="BH2591" s="8" t="str">
        <f t="shared" si="413"/>
        <v/>
      </c>
      <c r="BI2591" s="8" t="str">
        <f t="shared" si="414"/>
        <v/>
      </c>
      <c r="BJ2591" s="9" t="str">
        <f t="shared" si="415"/>
        <v/>
      </c>
      <c r="BK2591" s="9" t="str">
        <f>IF($B2591="","",COUNTIFS($B$5:$B2591,$B2591,$BF$5:$BF2591,$BF2591))</f>
        <v/>
      </c>
      <c r="BL2591" s="9" t="str">
        <f>IF($B2591="","",COUNTIFS($B$5:$B2591,$B2591,$BH$5:$BH2591,$BH2591))</f>
        <v/>
      </c>
      <c r="BM2591" s="9" t="str">
        <f t="shared" si="416"/>
        <v/>
      </c>
      <c r="BN2591" s="9" t="str">
        <f t="shared" si="417"/>
        <v/>
      </c>
      <c r="BO2591" s="9">
        <f t="shared" si="418"/>
        <v>0</v>
      </c>
      <c r="BR2591" s="12" t="str">
        <f t="shared" si="419"/>
        <v/>
      </c>
    </row>
    <row r="2592" spans="1:70" ht="14.25" customHeight="1">
      <c r="A2592" s="26"/>
      <c r="C2592" s="26"/>
      <c r="D2592" s="27"/>
      <c r="E2592" s="27"/>
      <c r="BE2592" s="10" t="str">
        <f t="shared" si="410"/>
        <v/>
      </c>
      <c r="BF2592" s="8" t="str">
        <f t="shared" si="411"/>
        <v/>
      </c>
      <c r="BG2592" s="11" t="str">
        <f t="shared" si="412"/>
        <v/>
      </c>
      <c r="BH2592" s="8" t="str">
        <f t="shared" si="413"/>
        <v/>
      </c>
      <c r="BI2592" s="8" t="str">
        <f t="shared" si="414"/>
        <v/>
      </c>
      <c r="BJ2592" s="9" t="str">
        <f t="shared" si="415"/>
        <v/>
      </c>
      <c r="BK2592" s="9" t="str">
        <f>IF($B2592="","",COUNTIFS($B$5:$B2592,$B2592,$BF$5:$BF2592,$BF2592))</f>
        <v/>
      </c>
      <c r="BL2592" s="9" t="str">
        <f>IF($B2592="","",COUNTIFS($B$5:$B2592,$B2592,$BH$5:$BH2592,$BH2592))</f>
        <v/>
      </c>
      <c r="BM2592" s="9" t="str">
        <f t="shared" si="416"/>
        <v/>
      </c>
      <c r="BN2592" s="9" t="str">
        <f t="shared" si="417"/>
        <v/>
      </c>
      <c r="BO2592" s="9">
        <f t="shared" si="418"/>
        <v>0</v>
      </c>
      <c r="BR2592" s="12" t="str">
        <f t="shared" si="419"/>
        <v/>
      </c>
    </row>
    <row r="2593" spans="1:70" ht="14.25" customHeight="1">
      <c r="A2593" s="26"/>
      <c r="C2593" s="26"/>
      <c r="D2593" s="27"/>
      <c r="E2593" s="27"/>
      <c r="BE2593" s="10" t="str">
        <f t="shared" si="410"/>
        <v/>
      </c>
      <c r="BF2593" s="8" t="str">
        <f t="shared" si="411"/>
        <v/>
      </c>
      <c r="BG2593" s="11" t="str">
        <f t="shared" si="412"/>
        <v/>
      </c>
      <c r="BH2593" s="8" t="str">
        <f t="shared" si="413"/>
        <v/>
      </c>
      <c r="BI2593" s="8" t="str">
        <f t="shared" si="414"/>
        <v/>
      </c>
      <c r="BJ2593" s="9" t="str">
        <f t="shared" si="415"/>
        <v/>
      </c>
      <c r="BK2593" s="9" t="str">
        <f>IF($B2593="","",COUNTIFS($B$5:$B2593,$B2593,$BF$5:$BF2593,$BF2593))</f>
        <v/>
      </c>
      <c r="BL2593" s="9" t="str">
        <f>IF($B2593="","",COUNTIFS($B$5:$B2593,$B2593,$BH$5:$BH2593,$BH2593))</f>
        <v/>
      </c>
      <c r="BM2593" s="9" t="str">
        <f t="shared" si="416"/>
        <v/>
      </c>
      <c r="BN2593" s="9" t="str">
        <f t="shared" si="417"/>
        <v/>
      </c>
      <c r="BO2593" s="9">
        <f t="shared" si="418"/>
        <v>0</v>
      </c>
      <c r="BR2593" s="12" t="str">
        <f t="shared" si="419"/>
        <v/>
      </c>
    </row>
    <row r="2594" spans="1:70" ht="14.25" customHeight="1">
      <c r="A2594" s="26"/>
      <c r="C2594" s="26"/>
      <c r="D2594" s="27"/>
      <c r="E2594" s="27"/>
      <c r="BE2594" s="10" t="str">
        <f t="shared" si="410"/>
        <v/>
      </c>
      <c r="BF2594" s="8" t="str">
        <f t="shared" si="411"/>
        <v/>
      </c>
      <c r="BG2594" s="11" t="str">
        <f t="shared" si="412"/>
        <v/>
      </c>
      <c r="BH2594" s="8" t="str">
        <f t="shared" si="413"/>
        <v/>
      </c>
      <c r="BI2594" s="8" t="str">
        <f t="shared" si="414"/>
        <v/>
      </c>
      <c r="BJ2594" s="9" t="str">
        <f t="shared" si="415"/>
        <v/>
      </c>
      <c r="BK2594" s="9" t="str">
        <f>IF($B2594="","",COUNTIFS($B$5:$B2594,$B2594,$BF$5:$BF2594,$BF2594))</f>
        <v/>
      </c>
      <c r="BL2594" s="9" t="str">
        <f>IF($B2594="","",COUNTIFS($B$5:$B2594,$B2594,$BH$5:$BH2594,$BH2594))</f>
        <v/>
      </c>
      <c r="BM2594" s="9" t="str">
        <f t="shared" si="416"/>
        <v/>
      </c>
      <c r="BN2594" s="9" t="str">
        <f t="shared" si="417"/>
        <v/>
      </c>
      <c r="BO2594" s="9">
        <f t="shared" si="418"/>
        <v>0</v>
      </c>
      <c r="BR2594" s="12" t="str">
        <f t="shared" si="419"/>
        <v/>
      </c>
    </row>
    <row r="2595" spans="1:70" ht="14.25" customHeight="1">
      <c r="A2595" s="26"/>
      <c r="C2595" s="26"/>
      <c r="D2595" s="27"/>
      <c r="E2595" s="27"/>
      <c r="BE2595" s="10" t="str">
        <f t="shared" si="410"/>
        <v/>
      </c>
      <c r="BF2595" s="8" t="str">
        <f t="shared" si="411"/>
        <v/>
      </c>
      <c r="BG2595" s="11" t="str">
        <f t="shared" si="412"/>
        <v/>
      </c>
      <c r="BH2595" s="8" t="str">
        <f t="shared" si="413"/>
        <v/>
      </c>
      <c r="BI2595" s="8" t="str">
        <f t="shared" si="414"/>
        <v/>
      </c>
      <c r="BJ2595" s="9" t="str">
        <f t="shared" si="415"/>
        <v/>
      </c>
      <c r="BK2595" s="9" t="str">
        <f>IF($B2595="","",COUNTIFS($B$5:$B2595,$B2595,$BF$5:$BF2595,$BF2595))</f>
        <v/>
      </c>
      <c r="BL2595" s="9" t="str">
        <f>IF($B2595="","",COUNTIFS($B$5:$B2595,$B2595,$BH$5:$BH2595,$BH2595))</f>
        <v/>
      </c>
      <c r="BM2595" s="9" t="str">
        <f t="shared" si="416"/>
        <v/>
      </c>
      <c r="BN2595" s="9" t="str">
        <f t="shared" si="417"/>
        <v/>
      </c>
      <c r="BO2595" s="9">
        <f t="shared" si="418"/>
        <v>0</v>
      </c>
      <c r="BR2595" s="12" t="str">
        <f t="shared" si="419"/>
        <v/>
      </c>
    </row>
    <row r="2596" spans="1:70" ht="14.25" customHeight="1">
      <c r="A2596" s="26"/>
      <c r="C2596" s="26"/>
      <c r="D2596" s="27"/>
      <c r="E2596" s="27"/>
      <c r="BE2596" s="10" t="str">
        <f t="shared" si="410"/>
        <v/>
      </c>
      <c r="BF2596" s="8" t="str">
        <f t="shared" si="411"/>
        <v/>
      </c>
      <c r="BG2596" s="11" t="str">
        <f t="shared" si="412"/>
        <v/>
      </c>
      <c r="BH2596" s="8" t="str">
        <f t="shared" si="413"/>
        <v/>
      </c>
      <c r="BI2596" s="8" t="str">
        <f t="shared" si="414"/>
        <v/>
      </c>
      <c r="BJ2596" s="9" t="str">
        <f t="shared" si="415"/>
        <v/>
      </c>
      <c r="BK2596" s="9" t="str">
        <f>IF($B2596="","",COUNTIFS($B$5:$B2596,$B2596,$BF$5:$BF2596,$BF2596))</f>
        <v/>
      </c>
      <c r="BL2596" s="9" t="str">
        <f>IF($B2596="","",COUNTIFS($B$5:$B2596,$B2596,$BH$5:$BH2596,$BH2596))</f>
        <v/>
      </c>
      <c r="BM2596" s="9" t="str">
        <f t="shared" si="416"/>
        <v/>
      </c>
      <c r="BN2596" s="9" t="str">
        <f t="shared" si="417"/>
        <v/>
      </c>
      <c r="BO2596" s="9">
        <f t="shared" si="418"/>
        <v>0</v>
      </c>
      <c r="BR2596" s="12" t="str">
        <f t="shared" si="419"/>
        <v/>
      </c>
    </row>
    <row r="2597" spans="1:70" ht="14.25" customHeight="1">
      <c r="A2597" s="26"/>
      <c r="C2597" s="26"/>
      <c r="D2597" s="27"/>
      <c r="E2597" s="27"/>
      <c r="BE2597" s="10" t="str">
        <f t="shared" si="410"/>
        <v/>
      </c>
      <c r="BF2597" s="8" t="str">
        <f t="shared" si="411"/>
        <v/>
      </c>
      <c r="BG2597" s="11" t="str">
        <f t="shared" si="412"/>
        <v/>
      </c>
      <c r="BH2597" s="8" t="str">
        <f t="shared" si="413"/>
        <v/>
      </c>
      <c r="BI2597" s="8" t="str">
        <f t="shared" si="414"/>
        <v/>
      </c>
      <c r="BJ2597" s="9" t="str">
        <f t="shared" si="415"/>
        <v/>
      </c>
      <c r="BK2597" s="9" t="str">
        <f>IF($B2597="","",COUNTIFS($B$5:$B2597,$B2597,$BF$5:$BF2597,$BF2597))</f>
        <v/>
      </c>
      <c r="BL2597" s="9" t="str">
        <f>IF($B2597="","",COUNTIFS($B$5:$B2597,$B2597,$BH$5:$BH2597,$BH2597))</f>
        <v/>
      </c>
      <c r="BM2597" s="9" t="str">
        <f t="shared" si="416"/>
        <v/>
      </c>
      <c r="BN2597" s="9" t="str">
        <f t="shared" si="417"/>
        <v/>
      </c>
      <c r="BO2597" s="9">
        <f t="shared" si="418"/>
        <v>0</v>
      </c>
      <c r="BR2597" s="12" t="str">
        <f t="shared" si="419"/>
        <v/>
      </c>
    </row>
    <row r="2598" spans="1:70" ht="14.25" customHeight="1">
      <c r="A2598" s="26"/>
      <c r="C2598" s="26"/>
      <c r="D2598" s="27"/>
      <c r="E2598" s="27"/>
      <c r="BE2598" s="10" t="str">
        <f t="shared" si="410"/>
        <v/>
      </c>
      <c r="BF2598" s="8" t="str">
        <f t="shared" si="411"/>
        <v/>
      </c>
      <c r="BG2598" s="11" t="str">
        <f t="shared" si="412"/>
        <v/>
      </c>
      <c r="BH2598" s="8" t="str">
        <f t="shared" si="413"/>
        <v/>
      </c>
      <c r="BI2598" s="8" t="str">
        <f t="shared" si="414"/>
        <v/>
      </c>
      <c r="BJ2598" s="9" t="str">
        <f t="shared" si="415"/>
        <v/>
      </c>
      <c r="BK2598" s="9" t="str">
        <f>IF($B2598="","",COUNTIFS($B$5:$B2598,$B2598,$BF$5:$BF2598,$BF2598))</f>
        <v/>
      </c>
      <c r="BL2598" s="9" t="str">
        <f>IF($B2598="","",COUNTIFS($B$5:$B2598,$B2598,$BH$5:$BH2598,$BH2598))</f>
        <v/>
      </c>
      <c r="BM2598" s="9" t="str">
        <f t="shared" si="416"/>
        <v/>
      </c>
      <c r="BN2598" s="9" t="str">
        <f t="shared" si="417"/>
        <v/>
      </c>
      <c r="BO2598" s="9">
        <f t="shared" si="418"/>
        <v>0</v>
      </c>
      <c r="BR2598" s="12" t="str">
        <f t="shared" si="419"/>
        <v/>
      </c>
    </row>
    <row r="2599" spans="1:70" ht="14.25" customHeight="1">
      <c r="A2599" s="26"/>
      <c r="C2599" s="26"/>
      <c r="D2599" s="27"/>
      <c r="E2599" s="27"/>
      <c r="BE2599" s="10" t="str">
        <f t="shared" si="410"/>
        <v/>
      </c>
      <c r="BF2599" s="8" t="str">
        <f t="shared" si="411"/>
        <v/>
      </c>
      <c r="BG2599" s="11" t="str">
        <f t="shared" si="412"/>
        <v/>
      </c>
      <c r="BH2599" s="8" t="str">
        <f t="shared" si="413"/>
        <v/>
      </c>
      <c r="BI2599" s="8" t="str">
        <f t="shared" si="414"/>
        <v/>
      </c>
      <c r="BJ2599" s="9" t="str">
        <f t="shared" si="415"/>
        <v/>
      </c>
      <c r="BK2599" s="9" t="str">
        <f>IF($B2599="","",COUNTIFS($B$5:$B2599,$B2599,$BF$5:$BF2599,$BF2599))</f>
        <v/>
      </c>
      <c r="BL2599" s="9" t="str">
        <f>IF($B2599="","",COUNTIFS($B$5:$B2599,$B2599,$BH$5:$BH2599,$BH2599))</f>
        <v/>
      </c>
      <c r="BM2599" s="9" t="str">
        <f t="shared" si="416"/>
        <v/>
      </c>
      <c r="BN2599" s="9" t="str">
        <f t="shared" si="417"/>
        <v/>
      </c>
      <c r="BO2599" s="9">
        <f t="shared" si="418"/>
        <v>0</v>
      </c>
      <c r="BR2599" s="12" t="str">
        <f t="shared" si="419"/>
        <v/>
      </c>
    </row>
    <row r="2600" spans="1:70" ht="14.25" customHeight="1">
      <c r="A2600" s="26"/>
      <c r="C2600" s="26"/>
      <c r="D2600" s="27"/>
      <c r="E2600" s="27"/>
      <c r="BE2600" s="10" t="str">
        <f t="shared" si="410"/>
        <v/>
      </c>
      <c r="BF2600" s="8" t="str">
        <f t="shared" si="411"/>
        <v/>
      </c>
      <c r="BG2600" s="11" t="str">
        <f t="shared" si="412"/>
        <v/>
      </c>
      <c r="BH2600" s="8" t="str">
        <f t="shared" si="413"/>
        <v/>
      </c>
      <c r="BI2600" s="8" t="str">
        <f t="shared" si="414"/>
        <v/>
      </c>
      <c r="BJ2600" s="9" t="str">
        <f t="shared" si="415"/>
        <v/>
      </c>
      <c r="BK2600" s="9" t="str">
        <f>IF($B2600="","",COUNTIFS($B$5:$B2600,$B2600,$BF$5:$BF2600,$BF2600))</f>
        <v/>
      </c>
      <c r="BL2600" s="9" t="str">
        <f>IF($B2600="","",COUNTIFS($B$5:$B2600,$B2600,$BH$5:$BH2600,$BH2600))</f>
        <v/>
      </c>
      <c r="BM2600" s="9" t="str">
        <f t="shared" si="416"/>
        <v/>
      </c>
      <c r="BN2600" s="9" t="str">
        <f t="shared" si="417"/>
        <v/>
      </c>
      <c r="BO2600" s="9">
        <f t="shared" si="418"/>
        <v>0</v>
      </c>
      <c r="BR2600" s="12" t="str">
        <f t="shared" si="419"/>
        <v/>
      </c>
    </row>
    <row r="2601" spans="1:70" ht="14.25" customHeight="1">
      <c r="A2601" s="26"/>
      <c r="C2601" s="26"/>
      <c r="D2601" s="27"/>
      <c r="E2601" s="27"/>
      <c r="BE2601" s="10" t="str">
        <f t="shared" si="410"/>
        <v/>
      </c>
      <c r="BF2601" s="8" t="str">
        <f t="shared" si="411"/>
        <v/>
      </c>
      <c r="BG2601" s="11" t="str">
        <f t="shared" si="412"/>
        <v/>
      </c>
      <c r="BH2601" s="8" t="str">
        <f t="shared" si="413"/>
        <v/>
      </c>
      <c r="BI2601" s="8" t="str">
        <f t="shared" si="414"/>
        <v/>
      </c>
      <c r="BJ2601" s="9" t="str">
        <f t="shared" si="415"/>
        <v/>
      </c>
      <c r="BK2601" s="9" t="str">
        <f>IF($B2601="","",COUNTIFS($B$5:$B2601,$B2601,$BF$5:$BF2601,$BF2601))</f>
        <v/>
      </c>
      <c r="BL2601" s="9" t="str">
        <f>IF($B2601="","",COUNTIFS($B$5:$B2601,$B2601,$BH$5:$BH2601,$BH2601))</f>
        <v/>
      </c>
      <c r="BM2601" s="9" t="str">
        <f t="shared" si="416"/>
        <v/>
      </c>
      <c r="BN2601" s="9" t="str">
        <f t="shared" si="417"/>
        <v/>
      </c>
      <c r="BO2601" s="9">
        <f t="shared" si="418"/>
        <v>0</v>
      </c>
      <c r="BR2601" s="12" t="str">
        <f t="shared" si="419"/>
        <v/>
      </c>
    </row>
    <row r="2602" spans="1:70" ht="14.25" customHeight="1">
      <c r="A2602" s="26"/>
      <c r="C2602" s="26"/>
      <c r="D2602" s="27"/>
      <c r="E2602" s="27"/>
      <c r="BE2602" s="10" t="str">
        <f t="shared" si="410"/>
        <v/>
      </c>
      <c r="BF2602" s="8" t="str">
        <f t="shared" si="411"/>
        <v/>
      </c>
      <c r="BG2602" s="11" t="str">
        <f t="shared" si="412"/>
        <v/>
      </c>
      <c r="BH2602" s="8" t="str">
        <f t="shared" si="413"/>
        <v/>
      </c>
      <c r="BI2602" s="8" t="str">
        <f t="shared" si="414"/>
        <v/>
      </c>
      <c r="BJ2602" s="9" t="str">
        <f t="shared" si="415"/>
        <v/>
      </c>
      <c r="BK2602" s="9" t="str">
        <f>IF($B2602="","",COUNTIFS($B$5:$B2602,$B2602,$BF$5:$BF2602,$BF2602))</f>
        <v/>
      </c>
      <c r="BL2602" s="9" t="str">
        <f>IF($B2602="","",COUNTIFS($B$5:$B2602,$B2602,$BH$5:$BH2602,$BH2602))</f>
        <v/>
      </c>
      <c r="BM2602" s="9" t="str">
        <f t="shared" si="416"/>
        <v/>
      </c>
      <c r="BN2602" s="9" t="str">
        <f t="shared" si="417"/>
        <v/>
      </c>
      <c r="BO2602" s="9">
        <f t="shared" si="418"/>
        <v>0</v>
      </c>
      <c r="BR2602" s="12" t="str">
        <f t="shared" si="419"/>
        <v/>
      </c>
    </row>
    <row r="2603" spans="1:70" ht="14.25" customHeight="1">
      <c r="A2603" s="26"/>
      <c r="C2603" s="26"/>
      <c r="D2603" s="27"/>
      <c r="E2603" s="27"/>
      <c r="BE2603" s="10" t="str">
        <f t="shared" si="410"/>
        <v/>
      </c>
      <c r="BF2603" s="8" t="str">
        <f t="shared" si="411"/>
        <v/>
      </c>
      <c r="BG2603" s="11" t="str">
        <f t="shared" si="412"/>
        <v/>
      </c>
      <c r="BH2603" s="8" t="str">
        <f t="shared" si="413"/>
        <v/>
      </c>
      <c r="BI2603" s="8" t="str">
        <f t="shared" si="414"/>
        <v/>
      </c>
      <c r="BJ2603" s="9" t="str">
        <f t="shared" si="415"/>
        <v/>
      </c>
      <c r="BK2603" s="9" t="str">
        <f>IF($B2603="","",COUNTIFS($B$5:$B2603,$B2603,$BF$5:$BF2603,$BF2603))</f>
        <v/>
      </c>
      <c r="BL2603" s="9" t="str">
        <f>IF($B2603="","",COUNTIFS($B$5:$B2603,$B2603,$BH$5:$BH2603,$BH2603))</f>
        <v/>
      </c>
      <c r="BM2603" s="9" t="str">
        <f t="shared" si="416"/>
        <v/>
      </c>
      <c r="BN2603" s="9" t="str">
        <f t="shared" si="417"/>
        <v/>
      </c>
      <c r="BO2603" s="9">
        <f t="shared" si="418"/>
        <v>0</v>
      </c>
      <c r="BR2603" s="12" t="str">
        <f t="shared" si="419"/>
        <v/>
      </c>
    </row>
    <row r="2604" spans="1:70" ht="14.25" customHeight="1">
      <c r="A2604" s="26"/>
      <c r="C2604" s="26"/>
      <c r="D2604" s="27"/>
      <c r="E2604" s="27"/>
      <c r="BE2604" s="10" t="str">
        <f t="shared" si="410"/>
        <v/>
      </c>
      <c r="BF2604" s="8" t="str">
        <f t="shared" si="411"/>
        <v/>
      </c>
      <c r="BG2604" s="11" t="str">
        <f t="shared" si="412"/>
        <v/>
      </c>
      <c r="BH2604" s="8" t="str">
        <f t="shared" si="413"/>
        <v/>
      </c>
      <c r="BI2604" s="8" t="str">
        <f t="shared" si="414"/>
        <v/>
      </c>
      <c r="BJ2604" s="9" t="str">
        <f t="shared" si="415"/>
        <v/>
      </c>
      <c r="BK2604" s="9" t="str">
        <f>IF($B2604="","",COUNTIFS($B$5:$B2604,$B2604,$BF$5:$BF2604,$BF2604))</f>
        <v/>
      </c>
      <c r="BL2604" s="9" t="str">
        <f>IF($B2604="","",COUNTIFS($B$5:$B2604,$B2604,$BH$5:$BH2604,$BH2604))</f>
        <v/>
      </c>
      <c r="BM2604" s="9" t="str">
        <f t="shared" si="416"/>
        <v/>
      </c>
      <c r="BN2604" s="9" t="str">
        <f t="shared" si="417"/>
        <v/>
      </c>
      <c r="BO2604" s="9">
        <f t="shared" si="418"/>
        <v>0</v>
      </c>
      <c r="BR2604" s="12" t="str">
        <f t="shared" si="419"/>
        <v/>
      </c>
    </row>
    <row r="2605" spans="1:70" ht="14.25" customHeight="1">
      <c r="A2605" s="26"/>
      <c r="C2605" s="26"/>
      <c r="D2605" s="27"/>
      <c r="E2605" s="27"/>
      <c r="BE2605" s="10" t="str">
        <f t="shared" si="410"/>
        <v/>
      </c>
      <c r="BF2605" s="8" t="str">
        <f t="shared" si="411"/>
        <v/>
      </c>
      <c r="BG2605" s="11" t="str">
        <f t="shared" si="412"/>
        <v/>
      </c>
      <c r="BH2605" s="8" t="str">
        <f t="shared" si="413"/>
        <v/>
      </c>
      <c r="BI2605" s="8" t="str">
        <f t="shared" si="414"/>
        <v/>
      </c>
      <c r="BJ2605" s="9" t="str">
        <f t="shared" si="415"/>
        <v/>
      </c>
      <c r="BK2605" s="9" t="str">
        <f>IF($B2605="","",COUNTIFS($B$5:$B2605,$B2605,$BF$5:$BF2605,$BF2605))</f>
        <v/>
      </c>
      <c r="BL2605" s="9" t="str">
        <f>IF($B2605="","",COUNTIFS($B$5:$B2605,$B2605,$BH$5:$BH2605,$BH2605))</f>
        <v/>
      </c>
      <c r="BM2605" s="9" t="str">
        <f t="shared" si="416"/>
        <v/>
      </c>
      <c r="BN2605" s="9" t="str">
        <f t="shared" si="417"/>
        <v/>
      </c>
      <c r="BO2605" s="9">
        <f t="shared" si="418"/>
        <v>0</v>
      </c>
      <c r="BR2605" s="12" t="str">
        <f t="shared" si="419"/>
        <v/>
      </c>
    </row>
    <row r="2606" spans="1:70" ht="14.25" customHeight="1">
      <c r="A2606" s="26"/>
      <c r="C2606" s="26"/>
      <c r="D2606" s="27"/>
      <c r="E2606" s="27"/>
      <c r="BE2606" s="10" t="str">
        <f t="shared" si="410"/>
        <v/>
      </c>
      <c r="BF2606" s="8" t="str">
        <f t="shared" si="411"/>
        <v/>
      </c>
      <c r="BG2606" s="11" t="str">
        <f t="shared" si="412"/>
        <v/>
      </c>
      <c r="BH2606" s="8" t="str">
        <f t="shared" si="413"/>
        <v/>
      </c>
      <c r="BI2606" s="8" t="str">
        <f t="shared" si="414"/>
        <v/>
      </c>
      <c r="BJ2606" s="9" t="str">
        <f t="shared" si="415"/>
        <v/>
      </c>
      <c r="BK2606" s="9" t="str">
        <f>IF($B2606="","",COUNTIFS($B$5:$B2606,$B2606,$BF$5:$BF2606,$BF2606))</f>
        <v/>
      </c>
      <c r="BL2606" s="9" t="str">
        <f>IF($B2606="","",COUNTIFS($B$5:$B2606,$B2606,$BH$5:$BH2606,$BH2606))</f>
        <v/>
      </c>
      <c r="BM2606" s="9" t="str">
        <f t="shared" si="416"/>
        <v/>
      </c>
      <c r="BN2606" s="9" t="str">
        <f t="shared" si="417"/>
        <v/>
      </c>
      <c r="BO2606" s="9">
        <f t="shared" si="418"/>
        <v>0</v>
      </c>
      <c r="BR2606" s="12" t="str">
        <f t="shared" si="419"/>
        <v/>
      </c>
    </row>
    <row r="2607" spans="1:70" ht="14.25" customHeight="1">
      <c r="A2607" s="26"/>
      <c r="C2607" s="26"/>
      <c r="D2607" s="27"/>
      <c r="E2607" s="27"/>
      <c r="BE2607" s="10" t="str">
        <f t="shared" si="410"/>
        <v/>
      </c>
      <c r="BF2607" s="8" t="str">
        <f t="shared" si="411"/>
        <v/>
      </c>
      <c r="BG2607" s="11" t="str">
        <f t="shared" si="412"/>
        <v/>
      </c>
      <c r="BH2607" s="8" t="str">
        <f t="shared" si="413"/>
        <v/>
      </c>
      <c r="BI2607" s="8" t="str">
        <f t="shared" si="414"/>
        <v/>
      </c>
      <c r="BJ2607" s="9" t="str">
        <f t="shared" si="415"/>
        <v/>
      </c>
      <c r="BK2607" s="9" t="str">
        <f>IF($B2607="","",COUNTIFS($B$5:$B2607,$B2607,$BF$5:$BF2607,$BF2607))</f>
        <v/>
      </c>
      <c r="BL2607" s="9" t="str">
        <f>IF($B2607="","",COUNTIFS($B$5:$B2607,$B2607,$BH$5:$BH2607,$BH2607))</f>
        <v/>
      </c>
      <c r="BM2607" s="9" t="str">
        <f t="shared" si="416"/>
        <v/>
      </c>
      <c r="BN2607" s="9" t="str">
        <f t="shared" si="417"/>
        <v/>
      </c>
      <c r="BO2607" s="9">
        <f t="shared" si="418"/>
        <v>0</v>
      </c>
      <c r="BR2607" s="12" t="str">
        <f t="shared" si="419"/>
        <v/>
      </c>
    </row>
    <row r="2608" spans="1:70" ht="14.25" customHeight="1">
      <c r="A2608" s="26"/>
      <c r="C2608" s="26"/>
      <c r="D2608" s="27"/>
      <c r="E2608" s="27"/>
      <c r="BE2608" s="10" t="str">
        <f t="shared" si="410"/>
        <v/>
      </c>
      <c r="BF2608" s="8" t="str">
        <f t="shared" si="411"/>
        <v/>
      </c>
      <c r="BG2608" s="11" t="str">
        <f t="shared" si="412"/>
        <v/>
      </c>
      <c r="BH2608" s="8" t="str">
        <f t="shared" si="413"/>
        <v/>
      </c>
      <c r="BI2608" s="8" t="str">
        <f t="shared" si="414"/>
        <v/>
      </c>
      <c r="BJ2608" s="9" t="str">
        <f t="shared" si="415"/>
        <v/>
      </c>
      <c r="BK2608" s="9" t="str">
        <f>IF($B2608="","",COUNTIFS($B$5:$B2608,$B2608,$BF$5:$BF2608,$BF2608))</f>
        <v/>
      </c>
      <c r="BL2608" s="9" t="str">
        <f>IF($B2608="","",COUNTIFS($B$5:$B2608,$B2608,$BH$5:$BH2608,$BH2608))</f>
        <v/>
      </c>
      <c r="BM2608" s="9" t="str">
        <f t="shared" si="416"/>
        <v/>
      </c>
      <c r="BN2608" s="9" t="str">
        <f t="shared" si="417"/>
        <v/>
      </c>
      <c r="BO2608" s="9">
        <f t="shared" si="418"/>
        <v>0</v>
      </c>
      <c r="BR2608" s="12" t="str">
        <f t="shared" si="419"/>
        <v/>
      </c>
    </row>
    <row r="2609" spans="1:70" ht="14.25" customHeight="1">
      <c r="A2609" s="26"/>
      <c r="C2609" s="26"/>
      <c r="D2609" s="27"/>
      <c r="E2609" s="27"/>
      <c r="BE2609" s="10" t="str">
        <f t="shared" si="410"/>
        <v/>
      </c>
      <c r="BF2609" s="8" t="str">
        <f t="shared" si="411"/>
        <v/>
      </c>
      <c r="BG2609" s="11" t="str">
        <f t="shared" si="412"/>
        <v/>
      </c>
      <c r="BH2609" s="8" t="str">
        <f t="shared" si="413"/>
        <v/>
      </c>
      <c r="BI2609" s="8" t="str">
        <f t="shared" si="414"/>
        <v/>
      </c>
      <c r="BJ2609" s="9" t="str">
        <f t="shared" si="415"/>
        <v/>
      </c>
      <c r="BK2609" s="9" t="str">
        <f>IF($B2609="","",COUNTIFS($B$5:$B2609,$B2609,$BF$5:$BF2609,$BF2609))</f>
        <v/>
      </c>
      <c r="BL2609" s="9" t="str">
        <f>IF($B2609="","",COUNTIFS($B$5:$B2609,$B2609,$BH$5:$BH2609,$BH2609))</f>
        <v/>
      </c>
      <c r="BM2609" s="9" t="str">
        <f t="shared" si="416"/>
        <v/>
      </c>
      <c r="BN2609" s="9" t="str">
        <f t="shared" si="417"/>
        <v/>
      </c>
      <c r="BO2609" s="9">
        <f t="shared" si="418"/>
        <v>0</v>
      </c>
      <c r="BR2609" s="12" t="str">
        <f t="shared" si="419"/>
        <v/>
      </c>
    </row>
    <row r="2610" spans="1:70" ht="14.25" customHeight="1">
      <c r="A2610" s="26"/>
      <c r="C2610" s="26"/>
      <c r="D2610" s="27"/>
      <c r="E2610" s="27"/>
      <c r="BE2610" s="10" t="str">
        <f t="shared" si="410"/>
        <v/>
      </c>
      <c r="BF2610" s="8" t="str">
        <f t="shared" si="411"/>
        <v/>
      </c>
      <c r="BG2610" s="11" t="str">
        <f t="shared" si="412"/>
        <v/>
      </c>
      <c r="BH2610" s="8" t="str">
        <f t="shared" si="413"/>
        <v/>
      </c>
      <c r="BI2610" s="8" t="str">
        <f t="shared" si="414"/>
        <v/>
      </c>
      <c r="BJ2610" s="9" t="str">
        <f t="shared" si="415"/>
        <v/>
      </c>
      <c r="BK2610" s="9" t="str">
        <f>IF($B2610="","",COUNTIFS($B$5:$B2610,$B2610,$BF$5:$BF2610,$BF2610))</f>
        <v/>
      </c>
      <c r="BL2610" s="9" t="str">
        <f>IF($B2610="","",COUNTIFS($B$5:$B2610,$B2610,$BH$5:$BH2610,$BH2610))</f>
        <v/>
      </c>
      <c r="BM2610" s="9" t="str">
        <f t="shared" si="416"/>
        <v/>
      </c>
      <c r="BN2610" s="9" t="str">
        <f t="shared" si="417"/>
        <v/>
      </c>
      <c r="BO2610" s="9">
        <f t="shared" si="418"/>
        <v>0</v>
      </c>
      <c r="BR2610" s="12" t="str">
        <f t="shared" si="419"/>
        <v/>
      </c>
    </row>
    <row r="2611" spans="1:70" ht="14.25" customHeight="1">
      <c r="A2611" s="26"/>
      <c r="C2611" s="26"/>
      <c r="D2611" s="27"/>
      <c r="E2611" s="27"/>
      <c r="BE2611" s="10" t="str">
        <f t="shared" si="410"/>
        <v/>
      </c>
      <c r="BF2611" s="8" t="str">
        <f t="shared" si="411"/>
        <v/>
      </c>
      <c r="BG2611" s="11" t="str">
        <f t="shared" si="412"/>
        <v/>
      </c>
      <c r="BH2611" s="8" t="str">
        <f t="shared" si="413"/>
        <v/>
      </c>
      <c r="BI2611" s="8" t="str">
        <f t="shared" si="414"/>
        <v/>
      </c>
      <c r="BJ2611" s="9" t="str">
        <f t="shared" si="415"/>
        <v/>
      </c>
      <c r="BK2611" s="9" t="str">
        <f>IF($B2611="","",COUNTIFS($B$5:$B2611,$B2611,$BF$5:$BF2611,$BF2611))</f>
        <v/>
      </c>
      <c r="BL2611" s="9" t="str">
        <f>IF($B2611="","",COUNTIFS($B$5:$B2611,$B2611,$BH$5:$BH2611,$BH2611))</f>
        <v/>
      </c>
      <c r="BM2611" s="9" t="str">
        <f t="shared" si="416"/>
        <v/>
      </c>
      <c r="BN2611" s="9" t="str">
        <f t="shared" si="417"/>
        <v/>
      </c>
      <c r="BO2611" s="9">
        <f t="shared" si="418"/>
        <v>0</v>
      </c>
      <c r="BR2611" s="12" t="str">
        <f t="shared" si="419"/>
        <v/>
      </c>
    </row>
    <row r="2612" spans="1:70" ht="14.25" customHeight="1">
      <c r="A2612" s="26"/>
      <c r="C2612" s="26"/>
      <c r="D2612" s="27"/>
      <c r="E2612" s="27"/>
      <c r="BE2612" s="10" t="str">
        <f t="shared" si="410"/>
        <v/>
      </c>
      <c r="BF2612" s="8" t="str">
        <f t="shared" si="411"/>
        <v/>
      </c>
      <c r="BG2612" s="11" t="str">
        <f t="shared" si="412"/>
        <v/>
      </c>
      <c r="BH2612" s="8" t="str">
        <f t="shared" si="413"/>
        <v/>
      </c>
      <c r="BI2612" s="8" t="str">
        <f t="shared" si="414"/>
        <v/>
      </c>
      <c r="BJ2612" s="9" t="str">
        <f t="shared" si="415"/>
        <v/>
      </c>
      <c r="BK2612" s="9" t="str">
        <f>IF($B2612="","",COUNTIFS($B$5:$B2612,$B2612,$BF$5:$BF2612,$BF2612))</f>
        <v/>
      </c>
      <c r="BL2612" s="9" t="str">
        <f>IF($B2612="","",COUNTIFS($B$5:$B2612,$B2612,$BH$5:$BH2612,$BH2612))</f>
        <v/>
      </c>
      <c r="BM2612" s="9" t="str">
        <f t="shared" si="416"/>
        <v/>
      </c>
      <c r="BN2612" s="9" t="str">
        <f t="shared" si="417"/>
        <v/>
      </c>
      <c r="BO2612" s="9">
        <f t="shared" si="418"/>
        <v>0</v>
      </c>
      <c r="BR2612" s="12" t="str">
        <f t="shared" si="419"/>
        <v/>
      </c>
    </row>
    <row r="2613" spans="1:70" ht="14.25" customHeight="1">
      <c r="A2613" s="26"/>
      <c r="C2613" s="26"/>
      <c r="D2613" s="27"/>
      <c r="E2613" s="27"/>
      <c r="BE2613" s="10" t="str">
        <f t="shared" si="410"/>
        <v/>
      </c>
      <c r="BF2613" s="8" t="str">
        <f t="shared" si="411"/>
        <v/>
      </c>
      <c r="BG2613" s="11" t="str">
        <f t="shared" si="412"/>
        <v/>
      </c>
      <c r="BH2613" s="8" t="str">
        <f t="shared" si="413"/>
        <v/>
      </c>
      <c r="BI2613" s="8" t="str">
        <f t="shared" si="414"/>
        <v/>
      </c>
      <c r="BJ2613" s="9" t="str">
        <f t="shared" si="415"/>
        <v/>
      </c>
      <c r="BK2613" s="9" t="str">
        <f>IF($B2613="","",COUNTIFS($B$5:$B2613,$B2613,$BF$5:$BF2613,$BF2613))</f>
        <v/>
      </c>
      <c r="BL2613" s="9" t="str">
        <f>IF($B2613="","",COUNTIFS($B$5:$B2613,$B2613,$BH$5:$BH2613,$BH2613))</f>
        <v/>
      </c>
      <c r="BM2613" s="9" t="str">
        <f t="shared" si="416"/>
        <v/>
      </c>
      <c r="BN2613" s="9" t="str">
        <f t="shared" si="417"/>
        <v/>
      </c>
      <c r="BO2613" s="9">
        <f t="shared" si="418"/>
        <v>0</v>
      </c>
      <c r="BR2613" s="12" t="str">
        <f t="shared" si="419"/>
        <v/>
      </c>
    </row>
    <row r="2614" spans="1:70" ht="14.25" customHeight="1">
      <c r="A2614" s="26"/>
      <c r="C2614" s="26"/>
      <c r="D2614" s="27"/>
      <c r="E2614" s="27"/>
      <c r="BE2614" s="10" t="str">
        <f t="shared" si="410"/>
        <v/>
      </c>
      <c r="BF2614" s="8" t="str">
        <f t="shared" si="411"/>
        <v/>
      </c>
      <c r="BG2614" s="11" t="str">
        <f t="shared" si="412"/>
        <v/>
      </c>
      <c r="BH2614" s="8" t="str">
        <f t="shared" si="413"/>
        <v/>
      </c>
      <c r="BI2614" s="8" t="str">
        <f t="shared" si="414"/>
        <v/>
      </c>
      <c r="BJ2614" s="9" t="str">
        <f t="shared" si="415"/>
        <v/>
      </c>
      <c r="BK2614" s="9" t="str">
        <f>IF($B2614="","",COUNTIFS($B$5:$B2614,$B2614,$BF$5:$BF2614,$BF2614))</f>
        <v/>
      </c>
      <c r="BL2614" s="9" t="str">
        <f>IF($B2614="","",COUNTIFS($B$5:$B2614,$B2614,$BH$5:$BH2614,$BH2614))</f>
        <v/>
      </c>
      <c r="BM2614" s="9" t="str">
        <f t="shared" si="416"/>
        <v/>
      </c>
      <c r="BN2614" s="9" t="str">
        <f t="shared" si="417"/>
        <v/>
      </c>
      <c r="BO2614" s="9">
        <f t="shared" si="418"/>
        <v>0</v>
      </c>
      <c r="BR2614" s="12" t="str">
        <f t="shared" si="419"/>
        <v/>
      </c>
    </row>
    <row r="2615" spans="1:70" ht="14.25" customHeight="1">
      <c r="A2615" s="26"/>
      <c r="C2615" s="26"/>
      <c r="D2615" s="27"/>
      <c r="E2615" s="27"/>
      <c r="BE2615" s="10" t="str">
        <f t="shared" si="410"/>
        <v/>
      </c>
      <c r="BF2615" s="8" t="str">
        <f t="shared" si="411"/>
        <v/>
      </c>
      <c r="BG2615" s="11" t="str">
        <f t="shared" si="412"/>
        <v/>
      </c>
      <c r="BH2615" s="8" t="str">
        <f t="shared" si="413"/>
        <v/>
      </c>
      <c r="BI2615" s="8" t="str">
        <f t="shared" si="414"/>
        <v/>
      </c>
      <c r="BJ2615" s="9" t="str">
        <f t="shared" si="415"/>
        <v/>
      </c>
      <c r="BK2615" s="9" t="str">
        <f>IF($B2615="","",COUNTIFS($B$5:$B2615,$B2615,$BF$5:$BF2615,$BF2615))</f>
        <v/>
      </c>
      <c r="BL2615" s="9" t="str">
        <f>IF($B2615="","",COUNTIFS($B$5:$B2615,$B2615,$BH$5:$BH2615,$BH2615))</f>
        <v/>
      </c>
      <c r="BM2615" s="9" t="str">
        <f t="shared" si="416"/>
        <v/>
      </c>
      <c r="BN2615" s="9" t="str">
        <f t="shared" si="417"/>
        <v/>
      </c>
      <c r="BO2615" s="9">
        <f t="shared" si="418"/>
        <v>0</v>
      </c>
      <c r="BR2615" s="12" t="str">
        <f t="shared" si="419"/>
        <v/>
      </c>
    </row>
    <row r="2616" spans="1:70" ht="14.25" customHeight="1">
      <c r="A2616" s="26"/>
      <c r="C2616" s="26"/>
      <c r="D2616" s="27"/>
      <c r="E2616" s="27"/>
      <c r="BE2616" s="10" t="str">
        <f t="shared" si="410"/>
        <v/>
      </c>
      <c r="BF2616" s="8" t="str">
        <f t="shared" si="411"/>
        <v/>
      </c>
      <c r="BG2616" s="11" t="str">
        <f t="shared" si="412"/>
        <v/>
      </c>
      <c r="BH2616" s="8" t="str">
        <f t="shared" si="413"/>
        <v/>
      </c>
      <c r="BI2616" s="8" t="str">
        <f t="shared" si="414"/>
        <v/>
      </c>
      <c r="BJ2616" s="9" t="str">
        <f t="shared" si="415"/>
        <v/>
      </c>
      <c r="BK2616" s="9" t="str">
        <f>IF($B2616="","",COUNTIFS($B$5:$B2616,$B2616,$BF$5:$BF2616,$BF2616))</f>
        <v/>
      </c>
      <c r="BL2616" s="9" t="str">
        <f>IF($B2616="","",COUNTIFS($B$5:$B2616,$B2616,$BH$5:$BH2616,$BH2616))</f>
        <v/>
      </c>
      <c r="BM2616" s="9" t="str">
        <f t="shared" si="416"/>
        <v/>
      </c>
      <c r="BN2616" s="9" t="str">
        <f t="shared" si="417"/>
        <v/>
      </c>
      <c r="BO2616" s="9">
        <f t="shared" si="418"/>
        <v>0</v>
      </c>
      <c r="BR2616" s="12" t="str">
        <f t="shared" si="419"/>
        <v/>
      </c>
    </row>
    <row r="2617" spans="1:70" ht="14.25" customHeight="1">
      <c r="A2617" s="26"/>
      <c r="C2617" s="26"/>
      <c r="D2617" s="27"/>
      <c r="E2617" s="27"/>
      <c r="BE2617" s="10" t="str">
        <f t="shared" si="410"/>
        <v/>
      </c>
      <c r="BF2617" s="8" t="str">
        <f t="shared" si="411"/>
        <v/>
      </c>
      <c r="BG2617" s="11" t="str">
        <f t="shared" si="412"/>
        <v/>
      </c>
      <c r="BH2617" s="8" t="str">
        <f t="shared" si="413"/>
        <v/>
      </c>
      <c r="BI2617" s="8" t="str">
        <f t="shared" si="414"/>
        <v/>
      </c>
      <c r="BJ2617" s="9" t="str">
        <f t="shared" si="415"/>
        <v/>
      </c>
      <c r="BK2617" s="9" t="str">
        <f>IF($B2617="","",COUNTIFS($B$5:$B2617,$B2617,$BF$5:$BF2617,$BF2617))</f>
        <v/>
      </c>
      <c r="BL2617" s="9" t="str">
        <f>IF($B2617="","",COUNTIFS($B$5:$B2617,$B2617,$BH$5:$BH2617,$BH2617))</f>
        <v/>
      </c>
      <c r="BM2617" s="9" t="str">
        <f t="shared" si="416"/>
        <v/>
      </c>
      <c r="BN2617" s="9" t="str">
        <f t="shared" si="417"/>
        <v/>
      </c>
      <c r="BO2617" s="9">
        <f t="shared" si="418"/>
        <v>0</v>
      </c>
      <c r="BR2617" s="12" t="str">
        <f t="shared" si="419"/>
        <v/>
      </c>
    </row>
    <row r="2618" spans="1:70" ht="14.25" customHeight="1">
      <c r="A2618" s="26"/>
      <c r="C2618" s="26"/>
      <c r="D2618" s="27"/>
      <c r="E2618" s="27"/>
      <c r="BE2618" s="10" t="str">
        <f t="shared" si="410"/>
        <v/>
      </c>
      <c r="BF2618" s="8" t="str">
        <f t="shared" si="411"/>
        <v/>
      </c>
      <c r="BG2618" s="11" t="str">
        <f t="shared" si="412"/>
        <v/>
      </c>
      <c r="BH2618" s="8" t="str">
        <f t="shared" si="413"/>
        <v/>
      </c>
      <c r="BI2618" s="8" t="str">
        <f t="shared" si="414"/>
        <v/>
      </c>
      <c r="BJ2618" s="9" t="str">
        <f t="shared" si="415"/>
        <v/>
      </c>
      <c r="BK2618" s="9" t="str">
        <f>IF($B2618="","",COUNTIFS($B$5:$B2618,$B2618,$BF$5:$BF2618,$BF2618))</f>
        <v/>
      </c>
      <c r="BL2618" s="9" t="str">
        <f>IF($B2618="","",COUNTIFS($B$5:$B2618,$B2618,$BH$5:$BH2618,$BH2618))</f>
        <v/>
      </c>
      <c r="BM2618" s="9" t="str">
        <f t="shared" si="416"/>
        <v/>
      </c>
      <c r="BN2618" s="9" t="str">
        <f t="shared" si="417"/>
        <v/>
      </c>
      <c r="BO2618" s="9">
        <f t="shared" si="418"/>
        <v>0</v>
      </c>
      <c r="BR2618" s="12" t="str">
        <f t="shared" si="419"/>
        <v/>
      </c>
    </row>
    <row r="2619" spans="1:70" ht="14.25" customHeight="1">
      <c r="A2619" s="26"/>
      <c r="C2619" s="26"/>
      <c r="D2619" s="27"/>
      <c r="E2619" s="27"/>
      <c r="BE2619" s="10" t="str">
        <f t="shared" si="410"/>
        <v/>
      </c>
      <c r="BF2619" s="8" t="str">
        <f t="shared" si="411"/>
        <v/>
      </c>
      <c r="BG2619" s="11" t="str">
        <f t="shared" si="412"/>
        <v/>
      </c>
      <c r="BH2619" s="8" t="str">
        <f t="shared" si="413"/>
        <v/>
      </c>
      <c r="BI2619" s="8" t="str">
        <f t="shared" si="414"/>
        <v/>
      </c>
      <c r="BJ2619" s="9" t="str">
        <f t="shared" si="415"/>
        <v/>
      </c>
      <c r="BK2619" s="9" t="str">
        <f>IF($B2619="","",COUNTIFS($B$5:$B2619,$B2619,$BF$5:$BF2619,$BF2619))</f>
        <v/>
      </c>
      <c r="BL2619" s="9" t="str">
        <f>IF($B2619="","",COUNTIFS($B$5:$B2619,$B2619,$BH$5:$BH2619,$BH2619))</f>
        <v/>
      </c>
      <c r="BM2619" s="9" t="str">
        <f t="shared" si="416"/>
        <v/>
      </c>
      <c r="BN2619" s="9" t="str">
        <f t="shared" si="417"/>
        <v/>
      </c>
      <c r="BO2619" s="9">
        <f t="shared" si="418"/>
        <v>0</v>
      </c>
      <c r="BR2619" s="12" t="str">
        <f t="shared" si="419"/>
        <v/>
      </c>
    </row>
    <row r="2620" spans="1:70" ht="14.25" customHeight="1">
      <c r="A2620" s="26"/>
      <c r="C2620" s="26"/>
      <c r="D2620" s="27"/>
      <c r="E2620" s="27"/>
      <c r="BE2620" s="10" t="str">
        <f t="shared" si="410"/>
        <v/>
      </c>
      <c r="BF2620" s="8" t="str">
        <f t="shared" si="411"/>
        <v/>
      </c>
      <c r="BG2620" s="11" t="str">
        <f t="shared" si="412"/>
        <v/>
      </c>
      <c r="BH2620" s="8" t="str">
        <f t="shared" si="413"/>
        <v/>
      </c>
      <c r="BI2620" s="8" t="str">
        <f t="shared" si="414"/>
        <v/>
      </c>
      <c r="BJ2620" s="9" t="str">
        <f t="shared" si="415"/>
        <v/>
      </c>
      <c r="BK2620" s="9" t="str">
        <f>IF($B2620="","",COUNTIFS($B$5:$B2620,$B2620,$BF$5:$BF2620,$BF2620))</f>
        <v/>
      </c>
      <c r="BL2620" s="9" t="str">
        <f>IF($B2620="","",COUNTIFS($B$5:$B2620,$B2620,$BH$5:$BH2620,$BH2620))</f>
        <v/>
      </c>
      <c r="BM2620" s="9" t="str">
        <f t="shared" si="416"/>
        <v/>
      </c>
      <c r="BN2620" s="9" t="str">
        <f t="shared" si="417"/>
        <v/>
      </c>
      <c r="BO2620" s="9">
        <f t="shared" si="418"/>
        <v>0</v>
      </c>
      <c r="BR2620" s="12" t="str">
        <f t="shared" si="419"/>
        <v/>
      </c>
    </row>
    <row r="2621" spans="1:70" ht="14.25" customHeight="1">
      <c r="A2621" s="26"/>
      <c r="C2621" s="26"/>
      <c r="D2621" s="27"/>
      <c r="E2621" s="27"/>
      <c r="BE2621" s="10" t="str">
        <f t="shared" si="410"/>
        <v/>
      </c>
      <c r="BF2621" s="8" t="str">
        <f t="shared" si="411"/>
        <v/>
      </c>
      <c r="BG2621" s="11" t="str">
        <f t="shared" si="412"/>
        <v/>
      </c>
      <c r="BH2621" s="8" t="str">
        <f t="shared" si="413"/>
        <v/>
      </c>
      <c r="BI2621" s="8" t="str">
        <f t="shared" si="414"/>
        <v/>
      </c>
      <c r="BJ2621" s="9" t="str">
        <f t="shared" si="415"/>
        <v/>
      </c>
      <c r="BK2621" s="9" t="str">
        <f>IF($B2621="","",COUNTIFS($B$5:$B2621,$B2621,$BF$5:$BF2621,$BF2621))</f>
        <v/>
      </c>
      <c r="BL2621" s="9" t="str">
        <f>IF($B2621="","",COUNTIFS($B$5:$B2621,$B2621,$BH$5:$BH2621,$BH2621))</f>
        <v/>
      </c>
      <c r="BM2621" s="9" t="str">
        <f t="shared" si="416"/>
        <v/>
      </c>
      <c r="BN2621" s="9" t="str">
        <f t="shared" si="417"/>
        <v/>
      </c>
      <c r="BO2621" s="9">
        <f t="shared" si="418"/>
        <v>0</v>
      </c>
      <c r="BR2621" s="12" t="str">
        <f t="shared" si="419"/>
        <v/>
      </c>
    </row>
    <row r="2622" spans="1:70" ht="14.25" customHeight="1">
      <c r="A2622" s="26"/>
      <c r="C2622" s="26"/>
      <c r="D2622" s="27"/>
      <c r="E2622" s="27"/>
      <c r="BE2622" s="10" t="str">
        <f t="shared" si="410"/>
        <v/>
      </c>
      <c r="BF2622" s="8" t="str">
        <f t="shared" si="411"/>
        <v/>
      </c>
      <c r="BG2622" s="11" t="str">
        <f t="shared" si="412"/>
        <v/>
      </c>
      <c r="BH2622" s="8" t="str">
        <f t="shared" si="413"/>
        <v/>
      </c>
      <c r="BI2622" s="8" t="str">
        <f t="shared" si="414"/>
        <v/>
      </c>
      <c r="BJ2622" s="9" t="str">
        <f t="shared" si="415"/>
        <v/>
      </c>
      <c r="BK2622" s="9" t="str">
        <f>IF($B2622="","",COUNTIFS($B$5:$B2622,$B2622,$BF$5:$BF2622,$BF2622))</f>
        <v/>
      </c>
      <c r="BL2622" s="9" t="str">
        <f>IF($B2622="","",COUNTIFS($B$5:$B2622,$B2622,$BH$5:$BH2622,$BH2622))</f>
        <v/>
      </c>
      <c r="BM2622" s="9" t="str">
        <f t="shared" si="416"/>
        <v/>
      </c>
      <c r="BN2622" s="9" t="str">
        <f t="shared" si="417"/>
        <v/>
      </c>
      <c r="BO2622" s="9">
        <f t="shared" si="418"/>
        <v>0</v>
      </c>
      <c r="BR2622" s="12" t="str">
        <f t="shared" si="419"/>
        <v/>
      </c>
    </row>
    <row r="2623" spans="1:70" ht="14.25" customHeight="1">
      <c r="A2623" s="26"/>
      <c r="C2623" s="26"/>
      <c r="D2623" s="27"/>
      <c r="E2623" s="27"/>
      <c r="BE2623" s="10" t="str">
        <f t="shared" si="410"/>
        <v/>
      </c>
      <c r="BF2623" s="8" t="str">
        <f t="shared" si="411"/>
        <v/>
      </c>
      <c r="BG2623" s="11" t="str">
        <f t="shared" si="412"/>
        <v/>
      </c>
      <c r="BH2623" s="8" t="str">
        <f t="shared" si="413"/>
        <v/>
      </c>
      <c r="BI2623" s="8" t="str">
        <f t="shared" si="414"/>
        <v/>
      </c>
      <c r="BJ2623" s="9" t="str">
        <f t="shared" si="415"/>
        <v/>
      </c>
      <c r="BK2623" s="9" t="str">
        <f>IF($B2623="","",COUNTIFS($B$5:$B2623,$B2623,$BF$5:$BF2623,$BF2623))</f>
        <v/>
      </c>
      <c r="BL2623" s="9" t="str">
        <f>IF($B2623="","",COUNTIFS($B$5:$B2623,$B2623,$BH$5:$BH2623,$BH2623))</f>
        <v/>
      </c>
      <c r="BM2623" s="9" t="str">
        <f t="shared" si="416"/>
        <v/>
      </c>
      <c r="BN2623" s="9" t="str">
        <f t="shared" si="417"/>
        <v/>
      </c>
      <c r="BO2623" s="9">
        <f t="shared" si="418"/>
        <v>0</v>
      </c>
      <c r="BR2623" s="12" t="str">
        <f t="shared" si="419"/>
        <v/>
      </c>
    </row>
    <row r="2624" spans="1:70" ht="14.25" customHeight="1">
      <c r="A2624" s="26"/>
      <c r="C2624" s="26"/>
      <c r="D2624" s="27"/>
      <c r="E2624" s="27"/>
      <c r="BE2624" s="10" t="str">
        <f t="shared" si="410"/>
        <v/>
      </c>
      <c r="BF2624" s="8" t="str">
        <f t="shared" si="411"/>
        <v/>
      </c>
      <c r="BG2624" s="11" t="str">
        <f t="shared" si="412"/>
        <v/>
      </c>
      <c r="BH2624" s="8" t="str">
        <f t="shared" si="413"/>
        <v/>
      </c>
      <c r="BI2624" s="8" t="str">
        <f t="shared" si="414"/>
        <v/>
      </c>
      <c r="BJ2624" s="9" t="str">
        <f t="shared" si="415"/>
        <v/>
      </c>
      <c r="BK2624" s="9" t="str">
        <f>IF($B2624="","",COUNTIFS($B$5:$B2624,$B2624,$BF$5:$BF2624,$BF2624))</f>
        <v/>
      </c>
      <c r="BL2624" s="9" t="str">
        <f>IF($B2624="","",COUNTIFS($B$5:$B2624,$B2624,$BH$5:$BH2624,$BH2624))</f>
        <v/>
      </c>
      <c r="BM2624" s="9" t="str">
        <f t="shared" si="416"/>
        <v/>
      </c>
      <c r="BN2624" s="9" t="str">
        <f t="shared" si="417"/>
        <v/>
      </c>
      <c r="BO2624" s="9">
        <f t="shared" si="418"/>
        <v>0</v>
      </c>
      <c r="BR2624" s="12" t="str">
        <f t="shared" si="419"/>
        <v/>
      </c>
    </row>
    <row r="2625" spans="1:70" ht="14.25" customHeight="1">
      <c r="A2625" s="26"/>
      <c r="C2625" s="26"/>
      <c r="D2625" s="27"/>
      <c r="E2625" s="27"/>
      <c r="BE2625" s="10" t="str">
        <f t="shared" si="410"/>
        <v/>
      </c>
      <c r="BF2625" s="8" t="str">
        <f t="shared" si="411"/>
        <v/>
      </c>
      <c r="BG2625" s="11" t="str">
        <f t="shared" si="412"/>
        <v/>
      </c>
      <c r="BH2625" s="8" t="str">
        <f t="shared" si="413"/>
        <v/>
      </c>
      <c r="BI2625" s="8" t="str">
        <f t="shared" si="414"/>
        <v/>
      </c>
      <c r="BJ2625" s="9" t="str">
        <f t="shared" si="415"/>
        <v/>
      </c>
      <c r="BK2625" s="9" t="str">
        <f>IF($B2625="","",COUNTIFS($B$5:$B2625,$B2625,$BF$5:$BF2625,$BF2625))</f>
        <v/>
      </c>
      <c r="BL2625" s="9" t="str">
        <f>IF($B2625="","",COUNTIFS($B$5:$B2625,$B2625,$BH$5:$BH2625,$BH2625))</f>
        <v/>
      </c>
      <c r="BM2625" s="9" t="str">
        <f t="shared" si="416"/>
        <v/>
      </c>
      <c r="BN2625" s="9" t="str">
        <f t="shared" si="417"/>
        <v/>
      </c>
      <c r="BO2625" s="9">
        <f t="shared" si="418"/>
        <v>0</v>
      </c>
      <c r="BR2625" s="12" t="str">
        <f t="shared" si="419"/>
        <v/>
      </c>
    </row>
    <row r="2626" spans="1:70" ht="14.25" customHeight="1">
      <c r="A2626" s="26"/>
      <c r="C2626" s="26"/>
      <c r="D2626" s="27"/>
      <c r="E2626" s="27"/>
      <c r="BE2626" s="10" t="str">
        <f t="shared" si="410"/>
        <v/>
      </c>
      <c r="BF2626" s="8" t="str">
        <f t="shared" si="411"/>
        <v/>
      </c>
      <c r="BG2626" s="11" t="str">
        <f t="shared" si="412"/>
        <v/>
      </c>
      <c r="BH2626" s="8" t="str">
        <f t="shared" si="413"/>
        <v/>
      </c>
      <c r="BI2626" s="8" t="str">
        <f t="shared" si="414"/>
        <v/>
      </c>
      <c r="BJ2626" s="9" t="str">
        <f t="shared" si="415"/>
        <v/>
      </c>
      <c r="BK2626" s="9" t="str">
        <f>IF($B2626="","",COUNTIFS($B$5:$B2626,$B2626,$BF$5:$BF2626,$BF2626))</f>
        <v/>
      </c>
      <c r="BL2626" s="9" t="str">
        <f>IF($B2626="","",COUNTIFS($B$5:$B2626,$B2626,$BH$5:$BH2626,$BH2626))</f>
        <v/>
      </c>
      <c r="BM2626" s="9" t="str">
        <f t="shared" si="416"/>
        <v/>
      </c>
      <c r="BN2626" s="9" t="str">
        <f t="shared" si="417"/>
        <v/>
      </c>
      <c r="BO2626" s="9">
        <f t="shared" si="418"/>
        <v>0</v>
      </c>
      <c r="BR2626" s="12" t="str">
        <f t="shared" si="419"/>
        <v/>
      </c>
    </row>
    <row r="2627" spans="1:70" ht="14.25" customHeight="1">
      <c r="A2627" s="26"/>
      <c r="C2627" s="26"/>
      <c r="D2627" s="27"/>
      <c r="E2627" s="27"/>
      <c r="BE2627" s="10" t="str">
        <f t="shared" si="410"/>
        <v/>
      </c>
      <c r="BF2627" s="8" t="str">
        <f t="shared" si="411"/>
        <v/>
      </c>
      <c r="BG2627" s="11" t="str">
        <f t="shared" si="412"/>
        <v/>
      </c>
      <c r="BH2627" s="8" t="str">
        <f t="shared" si="413"/>
        <v/>
      </c>
      <c r="BI2627" s="8" t="str">
        <f t="shared" si="414"/>
        <v/>
      </c>
      <c r="BJ2627" s="9" t="str">
        <f t="shared" si="415"/>
        <v/>
      </c>
      <c r="BK2627" s="9" t="str">
        <f>IF($B2627="","",COUNTIFS($B$5:$B2627,$B2627,$BF$5:$BF2627,$BF2627))</f>
        <v/>
      </c>
      <c r="BL2627" s="9" t="str">
        <f>IF($B2627="","",COUNTIFS($B$5:$B2627,$B2627,$BH$5:$BH2627,$BH2627))</f>
        <v/>
      </c>
      <c r="BM2627" s="9" t="str">
        <f t="shared" si="416"/>
        <v/>
      </c>
      <c r="BN2627" s="9" t="str">
        <f t="shared" si="417"/>
        <v/>
      </c>
      <c r="BO2627" s="9">
        <f t="shared" si="418"/>
        <v>0</v>
      </c>
      <c r="BR2627" s="12" t="str">
        <f t="shared" si="419"/>
        <v/>
      </c>
    </row>
    <row r="2628" spans="1:70" ht="14.25" customHeight="1">
      <c r="A2628" s="26"/>
      <c r="C2628" s="26"/>
      <c r="D2628" s="27"/>
      <c r="E2628" s="27"/>
      <c r="BE2628" s="10" t="str">
        <f t="shared" si="410"/>
        <v/>
      </c>
      <c r="BF2628" s="8" t="str">
        <f t="shared" si="411"/>
        <v/>
      </c>
      <c r="BG2628" s="11" t="str">
        <f t="shared" si="412"/>
        <v/>
      </c>
      <c r="BH2628" s="8" t="str">
        <f t="shared" si="413"/>
        <v/>
      </c>
      <c r="BI2628" s="8" t="str">
        <f t="shared" si="414"/>
        <v/>
      </c>
      <c r="BJ2628" s="9" t="str">
        <f t="shared" si="415"/>
        <v/>
      </c>
      <c r="BK2628" s="9" t="str">
        <f>IF($B2628="","",COUNTIFS($B$5:$B2628,$B2628,$BF$5:$BF2628,$BF2628))</f>
        <v/>
      </c>
      <c r="BL2628" s="9" t="str">
        <f>IF($B2628="","",COUNTIFS($B$5:$B2628,$B2628,$BH$5:$BH2628,$BH2628))</f>
        <v/>
      </c>
      <c r="BM2628" s="9" t="str">
        <f t="shared" si="416"/>
        <v/>
      </c>
      <c r="BN2628" s="9" t="str">
        <f t="shared" si="417"/>
        <v/>
      </c>
      <c r="BO2628" s="9">
        <f t="shared" si="418"/>
        <v>0</v>
      </c>
      <c r="BR2628" s="12" t="str">
        <f t="shared" si="419"/>
        <v/>
      </c>
    </row>
    <row r="2629" spans="1:70" ht="14.25" customHeight="1">
      <c r="A2629" s="26"/>
      <c r="C2629" s="26"/>
      <c r="D2629" s="27"/>
      <c r="E2629" s="27"/>
      <c r="BE2629" s="10" t="str">
        <f t="shared" si="410"/>
        <v/>
      </c>
      <c r="BF2629" s="8" t="str">
        <f t="shared" si="411"/>
        <v/>
      </c>
      <c r="BG2629" s="11" t="str">
        <f t="shared" si="412"/>
        <v/>
      </c>
      <c r="BH2629" s="8" t="str">
        <f t="shared" si="413"/>
        <v/>
      </c>
      <c r="BI2629" s="8" t="str">
        <f t="shared" si="414"/>
        <v/>
      </c>
      <c r="BJ2629" s="9" t="str">
        <f t="shared" si="415"/>
        <v/>
      </c>
      <c r="BK2629" s="9" t="str">
        <f>IF($B2629="","",COUNTIFS($B$5:$B2629,$B2629,$BF$5:$BF2629,$BF2629))</f>
        <v/>
      </c>
      <c r="BL2629" s="9" t="str">
        <f>IF($B2629="","",COUNTIFS($B$5:$B2629,$B2629,$BH$5:$BH2629,$BH2629))</f>
        <v/>
      </c>
      <c r="BM2629" s="9" t="str">
        <f t="shared" si="416"/>
        <v/>
      </c>
      <c r="BN2629" s="9" t="str">
        <f t="shared" si="417"/>
        <v/>
      </c>
      <c r="BO2629" s="9">
        <f t="shared" si="418"/>
        <v>0</v>
      </c>
      <c r="BR2629" s="12" t="str">
        <f t="shared" si="419"/>
        <v/>
      </c>
    </row>
    <row r="2630" spans="1:70" ht="14.25" customHeight="1">
      <c r="A2630" s="26"/>
      <c r="C2630" s="26"/>
      <c r="D2630" s="27"/>
      <c r="E2630" s="27"/>
      <c r="BE2630" s="10" t="str">
        <f t="shared" si="410"/>
        <v/>
      </c>
      <c r="BF2630" s="8" t="str">
        <f t="shared" si="411"/>
        <v/>
      </c>
      <c r="BG2630" s="11" t="str">
        <f t="shared" si="412"/>
        <v/>
      </c>
      <c r="BH2630" s="8" t="str">
        <f t="shared" si="413"/>
        <v/>
      </c>
      <c r="BI2630" s="8" t="str">
        <f t="shared" si="414"/>
        <v/>
      </c>
      <c r="BJ2630" s="9" t="str">
        <f t="shared" si="415"/>
        <v/>
      </c>
      <c r="BK2630" s="9" t="str">
        <f>IF($B2630="","",COUNTIFS($B$5:$B2630,$B2630,$BF$5:$BF2630,$BF2630))</f>
        <v/>
      </c>
      <c r="BL2630" s="9" t="str">
        <f>IF($B2630="","",COUNTIFS($B$5:$B2630,$B2630,$BH$5:$BH2630,$BH2630))</f>
        <v/>
      </c>
      <c r="BM2630" s="9" t="str">
        <f t="shared" si="416"/>
        <v/>
      </c>
      <c r="BN2630" s="9" t="str">
        <f t="shared" si="417"/>
        <v/>
      </c>
      <c r="BO2630" s="9">
        <f t="shared" si="418"/>
        <v>0</v>
      </c>
      <c r="BR2630" s="12" t="str">
        <f t="shared" si="419"/>
        <v/>
      </c>
    </row>
    <row r="2631" spans="1:70" ht="14.25" customHeight="1">
      <c r="A2631" s="26"/>
      <c r="C2631" s="26"/>
      <c r="D2631" s="27"/>
      <c r="E2631" s="27"/>
      <c r="BE2631" s="10" t="str">
        <f t="shared" si="410"/>
        <v/>
      </c>
      <c r="BF2631" s="8" t="str">
        <f t="shared" si="411"/>
        <v/>
      </c>
      <c r="BG2631" s="11" t="str">
        <f t="shared" si="412"/>
        <v/>
      </c>
      <c r="BH2631" s="8" t="str">
        <f t="shared" si="413"/>
        <v/>
      </c>
      <c r="BI2631" s="8" t="str">
        <f t="shared" si="414"/>
        <v/>
      </c>
      <c r="BJ2631" s="9" t="str">
        <f t="shared" si="415"/>
        <v/>
      </c>
      <c r="BK2631" s="9" t="str">
        <f>IF($B2631="","",COUNTIFS($B$5:$B2631,$B2631,$BF$5:$BF2631,$BF2631))</f>
        <v/>
      </c>
      <c r="BL2631" s="9" t="str">
        <f>IF($B2631="","",COUNTIFS($B$5:$B2631,$B2631,$BH$5:$BH2631,$BH2631))</f>
        <v/>
      </c>
      <c r="BM2631" s="9" t="str">
        <f t="shared" si="416"/>
        <v/>
      </c>
      <c r="BN2631" s="9" t="str">
        <f t="shared" si="417"/>
        <v/>
      </c>
      <c r="BO2631" s="9">
        <f t="shared" si="418"/>
        <v>0</v>
      </c>
      <c r="BR2631" s="12" t="str">
        <f t="shared" si="419"/>
        <v/>
      </c>
    </row>
    <row r="2632" spans="1:70" ht="14.25" customHeight="1">
      <c r="A2632" s="26"/>
      <c r="C2632" s="26"/>
      <c r="D2632" s="27"/>
      <c r="E2632" s="27"/>
      <c r="BE2632" s="10" t="str">
        <f t="shared" si="410"/>
        <v/>
      </c>
      <c r="BF2632" s="8" t="str">
        <f t="shared" si="411"/>
        <v/>
      </c>
      <c r="BG2632" s="11" t="str">
        <f t="shared" si="412"/>
        <v/>
      </c>
      <c r="BH2632" s="8" t="str">
        <f t="shared" si="413"/>
        <v/>
      </c>
      <c r="BI2632" s="8" t="str">
        <f t="shared" si="414"/>
        <v/>
      </c>
      <c r="BJ2632" s="9" t="str">
        <f t="shared" si="415"/>
        <v/>
      </c>
      <c r="BK2632" s="9" t="str">
        <f>IF($B2632="","",COUNTIFS($B$5:$B2632,$B2632,$BF$5:$BF2632,$BF2632))</f>
        <v/>
      </c>
      <c r="BL2632" s="9" t="str">
        <f>IF($B2632="","",COUNTIFS($B$5:$B2632,$B2632,$BH$5:$BH2632,$BH2632))</f>
        <v/>
      </c>
      <c r="BM2632" s="9" t="str">
        <f t="shared" si="416"/>
        <v/>
      </c>
      <c r="BN2632" s="9" t="str">
        <f t="shared" si="417"/>
        <v/>
      </c>
      <c r="BO2632" s="9">
        <f t="shared" si="418"/>
        <v>0</v>
      </c>
      <c r="BR2632" s="12" t="str">
        <f t="shared" si="419"/>
        <v/>
      </c>
    </row>
    <row r="2633" spans="1:70" ht="14.25" customHeight="1">
      <c r="A2633" s="26"/>
      <c r="C2633" s="26"/>
      <c r="D2633" s="27"/>
      <c r="E2633" s="27"/>
      <c r="BE2633" s="10" t="str">
        <f t="shared" si="410"/>
        <v/>
      </c>
      <c r="BF2633" s="8" t="str">
        <f t="shared" si="411"/>
        <v/>
      </c>
      <c r="BG2633" s="11" t="str">
        <f t="shared" si="412"/>
        <v/>
      </c>
      <c r="BH2633" s="8" t="str">
        <f t="shared" si="413"/>
        <v/>
      </c>
      <c r="BI2633" s="8" t="str">
        <f t="shared" si="414"/>
        <v/>
      </c>
      <c r="BJ2633" s="9" t="str">
        <f t="shared" si="415"/>
        <v/>
      </c>
      <c r="BK2633" s="9" t="str">
        <f>IF($B2633="","",COUNTIFS($B$5:$B2633,$B2633,$BF$5:$BF2633,$BF2633))</f>
        <v/>
      </c>
      <c r="BL2633" s="9" t="str">
        <f>IF($B2633="","",COUNTIFS($B$5:$B2633,$B2633,$BH$5:$BH2633,$BH2633))</f>
        <v/>
      </c>
      <c r="BM2633" s="9" t="str">
        <f t="shared" si="416"/>
        <v/>
      </c>
      <c r="BN2633" s="9" t="str">
        <f t="shared" si="417"/>
        <v/>
      </c>
      <c r="BO2633" s="9">
        <f t="shared" si="418"/>
        <v>0</v>
      </c>
      <c r="BR2633" s="12" t="str">
        <f t="shared" si="419"/>
        <v/>
      </c>
    </row>
    <row r="2634" spans="1:70" ht="14.25" customHeight="1">
      <c r="A2634" s="26"/>
      <c r="C2634" s="26"/>
      <c r="D2634" s="27"/>
      <c r="E2634" s="27"/>
      <c r="BE2634" s="10" t="str">
        <f t="shared" si="410"/>
        <v/>
      </c>
      <c r="BF2634" s="8" t="str">
        <f t="shared" si="411"/>
        <v/>
      </c>
      <c r="BG2634" s="11" t="str">
        <f t="shared" si="412"/>
        <v/>
      </c>
      <c r="BH2634" s="8" t="str">
        <f t="shared" si="413"/>
        <v/>
      </c>
      <c r="BI2634" s="8" t="str">
        <f t="shared" si="414"/>
        <v/>
      </c>
      <c r="BJ2634" s="9" t="str">
        <f t="shared" si="415"/>
        <v/>
      </c>
      <c r="BK2634" s="9" t="str">
        <f>IF($B2634="","",COUNTIFS($B$5:$B2634,$B2634,$BF$5:$BF2634,$BF2634))</f>
        <v/>
      </c>
      <c r="BL2634" s="9" t="str">
        <f>IF($B2634="","",COUNTIFS($B$5:$B2634,$B2634,$BH$5:$BH2634,$BH2634))</f>
        <v/>
      </c>
      <c r="BM2634" s="9" t="str">
        <f t="shared" si="416"/>
        <v/>
      </c>
      <c r="BN2634" s="9" t="str">
        <f t="shared" si="417"/>
        <v/>
      </c>
      <c r="BO2634" s="9">
        <f t="shared" si="418"/>
        <v>0</v>
      </c>
      <c r="BR2634" s="12" t="str">
        <f t="shared" si="419"/>
        <v/>
      </c>
    </row>
    <row r="2635" spans="1:70" ht="14.25" customHeight="1">
      <c r="A2635" s="26"/>
      <c r="C2635" s="26"/>
      <c r="D2635" s="27"/>
      <c r="E2635" s="27"/>
      <c r="BE2635" s="10" t="str">
        <f t="shared" si="410"/>
        <v/>
      </c>
      <c r="BF2635" s="8" t="str">
        <f t="shared" si="411"/>
        <v/>
      </c>
      <c r="BG2635" s="11" t="str">
        <f t="shared" si="412"/>
        <v/>
      </c>
      <c r="BH2635" s="8" t="str">
        <f t="shared" si="413"/>
        <v/>
      </c>
      <c r="BI2635" s="8" t="str">
        <f t="shared" si="414"/>
        <v/>
      </c>
      <c r="BJ2635" s="9" t="str">
        <f t="shared" si="415"/>
        <v/>
      </c>
      <c r="BK2635" s="9" t="str">
        <f>IF($B2635="","",COUNTIFS($B$5:$B2635,$B2635,$BF$5:$BF2635,$BF2635))</f>
        <v/>
      </c>
      <c r="BL2635" s="9" t="str">
        <f>IF($B2635="","",COUNTIFS($B$5:$B2635,$B2635,$BH$5:$BH2635,$BH2635))</f>
        <v/>
      </c>
      <c r="BM2635" s="9" t="str">
        <f t="shared" si="416"/>
        <v/>
      </c>
      <c r="BN2635" s="9" t="str">
        <f t="shared" si="417"/>
        <v/>
      </c>
      <c r="BO2635" s="9">
        <f t="shared" si="418"/>
        <v>0</v>
      </c>
      <c r="BR2635" s="12" t="str">
        <f t="shared" si="419"/>
        <v/>
      </c>
    </row>
    <row r="2636" spans="1:70" ht="14.25" customHeight="1">
      <c r="A2636" s="26"/>
      <c r="C2636" s="26"/>
      <c r="D2636" s="27"/>
      <c r="E2636" s="27"/>
      <c r="BE2636" s="10" t="str">
        <f t="shared" si="410"/>
        <v/>
      </c>
      <c r="BF2636" s="8" t="str">
        <f t="shared" si="411"/>
        <v/>
      </c>
      <c r="BG2636" s="11" t="str">
        <f t="shared" si="412"/>
        <v/>
      </c>
      <c r="BH2636" s="8" t="str">
        <f t="shared" si="413"/>
        <v/>
      </c>
      <c r="BI2636" s="8" t="str">
        <f t="shared" si="414"/>
        <v/>
      </c>
      <c r="BJ2636" s="9" t="str">
        <f t="shared" si="415"/>
        <v/>
      </c>
      <c r="BK2636" s="9" t="str">
        <f>IF($B2636="","",COUNTIFS($B$5:$B2636,$B2636,$BF$5:$BF2636,$BF2636))</f>
        <v/>
      </c>
      <c r="BL2636" s="9" t="str">
        <f>IF($B2636="","",COUNTIFS($B$5:$B2636,$B2636,$BH$5:$BH2636,$BH2636))</f>
        <v/>
      </c>
      <c r="BM2636" s="9" t="str">
        <f t="shared" si="416"/>
        <v/>
      </c>
      <c r="BN2636" s="9" t="str">
        <f t="shared" si="417"/>
        <v/>
      </c>
      <c r="BO2636" s="9">
        <f t="shared" si="418"/>
        <v>0</v>
      </c>
      <c r="BR2636" s="12" t="str">
        <f t="shared" si="419"/>
        <v/>
      </c>
    </row>
    <row r="2637" spans="1:70" ht="14.25" customHeight="1">
      <c r="A2637" s="26"/>
      <c r="C2637" s="26"/>
      <c r="D2637" s="27"/>
      <c r="E2637" s="27"/>
      <c r="BE2637" s="10" t="str">
        <f t="shared" si="410"/>
        <v/>
      </c>
      <c r="BF2637" s="8" t="str">
        <f t="shared" si="411"/>
        <v/>
      </c>
      <c r="BG2637" s="11" t="str">
        <f t="shared" si="412"/>
        <v/>
      </c>
      <c r="BH2637" s="8" t="str">
        <f t="shared" si="413"/>
        <v/>
      </c>
      <c r="BI2637" s="8" t="str">
        <f t="shared" si="414"/>
        <v/>
      </c>
      <c r="BJ2637" s="9" t="str">
        <f t="shared" si="415"/>
        <v/>
      </c>
      <c r="BK2637" s="9" t="str">
        <f>IF($B2637="","",COUNTIFS($B$5:$B2637,$B2637,$BF$5:$BF2637,$BF2637))</f>
        <v/>
      </c>
      <c r="BL2637" s="9" t="str">
        <f>IF($B2637="","",COUNTIFS($B$5:$B2637,$B2637,$BH$5:$BH2637,$BH2637))</f>
        <v/>
      </c>
      <c r="BM2637" s="9" t="str">
        <f t="shared" si="416"/>
        <v/>
      </c>
      <c r="BN2637" s="9" t="str">
        <f t="shared" si="417"/>
        <v/>
      </c>
      <c r="BO2637" s="9">
        <f t="shared" si="418"/>
        <v>0</v>
      </c>
      <c r="BR2637" s="12" t="str">
        <f t="shared" si="419"/>
        <v/>
      </c>
    </row>
    <row r="2638" spans="1:70" ht="14.25" customHeight="1">
      <c r="A2638" s="26"/>
      <c r="C2638" s="26"/>
      <c r="D2638" s="27"/>
      <c r="E2638" s="27"/>
      <c r="BE2638" s="10" t="str">
        <f t="shared" si="410"/>
        <v/>
      </c>
      <c r="BF2638" s="8" t="str">
        <f t="shared" si="411"/>
        <v/>
      </c>
      <c r="BG2638" s="11" t="str">
        <f t="shared" si="412"/>
        <v/>
      </c>
      <c r="BH2638" s="8" t="str">
        <f t="shared" si="413"/>
        <v/>
      </c>
      <c r="BI2638" s="8" t="str">
        <f t="shared" si="414"/>
        <v/>
      </c>
      <c r="BJ2638" s="9" t="str">
        <f t="shared" si="415"/>
        <v/>
      </c>
      <c r="BK2638" s="9" t="str">
        <f>IF($B2638="","",COUNTIFS($B$5:$B2638,$B2638,$BF$5:$BF2638,$BF2638))</f>
        <v/>
      </c>
      <c r="BL2638" s="9" t="str">
        <f>IF($B2638="","",COUNTIFS($B$5:$B2638,$B2638,$BH$5:$BH2638,$BH2638))</f>
        <v/>
      </c>
      <c r="BM2638" s="9" t="str">
        <f t="shared" si="416"/>
        <v/>
      </c>
      <c r="BN2638" s="9" t="str">
        <f t="shared" si="417"/>
        <v/>
      </c>
      <c r="BO2638" s="9">
        <f t="shared" si="418"/>
        <v>0</v>
      </c>
      <c r="BR2638" s="12" t="str">
        <f t="shared" si="419"/>
        <v/>
      </c>
    </row>
    <row r="2639" spans="1:70" ht="14.25" customHeight="1">
      <c r="A2639" s="26"/>
      <c r="C2639" s="26"/>
      <c r="D2639" s="27"/>
      <c r="E2639" s="27"/>
      <c r="BE2639" s="10" t="str">
        <f t="shared" si="410"/>
        <v/>
      </c>
      <c r="BF2639" s="8" t="str">
        <f t="shared" si="411"/>
        <v/>
      </c>
      <c r="BG2639" s="11" t="str">
        <f t="shared" si="412"/>
        <v/>
      </c>
      <c r="BH2639" s="8" t="str">
        <f t="shared" si="413"/>
        <v/>
      </c>
      <c r="BI2639" s="8" t="str">
        <f t="shared" si="414"/>
        <v/>
      </c>
      <c r="BJ2639" s="9" t="str">
        <f t="shared" si="415"/>
        <v/>
      </c>
      <c r="BK2639" s="9" t="str">
        <f>IF($B2639="","",COUNTIFS($B$5:$B2639,$B2639,$BF$5:$BF2639,$BF2639))</f>
        <v/>
      </c>
      <c r="BL2639" s="9" t="str">
        <f>IF($B2639="","",COUNTIFS($B$5:$B2639,$B2639,$BH$5:$BH2639,$BH2639))</f>
        <v/>
      </c>
      <c r="BM2639" s="9" t="str">
        <f t="shared" si="416"/>
        <v/>
      </c>
      <c r="BN2639" s="9" t="str">
        <f t="shared" si="417"/>
        <v/>
      </c>
      <c r="BO2639" s="9">
        <f t="shared" si="418"/>
        <v>0</v>
      </c>
      <c r="BR2639" s="12" t="str">
        <f t="shared" si="419"/>
        <v/>
      </c>
    </row>
    <row r="2640" spans="1:70" ht="14.25" customHeight="1">
      <c r="A2640" s="26"/>
      <c r="C2640" s="26"/>
      <c r="D2640" s="27"/>
      <c r="E2640" s="27"/>
      <c r="BE2640" s="10" t="str">
        <f t="shared" si="410"/>
        <v/>
      </c>
      <c r="BF2640" s="8" t="str">
        <f t="shared" si="411"/>
        <v/>
      </c>
      <c r="BG2640" s="11" t="str">
        <f t="shared" si="412"/>
        <v/>
      </c>
      <c r="BH2640" s="8" t="str">
        <f t="shared" si="413"/>
        <v/>
      </c>
      <c r="BI2640" s="8" t="str">
        <f t="shared" si="414"/>
        <v/>
      </c>
      <c r="BJ2640" s="9" t="str">
        <f t="shared" si="415"/>
        <v/>
      </c>
      <c r="BK2640" s="9" t="str">
        <f>IF($B2640="","",COUNTIFS($B$5:$B2640,$B2640,$BF$5:$BF2640,$BF2640))</f>
        <v/>
      </c>
      <c r="BL2640" s="9" t="str">
        <f>IF($B2640="","",COUNTIFS($B$5:$B2640,$B2640,$BH$5:$BH2640,$BH2640))</f>
        <v/>
      </c>
      <c r="BM2640" s="9" t="str">
        <f t="shared" si="416"/>
        <v/>
      </c>
      <c r="BN2640" s="9" t="str">
        <f t="shared" si="417"/>
        <v/>
      </c>
      <c r="BO2640" s="9">
        <f t="shared" si="418"/>
        <v>0</v>
      </c>
      <c r="BR2640" s="12" t="str">
        <f t="shared" si="419"/>
        <v/>
      </c>
    </row>
    <row r="2641" spans="1:1" ht="15" customHeight="1">
      <c r="A2641" s="28">
        <v>46118.401967592603</v>
      </c>
    </row>
  </sheetData>
  <autoFilter ref="A4:BR2641" xr:uid="{00000000-0009-0000-0000-000003000000}"/>
  <mergeCells count="2">
    <mergeCell ref="A1:BR1"/>
    <mergeCell ref="A2:BR2"/>
  </mergeCells>
  <conditionalFormatting sqref="F1:F1048576">
    <cfRule type="duplicateValues" dxfId="0" priority="1"/>
  </conditionalFormatting>
  <pageMargins left="0.25" right="0.25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Songpon Phothong</dc:creator>
  <cp:lastModifiedBy>Songpon Phothong</cp:lastModifiedBy>
  <dcterms:created xsi:type="dcterms:W3CDTF">2026-06-06T18:42:13Z</dcterms:created>
  <dcterms:modified xsi:type="dcterms:W3CDTF">2026-06-06T18:57:46Z</dcterms:modified>
</cp:coreProperties>
</file>