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3A4B318A-D93F-481B-AF2E-B647BEF24569}" xr6:coauthVersionLast="47" xr6:coauthVersionMax="47" xr10:uidLastSave="{00000000-0000-0000-0000-000000000000}"/>
  <bookViews>
    <workbookView xWindow="-110" yWindow="-110" windowWidth="19420" windowHeight="10420" xr2:uid="{3621D59F-A128-4CF4-A0D7-5E6C7F595111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W1067" i="1" s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U1063" i="1"/>
  <c r="AT1063" i="1"/>
  <c r="AS1063" i="1"/>
  <c r="BC1062" i="1"/>
  <c r="BB1062" i="1"/>
  <c r="BA1062" i="1"/>
  <c r="AZ1062" i="1"/>
  <c r="AY1062" i="1"/>
  <c r="AX1062" i="1"/>
  <c r="AV1062" i="1"/>
  <c r="AW1062" i="1" s="1"/>
  <c r="AT1062" i="1"/>
  <c r="AU1062" i="1" s="1"/>
  <c r="AS1062" i="1"/>
  <c r="BC1061" i="1"/>
  <c r="BB1061" i="1"/>
  <c r="BA1061" i="1"/>
  <c r="AZ1061" i="1"/>
  <c r="AY1061" i="1"/>
  <c r="AV1061" i="1"/>
  <c r="AX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W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X1055" i="1" s="1"/>
  <c r="AU1055" i="1"/>
  <c r="AT1055" i="1"/>
  <c r="AS1055" i="1"/>
  <c r="BC1054" i="1"/>
  <c r="BB1054" i="1"/>
  <c r="BA1054" i="1"/>
  <c r="AZ1054" i="1"/>
  <c r="AY1054" i="1"/>
  <c r="AX1054" i="1"/>
  <c r="AV1054" i="1"/>
  <c r="AW1054" i="1" s="1"/>
  <c r="AT1054" i="1"/>
  <c r="AU1054" i="1" s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W1051" i="1" s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U1047" i="1"/>
  <c r="AT1047" i="1"/>
  <c r="AS1047" i="1"/>
  <c r="BC1046" i="1"/>
  <c r="BB1046" i="1"/>
  <c r="BA1046" i="1"/>
  <c r="AZ1046" i="1"/>
  <c r="AY1046" i="1"/>
  <c r="AX1046" i="1"/>
  <c r="AV1046" i="1"/>
  <c r="AW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U1045" i="1"/>
  <c r="AT1045" i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U1039" i="1"/>
  <c r="AT1039" i="1"/>
  <c r="AS1039" i="1"/>
  <c r="BC1038" i="1"/>
  <c r="BB1038" i="1"/>
  <c r="BA1038" i="1"/>
  <c r="AZ1038" i="1"/>
  <c r="AY1038" i="1"/>
  <c r="AX1038" i="1"/>
  <c r="AW1038" i="1"/>
  <c r="AV1038" i="1"/>
  <c r="AT1038" i="1"/>
  <c r="AU1038" i="1" s="1"/>
  <c r="AS1038" i="1"/>
  <c r="BC1037" i="1"/>
  <c r="BB1037" i="1"/>
  <c r="BA1037" i="1"/>
  <c r="AZ1037" i="1"/>
  <c r="AY1037" i="1"/>
  <c r="AV1037" i="1"/>
  <c r="AX1037" i="1" s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W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W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X1030" i="1"/>
  <c r="AW1030" i="1"/>
  <c r="AV1030" i="1"/>
  <c r="AT1030" i="1"/>
  <c r="AU1030" i="1" s="1"/>
  <c r="AS1030" i="1"/>
  <c r="BC1029" i="1"/>
  <c r="BB1029" i="1"/>
  <c r="BA1029" i="1"/>
  <c r="AZ1029" i="1"/>
  <c r="AY1029" i="1"/>
  <c r="AV1029" i="1"/>
  <c r="AW1029" i="1" s="1"/>
  <c r="AU1029" i="1"/>
  <c r="AT1029" i="1"/>
  <c r="AS1029" i="1"/>
  <c r="BC1028" i="1"/>
  <c r="BB1028" i="1"/>
  <c r="BA1028" i="1"/>
  <c r="AZ1028" i="1"/>
  <c r="AY1028" i="1"/>
  <c r="AV1028" i="1"/>
  <c r="AX1028" i="1" s="1"/>
  <c r="AU1028" i="1"/>
  <c r="AT1028" i="1"/>
  <c r="AS1028" i="1"/>
  <c r="BC1027" i="1"/>
  <c r="BB1027" i="1"/>
  <c r="BA1027" i="1"/>
  <c r="AZ1027" i="1"/>
  <c r="AY1027" i="1"/>
  <c r="AX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T1026" i="1"/>
  <c r="AU1026" i="1" s="1"/>
  <c r="AS1026" i="1"/>
  <c r="BC1025" i="1"/>
  <c r="BB1025" i="1"/>
  <c r="BA1025" i="1"/>
  <c r="AZ1025" i="1"/>
  <c r="AY1025" i="1"/>
  <c r="AW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U1023" i="1"/>
  <c r="AT1023" i="1"/>
  <c r="AS1023" i="1"/>
  <c r="BC1022" i="1"/>
  <c r="BB1022" i="1"/>
  <c r="BA1022" i="1"/>
  <c r="AZ1022" i="1"/>
  <c r="AY1022" i="1"/>
  <c r="AX1022" i="1"/>
  <c r="AV1022" i="1"/>
  <c r="AW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U1021" i="1"/>
  <c r="AT1021" i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W1011" i="1" s="1"/>
  <c r="AT1011" i="1"/>
  <c r="AU1011" i="1" s="1"/>
  <c r="AS1011" i="1"/>
  <c r="BC1010" i="1"/>
  <c r="BB1010" i="1"/>
  <c r="BA1010" i="1"/>
  <c r="AZ1010" i="1"/>
  <c r="AY1010" i="1"/>
  <c r="AV1010" i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U1007" i="1"/>
  <c r="AT1007" i="1"/>
  <c r="AS1007" i="1"/>
  <c r="BC1006" i="1"/>
  <c r="BB1006" i="1"/>
  <c r="BA1006" i="1"/>
  <c r="AZ1006" i="1"/>
  <c r="AY1006" i="1"/>
  <c r="AX1006" i="1"/>
  <c r="AV1006" i="1"/>
  <c r="AW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U1005" i="1"/>
  <c r="AT1005" i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W1003" i="1" s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X998" i="1"/>
  <c r="AW998" i="1"/>
  <c r="AV998" i="1"/>
  <c r="AT998" i="1"/>
  <c r="AU998" i="1" s="1"/>
  <c r="AS998" i="1"/>
  <c r="BC997" i="1"/>
  <c r="BB997" i="1"/>
  <c r="BA997" i="1"/>
  <c r="AZ997" i="1"/>
  <c r="AY997" i="1"/>
  <c r="AV997" i="1"/>
  <c r="AX997" i="1" s="1"/>
  <c r="AU997" i="1"/>
  <c r="AT997" i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W995" i="1" s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T991" i="1"/>
  <c r="AU991" i="1" s="1"/>
  <c r="AS991" i="1"/>
  <c r="BC990" i="1"/>
  <c r="BB990" i="1"/>
  <c r="BA990" i="1"/>
  <c r="AZ990" i="1"/>
  <c r="AY990" i="1"/>
  <c r="AX990" i="1"/>
  <c r="AW990" i="1"/>
  <c r="AV990" i="1"/>
  <c r="AT990" i="1"/>
  <c r="AU990" i="1" s="1"/>
  <c r="AS990" i="1"/>
  <c r="BC989" i="1"/>
  <c r="BB989" i="1"/>
  <c r="BA989" i="1"/>
  <c r="AZ989" i="1"/>
  <c r="AY989" i="1"/>
  <c r="AV989" i="1"/>
  <c r="AX989" i="1" s="1"/>
  <c r="AU989" i="1"/>
  <c r="AT989" i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U983" i="1"/>
  <c r="AT983" i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W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X979" i="1"/>
  <c r="AV979" i="1"/>
  <c r="AW979" i="1" s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X975" i="1" s="1"/>
  <c r="AU975" i="1"/>
  <c r="AT975" i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U972" i="1"/>
  <c r="AT972" i="1"/>
  <c r="AS972" i="1"/>
  <c r="BC971" i="1"/>
  <c r="BB971" i="1"/>
  <c r="BA971" i="1"/>
  <c r="AZ971" i="1"/>
  <c r="AY971" i="1"/>
  <c r="AX971" i="1"/>
  <c r="AV971" i="1"/>
  <c r="AW971" i="1" s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U969" i="1"/>
  <c r="AT969" i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U967" i="1"/>
  <c r="AT967" i="1"/>
  <c r="AS967" i="1"/>
  <c r="BC966" i="1"/>
  <c r="BB966" i="1"/>
  <c r="BA966" i="1"/>
  <c r="AZ966" i="1"/>
  <c r="AY966" i="1"/>
  <c r="AX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W963" i="1"/>
  <c r="AV963" i="1"/>
  <c r="AX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U961" i="1"/>
  <c r="AT961" i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T959" i="1"/>
  <c r="AU959" i="1" s="1"/>
  <c r="AS959" i="1"/>
  <c r="BC958" i="1"/>
  <c r="BB958" i="1"/>
  <c r="BA958" i="1"/>
  <c r="AZ958" i="1"/>
  <c r="AY958" i="1"/>
  <c r="AW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X955" i="1"/>
  <c r="AW955" i="1"/>
  <c r="AV955" i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W953" i="1"/>
  <c r="AV953" i="1"/>
  <c r="AX953" i="1" s="1"/>
  <c r="AU953" i="1"/>
  <c r="AT953" i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X950" i="1"/>
  <c r="AW950" i="1"/>
  <c r="AV950" i="1"/>
  <c r="AT950" i="1"/>
  <c r="AU950" i="1" s="1"/>
  <c r="AS950" i="1"/>
  <c r="BC949" i="1"/>
  <c r="BB949" i="1"/>
  <c r="BA949" i="1"/>
  <c r="AZ949" i="1"/>
  <c r="AY949" i="1"/>
  <c r="AV949" i="1"/>
  <c r="AX949" i="1" s="1"/>
  <c r="AU949" i="1"/>
  <c r="AT949" i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X947" i="1"/>
  <c r="AW947" i="1"/>
  <c r="AV947" i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W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X942" i="1"/>
  <c r="AW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U941" i="1"/>
  <c r="AT941" i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U937" i="1"/>
  <c r="AT937" i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W932" i="1" s="1"/>
  <c r="AU932" i="1"/>
  <c r="AT932" i="1"/>
  <c r="AS932" i="1"/>
  <c r="BC931" i="1"/>
  <c r="BB931" i="1"/>
  <c r="BA931" i="1"/>
  <c r="AZ931" i="1"/>
  <c r="AY931" i="1"/>
  <c r="AX931" i="1"/>
  <c r="AV931" i="1"/>
  <c r="AW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X927" i="1" s="1"/>
  <c r="AU927" i="1"/>
  <c r="AT927" i="1"/>
  <c r="AS927" i="1"/>
  <c r="BC926" i="1"/>
  <c r="BB926" i="1"/>
  <c r="BA926" i="1"/>
  <c r="AZ926" i="1"/>
  <c r="AY926" i="1"/>
  <c r="AX926" i="1"/>
  <c r="AV926" i="1"/>
  <c r="AW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U924" i="1"/>
  <c r="AT924" i="1"/>
  <c r="AS924" i="1"/>
  <c r="BC923" i="1"/>
  <c r="BB923" i="1"/>
  <c r="BA923" i="1"/>
  <c r="AZ923" i="1"/>
  <c r="AY923" i="1"/>
  <c r="AX923" i="1"/>
  <c r="AV923" i="1"/>
  <c r="AW923" i="1" s="1"/>
  <c r="AU923" i="1"/>
  <c r="AT923" i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X918" i="1"/>
  <c r="AW918" i="1"/>
  <c r="AV918" i="1"/>
  <c r="AT918" i="1"/>
  <c r="AU918" i="1" s="1"/>
  <c r="AS918" i="1"/>
  <c r="BC917" i="1"/>
  <c r="BB917" i="1"/>
  <c r="BA917" i="1"/>
  <c r="AZ917" i="1"/>
  <c r="AY917" i="1"/>
  <c r="AV917" i="1"/>
  <c r="AX917" i="1" s="1"/>
  <c r="AU917" i="1"/>
  <c r="AT917" i="1"/>
  <c r="AS917" i="1"/>
  <c r="BC916" i="1"/>
  <c r="BB916" i="1"/>
  <c r="BA916" i="1"/>
  <c r="AZ916" i="1"/>
  <c r="AY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X911" i="1" s="1"/>
  <c r="AU911" i="1"/>
  <c r="AT911" i="1"/>
  <c r="AS911" i="1"/>
  <c r="BC910" i="1"/>
  <c r="BB910" i="1"/>
  <c r="BA910" i="1"/>
  <c r="AZ910" i="1"/>
  <c r="AY910" i="1"/>
  <c r="AX910" i="1"/>
  <c r="AV910" i="1"/>
  <c r="AW910" i="1" s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V907" i="1"/>
  <c r="AW907" i="1" s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V902" i="1"/>
  <c r="AW902" i="1" s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W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U893" i="1"/>
  <c r="AT893" i="1"/>
  <c r="AS893" i="1"/>
  <c r="BC892" i="1"/>
  <c r="BB892" i="1"/>
  <c r="BA892" i="1"/>
  <c r="AZ892" i="1"/>
  <c r="AY892" i="1"/>
  <c r="AV892" i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U885" i="1"/>
  <c r="AT885" i="1"/>
  <c r="AS885" i="1"/>
  <c r="BC884" i="1"/>
  <c r="BB884" i="1"/>
  <c r="BA884" i="1"/>
  <c r="AZ884" i="1"/>
  <c r="AY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W878" i="1" s="1"/>
  <c r="AT878" i="1"/>
  <c r="AU878" i="1" s="1"/>
  <c r="AS878" i="1"/>
  <c r="BC877" i="1"/>
  <c r="BB877" i="1"/>
  <c r="BA877" i="1"/>
  <c r="AZ877" i="1"/>
  <c r="AY877" i="1"/>
  <c r="AW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W876" i="1" s="1"/>
  <c r="AU876" i="1"/>
  <c r="AT876" i="1"/>
  <c r="AS876" i="1"/>
  <c r="BC875" i="1"/>
  <c r="BB875" i="1"/>
  <c r="BA875" i="1"/>
  <c r="AZ875" i="1"/>
  <c r="AY875" i="1"/>
  <c r="AV875" i="1"/>
  <c r="AT875" i="1"/>
  <c r="AU875" i="1" s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X871" i="1" s="1"/>
  <c r="AU871" i="1"/>
  <c r="AT871" i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W868" i="1" s="1"/>
  <c r="AU868" i="1"/>
  <c r="AT868" i="1"/>
  <c r="AS868" i="1"/>
  <c r="BC867" i="1"/>
  <c r="BB867" i="1"/>
  <c r="BA867" i="1"/>
  <c r="AZ867" i="1"/>
  <c r="AY867" i="1"/>
  <c r="AX867" i="1"/>
  <c r="AV867" i="1"/>
  <c r="AW867" i="1" s="1"/>
  <c r="AU867" i="1"/>
  <c r="AT867" i="1"/>
  <c r="AS867" i="1"/>
  <c r="BC866" i="1"/>
  <c r="BB866" i="1"/>
  <c r="BA866" i="1"/>
  <c r="AZ866" i="1"/>
  <c r="AY866" i="1"/>
  <c r="AX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U865" i="1"/>
  <c r="AT865" i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W862" i="1" s="1"/>
  <c r="AT862" i="1"/>
  <c r="AU862" i="1" s="1"/>
  <c r="AS862" i="1"/>
  <c r="BC861" i="1"/>
  <c r="BB861" i="1"/>
  <c r="BA861" i="1"/>
  <c r="AZ861" i="1"/>
  <c r="AY861" i="1"/>
  <c r="AW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U860" i="1"/>
  <c r="AT860" i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X857" i="1" s="1"/>
  <c r="AU857" i="1"/>
  <c r="AT857" i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U852" i="1"/>
  <c r="AT852" i="1"/>
  <c r="AS852" i="1"/>
  <c r="BC851" i="1"/>
  <c r="BB851" i="1"/>
  <c r="BA851" i="1"/>
  <c r="AZ851" i="1"/>
  <c r="AY851" i="1"/>
  <c r="AX851" i="1"/>
  <c r="AV851" i="1"/>
  <c r="AW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U849" i="1"/>
  <c r="AT849" i="1"/>
  <c r="AS849" i="1"/>
  <c r="BC848" i="1"/>
  <c r="BB848" i="1"/>
  <c r="BA848" i="1"/>
  <c r="AZ848" i="1"/>
  <c r="AY848" i="1"/>
  <c r="AX848" i="1"/>
  <c r="AV848" i="1"/>
  <c r="AW848" i="1" s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W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W840" i="1" s="1"/>
  <c r="AU840" i="1"/>
  <c r="AT840" i="1"/>
  <c r="AS840" i="1"/>
  <c r="BC839" i="1"/>
  <c r="BB839" i="1"/>
  <c r="BA839" i="1"/>
  <c r="AZ839" i="1"/>
  <c r="AY839" i="1"/>
  <c r="AX839" i="1"/>
  <c r="AV839" i="1"/>
  <c r="AW839" i="1" s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X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U833" i="1"/>
  <c r="AT833" i="1"/>
  <c r="AS833" i="1"/>
  <c r="BC832" i="1"/>
  <c r="BB832" i="1"/>
  <c r="BA832" i="1"/>
  <c r="AZ832" i="1"/>
  <c r="AY832" i="1"/>
  <c r="AV832" i="1"/>
  <c r="AW832" i="1" s="1"/>
  <c r="AT832" i="1"/>
  <c r="AU832" i="1" s="1"/>
  <c r="AS832" i="1"/>
  <c r="BC831" i="1"/>
  <c r="BB831" i="1"/>
  <c r="BA831" i="1"/>
  <c r="AZ831" i="1"/>
  <c r="AY831" i="1"/>
  <c r="AW831" i="1"/>
  <c r="AV831" i="1"/>
  <c r="AX831" i="1" s="1"/>
  <c r="AU831" i="1"/>
  <c r="AT831" i="1"/>
  <c r="AS831" i="1"/>
  <c r="BC830" i="1"/>
  <c r="BB830" i="1"/>
  <c r="BA830" i="1"/>
  <c r="AZ830" i="1"/>
  <c r="AY830" i="1"/>
  <c r="AX830" i="1"/>
  <c r="AV830" i="1"/>
  <c r="AW830" i="1" s="1"/>
  <c r="AT830" i="1"/>
  <c r="AU830" i="1" s="1"/>
  <c r="AS830" i="1"/>
  <c r="BC829" i="1"/>
  <c r="BB829" i="1"/>
  <c r="BA829" i="1"/>
  <c r="AZ829" i="1"/>
  <c r="AY829" i="1"/>
  <c r="AV829" i="1"/>
  <c r="AX829" i="1" s="1"/>
  <c r="AU829" i="1"/>
  <c r="AT829" i="1"/>
  <c r="AS829" i="1"/>
  <c r="BC828" i="1"/>
  <c r="BB828" i="1"/>
  <c r="BA828" i="1"/>
  <c r="AZ828" i="1"/>
  <c r="AY828" i="1"/>
  <c r="AX828" i="1"/>
  <c r="AV828" i="1"/>
  <c r="AW828" i="1" s="1"/>
  <c r="AT828" i="1"/>
  <c r="AU828" i="1" s="1"/>
  <c r="AS828" i="1"/>
  <c r="BC827" i="1"/>
  <c r="BB827" i="1"/>
  <c r="BA827" i="1"/>
  <c r="AZ827" i="1"/>
  <c r="AY827" i="1"/>
  <c r="AW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W824" i="1" s="1"/>
  <c r="AU824" i="1"/>
  <c r="AT824" i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W822" i="1"/>
  <c r="AV822" i="1"/>
  <c r="AX822" i="1" s="1"/>
  <c r="AU822" i="1"/>
  <c r="AT822" i="1"/>
  <c r="AS822" i="1"/>
  <c r="BC821" i="1"/>
  <c r="BB821" i="1"/>
  <c r="BA821" i="1"/>
  <c r="AZ821" i="1"/>
  <c r="AY821" i="1"/>
  <c r="AX821" i="1"/>
  <c r="AV821" i="1"/>
  <c r="AW821" i="1" s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U820" i="1"/>
  <c r="AT820" i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X818" i="1"/>
  <c r="AV818" i="1"/>
  <c r="AW818" i="1" s="1"/>
  <c r="AU818" i="1"/>
  <c r="AT818" i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U816" i="1"/>
  <c r="AT816" i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U812" i="1"/>
  <c r="AT812" i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U810" i="1"/>
  <c r="AT810" i="1"/>
  <c r="AS810" i="1"/>
  <c r="BC809" i="1"/>
  <c r="BB809" i="1"/>
  <c r="BA809" i="1"/>
  <c r="AZ809" i="1"/>
  <c r="AY809" i="1"/>
  <c r="AX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U806" i="1"/>
  <c r="AT806" i="1"/>
  <c r="AS806" i="1"/>
  <c r="BC805" i="1"/>
  <c r="BB805" i="1"/>
  <c r="BA805" i="1"/>
  <c r="AZ805" i="1"/>
  <c r="AY805" i="1"/>
  <c r="AX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U804" i="1"/>
  <c r="AT804" i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U798" i="1"/>
  <c r="AT798" i="1"/>
  <c r="AS798" i="1"/>
  <c r="BC797" i="1"/>
  <c r="BB797" i="1"/>
  <c r="BA797" i="1"/>
  <c r="AZ797" i="1"/>
  <c r="AY797" i="1"/>
  <c r="AX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W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W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W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X778" i="1"/>
  <c r="AW778" i="1"/>
  <c r="AV778" i="1"/>
  <c r="AT778" i="1"/>
  <c r="AU778" i="1" s="1"/>
  <c r="AS778" i="1"/>
  <c r="BC777" i="1"/>
  <c r="BB777" i="1"/>
  <c r="BA777" i="1"/>
  <c r="AZ777" i="1"/>
  <c r="AY777" i="1"/>
  <c r="AV777" i="1"/>
  <c r="AW777" i="1" s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U776" i="1"/>
  <c r="AT776" i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U770" i="1"/>
  <c r="AT770" i="1"/>
  <c r="AS770" i="1"/>
  <c r="BC769" i="1"/>
  <c r="BB769" i="1"/>
  <c r="BA769" i="1"/>
  <c r="AZ769" i="1"/>
  <c r="AY769" i="1"/>
  <c r="AX769" i="1"/>
  <c r="AV769" i="1"/>
  <c r="AW769" i="1" s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U768" i="1"/>
  <c r="AT768" i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W765" i="1" s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U764" i="1"/>
  <c r="AT764" i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X762" i="1"/>
  <c r="AW762" i="1"/>
  <c r="AV762" i="1"/>
  <c r="AU762" i="1"/>
  <c r="AT762" i="1"/>
  <c r="AS762" i="1"/>
  <c r="BC761" i="1"/>
  <c r="BB761" i="1"/>
  <c r="BA761" i="1"/>
  <c r="AZ761" i="1"/>
  <c r="AY761" i="1"/>
  <c r="AX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X760" i="1" s="1"/>
  <c r="AU760" i="1"/>
  <c r="AT760" i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W758" i="1"/>
  <c r="AV758" i="1"/>
  <c r="AX758" i="1" s="1"/>
  <c r="AU758" i="1"/>
  <c r="AT758" i="1"/>
  <c r="AS758" i="1"/>
  <c r="BC757" i="1"/>
  <c r="BB757" i="1"/>
  <c r="BA757" i="1"/>
  <c r="AZ757" i="1"/>
  <c r="AY757" i="1"/>
  <c r="AX757" i="1"/>
  <c r="AV757" i="1"/>
  <c r="AW757" i="1" s="1"/>
  <c r="AT757" i="1"/>
  <c r="AU757" i="1" s="1"/>
  <c r="AS757" i="1"/>
  <c r="BC756" i="1"/>
  <c r="BB756" i="1"/>
  <c r="BA756" i="1"/>
  <c r="AZ756" i="1"/>
  <c r="AY756" i="1"/>
  <c r="AW756" i="1"/>
  <c r="AV756" i="1"/>
  <c r="AX756" i="1" s="1"/>
  <c r="AU756" i="1"/>
  <c r="AT756" i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X754" i="1"/>
  <c r="AV754" i="1"/>
  <c r="AW754" i="1" s="1"/>
  <c r="AU754" i="1"/>
  <c r="AT754" i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U752" i="1"/>
  <c r="AT752" i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U748" i="1"/>
  <c r="AT748" i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U746" i="1"/>
  <c r="AT746" i="1"/>
  <c r="AS746" i="1"/>
  <c r="BC745" i="1"/>
  <c r="BB745" i="1"/>
  <c r="BA745" i="1"/>
  <c r="AZ745" i="1"/>
  <c r="AY745" i="1"/>
  <c r="AX745" i="1"/>
  <c r="AV745" i="1"/>
  <c r="AW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U740" i="1"/>
  <c r="AT740" i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W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U734" i="1"/>
  <c r="AT734" i="1"/>
  <c r="AS734" i="1"/>
  <c r="BC733" i="1"/>
  <c r="BB733" i="1"/>
  <c r="BA733" i="1"/>
  <c r="AZ733" i="1"/>
  <c r="AY733" i="1"/>
  <c r="AX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W721" i="1" s="1"/>
  <c r="AT721" i="1"/>
  <c r="AU721" i="1" s="1"/>
  <c r="AS721" i="1"/>
  <c r="BC720" i="1"/>
  <c r="BB720" i="1"/>
  <c r="BA720" i="1"/>
  <c r="AZ720" i="1"/>
  <c r="AY720" i="1"/>
  <c r="AW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W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X714" i="1"/>
  <c r="AW714" i="1"/>
  <c r="AV714" i="1"/>
  <c r="AT714" i="1"/>
  <c r="AU714" i="1" s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W712" i="1"/>
  <c r="AV712" i="1"/>
  <c r="AX712" i="1" s="1"/>
  <c r="AU712" i="1"/>
  <c r="AT712" i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W709" i="1" s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W706" i="1"/>
  <c r="AV706" i="1"/>
  <c r="AX706" i="1" s="1"/>
  <c r="AU706" i="1"/>
  <c r="AT706" i="1"/>
  <c r="AS706" i="1"/>
  <c r="BC705" i="1"/>
  <c r="BB705" i="1"/>
  <c r="BA705" i="1"/>
  <c r="AZ705" i="1"/>
  <c r="AY705" i="1"/>
  <c r="AX705" i="1"/>
  <c r="AV705" i="1"/>
  <c r="AW705" i="1" s="1"/>
  <c r="AT705" i="1"/>
  <c r="AU705" i="1" s="1"/>
  <c r="AS705" i="1"/>
  <c r="BC704" i="1"/>
  <c r="BB704" i="1"/>
  <c r="BA704" i="1"/>
  <c r="AZ704" i="1"/>
  <c r="AY704" i="1"/>
  <c r="AW704" i="1"/>
  <c r="AV704" i="1"/>
  <c r="AX704" i="1" s="1"/>
  <c r="AU704" i="1"/>
  <c r="AT704" i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W701" i="1" s="1"/>
  <c r="AT701" i="1"/>
  <c r="AU701" i="1" s="1"/>
  <c r="AS701" i="1"/>
  <c r="BC700" i="1"/>
  <c r="BB700" i="1"/>
  <c r="BA700" i="1"/>
  <c r="AZ700" i="1"/>
  <c r="AY700" i="1"/>
  <c r="AW700" i="1"/>
  <c r="AV700" i="1"/>
  <c r="AX700" i="1" s="1"/>
  <c r="AU700" i="1"/>
  <c r="AT700" i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X698" i="1"/>
  <c r="AW698" i="1"/>
  <c r="AV698" i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X696" i="1" s="1"/>
  <c r="AU696" i="1"/>
  <c r="AT696" i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W694" i="1"/>
  <c r="AV694" i="1"/>
  <c r="AX694" i="1" s="1"/>
  <c r="AU694" i="1"/>
  <c r="AT694" i="1"/>
  <c r="AS694" i="1"/>
  <c r="BC693" i="1"/>
  <c r="BB693" i="1"/>
  <c r="BA693" i="1"/>
  <c r="AZ693" i="1"/>
  <c r="AY693" i="1"/>
  <c r="AX693" i="1"/>
  <c r="AV693" i="1"/>
  <c r="AW693" i="1" s="1"/>
  <c r="AT693" i="1"/>
  <c r="AU693" i="1" s="1"/>
  <c r="AS693" i="1"/>
  <c r="BC692" i="1"/>
  <c r="BB692" i="1"/>
  <c r="BA692" i="1"/>
  <c r="AZ692" i="1"/>
  <c r="AY692" i="1"/>
  <c r="AW692" i="1"/>
  <c r="AV692" i="1"/>
  <c r="AX692" i="1" s="1"/>
  <c r="AU692" i="1"/>
  <c r="AT692" i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X690" i="1"/>
  <c r="AV690" i="1"/>
  <c r="AW690" i="1" s="1"/>
  <c r="AU690" i="1"/>
  <c r="AT690" i="1"/>
  <c r="AS690" i="1"/>
  <c r="BC689" i="1"/>
  <c r="BB689" i="1"/>
  <c r="BA689" i="1"/>
  <c r="AZ689" i="1"/>
  <c r="AY689" i="1"/>
  <c r="AX689" i="1"/>
  <c r="AV689" i="1"/>
  <c r="AW689" i="1" s="1"/>
  <c r="AT689" i="1"/>
  <c r="AU689" i="1" s="1"/>
  <c r="AS689" i="1"/>
  <c r="BC688" i="1"/>
  <c r="BB688" i="1"/>
  <c r="BA688" i="1"/>
  <c r="AZ688" i="1"/>
  <c r="AY688" i="1"/>
  <c r="AV688" i="1"/>
  <c r="AU688" i="1"/>
  <c r="AT688" i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U686" i="1"/>
  <c r="AT686" i="1"/>
  <c r="AS686" i="1"/>
  <c r="BC685" i="1"/>
  <c r="BB685" i="1"/>
  <c r="BA685" i="1"/>
  <c r="AZ685" i="1"/>
  <c r="AY685" i="1"/>
  <c r="AX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X684" i="1" s="1"/>
  <c r="AU684" i="1"/>
  <c r="AT684" i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U682" i="1"/>
  <c r="AT682" i="1"/>
  <c r="AS682" i="1"/>
  <c r="BC681" i="1"/>
  <c r="BB681" i="1"/>
  <c r="BA681" i="1"/>
  <c r="AZ681" i="1"/>
  <c r="AY681" i="1"/>
  <c r="AX681" i="1"/>
  <c r="AV681" i="1"/>
  <c r="AW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X678" i="1" s="1"/>
  <c r="AU678" i="1"/>
  <c r="AT678" i="1"/>
  <c r="AS678" i="1"/>
  <c r="BC677" i="1"/>
  <c r="BB677" i="1"/>
  <c r="BA677" i="1"/>
  <c r="AZ677" i="1"/>
  <c r="AY677" i="1"/>
  <c r="AX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U676" i="1"/>
  <c r="AT676" i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X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W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U670" i="1"/>
  <c r="AT670" i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U664" i="1"/>
  <c r="AT664" i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W659" i="1" s="1"/>
  <c r="AU659" i="1"/>
  <c r="AT659" i="1"/>
  <c r="AS659" i="1"/>
  <c r="BC658" i="1"/>
  <c r="BB658" i="1"/>
  <c r="BA658" i="1"/>
  <c r="AZ658" i="1"/>
  <c r="AY658" i="1"/>
  <c r="AV658" i="1"/>
  <c r="AU658" i="1"/>
  <c r="AT658" i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W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W649" i="1" s="1"/>
  <c r="AU649" i="1"/>
  <c r="AT649" i="1"/>
  <c r="AS649" i="1"/>
  <c r="BC648" i="1"/>
  <c r="BB648" i="1"/>
  <c r="BA648" i="1"/>
  <c r="AZ648" i="1"/>
  <c r="AY648" i="1"/>
  <c r="AV648" i="1"/>
  <c r="AU648" i="1"/>
  <c r="AT648" i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X643" i="1"/>
  <c r="AW643" i="1"/>
  <c r="AV643" i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U640" i="1"/>
  <c r="AT640" i="1"/>
  <c r="AS640" i="1"/>
  <c r="BC639" i="1"/>
  <c r="BB639" i="1"/>
  <c r="BA639" i="1"/>
  <c r="AZ639" i="1"/>
  <c r="AY639" i="1"/>
  <c r="AX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U636" i="1"/>
  <c r="AT636" i="1"/>
  <c r="AS636" i="1"/>
  <c r="BC635" i="1"/>
  <c r="BB635" i="1"/>
  <c r="BA635" i="1"/>
  <c r="AZ635" i="1"/>
  <c r="AY635" i="1"/>
  <c r="AV635" i="1"/>
  <c r="AX635" i="1" s="1"/>
  <c r="AU635" i="1"/>
  <c r="AT635" i="1"/>
  <c r="AS635" i="1"/>
  <c r="BC634" i="1"/>
  <c r="BB634" i="1"/>
  <c r="BA634" i="1"/>
  <c r="AZ634" i="1"/>
  <c r="AY634" i="1"/>
  <c r="AX634" i="1"/>
  <c r="AV634" i="1"/>
  <c r="AW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U632" i="1"/>
  <c r="AT632" i="1"/>
  <c r="AS632" i="1"/>
  <c r="BC631" i="1"/>
  <c r="BB631" i="1"/>
  <c r="BA631" i="1"/>
  <c r="AZ631" i="1"/>
  <c r="AY631" i="1"/>
  <c r="AX631" i="1"/>
  <c r="AV631" i="1"/>
  <c r="AW631" i="1" s="1"/>
  <c r="AT631" i="1"/>
  <c r="AU631" i="1" s="1"/>
  <c r="AS631" i="1"/>
  <c r="BC630" i="1"/>
  <c r="BB630" i="1"/>
  <c r="BA630" i="1"/>
  <c r="AZ630" i="1"/>
  <c r="AY630" i="1"/>
  <c r="AW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U627" i="1"/>
  <c r="AT627" i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U623" i="1"/>
  <c r="AT623" i="1"/>
  <c r="AS623" i="1"/>
  <c r="BC622" i="1"/>
  <c r="BB622" i="1"/>
  <c r="BA622" i="1"/>
  <c r="AZ622" i="1"/>
  <c r="AY622" i="1"/>
  <c r="AX622" i="1"/>
  <c r="AV622" i="1"/>
  <c r="AW622" i="1" s="1"/>
  <c r="AU622" i="1"/>
  <c r="AT622" i="1"/>
  <c r="AS622" i="1"/>
  <c r="BC621" i="1"/>
  <c r="BB621" i="1"/>
  <c r="BA621" i="1"/>
  <c r="AZ621" i="1"/>
  <c r="AY621" i="1"/>
  <c r="AX621" i="1"/>
  <c r="AW621" i="1"/>
  <c r="AV621" i="1"/>
  <c r="AT621" i="1"/>
  <c r="AU621" i="1" s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V619" i="1"/>
  <c r="AX619" i="1" s="1"/>
  <c r="AU619" i="1"/>
  <c r="AT619" i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W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U615" i="1"/>
  <c r="AT615" i="1"/>
  <c r="AS615" i="1"/>
  <c r="BC614" i="1"/>
  <c r="BB614" i="1"/>
  <c r="BA614" i="1"/>
  <c r="AZ614" i="1"/>
  <c r="AY614" i="1"/>
  <c r="AX614" i="1"/>
  <c r="AV614" i="1"/>
  <c r="AW614" i="1" s="1"/>
  <c r="AT614" i="1"/>
  <c r="AU614" i="1" s="1"/>
  <c r="AS614" i="1"/>
  <c r="BC613" i="1"/>
  <c r="BB613" i="1"/>
  <c r="BA613" i="1"/>
  <c r="AZ613" i="1"/>
  <c r="AY613" i="1"/>
  <c r="AX613" i="1"/>
  <c r="AW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U611" i="1"/>
  <c r="AT611" i="1"/>
  <c r="AS611" i="1"/>
  <c r="BC610" i="1"/>
  <c r="BB610" i="1"/>
  <c r="BA610" i="1"/>
  <c r="AZ610" i="1"/>
  <c r="AY610" i="1"/>
  <c r="AV610" i="1"/>
  <c r="AX610" i="1" s="1"/>
  <c r="AU610" i="1"/>
  <c r="AT610" i="1"/>
  <c r="AS610" i="1"/>
  <c r="BC609" i="1"/>
  <c r="BB609" i="1"/>
  <c r="BA609" i="1"/>
  <c r="AZ609" i="1"/>
  <c r="AY609" i="1"/>
  <c r="AX609" i="1"/>
  <c r="AW609" i="1"/>
  <c r="AV609" i="1"/>
  <c r="AT609" i="1"/>
  <c r="AU609" i="1" s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W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U602" i="1"/>
  <c r="AT602" i="1"/>
  <c r="AS602" i="1"/>
  <c r="BC601" i="1"/>
  <c r="BB601" i="1"/>
  <c r="BA601" i="1"/>
  <c r="AZ601" i="1"/>
  <c r="AY601" i="1"/>
  <c r="AX601" i="1"/>
  <c r="AV601" i="1"/>
  <c r="AW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V598" i="1"/>
  <c r="AW598" i="1" s="1"/>
  <c r="AU598" i="1"/>
  <c r="AT598" i="1"/>
  <c r="AS598" i="1"/>
  <c r="BC597" i="1"/>
  <c r="BB597" i="1"/>
  <c r="BA597" i="1"/>
  <c r="AZ597" i="1"/>
  <c r="AY597" i="1"/>
  <c r="AX597" i="1"/>
  <c r="AW597" i="1"/>
  <c r="AV597" i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U594" i="1"/>
  <c r="AT594" i="1"/>
  <c r="AS594" i="1"/>
  <c r="BC593" i="1"/>
  <c r="BB593" i="1"/>
  <c r="BA593" i="1"/>
  <c r="AZ593" i="1"/>
  <c r="AY593" i="1"/>
  <c r="AX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U587" i="1"/>
  <c r="AT587" i="1"/>
  <c r="AS587" i="1"/>
  <c r="BC586" i="1"/>
  <c r="BB586" i="1"/>
  <c r="BA586" i="1"/>
  <c r="AZ586" i="1"/>
  <c r="AY586" i="1"/>
  <c r="AV586" i="1"/>
  <c r="AX586" i="1" s="1"/>
  <c r="AU586" i="1"/>
  <c r="AT586" i="1"/>
  <c r="AS586" i="1"/>
  <c r="BC585" i="1"/>
  <c r="BB585" i="1"/>
  <c r="BA585" i="1"/>
  <c r="AZ585" i="1"/>
  <c r="AY585" i="1"/>
  <c r="AX585" i="1"/>
  <c r="AW585" i="1"/>
  <c r="AV585" i="1"/>
  <c r="AT585" i="1"/>
  <c r="AU585" i="1" s="1"/>
  <c r="AS585" i="1"/>
  <c r="BC584" i="1"/>
  <c r="BB584" i="1"/>
  <c r="BA584" i="1"/>
  <c r="AZ584" i="1"/>
  <c r="AY584" i="1"/>
  <c r="AW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U583" i="1"/>
  <c r="AT583" i="1"/>
  <c r="AS583" i="1"/>
  <c r="BC582" i="1"/>
  <c r="BB582" i="1"/>
  <c r="BA582" i="1"/>
  <c r="AZ582" i="1"/>
  <c r="AY582" i="1"/>
  <c r="AX582" i="1"/>
  <c r="AV582" i="1"/>
  <c r="AW582" i="1" s="1"/>
  <c r="AU582" i="1"/>
  <c r="AT582" i="1"/>
  <c r="AS582" i="1"/>
  <c r="BC581" i="1"/>
  <c r="BB581" i="1"/>
  <c r="BA581" i="1"/>
  <c r="AZ581" i="1"/>
  <c r="AY581" i="1"/>
  <c r="AX581" i="1"/>
  <c r="AW581" i="1"/>
  <c r="AV581" i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U579" i="1"/>
  <c r="AT579" i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W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X574" i="1"/>
  <c r="AW574" i="1"/>
  <c r="AV574" i="1"/>
  <c r="AU574" i="1"/>
  <c r="AT574" i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U572" i="1"/>
  <c r="AT572" i="1"/>
  <c r="AS572" i="1"/>
  <c r="BC571" i="1"/>
  <c r="BB571" i="1"/>
  <c r="BA571" i="1"/>
  <c r="AZ571" i="1"/>
  <c r="AY571" i="1"/>
  <c r="AV571" i="1"/>
  <c r="AX571" i="1" s="1"/>
  <c r="AU571" i="1"/>
  <c r="AT571" i="1"/>
  <c r="AS571" i="1"/>
  <c r="BC570" i="1"/>
  <c r="BB570" i="1"/>
  <c r="BA570" i="1"/>
  <c r="AZ570" i="1"/>
  <c r="AY570" i="1"/>
  <c r="AV570" i="1"/>
  <c r="AX570" i="1" s="1"/>
  <c r="AU570" i="1"/>
  <c r="AT570" i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W566" i="1"/>
  <c r="AV566" i="1"/>
  <c r="AX566" i="1" s="1"/>
  <c r="AU566" i="1"/>
  <c r="AT566" i="1"/>
  <c r="AS566" i="1"/>
  <c r="BC565" i="1"/>
  <c r="BB565" i="1"/>
  <c r="BA565" i="1"/>
  <c r="AZ565" i="1"/>
  <c r="AY565" i="1"/>
  <c r="AX565" i="1"/>
  <c r="AW565" i="1"/>
  <c r="AV565" i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U562" i="1"/>
  <c r="AT562" i="1"/>
  <c r="AS562" i="1"/>
  <c r="BC561" i="1"/>
  <c r="BB561" i="1"/>
  <c r="BA561" i="1"/>
  <c r="AZ561" i="1"/>
  <c r="AY561" i="1"/>
  <c r="AX561" i="1"/>
  <c r="AW561" i="1"/>
  <c r="AV561" i="1"/>
  <c r="AT561" i="1"/>
  <c r="AU561" i="1" s="1"/>
  <c r="AS561" i="1"/>
  <c r="BC560" i="1"/>
  <c r="BB560" i="1"/>
  <c r="BA560" i="1"/>
  <c r="AZ560" i="1"/>
  <c r="AY560" i="1"/>
  <c r="AW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W558" i="1"/>
  <c r="AV558" i="1"/>
  <c r="AX558" i="1" s="1"/>
  <c r="AT558" i="1"/>
  <c r="AU558" i="1" s="1"/>
  <c r="AS558" i="1"/>
  <c r="BC557" i="1"/>
  <c r="BB557" i="1"/>
  <c r="BA557" i="1"/>
  <c r="AZ557" i="1"/>
  <c r="AY557" i="1"/>
  <c r="AW557" i="1"/>
  <c r="AV557" i="1"/>
  <c r="AX557" i="1" s="1"/>
  <c r="AT557" i="1"/>
  <c r="AU557" i="1" s="1"/>
  <c r="AS557" i="1"/>
  <c r="BC556" i="1"/>
  <c r="BB556" i="1"/>
  <c r="BA556" i="1"/>
  <c r="AZ556" i="1"/>
  <c r="AY556" i="1"/>
  <c r="AW556" i="1"/>
  <c r="AV556" i="1"/>
  <c r="AX556" i="1" s="1"/>
  <c r="AU556" i="1"/>
  <c r="AT556" i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X554" i="1" s="1"/>
  <c r="AU554" i="1"/>
  <c r="AT554" i="1"/>
  <c r="AS554" i="1"/>
  <c r="BC553" i="1"/>
  <c r="BB553" i="1"/>
  <c r="BA553" i="1"/>
  <c r="AZ553" i="1"/>
  <c r="AY553" i="1"/>
  <c r="AX553" i="1"/>
  <c r="AW553" i="1"/>
  <c r="AV553" i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U551" i="1"/>
  <c r="AT551" i="1"/>
  <c r="AS551" i="1"/>
  <c r="BC550" i="1"/>
  <c r="BB550" i="1"/>
  <c r="BA550" i="1"/>
  <c r="AZ550" i="1"/>
  <c r="AY550" i="1"/>
  <c r="AX550" i="1"/>
  <c r="AW550" i="1"/>
  <c r="AV550" i="1"/>
  <c r="AT550" i="1"/>
  <c r="AU550" i="1" s="1"/>
  <c r="AS550" i="1"/>
  <c r="BC549" i="1"/>
  <c r="BB549" i="1"/>
  <c r="BA549" i="1"/>
  <c r="AZ549" i="1"/>
  <c r="AY549" i="1"/>
  <c r="AW549" i="1"/>
  <c r="AV549" i="1"/>
  <c r="AX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U548" i="1"/>
  <c r="AT548" i="1"/>
  <c r="AS548" i="1"/>
  <c r="BC547" i="1"/>
  <c r="BB547" i="1"/>
  <c r="BA547" i="1"/>
  <c r="AZ547" i="1"/>
  <c r="AY547" i="1"/>
  <c r="AV547" i="1"/>
  <c r="AX547" i="1" s="1"/>
  <c r="AU547" i="1"/>
  <c r="AT547" i="1"/>
  <c r="AS547" i="1"/>
  <c r="BC546" i="1"/>
  <c r="BB546" i="1"/>
  <c r="BA546" i="1"/>
  <c r="AZ546" i="1"/>
  <c r="AY546" i="1"/>
  <c r="AV546" i="1"/>
  <c r="AX546" i="1" s="1"/>
  <c r="AU546" i="1"/>
  <c r="AT546" i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U543" i="1"/>
  <c r="AT543" i="1"/>
  <c r="AS543" i="1"/>
  <c r="BC542" i="1"/>
  <c r="BB542" i="1"/>
  <c r="BA542" i="1"/>
  <c r="AZ542" i="1"/>
  <c r="AY542" i="1"/>
  <c r="AV542" i="1"/>
  <c r="AU542" i="1"/>
  <c r="AT542" i="1"/>
  <c r="AS542" i="1"/>
  <c r="BC541" i="1"/>
  <c r="BB541" i="1"/>
  <c r="BA541" i="1"/>
  <c r="AZ541" i="1"/>
  <c r="AY541" i="1"/>
  <c r="AX541" i="1"/>
  <c r="AW541" i="1"/>
  <c r="AV541" i="1"/>
  <c r="AT541" i="1"/>
  <c r="AU541" i="1" s="1"/>
  <c r="AS541" i="1"/>
  <c r="BC540" i="1"/>
  <c r="BB540" i="1"/>
  <c r="BA540" i="1"/>
  <c r="AZ540" i="1"/>
  <c r="AY540" i="1"/>
  <c r="AW540" i="1"/>
  <c r="AV540" i="1"/>
  <c r="AX540" i="1" s="1"/>
  <c r="AU540" i="1"/>
  <c r="AT540" i="1"/>
  <c r="AS540" i="1"/>
  <c r="BC539" i="1"/>
  <c r="BB539" i="1"/>
  <c r="BA539" i="1"/>
  <c r="AZ539" i="1"/>
  <c r="AY539" i="1"/>
  <c r="AV539" i="1"/>
  <c r="AX539" i="1" s="1"/>
  <c r="AU539" i="1"/>
  <c r="AT539" i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W537" i="1"/>
  <c r="AV537" i="1"/>
  <c r="AX537" i="1" s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U535" i="1"/>
  <c r="AT535" i="1"/>
  <c r="AS535" i="1"/>
  <c r="BC534" i="1"/>
  <c r="BB534" i="1"/>
  <c r="BA534" i="1"/>
  <c r="AZ534" i="1"/>
  <c r="AY534" i="1"/>
  <c r="AV534" i="1"/>
  <c r="AX534" i="1" s="1"/>
  <c r="AU534" i="1"/>
  <c r="AT534" i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U532" i="1"/>
  <c r="AT532" i="1"/>
  <c r="AS532" i="1"/>
  <c r="BC531" i="1"/>
  <c r="BB531" i="1"/>
  <c r="BA531" i="1"/>
  <c r="AZ531" i="1"/>
  <c r="AY531" i="1"/>
  <c r="AV531" i="1"/>
  <c r="AX531" i="1" s="1"/>
  <c r="AU531" i="1"/>
  <c r="AT531" i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T529" i="1"/>
  <c r="AU529" i="1" s="1"/>
  <c r="AS529" i="1"/>
  <c r="BC528" i="1"/>
  <c r="BB528" i="1"/>
  <c r="BA528" i="1"/>
  <c r="AZ528" i="1"/>
  <c r="AY528" i="1"/>
  <c r="AW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U527" i="1"/>
  <c r="AT527" i="1"/>
  <c r="AS527" i="1"/>
  <c r="BC526" i="1"/>
  <c r="BB526" i="1"/>
  <c r="BA526" i="1"/>
  <c r="AZ526" i="1"/>
  <c r="AY526" i="1"/>
  <c r="AX526" i="1"/>
  <c r="AW526" i="1"/>
  <c r="AV526" i="1"/>
  <c r="AU526" i="1"/>
  <c r="AT526" i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U523" i="1"/>
  <c r="AT523" i="1"/>
  <c r="AS523" i="1"/>
  <c r="BC522" i="1"/>
  <c r="BB522" i="1"/>
  <c r="BA522" i="1"/>
  <c r="AZ522" i="1"/>
  <c r="AY522" i="1"/>
  <c r="AV522" i="1"/>
  <c r="AX522" i="1" s="1"/>
  <c r="AU522" i="1"/>
  <c r="AT522" i="1"/>
  <c r="AS522" i="1"/>
  <c r="BC521" i="1"/>
  <c r="BB521" i="1"/>
  <c r="BA521" i="1"/>
  <c r="AZ521" i="1"/>
  <c r="AY521" i="1"/>
  <c r="AX521" i="1"/>
  <c r="AW521" i="1"/>
  <c r="AV521" i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U519" i="1"/>
  <c r="AT519" i="1"/>
  <c r="AS519" i="1"/>
  <c r="BC518" i="1"/>
  <c r="BB518" i="1"/>
  <c r="BA518" i="1"/>
  <c r="AZ518" i="1"/>
  <c r="AY518" i="1"/>
  <c r="AX518" i="1"/>
  <c r="AW518" i="1"/>
  <c r="AV518" i="1"/>
  <c r="AU518" i="1"/>
  <c r="AT518" i="1"/>
  <c r="AS518" i="1"/>
  <c r="BC517" i="1"/>
  <c r="BB517" i="1"/>
  <c r="BA517" i="1"/>
  <c r="AZ517" i="1"/>
  <c r="AY517" i="1"/>
  <c r="AX517" i="1"/>
  <c r="AW517" i="1"/>
  <c r="AV517" i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U515" i="1"/>
  <c r="AT515" i="1"/>
  <c r="AS515" i="1"/>
  <c r="BC514" i="1"/>
  <c r="BB514" i="1"/>
  <c r="BA514" i="1"/>
  <c r="AZ514" i="1"/>
  <c r="AY514" i="1"/>
  <c r="AV514" i="1"/>
  <c r="AX514" i="1" s="1"/>
  <c r="AU514" i="1"/>
  <c r="AT514" i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W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U511" i="1"/>
  <c r="AT511" i="1"/>
  <c r="AS511" i="1"/>
  <c r="BC510" i="1"/>
  <c r="BB510" i="1"/>
  <c r="BA510" i="1"/>
  <c r="AZ510" i="1"/>
  <c r="AY510" i="1"/>
  <c r="AX510" i="1"/>
  <c r="AW510" i="1"/>
  <c r="AV510" i="1"/>
  <c r="AU510" i="1"/>
  <c r="AT510" i="1"/>
  <c r="AS510" i="1"/>
  <c r="BC509" i="1"/>
  <c r="BB509" i="1"/>
  <c r="BA509" i="1"/>
  <c r="AZ509" i="1"/>
  <c r="AY509" i="1"/>
  <c r="AX509" i="1"/>
  <c r="AW509" i="1"/>
  <c r="AV509" i="1"/>
  <c r="AT509" i="1"/>
  <c r="AU509" i="1" s="1"/>
  <c r="AS509" i="1"/>
  <c r="BC508" i="1"/>
  <c r="BB508" i="1"/>
  <c r="BA508" i="1"/>
  <c r="AZ508" i="1"/>
  <c r="AY508" i="1"/>
  <c r="AV508" i="1"/>
  <c r="AU508" i="1"/>
  <c r="AT508" i="1"/>
  <c r="AS508" i="1"/>
  <c r="BC507" i="1"/>
  <c r="BB507" i="1"/>
  <c r="BA507" i="1"/>
  <c r="AZ507" i="1"/>
  <c r="AY507" i="1"/>
  <c r="AV507" i="1"/>
  <c r="AX507" i="1" s="1"/>
  <c r="AU507" i="1"/>
  <c r="AT507" i="1"/>
  <c r="AS507" i="1"/>
  <c r="BC506" i="1"/>
  <c r="BB506" i="1"/>
  <c r="BA506" i="1"/>
  <c r="AZ506" i="1"/>
  <c r="AY506" i="1"/>
  <c r="AV506" i="1"/>
  <c r="AX506" i="1" s="1"/>
  <c r="AU506" i="1"/>
  <c r="AT506" i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W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W502" i="1"/>
  <c r="AV502" i="1"/>
  <c r="AX502" i="1" s="1"/>
  <c r="AU502" i="1"/>
  <c r="AT502" i="1"/>
  <c r="AS502" i="1"/>
  <c r="BC501" i="1"/>
  <c r="BB501" i="1"/>
  <c r="BA501" i="1"/>
  <c r="AZ501" i="1"/>
  <c r="AY501" i="1"/>
  <c r="AX501" i="1"/>
  <c r="AW501" i="1"/>
  <c r="AV501" i="1"/>
  <c r="AT501" i="1"/>
  <c r="AU501" i="1" s="1"/>
  <c r="AS501" i="1"/>
  <c r="BC500" i="1"/>
  <c r="BB500" i="1"/>
  <c r="BA500" i="1"/>
  <c r="AZ500" i="1"/>
  <c r="AY500" i="1"/>
  <c r="AV500" i="1"/>
  <c r="AU500" i="1"/>
  <c r="AT500" i="1"/>
  <c r="AS500" i="1"/>
  <c r="BC499" i="1"/>
  <c r="BB499" i="1"/>
  <c r="BA499" i="1"/>
  <c r="AZ499" i="1"/>
  <c r="AY499" i="1"/>
  <c r="AV499" i="1"/>
  <c r="AX499" i="1" s="1"/>
  <c r="AU499" i="1"/>
  <c r="AT499" i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T497" i="1"/>
  <c r="AU497" i="1" s="1"/>
  <c r="AS497" i="1"/>
  <c r="BC496" i="1"/>
  <c r="BB496" i="1"/>
  <c r="BA496" i="1"/>
  <c r="AZ496" i="1"/>
  <c r="AY496" i="1"/>
  <c r="AW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U495" i="1"/>
  <c r="AT495" i="1"/>
  <c r="AS495" i="1"/>
  <c r="BC494" i="1"/>
  <c r="BB494" i="1"/>
  <c r="BA494" i="1"/>
  <c r="AZ494" i="1"/>
  <c r="AY494" i="1"/>
  <c r="AV494" i="1"/>
  <c r="AX494" i="1" s="1"/>
  <c r="AU494" i="1"/>
  <c r="AT494" i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X492" i="1" s="1"/>
  <c r="AU492" i="1"/>
  <c r="AT492" i="1"/>
  <c r="AS492" i="1"/>
  <c r="BC491" i="1"/>
  <c r="BB491" i="1"/>
  <c r="BA491" i="1"/>
  <c r="AZ491" i="1"/>
  <c r="AY491" i="1"/>
  <c r="AV491" i="1"/>
  <c r="AX491" i="1" s="1"/>
  <c r="AU491" i="1"/>
  <c r="AT491" i="1"/>
  <c r="AS491" i="1"/>
  <c r="BC490" i="1"/>
  <c r="BB490" i="1"/>
  <c r="BA490" i="1"/>
  <c r="AZ490" i="1"/>
  <c r="AY490" i="1"/>
  <c r="AV490" i="1"/>
  <c r="AX490" i="1" s="1"/>
  <c r="AU490" i="1"/>
  <c r="AT490" i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W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W486" i="1"/>
  <c r="AV486" i="1"/>
  <c r="AX486" i="1" s="1"/>
  <c r="AU486" i="1"/>
  <c r="AT486" i="1"/>
  <c r="AS486" i="1"/>
  <c r="BC485" i="1"/>
  <c r="BB485" i="1"/>
  <c r="BA485" i="1"/>
  <c r="AZ485" i="1"/>
  <c r="AY485" i="1"/>
  <c r="AX485" i="1"/>
  <c r="AW485" i="1"/>
  <c r="AV485" i="1"/>
  <c r="AT485" i="1"/>
  <c r="AU485" i="1" s="1"/>
  <c r="AS485" i="1"/>
  <c r="BC484" i="1"/>
  <c r="BB484" i="1"/>
  <c r="BA484" i="1"/>
  <c r="AZ484" i="1"/>
  <c r="AY484" i="1"/>
  <c r="AV484" i="1"/>
  <c r="AX484" i="1" s="1"/>
  <c r="AU484" i="1"/>
  <c r="AT484" i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U479" i="1"/>
  <c r="AT479" i="1"/>
  <c r="AS479" i="1"/>
  <c r="BC478" i="1"/>
  <c r="BB478" i="1"/>
  <c r="BA478" i="1"/>
  <c r="AZ478" i="1"/>
  <c r="AY478" i="1"/>
  <c r="AV478" i="1"/>
  <c r="AX478" i="1" s="1"/>
  <c r="AU478" i="1"/>
  <c r="AT478" i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U476" i="1"/>
  <c r="AT476" i="1"/>
  <c r="AS476" i="1"/>
  <c r="BC475" i="1"/>
  <c r="BB475" i="1"/>
  <c r="BA475" i="1"/>
  <c r="AZ475" i="1"/>
  <c r="AY475" i="1"/>
  <c r="AV475" i="1"/>
  <c r="AX475" i="1" s="1"/>
  <c r="AU475" i="1"/>
  <c r="AT475" i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W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W470" i="1"/>
  <c r="AV470" i="1"/>
  <c r="AX470" i="1" s="1"/>
  <c r="AU470" i="1"/>
  <c r="AT470" i="1"/>
  <c r="AS470" i="1"/>
  <c r="BC469" i="1"/>
  <c r="BB469" i="1"/>
  <c r="BA469" i="1"/>
  <c r="AZ469" i="1"/>
  <c r="AY469" i="1"/>
  <c r="AX469" i="1"/>
  <c r="AW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U468" i="1"/>
  <c r="AT468" i="1"/>
  <c r="AS468" i="1"/>
  <c r="BC467" i="1"/>
  <c r="BB467" i="1"/>
  <c r="BA467" i="1"/>
  <c r="AZ467" i="1"/>
  <c r="AY467" i="1"/>
  <c r="AV467" i="1"/>
  <c r="AU467" i="1"/>
  <c r="AT467" i="1"/>
  <c r="AS467" i="1"/>
  <c r="BC466" i="1"/>
  <c r="BB466" i="1"/>
  <c r="BA466" i="1"/>
  <c r="AZ466" i="1"/>
  <c r="AY466" i="1"/>
  <c r="AX466" i="1"/>
  <c r="AV466" i="1"/>
  <c r="AW466" i="1" s="1"/>
  <c r="AU466" i="1"/>
  <c r="AT466" i="1"/>
  <c r="AS466" i="1"/>
  <c r="BC465" i="1"/>
  <c r="BB465" i="1"/>
  <c r="BA465" i="1"/>
  <c r="AZ465" i="1"/>
  <c r="AY465" i="1"/>
  <c r="AX465" i="1"/>
  <c r="AW465" i="1"/>
  <c r="AV465" i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U463" i="1"/>
  <c r="AT463" i="1"/>
  <c r="AS463" i="1"/>
  <c r="BC462" i="1"/>
  <c r="BB462" i="1"/>
  <c r="BA462" i="1"/>
  <c r="AZ462" i="1"/>
  <c r="AY462" i="1"/>
  <c r="AV462" i="1"/>
  <c r="AX462" i="1" s="1"/>
  <c r="AU462" i="1"/>
  <c r="AT462" i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X460" i="1"/>
  <c r="AW460" i="1"/>
  <c r="AV460" i="1"/>
  <c r="AU460" i="1"/>
  <c r="AT460" i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W458" i="1" s="1"/>
  <c r="AU458" i="1"/>
  <c r="AT458" i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W455" i="1"/>
  <c r="AV455" i="1"/>
  <c r="AX455" i="1" s="1"/>
  <c r="AU455" i="1"/>
  <c r="AT455" i="1"/>
  <c r="AS455" i="1"/>
  <c r="BC454" i="1"/>
  <c r="BB454" i="1"/>
  <c r="BA454" i="1"/>
  <c r="AZ454" i="1"/>
  <c r="AY454" i="1"/>
  <c r="AX454" i="1"/>
  <c r="AW454" i="1"/>
  <c r="AV454" i="1"/>
  <c r="AU454" i="1"/>
  <c r="AT454" i="1"/>
  <c r="AS454" i="1"/>
  <c r="BC453" i="1"/>
  <c r="BB453" i="1"/>
  <c r="BA453" i="1"/>
  <c r="AZ453" i="1"/>
  <c r="AY453" i="1"/>
  <c r="AX453" i="1"/>
  <c r="AW453" i="1"/>
  <c r="AV453" i="1"/>
  <c r="AU453" i="1"/>
  <c r="AT453" i="1"/>
  <c r="AS453" i="1"/>
  <c r="BC452" i="1"/>
  <c r="BB452" i="1"/>
  <c r="BA452" i="1"/>
  <c r="AZ452" i="1"/>
  <c r="AY452" i="1"/>
  <c r="AV452" i="1"/>
  <c r="AU452" i="1"/>
  <c r="AT452" i="1"/>
  <c r="AS452" i="1"/>
  <c r="BC451" i="1"/>
  <c r="BB451" i="1"/>
  <c r="BA451" i="1"/>
  <c r="AZ451" i="1"/>
  <c r="AY451" i="1"/>
  <c r="AV451" i="1"/>
  <c r="AU451" i="1"/>
  <c r="AT451" i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W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W446" i="1"/>
  <c r="AV446" i="1"/>
  <c r="AX446" i="1" s="1"/>
  <c r="AT446" i="1"/>
  <c r="AU446" i="1" s="1"/>
  <c r="AS446" i="1"/>
  <c r="BC445" i="1"/>
  <c r="BB445" i="1"/>
  <c r="BA445" i="1"/>
  <c r="AZ445" i="1"/>
  <c r="AY445" i="1"/>
  <c r="AX445" i="1"/>
  <c r="AW445" i="1"/>
  <c r="AV445" i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U444" i="1"/>
  <c r="AT444" i="1"/>
  <c r="AS444" i="1"/>
  <c r="BC443" i="1"/>
  <c r="BB443" i="1"/>
  <c r="BA443" i="1"/>
  <c r="AZ443" i="1"/>
  <c r="AY443" i="1"/>
  <c r="AX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W442" i="1" s="1"/>
  <c r="AU442" i="1"/>
  <c r="AT442" i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W439" i="1"/>
  <c r="AV439" i="1"/>
  <c r="AX439" i="1" s="1"/>
  <c r="AU439" i="1"/>
  <c r="AT439" i="1"/>
  <c r="AS439" i="1"/>
  <c r="BC438" i="1"/>
  <c r="BB438" i="1"/>
  <c r="BA438" i="1"/>
  <c r="AZ438" i="1"/>
  <c r="AY438" i="1"/>
  <c r="AV438" i="1"/>
  <c r="AX438" i="1" s="1"/>
  <c r="AU438" i="1"/>
  <c r="AT438" i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W436" i="1"/>
  <c r="AV436" i="1"/>
  <c r="AX436" i="1" s="1"/>
  <c r="AU436" i="1"/>
  <c r="AT436" i="1"/>
  <c r="AS436" i="1"/>
  <c r="BC435" i="1"/>
  <c r="BB435" i="1"/>
  <c r="BA435" i="1"/>
  <c r="AZ435" i="1"/>
  <c r="AY435" i="1"/>
  <c r="AV435" i="1"/>
  <c r="AW435" i="1" s="1"/>
  <c r="AU435" i="1"/>
  <c r="AT435" i="1"/>
  <c r="AS435" i="1"/>
  <c r="BC434" i="1"/>
  <c r="BB434" i="1"/>
  <c r="BA434" i="1"/>
  <c r="AZ434" i="1"/>
  <c r="AY434" i="1"/>
  <c r="AV434" i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W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U431" i="1"/>
  <c r="AT431" i="1"/>
  <c r="AS431" i="1"/>
  <c r="BC430" i="1"/>
  <c r="BB430" i="1"/>
  <c r="BA430" i="1"/>
  <c r="AZ430" i="1"/>
  <c r="AY430" i="1"/>
  <c r="AX430" i="1"/>
  <c r="AW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U429" i="1"/>
  <c r="AT429" i="1"/>
  <c r="AS429" i="1"/>
  <c r="BC428" i="1"/>
  <c r="BB428" i="1"/>
  <c r="BA428" i="1"/>
  <c r="AZ428" i="1"/>
  <c r="AY428" i="1"/>
  <c r="AV428" i="1"/>
  <c r="AU428" i="1"/>
  <c r="AT428" i="1"/>
  <c r="AS428" i="1"/>
  <c r="BC427" i="1"/>
  <c r="BB427" i="1"/>
  <c r="BA427" i="1"/>
  <c r="AZ427" i="1"/>
  <c r="AY427" i="1"/>
  <c r="AX427" i="1"/>
  <c r="AV427" i="1"/>
  <c r="AW427" i="1" s="1"/>
  <c r="AU427" i="1"/>
  <c r="AT427" i="1"/>
  <c r="AS427" i="1"/>
  <c r="BC426" i="1"/>
  <c r="BB426" i="1"/>
  <c r="BA426" i="1"/>
  <c r="AZ426" i="1"/>
  <c r="AY426" i="1"/>
  <c r="AV426" i="1"/>
  <c r="AX426" i="1" s="1"/>
  <c r="AU426" i="1"/>
  <c r="AT426" i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W424" i="1"/>
  <c r="AV424" i="1"/>
  <c r="AX424" i="1" s="1"/>
  <c r="AU424" i="1"/>
  <c r="AT424" i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X422" i="1"/>
  <c r="AW422" i="1"/>
  <c r="AV422" i="1"/>
  <c r="AU422" i="1"/>
  <c r="AT422" i="1"/>
  <c r="AS422" i="1"/>
  <c r="BC421" i="1"/>
  <c r="BB421" i="1"/>
  <c r="BA421" i="1"/>
  <c r="AZ421" i="1"/>
  <c r="AY421" i="1"/>
  <c r="AX421" i="1"/>
  <c r="AW421" i="1"/>
  <c r="AV421" i="1"/>
  <c r="AU421" i="1"/>
  <c r="AT421" i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W419" i="1" s="1"/>
  <c r="AU419" i="1"/>
  <c r="AT419" i="1"/>
  <c r="AS419" i="1"/>
  <c r="BC418" i="1"/>
  <c r="BB418" i="1"/>
  <c r="BA418" i="1"/>
  <c r="AZ418" i="1"/>
  <c r="AY418" i="1"/>
  <c r="AV418" i="1"/>
  <c r="AU418" i="1"/>
  <c r="AT418" i="1"/>
  <c r="AS418" i="1"/>
  <c r="BC417" i="1"/>
  <c r="BB417" i="1"/>
  <c r="BA417" i="1"/>
  <c r="AZ417" i="1"/>
  <c r="AY417" i="1"/>
  <c r="AV417" i="1"/>
  <c r="AX417" i="1" s="1"/>
  <c r="AU417" i="1"/>
  <c r="AT417" i="1"/>
  <c r="AS417" i="1"/>
  <c r="BC416" i="1"/>
  <c r="BB416" i="1"/>
  <c r="BA416" i="1"/>
  <c r="AZ416" i="1"/>
  <c r="AY416" i="1"/>
  <c r="AV416" i="1"/>
  <c r="AU416" i="1"/>
  <c r="AT416" i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W413" i="1"/>
  <c r="AV413" i="1"/>
  <c r="AX413" i="1" s="1"/>
  <c r="AT413" i="1"/>
  <c r="AU413" i="1" s="1"/>
  <c r="AS413" i="1"/>
  <c r="BC412" i="1"/>
  <c r="BB412" i="1"/>
  <c r="BA412" i="1"/>
  <c r="AZ412" i="1"/>
  <c r="AY412" i="1"/>
  <c r="AW412" i="1"/>
  <c r="AV412" i="1"/>
  <c r="AX412" i="1" s="1"/>
  <c r="AT412" i="1"/>
  <c r="AU412" i="1" s="1"/>
  <c r="AS412" i="1"/>
  <c r="BC411" i="1"/>
  <c r="BB411" i="1"/>
  <c r="BA411" i="1"/>
  <c r="AZ411" i="1"/>
  <c r="AY411" i="1"/>
  <c r="AX411" i="1"/>
  <c r="AW411" i="1"/>
  <c r="AV411" i="1"/>
  <c r="AT411" i="1"/>
  <c r="AU411" i="1" s="1"/>
  <c r="AS411" i="1"/>
  <c r="BC410" i="1"/>
  <c r="BB410" i="1"/>
  <c r="BA410" i="1"/>
  <c r="AZ410" i="1"/>
  <c r="AY410" i="1"/>
  <c r="AW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U409" i="1"/>
  <c r="AT409" i="1"/>
  <c r="AS409" i="1"/>
  <c r="BC408" i="1"/>
  <c r="BB408" i="1"/>
  <c r="BA408" i="1"/>
  <c r="AZ408" i="1"/>
  <c r="AY408" i="1"/>
  <c r="AV408" i="1"/>
  <c r="AU408" i="1"/>
  <c r="AT408" i="1"/>
  <c r="AS408" i="1"/>
  <c r="BC407" i="1"/>
  <c r="BB407" i="1"/>
  <c r="BA407" i="1"/>
  <c r="AZ407" i="1"/>
  <c r="AY407" i="1"/>
  <c r="AX407" i="1"/>
  <c r="AW407" i="1"/>
  <c r="AV407" i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W405" i="1"/>
  <c r="AV405" i="1"/>
  <c r="AX405" i="1" s="1"/>
  <c r="AU405" i="1"/>
  <c r="AT405" i="1"/>
  <c r="AS405" i="1"/>
  <c r="BC404" i="1"/>
  <c r="BB404" i="1"/>
  <c r="BA404" i="1"/>
  <c r="AZ404" i="1"/>
  <c r="AY404" i="1"/>
  <c r="AX404" i="1"/>
  <c r="AW404" i="1"/>
  <c r="AV404" i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U403" i="1"/>
  <c r="AT403" i="1"/>
  <c r="AS403" i="1"/>
  <c r="BC402" i="1"/>
  <c r="BB402" i="1"/>
  <c r="BA402" i="1"/>
  <c r="AZ402" i="1"/>
  <c r="AY402" i="1"/>
  <c r="AX402" i="1"/>
  <c r="AW402" i="1"/>
  <c r="AV402" i="1"/>
  <c r="AU402" i="1"/>
  <c r="AT402" i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V400" i="1"/>
  <c r="AT400" i="1"/>
  <c r="AU400" i="1" s="1"/>
  <c r="AS400" i="1"/>
  <c r="BC399" i="1"/>
  <c r="BB399" i="1"/>
  <c r="BA399" i="1"/>
  <c r="AZ399" i="1"/>
  <c r="AY399" i="1"/>
  <c r="AW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U397" i="1"/>
  <c r="AT397" i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X395" i="1"/>
  <c r="AW395" i="1"/>
  <c r="AV395" i="1"/>
  <c r="AU395" i="1"/>
  <c r="AT395" i="1"/>
  <c r="AS395" i="1"/>
  <c r="BC394" i="1"/>
  <c r="BB394" i="1"/>
  <c r="BA394" i="1"/>
  <c r="AZ394" i="1"/>
  <c r="AY394" i="1"/>
  <c r="AX394" i="1"/>
  <c r="AW394" i="1"/>
  <c r="AV394" i="1"/>
  <c r="AU394" i="1"/>
  <c r="AT394" i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U392" i="1"/>
  <c r="AT392" i="1"/>
  <c r="AS392" i="1"/>
  <c r="BC391" i="1"/>
  <c r="BB391" i="1"/>
  <c r="BA391" i="1"/>
  <c r="AZ391" i="1"/>
  <c r="AY391" i="1"/>
  <c r="AX391" i="1"/>
  <c r="AW391" i="1"/>
  <c r="AV391" i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U389" i="1"/>
  <c r="AT389" i="1"/>
  <c r="AS389" i="1"/>
  <c r="BC388" i="1"/>
  <c r="BB388" i="1"/>
  <c r="BA388" i="1"/>
  <c r="AZ388" i="1"/>
  <c r="AY388" i="1"/>
  <c r="AX388" i="1"/>
  <c r="AW388" i="1"/>
  <c r="AV388" i="1"/>
  <c r="AT388" i="1"/>
  <c r="AU388" i="1" s="1"/>
  <c r="AS388" i="1"/>
  <c r="BC387" i="1"/>
  <c r="BB387" i="1"/>
  <c r="BA387" i="1"/>
  <c r="AZ387" i="1"/>
  <c r="AY387" i="1"/>
  <c r="AV387" i="1"/>
  <c r="AX387" i="1" s="1"/>
  <c r="AU387" i="1"/>
  <c r="AT387" i="1"/>
  <c r="AS387" i="1"/>
  <c r="BC386" i="1"/>
  <c r="BB386" i="1"/>
  <c r="BA386" i="1"/>
  <c r="AZ386" i="1"/>
  <c r="AY386" i="1"/>
  <c r="AV386" i="1"/>
  <c r="AU386" i="1"/>
  <c r="AT386" i="1"/>
  <c r="AS386" i="1"/>
  <c r="BC385" i="1"/>
  <c r="BB385" i="1"/>
  <c r="BA385" i="1"/>
  <c r="AZ385" i="1"/>
  <c r="AY385" i="1"/>
  <c r="AV385" i="1"/>
  <c r="AX385" i="1" s="1"/>
  <c r="AU385" i="1"/>
  <c r="AT385" i="1"/>
  <c r="AS385" i="1"/>
  <c r="BC384" i="1"/>
  <c r="BB384" i="1"/>
  <c r="BA384" i="1"/>
  <c r="AZ384" i="1"/>
  <c r="AY384" i="1"/>
  <c r="AV384" i="1"/>
  <c r="AU384" i="1"/>
  <c r="AT384" i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W381" i="1"/>
  <c r="AV381" i="1"/>
  <c r="AX381" i="1" s="1"/>
  <c r="AT381" i="1"/>
  <c r="AU381" i="1" s="1"/>
  <c r="AS381" i="1"/>
  <c r="BC380" i="1"/>
  <c r="BB380" i="1"/>
  <c r="BA380" i="1"/>
  <c r="AZ380" i="1"/>
  <c r="AY380" i="1"/>
  <c r="AW380" i="1"/>
  <c r="AV380" i="1"/>
  <c r="AX380" i="1" s="1"/>
  <c r="AT380" i="1"/>
  <c r="AU380" i="1" s="1"/>
  <c r="AS380" i="1"/>
  <c r="BC379" i="1"/>
  <c r="BB379" i="1"/>
  <c r="BA379" i="1"/>
  <c r="AZ379" i="1"/>
  <c r="AY379" i="1"/>
  <c r="AX379" i="1"/>
  <c r="AW379" i="1"/>
  <c r="AV379" i="1"/>
  <c r="AT379" i="1"/>
  <c r="AU379" i="1" s="1"/>
  <c r="AS379" i="1"/>
  <c r="BC378" i="1"/>
  <c r="BB378" i="1"/>
  <c r="BA378" i="1"/>
  <c r="AZ378" i="1"/>
  <c r="AY378" i="1"/>
  <c r="AW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U377" i="1"/>
  <c r="AT377" i="1"/>
  <c r="AS377" i="1"/>
  <c r="BC376" i="1"/>
  <c r="BB376" i="1"/>
  <c r="BA376" i="1"/>
  <c r="AZ376" i="1"/>
  <c r="AY376" i="1"/>
  <c r="AV376" i="1"/>
  <c r="AU376" i="1"/>
  <c r="AT376" i="1"/>
  <c r="AS376" i="1"/>
  <c r="BC375" i="1"/>
  <c r="BB375" i="1"/>
  <c r="BA375" i="1"/>
  <c r="AZ375" i="1"/>
  <c r="AY375" i="1"/>
  <c r="AX375" i="1"/>
  <c r="AW375" i="1"/>
  <c r="AV375" i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W373" i="1"/>
  <c r="AV373" i="1"/>
  <c r="AX373" i="1" s="1"/>
  <c r="AU373" i="1"/>
  <c r="AT373" i="1"/>
  <c r="AS373" i="1"/>
  <c r="BC372" i="1"/>
  <c r="BB372" i="1"/>
  <c r="BA372" i="1"/>
  <c r="AZ372" i="1"/>
  <c r="AY372" i="1"/>
  <c r="AX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U371" i="1"/>
  <c r="AT371" i="1"/>
  <c r="AS371" i="1"/>
  <c r="BC370" i="1"/>
  <c r="BB370" i="1"/>
  <c r="BA370" i="1"/>
  <c r="AZ370" i="1"/>
  <c r="AY370" i="1"/>
  <c r="AX370" i="1"/>
  <c r="AW370" i="1"/>
  <c r="AV370" i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U368" i="1"/>
  <c r="AT368" i="1"/>
  <c r="AS368" i="1"/>
  <c r="BC367" i="1"/>
  <c r="BB367" i="1"/>
  <c r="BA367" i="1"/>
  <c r="AZ367" i="1"/>
  <c r="AY367" i="1"/>
  <c r="AX367" i="1"/>
  <c r="AW367" i="1"/>
  <c r="AV367" i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U365" i="1"/>
  <c r="AT365" i="1"/>
  <c r="AS365" i="1"/>
  <c r="BC364" i="1"/>
  <c r="BB364" i="1"/>
  <c r="BA364" i="1"/>
  <c r="AZ364" i="1"/>
  <c r="AY364" i="1"/>
  <c r="AX364" i="1"/>
  <c r="AV364" i="1"/>
  <c r="AW364" i="1" s="1"/>
  <c r="AT364" i="1"/>
  <c r="AU364" i="1" s="1"/>
  <c r="AS364" i="1"/>
  <c r="BC363" i="1"/>
  <c r="BB363" i="1"/>
  <c r="BA363" i="1"/>
  <c r="AZ363" i="1"/>
  <c r="AY363" i="1"/>
  <c r="AX363" i="1"/>
  <c r="AW363" i="1"/>
  <c r="AV363" i="1"/>
  <c r="AU363" i="1"/>
  <c r="AT363" i="1"/>
  <c r="AS363" i="1"/>
  <c r="BC362" i="1"/>
  <c r="BB362" i="1"/>
  <c r="BA362" i="1"/>
  <c r="AZ362" i="1"/>
  <c r="AY362" i="1"/>
  <c r="AX362" i="1"/>
  <c r="AW362" i="1"/>
  <c r="AV362" i="1"/>
  <c r="AT362" i="1"/>
  <c r="AU362" i="1" s="1"/>
  <c r="AS362" i="1"/>
  <c r="BC361" i="1"/>
  <c r="BB361" i="1"/>
  <c r="BA361" i="1"/>
  <c r="AZ361" i="1"/>
  <c r="AY361" i="1"/>
  <c r="AV361" i="1"/>
  <c r="AX361" i="1" s="1"/>
  <c r="AU361" i="1"/>
  <c r="AT361" i="1"/>
  <c r="AS361" i="1"/>
  <c r="BC360" i="1"/>
  <c r="BB360" i="1"/>
  <c r="BA360" i="1"/>
  <c r="AZ360" i="1"/>
  <c r="AY360" i="1"/>
  <c r="AV360" i="1"/>
  <c r="AU360" i="1"/>
  <c r="AT360" i="1"/>
  <c r="AS360" i="1"/>
  <c r="BC359" i="1"/>
  <c r="BB359" i="1"/>
  <c r="BA359" i="1"/>
  <c r="AZ359" i="1"/>
  <c r="AY359" i="1"/>
  <c r="AX359" i="1"/>
  <c r="AW359" i="1"/>
  <c r="AV359" i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U357" i="1"/>
  <c r="AT357" i="1"/>
  <c r="AS357" i="1"/>
  <c r="BC356" i="1"/>
  <c r="BB356" i="1"/>
  <c r="BA356" i="1"/>
  <c r="AZ356" i="1"/>
  <c r="AY356" i="1"/>
  <c r="AX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U352" i="1"/>
  <c r="AT352" i="1"/>
  <c r="AS352" i="1"/>
  <c r="BC351" i="1"/>
  <c r="BB351" i="1"/>
  <c r="BA351" i="1"/>
  <c r="AZ351" i="1"/>
  <c r="AY351" i="1"/>
  <c r="AX351" i="1"/>
  <c r="AW351" i="1"/>
  <c r="AV351" i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U349" i="1"/>
  <c r="AT349" i="1"/>
  <c r="AS349" i="1"/>
  <c r="BC348" i="1"/>
  <c r="BB348" i="1"/>
  <c r="BA348" i="1"/>
  <c r="AZ348" i="1"/>
  <c r="AY348" i="1"/>
  <c r="AX348" i="1"/>
  <c r="AV348" i="1"/>
  <c r="AW348" i="1" s="1"/>
  <c r="AT348" i="1"/>
  <c r="AU348" i="1" s="1"/>
  <c r="AS348" i="1"/>
  <c r="BC347" i="1"/>
  <c r="BB347" i="1"/>
  <c r="BA347" i="1"/>
  <c r="AZ347" i="1"/>
  <c r="AY347" i="1"/>
  <c r="AX347" i="1"/>
  <c r="AW347" i="1"/>
  <c r="AV347" i="1"/>
  <c r="AU347" i="1"/>
  <c r="AT347" i="1"/>
  <c r="AS347" i="1"/>
  <c r="BC346" i="1"/>
  <c r="BB346" i="1"/>
  <c r="BA346" i="1"/>
  <c r="AZ346" i="1"/>
  <c r="AY346" i="1"/>
  <c r="AX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X345" i="1" s="1"/>
  <c r="AU345" i="1"/>
  <c r="AT345" i="1"/>
  <c r="AS345" i="1"/>
  <c r="BC344" i="1"/>
  <c r="BB344" i="1"/>
  <c r="BA344" i="1"/>
  <c r="AZ344" i="1"/>
  <c r="AY344" i="1"/>
  <c r="AV344" i="1"/>
  <c r="AU344" i="1"/>
  <c r="AT344" i="1"/>
  <c r="AS344" i="1"/>
  <c r="BC343" i="1"/>
  <c r="BB343" i="1"/>
  <c r="BA343" i="1"/>
  <c r="AZ343" i="1"/>
  <c r="AY343" i="1"/>
  <c r="AX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W341" i="1"/>
  <c r="AV341" i="1"/>
  <c r="AX341" i="1" s="1"/>
  <c r="AU341" i="1"/>
  <c r="AT341" i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U339" i="1"/>
  <c r="AT339" i="1"/>
  <c r="AS339" i="1"/>
  <c r="BC338" i="1"/>
  <c r="BB338" i="1"/>
  <c r="BA338" i="1"/>
  <c r="AZ338" i="1"/>
  <c r="AY338" i="1"/>
  <c r="AX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U336" i="1"/>
  <c r="AT336" i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U333" i="1"/>
  <c r="AT333" i="1"/>
  <c r="AS333" i="1"/>
  <c r="BC332" i="1"/>
  <c r="BB332" i="1"/>
  <c r="BA332" i="1"/>
  <c r="AZ332" i="1"/>
  <c r="AY332" i="1"/>
  <c r="AX332" i="1"/>
  <c r="AV332" i="1"/>
  <c r="AW332" i="1" s="1"/>
  <c r="AT332" i="1"/>
  <c r="AU332" i="1" s="1"/>
  <c r="AS332" i="1"/>
  <c r="BC331" i="1"/>
  <c r="BB331" i="1"/>
  <c r="BA331" i="1"/>
  <c r="AZ331" i="1"/>
  <c r="AY331" i="1"/>
  <c r="AX331" i="1"/>
  <c r="AW331" i="1"/>
  <c r="AV331" i="1"/>
  <c r="AU331" i="1"/>
  <c r="AT331" i="1"/>
  <c r="AS331" i="1"/>
  <c r="BC330" i="1"/>
  <c r="BB330" i="1"/>
  <c r="BA330" i="1"/>
  <c r="AZ330" i="1"/>
  <c r="AY330" i="1"/>
  <c r="AX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X329" i="1" s="1"/>
  <c r="AU329" i="1"/>
  <c r="AT329" i="1"/>
  <c r="AS329" i="1"/>
  <c r="BC328" i="1"/>
  <c r="BB328" i="1"/>
  <c r="BA328" i="1"/>
  <c r="AZ328" i="1"/>
  <c r="AY328" i="1"/>
  <c r="AV328" i="1"/>
  <c r="AU328" i="1"/>
  <c r="AT328" i="1"/>
  <c r="AS328" i="1"/>
  <c r="BC327" i="1"/>
  <c r="BB327" i="1"/>
  <c r="BA327" i="1"/>
  <c r="AZ327" i="1"/>
  <c r="AY327" i="1"/>
  <c r="AX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U325" i="1"/>
  <c r="AT325" i="1"/>
  <c r="AS325" i="1"/>
  <c r="BC324" i="1"/>
  <c r="BB324" i="1"/>
  <c r="BA324" i="1"/>
  <c r="AZ324" i="1"/>
  <c r="AY324" i="1"/>
  <c r="AX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U320" i="1"/>
  <c r="AT320" i="1"/>
  <c r="AS320" i="1"/>
  <c r="BC319" i="1"/>
  <c r="BB319" i="1"/>
  <c r="BA319" i="1"/>
  <c r="AZ319" i="1"/>
  <c r="AY319" i="1"/>
  <c r="AX319" i="1"/>
  <c r="AV319" i="1"/>
  <c r="AW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U317" i="1"/>
  <c r="AT317" i="1"/>
  <c r="AS317" i="1"/>
  <c r="BC316" i="1"/>
  <c r="BB316" i="1"/>
  <c r="BA316" i="1"/>
  <c r="AZ316" i="1"/>
  <c r="AY316" i="1"/>
  <c r="AX316" i="1"/>
  <c r="AV316" i="1"/>
  <c r="AW316" i="1" s="1"/>
  <c r="AT316" i="1"/>
  <c r="AU316" i="1" s="1"/>
  <c r="AS316" i="1"/>
  <c r="BC315" i="1"/>
  <c r="BB315" i="1"/>
  <c r="BA315" i="1"/>
  <c r="AZ315" i="1"/>
  <c r="AY315" i="1"/>
  <c r="AX315" i="1"/>
  <c r="AW315" i="1"/>
  <c r="AV315" i="1"/>
  <c r="AU315" i="1"/>
  <c r="AT315" i="1"/>
  <c r="AS315" i="1"/>
  <c r="BC314" i="1"/>
  <c r="BB314" i="1"/>
  <c r="BA314" i="1"/>
  <c r="AZ314" i="1"/>
  <c r="AY314" i="1"/>
  <c r="AX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X313" i="1" s="1"/>
  <c r="AU313" i="1"/>
  <c r="AT313" i="1"/>
  <c r="AS313" i="1"/>
  <c r="BC312" i="1"/>
  <c r="BB312" i="1"/>
  <c r="BA312" i="1"/>
  <c r="AZ312" i="1"/>
  <c r="AY312" i="1"/>
  <c r="AV312" i="1"/>
  <c r="AU312" i="1"/>
  <c r="AT312" i="1"/>
  <c r="AS312" i="1"/>
  <c r="BC311" i="1"/>
  <c r="BB311" i="1"/>
  <c r="BA311" i="1"/>
  <c r="AZ311" i="1"/>
  <c r="AY311" i="1"/>
  <c r="AX311" i="1"/>
  <c r="AW311" i="1"/>
  <c r="AV311" i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W309" i="1"/>
  <c r="AV309" i="1"/>
  <c r="AX309" i="1" s="1"/>
  <c r="AU309" i="1"/>
  <c r="AT309" i="1"/>
  <c r="AS309" i="1"/>
  <c r="BC308" i="1"/>
  <c r="BB308" i="1"/>
  <c r="BA308" i="1"/>
  <c r="AZ308" i="1"/>
  <c r="AY308" i="1"/>
  <c r="AX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U307" i="1"/>
  <c r="AT307" i="1"/>
  <c r="AS307" i="1"/>
  <c r="BC306" i="1"/>
  <c r="BB306" i="1"/>
  <c r="BA306" i="1"/>
  <c r="AZ306" i="1"/>
  <c r="AY306" i="1"/>
  <c r="AX306" i="1"/>
  <c r="AW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U304" i="1"/>
  <c r="AT304" i="1"/>
  <c r="AS304" i="1"/>
  <c r="BC303" i="1"/>
  <c r="BB303" i="1"/>
  <c r="BA303" i="1"/>
  <c r="AZ303" i="1"/>
  <c r="AY303" i="1"/>
  <c r="AX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U301" i="1"/>
  <c r="AT301" i="1"/>
  <c r="AS301" i="1"/>
  <c r="BC300" i="1"/>
  <c r="BB300" i="1"/>
  <c r="BA300" i="1"/>
  <c r="AZ300" i="1"/>
  <c r="AY300" i="1"/>
  <c r="AX300" i="1"/>
  <c r="AV300" i="1"/>
  <c r="AW300" i="1" s="1"/>
  <c r="AT300" i="1"/>
  <c r="AU300" i="1" s="1"/>
  <c r="AS300" i="1"/>
  <c r="BC299" i="1"/>
  <c r="BB299" i="1"/>
  <c r="BA299" i="1"/>
  <c r="AZ299" i="1"/>
  <c r="AY299" i="1"/>
  <c r="AX299" i="1"/>
  <c r="AW299" i="1"/>
  <c r="AV299" i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X297" i="1" s="1"/>
  <c r="AU297" i="1"/>
  <c r="AT297" i="1"/>
  <c r="AS297" i="1"/>
  <c r="BC296" i="1"/>
  <c r="BB296" i="1"/>
  <c r="BA296" i="1"/>
  <c r="AZ296" i="1"/>
  <c r="AY296" i="1"/>
  <c r="AV296" i="1"/>
  <c r="AU296" i="1"/>
  <c r="AT296" i="1"/>
  <c r="AS296" i="1"/>
  <c r="BC295" i="1"/>
  <c r="BB295" i="1"/>
  <c r="BA295" i="1"/>
  <c r="AZ295" i="1"/>
  <c r="AY295" i="1"/>
  <c r="AX295" i="1"/>
  <c r="AW295" i="1"/>
  <c r="AV295" i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W293" i="1"/>
  <c r="AV293" i="1"/>
  <c r="AX293" i="1" s="1"/>
  <c r="AU293" i="1"/>
  <c r="AT293" i="1"/>
  <c r="AS293" i="1"/>
  <c r="BC292" i="1"/>
  <c r="BB292" i="1"/>
  <c r="BA292" i="1"/>
  <c r="AZ292" i="1"/>
  <c r="AY292" i="1"/>
  <c r="AX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U291" i="1"/>
  <c r="AT291" i="1"/>
  <c r="AS291" i="1"/>
  <c r="BC290" i="1"/>
  <c r="BB290" i="1"/>
  <c r="BA290" i="1"/>
  <c r="AZ290" i="1"/>
  <c r="AY290" i="1"/>
  <c r="AX290" i="1"/>
  <c r="AW290" i="1"/>
  <c r="AV290" i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U288" i="1"/>
  <c r="AT288" i="1"/>
  <c r="AS288" i="1"/>
  <c r="BC287" i="1"/>
  <c r="BB287" i="1"/>
  <c r="BA287" i="1"/>
  <c r="AZ287" i="1"/>
  <c r="AY287" i="1"/>
  <c r="AX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U285" i="1"/>
  <c r="AT285" i="1"/>
  <c r="AS285" i="1"/>
  <c r="BC284" i="1"/>
  <c r="BB284" i="1"/>
  <c r="BA284" i="1"/>
  <c r="AZ284" i="1"/>
  <c r="AY284" i="1"/>
  <c r="AX284" i="1"/>
  <c r="AV284" i="1"/>
  <c r="AW284" i="1" s="1"/>
  <c r="AT284" i="1"/>
  <c r="AU284" i="1" s="1"/>
  <c r="AS284" i="1"/>
  <c r="BC283" i="1"/>
  <c r="BB283" i="1"/>
  <c r="BA283" i="1"/>
  <c r="AZ283" i="1"/>
  <c r="AY283" i="1"/>
  <c r="AX283" i="1"/>
  <c r="AW283" i="1"/>
  <c r="AV283" i="1"/>
  <c r="AU283" i="1"/>
  <c r="AT283" i="1"/>
  <c r="AS283" i="1"/>
  <c r="BC282" i="1"/>
  <c r="BB282" i="1"/>
  <c r="BA282" i="1"/>
  <c r="AZ282" i="1"/>
  <c r="AY282" i="1"/>
  <c r="AX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U280" i="1"/>
  <c r="AT280" i="1"/>
  <c r="AS280" i="1"/>
  <c r="BC279" i="1"/>
  <c r="BB279" i="1"/>
  <c r="BA279" i="1"/>
  <c r="AZ279" i="1"/>
  <c r="AY279" i="1"/>
  <c r="AX279" i="1"/>
  <c r="AW279" i="1"/>
  <c r="AV279" i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W277" i="1"/>
  <c r="AV277" i="1"/>
  <c r="AX277" i="1" s="1"/>
  <c r="AU277" i="1"/>
  <c r="AT277" i="1"/>
  <c r="AS277" i="1"/>
  <c r="BC276" i="1"/>
  <c r="BB276" i="1"/>
  <c r="BA276" i="1"/>
  <c r="AZ276" i="1"/>
  <c r="AY276" i="1"/>
  <c r="AX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U275" i="1"/>
  <c r="AT275" i="1"/>
  <c r="AS275" i="1"/>
  <c r="BC274" i="1"/>
  <c r="BB274" i="1"/>
  <c r="BA274" i="1"/>
  <c r="AZ274" i="1"/>
  <c r="AY274" i="1"/>
  <c r="AX274" i="1"/>
  <c r="AW274" i="1"/>
  <c r="AV274" i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U272" i="1"/>
  <c r="AT272" i="1"/>
  <c r="AS272" i="1"/>
  <c r="BC271" i="1"/>
  <c r="BB271" i="1"/>
  <c r="BA271" i="1"/>
  <c r="AZ271" i="1"/>
  <c r="AY271" i="1"/>
  <c r="AX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U269" i="1"/>
  <c r="AT269" i="1"/>
  <c r="AS269" i="1"/>
  <c r="BC268" i="1"/>
  <c r="BB268" i="1"/>
  <c r="BA268" i="1"/>
  <c r="AZ268" i="1"/>
  <c r="AY268" i="1"/>
  <c r="AX268" i="1"/>
  <c r="AV268" i="1"/>
  <c r="AW268" i="1" s="1"/>
  <c r="AT268" i="1"/>
  <c r="AU268" i="1" s="1"/>
  <c r="AS268" i="1"/>
  <c r="BC267" i="1"/>
  <c r="BB267" i="1"/>
  <c r="BA267" i="1"/>
  <c r="AZ267" i="1"/>
  <c r="AY267" i="1"/>
  <c r="AX267" i="1"/>
  <c r="AW267" i="1"/>
  <c r="AV267" i="1"/>
  <c r="AU267" i="1"/>
  <c r="AT267" i="1"/>
  <c r="AS267" i="1"/>
  <c r="BC266" i="1"/>
  <c r="BB266" i="1"/>
  <c r="BA266" i="1"/>
  <c r="AZ266" i="1"/>
  <c r="AY266" i="1"/>
  <c r="AX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X265" i="1" s="1"/>
  <c r="AU265" i="1"/>
  <c r="AT265" i="1"/>
  <c r="AS265" i="1"/>
  <c r="BC264" i="1"/>
  <c r="BB264" i="1"/>
  <c r="BA264" i="1"/>
  <c r="AZ264" i="1"/>
  <c r="AY264" i="1"/>
  <c r="AV264" i="1"/>
  <c r="AU264" i="1"/>
  <c r="AT264" i="1"/>
  <c r="AS264" i="1"/>
  <c r="BC263" i="1"/>
  <c r="BB263" i="1"/>
  <c r="BA263" i="1"/>
  <c r="AZ263" i="1"/>
  <c r="AY263" i="1"/>
  <c r="AX263" i="1"/>
  <c r="AW263" i="1"/>
  <c r="AV263" i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X259" i="1"/>
  <c r="AV259" i="1"/>
  <c r="AW259" i="1" s="1"/>
  <c r="AT259" i="1"/>
  <c r="AU259" i="1" s="1"/>
  <c r="AS259" i="1"/>
  <c r="BC258" i="1"/>
  <c r="BB258" i="1"/>
  <c r="BA258" i="1"/>
  <c r="AZ258" i="1"/>
  <c r="AY258" i="1"/>
  <c r="AW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X257" i="1" s="1"/>
  <c r="AU257" i="1"/>
  <c r="AT257" i="1"/>
  <c r="AS257" i="1"/>
  <c r="BC256" i="1"/>
  <c r="BB256" i="1"/>
  <c r="BA256" i="1"/>
  <c r="AZ256" i="1"/>
  <c r="AY256" i="1"/>
  <c r="AV256" i="1"/>
  <c r="AU256" i="1"/>
  <c r="AT256" i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U251" i="1"/>
  <c r="AT251" i="1"/>
  <c r="AS251" i="1"/>
  <c r="BC250" i="1"/>
  <c r="BB250" i="1"/>
  <c r="BA250" i="1"/>
  <c r="AZ250" i="1"/>
  <c r="AY250" i="1"/>
  <c r="AX250" i="1"/>
  <c r="AW250" i="1"/>
  <c r="AV250" i="1"/>
  <c r="AT250" i="1"/>
  <c r="AU250" i="1" s="1"/>
  <c r="AS250" i="1"/>
  <c r="BC249" i="1"/>
  <c r="BB249" i="1"/>
  <c r="BA249" i="1"/>
  <c r="AZ249" i="1"/>
  <c r="AY249" i="1"/>
  <c r="AV249" i="1"/>
  <c r="AX249" i="1" s="1"/>
  <c r="AU249" i="1"/>
  <c r="AT249" i="1"/>
  <c r="AS249" i="1"/>
  <c r="BC248" i="1"/>
  <c r="BB248" i="1"/>
  <c r="BA248" i="1"/>
  <c r="AZ248" i="1"/>
  <c r="AY248" i="1"/>
  <c r="AX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V245" i="1"/>
  <c r="AU245" i="1"/>
  <c r="AT245" i="1"/>
  <c r="AS245" i="1"/>
  <c r="BC244" i="1"/>
  <c r="BB244" i="1"/>
  <c r="BA244" i="1"/>
  <c r="AZ244" i="1"/>
  <c r="AY244" i="1"/>
  <c r="AX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X239" i="1"/>
  <c r="AW239" i="1"/>
  <c r="AV239" i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W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U233" i="1"/>
  <c r="AT233" i="1"/>
  <c r="AS233" i="1"/>
  <c r="BC232" i="1"/>
  <c r="BB232" i="1"/>
  <c r="BA232" i="1"/>
  <c r="AZ232" i="1"/>
  <c r="AY232" i="1"/>
  <c r="AV232" i="1"/>
  <c r="AU232" i="1"/>
  <c r="AT232" i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U228" i="1"/>
  <c r="AT228" i="1"/>
  <c r="AS228" i="1"/>
  <c r="BC227" i="1"/>
  <c r="BB227" i="1"/>
  <c r="BA227" i="1"/>
  <c r="AZ227" i="1"/>
  <c r="AY227" i="1"/>
  <c r="AX227" i="1"/>
  <c r="AW227" i="1"/>
  <c r="AV227" i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U224" i="1"/>
  <c r="AT224" i="1"/>
  <c r="AS224" i="1"/>
  <c r="BC223" i="1"/>
  <c r="BB223" i="1"/>
  <c r="BA223" i="1"/>
  <c r="AZ223" i="1"/>
  <c r="AY223" i="1"/>
  <c r="AX223" i="1"/>
  <c r="AV223" i="1"/>
  <c r="AW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X221" i="1"/>
  <c r="AW221" i="1"/>
  <c r="AV221" i="1"/>
  <c r="AU221" i="1"/>
  <c r="AT221" i="1"/>
  <c r="AS221" i="1"/>
  <c r="BC220" i="1"/>
  <c r="BB220" i="1"/>
  <c r="BA220" i="1"/>
  <c r="AZ220" i="1"/>
  <c r="AY220" i="1"/>
  <c r="AV220" i="1"/>
  <c r="AW220" i="1" s="1"/>
  <c r="AT220" i="1"/>
  <c r="AU220" i="1" s="1"/>
  <c r="AS220" i="1"/>
  <c r="BC219" i="1"/>
  <c r="BB219" i="1"/>
  <c r="BA219" i="1"/>
  <c r="AZ219" i="1"/>
  <c r="AY219" i="1"/>
  <c r="AW219" i="1"/>
  <c r="AV219" i="1"/>
  <c r="AX219" i="1" s="1"/>
  <c r="AT219" i="1"/>
  <c r="AU219" i="1" s="1"/>
  <c r="AS219" i="1"/>
  <c r="BC218" i="1"/>
  <c r="BB218" i="1"/>
  <c r="BA218" i="1"/>
  <c r="AZ218" i="1"/>
  <c r="AY218" i="1"/>
  <c r="AW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X215" i="1"/>
  <c r="AW215" i="1"/>
  <c r="AV215" i="1"/>
  <c r="AU215" i="1"/>
  <c r="AT215" i="1"/>
  <c r="AS215" i="1"/>
  <c r="BC214" i="1"/>
  <c r="BB214" i="1"/>
  <c r="BA214" i="1"/>
  <c r="AZ214" i="1"/>
  <c r="AY214" i="1"/>
  <c r="AX214" i="1"/>
  <c r="AV214" i="1"/>
  <c r="AW214" i="1" s="1"/>
  <c r="AT214" i="1"/>
  <c r="AU214" i="1" s="1"/>
  <c r="AS214" i="1"/>
  <c r="BC213" i="1"/>
  <c r="AV213" i="1"/>
  <c r="AU213" i="1"/>
  <c r="AT213" i="1"/>
  <c r="AS213" i="1"/>
  <c r="BC212" i="1"/>
  <c r="AX212" i="1"/>
  <c r="AV212" i="1"/>
  <c r="AW212" i="1" s="1"/>
  <c r="AT212" i="1"/>
  <c r="AU212" i="1" s="1"/>
  <c r="AS212" i="1"/>
  <c r="BC211" i="1"/>
  <c r="AW211" i="1"/>
  <c r="AX211" i="1" s="1"/>
  <c r="AV211" i="1"/>
  <c r="AU211" i="1"/>
  <c r="AT211" i="1"/>
  <c r="AS211" i="1"/>
  <c r="BC210" i="1"/>
  <c r="AX210" i="1"/>
  <c r="AV210" i="1"/>
  <c r="AW210" i="1" s="1"/>
  <c r="AT210" i="1"/>
  <c r="AU210" i="1" s="1"/>
  <c r="AS210" i="1"/>
  <c r="BC209" i="1"/>
  <c r="AV209" i="1"/>
  <c r="AW209" i="1" s="1"/>
  <c r="AU209" i="1"/>
  <c r="AT209" i="1"/>
  <c r="AS209" i="1"/>
  <c r="BC208" i="1"/>
  <c r="AV208" i="1"/>
  <c r="AW208" i="1" s="1"/>
  <c r="AX208" i="1" s="1"/>
  <c r="AT208" i="1"/>
  <c r="AU208" i="1" s="1"/>
  <c r="AS208" i="1"/>
  <c r="BC207" i="1"/>
  <c r="AV207" i="1"/>
  <c r="AW207" i="1" s="1"/>
  <c r="AX207" i="1" s="1"/>
  <c r="AU207" i="1"/>
  <c r="AT207" i="1"/>
  <c r="AS207" i="1"/>
  <c r="BC206" i="1"/>
  <c r="AV206" i="1"/>
  <c r="AT206" i="1"/>
  <c r="AS206" i="1"/>
  <c r="BC205" i="1"/>
  <c r="AW205" i="1"/>
  <c r="AV205" i="1"/>
  <c r="AT205" i="1"/>
  <c r="AU205" i="1" s="1"/>
  <c r="AS205" i="1"/>
  <c r="BC204" i="1"/>
  <c r="AV204" i="1"/>
  <c r="AT204" i="1"/>
  <c r="AS204" i="1"/>
  <c r="BC203" i="1"/>
  <c r="AV203" i="1"/>
  <c r="AW203" i="1" s="1"/>
  <c r="AX203" i="1" s="1"/>
  <c r="AT203" i="1"/>
  <c r="AU203" i="1" s="1"/>
  <c r="AS203" i="1"/>
  <c r="BC202" i="1"/>
  <c r="AX202" i="1"/>
  <c r="AW202" i="1"/>
  <c r="AV202" i="1"/>
  <c r="AT202" i="1"/>
  <c r="AU202" i="1" s="1"/>
  <c r="AS202" i="1"/>
  <c r="BC201" i="1"/>
  <c r="AV201" i="1"/>
  <c r="AW201" i="1" s="1"/>
  <c r="AU201" i="1"/>
  <c r="AT201" i="1"/>
  <c r="AS201" i="1"/>
  <c r="BC200" i="1"/>
  <c r="AV200" i="1"/>
  <c r="AW200" i="1" s="1"/>
  <c r="AU200" i="1"/>
  <c r="AT200" i="1"/>
  <c r="AS200" i="1"/>
  <c r="BC199" i="1"/>
  <c r="AV199" i="1"/>
  <c r="AW199" i="1" s="1"/>
  <c r="AX199" i="1" s="1"/>
  <c r="AU199" i="1"/>
  <c r="AT199" i="1"/>
  <c r="AS199" i="1"/>
  <c r="BC198" i="1"/>
  <c r="AV198" i="1"/>
  <c r="AT198" i="1"/>
  <c r="AS198" i="1"/>
  <c r="BC197" i="1"/>
  <c r="AW197" i="1"/>
  <c r="AX197" i="1" s="1"/>
  <c r="AV197" i="1"/>
  <c r="AT197" i="1"/>
  <c r="AU197" i="1" s="1"/>
  <c r="AS197" i="1"/>
  <c r="BC196" i="1"/>
  <c r="AV196" i="1"/>
  <c r="AT196" i="1"/>
  <c r="AS196" i="1"/>
  <c r="BC195" i="1"/>
  <c r="AV195" i="1"/>
  <c r="AW195" i="1" s="1"/>
  <c r="AX195" i="1" s="1"/>
  <c r="AU195" i="1"/>
  <c r="AT195" i="1"/>
  <c r="AS195" i="1"/>
  <c r="BC194" i="1"/>
  <c r="AW194" i="1"/>
  <c r="AX194" i="1" s="1"/>
  <c r="AV194" i="1"/>
  <c r="AT194" i="1"/>
  <c r="AU194" i="1" s="1"/>
  <c r="AS194" i="1"/>
  <c r="BC193" i="1"/>
  <c r="AW193" i="1"/>
  <c r="AV193" i="1"/>
  <c r="AT193" i="1"/>
  <c r="AU193" i="1" s="1"/>
  <c r="AS193" i="1"/>
  <c r="BC192" i="1"/>
  <c r="AV192" i="1"/>
  <c r="AW192" i="1" s="1"/>
  <c r="AX192" i="1" s="1"/>
  <c r="AU192" i="1"/>
  <c r="AT192" i="1"/>
  <c r="AS192" i="1"/>
  <c r="BC191" i="1"/>
  <c r="AV191" i="1"/>
  <c r="AW191" i="1" s="1"/>
  <c r="AX191" i="1" s="1"/>
  <c r="AT191" i="1"/>
  <c r="AU191" i="1" s="1"/>
  <c r="AS191" i="1"/>
  <c r="BC190" i="1"/>
  <c r="AV190" i="1"/>
  <c r="AU190" i="1"/>
  <c r="AT190" i="1"/>
  <c r="AS190" i="1"/>
  <c r="BC189" i="1"/>
  <c r="AW189" i="1"/>
  <c r="AV189" i="1"/>
  <c r="AT189" i="1"/>
  <c r="AU189" i="1" s="1"/>
  <c r="AS189" i="1"/>
  <c r="BC188" i="1"/>
  <c r="AV188" i="1"/>
  <c r="AT188" i="1"/>
  <c r="AS188" i="1"/>
  <c r="BC187" i="1"/>
  <c r="AW187" i="1"/>
  <c r="AV187" i="1"/>
  <c r="AU187" i="1"/>
  <c r="AT187" i="1"/>
  <c r="AS187" i="1"/>
  <c r="BC186" i="1"/>
  <c r="AV186" i="1"/>
  <c r="AW186" i="1" s="1"/>
  <c r="AT186" i="1"/>
  <c r="AU186" i="1" s="1"/>
  <c r="AS186" i="1"/>
  <c r="BC185" i="1"/>
  <c r="AW185" i="1"/>
  <c r="AV185" i="1"/>
  <c r="AT185" i="1"/>
  <c r="AU185" i="1" s="1"/>
  <c r="AS185" i="1"/>
  <c r="BC184" i="1"/>
  <c r="AX184" i="1"/>
  <c r="AW184" i="1"/>
  <c r="AV184" i="1"/>
  <c r="AT184" i="1"/>
  <c r="AU184" i="1" s="1"/>
  <c r="AS184" i="1"/>
  <c r="BC183" i="1"/>
  <c r="AV183" i="1"/>
  <c r="AW183" i="1" s="1"/>
  <c r="AX183" i="1" s="1"/>
  <c r="AU183" i="1"/>
  <c r="AT183" i="1"/>
  <c r="AS183" i="1"/>
  <c r="BC182" i="1"/>
  <c r="AV182" i="1"/>
  <c r="AT182" i="1"/>
  <c r="AU182" i="1" s="1"/>
  <c r="AS182" i="1"/>
  <c r="BC181" i="1"/>
  <c r="AX181" i="1"/>
  <c r="AW181" i="1"/>
  <c r="AV181" i="1"/>
  <c r="AT181" i="1"/>
  <c r="AU181" i="1" s="1"/>
  <c r="AS181" i="1"/>
  <c r="BC180" i="1"/>
  <c r="AV180" i="1"/>
  <c r="AT180" i="1"/>
  <c r="AS180" i="1"/>
  <c r="BC179" i="1"/>
  <c r="AV179" i="1"/>
  <c r="AW179" i="1" s="1"/>
  <c r="AU179" i="1"/>
  <c r="AT179" i="1"/>
  <c r="AS179" i="1"/>
  <c r="BC178" i="1"/>
  <c r="AX178" i="1"/>
  <c r="AW178" i="1"/>
  <c r="AV178" i="1"/>
  <c r="AT178" i="1"/>
  <c r="AU178" i="1" s="1"/>
  <c r="AS178" i="1"/>
  <c r="BC177" i="1"/>
  <c r="AV177" i="1"/>
  <c r="AW177" i="1" s="1"/>
  <c r="AU177" i="1"/>
  <c r="AT177" i="1"/>
  <c r="AS177" i="1"/>
  <c r="BC176" i="1"/>
  <c r="AV176" i="1"/>
  <c r="AW176" i="1" s="1"/>
  <c r="AX176" i="1" s="1"/>
  <c r="AT176" i="1"/>
  <c r="AU176" i="1" s="1"/>
  <c r="AS176" i="1"/>
  <c r="BC175" i="1"/>
  <c r="AV175" i="1"/>
  <c r="AW175" i="1" s="1"/>
  <c r="AX175" i="1" s="1"/>
  <c r="AU175" i="1"/>
  <c r="AT175" i="1"/>
  <c r="AS175" i="1"/>
  <c r="BC174" i="1"/>
  <c r="AV174" i="1"/>
  <c r="AT174" i="1"/>
  <c r="AS174" i="1"/>
  <c r="BC173" i="1"/>
  <c r="AV173" i="1"/>
  <c r="AW173" i="1" s="1"/>
  <c r="AX173" i="1" s="1"/>
  <c r="AT173" i="1"/>
  <c r="AU173" i="1" s="1"/>
  <c r="AS173" i="1"/>
  <c r="BC172" i="1"/>
  <c r="AV172" i="1"/>
  <c r="AT172" i="1"/>
  <c r="AS172" i="1"/>
  <c r="BC171" i="1"/>
  <c r="AV171" i="1"/>
  <c r="AW171" i="1" s="1"/>
  <c r="AX171" i="1" s="1"/>
  <c r="AU171" i="1"/>
  <c r="AT171" i="1"/>
  <c r="AS171" i="1"/>
  <c r="BC170" i="1"/>
  <c r="AV170" i="1"/>
  <c r="AW170" i="1" s="1"/>
  <c r="AX170" i="1" s="1"/>
  <c r="AT170" i="1"/>
  <c r="AU170" i="1" s="1"/>
  <c r="AS170" i="1"/>
  <c r="BC169" i="1"/>
  <c r="AV169" i="1"/>
  <c r="AU169" i="1"/>
  <c r="AT169" i="1"/>
  <c r="AS169" i="1"/>
  <c r="BC168" i="1"/>
  <c r="AV168" i="1"/>
  <c r="AW168" i="1" s="1"/>
  <c r="AU168" i="1"/>
  <c r="AT168" i="1"/>
  <c r="AS168" i="1"/>
  <c r="BC167" i="1"/>
  <c r="AV167" i="1"/>
  <c r="AW167" i="1" s="1"/>
  <c r="AX167" i="1" s="1"/>
  <c r="AT167" i="1"/>
  <c r="AU167" i="1" s="1"/>
  <c r="AS167" i="1"/>
  <c r="BC166" i="1"/>
  <c r="AV166" i="1"/>
  <c r="AW166" i="1" s="1"/>
  <c r="AX166" i="1" s="1"/>
  <c r="AT166" i="1"/>
  <c r="AS166" i="1"/>
  <c r="BC165" i="1"/>
  <c r="AW165" i="1"/>
  <c r="AV165" i="1"/>
  <c r="AX165" i="1" s="1"/>
  <c r="AT165" i="1"/>
  <c r="AU165" i="1" s="1"/>
  <c r="AS165" i="1"/>
  <c r="BC164" i="1"/>
  <c r="AV164" i="1"/>
  <c r="AT164" i="1"/>
  <c r="AS164" i="1"/>
  <c r="BC163" i="1"/>
  <c r="AV163" i="1"/>
  <c r="AW163" i="1" s="1"/>
  <c r="AX163" i="1" s="1"/>
  <c r="AU163" i="1"/>
  <c r="AT163" i="1"/>
  <c r="AS163" i="1"/>
  <c r="BC162" i="1"/>
  <c r="AX162" i="1"/>
  <c r="AW162" i="1"/>
  <c r="AV162" i="1"/>
  <c r="AT162" i="1"/>
  <c r="AU162" i="1" s="1"/>
  <c r="AS162" i="1"/>
  <c r="BC161" i="1"/>
  <c r="AV161" i="1"/>
  <c r="AT161" i="1"/>
  <c r="AU161" i="1" s="1"/>
  <c r="AS161" i="1"/>
  <c r="BC160" i="1"/>
  <c r="AW160" i="1"/>
  <c r="AX160" i="1" s="1"/>
  <c r="AV160" i="1"/>
  <c r="AT160" i="1"/>
  <c r="AU160" i="1" s="1"/>
  <c r="AS160" i="1"/>
  <c r="BC159" i="1"/>
  <c r="AV159" i="1"/>
  <c r="AW159" i="1" s="1"/>
  <c r="AX159" i="1" s="1"/>
  <c r="AT159" i="1"/>
  <c r="AU159" i="1" s="1"/>
  <c r="AS159" i="1"/>
  <c r="BC158" i="1"/>
  <c r="AV158" i="1"/>
  <c r="AT158" i="1"/>
  <c r="AU158" i="1" s="1"/>
  <c r="AS158" i="1"/>
  <c r="BC157" i="1"/>
  <c r="AW157" i="1"/>
  <c r="AX157" i="1" s="1"/>
  <c r="AV157" i="1"/>
  <c r="AT157" i="1"/>
  <c r="AU157" i="1" s="1"/>
  <c r="AS157" i="1"/>
  <c r="BC156" i="1"/>
  <c r="AV156" i="1"/>
  <c r="AU156" i="1"/>
  <c r="AT156" i="1"/>
  <c r="AS156" i="1"/>
  <c r="BC155" i="1"/>
  <c r="AV155" i="1"/>
  <c r="AT155" i="1"/>
  <c r="AU155" i="1" s="1"/>
  <c r="AS155" i="1"/>
  <c r="BC154" i="1"/>
  <c r="AW154" i="1"/>
  <c r="AV154" i="1"/>
  <c r="AX154" i="1" s="1"/>
  <c r="AT154" i="1"/>
  <c r="AU154" i="1" s="1"/>
  <c r="AS154" i="1"/>
  <c r="BC153" i="1"/>
  <c r="AV153" i="1"/>
  <c r="AU153" i="1"/>
  <c r="AT153" i="1"/>
  <c r="AS153" i="1"/>
  <c r="BC152" i="1"/>
  <c r="AV152" i="1"/>
  <c r="AT152" i="1"/>
  <c r="AU152" i="1" s="1"/>
  <c r="AS152" i="1"/>
  <c r="BC151" i="1"/>
  <c r="AV151" i="1"/>
  <c r="AW151" i="1" s="1"/>
  <c r="AT151" i="1"/>
  <c r="AU151" i="1" s="1"/>
  <c r="AS151" i="1"/>
  <c r="BC150" i="1"/>
  <c r="AV150" i="1"/>
  <c r="AU150" i="1"/>
  <c r="AT150" i="1"/>
  <c r="AS150" i="1"/>
  <c r="BC149" i="1"/>
  <c r="AX149" i="1"/>
  <c r="AW149" i="1"/>
  <c r="AV149" i="1"/>
  <c r="AT149" i="1"/>
  <c r="AU149" i="1" s="1"/>
  <c r="AS149" i="1"/>
  <c r="BC148" i="1"/>
  <c r="AV148" i="1"/>
  <c r="AZ148" i="1" s="1"/>
  <c r="BB148" i="1" s="1"/>
  <c r="AT148" i="1"/>
  <c r="AU148" i="1" s="1"/>
  <c r="AS148" i="1"/>
  <c r="BC147" i="1"/>
  <c r="AW147" i="1"/>
  <c r="AV147" i="1"/>
  <c r="AX147" i="1" s="1"/>
  <c r="AT147" i="1"/>
  <c r="AU147" i="1" s="1"/>
  <c r="AS147" i="1"/>
  <c r="BC146" i="1"/>
  <c r="AW146" i="1"/>
  <c r="AX146" i="1" s="1"/>
  <c r="AV146" i="1"/>
  <c r="AT146" i="1"/>
  <c r="AU146" i="1" s="1"/>
  <c r="AS146" i="1"/>
  <c r="BC145" i="1"/>
  <c r="AV145" i="1"/>
  <c r="AW145" i="1" s="1"/>
  <c r="AT145" i="1"/>
  <c r="AS145" i="1"/>
  <c r="BC144" i="1"/>
  <c r="AW144" i="1"/>
  <c r="AV144" i="1"/>
  <c r="AX144" i="1" s="1"/>
  <c r="AT144" i="1"/>
  <c r="AU144" i="1" s="1"/>
  <c r="AS144" i="1"/>
  <c r="BC143" i="1"/>
  <c r="AV143" i="1"/>
  <c r="AW143" i="1" s="1"/>
  <c r="AU143" i="1"/>
  <c r="AT143" i="1"/>
  <c r="AS143" i="1"/>
  <c r="BC142" i="1"/>
  <c r="AX142" i="1"/>
  <c r="AW142" i="1"/>
  <c r="AV142" i="1"/>
  <c r="AT142" i="1"/>
  <c r="AS142" i="1"/>
  <c r="BC141" i="1"/>
  <c r="AV141" i="1"/>
  <c r="AW141" i="1" s="1"/>
  <c r="AX141" i="1" s="1"/>
  <c r="AT141" i="1"/>
  <c r="AU141" i="1" s="1"/>
  <c r="AS141" i="1"/>
  <c r="BC140" i="1"/>
  <c r="AV140" i="1"/>
  <c r="AT140" i="1"/>
  <c r="AU140" i="1" s="1"/>
  <c r="AS140" i="1"/>
  <c r="BC139" i="1"/>
  <c r="AV139" i="1"/>
  <c r="AU139" i="1"/>
  <c r="AT139" i="1"/>
  <c r="AS139" i="1"/>
  <c r="BC138" i="1"/>
  <c r="AX138" i="1"/>
  <c r="AW138" i="1"/>
  <c r="AV138" i="1"/>
  <c r="AT138" i="1"/>
  <c r="AS138" i="1"/>
  <c r="BC137" i="1"/>
  <c r="AV137" i="1"/>
  <c r="AT137" i="1"/>
  <c r="AU137" i="1" s="1"/>
  <c r="AS137" i="1"/>
  <c r="BC136" i="1"/>
  <c r="AV136" i="1"/>
  <c r="AU136" i="1"/>
  <c r="AT136" i="1"/>
  <c r="AS136" i="1"/>
  <c r="BC135" i="1"/>
  <c r="AX135" i="1"/>
  <c r="AV135" i="1"/>
  <c r="AW135" i="1" s="1"/>
  <c r="AT135" i="1"/>
  <c r="AU135" i="1" s="1"/>
  <c r="AS135" i="1"/>
  <c r="BC134" i="1"/>
  <c r="AV134" i="1"/>
  <c r="AT134" i="1"/>
  <c r="AU134" i="1" s="1"/>
  <c r="AS134" i="1"/>
  <c r="BC133" i="1"/>
  <c r="AV133" i="1"/>
  <c r="AT133" i="1"/>
  <c r="AU133" i="1" s="1"/>
  <c r="AS133" i="1"/>
  <c r="BC132" i="1"/>
  <c r="AV132" i="1"/>
  <c r="AT132" i="1"/>
  <c r="AS132" i="1"/>
  <c r="BC131" i="1"/>
  <c r="AX131" i="1"/>
  <c r="AW131" i="1"/>
  <c r="AV131" i="1"/>
  <c r="AT131" i="1"/>
  <c r="AU131" i="1" s="1"/>
  <c r="AS131" i="1"/>
  <c r="BC130" i="1"/>
  <c r="AV130" i="1"/>
  <c r="AW130" i="1" s="1"/>
  <c r="AX130" i="1" s="1"/>
  <c r="AT130" i="1"/>
  <c r="AU130" i="1" s="1"/>
  <c r="AS130" i="1"/>
  <c r="BC129" i="1"/>
  <c r="AV129" i="1"/>
  <c r="AW129" i="1" s="1"/>
  <c r="AT129" i="1"/>
  <c r="AS129" i="1"/>
  <c r="BC128" i="1"/>
  <c r="AX128" i="1"/>
  <c r="AW128" i="1"/>
  <c r="AV128" i="1"/>
  <c r="AT128" i="1"/>
  <c r="AU128" i="1" s="1"/>
  <c r="AS128" i="1"/>
  <c r="BC127" i="1"/>
  <c r="AV127" i="1"/>
  <c r="AW127" i="1" s="1"/>
  <c r="AX127" i="1" s="1"/>
  <c r="AU127" i="1"/>
  <c r="AT127" i="1"/>
  <c r="AS127" i="1"/>
  <c r="BC126" i="1"/>
  <c r="AW126" i="1"/>
  <c r="AV126" i="1"/>
  <c r="AT126" i="1"/>
  <c r="AY147" i="1" s="1"/>
  <c r="BA147" i="1" s="1"/>
  <c r="AS126" i="1"/>
  <c r="BC125" i="1"/>
  <c r="AV125" i="1"/>
  <c r="AT125" i="1"/>
  <c r="AU125" i="1" s="1"/>
  <c r="AS125" i="1"/>
  <c r="BC124" i="1"/>
  <c r="AV124" i="1"/>
  <c r="AU124" i="1"/>
  <c r="AT124" i="1"/>
  <c r="AS124" i="1"/>
  <c r="BC123" i="1"/>
  <c r="AV123" i="1"/>
  <c r="AW123" i="1" s="1"/>
  <c r="AU123" i="1"/>
  <c r="AT123" i="1"/>
  <c r="AS123" i="1"/>
  <c r="BC122" i="1"/>
  <c r="AV122" i="1"/>
  <c r="AT122" i="1"/>
  <c r="AU122" i="1" s="1"/>
  <c r="AS122" i="1"/>
  <c r="BC121" i="1"/>
  <c r="AV121" i="1"/>
  <c r="AT121" i="1"/>
  <c r="AU121" i="1" s="1"/>
  <c r="AS121" i="1"/>
  <c r="BC120" i="1"/>
  <c r="AV120" i="1"/>
  <c r="AU120" i="1"/>
  <c r="AT120" i="1"/>
  <c r="AS120" i="1"/>
  <c r="BC119" i="1"/>
  <c r="AX119" i="1"/>
  <c r="AV119" i="1"/>
  <c r="AW119" i="1" s="1"/>
  <c r="AT119" i="1"/>
  <c r="AU119" i="1" s="1"/>
  <c r="AS119" i="1"/>
  <c r="BC118" i="1"/>
  <c r="AV118" i="1"/>
  <c r="AT118" i="1"/>
  <c r="AS118" i="1"/>
  <c r="BC117" i="1"/>
  <c r="AV117" i="1"/>
  <c r="AT117" i="1"/>
  <c r="AU117" i="1" s="1"/>
  <c r="AS117" i="1"/>
  <c r="BC116" i="1"/>
  <c r="AV116" i="1"/>
  <c r="AU116" i="1"/>
  <c r="AT116" i="1"/>
  <c r="AS116" i="1"/>
  <c r="BC115" i="1"/>
  <c r="AV115" i="1"/>
  <c r="AT115" i="1"/>
  <c r="AS115" i="1"/>
  <c r="BC114" i="1"/>
  <c r="AW114" i="1"/>
  <c r="AX114" i="1" s="1"/>
  <c r="AV114" i="1"/>
  <c r="AT114" i="1"/>
  <c r="AU114" i="1" s="1"/>
  <c r="AS114" i="1"/>
  <c r="BC113" i="1"/>
  <c r="AW113" i="1"/>
  <c r="AX113" i="1" s="1"/>
  <c r="AV113" i="1"/>
  <c r="AU113" i="1"/>
  <c r="AT113" i="1"/>
  <c r="AS113" i="1"/>
  <c r="BC112" i="1"/>
  <c r="AV112" i="1"/>
  <c r="AT112" i="1"/>
  <c r="AU112" i="1" s="1"/>
  <c r="AS112" i="1"/>
  <c r="BC111" i="1"/>
  <c r="AV111" i="1"/>
  <c r="AW111" i="1" s="1"/>
  <c r="AU111" i="1"/>
  <c r="AT111" i="1"/>
  <c r="AS111" i="1"/>
  <c r="BC110" i="1"/>
  <c r="AW110" i="1"/>
  <c r="AX110" i="1" s="1"/>
  <c r="AV110" i="1"/>
  <c r="AT110" i="1"/>
  <c r="AU110" i="1" s="1"/>
  <c r="AS110" i="1"/>
  <c r="BC109" i="1"/>
  <c r="AW109" i="1"/>
  <c r="AV109" i="1"/>
  <c r="AT109" i="1"/>
  <c r="AS109" i="1"/>
  <c r="BC108" i="1"/>
  <c r="AW108" i="1"/>
  <c r="AV108" i="1"/>
  <c r="AT108" i="1"/>
  <c r="AU108" i="1" s="1"/>
  <c r="AS108" i="1"/>
  <c r="BC107" i="1"/>
  <c r="AV107" i="1"/>
  <c r="AT107" i="1"/>
  <c r="AU107" i="1" s="1"/>
  <c r="AS107" i="1"/>
  <c r="BC106" i="1"/>
  <c r="AW106" i="1"/>
  <c r="AX106" i="1" s="1"/>
  <c r="AV106" i="1"/>
  <c r="AT106" i="1"/>
  <c r="AU106" i="1" s="1"/>
  <c r="AS106" i="1"/>
  <c r="BC105" i="1"/>
  <c r="AV105" i="1"/>
  <c r="AW105" i="1" s="1"/>
  <c r="AX105" i="1" s="1"/>
  <c r="AT105" i="1"/>
  <c r="AS105" i="1"/>
  <c r="BC104" i="1"/>
  <c r="AV104" i="1"/>
  <c r="AU104" i="1"/>
  <c r="AT104" i="1"/>
  <c r="AS104" i="1"/>
  <c r="BC103" i="1"/>
  <c r="AX103" i="1"/>
  <c r="AV103" i="1"/>
  <c r="AW103" i="1" s="1"/>
  <c r="AU103" i="1"/>
  <c r="AT103" i="1"/>
  <c r="AS103" i="1"/>
  <c r="BC102" i="1"/>
  <c r="AV102" i="1"/>
  <c r="AW102" i="1" s="1"/>
  <c r="AX102" i="1" s="1"/>
  <c r="AU102" i="1"/>
  <c r="AT102" i="1"/>
  <c r="AS102" i="1"/>
  <c r="BC101" i="1"/>
  <c r="AW101" i="1"/>
  <c r="AX101" i="1" s="1"/>
  <c r="AV101" i="1"/>
  <c r="AT101" i="1"/>
  <c r="AS101" i="1"/>
  <c r="BC100" i="1"/>
  <c r="AV100" i="1"/>
  <c r="AW100" i="1" s="1"/>
  <c r="AU100" i="1"/>
  <c r="AT100" i="1"/>
  <c r="AS100" i="1"/>
  <c r="BC99" i="1"/>
  <c r="AV99" i="1"/>
  <c r="AW99" i="1" s="1"/>
  <c r="AT99" i="1"/>
  <c r="AU99" i="1" s="1"/>
  <c r="AS99" i="1"/>
  <c r="BC98" i="1"/>
  <c r="AV98" i="1"/>
  <c r="AW98" i="1" s="1"/>
  <c r="AX98" i="1" s="1"/>
  <c r="AT98" i="1"/>
  <c r="AU98" i="1" s="1"/>
  <c r="AS98" i="1"/>
  <c r="BC97" i="1"/>
  <c r="AW97" i="1"/>
  <c r="AV97" i="1"/>
  <c r="AT97" i="1"/>
  <c r="AS97" i="1"/>
  <c r="BC96" i="1"/>
  <c r="AV96" i="1"/>
  <c r="AT96" i="1"/>
  <c r="AS96" i="1"/>
  <c r="BC95" i="1"/>
  <c r="AV95" i="1"/>
  <c r="AT95" i="1"/>
  <c r="AU95" i="1" s="1"/>
  <c r="AS95" i="1"/>
  <c r="BC94" i="1"/>
  <c r="AW94" i="1"/>
  <c r="AX94" i="1" s="1"/>
  <c r="AV94" i="1"/>
  <c r="AT94" i="1"/>
  <c r="AU94" i="1" s="1"/>
  <c r="AS94" i="1"/>
  <c r="BC93" i="1"/>
  <c r="AV93" i="1"/>
  <c r="AU93" i="1"/>
  <c r="AT93" i="1"/>
  <c r="AS93" i="1"/>
  <c r="BC92" i="1"/>
  <c r="AW92" i="1"/>
  <c r="AX92" i="1" s="1"/>
  <c r="AV92" i="1"/>
  <c r="AZ92" i="1" s="1"/>
  <c r="BB92" i="1" s="1"/>
  <c r="AT92" i="1"/>
  <c r="AU92" i="1" s="1"/>
  <c r="AS92" i="1"/>
  <c r="BC91" i="1"/>
  <c r="AV91" i="1"/>
  <c r="AW91" i="1" s="1"/>
  <c r="AT91" i="1"/>
  <c r="AU91" i="1" s="1"/>
  <c r="AS91" i="1"/>
  <c r="BC90" i="1"/>
  <c r="AW90" i="1"/>
  <c r="AV90" i="1"/>
  <c r="AT90" i="1"/>
  <c r="AU90" i="1" s="1"/>
  <c r="AS90" i="1"/>
  <c r="BC89" i="1"/>
  <c r="AV89" i="1"/>
  <c r="AT89" i="1"/>
  <c r="AU89" i="1" s="1"/>
  <c r="AS89" i="1"/>
  <c r="BC88" i="1"/>
  <c r="AV88" i="1"/>
  <c r="AW88" i="1" s="1"/>
  <c r="AT88" i="1"/>
  <c r="AU88" i="1" s="1"/>
  <c r="AS88" i="1"/>
  <c r="BC87" i="1"/>
  <c r="AW87" i="1"/>
  <c r="AX87" i="1" s="1"/>
  <c r="AV87" i="1"/>
  <c r="AT87" i="1"/>
  <c r="AU87" i="1" s="1"/>
  <c r="AS87" i="1"/>
  <c r="BC86" i="1"/>
  <c r="AV86" i="1"/>
  <c r="AT86" i="1"/>
  <c r="AS86" i="1"/>
  <c r="BC85" i="1"/>
  <c r="AV85" i="1"/>
  <c r="AT85" i="1"/>
  <c r="AU85" i="1" s="1"/>
  <c r="AS85" i="1"/>
  <c r="BC84" i="1"/>
  <c r="AV84" i="1"/>
  <c r="AZ84" i="1" s="1"/>
  <c r="BB84" i="1" s="1"/>
  <c r="AU84" i="1"/>
  <c r="AT84" i="1"/>
  <c r="AS84" i="1"/>
  <c r="BC83" i="1"/>
  <c r="AV83" i="1"/>
  <c r="AW83" i="1" s="1"/>
  <c r="AT83" i="1"/>
  <c r="AU83" i="1" s="1"/>
  <c r="AS83" i="1"/>
  <c r="BC82" i="1"/>
  <c r="AV82" i="1"/>
  <c r="AZ82" i="1" s="1"/>
  <c r="BB82" i="1" s="1"/>
  <c r="AT82" i="1"/>
  <c r="AS82" i="1"/>
  <c r="BC81" i="1"/>
  <c r="AW81" i="1"/>
  <c r="AX81" i="1" s="1"/>
  <c r="AV81" i="1"/>
  <c r="AT81" i="1"/>
  <c r="AU81" i="1" s="1"/>
  <c r="AS81" i="1"/>
  <c r="BC80" i="1"/>
  <c r="AV80" i="1"/>
  <c r="AT80" i="1"/>
  <c r="AU80" i="1" s="1"/>
  <c r="AS80" i="1"/>
  <c r="BC79" i="1"/>
  <c r="AV79" i="1"/>
  <c r="AW79" i="1" s="1"/>
  <c r="AX79" i="1" s="1"/>
  <c r="AT79" i="1"/>
  <c r="AU79" i="1" s="1"/>
  <c r="AS79" i="1"/>
  <c r="BC78" i="1"/>
  <c r="AV78" i="1"/>
  <c r="AW78" i="1" s="1"/>
  <c r="AX78" i="1" s="1"/>
  <c r="AT78" i="1"/>
  <c r="AS78" i="1"/>
  <c r="BC77" i="1"/>
  <c r="AV77" i="1"/>
  <c r="AW77" i="1" s="1"/>
  <c r="AX77" i="1" s="1"/>
  <c r="AT77" i="1"/>
  <c r="AU77" i="1" s="1"/>
  <c r="AS77" i="1"/>
  <c r="BC76" i="1"/>
  <c r="AZ76" i="1"/>
  <c r="BB76" i="1" s="1"/>
  <c r="AV76" i="1"/>
  <c r="AW76" i="1" s="1"/>
  <c r="AX76" i="1" s="1"/>
  <c r="AT76" i="1"/>
  <c r="AU76" i="1" s="1"/>
  <c r="AS76" i="1"/>
  <c r="BC75" i="1"/>
  <c r="BB75" i="1"/>
  <c r="AZ75" i="1"/>
  <c r="AV75" i="1"/>
  <c r="AW75" i="1" s="1"/>
  <c r="AT75" i="1"/>
  <c r="AY75" i="1" s="1"/>
  <c r="BA75" i="1" s="1"/>
  <c r="AS75" i="1"/>
  <c r="BC74" i="1"/>
  <c r="AW74" i="1"/>
  <c r="AV74" i="1"/>
  <c r="AT74" i="1"/>
  <c r="AS74" i="1"/>
  <c r="BC73" i="1"/>
  <c r="AV73" i="1"/>
  <c r="AT73" i="1"/>
  <c r="AU73" i="1" s="1"/>
  <c r="AS73" i="1"/>
  <c r="BC72" i="1"/>
  <c r="AV72" i="1"/>
  <c r="AW72" i="1" s="1"/>
  <c r="AT72" i="1"/>
  <c r="AU72" i="1" s="1"/>
  <c r="AS72" i="1"/>
  <c r="BC71" i="1"/>
  <c r="AW71" i="1"/>
  <c r="AV71" i="1"/>
  <c r="AT71" i="1"/>
  <c r="AU71" i="1" s="1"/>
  <c r="AS71" i="1"/>
  <c r="BC70" i="1"/>
  <c r="AV70" i="1"/>
  <c r="AT70" i="1"/>
  <c r="AS70" i="1"/>
  <c r="BC69" i="1"/>
  <c r="AV69" i="1"/>
  <c r="AT69" i="1"/>
  <c r="AS69" i="1"/>
  <c r="BC68" i="1"/>
  <c r="AV68" i="1"/>
  <c r="AW68" i="1" s="1"/>
  <c r="AX68" i="1" s="1"/>
  <c r="AU68" i="1"/>
  <c r="AT68" i="1"/>
  <c r="AS68" i="1"/>
  <c r="BC67" i="1"/>
  <c r="AV67" i="1"/>
  <c r="AW67" i="1" s="1"/>
  <c r="AT67" i="1"/>
  <c r="AS67" i="1"/>
  <c r="BC66" i="1"/>
  <c r="AV66" i="1"/>
  <c r="AT66" i="1"/>
  <c r="AS66" i="1"/>
  <c r="BC65" i="1"/>
  <c r="AW65" i="1"/>
  <c r="AX65" i="1" s="1"/>
  <c r="AV65" i="1"/>
  <c r="AT65" i="1"/>
  <c r="AU65" i="1" s="1"/>
  <c r="AS65" i="1"/>
  <c r="BC64" i="1"/>
  <c r="AV64" i="1"/>
  <c r="AT64" i="1"/>
  <c r="AU64" i="1" s="1"/>
  <c r="AS64" i="1"/>
  <c r="BC63" i="1"/>
  <c r="AV63" i="1"/>
  <c r="AZ63" i="1" s="1"/>
  <c r="BB63" i="1" s="1"/>
  <c r="AT63" i="1"/>
  <c r="AS63" i="1"/>
  <c r="BC62" i="1"/>
  <c r="AW62" i="1"/>
  <c r="AX62" i="1" s="1"/>
  <c r="AV62" i="1"/>
  <c r="AU62" i="1"/>
  <c r="AT62" i="1"/>
  <c r="AS62" i="1"/>
  <c r="BC61" i="1"/>
  <c r="AZ61" i="1"/>
  <c r="BB61" i="1" s="1"/>
  <c r="AV61" i="1"/>
  <c r="AT61" i="1"/>
  <c r="AS61" i="1"/>
  <c r="BC60" i="1"/>
  <c r="AV60" i="1"/>
  <c r="AT60" i="1"/>
  <c r="AU60" i="1" s="1"/>
  <c r="AS60" i="1"/>
  <c r="BC59" i="1"/>
  <c r="AV59" i="1"/>
  <c r="AT59" i="1"/>
  <c r="AU59" i="1" s="1"/>
  <c r="AS59" i="1"/>
  <c r="BC58" i="1"/>
  <c r="AW58" i="1"/>
  <c r="AV58" i="1"/>
  <c r="AT58" i="1"/>
  <c r="AU58" i="1" s="1"/>
  <c r="AS58" i="1"/>
  <c r="BC57" i="1"/>
  <c r="AV57" i="1"/>
  <c r="AT57" i="1"/>
  <c r="AS57" i="1"/>
  <c r="BC56" i="1"/>
  <c r="AW56" i="1"/>
  <c r="AX56" i="1" s="1"/>
  <c r="AV56" i="1"/>
  <c r="AU56" i="1"/>
  <c r="AT56" i="1"/>
  <c r="AS56" i="1"/>
  <c r="BC55" i="1"/>
  <c r="AV55" i="1"/>
  <c r="AT55" i="1"/>
  <c r="AS55" i="1"/>
  <c r="BC54" i="1"/>
  <c r="AW54" i="1"/>
  <c r="AX54" i="1" s="1"/>
  <c r="AV54" i="1"/>
  <c r="AU54" i="1"/>
  <c r="AT54" i="1"/>
  <c r="AS54" i="1"/>
  <c r="BC53" i="1"/>
  <c r="AV53" i="1"/>
  <c r="AW53" i="1" s="1"/>
  <c r="AX53" i="1" s="1"/>
  <c r="AT53" i="1"/>
  <c r="AU53" i="1" s="1"/>
  <c r="AS53" i="1"/>
  <c r="BC52" i="1"/>
  <c r="AV52" i="1"/>
  <c r="AT52" i="1"/>
  <c r="AY52" i="1" s="1"/>
  <c r="BA52" i="1" s="1"/>
  <c r="AS52" i="1"/>
  <c r="BC51" i="1"/>
  <c r="AV51" i="1"/>
  <c r="AT51" i="1"/>
  <c r="AU51" i="1" s="1"/>
  <c r="AS51" i="1"/>
  <c r="BC50" i="1"/>
  <c r="AV50" i="1"/>
  <c r="AW50" i="1" s="1"/>
  <c r="AT50" i="1"/>
  <c r="AU50" i="1" s="1"/>
  <c r="AS50" i="1"/>
  <c r="BC49" i="1"/>
  <c r="AV49" i="1"/>
  <c r="AT49" i="1"/>
  <c r="AS49" i="1"/>
  <c r="BC48" i="1"/>
  <c r="AW48" i="1"/>
  <c r="AX48" i="1" s="1"/>
  <c r="AV48" i="1"/>
  <c r="AT48" i="1"/>
  <c r="AU48" i="1" s="1"/>
  <c r="AS48" i="1"/>
  <c r="BC47" i="1"/>
  <c r="AV47" i="1"/>
  <c r="AT47" i="1"/>
  <c r="AS47" i="1"/>
  <c r="BC46" i="1"/>
  <c r="AV46" i="1"/>
  <c r="AT46" i="1"/>
  <c r="AU46" i="1" s="1"/>
  <c r="AS46" i="1"/>
  <c r="BC45" i="1"/>
  <c r="AV45" i="1"/>
  <c r="AW45" i="1" s="1"/>
  <c r="AX45" i="1" s="1"/>
  <c r="AT45" i="1"/>
  <c r="AU45" i="1" s="1"/>
  <c r="AS45" i="1"/>
  <c r="BC44" i="1"/>
  <c r="AV44" i="1"/>
  <c r="AT44" i="1"/>
  <c r="AS44" i="1"/>
  <c r="BC43" i="1"/>
  <c r="AV43" i="1"/>
  <c r="AT43" i="1"/>
  <c r="AU43" i="1" s="1"/>
  <c r="AS43" i="1"/>
  <c r="BC42" i="1"/>
  <c r="AV42" i="1"/>
  <c r="AW42" i="1" s="1"/>
  <c r="AT42" i="1"/>
  <c r="AU42" i="1" s="1"/>
  <c r="AS42" i="1"/>
  <c r="BC41" i="1"/>
  <c r="AV41" i="1"/>
  <c r="AT41" i="1"/>
  <c r="AS41" i="1"/>
  <c r="BC40" i="1"/>
  <c r="AW40" i="1"/>
  <c r="AX40" i="1" s="1"/>
  <c r="AV40" i="1"/>
  <c r="AT40" i="1"/>
  <c r="AU40" i="1" s="1"/>
  <c r="AS40" i="1"/>
  <c r="BC39" i="1"/>
  <c r="AV39" i="1"/>
  <c r="AT39" i="1"/>
  <c r="AS39" i="1"/>
  <c r="BC38" i="1"/>
  <c r="AV38" i="1"/>
  <c r="AT38" i="1"/>
  <c r="AU38" i="1" s="1"/>
  <c r="AS38" i="1"/>
  <c r="BC37" i="1"/>
  <c r="BA37" i="1"/>
  <c r="AY37" i="1"/>
  <c r="AV37" i="1"/>
  <c r="AW37" i="1" s="1"/>
  <c r="AX37" i="1" s="1"/>
  <c r="AT37" i="1"/>
  <c r="AU37" i="1" s="1"/>
  <c r="AS37" i="1"/>
  <c r="BC36" i="1"/>
  <c r="AV36" i="1"/>
  <c r="AT36" i="1"/>
  <c r="AY36" i="1" s="1"/>
  <c r="BA36" i="1" s="1"/>
  <c r="AS36" i="1"/>
  <c r="BC35" i="1"/>
  <c r="AV35" i="1"/>
  <c r="AT35" i="1"/>
  <c r="AU35" i="1" s="1"/>
  <c r="AS35" i="1"/>
  <c r="BC34" i="1"/>
  <c r="BA34" i="1"/>
  <c r="AY34" i="1"/>
  <c r="AV34" i="1"/>
  <c r="AT34" i="1"/>
  <c r="AU34" i="1" s="1"/>
  <c r="AS34" i="1"/>
  <c r="BC33" i="1"/>
  <c r="AV33" i="1"/>
  <c r="AT33" i="1"/>
  <c r="AY99" i="1" s="1"/>
  <c r="BA99" i="1" s="1"/>
  <c r="AS33" i="1"/>
  <c r="BC32" i="1"/>
  <c r="AW32" i="1"/>
  <c r="AX32" i="1" s="1"/>
  <c r="AV32" i="1"/>
  <c r="AU32" i="1"/>
  <c r="AT32" i="1"/>
  <c r="AS32" i="1"/>
  <c r="BC31" i="1"/>
  <c r="AV31" i="1"/>
  <c r="AT31" i="1"/>
  <c r="AS31" i="1"/>
  <c r="BC30" i="1"/>
  <c r="AW30" i="1"/>
  <c r="AV30" i="1"/>
  <c r="AT30" i="1"/>
  <c r="AU30" i="1" s="1"/>
  <c r="AS30" i="1"/>
  <c r="BC29" i="1"/>
  <c r="AV29" i="1"/>
  <c r="AW29" i="1" s="1"/>
  <c r="AX29" i="1" s="1"/>
  <c r="AT29" i="1"/>
  <c r="AU29" i="1" s="1"/>
  <c r="AS29" i="1"/>
  <c r="BC28" i="1"/>
  <c r="AV28" i="1"/>
  <c r="AZ87" i="1" s="1"/>
  <c r="BB87" i="1" s="1"/>
  <c r="AU28" i="1"/>
  <c r="AT28" i="1"/>
  <c r="AS28" i="1"/>
  <c r="BC27" i="1"/>
  <c r="AV27" i="1"/>
  <c r="AT27" i="1"/>
  <c r="AU27" i="1" s="1"/>
  <c r="AS27" i="1"/>
  <c r="BC26" i="1"/>
  <c r="AY26" i="1"/>
  <c r="BA26" i="1" s="1"/>
  <c r="AV26" i="1"/>
  <c r="AT26" i="1"/>
  <c r="AU26" i="1" s="1"/>
  <c r="AS26" i="1"/>
  <c r="BC25" i="1"/>
  <c r="AV25" i="1"/>
  <c r="AT25" i="1"/>
  <c r="AU25" i="1" s="1"/>
  <c r="AS25" i="1"/>
  <c r="BC24" i="1"/>
  <c r="AW24" i="1"/>
  <c r="AX24" i="1" s="1"/>
  <c r="AV24" i="1"/>
  <c r="AU24" i="1"/>
  <c r="AT24" i="1"/>
  <c r="AS24" i="1"/>
  <c r="BC23" i="1"/>
  <c r="AV23" i="1"/>
  <c r="AT23" i="1"/>
  <c r="AS23" i="1"/>
  <c r="BC22" i="1"/>
  <c r="AV22" i="1"/>
  <c r="AW22" i="1" s="1"/>
  <c r="AU22" i="1"/>
  <c r="AT22" i="1"/>
  <c r="AY22" i="1" s="1"/>
  <c r="BA22" i="1" s="1"/>
  <c r="AS22" i="1"/>
  <c r="BC21" i="1"/>
  <c r="AV21" i="1"/>
  <c r="AW21" i="1" s="1"/>
  <c r="AT21" i="1"/>
  <c r="AU21" i="1" s="1"/>
  <c r="AS21" i="1"/>
  <c r="BC20" i="1"/>
  <c r="AV20" i="1"/>
  <c r="AU20" i="1"/>
  <c r="AT20" i="1"/>
  <c r="AS20" i="1"/>
  <c r="BC19" i="1"/>
  <c r="AW19" i="1"/>
  <c r="AX19" i="1" s="1"/>
  <c r="AV19" i="1"/>
  <c r="AT19" i="1"/>
  <c r="AU19" i="1" s="1"/>
  <c r="AS19" i="1"/>
  <c r="BC18" i="1"/>
  <c r="AW18" i="1"/>
  <c r="AV18" i="1"/>
  <c r="AT18" i="1"/>
  <c r="AU18" i="1" s="1"/>
  <c r="AS18" i="1"/>
  <c r="BC17" i="1"/>
  <c r="AV17" i="1"/>
  <c r="AT17" i="1"/>
  <c r="AS17" i="1"/>
  <c r="BC16" i="1"/>
  <c r="AY16" i="1"/>
  <c r="BA16" i="1" s="1"/>
  <c r="AV16" i="1"/>
  <c r="AW16" i="1" s="1"/>
  <c r="AX16" i="1" s="1"/>
  <c r="AT16" i="1"/>
  <c r="AU16" i="1" s="1"/>
  <c r="AS16" i="1"/>
  <c r="BC15" i="1"/>
  <c r="AZ15" i="1"/>
  <c r="BB15" i="1" s="1"/>
  <c r="AV15" i="1"/>
  <c r="AZ122" i="1" s="1"/>
  <c r="BB122" i="1" s="1"/>
  <c r="AT15" i="1"/>
  <c r="AS15" i="1"/>
  <c r="BC14" i="1"/>
  <c r="AV14" i="1"/>
  <c r="AU14" i="1"/>
  <c r="AT14" i="1"/>
  <c r="AY14" i="1" s="1"/>
  <c r="BA14" i="1" s="1"/>
  <c r="AS14" i="1"/>
  <c r="BC13" i="1"/>
  <c r="AV13" i="1"/>
  <c r="AW13" i="1" s="1"/>
  <c r="AT13" i="1"/>
  <c r="AU13" i="1" s="1"/>
  <c r="AS13" i="1"/>
  <c r="BC12" i="1"/>
  <c r="AV12" i="1"/>
  <c r="AU12" i="1"/>
  <c r="AT12" i="1"/>
  <c r="AS12" i="1"/>
  <c r="BC11" i="1"/>
  <c r="AY11" i="1"/>
  <c r="BA11" i="1" s="1"/>
  <c r="AV11" i="1"/>
  <c r="AT11" i="1"/>
  <c r="AS11" i="1"/>
  <c r="BC10" i="1"/>
  <c r="AW10" i="1"/>
  <c r="AV10" i="1"/>
  <c r="AT10" i="1"/>
  <c r="AU10" i="1" s="1"/>
  <c r="AS10" i="1"/>
  <c r="BC9" i="1"/>
  <c r="AV9" i="1"/>
  <c r="AT9" i="1"/>
  <c r="AU9" i="1" s="1"/>
  <c r="AS9" i="1"/>
  <c r="BC8" i="1"/>
  <c r="AY8" i="1"/>
  <c r="BA8" i="1" s="1"/>
  <c r="AV8" i="1"/>
  <c r="AZ8" i="1" s="1"/>
  <c r="BB8" i="1" s="1"/>
  <c r="AT8" i="1"/>
  <c r="AY58" i="1" s="1"/>
  <c r="BA58" i="1" s="1"/>
  <c r="AS8" i="1"/>
  <c r="BC7" i="1"/>
  <c r="AZ7" i="1"/>
  <c r="BB7" i="1" s="1"/>
  <c r="AV7" i="1"/>
  <c r="AT7" i="1"/>
  <c r="AS7" i="1"/>
  <c r="BC6" i="1"/>
  <c r="AY6" i="1"/>
  <c r="BA6" i="1" s="1"/>
  <c r="AW6" i="1"/>
  <c r="AV6" i="1"/>
  <c r="AU6" i="1"/>
  <c r="AT6" i="1"/>
  <c r="AS6" i="1"/>
  <c r="BC5" i="1"/>
  <c r="AY5" i="1"/>
  <c r="BA5" i="1" s="1"/>
  <c r="AV5" i="1"/>
  <c r="AT5" i="1"/>
  <c r="AU5" i="1" s="1"/>
  <c r="AS5" i="1"/>
  <c r="AZ65" i="1" l="1"/>
  <c r="BB65" i="1" s="1"/>
  <c r="AX10" i="1"/>
  <c r="AX18" i="1"/>
  <c r="AZ23" i="1"/>
  <c r="BB23" i="1" s="1"/>
  <c r="AZ53" i="1"/>
  <c r="BB53" i="1" s="1"/>
  <c r="AX58" i="1"/>
  <c r="AY70" i="1"/>
  <c r="BA70" i="1" s="1"/>
  <c r="AX71" i="1"/>
  <c r="AY76" i="1"/>
  <c r="BA76" i="1" s="1"/>
  <c r="AX189" i="1"/>
  <c r="AW240" i="1"/>
  <c r="AX240" i="1"/>
  <c r="AX307" i="1"/>
  <c r="AW307" i="1"/>
  <c r="AX365" i="1"/>
  <c r="AW365" i="1"/>
  <c r="AX457" i="1"/>
  <c r="AW457" i="1"/>
  <c r="AX542" i="1"/>
  <c r="AW542" i="1"/>
  <c r="AX633" i="1"/>
  <c r="AW633" i="1"/>
  <c r="AW228" i="1"/>
  <c r="AX228" i="1"/>
  <c r="AX285" i="1"/>
  <c r="AW285" i="1"/>
  <c r="AX339" i="1"/>
  <c r="AW339" i="1"/>
  <c r="AX389" i="1"/>
  <c r="AW389" i="1"/>
  <c r="AX493" i="1"/>
  <c r="AW493" i="1"/>
  <c r="AX816" i="1"/>
  <c r="AW816" i="1"/>
  <c r="AX977" i="1"/>
  <c r="AW977" i="1"/>
  <c r="AZ5" i="1"/>
  <c r="BB5" i="1" s="1"/>
  <c r="AY10" i="1"/>
  <c r="BA10" i="1" s="1"/>
  <c r="AX21" i="1"/>
  <c r="AU52" i="1"/>
  <c r="AW70" i="1"/>
  <c r="AX70" i="1" s="1"/>
  <c r="AY78" i="1"/>
  <c r="BA78" i="1" s="1"/>
  <c r="AZ79" i="1"/>
  <c r="BB79" i="1" s="1"/>
  <c r="AW86" i="1"/>
  <c r="AX86" i="1" s="1"/>
  <c r="AZ93" i="1"/>
  <c r="BB93" i="1" s="1"/>
  <c r="AX111" i="1"/>
  <c r="AW117" i="1"/>
  <c r="AX117" i="1" s="1"/>
  <c r="AX355" i="1"/>
  <c r="AW355" i="1"/>
  <c r="AX651" i="1"/>
  <c r="AW651" i="1"/>
  <c r="AX323" i="1"/>
  <c r="AW323" i="1"/>
  <c r="AX746" i="1"/>
  <c r="AW746" i="1"/>
  <c r="AW833" i="1"/>
  <c r="AX833" i="1"/>
  <c r="AX859" i="1"/>
  <c r="AW859" i="1"/>
  <c r="AX957" i="1"/>
  <c r="AW957" i="1"/>
  <c r="AY116" i="1"/>
  <c r="BA116" i="1" s="1"/>
  <c r="AZ68" i="1"/>
  <c r="BB68" i="1" s="1"/>
  <c r="AY18" i="1"/>
  <c r="BA18" i="1" s="1"/>
  <c r="AU36" i="1"/>
  <c r="AY44" i="1"/>
  <c r="BA44" i="1" s="1"/>
  <c r="AU8" i="1"/>
  <c r="AZ10" i="1"/>
  <c r="BB10" i="1" s="1"/>
  <c r="AY56" i="1"/>
  <c r="BA56" i="1" s="1"/>
  <c r="AX13" i="1"/>
  <c r="AW14" i="1"/>
  <c r="AY48" i="1"/>
  <c r="BA48" i="1" s="1"/>
  <c r="AY21" i="1"/>
  <c r="BA21" i="1" s="1"/>
  <c r="AZ30" i="1"/>
  <c r="BB30" i="1" s="1"/>
  <c r="AY42" i="1"/>
  <c r="BA42" i="1" s="1"/>
  <c r="AU44" i="1"/>
  <c r="AZ52" i="1"/>
  <c r="BB52" i="1" s="1"/>
  <c r="AZ60" i="1"/>
  <c r="BB60" i="1" s="1"/>
  <c r="AZ73" i="1"/>
  <c r="BB73" i="1" s="1"/>
  <c r="AU78" i="1"/>
  <c r="AW93" i="1"/>
  <c r="AZ111" i="1"/>
  <c r="BB111" i="1" s="1"/>
  <c r="AW122" i="1"/>
  <c r="AX122" i="1" s="1"/>
  <c r="AX143" i="1"/>
  <c r="AW247" i="1"/>
  <c r="AX301" i="1"/>
  <c r="AW301" i="1"/>
  <c r="AX418" i="1"/>
  <c r="AW418" i="1"/>
  <c r="AX552" i="1"/>
  <c r="AW552" i="1"/>
  <c r="AX592" i="1"/>
  <c r="AW592" i="1"/>
  <c r="AY125" i="1"/>
  <c r="BA125" i="1" s="1"/>
  <c r="AX222" i="1"/>
  <c r="AW222" i="1"/>
  <c r="AX275" i="1"/>
  <c r="AW275" i="1"/>
  <c r="AX431" i="1"/>
  <c r="AW431" i="1"/>
  <c r="AX461" i="1"/>
  <c r="AW461" i="1"/>
  <c r="AX477" i="1"/>
  <c r="AW477" i="1"/>
  <c r="AX577" i="1"/>
  <c r="AW577" i="1"/>
  <c r="AX605" i="1"/>
  <c r="AW605" i="1"/>
  <c r="AX42" i="1"/>
  <c r="AX50" i="1"/>
  <c r="AY117" i="1"/>
  <c r="BA117" i="1" s="1"/>
  <c r="AZ78" i="1"/>
  <c r="BB78" i="1" s="1"/>
  <c r="AW8" i="1"/>
  <c r="AX8" i="1" s="1"/>
  <c r="AZ12" i="1"/>
  <c r="BB12" i="1" s="1"/>
  <c r="AZ13" i="1"/>
  <c r="BB13" i="1" s="1"/>
  <c r="AU75" i="1"/>
  <c r="AZ97" i="1"/>
  <c r="BB97" i="1" s="1"/>
  <c r="AY103" i="1"/>
  <c r="BA103" i="1" s="1"/>
  <c r="AW234" i="1"/>
  <c r="AX235" i="1"/>
  <c r="AW235" i="1"/>
  <c r="AX317" i="1"/>
  <c r="AW317" i="1"/>
  <c r="AX333" i="1"/>
  <c r="AW333" i="1"/>
  <c r="AX349" i="1"/>
  <c r="AW349" i="1"/>
  <c r="AX386" i="1"/>
  <c r="AW386" i="1"/>
  <c r="AX617" i="1"/>
  <c r="AW617" i="1"/>
  <c r="AW640" i="1"/>
  <c r="AX640" i="1"/>
  <c r="AX642" i="1"/>
  <c r="AW642" i="1"/>
  <c r="AZ31" i="1"/>
  <c r="BB31" i="1" s="1"/>
  <c r="AZ46" i="1"/>
  <c r="BB46" i="1" s="1"/>
  <c r="AY84" i="1"/>
  <c r="BA84" i="1" s="1"/>
  <c r="AY74" i="1"/>
  <c r="BA74" i="1" s="1"/>
  <c r="AX291" i="1"/>
  <c r="AW291" i="1"/>
  <c r="AX371" i="1"/>
  <c r="AW371" i="1"/>
  <c r="AX513" i="1"/>
  <c r="AW513" i="1"/>
  <c r="AX533" i="1"/>
  <c r="AW533" i="1"/>
  <c r="AX572" i="1"/>
  <c r="AW572" i="1"/>
  <c r="AX186" i="1"/>
  <c r="AY13" i="1"/>
  <c r="BA13" i="1" s="1"/>
  <c r="AZ21" i="1"/>
  <c r="BB21" i="1" s="1"/>
  <c r="AZ44" i="1"/>
  <c r="BB44" i="1" s="1"/>
  <c r="AY92" i="1"/>
  <c r="BA92" i="1" s="1"/>
  <c r="AY29" i="1"/>
  <c r="BA29" i="1" s="1"/>
  <c r="AX34" i="1"/>
  <c r="AY35" i="1"/>
  <c r="BA35" i="1" s="1"/>
  <c r="AZ38" i="1"/>
  <c r="BB38" i="1" s="1"/>
  <c r="AZ18" i="1"/>
  <c r="BB18" i="1" s="1"/>
  <c r="AZ19" i="1"/>
  <c r="BB19" i="1" s="1"/>
  <c r="AY163" i="1"/>
  <c r="BA163" i="1" s="1"/>
  <c r="AW26" i="1"/>
  <c r="AX26" i="1" s="1"/>
  <c r="AW34" i="1"/>
  <c r="AW38" i="1"/>
  <c r="AX38" i="1" s="1"/>
  <c r="AW46" i="1"/>
  <c r="AX46" i="1" s="1"/>
  <c r="AZ83" i="1"/>
  <c r="BB83" i="1" s="1"/>
  <c r="AY71" i="1"/>
  <c r="BA71" i="1" s="1"/>
  <c r="AU74" i="1"/>
  <c r="AX75" i="1"/>
  <c r="AY80" i="1"/>
  <c r="BA80" i="1" s="1"/>
  <c r="AX91" i="1"/>
  <c r="AW133" i="1"/>
  <c r="AX133" i="1" s="1"/>
  <c r="AX151" i="1"/>
  <c r="AX269" i="1"/>
  <c r="AW269" i="1"/>
  <c r="AX508" i="1"/>
  <c r="AW508" i="1"/>
  <c r="AX670" i="1"/>
  <c r="AW670" i="1"/>
  <c r="AX804" i="1"/>
  <c r="AW804" i="1"/>
  <c r="AW890" i="1"/>
  <c r="AX890" i="1"/>
  <c r="AX929" i="1"/>
  <c r="AW929" i="1"/>
  <c r="AX652" i="1"/>
  <c r="AW652" i="1"/>
  <c r="AX676" i="1"/>
  <c r="AW676" i="1"/>
  <c r="AW729" i="1"/>
  <c r="AX729" i="1"/>
  <c r="AW781" i="1"/>
  <c r="AX781" i="1"/>
  <c r="AX870" i="1"/>
  <c r="AW870" i="1"/>
  <c r="AX1053" i="1"/>
  <c r="AW1053" i="1"/>
  <c r="AX200" i="1"/>
  <c r="AW217" i="1"/>
  <c r="AX252" i="1"/>
  <c r="AX598" i="1"/>
  <c r="AW612" i="1"/>
  <c r="AW624" i="1"/>
  <c r="AX688" i="1"/>
  <c r="AW688" i="1"/>
  <c r="AX875" i="1"/>
  <c r="AW875" i="1"/>
  <c r="AX993" i="1"/>
  <c r="AW993" i="1"/>
  <c r="AX658" i="1"/>
  <c r="AW658" i="1"/>
  <c r="AX734" i="1"/>
  <c r="AW734" i="1"/>
  <c r="AX810" i="1"/>
  <c r="AW810" i="1"/>
  <c r="AX933" i="1"/>
  <c r="AW933" i="1"/>
  <c r="AX205" i="1"/>
  <c r="AW231" i="1"/>
  <c r="AX236" i="1"/>
  <c r="AW243" i="1"/>
  <c r="AW255" i="1"/>
  <c r="AX260" i="1"/>
  <c r="AW383" i="1"/>
  <c r="AW387" i="1"/>
  <c r="AW396" i="1"/>
  <c r="AW415" i="1"/>
  <c r="AX419" i="1"/>
  <c r="AW423" i="1"/>
  <c r="AW438" i="1"/>
  <c r="AW449" i="1"/>
  <c r="AX458" i="1"/>
  <c r="AW462" i="1"/>
  <c r="AW473" i="1"/>
  <c r="AW478" i="1"/>
  <c r="AW484" i="1"/>
  <c r="AW489" i="1"/>
  <c r="AW494" i="1"/>
  <c r="AW505" i="1"/>
  <c r="AW525" i="1"/>
  <c r="AW534" i="1"/>
  <c r="AW544" i="1"/>
  <c r="AW564" i="1"/>
  <c r="AW569" i="1"/>
  <c r="AW589" i="1"/>
  <c r="AW600" i="1"/>
  <c r="AX606" i="1"/>
  <c r="AX620" i="1"/>
  <c r="AW620" i="1"/>
  <c r="AX740" i="1"/>
  <c r="AW740" i="1"/>
  <c r="AW793" i="1"/>
  <c r="AX793" i="1"/>
  <c r="AX879" i="1"/>
  <c r="AW879" i="1"/>
  <c r="AX903" i="1"/>
  <c r="AW903" i="1"/>
  <c r="AW908" i="1"/>
  <c r="AX908" i="1"/>
  <c r="AX608" i="1"/>
  <c r="AW608" i="1"/>
  <c r="AW628" i="1"/>
  <c r="AX637" i="1"/>
  <c r="AX645" i="1"/>
  <c r="AW645" i="1"/>
  <c r="AW646" i="1"/>
  <c r="AX646" i="1"/>
  <c r="AX664" i="1"/>
  <c r="AW664" i="1"/>
  <c r="AX682" i="1"/>
  <c r="AW682" i="1"/>
  <c r="AX752" i="1"/>
  <c r="AW752" i="1"/>
  <c r="AX982" i="1"/>
  <c r="AW982" i="1"/>
  <c r="AW1010" i="1"/>
  <c r="AX1010" i="1"/>
  <c r="AW1026" i="1"/>
  <c r="AX1026" i="1"/>
  <c r="AX648" i="1"/>
  <c r="AW648" i="1"/>
  <c r="AW717" i="1"/>
  <c r="AX717" i="1"/>
  <c r="AX798" i="1"/>
  <c r="AW798" i="1"/>
  <c r="AX913" i="1"/>
  <c r="AW913" i="1"/>
  <c r="AW987" i="1"/>
  <c r="AX987" i="1"/>
  <c r="AX738" i="1"/>
  <c r="AX802" i="1"/>
  <c r="AX841" i="1"/>
  <c r="AX858" i="1"/>
  <c r="AX862" i="1"/>
  <c r="AX874" i="1"/>
  <c r="AX878" i="1"/>
  <c r="AX883" i="1"/>
  <c r="AW893" i="1"/>
  <c r="AX902" i="1"/>
  <c r="AX907" i="1"/>
  <c r="AW911" i="1"/>
  <c r="AW917" i="1"/>
  <c r="AW927" i="1"/>
  <c r="AX932" i="1"/>
  <c r="AW937" i="1"/>
  <c r="AW941" i="1"/>
  <c r="AW961" i="1"/>
  <c r="AW975" i="1"/>
  <c r="AX986" i="1"/>
  <c r="AW997" i="1"/>
  <c r="AX1003" i="1"/>
  <c r="AW1007" i="1"/>
  <c r="AX1013" i="1"/>
  <c r="AX1019" i="1"/>
  <c r="AW1023" i="1"/>
  <c r="AX1029" i="1"/>
  <c r="AX1035" i="1"/>
  <c r="AW1041" i="1"/>
  <c r="AW1057" i="1"/>
  <c r="AW1069" i="1"/>
  <c r="AW1005" i="1"/>
  <c r="AW1021" i="1"/>
  <c r="AW1037" i="1"/>
  <c r="AX1043" i="1"/>
  <c r="AW1047" i="1"/>
  <c r="AX1059" i="1"/>
  <c r="AW1063" i="1"/>
  <c r="AW654" i="1"/>
  <c r="AW666" i="1"/>
  <c r="AW672" i="1"/>
  <c r="AX701" i="1"/>
  <c r="AX713" i="1"/>
  <c r="AW718" i="1"/>
  <c r="AW724" i="1"/>
  <c r="AW730" i="1"/>
  <c r="AW736" i="1"/>
  <c r="AX765" i="1"/>
  <c r="AX777" i="1"/>
  <c r="AW782" i="1"/>
  <c r="AW788" i="1"/>
  <c r="AW794" i="1"/>
  <c r="AW800" i="1"/>
  <c r="AW834" i="1"/>
  <c r="AW843" i="1"/>
  <c r="AW853" i="1"/>
  <c r="AW881" i="1"/>
  <c r="AW886" i="1"/>
  <c r="AW891" i="1"/>
  <c r="AW895" i="1"/>
  <c r="AX900" i="1"/>
  <c r="AW905" i="1"/>
  <c r="AW909" i="1"/>
  <c r="AW915" i="1"/>
  <c r="AW919" i="1"/>
  <c r="AW925" i="1"/>
  <c r="AW943" i="1"/>
  <c r="AX954" i="1"/>
  <c r="AW973" i="1"/>
  <c r="AW999" i="1"/>
  <c r="AX1011" i="1"/>
  <c r="AW1015" i="1"/>
  <c r="AW1049" i="1"/>
  <c r="AW1065" i="1"/>
  <c r="AX649" i="1"/>
  <c r="AX655" i="1"/>
  <c r="AX659" i="1"/>
  <c r="AX673" i="1"/>
  <c r="AW678" i="1"/>
  <c r="AW684" i="1"/>
  <c r="AW696" i="1"/>
  <c r="AX725" i="1"/>
  <c r="AX737" i="1"/>
  <c r="AW742" i="1"/>
  <c r="AW748" i="1"/>
  <c r="AW760" i="1"/>
  <c r="AX789" i="1"/>
  <c r="AX801" i="1"/>
  <c r="AW806" i="1"/>
  <c r="AW812" i="1"/>
  <c r="AX824" i="1"/>
  <c r="AW829" i="1"/>
  <c r="AX840" i="1"/>
  <c r="AW871" i="1"/>
  <c r="AX882" i="1"/>
  <c r="AX906" i="1"/>
  <c r="AW949" i="1"/>
  <c r="AW969" i="1"/>
  <c r="AW983" i="1"/>
  <c r="AW989" i="1"/>
  <c r="AX995" i="1"/>
  <c r="AW1001" i="1"/>
  <c r="AW1017" i="1"/>
  <c r="AW1045" i="1"/>
  <c r="AW1061" i="1"/>
  <c r="AX656" i="1"/>
  <c r="AW660" i="1"/>
  <c r="AW668" i="1"/>
  <c r="AW680" i="1"/>
  <c r="AX709" i="1"/>
  <c r="AX721" i="1"/>
  <c r="AW726" i="1"/>
  <c r="AW732" i="1"/>
  <c r="AW744" i="1"/>
  <c r="AX773" i="1"/>
  <c r="AX785" i="1"/>
  <c r="AW790" i="1"/>
  <c r="AW796" i="1"/>
  <c r="AW808" i="1"/>
  <c r="AW825" i="1"/>
  <c r="AW845" i="1"/>
  <c r="AW873" i="1"/>
  <c r="AW887" i="1"/>
  <c r="AX898" i="1"/>
  <c r="AX946" i="1"/>
  <c r="AW965" i="1"/>
  <c r="AW985" i="1"/>
  <c r="AW1039" i="1"/>
  <c r="AX1051" i="1"/>
  <c r="AW1055" i="1"/>
  <c r="AX1067" i="1"/>
  <c r="AY7" i="1"/>
  <c r="BA7" i="1" s="1"/>
  <c r="AY43" i="1"/>
  <c r="BA43" i="1" s="1"/>
  <c r="AU7" i="1"/>
  <c r="AY27" i="1"/>
  <c r="BA27" i="1" s="1"/>
  <c r="AY19" i="1"/>
  <c r="BA19" i="1" s="1"/>
  <c r="AY203" i="1"/>
  <c r="BA203" i="1" s="1"/>
  <c r="AY168" i="1"/>
  <c r="BA168" i="1" s="1"/>
  <c r="AY167" i="1"/>
  <c r="BA167" i="1" s="1"/>
  <c r="AY9" i="1"/>
  <c r="BA9" i="1" s="1"/>
  <c r="AY120" i="1"/>
  <c r="BA120" i="1" s="1"/>
  <c r="AY54" i="1"/>
  <c r="BA54" i="1" s="1"/>
  <c r="AW11" i="1"/>
  <c r="AX11" i="1" s="1"/>
  <c r="AY32" i="1"/>
  <c r="BA32" i="1" s="1"/>
  <c r="AZ35" i="1"/>
  <c r="BB35" i="1" s="1"/>
  <c r="AW35" i="1"/>
  <c r="AX35" i="1" s="1"/>
  <c r="AZ45" i="1"/>
  <c r="BB45" i="1" s="1"/>
  <c r="AZ69" i="1"/>
  <c r="BB69" i="1" s="1"/>
  <c r="AX96" i="1"/>
  <c r="AZ96" i="1"/>
  <c r="BB96" i="1" s="1"/>
  <c r="AW96" i="1"/>
  <c r="AZ169" i="1"/>
  <c r="BB169" i="1" s="1"/>
  <c r="AW169" i="1"/>
  <c r="AX169" i="1" s="1"/>
  <c r="AX428" i="1"/>
  <c r="AW428" i="1"/>
  <c r="AZ202" i="1"/>
  <c r="BB202" i="1" s="1"/>
  <c r="AZ138" i="1"/>
  <c r="BB138" i="1" s="1"/>
  <c r="AZ119" i="1"/>
  <c r="BB119" i="1" s="1"/>
  <c r="AZ167" i="1"/>
  <c r="BB167" i="1" s="1"/>
  <c r="AZ9" i="1"/>
  <c r="BB9" i="1" s="1"/>
  <c r="AW9" i="1"/>
  <c r="AX9" i="1" s="1"/>
  <c r="AZ16" i="1"/>
  <c r="BB16" i="1" s="1"/>
  <c r="AZ165" i="1"/>
  <c r="BB165" i="1" s="1"/>
  <c r="AY176" i="1"/>
  <c r="BA176" i="1" s="1"/>
  <c r="AY178" i="1"/>
  <c r="BA178" i="1" s="1"/>
  <c r="AY175" i="1"/>
  <c r="BA175" i="1" s="1"/>
  <c r="AY139" i="1"/>
  <c r="BA139" i="1" s="1"/>
  <c r="AY15" i="1"/>
  <c r="BA15" i="1" s="1"/>
  <c r="AU15" i="1"/>
  <c r="AY30" i="1"/>
  <c r="BA30" i="1" s="1"/>
  <c r="AY38" i="1"/>
  <c r="BA38" i="1" s="1"/>
  <c r="AY122" i="1"/>
  <c r="BA122" i="1" s="1"/>
  <c r="AY59" i="1"/>
  <c r="BA59" i="1" s="1"/>
  <c r="AU17" i="1"/>
  <c r="AY23" i="1"/>
  <c r="BA23" i="1" s="1"/>
  <c r="AU23" i="1"/>
  <c r="AZ66" i="1"/>
  <c r="BB66" i="1" s="1"/>
  <c r="AW66" i="1"/>
  <c r="AX66" i="1" s="1"/>
  <c r="AZ81" i="1"/>
  <c r="BB81" i="1" s="1"/>
  <c r="AY118" i="1"/>
  <c r="BA118" i="1" s="1"/>
  <c r="AU118" i="1"/>
  <c r="AX543" i="1"/>
  <c r="AW543" i="1"/>
  <c r="AZ197" i="1"/>
  <c r="BB197" i="1" s="1"/>
  <c r="AZ157" i="1"/>
  <c r="BB157" i="1" s="1"/>
  <c r="AZ117" i="1"/>
  <c r="BB117" i="1" s="1"/>
  <c r="AZ102" i="1"/>
  <c r="BB102" i="1" s="1"/>
  <c r="AX6" i="1"/>
  <c r="AZ6" i="1"/>
  <c r="BB6" i="1" s="1"/>
  <c r="AZ101" i="1"/>
  <c r="BB101" i="1" s="1"/>
  <c r="AZ121" i="1"/>
  <c r="BB121" i="1" s="1"/>
  <c r="AZ56" i="1"/>
  <c r="BB56" i="1" s="1"/>
  <c r="AZ64" i="1"/>
  <c r="BB64" i="1" s="1"/>
  <c r="AZ50" i="1"/>
  <c r="BB50" i="1" s="1"/>
  <c r="AZ208" i="1"/>
  <c r="BB208" i="1" s="1"/>
  <c r="AZ181" i="1"/>
  <c r="BB181" i="1" s="1"/>
  <c r="AZ86" i="1"/>
  <c r="BB86" i="1" s="1"/>
  <c r="AZ17" i="1"/>
  <c r="BB17" i="1" s="1"/>
  <c r="AZ141" i="1"/>
  <c r="BB141" i="1" s="1"/>
  <c r="AZ24" i="1"/>
  <c r="BB24" i="1" s="1"/>
  <c r="AZ40" i="1"/>
  <c r="BB40" i="1" s="1"/>
  <c r="AW17" i="1"/>
  <c r="AX17" i="1" s="1"/>
  <c r="AZ124" i="1"/>
  <c r="BB124" i="1" s="1"/>
  <c r="AZ48" i="1"/>
  <c r="BB48" i="1" s="1"/>
  <c r="AZ205" i="1"/>
  <c r="BB205" i="1" s="1"/>
  <c r="AZ173" i="1"/>
  <c r="BB173" i="1" s="1"/>
  <c r="AZ172" i="1"/>
  <c r="BB172" i="1" s="1"/>
  <c r="AZ170" i="1"/>
  <c r="BB170" i="1" s="1"/>
  <c r="AZ25" i="1"/>
  <c r="BB25" i="1" s="1"/>
  <c r="AZ32" i="1"/>
  <c r="BB32" i="1" s="1"/>
  <c r="AW25" i="1"/>
  <c r="AX25" i="1" s="1"/>
  <c r="AZ113" i="1"/>
  <c r="BB113" i="1" s="1"/>
  <c r="AZ88" i="1"/>
  <c r="BB88" i="1" s="1"/>
  <c r="AY33" i="1"/>
  <c r="BA33" i="1" s="1"/>
  <c r="AU33" i="1"/>
  <c r="AZ39" i="1"/>
  <c r="BB39" i="1" s="1"/>
  <c r="AY40" i="1"/>
  <c r="BA40" i="1" s="1"/>
  <c r="AZ43" i="1"/>
  <c r="BB43" i="1" s="1"/>
  <c r="AW43" i="1"/>
  <c r="AX43" i="1" s="1"/>
  <c r="AZ47" i="1"/>
  <c r="BB47" i="1" s="1"/>
  <c r="AZ51" i="1"/>
  <c r="BB51" i="1" s="1"/>
  <c r="AW51" i="1"/>
  <c r="AX51" i="1" s="1"/>
  <c r="AZ55" i="1"/>
  <c r="BB55" i="1" s="1"/>
  <c r="AZ59" i="1"/>
  <c r="BB59" i="1" s="1"/>
  <c r="AW59" i="1"/>
  <c r="AX59" i="1" s="1"/>
  <c r="AZ95" i="1"/>
  <c r="BB95" i="1" s="1"/>
  <c r="AU97" i="1"/>
  <c r="AY97" i="1"/>
  <c r="BA97" i="1" s="1"/>
  <c r="AZ112" i="1"/>
  <c r="BB112" i="1" s="1"/>
  <c r="AY165" i="1"/>
  <c r="BA165" i="1" s="1"/>
  <c r="AY47" i="1"/>
  <c r="BA47" i="1" s="1"/>
  <c r="AU47" i="1"/>
  <c r="AY63" i="1"/>
  <c r="BA63" i="1" s="1"/>
  <c r="AU63" i="1"/>
  <c r="AX763" i="1"/>
  <c r="AW763" i="1"/>
  <c r="AX992" i="1"/>
  <c r="AW992" i="1"/>
  <c r="AZ33" i="1"/>
  <c r="BB33" i="1" s="1"/>
  <c r="AW33" i="1"/>
  <c r="AX33" i="1" s="1"/>
  <c r="AY87" i="1"/>
  <c r="BA87" i="1" s="1"/>
  <c r="AZ91" i="1"/>
  <c r="BB91" i="1" s="1"/>
  <c r="AY112" i="1"/>
  <c r="BA112" i="1" s="1"/>
  <c r="AZ115" i="1"/>
  <c r="BB115" i="1" s="1"/>
  <c r="AW115" i="1"/>
  <c r="AX115" i="1" s="1"/>
  <c r="AZ196" i="1"/>
  <c r="BB196" i="1" s="1"/>
  <c r="AY55" i="1"/>
  <c r="BA55" i="1" s="1"/>
  <c r="AU55" i="1"/>
  <c r="AX599" i="1"/>
  <c r="AW599" i="1"/>
  <c r="AY64" i="1"/>
  <c r="BA64" i="1" s="1"/>
  <c r="AY12" i="1"/>
  <c r="BA12" i="1" s="1"/>
  <c r="AZ70" i="1"/>
  <c r="BB70" i="1" s="1"/>
  <c r="AX14" i="1"/>
  <c r="AZ14" i="1"/>
  <c r="BB14" i="1" s="1"/>
  <c r="AZ58" i="1"/>
  <c r="BB58" i="1" s="1"/>
  <c r="AY20" i="1"/>
  <c r="BA20" i="1" s="1"/>
  <c r="AZ200" i="1"/>
  <c r="BB200" i="1" s="1"/>
  <c r="AZ164" i="1"/>
  <c r="BB164" i="1" s="1"/>
  <c r="AZ162" i="1"/>
  <c r="BB162" i="1" s="1"/>
  <c r="AZ135" i="1"/>
  <c r="BB135" i="1" s="1"/>
  <c r="AZ103" i="1"/>
  <c r="BB103" i="1" s="1"/>
  <c r="AX22" i="1"/>
  <c r="AZ22" i="1"/>
  <c r="BB22" i="1" s="1"/>
  <c r="AZ104" i="1"/>
  <c r="BB104" i="1" s="1"/>
  <c r="AZ71" i="1"/>
  <c r="BB71" i="1" s="1"/>
  <c r="AZ29" i="1"/>
  <c r="BB29" i="1" s="1"/>
  <c r="AZ54" i="1"/>
  <c r="BB54" i="1" s="1"/>
  <c r="AZ62" i="1"/>
  <c r="BB62" i="1" s="1"/>
  <c r="AY67" i="1"/>
  <c r="BA67" i="1" s="1"/>
  <c r="AU67" i="1"/>
  <c r="AZ72" i="1"/>
  <c r="BB72" i="1" s="1"/>
  <c r="AZ80" i="1"/>
  <c r="BB80" i="1" s="1"/>
  <c r="AW107" i="1"/>
  <c r="AX107" i="1" s="1"/>
  <c r="AZ107" i="1"/>
  <c r="BB107" i="1" s="1"/>
  <c r="AY179" i="1"/>
  <c r="BA179" i="1" s="1"/>
  <c r="AY208" i="1"/>
  <c r="BA208" i="1" s="1"/>
  <c r="AY90" i="1"/>
  <c r="BA90" i="1" s="1"/>
  <c r="AY181" i="1"/>
  <c r="BA181" i="1" s="1"/>
  <c r="AY141" i="1"/>
  <c r="BA141" i="1" s="1"/>
  <c r="AY123" i="1"/>
  <c r="BA123" i="1" s="1"/>
  <c r="AY17" i="1"/>
  <c r="BA17" i="1" s="1"/>
  <c r="AY91" i="1"/>
  <c r="BA91" i="1" s="1"/>
  <c r="AY72" i="1"/>
  <c r="BA72" i="1" s="1"/>
  <c r="AY205" i="1"/>
  <c r="BA205" i="1" s="1"/>
  <c r="AY171" i="1"/>
  <c r="BA171" i="1" s="1"/>
  <c r="AY173" i="1"/>
  <c r="BA173" i="1" s="1"/>
  <c r="AY108" i="1"/>
  <c r="BA108" i="1" s="1"/>
  <c r="AY25" i="1"/>
  <c r="BA25" i="1" s="1"/>
  <c r="AY62" i="1"/>
  <c r="BA62" i="1" s="1"/>
  <c r="AY88" i="1"/>
  <c r="BA88" i="1" s="1"/>
  <c r="AY73" i="1"/>
  <c r="BA73" i="1" s="1"/>
  <c r="AY39" i="1"/>
  <c r="BA39" i="1" s="1"/>
  <c r="AU39" i="1"/>
  <c r="AY24" i="1"/>
  <c r="BA24" i="1" s="1"/>
  <c r="AY31" i="1"/>
  <c r="BA31" i="1" s="1"/>
  <c r="AU31" i="1"/>
  <c r="AY41" i="1"/>
  <c r="BA41" i="1" s="1"/>
  <c r="AU41" i="1"/>
  <c r="AY49" i="1"/>
  <c r="BA49" i="1" s="1"/>
  <c r="AU49" i="1"/>
  <c r="AY50" i="1"/>
  <c r="BA50" i="1" s="1"/>
  <c r="AY57" i="1"/>
  <c r="BA57" i="1" s="1"/>
  <c r="AU57" i="1"/>
  <c r="AY65" i="1"/>
  <c r="BA65" i="1" s="1"/>
  <c r="AY82" i="1"/>
  <c r="BA82" i="1" s="1"/>
  <c r="AU82" i="1"/>
  <c r="AZ85" i="1"/>
  <c r="BB85" i="1" s="1"/>
  <c r="AX85" i="1"/>
  <c r="AW85" i="1"/>
  <c r="AZ89" i="1"/>
  <c r="BB89" i="1" s="1"/>
  <c r="AW89" i="1"/>
  <c r="AX89" i="1" s="1"/>
  <c r="AY109" i="1"/>
  <c r="BA109" i="1" s="1"/>
  <c r="AU109" i="1"/>
  <c r="AY119" i="1"/>
  <c r="BA119" i="1" s="1"/>
  <c r="AY86" i="1"/>
  <c r="BA86" i="1" s="1"/>
  <c r="AU86" i="1"/>
  <c r="AX699" i="1"/>
  <c r="AW699" i="1"/>
  <c r="AX952" i="1"/>
  <c r="AW952" i="1"/>
  <c r="AZ183" i="1"/>
  <c r="BB183" i="1" s="1"/>
  <c r="AZ210" i="1"/>
  <c r="BB210" i="1" s="1"/>
  <c r="AZ143" i="1"/>
  <c r="BB143" i="1" s="1"/>
  <c r="AZ186" i="1"/>
  <c r="BB186" i="1" s="1"/>
  <c r="AZ11" i="1"/>
  <c r="BB11" i="1" s="1"/>
  <c r="AZ100" i="1"/>
  <c r="BB100" i="1" s="1"/>
  <c r="AZ42" i="1"/>
  <c r="BB42" i="1" s="1"/>
  <c r="AZ26" i="1"/>
  <c r="BB26" i="1" s="1"/>
  <c r="AZ20" i="1"/>
  <c r="BB20" i="1" s="1"/>
  <c r="AZ27" i="1"/>
  <c r="BB27" i="1" s="1"/>
  <c r="AW27" i="1"/>
  <c r="AX27" i="1" s="1"/>
  <c r="AZ36" i="1"/>
  <c r="BB36" i="1" s="1"/>
  <c r="AZ37" i="1"/>
  <c r="BB37" i="1" s="1"/>
  <c r="AZ41" i="1"/>
  <c r="BB41" i="1" s="1"/>
  <c r="AW41" i="1"/>
  <c r="AX41" i="1" s="1"/>
  <c r="AZ49" i="1"/>
  <c r="BB49" i="1" s="1"/>
  <c r="AW49" i="1"/>
  <c r="AX49" i="1" s="1"/>
  <c r="AZ57" i="1"/>
  <c r="BB57" i="1" s="1"/>
  <c r="AW57" i="1"/>
  <c r="AX57" i="1" s="1"/>
  <c r="AY60" i="1"/>
  <c r="BA60" i="1" s="1"/>
  <c r="AY96" i="1"/>
  <c r="BA96" i="1" s="1"/>
  <c r="AY102" i="1"/>
  <c r="BA102" i="1" s="1"/>
  <c r="AZ109" i="1"/>
  <c r="BB109" i="1" s="1"/>
  <c r="AY213" i="1"/>
  <c r="BA213" i="1" s="1"/>
  <c r="AY187" i="1"/>
  <c r="BA187" i="1" s="1"/>
  <c r="AZ34" i="1"/>
  <c r="BB34" i="1" s="1"/>
  <c r="AY45" i="1"/>
  <c r="BA45" i="1" s="1"/>
  <c r="AY53" i="1"/>
  <c r="BA53" i="1" s="1"/>
  <c r="AY61" i="1"/>
  <c r="BA61" i="1" s="1"/>
  <c r="AU66" i="1"/>
  <c r="AY68" i="1"/>
  <c r="BA68" i="1" s="1"/>
  <c r="AW69" i="1"/>
  <c r="AX69" i="1" s="1"/>
  <c r="AU70" i="1"/>
  <c r="AW73" i="1"/>
  <c r="AX73" i="1" s="1"/>
  <c r="AY79" i="1"/>
  <c r="BA79" i="1" s="1"/>
  <c r="AW80" i="1"/>
  <c r="AW84" i="1"/>
  <c r="AX84" i="1" s="1"/>
  <c r="AX88" i="1"/>
  <c r="AY93" i="1"/>
  <c r="BA93" i="1" s="1"/>
  <c r="AZ94" i="1"/>
  <c r="BB94" i="1" s="1"/>
  <c r="AW95" i="1"/>
  <c r="AX95" i="1" s="1"/>
  <c r="AU96" i="1"/>
  <c r="AY98" i="1"/>
  <c r="BA98" i="1" s="1"/>
  <c r="AX99" i="1"/>
  <c r="AX100" i="1"/>
  <c r="AZ105" i="1"/>
  <c r="BB105" i="1" s="1"/>
  <c r="AY111" i="1"/>
  <c r="BA111" i="1" s="1"/>
  <c r="AW112" i="1"/>
  <c r="AY115" i="1"/>
  <c r="BA115" i="1" s="1"/>
  <c r="AU115" i="1"/>
  <c r="AY124" i="1"/>
  <c r="BA124" i="1" s="1"/>
  <c r="AZ191" i="1"/>
  <c r="BB191" i="1" s="1"/>
  <c r="AZ125" i="1"/>
  <c r="BB125" i="1" s="1"/>
  <c r="AW125" i="1"/>
  <c r="AX125" i="1" s="1"/>
  <c r="AY128" i="1"/>
  <c r="BA128" i="1" s="1"/>
  <c r="AY131" i="1"/>
  <c r="BA131" i="1" s="1"/>
  <c r="AY137" i="1"/>
  <c r="BA137" i="1" s="1"/>
  <c r="AY148" i="1"/>
  <c r="BA148" i="1" s="1"/>
  <c r="AZ152" i="1"/>
  <c r="BB152" i="1" s="1"/>
  <c r="AY172" i="1"/>
  <c r="BA172" i="1" s="1"/>
  <c r="AU172" i="1"/>
  <c r="AY196" i="1"/>
  <c r="BA196" i="1" s="1"/>
  <c r="AU196" i="1"/>
  <c r="AY51" i="1"/>
  <c r="BA51" i="1" s="1"/>
  <c r="AZ74" i="1"/>
  <c r="BB74" i="1" s="1"/>
  <c r="AY95" i="1"/>
  <c r="BA95" i="1" s="1"/>
  <c r="AZ99" i="1"/>
  <c r="BB99" i="1" s="1"/>
  <c r="AY100" i="1"/>
  <c r="BA100" i="1" s="1"/>
  <c r="AY106" i="1"/>
  <c r="BA106" i="1" s="1"/>
  <c r="AX108" i="1"/>
  <c r="AX116" i="1"/>
  <c r="AW116" i="1"/>
  <c r="AW120" i="1"/>
  <c r="AX120" i="1" s="1"/>
  <c r="AZ123" i="1"/>
  <c r="BB123" i="1" s="1"/>
  <c r="AX123" i="1"/>
  <c r="AW124" i="1"/>
  <c r="AX124" i="1" s="1"/>
  <c r="AZ137" i="1"/>
  <c r="BB137" i="1" s="1"/>
  <c r="AW137" i="1"/>
  <c r="AX137" i="1" s="1"/>
  <c r="AW156" i="1"/>
  <c r="AX156" i="1" s="1"/>
  <c r="AZ156" i="1"/>
  <c r="BB156" i="1" s="1"/>
  <c r="AY158" i="1"/>
  <c r="BA158" i="1" s="1"/>
  <c r="AY174" i="1"/>
  <c r="BA174" i="1" s="1"/>
  <c r="AU174" i="1"/>
  <c r="AY177" i="1"/>
  <c r="BA177" i="1" s="1"/>
  <c r="AX224" i="1"/>
  <c r="AW224" i="1"/>
  <c r="AZ189" i="1"/>
  <c r="BB189" i="1" s="1"/>
  <c r="AZ145" i="1"/>
  <c r="BB145" i="1" s="1"/>
  <c r="AZ110" i="1"/>
  <c r="BB110" i="1" s="1"/>
  <c r="AZ146" i="1"/>
  <c r="BB146" i="1" s="1"/>
  <c r="AX30" i="1"/>
  <c r="AW20" i="1"/>
  <c r="AW28" i="1"/>
  <c r="AY46" i="1"/>
  <c r="BA46" i="1" s="1"/>
  <c r="AY160" i="1"/>
  <c r="BA160" i="1" s="1"/>
  <c r="AY133" i="1"/>
  <c r="BA133" i="1" s="1"/>
  <c r="AZ77" i="1"/>
  <c r="BB77" i="1" s="1"/>
  <c r="AY81" i="1"/>
  <c r="BA81" i="1" s="1"/>
  <c r="AY107" i="1"/>
  <c r="BA107" i="1" s="1"/>
  <c r="AY114" i="1"/>
  <c r="BA114" i="1" s="1"/>
  <c r="AZ118" i="1"/>
  <c r="BB118" i="1" s="1"/>
  <c r="AW118" i="1"/>
  <c r="AY127" i="1"/>
  <c r="BA127" i="1" s="1"/>
  <c r="AY140" i="1"/>
  <c r="BA140" i="1" s="1"/>
  <c r="AY145" i="1"/>
  <c r="BA145" i="1" s="1"/>
  <c r="AU145" i="1"/>
  <c r="AZ168" i="1"/>
  <c r="BB168" i="1" s="1"/>
  <c r="AX168" i="1"/>
  <c r="AW12" i="1"/>
  <c r="AW7" i="1"/>
  <c r="AY195" i="1"/>
  <c r="BA195" i="1" s="1"/>
  <c r="AY155" i="1"/>
  <c r="BA155" i="1" s="1"/>
  <c r="AY130" i="1"/>
  <c r="BA130" i="1" s="1"/>
  <c r="AX12" i="1"/>
  <c r="AW15" i="1"/>
  <c r="AX20" i="1"/>
  <c r="AW23" i="1"/>
  <c r="AX23" i="1" s="1"/>
  <c r="AX28" i="1"/>
  <c r="AW31" i="1"/>
  <c r="AX31" i="1" s="1"/>
  <c r="AW39" i="1"/>
  <c r="AX39" i="1" s="1"/>
  <c r="AW47" i="1"/>
  <c r="AX47" i="1" s="1"/>
  <c r="AW55" i="1"/>
  <c r="AX55" i="1" s="1"/>
  <c r="AU61" i="1"/>
  <c r="AW63" i="1"/>
  <c r="AX63" i="1" s="1"/>
  <c r="AY66" i="1"/>
  <c r="BA66" i="1" s="1"/>
  <c r="AX67" i="1"/>
  <c r="AX74" i="1"/>
  <c r="AW82" i="1"/>
  <c r="AY89" i="1"/>
  <c r="BA89" i="1" s="1"/>
  <c r="AZ90" i="1"/>
  <c r="BB90" i="1" s="1"/>
  <c r="AX93" i="1"/>
  <c r="AX97" i="1"/>
  <c r="AU105" i="1"/>
  <c r="AY105" i="1"/>
  <c r="BA105" i="1" s="1"/>
  <c r="AX109" i="1"/>
  <c r="AZ114" i="1"/>
  <c r="BB114" i="1" s="1"/>
  <c r="AZ116" i="1"/>
  <c r="BB116" i="1" s="1"/>
  <c r="AX118" i="1"/>
  <c r="AZ120" i="1"/>
  <c r="BB120" i="1" s="1"/>
  <c r="AX129" i="1"/>
  <c r="AZ136" i="1"/>
  <c r="BB136" i="1" s="1"/>
  <c r="AZ150" i="1"/>
  <c r="BB150" i="1" s="1"/>
  <c r="AX150" i="1"/>
  <c r="AW150" i="1"/>
  <c r="AZ155" i="1"/>
  <c r="BB155" i="1" s="1"/>
  <c r="AY188" i="1"/>
  <c r="BA188" i="1" s="1"/>
  <c r="AU188" i="1"/>
  <c r="AY189" i="1"/>
  <c r="BA189" i="1" s="1"/>
  <c r="AY191" i="1"/>
  <c r="BA191" i="1" s="1"/>
  <c r="AY209" i="1"/>
  <c r="BA209" i="1" s="1"/>
  <c r="AZ207" i="1"/>
  <c r="BB207" i="1" s="1"/>
  <c r="AZ178" i="1"/>
  <c r="BB178" i="1" s="1"/>
  <c r="AZ176" i="1"/>
  <c r="BB176" i="1" s="1"/>
  <c r="AZ175" i="1"/>
  <c r="BB175" i="1" s="1"/>
  <c r="AZ140" i="1"/>
  <c r="BB140" i="1" s="1"/>
  <c r="AW36" i="1"/>
  <c r="AX36" i="1" s="1"/>
  <c r="AX15" i="1"/>
  <c r="AY69" i="1"/>
  <c r="BA69" i="1" s="1"/>
  <c r="AX82" i="1"/>
  <c r="AZ98" i="1"/>
  <c r="BB98" i="1" s="1"/>
  <c r="AZ108" i="1"/>
  <c r="BB108" i="1" s="1"/>
  <c r="AY126" i="1"/>
  <c r="BA126" i="1" s="1"/>
  <c r="AY149" i="1"/>
  <c r="BA149" i="1" s="1"/>
  <c r="AU126" i="1"/>
  <c r="AW136" i="1"/>
  <c r="AX136" i="1" s="1"/>
  <c r="AU138" i="1"/>
  <c r="AY138" i="1"/>
  <c r="BA138" i="1" s="1"/>
  <c r="AZ149" i="1"/>
  <c r="BB149" i="1" s="1"/>
  <c r="AW155" i="1"/>
  <c r="AX155" i="1" s="1"/>
  <c r="AZ184" i="1"/>
  <c r="BB184" i="1" s="1"/>
  <c r="AZ188" i="1"/>
  <c r="BB188" i="1" s="1"/>
  <c r="AY206" i="1"/>
  <c r="BA206" i="1" s="1"/>
  <c r="AY192" i="1"/>
  <c r="BA192" i="1" s="1"/>
  <c r="AY152" i="1"/>
  <c r="BA152" i="1" s="1"/>
  <c r="AW44" i="1"/>
  <c r="AX44" i="1" s="1"/>
  <c r="AW52" i="1"/>
  <c r="AX52" i="1" s="1"/>
  <c r="AW60" i="1"/>
  <c r="AX60" i="1" s="1"/>
  <c r="AZ192" i="1"/>
  <c r="BB192" i="1" s="1"/>
  <c r="AZ151" i="1"/>
  <c r="BB151" i="1" s="1"/>
  <c r="AZ128" i="1"/>
  <c r="BB128" i="1" s="1"/>
  <c r="AX7" i="1"/>
  <c r="AY183" i="1"/>
  <c r="BA183" i="1" s="1"/>
  <c r="AY211" i="1"/>
  <c r="BA211" i="1" s="1"/>
  <c r="AY184" i="1"/>
  <c r="BA184" i="1" s="1"/>
  <c r="AY186" i="1"/>
  <c r="BA186" i="1" s="1"/>
  <c r="AY144" i="1"/>
  <c r="BA144" i="1" s="1"/>
  <c r="AY143" i="1"/>
  <c r="BA143" i="1" s="1"/>
  <c r="AY28" i="1"/>
  <c r="BA28" i="1" s="1"/>
  <c r="AZ199" i="1"/>
  <c r="BB199" i="1" s="1"/>
  <c r="AZ159" i="1"/>
  <c r="BB159" i="1" s="1"/>
  <c r="AZ160" i="1"/>
  <c r="BB160" i="1" s="1"/>
  <c r="AW5" i="1"/>
  <c r="AX5" i="1" s="1"/>
  <c r="AY157" i="1"/>
  <c r="BA157" i="1" s="1"/>
  <c r="AZ130" i="1"/>
  <c r="BB130" i="1" s="1"/>
  <c r="AZ194" i="1"/>
  <c r="BB194" i="1" s="1"/>
  <c r="AZ153" i="1"/>
  <c r="BB153" i="1" s="1"/>
  <c r="AU11" i="1"/>
  <c r="AY200" i="1"/>
  <c r="BA200" i="1" s="1"/>
  <c r="AY136" i="1"/>
  <c r="BA136" i="1" s="1"/>
  <c r="AZ28" i="1"/>
  <c r="BB28" i="1" s="1"/>
  <c r="AW61" i="1"/>
  <c r="AX61" i="1" s="1"/>
  <c r="AW64" i="1"/>
  <c r="AX64" i="1" s="1"/>
  <c r="AZ67" i="1"/>
  <c r="BB67" i="1" s="1"/>
  <c r="AU69" i="1"/>
  <c r="AX72" i="1"/>
  <c r="AY77" i="1"/>
  <c r="BA77" i="1" s="1"/>
  <c r="AX83" i="1"/>
  <c r="AX90" i="1"/>
  <c r="AW104" i="1"/>
  <c r="AX104" i="1" s="1"/>
  <c r="AY113" i="1"/>
  <c r="BA113" i="1" s="1"/>
  <c r="AZ127" i="1"/>
  <c r="BB127" i="1" s="1"/>
  <c r="AZ129" i="1"/>
  <c r="BB129" i="1" s="1"/>
  <c r="AY135" i="1"/>
  <c r="BA135" i="1" s="1"/>
  <c r="AZ144" i="1"/>
  <c r="BB144" i="1" s="1"/>
  <c r="AY154" i="1"/>
  <c r="BA154" i="1" s="1"/>
  <c r="AX80" i="1"/>
  <c r="AY83" i="1"/>
  <c r="BA83" i="1" s="1"/>
  <c r="AY85" i="1"/>
  <c r="BA85" i="1" s="1"/>
  <c r="AY94" i="1"/>
  <c r="BA94" i="1" s="1"/>
  <c r="AY101" i="1"/>
  <c r="BA101" i="1" s="1"/>
  <c r="AU101" i="1"/>
  <c r="AY104" i="1"/>
  <c r="BA104" i="1" s="1"/>
  <c r="AZ106" i="1"/>
  <c r="BB106" i="1" s="1"/>
  <c r="AY110" i="1"/>
  <c r="BA110" i="1" s="1"/>
  <c r="AX112" i="1"/>
  <c r="AY121" i="1"/>
  <c r="BA121" i="1" s="1"/>
  <c r="AY132" i="1"/>
  <c r="BA132" i="1" s="1"/>
  <c r="AU132" i="1"/>
  <c r="AZ133" i="1"/>
  <c r="BB133" i="1" s="1"/>
  <c r="AY151" i="1"/>
  <c r="BA151" i="1" s="1"/>
  <c r="AZ154" i="1"/>
  <c r="BB154" i="1" s="1"/>
  <c r="AY159" i="1"/>
  <c r="BA159" i="1" s="1"/>
  <c r="AY197" i="1"/>
  <c r="BA197" i="1" s="1"/>
  <c r="AZ142" i="1"/>
  <c r="BB142" i="1" s="1"/>
  <c r="AX148" i="1"/>
  <c r="AW148" i="1"/>
  <c r="AY150" i="1"/>
  <c r="BA150" i="1" s="1"/>
  <c r="AY156" i="1"/>
  <c r="BA156" i="1" s="1"/>
  <c r="AZ166" i="1"/>
  <c r="BB166" i="1" s="1"/>
  <c r="AY169" i="1"/>
  <c r="BA169" i="1" s="1"/>
  <c r="AZ180" i="1"/>
  <c r="BB180" i="1" s="1"/>
  <c r="AZ185" i="1"/>
  <c r="BB185" i="1" s="1"/>
  <c r="AZ193" i="1"/>
  <c r="BB193" i="1" s="1"/>
  <c r="AY199" i="1"/>
  <c r="BA199" i="1" s="1"/>
  <c r="AZ204" i="1"/>
  <c r="BB204" i="1" s="1"/>
  <c r="AZ131" i="1"/>
  <c r="BB131" i="1" s="1"/>
  <c r="AZ158" i="1"/>
  <c r="BB158" i="1" s="1"/>
  <c r="AY161" i="1"/>
  <c r="BA161" i="1" s="1"/>
  <c r="AZ177" i="1"/>
  <c r="BB177" i="1" s="1"/>
  <c r="AZ179" i="1"/>
  <c r="BB179" i="1" s="1"/>
  <c r="AX179" i="1"/>
  <c r="AZ203" i="1"/>
  <c r="BB203" i="1" s="1"/>
  <c r="AZ206" i="1"/>
  <c r="BB206" i="1" s="1"/>
  <c r="AX206" i="1"/>
  <c r="AW206" i="1"/>
  <c r="AZ126" i="1"/>
  <c r="BB126" i="1" s="1"/>
  <c r="AX132" i="1"/>
  <c r="AW132" i="1"/>
  <c r="AY134" i="1"/>
  <c r="BA134" i="1" s="1"/>
  <c r="AX145" i="1"/>
  <c r="AY153" i="1"/>
  <c r="BA153" i="1" s="1"/>
  <c r="AW158" i="1"/>
  <c r="AX158" i="1" s="1"/>
  <c r="AY170" i="1"/>
  <c r="BA170" i="1" s="1"/>
  <c r="AZ171" i="1"/>
  <c r="BB171" i="1" s="1"/>
  <c r="AX172" i="1"/>
  <c r="AW172" i="1"/>
  <c r="AZ174" i="1"/>
  <c r="BB174" i="1" s="1"/>
  <c r="AW174" i="1"/>
  <c r="AX174" i="1" s="1"/>
  <c r="AY182" i="1"/>
  <c r="BA182" i="1" s="1"/>
  <c r="AY198" i="1"/>
  <c r="BA198" i="1" s="1"/>
  <c r="AY201" i="1"/>
  <c r="BA201" i="1" s="1"/>
  <c r="AZ209" i="1"/>
  <c r="BB209" i="1" s="1"/>
  <c r="AW232" i="1"/>
  <c r="AX232" i="1"/>
  <c r="AZ139" i="1"/>
  <c r="BB139" i="1" s="1"/>
  <c r="AZ161" i="1"/>
  <c r="BB161" i="1" s="1"/>
  <c r="AX161" i="1"/>
  <c r="AY164" i="1"/>
  <c r="BA164" i="1" s="1"/>
  <c r="AZ187" i="1"/>
  <c r="BB187" i="1" s="1"/>
  <c r="AY190" i="1"/>
  <c r="BA190" i="1" s="1"/>
  <c r="AZ195" i="1"/>
  <c r="BB195" i="1" s="1"/>
  <c r="AZ198" i="1"/>
  <c r="BB198" i="1" s="1"/>
  <c r="AX198" i="1"/>
  <c r="AW198" i="1"/>
  <c r="AY212" i="1"/>
  <c r="BA212" i="1" s="1"/>
  <c r="AX213" i="1"/>
  <c r="AX245" i="1"/>
  <c r="AW245" i="1"/>
  <c r="AX126" i="1"/>
  <c r="AY129" i="1"/>
  <c r="BA129" i="1" s="1"/>
  <c r="AZ132" i="1"/>
  <c r="BB132" i="1" s="1"/>
  <c r="AZ134" i="1"/>
  <c r="BB134" i="1" s="1"/>
  <c r="AW139" i="1"/>
  <c r="AX139" i="1" s="1"/>
  <c r="AX140" i="1"/>
  <c r="AW140" i="1"/>
  <c r="AY142" i="1"/>
  <c r="BA142" i="1" s="1"/>
  <c r="AW152" i="1"/>
  <c r="AX152" i="1" s="1"/>
  <c r="AX153" i="1"/>
  <c r="AW161" i="1"/>
  <c r="AU164" i="1"/>
  <c r="AY166" i="1"/>
  <c r="BA166" i="1" s="1"/>
  <c r="AZ182" i="1"/>
  <c r="BB182" i="1" s="1"/>
  <c r="AW182" i="1"/>
  <c r="AX182" i="1" s="1"/>
  <c r="AY185" i="1"/>
  <c r="BA185" i="1" s="1"/>
  <c r="AY193" i="1"/>
  <c r="BA193" i="1" s="1"/>
  <c r="AZ201" i="1"/>
  <c r="BB201" i="1" s="1"/>
  <c r="AY207" i="1"/>
  <c r="BA207" i="1" s="1"/>
  <c r="AW121" i="1"/>
  <c r="AX121" i="1" s="1"/>
  <c r="AU129" i="1"/>
  <c r="AW134" i="1"/>
  <c r="AX134" i="1" s="1"/>
  <c r="AU142" i="1"/>
  <c r="AY146" i="1"/>
  <c r="BA146" i="1" s="1"/>
  <c r="AZ147" i="1"/>
  <c r="BB147" i="1" s="1"/>
  <c r="AW153" i="1"/>
  <c r="AY162" i="1"/>
  <c r="BA162" i="1" s="1"/>
  <c r="AZ163" i="1"/>
  <c r="BB163" i="1" s="1"/>
  <c r="AW164" i="1"/>
  <c r="AX164" i="1" s="1"/>
  <c r="AU166" i="1"/>
  <c r="AY180" i="1"/>
  <c r="BA180" i="1" s="1"/>
  <c r="AU180" i="1"/>
  <c r="AZ190" i="1"/>
  <c r="BB190" i="1" s="1"/>
  <c r="AW190" i="1"/>
  <c r="AX190" i="1" s="1"/>
  <c r="AY204" i="1"/>
  <c r="BA204" i="1" s="1"/>
  <c r="AU204" i="1"/>
  <c r="AY194" i="1"/>
  <c r="BA194" i="1" s="1"/>
  <c r="AU198" i="1"/>
  <c r="AY202" i="1"/>
  <c r="BA202" i="1" s="1"/>
  <c r="AU206" i="1"/>
  <c r="AY210" i="1"/>
  <c r="BA210" i="1" s="1"/>
  <c r="AZ211" i="1"/>
  <c r="BB211" i="1" s="1"/>
  <c r="AZ213" i="1"/>
  <c r="BB213" i="1" s="1"/>
  <c r="AX400" i="1"/>
  <c r="AW400" i="1"/>
  <c r="AX437" i="1"/>
  <c r="AW437" i="1"/>
  <c r="AX447" i="1"/>
  <c r="AW447" i="1"/>
  <c r="AX187" i="1"/>
  <c r="AX246" i="1"/>
  <c r="AW246" i="1"/>
  <c r="AX256" i="1"/>
  <c r="AW256" i="1"/>
  <c r="AX272" i="1"/>
  <c r="AW272" i="1"/>
  <c r="AX288" i="1"/>
  <c r="AW288" i="1"/>
  <c r="AX304" i="1"/>
  <c r="AW304" i="1"/>
  <c r="AX320" i="1"/>
  <c r="AW320" i="1"/>
  <c r="AX336" i="1"/>
  <c r="AW336" i="1"/>
  <c r="AX352" i="1"/>
  <c r="AW352" i="1"/>
  <c r="AX368" i="1"/>
  <c r="AW368" i="1"/>
  <c r="AX392" i="1"/>
  <c r="AW392" i="1"/>
  <c r="AX500" i="1"/>
  <c r="AW500" i="1"/>
  <c r="AX233" i="1"/>
  <c r="AW233" i="1"/>
  <c r="AW242" i="1"/>
  <c r="AW261" i="1"/>
  <c r="AX434" i="1"/>
  <c r="AW434" i="1"/>
  <c r="AX459" i="1"/>
  <c r="AW459" i="1"/>
  <c r="AX177" i="1"/>
  <c r="AW180" i="1"/>
  <c r="AX185" i="1"/>
  <c r="AW188" i="1"/>
  <c r="AX188" i="1" s="1"/>
  <c r="AX193" i="1"/>
  <c r="AW196" i="1"/>
  <c r="AX201" i="1"/>
  <c r="AW204" i="1"/>
  <c r="AX209" i="1"/>
  <c r="AX225" i="1"/>
  <c r="AW225" i="1"/>
  <c r="AX384" i="1"/>
  <c r="AW384" i="1"/>
  <c r="AX416" i="1"/>
  <c r="AW416" i="1"/>
  <c r="AX479" i="1"/>
  <c r="AW479" i="1"/>
  <c r="AX180" i="1"/>
  <c r="AX196" i="1"/>
  <c r="AX204" i="1"/>
  <c r="AZ212" i="1"/>
  <c r="BB212" i="1" s="1"/>
  <c r="AW213" i="1"/>
  <c r="AW216" i="1"/>
  <c r="AW226" i="1"/>
  <c r="AW229" i="1"/>
  <c r="AW238" i="1"/>
  <c r="AX425" i="1"/>
  <c r="AW425" i="1"/>
  <c r="AX264" i="1"/>
  <c r="AW264" i="1"/>
  <c r="AX280" i="1"/>
  <c r="AW280" i="1"/>
  <c r="AX296" i="1"/>
  <c r="AW296" i="1"/>
  <c r="AX312" i="1"/>
  <c r="AW312" i="1"/>
  <c r="AX328" i="1"/>
  <c r="AW328" i="1"/>
  <c r="AX344" i="1"/>
  <c r="AW344" i="1"/>
  <c r="AX360" i="1"/>
  <c r="AW360" i="1"/>
  <c r="AX376" i="1"/>
  <c r="AW376" i="1"/>
  <c r="AX408" i="1"/>
  <c r="AW408" i="1"/>
  <c r="AX441" i="1"/>
  <c r="AW441" i="1"/>
  <c r="AX452" i="1"/>
  <c r="AW452" i="1"/>
  <c r="AX220" i="1"/>
  <c r="AW253" i="1"/>
  <c r="AX451" i="1"/>
  <c r="AW451" i="1"/>
  <c r="AX503" i="1"/>
  <c r="AW503" i="1"/>
  <c r="AX567" i="1"/>
  <c r="AW567" i="1"/>
  <c r="AX629" i="1"/>
  <c r="AW629" i="1"/>
  <c r="AW647" i="1"/>
  <c r="AX647" i="1"/>
  <c r="AW657" i="1"/>
  <c r="AX657" i="1"/>
  <c r="AX467" i="1"/>
  <c r="AW467" i="1"/>
  <c r="AX519" i="1"/>
  <c r="AW519" i="1"/>
  <c r="AX583" i="1"/>
  <c r="AW583" i="1"/>
  <c r="AX623" i="1"/>
  <c r="AW623" i="1"/>
  <c r="AX638" i="1"/>
  <c r="AW638" i="1"/>
  <c r="AW665" i="1"/>
  <c r="AX665" i="1"/>
  <c r="AX495" i="1"/>
  <c r="AW495" i="1"/>
  <c r="AX559" i="1"/>
  <c r="AW559" i="1"/>
  <c r="AX632" i="1"/>
  <c r="AW632" i="1"/>
  <c r="AW254" i="1"/>
  <c r="AW262" i="1"/>
  <c r="AW270" i="1"/>
  <c r="AW278" i="1"/>
  <c r="AW286" i="1"/>
  <c r="AW294" i="1"/>
  <c r="AW302" i="1"/>
  <c r="AW310" i="1"/>
  <c r="AW318" i="1"/>
  <c r="AW326" i="1"/>
  <c r="AW334" i="1"/>
  <c r="AW342" i="1"/>
  <c r="AW350" i="1"/>
  <c r="AW358" i="1"/>
  <c r="AW366" i="1"/>
  <c r="AW374" i="1"/>
  <c r="AW382" i="1"/>
  <c r="AW390" i="1"/>
  <c r="AW398" i="1"/>
  <c r="AW406" i="1"/>
  <c r="AW414" i="1"/>
  <c r="AW456" i="1"/>
  <c r="AW463" i="1"/>
  <c r="AW468" i="1"/>
  <c r="AX471" i="1"/>
  <c r="AW471" i="1"/>
  <c r="AX535" i="1"/>
  <c r="AW535" i="1"/>
  <c r="AX607" i="1"/>
  <c r="AW607" i="1"/>
  <c r="AW241" i="1"/>
  <c r="AW249" i="1"/>
  <c r="AW257" i="1"/>
  <c r="AW265" i="1"/>
  <c r="AW273" i="1"/>
  <c r="AW281" i="1"/>
  <c r="AW289" i="1"/>
  <c r="AW297" i="1"/>
  <c r="AW305" i="1"/>
  <c r="AW313" i="1"/>
  <c r="AW321" i="1"/>
  <c r="AW329" i="1"/>
  <c r="AW337" i="1"/>
  <c r="AW345" i="1"/>
  <c r="AW353" i="1"/>
  <c r="AW361" i="1"/>
  <c r="AW369" i="1"/>
  <c r="AW377" i="1"/>
  <c r="AW385" i="1"/>
  <c r="AW393" i="1"/>
  <c r="AW401" i="1"/>
  <c r="AW409" i="1"/>
  <c r="AW417" i="1"/>
  <c r="AW420" i="1"/>
  <c r="AW426" i="1"/>
  <c r="AW429" i="1"/>
  <c r="AX435" i="1"/>
  <c r="AX442" i="1"/>
  <c r="AW464" i="1"/>
  <c r="AW492" i="1"/>
  <c r="AX511" i="1"/>
  <c r="AW511" i="1"/>
  <c r="AX575" i="1"/>
  <c r="AW575" i="1"/>
  <c r="AX487" i="1"/>
  <c r="AW487" i="1"/>
  <c r="AX551" i="1"/>
  <c r="AW551" i="1"/>
  <c r="AX591" i="1"/>
  <c r="AW591" i="1"/>
  <c r="AX641" i="1"/>
  <c r="AW641" i="1"/>
  <c r="AX527" i="1"/>
  <c r="AW527" i="1"/>
  <c r="AX615" i="1"/>
  <c r="AW615" i="1"/>
  <c r="AX675" i="1"/>
  <c r="AW675" i="1"/>
  <c r="AX687" i="1"/>
  <c r="AW687" i="1"/>
  <c r="AX739" i="1"/>
  <c r="AW739" i="1"/>
  <c r="AX803" i="1"/>
  <c r="AW803" i="1"/>
  <c r="AX671" i="1"/>
  <c r="AW671" i="1"/>
  <c r="AX723" i="1"/>
  <c r="AW723" i="1"/>
  <c r="AX787" i="1"/>
  <c r="AW787" i="1"/>
  <c r="AX852" i="1"/>
  <c r="AW852" i="1"/>
  <c r="AX865" i="1"/>
  <c r="AW865" i="1"/>
  <c r="AW924" i="1"/>
  <c r="AX924" i="1"/>
  <c r="AW474" i="1"/>
  <c r="AW482" i="1"/>
  <c r="AW490" i="1"/>
  <c r="AW498" i="1"/>
  <c r="AW506" i="1"/>
  <c r="AW514" i="1"/>
  <c r="AW522" i="1"/>
  <c r="AW530" i="1"/>
  <c r="AW538" i="1"/>
  <c r="AW546" i="1"/>
  <c r="AW554" i="1"/>
  <c r="AW562" i="1"/>
  <c r="AW570" i="1"/>
  <c r="AW578" i="1"/>
  <c r="AW586" i="1"/>
  <c r="AW594" i="1"/>
  <c r="AW602" i="1"/>
  <c r="AW610" i="1"/>
  <c r="AW618" i="1"/>
  <c r="AW626" i="1"/>
  <c r="AW635" i="1"/>
  <c r="AW644" i="1"/>
  <c r="AW661" i="1"/>
  <c r="AX683" i="1"/>
  <c r="AW683" i="1"/>
  <c r="AX695" i="1"/>
  <c r="AW695" i="1"/>
  <c r="AX747" i="1"/>
  <c r="AW747" i="1"/>
  <c r="AX811" i="1"/>
  <c r="AW811" i="1"/>
  <c r="AX707" i="1"/>
  <c r="AW707" i="1"/>
  <c r="AX771" i="1"/>
  <c r="AW771" i="1"/>
  <c r="AX849" i="1"/>
  <c r="AW849" i="1"/>
  <c r="AW860" i="1"/>
  <c r="AX860" i="1"/>
  <c r="AX667" i="1"/>
  <c r="AW667" i="1"/>
  <c r="AX679" i="1"/>
  <c r="AW679" i="1"/>
  <c r="AX731" i="1"/>
  <c r="AW731" i="1"/>
  <c r="AX795" i="1"/>
  <c r="AW795" i="1"/>
  <c r="AW475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11" i="1"/>
  <c r="AW619" i="1"/>
  <c r="AW627" i="1"/>
  <c r="AW636" i="1"/>
  <c r="AW662" i="1"/>
  <c r="AX691" i="1"/>
  <c r="AW691" i="1"/>
  <c r="AX755" i="1"/>
  <c r="AW755" i="1"/>
  <c r="AX819" i="1"/>
  <c r="AW819" i="1"/>
  <c r="AW856" i="1"/>
  <c r="AX856" i="1"/>
  <c r="AW892" i="1"/>
  <c r="AX892" i="1"/>
  <c r="AX663" i="1"/>
  <c r="AX715" i="1"/>
  <c r="AW715" i="1"/>
  <c r="AX779" i="1"/>
  <c r="AW779" i="1"/>
  <c r="AX846" i="1"/>
  <c r="AW846" i="1"/>
  <c r="AX864" i="1"/>
  <c r="AW864" i="1"/>
  <c r="AX868" i="1"/>
  <c r="AX896" i="1"/>
  <c r="AW896" i="1"/>
  <c r="AX928" i="1"/>
  <c r="AW928" i="1"/>
  <c r="AX976" i="1"/>
  <c r="AW976" i="1"/>
  <c r="AX1008" i="1"/>
  <c r="AW1008" i="1"/>
  <c r="AX1024" i="1"/>
  <c r="AW1024" i="1"/>
  <c r="AX888" i="1"/>
  <c r="AW888" i="1"/>
  <c r="AX920" i="1"/>
  <c r="AW920" i="1"/>
  <c r="AX968" i="1"/>
  <c r="AW968" i="1"/>
  <c r="AX1048" i="1"/>
  <c r="AW1048" i="1"/>
  <c r="AX1064" i="1"/>
  <c r="AW1064" i="1"/>
  <c r="AW837" i="1"/>
  <c r="AW857" i="1"/>
  <c r="AX880" i="1"/>
  <c r="AW880" i="1"/>
  <c r="AX884" i="1"/>
  <c r="AX912" i="1"/>
  <c r="AW912" i="1"/>
  <c r="AX916" i="1"/>
  <c r="AX944" i="1"/>
  <c r="AW944" i="1"/>
  <c r="AX1000" i="1"/>
  <c r="AW1000" i="1"/>
  <c r="AX1016" i="1"/>
  <c r="AW1016" i="1"/>
  <c r="AX1032" i="1"/>
  <c r="AW1032" i="1"/>
  <c r="AX922" i="1"/>
  <c r="AX984" i="1"/>
  <c r="AW984" i="1"/>
  <c r="AW703" i="1"/>
  <c r="AW711" i="1"/>
  <c r="AW719" i="1"/>
  <c r="AW727" i="1"/>
  <c r="AW735" i="1"/>
  <c r="AW743" i="1"/>
  <c r="AW751" i="1"/>
  <c r="AW759" i="1"/>
  <c r="AW767" i="1"/>
  <c r="AW775" i="1"/>
  <c r="AW783" i="1"/>
  <c r="AW791" i="1"/>
  <c r="AW799" i="1"/>
  <c r="AW807" i="1"/>
  <c r="AW815" i="1"/>
  <c r="AW823" i="1"/>
  <c r="AW826" i="1"/>
  <c r="AX832" i="1"/>
  <c r="AW844" i="1"/>
  <c r="AW854" i="1"/>
  <c r="AX872" i="1"/>
  <c r="AW872" i="1"/>
  <c r="AX876" i="1"/>
  <c r="AX904" i="1"/>
  <c r="AW904" i="1"/>
  <c r="AX936" i="1"/>
  <c r="AW936" i="1"/>
  <c r="AX960" i="1"/>
  <c r="AW960" i="1"/>
  <c r="AX914" i="1"/>
  <c r="AX1040" i="1"/>
  <c r="AW1040" i="1"/>
  <c r="AX1056" i="1"/>
  <c r="AW1056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<sst xmlns="http://schemas.openxmlformats.org/spreadsheetml/2006/main" count="4391" uniqueCount="3651">
  <si>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</si>
  <si>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</si>
  <si>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</si>
  <si>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</si>
  <si>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</si>
  <si>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</si>
  <si>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</si>
  <si>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</si>
  <si>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</si>
  <si>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</si>
  <si>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</si>
  <si>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</si>
  <si>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</si>
  <si>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</si>
  <si>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</si>
  <si>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</si>
  <si>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</si>
  <si>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</si>
  <si>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</si>
  <si>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</si>
  <si>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</si>
  <si>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</si>
  <si>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</si>
  <si>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</si>
  <si>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</si>
  <si>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</si>
  <si>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</si>
  <si>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</si>
  <si>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</si>
  <si>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</si>
  <si>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</si>
  <si>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</si>
  <si>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</si>
  <si>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</si>
  <si>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</si>
  <si>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</si>
  <si>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</si>
  <si>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</si>
  <si>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</si>
  <si>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</si>
  <si>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</si>
  <si>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</si>
  <si>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</si>
  <si>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</si>
  <si>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</si>
  <si>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</si>
  <si>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</si>
  <si>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</si>
  <si>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</si>
  <si>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</si>
  <si>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</si>
  <si>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</si>
  <si>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</si>
  <si>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</si>
  <si>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</si>
  <si>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</si>
  <si>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</si>
  <si>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</si>
  <si>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</si>
  <si>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</si>
  <si>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</si>
  <si>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</si>
  <si>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</si>
  <si>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</si>
  <si>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</si>
  <si>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</si>
  <si>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</si>
  <si>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</si>
  <si>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</si>
  <si>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</si>
  <si>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</si>
  <si>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</si>
  <si>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</si>
  <si>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</si>
  <si>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</si>
  <si>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</si>
  <si>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</si>
  <si>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</si>
  <si>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</si>
  <si>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</si>
  <si>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</si>
  <si>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</si>
  <si>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</si>
  <si>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</si>
  <si>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</si>
  <si>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</si>
  <si>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</si>
  <si>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</si>
  <si>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</si>
  <si>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</si>
  <si>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</si>
  <si>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</si>
  <si>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</si>
  <si>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</si>
  <si>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</si>
  <si>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</si>
  <si>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</si>
  <si>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</si>
  <si>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</si>
  <si>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</si>
  <si>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</si>
  <si>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</si>
  <si>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</si>
  <si>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</si>
  <si>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</si>
  <si>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</si>
  <si>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</si>
  <si>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</si>
  <si>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</si>
  <si>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</si>
  <si>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</si>
  <si>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</si>
  <si>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</si>
  <si>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</si>
  <si>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</si>
  <si>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</si>
  <si>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</si>
  <si>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</si>
  <si>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</si>
  <si>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</si>
  <si>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</si>
  <si>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</si>
  <si>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</si>
  <si>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</si>
  <si>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</si>
  <si>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</si>
  <si>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</si>
  <si>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</si>
  <si>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</si>
  <si>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</si>
  <si>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</si>
  <si>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</si>
  <si>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</si>
  <si>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</si>
  <si>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</si>
  <si>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</si>
  <si>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</si>
  <si>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</si>
  <si>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</si>
  <si>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</si>
  <si>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</si>
  <si>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</si>
  <si>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</si>
  <si>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</si>
  <si>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</si>
  <si>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</si>
  <si>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</si>
  <si>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</si>
  <si>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</si>
  <si>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</si>
  <si>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</si>
  <si>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</si>
  <si>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</si>
  <si>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</si>
  <si>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</si>
  <si>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</si>
  <si>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</si>
  <si>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</si>
  <si>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</si>
  <si>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</si>
  <si>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</si>
  <si>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</si>
  <si>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</si>
  <si>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</si>
  <si>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</si>
  <si>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</si>
  <si>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</si>
  <si>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</si>
  <si>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</si>
  <si>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</si>
  <si>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</si>
  <si>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</si>
  <si>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</si>
  <si>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</si>
  <si>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</si>
  <si>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</si>
  <si>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</si>
  <si>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</si>
  <si>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</si>
  <si>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</si>
  <si>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</si>
  <si>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</si>
  <si>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</si>
  <si>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</si>
  <si>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</si>
  <si>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</si>
  <si>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</si>
  <si>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</si>
  <si>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</si>
  <si>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</si>
  <si>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</si>
  <si>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</si>
  <si>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</si>
  <si>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</si>
  <si>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</si>
  <si>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</si>
  <si>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</si>
  <si>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</si>
  <si>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</si>
  <si>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</si>
  <si>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</si>
  <si>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</si>
  <si>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</si>
  <si>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</si>
  <si>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</si>
  <si>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</si>
  <si>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</si>
  <si>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</si>
  <si>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</si>
  <si>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</si>
  <si>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</si>
  <si>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</si>
  <si>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</si>
  <si>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</si>
  <si>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</si>
  <si>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</si>
  <si>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</si>
  <si>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</si>
  <si>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</si>
  <si>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</si>
  <si>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</si>
  <si>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</si>
  <si>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</si>
  <si>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</si>
  <si>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</si>
  <si>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</si>
  <si>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</si>
  <si>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</si>
  <si>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</si>
  <si>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</si>
  <si>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</si>
  <si>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</si>
  <si>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</si>
  <si>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</si>
  <si>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</si>
  <si>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</si>
  <si>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</si>
  <si>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</si>
  <si>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</si>
  <si>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</si>
  <si>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</si>
  <si>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</si>
  <si>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</si>
  <si>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</si>
  <si>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</si>
  <si>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</si>
  <si>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</si>
  <si>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</si>
  <si>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</si>
  <si>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</si>
  <si>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</si>
  <si>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</si>
  <si>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</si>
  <si>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</si>
  <si>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</si>
  <si>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</si>
  <si>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</si>
  <si>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</si>
  <si>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</si>
  <si>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</si>
  <si>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</si>
  <si>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</si>
  <si>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</si>
  <si>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</si>
  <si>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</si>
  <si>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</si>
  <si>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</si>
  <si>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</si>
  <si>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</si>
  <si>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</si>
  <si>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</si>
  <si>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</si>
  <si>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</si>
  <si>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</si>
  <si>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</si>
  <si>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</si>
  <si>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</si>
  <si>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</si>
  <si>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</si>
  <si>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</si>
  <si>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</si>
  <si>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</si>
  <si>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</si>
  <si>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</si>
  <si>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</si>
  <si>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</si>
  <si>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</si>
  <si>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</si>
  <si>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</si>
  <si>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</si>
  <si>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</si>
  <si>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</si>
  <si>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</si>
  <si>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</si>
  <si>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</si>
  <si>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</si>
  <si>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</si>
  <si>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</si>
  <si>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</si>
  <si>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</si>
  <si>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</si>
  <si>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</si>
  <si>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</si>
  <si>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</si>
  <si>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</si>
  <si>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</si>
  <si>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</si>
  <si>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</si>
  <si>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</si>
  <si>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</si>
  <si>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</si>
  <si>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</si>
  <si>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</si>
  <si>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</si>
  <si>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</si>
  <si>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</si>
  <si>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</si>
  <si>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</si>
  <si>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</si>
  <si>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</si>
  <si>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</si>
  <si>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</si>
  <si>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</si>
  <si>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</si>
  <si>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</si>
  <si>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</si>
  <si>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</si>
  <si>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</si>
  <si>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</si>
  <si>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</si>
  <si>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</si>
  <si>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</si>
  <si>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</si>
  <si>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</si>
  <si>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</si>
  <si>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</si>
  <si>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</si>
  <si>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</si>
  <si>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</si>
  <si>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</si>
  <si>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</si>
  <si>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</si>
  <si>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</si>
  <si>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</si>
  <si>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</si>
  <si>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</si>
  <si>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</si>
  <si>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</si>
  <si>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</si>
  <si>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</si>
  <si>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</si>
  <si>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</si>
  <si>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</si>
  <si>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</si>
  <si>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</si>
  <si>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</si>
  <si>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</si>
  <si>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</si>
  <si>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</si>
  <si>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</si>
  <si>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</si>
  <si>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</si>
  <si>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</si>
  <si>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</si>
  <si>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</si>
  <si>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</si>
  <si>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</si>
  <si>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</si>
  <si>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</si>
  <si>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</si>
  <si>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</si>
  <si>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</si>
  <si>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</si>
  <si>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</si>
  <si>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</si>
  <si>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</si>
  <si>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</si>
  <si>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</si>
  <si>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</si>
  <si>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</si>
  <si>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</si>
  <si>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</si>
  <si>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</si>
  <si>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</si>
  <si>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</si>
  <si>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</si>
  <si>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</si>
  <si>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</si>
  <si>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</si>
  <si>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</si>
  <si>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</si>
  <si>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</si>
  <si>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</si>
  <si>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</si>
  <si>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</si>
  <si>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</si>
  <si>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</si>
  <si>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</si>
  <si>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</si>
  <si>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</si>
  <si>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</si>
  <si>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</si>
  <si>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</si>
  <si>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</si>
  <si>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</si>
  <si>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</si>
  <si>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</si>
  <si>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</si>
  <si>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</si>
  <si>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</si>
  <si>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</si>
  <si>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</si>
  <si>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</si>
  <si>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</si>
  <si>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</si>
  <si>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</si>
  <si>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</si>
  <si>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</si>
  <si>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</si>
  <si>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</si>
  <si>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</si>
  <si>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</si>
  <si>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</si>
  <si>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</si>
  <si>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</si>
  <si>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</si>
  <si>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</si>
  <si>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</si>
  <si>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</si>
  <si>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</si>
  <si>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</si>
  <si>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</si>
  <si>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</si>
  <si>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</si>
  <si>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</si>
  <si>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</si>
  <si>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</si>
  <si>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</si>
  <si>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</si>
  <si>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</si>
  <si>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</si>
  <si>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</si>
  <si>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</si>
  <si>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</si>
  <si>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</si>
  <si>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</si>
  <si>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</si>
  <si>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</si>
  <si>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</si>
  <si>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</si>
  <si>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</si>
  <si>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</si>
  <si>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</si>
  <si>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</si>
  <si>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</si>
  <si>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</si>
  <si>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</si>
  <si>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</si>
  <si>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</si>
  <si>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</si>
  <si>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</si>
  <si>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</si>
  <si>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</si>
  <si>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</si>
  <si>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</si>
  <si>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</si>
  <si>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</si>
  <si>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</si>
  <si>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</si>
  <si>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</si>
  <si>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</si>
  <si>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</si>
  <si>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</si>
  <si>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</si>
  <si>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</si>
  <si>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</si>
  <si>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</si>
  <si>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</si>
  <si>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</si>
  <si>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</si>
  <si>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</si>
  <si>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</si>
  <si>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</si>
  <si>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</si>
  <si>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</si>
  <si>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</si>
  <si>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</si>
  <si>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</si>
  <si>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</si>
  <si>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</si>
  <si>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</si>
  <si>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</si>
  <si>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</si>
  <si>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</si>
  <si>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</si>
  <si>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</si>
  <si>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</si>
  <si>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</si>
  <si>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</si>
  <si>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</si>
  <si>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</si>
  <si>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</si>
  <si>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</si>
  <si>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</si>
  <si>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</si>
  <si>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</si>
  <si>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</si>
  <si>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</si>
  <si>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</si>
  <si>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</si>
  <si>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</si>
  <si>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</si>
  <si>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</si>
  <si>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</si>
  <si>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</si>
  <si>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</si>
  <si>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</si>
  <si>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</si>
  <si>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</si>
  <si>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</si>
  <si>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</si>
  <si>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</si>
  <si>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</si>
  <si>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</si>
  <si>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</si>
  <si>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</si>
  <si>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</si>
  <si>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</si>
  <si>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</si>
  <si>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</si>
  <si>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</si>
  <si>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</si>
  <si>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</si>
  <si>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</si>
  <si>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</si>
  <si>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</si>
  <si>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</si>
  <si>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</si>
  <si>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</si>
  <si>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</si>
  <si>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</si>
  <si>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</si>
  <si>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</si>
  <si>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</si>
  <si>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</si>
  <si>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</si>
  <si>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</si>
  <si>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</si>
  <si>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</si>
  <si>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</si>
  <si>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</si>
  <si>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</si>
  <si>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</si>
  <si>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</si>
  <si>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</si>
  <si>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</si>
  <si>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</si>
  <si>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</si>
  <si>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</si>
  <si>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</si>
  <si>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</si>
  <si>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</si>
  <si>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</si>
  <si>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</si>
  <si>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</si>
  <si>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</si>
  <si>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</si>
  <si>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</si>
  <si>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</si>
  <si>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</si>
  <si>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</si>
  <si>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</si>
  <si>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</si>
  <si>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</si>
  <si>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</si>
  <si>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</si>
  <si>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</si>
  <si>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</si>
  <si>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</si>
  <si>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</si>
  <si>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</si>
  <si>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</si>
  <si>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</si>
  <si>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</si>
  <si>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</si>
  <si>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</si>
  <si>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</si>
  <si>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</si>
  <si>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</si>
  <si>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</si>
  <si>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</si>
  <si>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</si>
  <si>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</si>
  <si>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</si>
  <si>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</si>
  <si>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</si>
  <si>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</si>
  <si>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</si>
  <si>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</si>
  <si>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</si>
  <si>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</si>
  <si>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</si>
  <si>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</si>
  <si>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</si>
  <si>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</si>
  <si>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</si>
  <si>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</si>
  <si>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</si>
  <si>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</si>
  <si>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</si>
  <si>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</si>
  <si>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</si>
  <si>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</si>
  <si>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</si>
  <si>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</si>
  <si>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</si>
  <si>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</si>
  <si>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</si>
  <si>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</si>
  <si>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</si>
  <si>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</si>
  <si>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</si>
  <si>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</si>
  <si>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</si>
  <si>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</si>
  <si>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</si>
  <si>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</si>
  <si>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</si>
  <si>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</si>
  <si>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</si>
  <si>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</si>
  <si>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</si>
  <si>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</si>
  <si>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</si>
  <si>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</si>
  <si>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</si>
  <si>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</si>
  <si>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</si>
  <si>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</si>
  <si>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</si>
  <si>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</si>
  <si>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</si>
  <si>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</si>
  <si>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</si>
  <si>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</si>
  <si>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</si>
  <si>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</si>
  <si>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</si>
  <si>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</si>
  <si>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</si>
  <si>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</si>
  <si>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</si>
  <si>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</si>
  <si>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</si>
  <si>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</si>
  <si>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</si>
  <si>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</si>
  <si>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</si>
  <si>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</si>
  <si>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</si>
  <si>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</si>
  <si>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</si>
  <si>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</si>
  <si>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</si>
  <si>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</si>
  <si>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</si>
  <si>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</si>
  <si>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</si>
  <si>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</si>
  <si>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</si>
  <si>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</si>
  <si>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</si>
  <si>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</si>
  <si>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</si>
  <si>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</si>
  <si>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</si>
  <si>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</si>
  <si>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</si>
  <si>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</si>
  <si>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</si>
  <si>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</si>
  <si>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</si>
  <si>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</si>
  <si>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</si>
  <si>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</si>
  <si>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</si>
  <si>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</si>
  <si>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</si>
  <si>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</si>
  <si>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</si>
  <si>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</si>
  <si>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</si>
  <si>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</si>
  <si>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</si>
  <si>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</si>
  <si>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</si>
  <si>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</si>
  <si>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</si>
  <si>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</si>
  <si>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</si>
  <si>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</si>
  <si>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</si>
  <si>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</si>
  <si>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</si>
  <si>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</si>
  <si>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</si>
  <si>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</si>
  <si>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</si>
  <si>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</si>
  <si>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</si>
  <si>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</si>
  <si>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</si>
  <si>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</si>
  <si>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</si>
  <si>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</si>
  <si>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</si>
  <si>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</si>
  <si>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</si>
  <si>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</si>
  <si>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</si>
  <si>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</si>
  <si>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</si>
  <si>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</si>
  <si>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</si>
  <si>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</si>
  <si>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</si>
  <si>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</si>
  <si>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</si>
  <si>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</si>
  <si>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</si>
  <si>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</si>
  <si>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</si>
  <si>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</si>
  <si>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</si>
  <si>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</si>
  <si>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</si>
  <si>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</si>
  <si>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</si>
  <si>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</si>
  <si>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</si>
  <si>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</si>
  <si>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</si>
  <si>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</si>
  <si>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</si>
  <si>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</si>
  <si>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</si>
  <si>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</si>
  <si>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</si>
  <si>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</si>
  <si>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</si>
  <si>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</si>
  <si>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</si>
  <si>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</si>
  <si>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</si>
  <si>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</si>
  <si>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</si>
  <si>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</si>
  <si>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</si>
  <si>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</si>
  <si>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</si>
  <si>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</si>
  <si>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</si>
  <si>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</si>
  <si>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</si>
  <si>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</si>
  <si>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</si>
  <si>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</si>
  <si>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</si>
  <si>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</si>
  <si>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</si>
  <si>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</si>
  <si>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</si>
  <si>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</si>
  <si>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</si>
  <si>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</si>
  <si>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</si>
  <si>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</si>
  <si>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</si>
  <si>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</si>
  <si>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</si>
  <si>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</si>
  <si>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</si>
  <si>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</si>
  <si>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</si>
  <si>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</si>
  <si>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</si>
  <si>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</si>
  <si>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</si>
  <si>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</si>
  <si>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</si>
  <si>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</si>
  <si>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</si>
  <si>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</si>
  <si>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</si>
  <si>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</si>
  <si>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</si>
  <si>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</si>
  <si>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</si>
  <si>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</si>
  <si>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</si>
  <si>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</si>
  <si>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</si>
  <si>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</si>
  <si>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</si>
  <si>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</si>
  <si>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</si>
  <si>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</si>
  <si>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</si>
  <si>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</si>
  <si>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</si>
  <si>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</si>
  <si>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</si>
  <si>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</si>
  <si>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</si>
  <si>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</si>
  <si>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</si>
  <si>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</si>
  <si>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</si>
  <si>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</si>
  <si>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</si>
  <si>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</si>
  <si>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</si>
  <si>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</si>
  <si>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</si>
  <si>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</si>
  <si>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</si>
  <si>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</si>
  <si>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</si>
  <si>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</si>
  <si>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</si>
  <si>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</si>
  <si>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</si>
  <si>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</si>
  <si>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</si>
  <si>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</si>
  <si>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</si>
  <si>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</si>
  <si>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</si>
  <si>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</si>
  <si>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</si>
  <si>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</si>
  <si>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</si>
  <si>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</si>
  <si>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</si>
  <si>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</si>
  <si>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</si>
  <si>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</si>
  <si>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</si>
  <si>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</si>
  <si>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</si>
  <si>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</si>
  <si>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</si>
  <si>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</si>
  <si>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</si>
  <si>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</si>
  <si>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</si>
  <si>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</si>
  <si>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</si>
  <si>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</si>
  <si>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</si>
  <si>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</si>
  <si>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</si>
  <si>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</si>
  <si>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</si>
  <si>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</si>
  <si>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</si>
  <si>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</si>
  <si>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</si>
  <si>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</si>
  <si>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</si>
  <si>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</si>
  <si>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</si>
  <si>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</si>
  <si>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</si>
  <si>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</si>
  <si>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</si>
  <si>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</si>
  <si>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</si>
  <si>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</si>
  <si>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</si>
  <si>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</si>
  <si>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</si>
  <si>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</si>
  <si>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</si>
  <si>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</si>
  <si>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</si>
  <si>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</si>
  <si>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</si>
  <si>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</si>
  <si>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</si>
  <si>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</si>
  <si>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</si>
  <si>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</si>
  <si>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</si>
  <si>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</si>
  <si>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</si>
  <si>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</si>
  <si>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</si>
  <si>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</si>
  <si>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</si>
  <si>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</si>
  <si>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</si>
  <si>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</si>
  <si>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</si>
  <si>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</si>
  <si>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</si>
  <si>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</si>
  <si>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</si>
  <si>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</si>
  <si>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</si>
  <si>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</si>
  <si>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</si>
  <si>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</si>
  <si>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</si>
  <si>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</si>
  <si>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</si>
  <si>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</si>
  <si>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</si>
  <si>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</si>
  <si>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</si>
  <si>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</si>
  <si>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</si>
  <si>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</si>
  <si>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</si>
  <si>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</si>
  <si>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</si>
  <si>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</si>
  <si>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</si>
  <si>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</si>
  <si>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</si>
  <si>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</si>
  <si>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</si>
  <si>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</si>
  <si>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</si>
  <si>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</si>
  <si>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</si>
  <si>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</si>
  <si>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</si>
  <si>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</si>
  <si>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</si>
  <si>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</si>
  <si>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</si>
  <si>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</si>
  <si>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</si>
  <si>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</si>
  <si>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</si>
  <si>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</si>
  <si>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</si>
  <si>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</si>
  <si>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</si>
  <si>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</si>
  <si>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</si>
  <si>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</si>
  <si>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</si>
  <si>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</si>
  <si>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</si>
  <si>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</si>
  <si>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</si>
  <si>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</si>
  <si>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</si>
  <si>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</si>
  <si>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</si>
  <si>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</si>
  <si>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</si>
  <si>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</si>
  <si>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</si>
  <si>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</si>
  <si>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</si>
  <si>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</si>
  <si>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</si>
  <si>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</si>
  <si>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</si>
  <si>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</si>
  <si>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</si>
  <si>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</si>
  <si>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</si>
  <si>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</si>
  <si>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</si>
  <si>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</si>
  <si>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</si>
  <si>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</si>
  <si>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</si>
  <si>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</si>
  <si>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</si>
  <si>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</si>
  <si>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</si>
  <si>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</si>
  <si>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</si>
  <si>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</si>
  <si>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</si>
  <si>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</si>
  <si>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</si>
  <si>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</si>
  <si>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</si>
  <si>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</si>
  <si>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</si>
  <si>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</si>
  <si>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</si>
  <si>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</si>
  <si>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</si>
  <si>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</si>
  <si>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</si>
  <si>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</si>
  <si>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</si>
  <si>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</si>
  <si>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</si>
  <si>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</si>
  <si>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</si>
  <si>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</si>
  <si>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</si>
  <si>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</si>
  <si>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</si>
  <si>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</si>
  <si>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</si>
  <si>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</si>
  <si>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</si>
  <si>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</si>
  <si>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</si>
  <si>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</si>
  <si>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</si>
  <si>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</si>
  <si>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</si>
  <si>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</si>
  <si>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</si>
  <si>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</si>
  <si>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</si>
  <si>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</si>
  <si>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</si>
  <si>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</si>
  <si>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</si>
  <si>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</si>
  <si>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</si>
  <si>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</si>
  <si>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</si>
  <si>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</si>
  <si>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</si>
  <si>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</si>
  <si>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</si>
  <si>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</si>
  <si>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</si>
  <si>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</si>
  <si>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</si>
  <si>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</si>
  <si>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</si>
  <si>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</si>
  <si>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</si>
  <si>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</si>
  <si>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</si>
  <si>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</si>
  <si>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</si>
  <si>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</si>
  <si>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</si>
  <si>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</si>
  <si>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</si>
  <si>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</si>
  <si>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</si>
  <si>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</si>
  <si>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</si>
  <si>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</si>
  <si>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</si>
  <si>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</si>
  <si>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</si>
  <si>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</si>
  <si>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</si>
  <si>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</si>
  <si>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</si>
  <si>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</si>
  <si>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</si>
  <si>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</si>
  <si>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</si>
  <si>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</si>
  <si>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</si>
  <si>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</si>
  <si>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</si>
  <si>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</si>
  <si>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</si>
  <si>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</si>
  <si>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</si>
  <si>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</si>
  <si>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</si>
  <si>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</si>
  <si>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</si>
  <si>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</si>
  <si>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</si>
  <si>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</si>
  <si>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</si>
  <si>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</si>
  <si>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</si>
  <si>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</si>
  <si>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</si>
  <si>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</si>
  <si>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</si>
  <si>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</si>
  <si>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</si>
  <si>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</si>
  <si>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</si>
  <si>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</si>
  <si>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</si>
  <si>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</si>
  <si>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</si>
  <si>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</si>
  <si>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</si>
  <si>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</si>
  <si>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</si>
  <si>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</si>
  <si>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</si>
  <si>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</si>
  <si>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</si>
  <si>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</si>
  <si>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</si>
  <si>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</si>
  <si>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</si>
  <si>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</si>
  <si>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</si>
  <si>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</si>
  <si>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</si>
  <si>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</si>
  <si>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</si>
  <si>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</si>
  <si>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</si>
  <si>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</si>
  <si>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</si>
  <si>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</si>
  <si>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</si>
  <si>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</si>
  <si>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</si>
  <si>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</si>
  <si>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</si>
  <si>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</si>
  <si>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</si>
  <si>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</si>
  <si>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</si>
  <si>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</si>
  <si>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</si>
  <si>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</si>
  <si>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</si>
  <si>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</si>
  <si>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</si>
  <si>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</si>
  <si>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</si>
  <si>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</si>
  <si>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</si>
  <si>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</si>
  <si>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</si>
  <si>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</si>
  <si>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</si>
  <si>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</si>
  <si>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</si>
  <si>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</si>
  <si>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</si>
  <si>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</si>
  <si>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</si>
  <si>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</si>
  <si>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</si>
  <si>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</si>
  <si>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</si>
  <si>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</si>
  <si>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</si>
  <si>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</si>
  <si>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</si>
  <si>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</si>
  <si>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</si>
  <si>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</si>
  <si>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</si>
  <si>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</si>
  <si>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</si>
  <si>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</si>
  <si>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</si>
  <si>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</si>
  <si>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</si>
  <si>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</si>
  <si>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</si>
  <si>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</si>
  <si>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</si>
  <si>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</si>
  <si>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</si>
  <si>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</si>
  <si>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</si>
  <si>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</si>
  <si>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</si>
  <si>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</si>
  <si>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</si>
  <si>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</si>
  <si>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</si>
  <si>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</si>
  <si>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</si>
  <si>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</si>
  <si>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</si>
  <si>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</si>
  <si>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</si>
  <si>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</si>
  <si>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</si>
  <si>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</si>
  <si>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</si>
  <si>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</si>
  <si>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</si>
  <si>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</si>
  <si>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</si>
  <si>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</si>
  <si>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</si>
  <si>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</si>
  <si>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</si>
  <si>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</si>
  <si>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</si>
  <si>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</si>
  <si>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</si>
  <si>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</si>
  <si>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</si>
  <si>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</si>
  <si>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</si>
  <si>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</si>
  <si>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</si>
  <si>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</si>
  <si>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</si>
  <si>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</si>
  <si>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</si>
  <si>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</si>
  <si>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</si>
  <si>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</si>
  <si>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</si>
  <si>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</si>
  <si>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</si>
  <si>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</si>
  <si>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</si>
  <si>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</si>
  <si>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</si>
  <si>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</si>
  <si>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</si>
  <si>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</si>
  <si>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</si>
  <si>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</si>
  <si>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</si>
  <si>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</si>
  <si>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</si>
  <si>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</si>
  <si>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</si>
  <si>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</si>
  <si>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</si>
  <si>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</si>
  <si>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</si>
  <si>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</si>
  <si>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</si>
  <si>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</si>
  <si>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</si>
  <si>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</si>
  <si>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</si>
  <si>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</si>
  <si>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</si>
  <si>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</si>
  <si>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</si>
  <si>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</si>
  <si>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</si>
  <si>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</si>
  <si>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</si>
  <si>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</si>
  <si>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</si>
  <si>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</si>
  <si>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</si>
  <si>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</si>
  <si>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</si>
  <si>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</si>
  <si>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</si>
  <si>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</si>
  <si>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</si>
  <si>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</si>
  <si>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</si>
  <si>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</si>
  <si>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</si>
  <si>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</si>
  <si>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</si>
  <si>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</si>
  <si>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</si>
  <si>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</si>
  <si>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</si>
  <si>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</si>
  <si>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</si>
  <si>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</si>
  <si>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</si>
  <si>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</si>
  <si>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</si>
  <si>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</si>
  <si>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</si>
  <si>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</si>
  <si>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</si>
  <si>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</si>
  <si>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</si>
  <si>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</si>
  <si>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</si>
  <si>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</si>
  <si>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</si>
  <si>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</si>
  <si>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</si>
  <si>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</si>
  <si>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</si>
  <si>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</si>
  <si>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</si>
  <si>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</si>
  <si>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</si>
  <si>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</si>
  <si>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</si>
  <si>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</si>
  <si>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</si>
  <si>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</si>
  <si>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</si>
  <si>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</si>
  <si>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</si>
  <si>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</si>
  <si>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</si>
  <si>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</si>
  <si>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</si>
  <si>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</si>
  <si>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</si>
  <si>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</si>
  <si>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</si>
  <si>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</si>
  <si>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</si>
  <si>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</si>
  <si>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</si>
  <si>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</si>
  <si>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</si>
  <si>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</si>
  <si>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</si>
  <si>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</si>
  <si>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</si>
  <si>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</si>
  <si>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</si>
  <si>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</si>
  <si>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</si>
  <si>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</si>
  <si>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</si>
  <si>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</si>
  <si>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</si>
  <si>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</si>
  <si>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</si>
  <si>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</si>
  <si>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</si>
  <si>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</si>
  <si>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</si>
  <si>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</si>
  <si>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</si>
  <si>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</si>
  <si>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</si>
  <si>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</si>
  <si>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</si>
  <si>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</si>
  <si>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</si>
  <si>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</si>
  <si>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</si>
  <si>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</si>
  <si>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</si>
  <si>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</si>
  <si>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</si>
  <si>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</si>
  <si>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</si>
  <si>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</si>
  <si>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</si>
  <si>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</si>
  <si>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</si>
  <si>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</si>
  <si>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</si>
  <si>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</si>
  <si>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</si>
  <si>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</si>
  <si>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</si>
  <si>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</si>
  <si>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</si>
  <si>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</si>
  <si>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</si>
  <si>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</si>
  <si>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</si>
  <si>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</si>
  <si>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</si>
  <si>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</si>
  <si>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</si>
  <si>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</si>
  <si>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</si>
  <si>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</si>
  <si>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</si>
  <si>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</si>
  <si>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</si>
  <si>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</si>
  <si>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</si>
  <si>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</si>
  <si>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</si>
  <si>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</si>
  <si>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</si>
  <si>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</si>
  <si>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</si>
  <si>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</si>
  <si>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</si>
  <si>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</si>
  <si>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</si>
  <si>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</si>
  <si>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</si>
  <si>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</si>
  <si>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</si>
  <si>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</si>
  <si>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</si>
  <si>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</si>
  <si>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</si>
  <si>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</si>
  <si>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</si>
  <si>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</si>
  <si>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</si>
  <si>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</si>
  <si>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</si>
  <si>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</si>
  <si>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</si>
  <si>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</si>
  <si>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</si>
  <si>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</si>
  <si>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</si>
  <si>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</si>
  <si>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</si>
  <si>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</si>
  <si>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</si>
  <si>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</si>
  <si>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</si>
  <si>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</si>
  <si>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</si>
  <si>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</si>
  <si>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</si>
  <si>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</si>
  <si>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</si>
  <si>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</si>
  <si>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</si>
  <si>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</si>
  <si>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</si>
  <si>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</si>
  <si>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</si>
  <si>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</si>
  <si>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</si>
  <si>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</si>
  <si>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</si>
  <si>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</si>
  <si>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</si>
  <si>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</si>
  <si>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</si>
  <si>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</si>
  <si>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</si>
  <si>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</si>
  <si>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</si>
  <si>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</si>
  <si>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</si>
  <si>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</si>
  <si>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</si>
  <si>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</si>
  <si>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</si>
  <si>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</si>
  <si>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</si>
  <si>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</si>
  <si>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</si>
  <si>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</si>
  <si>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</si>
  <si>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</si>
  <si>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</si>
  <si>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</si>
  <si>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</si>
  <si>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</si>
  <si>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</si>
  <si>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</si>
  <si>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</si>
  <si>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</si>
  <si>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</si>
  <si>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</si>
  <si>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</si>
  <si>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</si>
  <si>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</si>
  <si>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</si>
  <si>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</si>
  <si>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</si>
  <si>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</si>
  <si>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</si>
  <si>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</si>
  <si>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</si>
  <si>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</si>
  <si>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</si>
  <si>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</si>
  <si>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</si>
  <si>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</si>
  <si>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</si>
  <si>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</si>
  <si>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</si>
  <si>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</si>
  <si>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</si>
  <si>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</si>
  <si>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</si>
  <si>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</si>
  <si>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</si>
  <si>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</si>
  <si>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</si>
  <si>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</si>
  <si>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</si>
  <si>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</si>
  <si>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</si>
  <si>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</si>
  <si>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</si>
  <si>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</si>
  <si>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</si>
  <si>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</si>
  <si>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</si>
  <si>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</si>
  <si>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</si>
  <si>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</si>
  <si>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</si>
  <si>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</si>
  <si>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</si>
  <si>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</si>
  <si>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</si>
  <si>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</si>
  <si>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</si>
  <si>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</si>
  <si>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</si>
  <si>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</si>
  <si>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</si>
  <si>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</si>
  <si>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</si>
  <si>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</si>
  <si>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</si>
  <si>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</si>
  <si>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</si>
  <si>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</si>
  <si>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</si>
  <si>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</si>
  <si>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</si>
  <si>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</si>
  <si>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</si>
  <si>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</si>
  <si>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</si>
  <si>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</si>
  <si>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</si>
  <si>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</si>
  <si>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</si>
  <si>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</si>
  <si>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</si>
  <si>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</si>
  <si>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</si>
  <si>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</si>
  <si>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</si>
  <si>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</si>
  <si>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</si>
  <si>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</si>
  <si>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</si>
  <si>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</si>
  <si>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</si>
  <si>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</si>
  <si>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</si>
  <si>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</si>
  <si>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</si>
  <si>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</si>
  <si>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</si>
  <si>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</si>
  <si>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</si>
  <si>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</si>
  <si>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</si>
  <si>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</si>
  <si>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</si>
  <si>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</si>
  <si>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</si>
  <si>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</si>
  <si>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</si>
  <si>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</si>
  <si>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</si>
  <si>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</si>
  <si>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</si>
  <si>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</si>
  <si>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</si>
  <si>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</si>
  <si>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</si>
  <si>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</si>
  <si>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</si>
  <si>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</si>
  <si>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</si>
  <si>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</si>
  <si>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</si>
  <si>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</si>
  <si>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</si>
  <si>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</si>
  <si>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</si>
  <si>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</si>
  <si>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</si>
  <si>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</si>
  <si>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</si>
  <si>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</si>
  <si>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</si>
  <si>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</si>
  <si>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</si>
  <si>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</si>
  <si>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</si>
  <si>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</si>
  <si>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</si>
  <si>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</si>
  <si>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</si>
  <si>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</si>
  <si>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</si>
  <si>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</si>
  <si>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</si>
  <si>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</si>
  <si>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</si>
  <si>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</si>
  <si>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</si>
  <si>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</si>
  <si>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</si>
  <si>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</si>
  <si>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</si>
  <si>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</si>
  <si>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</si>
  <si>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</si>
  <si>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</si>
  <si>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</si>
  <si>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</si>
  <si>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</si>
  <si>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</si>
  <si>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</si>
  <si>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</si>
  <si>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</si>
  <si>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</si>
  <si>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</si>
  <si>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</si>
  <si>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</si>
  <si>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</si>
  <si>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</si>
  <si>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</si>
  <si>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</si>
  <si>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</si>
  <si>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</si>
  <si>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</si>
  <si>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</si>
  <si>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</si>
  <si>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</si>
  <si>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</si>
  <si>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</si>
  <si>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</si>
  <si>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</si>
  <si>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</si>
  <si>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</si>
  <si>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</si>
  <si>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</si>
  <si>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</si>
  <si>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</si>
  <si>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</si>
  <si>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</si>
  <si>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</si>
  <si>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</si>
  <si>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</si>
  <si>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</si>
  <si>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</si>
  <si>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</si>
  <si>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</si>
  <si>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</si>
  <si>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</si>
  <si>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</si>
  <si>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</si>
  <si>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</si>
  <si>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</si>
  <si>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</si>
  <si>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</si>
  <si>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</si>
  <si>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</si>
  <si>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</si>
  <si>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</si>
  <si>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</si>
  <si>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</si>
  <si>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</si>
  <si>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</si>
  <si>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</si>
  <si>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</si>
  <si>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</si>
  <si>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</si>
  <si>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</si>
  <si>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</si>
  <si>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</si>
  <si>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</si>
  <si>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</si>
  <si>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</si>
  <si>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</si>
  <si>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</si>
  <si>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</si>
  <si>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</si>
  <si>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</si>
  <si>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</si>
  <si>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</si>
  <si>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</si>
  <si>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</si>
  <si>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</si>
  <si>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</si>
  <si>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</si>
  <si>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</si>
  <si>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</si>
  <si>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</si>
  <si>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</si>
  <si>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</si>
  <si>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</si>
  <si>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</si>
  <si>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</si>
  <si>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</si>
  <si>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</si>
  <si>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</si>
  <si>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</si>
  <si>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</si>
  <si>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</si>
  <si>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</si>
  <si>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</si>
  <si>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</si>
  <si>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</si>
  <si>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</si>
  <si>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</si>
  <si>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</si>
  <si>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</si>
  <si>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</si>
  <si>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</si>
  <si>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</si>
  <si>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</si>
  <si>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</si>
  <si>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</si>
  <si>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</si>
  <si>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</si>
  <si>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</si>
  <si>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</si>
  <si>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</si>
  <si>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</si>
  <si>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</si>
  <si>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</si>
  <si>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</si>
  <si>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</si>
  <si>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</si>
  <si>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</si>
  <si>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</si>
  <si>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</si>
  <si>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</si>
  <si>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</si>
  <si>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</si>
  <si>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</si>
  <si>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</si>
  <si>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</si>
  <si>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</si>
  <si>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</si>
  <si>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</si>
  <si>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</si>
  <si>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</si>
  <si>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</si>
  <si>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</si>
  <si>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</si>
  <si>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</si>
  <si>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</si>
  <si>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</si>
  <si>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</si>
  <si>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</si>
  <si>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</si>
  <si>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</si>
  <si>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</si>
  <si>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</si>
  <si>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</si>
  <si>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</si>
  <si>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</si>
  <si>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</si>
  <si>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</si>
  <si>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</si>
  <si>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</si>
  <si>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</si>
  <si>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</si>
  <si>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</si>
  <si>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</si>
  <si>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</si>
  <si>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</si>
  <si>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</si>
  <si>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</si>
  <si>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</si>
  <si>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</si>
  <si>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</si>
  <si>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</si>
  <si>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</si>
  <si>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</si>
  <si>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</si>
  <si>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</si>
  <si>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</si>
  <si>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</si>
  <si>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</si>
  <si>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</si>
  <si>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</si>
  <si>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</si>
  <si>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</si>
  <si>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</si>
  <si>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</si>
  <si>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</si>
  <si>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</si>
  <si>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</si>
  <si>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</si>
  <si>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</si>
  <si>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</si>
  <si>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</si>
  <si>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</si>
  <si>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</si>
  <si>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</si>
  <si>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</si>
  <si>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</si>
  <si>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</si>
  <si>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</si>
  <si>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</si>
  <si>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</si>
  <si>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</si>
  <si>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</si>
  <si>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</si>
  <si>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</si>
  <si>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</si>
  <si>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</si>
  <si>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</si>
  <si>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</si>
  <si>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</si>
  <si>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</si>
  <si>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</si>
  <si>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</si>
  <si>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</si>
  <si>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</si>
  <si>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</si>
  <si>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</si>
  <si>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</si>
  <si>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</si>
  <si>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</si>
  <si>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</si>
  <si>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</si>
  <si>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</si>
  <si>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</si>
  <si>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</si>
  <si>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</si>
  <si>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</si>
  <si>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</si>
  <si>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</si>
  <si>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</si>
  <si>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</si>
  <si>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</si>
  <si>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</si>
  <si>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</si>
  <si>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</si>
  <si>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</si>
  <si>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</si>
  <si>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</si>
  <si>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</si>
  <si>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</si>
  <si>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</si>
  <si>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</si>
  <si>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</si>
  <si>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</si>
  <si>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</si>
  <si>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</si>
  <si>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</si>
  <si>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</si>
  <si>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</si>
  <si>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</si>
  <si>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</si>
  <si>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</si>
  <si>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</si>
  <si>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</si>
  <si>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</si>
  <si>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</si>
  <si>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</si>
  <si>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</si>
  <si>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</si>
  <si>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</si>
  <si>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</si>
  <si>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</si>
  <si>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</si>
  <si>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</si>
  <si>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</si>
  <si>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</si>
  <si>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</si>
  <si>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</si>
  <si>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</si>
  <si>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</si>
  <si>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</si>
  <si>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</si>
  <si>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</si>
  <si>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</si>
  <si>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</si>
  <si>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</si>
  <si>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</si>
  <si>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</si>
  <si>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</si>
  <si>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</si>
  <si>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</si>
  <si>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</si>
  <si>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</si>
  <si>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</si>
  <si>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</si>
  <si>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</si>
  <si>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</si>
  <si>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</si>
  <si>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</si>
  <si>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</si>
  <si>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</si>
  <si>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</si>
  <si>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</si>
  <si>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</si>
  <si>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</si>
  <si>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</si>
  <si>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</si>
  <si>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</si>
  <si>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</si>
  <si>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</si>
  <si>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</si>
  <si>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</si>
  <si>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</si>
  <si>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</si>
  <si>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</si>
  <si>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</si>
  <si>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</si>
  <si>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</si>
  <si>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</si>
  <si>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</si>
  <si>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</si>
  <si>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</si>
  <si>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</si>
  <si>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</si>
  <si>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</si>
  <si>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</si>
  <si>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</si>
  <si>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</si>
  <si>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</si>
  <si>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</si>
  <si>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</si>
  <si>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</si>
  <si>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</si>
  <si>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</si>
  <si>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</si>
  <si>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</si>
  <si>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</si>
  <si>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</si>
  <si>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</si>
  <si>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</si>
  <si>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</si>
  <si>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</si>
  <si>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</si>
  <si>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</si>
  <si>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</si>
  <si>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</si>
  <si>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</si>
  <si>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</si>
  <si>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</si>
  <si>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</si>
  <si>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</si>
  <si>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</si>
  <si>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</si>
  <si>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</si>
  <si>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</si>
  <si>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</si>
  <si>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</si>
  <si>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</si>
  <si>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</si>
  <si>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</si>
  <si>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</si>
  <si>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</si>
  <si>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</si>
  <si>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</si>
  <si>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</si>
  <si>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</si>
  <si>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</si>
  <si>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</si>
  <si>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</si>
  <si>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</si>
  <si>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</si>
  <si>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</si>
  <si>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</si>
  <si>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</si>
  <si>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</si>
  <si>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</si>
  <si>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</si>
  <si>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</si>
  <si>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</si>
  <si>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</si>
  <si>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</si>
  <si>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</si>
  <si>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</si>
  <si>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</si>
  <si>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</si>
  <si>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</si>
  <si>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</si>
  <si>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</si>
  <si>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</si>
  <si>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</si>
  <si>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</si>
  <si>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</si>
  <si>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</si>
  <si>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</si>
  <si>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</si>
  <si>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</si>
  <si>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</si>
  <si>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</si>
  <si>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</si>
  <si>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</si>
  <si>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</si>
  <si>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</si>
  <si>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</si>
  <si>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</si>
  <si>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</si>
  <si>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</si>
  <si>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</si>
  <si>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</si>
  <si>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</si>
  <si>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</si>
  <si>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</si>
  <si>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</si>
  <si>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</si>
  <si>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</si>
  <si>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</si>
  <si>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</si>
  <si>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</si>
  <si>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</si>
  <si>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</si>
  <si>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</si>
  <si>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</si>
  <si>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</si>
  <si>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</si>
  <si>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</si>
  <si>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</si>
  <si>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</si>
  <si>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</si>
  <si>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</si>
  <si>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</si>
  <si>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</si>
  <si>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</si>
  <si>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</si>
  <si>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</si>
  <si>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</si>
  <si>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</si>
  <si>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</si>
  <si>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</si>
  <si>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</si>
  <si>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</si>
  <si>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</si>
  <si>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</si>
  <si>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</si>
  <si>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</si>
  <si>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</si>
  <si>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</si>
  <si>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</si>
  <si>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</si>
  <si>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</si>
  <si>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</si>
  <si>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</si>
  <si>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</si>
  <si>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</si>
  <si>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</si>
  <si>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</si>
  <si>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</si>
  <si>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</si>
  <si>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</si>
  <si>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</si>
  <si>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</si>
  <si>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</si>
  <si>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</si>
  <si>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</si>
  <si>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</si>
  <si>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</si>
  <si>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</si>
  <si>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</si>
  <si>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</si>
  <si>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</si>
  <si>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</si>
  <si>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</si>
  <si>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</si>
  <si>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</si>
  <si>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</si>
  <si>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</si>
  <si>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</si>
  <si>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</si>
  <si>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</si>
  <si>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</si>
  <si>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</si>
  <si>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</si>
  <si>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</si>
  <si>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</si>
  <si>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</si>
  <si>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</si>
  <si>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</si>
  <si>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</si>
  <si>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</si>
  <si>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</si>
  <si>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</si>
  <si>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</si>
  <si>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</si>
  <si>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</si>
  <si>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</si>
  <si>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</si>
  <si>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</si>
  <si>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</si>
  <si>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</si>
  <si>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</si>
  <si>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</si>
  <si>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</si>
  <si>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</si>
  <si>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</si>
  <si>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</si>
  <si>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</si>
  <si>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</si>
  <si>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</si>
  <si>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</si>
  <si>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</si>
  <si>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</si>
  <si>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</si>
  <si>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</si>
  <si>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</si>
  <si>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</si>
  <si>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</si>
  <si>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</si>
  <si>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</si>
  <si>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</si>
  <si>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</si>
  <si>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</si>
  <si>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</si>
  <si>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</si>
  <si>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</si>
  <si>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</si>
  <si>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</si>
  <si>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</si>
  <si>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</si>
  <si>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</si>
  <si>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</si>
  <si>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</si>
  <si>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</si>
  <si>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</si>
  <si>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</si>
  <si>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</si>
  <si>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</si>
  <si>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</si>
  <si>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</si>
  <si>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</si>
  <si>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</si>
  <si>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</si>
  <si>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</si>
  <si>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</si>
  <si>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</si>
  <si>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</si>
  <si>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</si>
  <si>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</si>
  <si>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</si>
  <si>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</si>
  <si>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</si>
  <si>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</si>
  <si>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</si>
  <si>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</si>
  <si>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</si>
  <si>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</si>
  <si>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</si>
  <si>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</si>
  <si>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</si>
  <si>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</si>
  <si>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</si>
  <si>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</si>
  <si>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</si>
  <si>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</si>
  <si>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</si>
  <si>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</si>
  <si>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</si>
  <si>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</si>
  <si>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</si>
  <si>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</si>
  <si>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</si>
  <si>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</si>
  <si>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</si>
  <si>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</si>
  <si>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</si>
  <si>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</si>
  <si>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</si>
  <si>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</si>
  <si>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</si>
  <si>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</si>
  <si>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</si>
  <si>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</si>
  <si>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</si>
  <si>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</si>
  <si>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</si>
  <si>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</si>
  <si>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</si>
  <si>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</si>
  <si>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</si>
  <si>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</si>
  <si>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</si>
  <si>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</si>
  <si>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</si>
  <si>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</si>
  <si>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</si>
  <si>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</si>
  <si>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</si>
  <si>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</si>
  <si>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</si>
  <si>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</si>
  <si>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</si>
  <si>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</si>
  <si>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</si>
  <si>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</si>
  <si>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</si>
  <si>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</si>
  <si>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</si>
  <si>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</si>
  <si>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</si>
  <si>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</si>
  <si>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</si>
  <si>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</si>
  <si>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</si>
  <si>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</si>
  <si>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</si>
  <si>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</si>
  <si>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</si>
  <si>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</si>
  <si>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</si>
  <si>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</si>
  <si>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</si>
  <si>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</si>
  <si>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</si>
  <si>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</si>
  <si>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</si>
  <si>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</si>
  <si>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</si>
  <si>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</si>
  <si>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</si>
  <si>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</si>
  <si>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</si>
  <si>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</si>
  <si>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</si>
  <si>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</si>
  <si>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</si>
  <si>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</si>
  <si>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</si>
  <si>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</si>
  <si>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</si>
  <si>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</si>
  <si>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</si>
  <si>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</si>
  <si>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</si>
  <si>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</si>
  <si>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</si>
  <si>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</si>
  <si>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</si>
  <si>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</si>
  <si>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</si>
  <si>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</si>
  <si>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</si>
  <si>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</si>
  <si>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</si>
  <si>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</si>
  <si>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</si>
  <si>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</si>
  <si>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</si>
  <si>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</si>
  <si>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</si>
  <si>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</si>
  <si>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</si>
  <si>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</si>
  <si>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</si>
  <si>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</si>
  <si>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</si>
  <si>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</si>
  <si>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</si>
  <si>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</si>
  <si>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</si>
  <si>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</si>
  <si>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</si>
  <si>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</si>
  <si>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</si>
  <si>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</si>
  <si>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</si>
  <si>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</si>
  <si>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</si>
  <si>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</si>
  <si>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</si>
  <si>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</si>
  <si>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</si>
  <si>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</si>
  <si>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</si>
  <si>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</si>
  <si>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</si>
  <si>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</si>
  <si>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</si>
  <si>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</si>
  <si>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</si>
  <si>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</si>
  <si>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</si>
  <si>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</si>
  <si>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</si>
  <si>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</si>
  <si>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</si>
  <si>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</si>
  <si>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</si>
  <si>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</si>
  <si>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</si>
  <si>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</si>
  <si>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</si>
  <si>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</si>
  <si>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</si>
  <si>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</si>
  <si>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</si>
  <si>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</si>
  <si>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</si>
  <si>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</si>
  <si>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</si>
  <si>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</si>
  <si>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</si>
  <si>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</si>
  <si>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</si>
  <si>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</si>
  <si>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</si>
  <si>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</si>
  <si>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</si>
  <si>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</si>
  <si>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</si>
  <si>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</si>
  <si>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</si>
  <si>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</si>
  <si>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</si>
  <si>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</si>
  <si>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</si>
  <si>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</si>
  <si>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</si>
  <si>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</si>
  <si>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</si>
  <si>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</si>
  <si>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</si>
  <si>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</si>
  <si>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</si>
  <si>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</si>
  <si>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</si>
  <si>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</si>
  <si>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</si>
  <si>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</si>
  <si>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</si>
  <si>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</si>
  <si>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</si>
  <si>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</si>
  <si>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</si>
  <si>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</si>
  <si>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</si>
  <si>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</si>
  <si>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</si>
  <si>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</si>
  <si>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</si>
  <si>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</si>
  <si>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</si>
  <si>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</si>
  <si>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</si>
  <si>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</si>
  <si>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</si>
  <si>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</si>
  <si>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</si>
  <si>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</si>
  <si>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</si>
  <si>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</si>
  <si>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</si>
  <si>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</si>
  <si>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</si>
  <si>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</si>
  <si>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</si>
  <si>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</si>
  <si>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</si>
  <si>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</si>
  <si>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</si>
  <si>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</si>
  <si>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</si>
  <si>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</si>
  <si>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</si>
  <si>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</si>
  <si>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</si>
  <si>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</si>
  <si>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</si>
  <si>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</si>
  <si>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</si>
  <si>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</si>
  <si>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</si>
  <si>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</si>
  <si>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</si>
  <si>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</si>
  <si>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</si>
  <si>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</si>
  <si>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</si>
  <si>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</si>
  <si>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</si>
  <si>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</si>
  <si>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</si>
  <si>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</si>
  <si>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</si>
  <si>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</si>
  <si>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</si>
  <si>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</si>
  <si>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</si>
  <si>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</si>
  <si>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</si>
  <si>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</si>
  <si>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</si>
  <si>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</si>
  <si>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</si>
  <si>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</si>
  <si>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</si>
  <si>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</si>
  <si>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</si>
  <si>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</si>
  <si>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</si>
  <si>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</si>
  <si>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</si>
  <si>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</si>
  <si>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</si>
  <si>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</si>
  <si>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</si>
  <si>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</si>
  <si>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</si>
  <si>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</si>
  <si>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</si>
  <si>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</si>
  <si>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</si>
  <si>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</si>
  <si>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</si>
  <si>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</si>
  <si>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</si>
  <si>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</si>
  <si>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</si>
  <si>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</si>
  <si>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</si>
  <si>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</si>
  <si>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</si>
  <si>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</si>
  <si>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</si>
  <si>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</si>
  <si>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</si>
  <si>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</si>
  <si>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</si>
  <si>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</si>
  <si>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</si>
  <si>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</si>
  <si>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</si>
  <si>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</si>
  <si>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</si>
  <si>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</si>
  <si>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</si>
  <si>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</si>
  <si>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</si>
  <si>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</si>
  <si>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</si>
  <si>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</si>
  <si>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</si>
  <si>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</si>
  <si>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</si>
  <si>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</si>
  <si>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</si>
  <si>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</si>
  <si>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</si>
  <si>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</si>
  <si>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</si>
  <si>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</si>
  <si>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</si>
  <si>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</si>
  <si>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</si>
  <si>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</si>
  <si>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</si>
  <si>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</si>
  <si>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</si>
  <si>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</si>
  <si>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</si>
  <si>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</si>
  <si>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</si>
  <si>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</si>
  <si>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</si>
  <si>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</si>
  <si>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</si>
  <si>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</si>
  <si>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</si>
  <si>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</si>
  <si>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</si>
  <si>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</si>
  <si>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</si>
  <si>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</si>
  <si>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</si>
  <si>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</si>
  <si>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</si>
  <si>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</si>
  <si>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</si>
  <si>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</si>
  <si>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</si>
  <si>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</si>
  <si>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</si>
  <si>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</si>
  <si>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</si>
  <si>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</si>
  <si>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</si>
  <si>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</si>
  <si>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</si>
  <si>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</si>
  <si>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</si>
  <si>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</si>
  <si>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</si>
  <si>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</si>
  <si>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</si>
  <si>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</si>
  <si>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</si>
  <si>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</si>
  <si>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</si>
  <si>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</si>
  <si>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</si>
  <si>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</si>
  <si>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</si>
  <si>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</si>
  <si>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</si>
  <si>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</si>
  <si>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</si>
  <si>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</si>
  <si>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</si>
  <si>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</si>
  <si>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</si>
  <si>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</si>
  <si>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</si>
  <si>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</si>
  <si>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</si>
  <si>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</si>
  <si>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</si>
  <si>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</si>
  <si>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</si>
  <si>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</si>
  <si>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</si>
  <si>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</si>
  <si>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</si>
  <si>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</si>
  <si>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</si>
  <si>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</si>
  <si>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</si>
  <si>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</si>
  <si>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</si>
  <si>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</si>
  <si>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</si>
  <si>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</si>
  <si>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</si>
  <si>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</si>
  <si>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</si>
  <si>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</si>
  <si>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</si>
  <si>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</si>
  <si>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</si>
  <si>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</si>
  <si>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</si>
  <si>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</si>
  <si>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</si>
  <si>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</si>
  <si>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</si>
  <si>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</si>
  <si>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</si>
  <si>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</si>
  <si>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</si>
  <si>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</si>
  <si>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</si>
  <si>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</si>
  <si>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</si>
  <si>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</si>
  <si>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</si>
  <si>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</si>
  <si>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</si>
  <si>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</si>
  <si>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</si>
  <si>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</si>
  <si>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</si>
  <si>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</si>
  <si>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</si>
  <si>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</si>
  <si>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</si>
  <si>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</si>
  <si>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</si>
  <si>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</si>
  <si>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</si>
  <si>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</si>
  <si>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</si>
  <si>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</si>
  <si>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</si>
  <si>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</si>
  <si>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</si>
  <si>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</si>
  <si>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</si>
  <si>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</si>
  <si>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</si>
  <si>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</si>
  <si>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</si>
  <si>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</si>
  <si>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</si>
  <si>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</si>
  <si>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</si>
  <si>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</si>
  <si>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</si>
  <si>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</si>
  <si>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</si>
  <si>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</si>
  <si>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</si>
  <si>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</si>
  <si>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</si>
  <si>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</si>
  <si>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</si>
  <si>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</si>
  <si>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</si>
  <si>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</si>
  <si>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</si>
  <si>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</si>
  <si>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</si>
  <si>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</si>
  <si>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</si>
  <si>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</si>
  <si>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</si>
  <si>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</si>
  <si>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</si>
  <si>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</si>
  <si>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</si>
  <si>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</si>
  <si>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</si>
  <si>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</si>
  <si>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</si>
  <si>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</si>
  <si>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</si>
  <si>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</si>
  <si>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</si>
  <si>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</si>
  <si>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เหตุผลที่ปรับคะแนน:
จากภาพล่าสุดพบว่าเวลารอรับบริการคือ 0:01:28 และเวลาให้บริการคือ 0:17:38 ซึ่งยังอยู่ในเกณฑ์การให้บริการ อีกทั้ง Tag เคสระบุเป็น ขอเปิดระบบกรณีถูกระงับ (อุบัติเหตุธุรกรรม) ซึ่งเกี่ยวข้องกับบริบทที่ไรเดอร์แจ้งเรื่องยางแตกและต้องการส่งหลักฐานเพื่อให้พิจารณาเปิดระบบ จึงไม่ควรถูกหักคะแนนในหัวข้อนี้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</si>
  <si>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</si>
  <si>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</si>
  <si>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</si>
  <si>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เหตุผลที่ปรับคะแนน:
จากไฟล์เดิมให้ 11/15 โดยมองว่าเป็นเคสขอปลดระงับบัญชี แต่จากบทสนทนาจริงเป็นเรื่องยางแตกและหลักฐานไม่มีใบเสร็จ แอดมินมีการขอหลักฐานเพิ่มเติมและส่งเรื่องพิจารณา จึงถือว่าแก้ปัญหาได้ตรงบริบทมากขึ้น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</si>
  <si>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</si>
  <si>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</si>
  <si>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</si>
  <si>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</si>
  <si>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</si>
  <si>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</si>
  <si>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</si>
  <si>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</si>
  <si>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</si>
  <si>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</si>
  <si>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</si>
  <si>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</si>
  <si>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</si>
  <si>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</si>
  <si>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</si>
  <si>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</si>
  <si>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</si>
  <si>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</si>
  <si>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</si>
  <si>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</si>
  <si>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</si>
  <si>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</si>
  <si>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</si>
  <si>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</si>
  <si>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 ถ้วยฟู ยินดีให้บริการค่ะ”
“หากยังมีข้อสงสัยหรือต้องการให้แอดมินช่วยตรวจสอบเพิ่มเติมสามารถติดต่อเข้ามาได้อีกครั้งค่ะ”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</si>
  <si>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</si>
  <si>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มีการขอหมายเลขออเดอร์เพื่อตรวจสอบ แต่ยังไม่ได้อธิบายขั้นตอนการตรวจสอบเพิ่มเติม
เงื่อนไขที่ใช้หักคะแนน:
เข้ากลุ่มพลาดเล็กน้อย
ตัวอย่างจากเคส:
“แอดมินขอทราบหมายเลขออเดอร์เพื่อดำเนินการตรวจสอบให้ค่ะ”</t>
  </si>
  <si>
    <t>คำตอบถูกต้องบางส่วน แต่ยังไม่ตอบประเด็นหลักเรื่องการยกเลิกและคืนเงิน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</t>
  </si>
  <si>
    <t>คำตอบยังไม่ครบถ้วน ขาดการแจ้งแนวทางกรณีร้านปิด กดยกเลิกไม่ได้ และการคืนเงิน
เงื่อนไขที่ใช้หักคะแนน:
เข้ากลุ่มพลาดปานกลาง
ตัวอย่างจากเคส:
“ยกเลิกปังปอนไรเดอแจ้งไม่รับออเดอช่วยยกเลิกคืนเงิน / กดยกเลิกไม่ได้”
ตัวอย่างที่ถูกต้องมากขึ้น:
“แอดมินเข้าใจว่าลูกค้าต้องการยกเลิกออเดอร์ เนื่องจากร้านปิดและกดยกเลิกเองไม่ได้ รบกวนขอหมายเลขออเดอร์เพิ่มเติมนะคะ แอดมินจะตรวจสอบสถานะออเดอร์และแนวทางการคืนเงินให้ค่ะ”</t>
  </si>
  <si>
    <t>แจ้งเพียงให้ส่งหมายเลขออเดอร์ แต่ยังไม่ได้ระบุขั้นตอนถัดไป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
ตัวอย่างที่ถูกต้องมากขึ้น:
“หลังจากได้รับหมายเลขออเดอร์ แอดมินจะตรวจสอบสถานะคำสั่งซื้อ สถานะการชำระเงิน และแนวทางการยกเลิก/คืนเงินให้นะคะ”</t>
  </si>
  <si>
    <t>รับเรื่องได้ถูกต้อง แต่ยังไม่เห็นการแก้ไขปัญหาเรื่องยกเลิกและคืนเงินอย่างชัดเจน
เงื่อนไขที่ใช้หักคะแนน:
เข้ากลุ่มพลาดปานกลาง
ตัวอย่างจากเคส:
แอดมินขอหมายเลขออเดอร์ แต่ยังไม่ได้อธิบายแนวทางการแก้ไขปัญหาเรื่องกดยกเลิกไม่ได้และการคืนเงิน
ตัวอย่างที่ถูกต้องมากขึ้น:
“แอดมินเข้าใจว่าลูกค้ากังวลเรื่องการยกเลิกและการคืนเงินนะคะ รบกวนขอหมายเลขออเดอร์ก่อนค่ะ แอดมินจะตรวจสอบให้ว่าสามารถดำเนินการยกเลิกหรือส่งเรื่องคืนเงินได้อย่างไรค่ะ”</t>
  </si>
  <si>
    <t>มีการรับเรื่องและขอข้อมูลเพิ่มเติม แต่ยังไม่ได้แจ้งขั้นตอนถัดไปให้ชัดเจน
เงื่อนไขที่ใช้หักคะแนน:
เข้ากลุ่มพลาดเล็กน้อยถึงปานกลาง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“เนื่องจากแอดมินยังไม่ได้รับหมายเลขออเดอร์ จึงยังไม่สามารถตรวจสอบสถานะการยกเลิกและการคืนเงินให้ได้ค่ะ หากติดต่อกลับมาอีกครั้ง รบกวนแจ้งหมายเลขออเดอร์ เพื่อให้แอดมินช่วยตรวจสอบต่อได้ทันทีนะคะ”
ข้อเสนอแนะ:
ก่อนปิดเคส ควรแจ้งให้ชัดเจนว่า หากลูกค้าต้องการให้ช่วยตรวจสอบเรื่องการยกเลิกและคืนเงิน ต้องแจ้งหมายเลขออเดอร์เพิ่มเติม เพื่อให้แอดมินดำเนินการต่อได้ถูกต้อง</t>
  </si>
  <si>
    <t>ข้อความสั้น กระชับ และอ่านง่าย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“แอดมินขอทราบหมายเลขออเดอร์เพื่อดำเนินการตรวจสอบให้ค่ะ”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</si>
  <si>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</si>
  <si>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</si>
  <si>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</si>
  <si>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ลูกค้าติดต่อเข้ามาแจ้งว่า ร้านกาแฟปังปอนด์ปิดและไม่รับออเดอร์ โดยไรเดอร์แจ้งให้ลูกค้ากดยกเลิกออเดอร์ แต่ลูกค้าระบุว่า กดยกเลิกเองไม่ได้ และกังวลเรื่องการคืนเงินหรือการถูกหักเงิน จึงต้องการให้แอดมินช่วยตรวจสอบและช่วยยกเลิกพร้อมคืนเงินให้
ในเคสนี้ แอดมินทักทายและแนะนำตัวอย่างสุภาพ จากนั้นขอหมายเลขออเดอร์จากลูกค้าเพื่อตรวจสอบเคส แต่เมื่อลูกค้ายังไม่ได้ส่งหมายเลขออเดอร์เพิ่มเติม แอดมินจึงแจ้งปิดการสนทนาก่อน พร้อมบอกว่าสามารถติดต่อกลับมาได้ หากต้องการให้ช่วยตรวจสอบเพิ่มเติม
โดยรวม แอดมินสื่อสารสุภาพและขอข้อมูลที่จำเป็นได้ถูกต้อง แต่ยังตอบปัญหาหลักไม่ครบ เพราะยังไม่ได้อธิบายให้ลูกค้าเข้าใจว่า กรณีร้านปิด กดยกเลิกไม่ได้ และต้องการคืนเงิน แอดมินจะช่วยตรวจสอบหรือดำเนินการต่ออย่างไร</t>
  </si>
  <si>
    <t>https://drive.google.com/open?id=1l1hYwvjIVahK-2dUqVHZyRx6ofv0cZq0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</si>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</sst>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C1433-635D-4DA7-ACD2-91114F6D7AA7}">
  <sheetPr>
    <pageSetUpPr fitToPage="1"/>
  </sheetPr>
  <dimension ref="A1:BF1069"/>
  <sheetViews>
    <sheetView tabSelected="1" topLeftCell="C4" zoomScale="80" zoomScaleNormal="80" workbookViewId="0">
      <pane ySplit="1" topLeftCell="A144" activePane="bottomLeft" state="frozen"/>
      <selection activeCell="A4" sqref="A4"/>
      <selection pane="bottomLeft" activeCell="G153" sqref="G153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 t="shared" si="9"/>
        <v>70</v>
      </c>
      <c r="AT83" s="27">
        <f t="shared" si="10"/>
        <v>46082</v>
      </c>
      <c r="AU83" s="29" t="str">
        <f t="shared" si="11"/>
        <v>March 2026</v>
      </c>
      <c r="AV83" s="27">
        <f t="shared" si="12"/>
        <v>46104</v>
      </c>
      <c r="AW83" s="27">
        <f t="shared" si="13"/>
        <v>46110</v>
      </c>
      <c r="AX83" s="29" t="str">
        <f t="shared" si="14"/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 t="shared" si="15"/>
        <v>05|Krivut Vongkampan|20260301</v>
      </c>
      <c r="BB83" s="29" t="str">
        <f t="shared" si="16"/>
        <v>04|Krivut Vongkampan|20260323</v>
      </c>
      <c r="BC83" s="29">
        <f t="shared" si="17"/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 t="shared" si="9"/>
        <v>81</v>
      </c>
      <c r="AT125" s="38">
        <f t="shared" si="10"/>
        <v>46113</v>
      </c>
      <c r="AU125" s="40" t="str">
        <f t="shared" si="11"/>
        <v>April 2026</v>
      </c>
      <c r="AV125" s="38">
        <f t="shared" si="12"/>
        <v>46111</v>
      </c>
      <c r="AW125" s="38">
        <f t="shared" si="13"/>
        <v>46117</v>
      </c>
      <c r="AX125" s="40" t="str">
        <f t="shared" si="14"/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 t="shared" si="15"/>
        <v>01|Anucha Makundin|20260401</v>
      </c>
      <c r="BB125" s="40" t="str">
        <f t="shared" si="16"/>
        <v>01|Anucha Makundin|20260330</v>
      </c>
      <c r="BC125" s="40">
        <f t="shared" si="17"/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 t="shared" si="9"/>
        <v>57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46119.892674537034</v>
      </c>
      <c r="B127" s="10" t="s">
        <v>59</v>
      </c>
      <c r="C127" s="11">
        <v>46116</v>
      </c>
      <c r="D127" s="12">
        <v>0.85902777777777772</v>
      </c>
      <c r="E127" s="12">
        <v>0.86319444444444449</v>
      </c>
      <c r="F127" s="13" t="s">
        <v>2355</v>
      </c>
      <c r="G127" s="14" t="s">
        <v>2356</v>
      </c>
      <c r="H127" s="13">
        <v>10</v>
      </c>
      <c r="I127" s="15" t="s">
        <v>2357</v>
      </c>
      <c r="J127" s="13">
        <v>10</v>
      </c>
      <c r="K127" s="15" t="s">
        <v>2358</v>
      </c>
      <c r="L127" s="13">
        <v>10</v>
      </c>
      <c r="M127" s="15" t="s">
        <v>2359</v>
      </c>
      <c r="N127" s="13">
        <v>10</v>
      </c>
      <c r="O127" s="15" t="s">
        <v>2360</v>
      </c>
      <c r="P127" s="13">
        <v>9</v>
      </c>
      <c r="Q127" s="20" t="s">
        <v>2361</v>
      </c>
      <c r="R127" s="13">
        <v>4</v>
      </c>
      <c r="S127" s="20" t="s">
        <v>2362</v>
      </c>
      <c r="T127" s="13"/>
      <c r="U127" s="15"/>
      <c r="V127" s="13">
        <v>14</v>
      </c>
      <c r="W127" s="19" t="s">
        <v>2363</v>
      </c>
      <c r="X127" s="13">
        <v>9</v>
      </c>
      <c r="Y127" s="19" t="s">
        <v>2364</v>
      </c>
      <c r="Z127" s="13"/>
      <c r="AA127" s="15"/>
      <c r="AB127" s="13">
        <v>4</v>
      </c>
      <c r="AC127" s="19" t="s">
        <v>2365</v>
      </c>
      <c r="AD127" s="13">
        <v>5</v>
      </c>
      <c r="AE127" s="15" t="s">
        <v>2366</v>
      </c>
      <c r="AF127" s="13">
        <v>10</v>
      </c>
      <c r="AG127" s="15" t="s">
        <v>2367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2368</v>
      </c>
      <c r="AR127" s="13"/>
      <c r="AS127" s="17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50" t="s">
        <v>2369</v>
      </c>
      <c r="BE127" t="s">
        <v>2370</v>
      </c>
      <c r="BF127" t="s">
        <v>2338</v>
      </c>
    </row>
    <row r="128" spans="1:58" ht="15" customHeight="1">
      <c r="A128" s="9">
        <v>46119.898460636578</v>
      </c>
      <c r="B128" s="10" t="s">
        <v>59</v>
      </c>
      <c r="C128" s="11">
        <v>46116</v>
      </c>
      <c r="D128" s="12">
        <v>0.8354166666666667</v>
      </c>
      <c r="E128" s="12">
        <v>0.83819444444444446</v>
      </c>
      <c r="F128" s="13" t="s">
        <v>2371</v>
      </c>
      <c r="G128" s="14" t="s">
        <v>2372</v>
      </c>
      <c r="H128" s="13">
        <v>10</v>
      </c>
      <c r="I128" s="15" t="s">
        <v>2373</v>
      </c>
      <c r="J128" s="13">
        <v>10</v>
      </c>
      <c r="K128" s="15" t="s">
        <v>2374</v>
      </c>
      <c r="L128" s="13">
        <v>8</v>
      </c>
      <c r="M128" s="15" t="s">
        <v>2375</v>
      </c>
      <c r="N128" s="13">
        <v>10</v>
      </c>
      <c r="O128" s="15" t="s">
        <v>2376</v>
      </c>
      <c r="P128" s="13">
        <v>9</v>
      </c>
      <c r="Q128" s="20" t="s">
        <v>2377</v>
      </c>
      <c r="R128" s="13">
        <v>5</v>
      </c>
      <c r="S128" s="16" t="s">
        <v>2378</v>
      </c>
      <c r="T128" s="13"/>
      <c r="U128" s="15"/>
      <c r="V128" s="13">
        <v>14</v>
      </c>
      <c r="W128" s="19" t="s">
        <v>2379</v>
      </c>
      <c r="X128" s="13">
        <v>10</v>
      </c>
      <c r="Y128" s="15" t="s">
        <v>2380</v>
      </c>
      <c r="Z128" s="13"/>
      <c r="AA128" s="15"/>
      <c r="AB128" s="13">
        <v>5</v>
      </c>
      <c r="AC128" s="15" t="s">
        <v>2381</v>
      </c>
      <c r="AD128" s="13">
        <v>5</v>
      </c>
      <c r="AE128" s="15" t="s">
        <v>2382</v>
      </c>
      <c r="AF128" s="13">
        <v>10</v>
      </c>
      <c r="AG128" s="15" t="s">
        <v>2383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2384</v>
      </c>
      <c r="AR128" s="13"/>
      <c r="AS128" s="17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50" t="s">
        <v>2385</v>
      </c>
      <c r="BE128" t="s">
        <v>2386</v>
      </c>
      <c r="BF128" t="s">
        <v>2338</v>
      </c>
    </row>
    <row r="129" spans="1:58" ht="15" customHeight="1">
      <c r="A129" s="9">
        <v>46119.907322430547</v>
      </c>
      <c r="B129" s="10" t="s">
        <v>123</v>
      </c>
      <c r="C129" s="11">
        <v>46115</v>
      </c>
      <c r="D129" s="12">
        <v>0.88263888888888886</v>
      </c>
      <c r="E129" s="12">
        <v>0.88611111111111107</v>
      </c>
      <c r="F129" s="13" t="s">
        <v>2387</v>
      </c>
      <c r="G129" s="14" t="s">
        <v>2388</v>
      </c>
      <c r="H129" s="13">
        <v>10</v>
      </c>
      <c r="I129" s="15" t="s">
        <v>2389</v>
      </c>
      <c r="J129" s="13">
        <v>10</v>
      </c>
      <c r="K129" s="15" t="s">
        <v>2390</v>
      </c>
      <c r="L129" s="13">
        <v>8</v>
      </c>
      <c r="M129" s="15" t="s">
        <v>2391</v>
      </c>
      <c r="N129" s="13">
        <v>6</v>
      </c>
      <c r="O129" s="19" t="s">
        <v>2392</v>
      </c>
      <c r="P129" s="13">
        <v>6</v>
      </c>
      <c r="Q129" s="20" t="s">
        <v>2393</v>
      </c>
      <c r="R129" s="13">
        <v>4</v>
      </c>
      <c r="S129" s="20" t="s">
        <v>2394</v>
      </c>
      <c r="T129" s="13"/>
      <c r="U129" s="15"/>
      <c r="V129" s="13">
        <v>9</v>
      </c>
      <c r="W129" s="19" t="s">
        <v>2395</v>
      </c>
      <c r="X129" s="13">
        <v>9</v>
      </c>
      <c r="Y129" s="19" t="s">
        <v>2396</v>
      </c>
      <c r="Z129" s="13"/>
      <c r="AA129" s="15"/>
      <c r="AB129" s="13">
        <v>5</v>
      </c>
      <c r="AC129" s="15" t="s">
        <v>2397</v>
      </c>
      <c r="AD129" s="13">
        <v>5</v>
      </c>
      <c r="AE129" s="15" t="s">
        <v>2398</v>
      </c>
      <c r="AF129" s="13">
        <v>10</v>
      </c>
      <c r="AG129" s="15" t="s">
        <v>2399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2400</v>
      </c>
      <c r="AR129" s="13"/>
      <c r="AS129" s="17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50" t="s">
        <v>2401</v>
      </c>
      <c r="BE129" t="s">
        <v>2402</v>
      </c>
      <c r="BF129" t="s">
        <v>2338</v>
      </c>
    </row>
    <row r="130" spans="1:58" ht="15" customHeight="1">
      <c r="A130" s="9">
        <v>46119.913929594913</v>
      </c>
      <c r="B130" s="10" t="s">
        <v>123</v>
      </c>
      <c r="C130" s="11">
        <v>46115</v>
      </c>
      <c r="D130" s="12">
        <v>0.65138888888888891</v>
      </c>
      <c r="E130" s="12">
        <v>0.65972222222222221</v>
      </c>
      <c r="F130" s="13" t="s">
        <v>2403</v>
      </c>
      <c r="G130" s="14" t="s">
        <v>2404</v>
      </c>
      <c r="H130" s="13">
        <v>10</v>
      </c>
      <c r="I130" s="15" t="s">
        <v>2389</v>
      </c>
      <c r="J130" s="13">
        <v>10</v>
      </c>
      <c r="K130" s="15" t="s">
        <v>2390</v>
      </c>
      <c r="L130" s="13">
        <v>10</v>
      </c>
      <c r="M130" s="15" t="s">
        <v>2405</v>
      </c>
      <c r="N130" s="13">
        <v>9</v>
      </c>
      <c r="O130" s="19" t="s">
        <v>2406</v>
      </c>
      <c r="P130" s="13">
        <v>9</v>
      </c>
      <c r="Q130" s="20" t="s">
        <v>2407</v>
      </c>
      <c r="R130" s="13">
        <v>5</v>
      </c>
      <c r="S130" s="16" t="s">
        <v>2408</v>
      </c>
      <c r="T130" s="13"/>
      <c r="U130" s="15"/>
      <c r="V130" s="13">
        <v>13</v>
      </c>
      <c r="W130" s="19" t="s">
        <v>2409</v>
      </c>
      <c r="X130" s="13">
        <v>10</v>
      </c>
      <c r="Y130" s="15" t="s">
        <v>2410</v>
      </c>
      <c r="Z130" s="13"/>
      <c r="AA130" s="15"/>
      <c r="AB130" s="13">
        <v>5</v>
      </c>
      <c r="AC130" s="15" t="s">
        <v>2411</v>
      </c>
      <c r="AD130" s="13">
        <v>5</v>
      </c>
      <c r="AE130" s="15" t="s">
        <v>2412</v>
      </c>
      <c r="AF130" s="13">
        <v>10</v>
      </c>
      <c r="AG130" s="15" t="s">
        <v>2399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2413</v>
      </c>
      <c r="AR130" s="13"/>
      <c r="AS130" s="17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50" t="s">
        <v>2414</v>
      </c>
      <c r="BE130" t="s">
        <v>2415</v>
      </c>
      <c r="BF130" t="s">
        <v>2338</v>
      </c>
    </row>
    <row r="131" spans="1:58" ht="15" customHeight="1">
      <c r="A131" s="9">
        <v>46119.922994155088</v>
      </c>
      <c r="B131" s="10" t="s">
        <v>81</v>
      </c>
      <c r="C131" s="11">
        <v>46116</v>
      </c>
      <c r="D131" s="12">
        <v>0.69930555555555551</v>
      </c>
      <c r="E131" s="12">
        <v>0.73888888888888893</v>
      </c>
      <c r="F131" s="13" t="s">
        <v>2416</v>
      </c>
      <c r="G131" s="14" t="s">
        <v>2417</v>
      </c>
      <c r="H131" s="13">
        <v>10</v>
      </c>
      <c r="I131" s="15" t="s">
        <v>2389</v>
      </c>
      <c r="J131" s="13">
        <v>10</v>
      </c>
      <c r="K131" s="15" t="s">
        <v>2418</v>
      </c>
      <c r="L131" s="13">
        <v>10</v>
      </c>
      <c r="M131" s="15" t="s">
        <v>2419</v>
      </c>
      <c r="N131" s="13">
        <v>8</v>
      </c>
      <c r="O131" s="19" t="s">
        <v>2420</v>
      </c>
      <c r="P131" s="13">
        <v>8</v>
      </c>
      <c r="Q131" s="20" t="s">
        <v>2421</v>
      </c>
      <c r="R131" s="13">
        <v>4</v>
      </c>
      <c r="S131" s="20" t="s">
        <v>2422</v>
      </c>
      <c r="T131" s="13"/>
      <c r="U131" s="15"/>
      <c r="V131" s="13">
        <v>12</v>
      </c>
      <c r="W131" s="19" t="s">
        <v>2423</v>
      </c>
      <c r="X131" s="13">
        <v>9</v>
      </c>
      <c r="Y131" s="19" t="s">
        <v>2424</v>
      </c>
      <c r="Z131" s="13"/>
      <c r="AA131" s="15"/>
      <c r="AB131" s="13">
        <v>5</v>
      </c>
      <c r="AC131" s="15" t="s">
        <v>2425</v>
      </c>
      <c r="AD131" s="13">
        <v>5</v>
      </c>
      <c r="AE131" s="15" t="s">
        <v>2426</v>
      </c>
      <c r="AF131" s="13">
        <v>10</v>
      </c>
      <c r="AG131" s="15" t="s">
        <v>2427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2428</v>
      </c>
      <c r="AR131" s="13"/>
      <c r="AS131" s="17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50" t="s">
        <v>2429</v>
      </c>
      <c r="BE131" t="s">
        <v>2430</v>
      </c>
      <c r="BF131" t="s">
        <v>2338</v>
      </c>
    </row>
    <row r="132" spans="1:58" ht="15" customHeight="1">
      <c r="A132" s="9">
        <v>46119.9294041088</v>
      </c>
      <c r="B132" s="10" t="s">
        <v>81</v>
      </c>
      <c r="C132" s="11">
        <v>46117</v>
      </c>
      <c r="D132" s="12">
        <v>0.52569444444444446</v>
      </c>
      <c r="E132" s="12">
        <v>0.52916666666666667</v>
      </c>
      <c r="F132" s="13" t="s">
        <v>2431</v>
      </c>
      <c r="G132" s="14" t="s">
        <v>2432</v>
      </c>
      <c r="H132" s="13">
        <v>10</v>
      </c>
      <c r="I132" s="15" t="s">
        <v>2389</v>
      </c>
      <c r="J132" s="13">
        <v>10</v>
      </c>
      <c r="K132" s="15" t="s">
        <v>2390</v>
      </c>
      <c r="L132" s="13">
        <v>10</v>
      </c>
      <c r="M132" s="15" t="s">
        <v>2433</v>
      </c>
      <c r="N132" s="13">
        <v>10</v>
      </c>
      <c r="O132" s="15" t="s">
        <v>2434</v>
      </c>
      <c r="P132" s="13">
        <v>9</v>
      </c>
      <c r="Q132" s="20" t="s">
        <v>2435</v>
      </c>
      <c r="R132" s="13">
        <v>5</v>
      </c>
      <c r="S132" s="20" t="s">
        <v>2436</v>
      </c>
      <c r="T132" s="13"/>
      <c r="U132" s="15"/>
      <c r="V132" s="13">
        <v>13</v>
      </c>
      <c r="W132" s="19" t="s">
        <v>2437</v>
      </c>
      <c r="X132" s="13">
        <v>10</v>
      </c>
      <c r="Y132" s="15" t="s">
        <v>2438</v>
      </c>
      <c r="Z132" s="13"/>
      <c r="AA132" s="15"/>
      <c r="AB132" s="13">
        <v>5</v>
      </c>
      <c r="AC132" s="15" t="s">
        <v>2439</v>
      </c>
      <c r="AD132" s="13">
        <v>5</v>
      </c>
      <c r="AE132" s="15" t="s">
        <v>2440</v>
      </c>
      <c r="AF132" s="13">
        <v>10</v>
      </c>
      <c r="AG132" s="15" t="s">
        <v>2427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2441</v>
      </c>
      <c r="AR132" s="13"/>
      <c r="AS132" s="17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50" t="s">
        <v>2442</v>
      </c>
      <c r="BE132" t="s">
        <v>2443</v>
      </c>
      <c r="BF132" t="s">
        <v>2338</v>
      </c>
    </row>
    <row r="133" spans="1:58" ht="15" customHeight="1">
      <c r="A133" s="9">
        <v>46119.938766979169</v>
      </c>
      <c r="B133" s="10" t="s">
        <v>1130</v>
      </c>
      <c r="C133" s="11">
        <v>46115</v>
      </c>
      <c r="D133" s="12">
        <v>0.48472222222222222</v>
      </c>
      <c r="E133" s="12">
        <v>0.48819444444444438</v>
      </c>
      <c r="F133" s="13" t="s">
        <v>2444</v>
      </c>
      <c r="G133" s="14" t="s">
        <v>2445</v>
      </c>
      <c r="H133" s="13">
        <v>10</v>
      </c>
      <c r="I133" s="19" t="s">
        <v>2446</v>
      </c>
      <c r="J133" s="13">
        <v>10</v>
      </c>
      <c r="K133" s="19" t="s">
        <v>2447</v>
      </c>
      <c r="L133" s="13">
        <v>10</v>
      </c>
      <c r="M133" s="19" t="s">
        <v>2447</v>
      </c>
      <c r="N133" s="13">
        <v>9</v>
      </c>
      <c r="O133" s="19" t="s">
        <v>2448</v>
      </c>
      <c r="P133" s="13">
        <v>9</v>
      </c>
      <c r="Q133" s="20" t="s">
        <v>2449</v>
      </c>
      <c r="R133" s="13">
        <v>5</v>
      </c>
      <c r="S133" s="20" t="s">
        <v>2450</v>
      </c>
      <c r="T133" s="13"/>
      <c r="U133" s="15"/>
      <c r="V133" s="13">
        <v>15</v>
      </c>
      <c r="W133" s="19" t="s">
        <v>2451</v>
      </c>
      <c r="X133" s="13">
        <v>10</v>
      </c>
      <c r="Y133" s="19" t="s">
        <v>2452</v>
      </c>
      <c r="Z133" s="13"/>
      <c r="AA133" s="15"/>
      <c r="AB133" s="13">
        <v>5</v>
      </c>
      <c r="AC133" s="19" t="s">
        <v>2453</v>
      </c>
      <c r="AD133" s="13">
        <v>5</v>
      </c>
      <c r="AE133" s="15" t="s">
        <v>2454</v>
      </c>
      <c r="AF133" s="13">
        <v>10</v>
      </c>
      <c r="AG133" s="19" t="s">
        <v>2455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2456</v>
      </c>
      <c r="AR133" s="13"/>
      <c r="AS133" s="17">
        <f t="shared" ref="AS133:AS196" si="18">SUM(H133,J133,L133,N133,P133,R133,T133,V133,X133,Z133,AB133,AD133,AF133,AH133,AJ133,AL133,AN133)</f>
        <v>98</v>
      </c>
      <c r="AT133" s="11">
        <f t="shared" ref="AT133:AT196" si="19">IF(C133="","",DATE(YEAR(C133),MONTH(C133),1))</f>
        <v>46113</v>
      </c>
      <c r="AU133" s="13" t="str">
        <f t="shared" ref="AU133:AU196" si="20">IF(AT133="","",TEXT(AT133,"mmmm yyyy"))</f>
        <v>April 2026</v>
      </c>
      <c r="AV133" s="11">
        <f t="shared" ref="AV133:AV196" si="21">IF(C133="","",C133-WEEKDAY(C133,2)+1)</f>
        <v>46111</v>
      </c>
      <c r="AW133" s="11">
        <f t="shared" ref="AW133:AW196" si="22">IF(AV133="","",AV133+6)</f>
        <v>46117</v>
      </c>
      <c r="AX133" s="13" t="str">
        <f t="shared" ref="AX133:AX196" si="23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4">IF(B133="","",TEXT(AY133,"00")&amp;"|"&amp;B133&amp;"|"&amp;TEXT(AT133,"yyyymmdd"))</f>
        <v>01|Krivut Vongkampan|20260401</v>
      </c>
      <c r="BB133" s="13" t="str">
        <f t="shared" ref="BB133:BB196" si="25">IF(B133="","",TEXT(AZ133,"00")&amp;"|"&amp;B133&amp;"|"&amp;TEXT(AV133,"yyyymmdd"))</f>
        <v>03|Krivut Vongkampan|20260330</v>
      </c>
      <c r="BC133" s="13">
        <f t="shared" ref="BC133:BC196" si="26">IF(OR(AQ133="YES",AQ133="Yes",AQ133="Y",AQ133=1),1,0)</f>
        <v>0</v>
      </c>
      <c r="BD133" s="50" t="s">
        <v>2457</v>
      </c>
      <c r="BE133" t="s">
        <v>2458</v>
      </c>
      <c r="BF133" t="s">
        <v>2338</v>
      </c>
    </row>
    <row r="134" spans="1:58" ht="15" customHeight="1">
      <c r="A134" s="9">
        <v>46119.943607893518</v>
      </c>
      <c r="B134" s="10" t="s">
        <v>1130</v>
      </c>
      <c r="C134" s="11">
        <v>46115</v>
      </c>
      <c r="D134" s="12">
        <v>0.48749999999999999</v>
      </c>
      <c r="E134" s="12">
        <v>0.49722222222222218</v>
      </c>
      <c r="F134" s="13" t="s">
        <v>2459</v>
      </c>
      <c r="G134" s="14" t="s">
        <v>2460</v>
      </c>
      <c r="H134" s="13">
        <v>10</v>
      </c>
      <c r="I134" s="15" t="s">
        <v>2461</v>
      </c>
      <c r="J134" s="13">
        <v>10</v>
      </c>
      <c r="K134" s="15" t="s">
        <v>2462</v>
      </c>
      <c r="L134" s="13">
        <v>7</v>
      </c>
      <c r="M134" s="15" t="s">
        <v>2463</v>
      </c>
      <c r="N134" s="13">
        <v>10</v>
      </c>
      <c r="O134" s="15" t="s">
        <v>2464</v>
      </c>
      <c r="P134" s="13">
        <v>9</v>
      </c>
      <c r="Q134" s="20" t="s">
        <v>2465</v>
      </c>
      <c r="R134" s="13">
        <v>4</v>
      </c>
      <c r="S134" s="20" t="s">
        <v>2466</v>
      </c>
      <c r="T134" s="13"/>
      <c r="U134" s="15"/>
      <c r="V134" s="13">
        <v>14</v>
      </c>
      <c r="W134" s="19" t="s">
        <v>2467</v>
      </c>
      <c r="X134" s="13">
        <v>9</v>
      </c>
      <c r="Y134" s="19" t="s">
        <v>2468</v>
      </c>
      <c r="Z134" s="13"/>
      <c r="AA134" s="15"/>
      <c r="AB134" s="13">
        <v>5</v>
      </c>
      <c r="AC134" s="15" t="s">
        <v>2469</v>
      </c>
      <c r="AD134" s="13">
        <v>5</v>
      </c>
      <c r="AE134" s="15" t="s">
        <v>2470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2471</v>
      </c>
      <c r="AR134" s="13"/>
      <c r="AS134" s="17">
        <f t="shared" si="18"/>
        <v>93</v>
      </c>
      <c r="AT134" s="11">
        <f t="shared" si="19"/>
        <v>46113</v>
      </c>
      <c r="AU134" s="13" t="str">
        <f t="shared" si="20"/>
        <v>April 2026</v>
      </c>
      <c r="AV134" s="11">
        <f t="shared" si="21"/>
        <v>46111</v>
      </c>
      <c r="AW134" s="11">
        <f t="shared" si="22"/>
        <v>46117</v>
      </c>
      <c r="AX134" s="13" t="str">
        <f t="shared" si="23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4"/>
        <v>02|Krivut Vongkampan|20260401</v>
      </c>
      <c r="BB134" s="13" t="str">
        <f t="shared" si="25"/>
        <v>04|Krivut Vongkampan|20260330</v>
      </c>
      <c r="BC134" s="13">
        <f t="shared" si="26"/>
        <v>0</v>
      </c>
      <c r="BD134" s="50" t="s">
        <v>2472</v>
      </c>
      <c r="BE134" t="s">
        <v>2473</v>
      </c>
      <c r="BF134" t="s">
        <v>2338</v>
      </c>
    </row>
    <row r="135" spans="1:58" ht="15" customHeight="1">
      <c r="A135" s="9">
        <v>46119.991933888887</v>
      </c>
      <c r="B135" s="10" t="s">
        <v>385</v>
      </c>
      <c r="C135" s="11">
        <v>46117</v>
      </c>
      <c r="D135" s="12">
        <v>0.70208333333333328</v>
      </c>
      <c r="E135" s="12">
        <v>0.70763888888888893</v>
      </c>
      <c r="F135" s="13" t="s">
        <v>2474</v>
      </c>
      <c r="G135" s="14" t="s">
        <v>1585</v>
      </c>
      <c r="H135" s="13">
        <v>10</v>
      </c>
      <c r="I135" s="15" t="s">
        <v>2475</v>
      </c>
      <c r="J135" s="13">
        <v>10</v>
      </c>
      <c r="K135" s="15" t="s">
        <v>2476</v>
      </c>
      <c r="L135" s="13">
        <v>10</v>
      </c>
      <c r="M135" s="15" t="s">
        <v>2477</v>
      </c>
      <c r="N135" s="13">
        <v>8</v>
      </c>
      <c r="O135" s="19" t="s">
        <v>2478</v>
      </c>
      <c r="P135" s="13">
        <v>9</v>
      </c>
      <c r="Q135" s="20" t="s">
        <v>2479</v>
      </c>
      <c r="R135" s="13">
        <v>4</v>
      </c>
      <c r="S135" s="20" t="s">
        <v>2480</v>
      </c>
      <c r="T135" s="13"/>
      <c r="U135" s="15"/>
      <c r="V135" s="13">
        <v>14</v>
      </c>
      <c r="W135" s="19" t="s">
        <v>2481</v>
      </c>
      <c r="X135" s="13">
        <v>9</v>
      </c>
      <c r="Y135" s="19" t="s">
        <v>2482</v>
      </c>
      <c r="Z135" s="13"/>
      <c r="AA135" s="15"/>
      <c r="AB135" s="13">
        <v>4</v>
      </c>
      <c r="AC135" s="19" t="s">
        <v>2483</v>
      </c>
      <c r="AD135" s="13">
        <v>4</v>
      </c>
      <c r="AE135" s="19" t="s">
        <v>2484</v>
      </c>
      <c r="AF135" s="13">
        <v>10</v>
      </c>
      <c r="AG135" s="15" t="s">
        <v>2427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557</v>
      </c>
      <c r="AR135" s="13"/>
      <c r="AS135" s="17">
        <f t="shared" si="18"/>
        <v>92</v>
      </c>
      <c r="AT135" s="11">
        <f t="shared" si="19"/>
        <v>46113</v>
      </c>
      <c r="AU135" s="13" t="str">
        <f t="shared" si="20"/>
        <v>April 2026</v>
      </c>
      <c r="AV135" s="11">
        <f t="shared" si="21"/>
        <v>46111</v>
      </c>
      <c r="AW135" s="11">
        <f t="shared" si="22"/>
        <v>46117</v>
      </c>
      <c r="AX135" s="13" t="str">
        <f t="shared" si="23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4"/>
        <v>01|Natcha Chai-in|20260401</v>
      </c>
      <c r="BB135" s="13" t="str">
        <f t="shared" si="25"/>
        <v>01|Natcha Chai-in|20260330</v>
      </c>
      <c r="BC135" s="13">
        <f t="shared" si="26"/>
        <v>0</v>
      </c>
      <c r="BD135" s="50" t="s">
        <v>2485</v>
      </c>
      <c r="BE135" t="s">
        <v>2486</v>
      </c>
      <c r="BF135" t="s">
        <v>2338</v>
      </c>
    </row>
    <row r="136" spans="1:58" ht="15" customHeight="1">
      <c r="A136" s="9">
        <v>46120.389303738433</v>
      </c>
      <c r="B136" s="10" t="s">
        <v>385</v>
      </c>
      <c r="C136" s="11">
        <v>46117</v>
      </c>
      <c r="D136" s="12">
        <v>0.6069444444444444</v>
      </c>
      <c r="E136" s="12">
        <v>0.60972222222222228</v>
      </c>
      <c r="F136" s="13" t="s">
        <v>2487</v>
      </c>
      <c r="G136" s="14" t="s">
        <v>1303</v>
      </c>
      <c r="H136" s="13">
        <v>10</v>
      </c>
      <c r="I136" s="15" t="s">
        <v>2488</v>
      </c>
      <c r="J136" s="13">
        <v>10</v>
      </c>
      <c r="K136" s="15" t="s">
        <v>2489</v>
      </c>
      <c r="L136" s="13">
        <v>10</v>
      </c>
      <c r="M136" s="15" t="s">
        <v>2490</v>
      </c>
      <c r="N136" s="13">
        <v>9</v>
      </c>
      <c r="O136" s="19" t="s">
        <v>2491</v>
      </c>
      <c r="P136" s="13">
        <v>9</v>
      </c>
      <c r="Q136" s="20" t="s">
        <v>2492</v>
      </c>
      <c r="R136" s="13">
        <v>4</v>
      </c>
      <c r="S136" s="20" t="s">
        <v>2493</v>
      </c>
      <c r="T136" s="13"/>
      <c r="U136" s="15"/>
      <c r="V136" s="13">
        <v>14</v>
      </c>
      <c r="W136" s="19" t="s">
        <v>2494</v>
      </c>
      <c r="X136" s="13">
        <v>8</v>
      </c>
      <c r="Y136" s="19" t="s">
        <v>2495</v>
      </c>
      <c r="Z136" s="13"/>
      <c r="AA136" s="15"/>
      <c r="AB136" s="13">
        <v>4</v>
      </c>
      <c r="AC136" s="19" t="s">
        <v>2496</v>
      </c>
      <c r="AD136" s="13">
        <v>4</v>
      </c>
      <c r="AE136" s="19" t="s">
        <v>2497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2498</v>
      </c>
      <c r="AR136" s="13"/>
      <c r="AS136" s="17">
        <f t="shared" si="18"/>
        <v>92</v>
      </c>
      <c r="AT136" s="11">
        <f t="shared" si="19"/>
        <v>46113</v>
      </c>
      <c r="AU136" s="13" t="str">
        <f t="shared" si="20"/>
        <v>April 2026</v>
      </c>
      <c r="AV136" s="11">
        <f t="shared" si="21"/>
        <v>46111</v>
      </c>
      <c r="AW136" s="11">
        <f t="shared" si="22"/>
        <v>46117</v>
      </c>
      <c r="AX136" s="13" t="str">
        <f t="shared" si="23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4"/>
        <v>02|Natcha Chai-in|20260401</v>
      </c>
      <c r="BB136" s="13" t="str">
        <f t="shared" si="25"/>
        <v>02|Natcha Chai-in|20260330</v>
      </c>
      <c r="BC136" s="13">
        <f t="shared" si="26"/>
        <v>0</v>
      </c>
      <c r="BD136" s="50" t="s">
        <v>2499</v>
      </c>
      <c r="BE136" t="s">
        <v>2500</v>
      </c>
      <c r="BF136" t="s">
        <v>2338</v>
      </c>
    </row>
    <row r="137" spans="1:58" ht="15" customHeight="1">
      <c r="A137" s="9">
        <v>46120.399809872688</v>
      </c>
      <c r="B137" s="10" t="s">
        <v>143</v>
      </c>
      <c r="C137" s="11">
        <v>46117</v>
      </c>
      <c r="D137" s="12">
        <v>0.88402777777777775</v>
      </c>
      <c r="E137" s="12">
        <v>0.88680555555555551</v>
      </c>
      <c r="F137" s="13" t="s">
        <v>2501</v>
      </c>
      <c r="G137" s="14" t="s">
        <v>2502</v>
      </c>
      <c r="H137" s="13">
        <v>10</v>
      </c>
      <c r="I137" s="15" t="s">
        <v>2503</v>
      </c>
      <c r="J137" s="13">
        <v>10</v>
      </c>
      <c r="K137" s="15" t="s">
        <v>2504</v>
      </c>
      <c r="L137" s="13">
        <v>10</v>
      </c>
      <c r="M137" s="15" t="s">
        <v>2505</v>
      </c>
      <c r="N137" s="13">
        <v>10</v>
      </c>
      <c r="O137" s="15" t="s">
        <v>2506</v>
      </c>
      <c r="P137" s="13">
        <v>9</v>
      </c>
      <c r="Q137" s="20" t="s">
        <v>2507</v>
      </c>
      <c r="R137" s="13">
        <v>4</v>
      </c>
      <c r="S137" s="20" t="s">
        <v>2508</v>
      </c>
      <c r="T137" s="13"/>
      <c r="U137" s="15"/>
      <c r="V137" s="13">
        <v>15</v>
      </c>
      <c r="W137" s="15" t="s">
        <v>2509</v>
      </c>
      <c r="X137" s="13">
        <v>10</v>
      </c>
      <c r="Y137" s="15" t="s">
        <v>2510</v>
      </c>
      <c r="Z137" s="13"/>
      <c r="AA137" s="15"/>
      <c r="AB137" s="13">
        <v>5</v>
      </c>
      <c r="AC137" s="15" t="s">
        <v>2511</v>
      </c>
      <c r="AD137" s="13">
        <v>5</v>
      </c>
      <c r="AE137" s="15" t="s">
        <v>2512</v>
      </c>
      <c r="AF137" s="13">
        <v>10</v>
      </c>
      <c r="AG137" s="15" t="s">
        <v>2513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2514</v>
      </c>
      <c r="AR137" s="13"/>
      <c r="AS137" s="17">
        <f t="shared" si="18"/>
        <v>98</v>
      </c>
      <c r="AT137" s="11">
        <f t="shared" si="19"/>
        <v>46113</v>
      </c>
      <c r="AU137" s="13" t="str">
        <f t="shared" si="20"/>
        <v>April 2026</v>
      </c>
      <c r="AV137" s="11">
        <f t="shared" si="21"/>
        <v>46111</v>
      </c>
      <c r="AW137" s="11">
        <f t="shared" si="22"/>
        <v>46117</v>
      </c>
      <c r="AX137" s="13" t="str">
        <f t="shared" si="23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4"/>
        <v>01|Nattapol Suprom|20260401</v>
      </c>
      <c r="BB137" s="13" t="str">
        <f t="shared" si="25"/>
        <v>04|Nattapol Suprom|20260330</v>
      </c>
      <c r="BC137" s="13">
        <f t="shared" si="26"/>
        <v>0</v>
      </c>
      <c r="BD137" s="50" t="s">
        <v>2515</v>
      </c>
      <c r="BE137" t="s">
        <v>2516</v>
      </c>
      <c r="BF137" t="s">
        <v>2338</v>
      </c>
    </row>
    <row r="138" spans="1:58" ht="15" customHeight="1">
      <c r="A138" s="9">
        <v>46120.408727002323</v>
      </c>
      <c r="B138" s="10" t="s">
        <v>143</v>
      </c>
      <c r="C138" s="11">
        <v>46117</v>
      </c>
      <c r="D138" s="12">
        <v>0.84305555555555556</v>
      </c>
      <c r="E138" s="12">
        <v>0.85</v>
      </c>
      <c r="F138" s="13" t="s">
        <v>2517</v>
      </c>
      <c r="G138" s="14" t="s">
        <v>2388</v>
      </c>
      <c r="H138" s="13">
        <v>10</v>
      </c>
      <c r="I138" s="15" t="s">
        <v>2518</v>
      </c>
      <c r="J138" s="13">
        <v>10</v>
      </c>
      <c r="K138" s="15" t="s">
        <v>2519</v>
      </c>
      <c r="L138" s="13">
        <v>10</v>
      </c>
      <c r="M138" s="15" t="s">
        <v>2520</v>
      </c>
      <c r="N138" s="13">
        <v>9</v>
      </c>
      <c r="O138" s="19" t="s">
        <v>2521</v>
      </c>
      <c r="P138" s="13">
        <v>9</v>
      </c>
      <c r="Q138" s="20" t="s">
        <v>2522</v>
      </c>
      <c r="R138" s="13">
        <v>5</v>
      </c>
      <c r="S138" s="20" t="s">
        <v>2523</v>
      </c>
      <c r="T138" s="13"/>
      <c r="U138" s="15"/>
      <c r="V138" s="13">
        <v>14</v>
      </c>
      <c r="W138" s="19" t="s">
        <v>2524</v>
      </c>
      <c r="X138" s="13">
        <v>10</v>
      </c>
      <c r="Y138" s="19" t="s">
        <v>2525</v>
      </c>
      <c r="Z138" s="13"/>
      <c r="AA138" s="15"/>
      <c r="AB138" s="13">
        <v>5</v>
      </c>
      <c r="AC138" s="15" t="s">
        <v>2526</v>
      </c>
      <c r="AD138" s="13">
        <v>5</v>
      </c>
      <c r="AE138" s="15" t="s">
        <v>2527</v>
      </c>
      <c r="AF138" s="13">
        <v>10</v>
      </c>
      <c r="AG138" s="15" t="s">
        <v>2528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2529</v>
      </c>
      <c r="AR138" s="13"/>
      <c r="AS138" s="17">
        <f t="shared" si="18"/>
        <v>97</v>
      </c>
      <c r="AT138" s="11">
        <f t="shared" si="19"/>
        <v>46113</v>
      </c>
      <c r="AU138" s="13" t="str">
        <f t="shared" si="20"/>
        <v>April 2026</v>
      </c>
      <c r="AV138" s="11">
        <f t="shared" si="21"/>
        <v>46111</v>
      </c>
      <c r="AW138" s="11">
        <f t="shared" si="22"/>
        <v>46117</v>
      </c>
      <c r="AX138" s="13" t="str">
        <f t="shared" si="23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4"/>
        <v>02|Nattapol Suprom|20260401</v>
      </c>
      <c r="BB138" s="13" t="str">
        <f t="shared" si="25"/>
        <v>05|Nattapol Suprom|20260330</v>
      </c>
      <c r="BC138" s="13">
        <f t="shared" si="26"/>
        <v>0</v>
      </c>
      <c r="BD138" s="50" t="s">
        <v>2530</v>
      </c>
      <c r="BE138" t="s">
        <v>2531</v>
      </c>
      <c r="BF138" t="s">
        <v>2338</v>
      </c>
    </row>
    <row r="139" spans="1:58" ht="15" customHeight="1">
      <c r="A139" s="9">
        <v>46120.420717476853</v>
      </c>
      <c r="B139" s="10" t="s">
        <v>256</v>
      </c>
      <c r="C139" s="11">
        <v>46117</v>
      </c>
      <c r="D139" s="12">
        <v>0.62638888888888888</v>
      </c>
      <c r="E139" s="12">
        <v>0.62986111111111109</v>
      </c>
      <c r="F139" s="13" t="s">
        <v>2532</v>
      </c>
      <c r="G139" s="14" t="s">
        <v>2533</v>
      </c>
      <c r="H139" s="13">
        <v>10</v>
      </c>
      <c r="I139" s="15" t="s">
        <v>2488</v>
      </c>
      <c r="J139" s="13">
        <v>10</v>
      </c>
      <c r="K139" s="15" t="s">
        <v>2534</v>
      </c>
      <c r="L139" s="13">
        <v>10</v>
      </c>
      <c r="M139" s="19" t="s">
        <v>2535</v>
      </c>
      <c r="N139" s="13">
        <v>9</v>
      </c>
      <c r="O139" s="19" t="s">
        <v>2536</v>
      </c>
      <c r="P139" s="13">
        <v>9</v>
      </c>
      <c r="Q139" s="20" t="s">
        <v>2537</v>
      </c>
      <c r="R139" s="13">
        <v>4</v>
      </c>
      <c r="S139" s="20" t="s">
        <v>2538</v>
      </c>
      <c r="T139" s="13"/>
      <c r="U139" s="15"/>
      <c r="V139" s="13">
        <v>15</v>
      </c>
      <c r="W139" s="19" t="s">
        <v>2539</v>
      </c>
      <c r="X139" s="13">
        <v>10</v>
      </c>
      <c r="Y139" s="15" t="s">
        <v>2540</v>
      </c>
      <c r="Z139" s="13"/>
      <c r="AA139" s="15"/>
      <c r="AB139" s="13">
        <v>5</v>
      </c>
      <c r="AC139" s="15" t="s">
        <v>2541</v>
      </c>
      <c r="AD139" s="13">
        <v>5</v>
      </c>
      <c r="AE139" s="15" t="s">
        <v>2454</v>
      </c>
      <c r="AF139" s="13">
        <v>10</v>
      </c>
      <c r="AG139" s="15" t="s">
        <v>2427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2542</v>
      </c>
      <c r="AR139" s="13"/>
      <c r="AS139" s="17">
        <f t="shared" si="18"/>
        <v>97</v>
      </c>
      <c r="AT139" s="11">
        <f t="shared" si="19"/>
        <v>46113</v>
      </c>
      <c r="AU139" s="13" t="str">
        <f t="shared" si="20"/>
        <v>April 2026</v>
      </c>
      <c r="AV139" s="11">
        <f t="shared" si="21"/>
        <v>46111</v>
      </c>
      <c r="AW139" s="11">
        <f t="shared" si="22"/>
        <v>46117</v>
      </c>
      <c r="AX139" s="13" t="str">
        <f t="shared" si="23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4"/>
        <v>01|Supakrit Promkhamnoi|20260401</v>
      </c>
      <c r="BB139" s="13" t="str">
        <f t="shared" si="25"/>
        <v>02|Supakrit Promkhamnoi|20260330</v>
      </c>
      <c r="BC139" s="13">
        <f t="shared" si="26"/>
        <v>0</v>
      </c>
      <c r="BD139" s="50" t="s">
        <v>2543</v>
      </c>
      <c r="BE139" t="s">
        <v>2544</v>
      </c>
      <c r="BF139" t="s">
        <v>2338</v>
      </c>
    </row>
    <row r="140" spans="1:58" ht="15" customHeight="1">
      <c r="A140" s="9">
        <v>46120.427113136568</v>
      </c>
      <c r="B140" s="10" t="s">
        <v>256</v>
      </c>
      <c r="C140" s="11">
        <v>46117</v>
      </c>
      <c r="D140" s="12">
        <v>0.46875</v>
      </c>
      <c r="E140" s="12">
        <v>0.47986111111111113</v>
      </c>
      <c r="F140" s="13" t="s">
        <v>2545</v>
      </c>
      <c r="G140" s="14" t="s">
        <v>2546</v>
      </c>
      <c r="H140" s="13">
        <v>10</v>
      </c>
      <c r="I140" s="15" t="s">
        <v>2547</v>
      </c>
      <c r="J140" s="13">
        <v>10</v>
      </c>
      <c r="K140" s="15" t="s">
        <v>2548</v>
      </c>
      <c r="L140" s="13">
        <v>7</v>
      </c>
      <c r="M140" s="15" t="s">
        <v>2549</v>
      </c>
      <c r="N140" s="13">
        <v>10</v>
      </c>
      <c r="O140" s="19" t="s">
        <v>2550</v>
      </c>
      <c r="P140" s="13">
        <v>10</v>
      </c>
      <c r="Q140" s="20" t="s">
        <v>2551</v>
      </c>
      <c r="R140" s="13">
        <v>5</v>
      </c>
      <c r="S140" s="16" t="s">
        <v>2552</v>
      </c>
      <c r="T140" s="13"/>
      <c r="U140" s="15"/>
      <c r="V140" s="13">
        <v>15</v>
      </c>
      <c r="W140" s="15" t="s">
        <v>2553</v>
      </c>
      <c r="X140" s="13">
        <v>10</v>
      </c>
      <c r="Y140" s="15" t="s">
        <v>2554</v>
      </c>
      <c r="Z140" s="13"/>
      <c r="AA140" s="15"/>
      <c r="AB140" s="13">
        <v>5</v>
      </c>
      <c r="AC140" s="15" t="s">
        <v>2555</v>
      </c>
      <c r="AD140" s="13">
        <v>5</v>
      </c>
      <c r="AE140" s="15" t="s">
        <v>2454</v>
      </c>
      <c r="AF140" s="13">
        <v>10</v>
      </c>
      <c r="AG140" s="15" t="s">
        <v>2556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2557</v>
      </c>
      <c r="AR140" s="13"/>
      <c r="AS140" s="17">
        <f t="shared" si="18"/>
        <v>97</v>
      </c>
      <c r="AT140" s="11">
        <f t="shared" si="19"/>
        <v>46113</v>
      </c>
      <c r="AU140" s="13" t="str">
        <f t="shared" si="20"/>
        <v>April 2026</v>
      </c>
      <c r="AV140" s="11">
        <f t="shared" si="21"/>
        <v>46111</v>
      </c>
      <c r="AW140" s="11">
        <f t="shared" si="22"/>
        <v>46117</v>
      </c>
      <c r="AX140" s="13" t="str">
        <f t="shared" si="23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4"/>
        <v>02|Supakrit Promkhamnoi|20260401</v>
      </c>
      <c r="BB140" s="13" t="str">
        <f t="shared" si="25"/>
        <v>03|Supakrit Promkhamnoi|20260330</v>
      </c>
      <c r="BC140" s="13">
        <f t="shared" si="26"/>
        <v>0</v>
      </c>
      <c r="BD140" s="50" t="s">
        <v>2558</v>
      </c>
      <c r="BE140" t="s">
        <v>2559</v>
      </c>
      <c r="BF140" t="s">
        <v>2338</v>
      </c>
    </row>
    <row r="141" spans="1:58" ht="15" customHeight="1">
      <c r="A141" s="9">
        <v>46120.439169548612</v>
      </c>
      <c r="B141" s="10" t="s">
        <v>290</v>
      </c>
      <c r="C141" s="11">
        <v>46115</v>
      </c>
      <c r="D141" s="12">
        <v>0.83402777777777781</v>
      </c>
      <c r="E141" s="12">
        <v>0.84375</v>
      </c>
      <c r="F141" s="13" t="s">
        <v>2560</v>
      </c>
      <c r="G141" s="14" t="s">
        <v>2561</v>
      </c>
      <c r="H141" s="13">
        <v>7</v>
      </c>
      <c r="I141" s="19" t="s">
        <v>2562</v>
      </c>
      <c r="J141" s="13">
        <v>10</v>
      </c>
      <c r="K141" s="15" t="s">
        <v>2563</v>
      </c>
      <c r="L141" s="13">
        <v>10</v>
      </c>
      <c r="M141" s="19" t="s">
        <v>2564</v>
      </c>
      <c r="N141" s="13">
        <v>9</v>
      </c>
      <c r="O141" s="19" t="s">
        <v>2565</v>
      </c>
      <c r="P141" s="13">
        <v>9</v>
      </c>
      <c r="Q141" s="20" t="s">
        <v>2566</v>
      </c>
      <c r="R141" s="13">
        <v>4</v>
      </c>
      <c r="S141" s="20" t="s">
        <v>2567</v>
      </c>
      <c r="T141" s="13"/>
      <c r="U141" s="15"/>
      <c r="V141" s="13">
        <v>15</v>
      </c>
      <c r="W141" s="15" t="s">
        <v>2568</v>
      </c>
      <c r="X141" s="13">
        <v>9</v>
      </c>
      <c r="Y141" s="19" t="s">
        <v>2569</v>
      </c>
      <c r="Z141" s="13"/>
      <c r="AA141" s="15"/>
      <c r="AB141" s="13">
        <v>5</v>
      </c>
      <c r="AC141" s="15" t="s">
        <v>2570</v>
      </c>
      <c r="AD141" s="13">
        <v>5</v>
      </c>
      <c r="AE141" s="15" t="s">
        <v>2571</v>
      </c>
      <c r="AF141" s="13">
        <v>10</v>
      </c>
      <c r="AG141" s="15" t="s">
        <v>2572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2573</v>
      </c>
      <c r="AR141" s="13"/>
      <c r="AS141" s="17">
        <f t="shared" si="18"/>
        <v>93</v>
      </c>
      <c r="AT141" s="11">
        <f t="shared" si="19"/>
        <v>46113</v>
      </c>
      <c r="AU141" s="13" t="str">
        <f t="shared" si="20"/>
        <v>April 2026</v>
      </c>
      <c r="AV141" s="11">
        <f t="shared" si="21"/>
        <v>46111</v>
      </c>
      <c r="AW141" s="11">
        <f t="shared" si="22"/>
        <v>46117</v>
      </c>
      <c r="AX141" s="13" t="str">
        <f t="shared" si="23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4"/>
        <v>01|Suphitcha Keawliam|20260401</v>
      </c>
      <c r="BB141" s="13" t="str">
        <f t="shared" si="25"/>
        <v>03|Suphitcha Keawliam|20260330</v>
      </c>
      <c r="BC141" s="13">
        <f t="shared" si="26"/>
        <v>0</v>
      </c>
      <c r="BD141" s="50" t="s">
        <v>2574</v>
      </c>
      <c r="BE141" t="s">
        <v>2575</v>
      </c>
      <c r="BF141" t="s">
        <v>2338</v>
      </c>
    </row>
    <row r="142" spans="1:58" ht="15" customHeight="1">
      <c r="A142" s="9">
        <v>46120.480376631953</v>
      </c>
      <c r="B142" s="10" t="s">
        <v>290</v>
      </c>
      <c r="C142" s="11">
        <v>46116</v>
      </c>
      <c r="D142" s="12">
        <v>0.79166666666666663</v>
      </c>
      <c r="E142" s="12">
        <v>0.80138888888888893</v>
      </c>
      <c r="F142" s="13" t="s">
        <v>2576</v>
      </c>
      <c r="G142" s="14" t="s">
        <v>2577</v>
      </c>
      <c r="H142" s="13">
        <v>10</v>
      </c>
      <c r="I142" s="15" t="s">
        <v>2578</v>
      </c>
      <c r="J142" s="13">
        <v>10</v>
      </c>
      <c r="K142" s="15" t="s">
        <v>2579</v>
      </c>
      <c r="L142" s="13">
        <v>10</v>
      </c>
      <c r="M142" s="15" t="s">
        <v>2580</v>
      </c>
      <c r="N142" s="13">
        <v>9</v>
      </c>
      <c r="O142" s="19" t="s">
        <v>2581</v>
      </c>
      <c r="P142" s="13">
        <v>9</v>
      </c>
      <c r="Q142" s="20" t="s">
        <v>2582</v>
      </c>
      <c r="R142" s="13">
        <v>5</v>
      </c>
      <c r="S142" s="20" t="s">
        <v>2583</v>
      </c>
      <c r="T142" s="13"/>
      <c r="U142" s="15"/>
      <c r="V142" s="13">
        <v>14</v>
      </c>
      <c r="W142" s="19" t="s">
        <v>2584</v>
      </c>
      <c r="X142" s="13">
        <v>10</v>
      </c>
      <c r="Y142" s="15" t="s">
        <v>2585</v>
      </c>
      <c r="Z142" s="13"/>
      <c r="AA142" s="15"/>
      <c r="AB142" s="13">
        <v>5</v>
      </c>
      <c r="AC142" s="15" t="s">
        <v>2586</v>
      </c>
      <c r="AD142" s="13">
        <v>5</v>
      </c>
      <c r="AE142" s="15" t="s">
        <v>2587</v>
      </c>
      <c r="AF142" s="13">
        <v>10</v>
      </c>
      <c r="AG142" s="15" t="s">
        <v>2588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2589</v>
      </c>
      <c r="AR142" s="13"/>
      <c r="AS142" s="17">
        <f t="shared" si="18"/>
        <v>97</v>
      </c>
      <c r="AT142" s="11">
        <f t="shared" si="19"/>
        <v>46113</v>
      </c>
      <c r="AU142" s="13" t="str">
        <f t="shared" si="20"/>
        <v>April 2026</v>
      </c>
      <c r="AV142" s="11">
        <f t="shared" si="21"/>
        <v>46111</v>
      </c>
      <c r="AW142" s="11">
        <f t="shared" si="22"/>
        <v>46117</v>
      </c>
      <c r="AX142" s="13" t="str">
        <f t="shared" si="23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4"/>
        <v>02|Suphitcha Keawliam|20260401</v>
      </c>
      <c r="BB142" s="13" t="str">
        <f t="shared" si="25"/>
        <v>04|Suphitcha Keawliam|20260330</v>
      </c>
      <c r="BC142" s="13">
        <f t="shared" si="26"/>
        <v>0</v>
      </c>
      <c r="BD142" s="50" t="s">
        <v>2590</v>
      </c>
      <c r="BE142" t="s">
        <v>2591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 t="shared" si="18"/>
        <v>87</v>
      </c>
      <c r="AT143" s="11">
        <f t="shared" si="19"/>
        <v>46113</v>
      </c>
      <c r="AU143" s="13" t="str">
        <f t="shared" si="20"/>
        <v>April 2026</v>
      </c>
      <c r="AV143" s="11">
        <f t="shared" si="21"/>
        <v>46111</v>
      </c>
      <c r="AW143" s="11">
        <f t="shared" si="22"/>
        <v>46117</v>
      </c>
      <c r="AX143" s="13" t="str">
        <f t="shared" si="23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4"/>
        <v>01|Wachiraporn chailittichai|20260401</v>
      </c>
      <c r="BB143" s="13" t="str">
        <f t="shared" si="25"/>
        <v>01|Wachiraporn chailittichai|20260330</v>
      </c>
      <c r="BC143" s="13">
        <f t="shared" si="26"/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 t="shared" si="18"/>
        <v>92</v>
      </c>
      <c r="AT144" s="11">
        <f t="shared" si="19"/>
        <v>46113</v>
      </c>
      <c r="AU144" s="13" t="str">
        <f t="shared" si="20"/>
        <v>April 2026</v>
      </c>
      <c r="AV144" s="11">
        <f t="shared" si="21"/>
        <v>46111</v>
      </c>
      <c r="AW144" s="11">
        <f t="shared" si="22"/>
        <v>46117</v>
      </c>
      <c r="AX144" s="13" t="str">
        <f t="shared" si="23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4"/>
        <v>02|Wachiraporn chailittichai|20260401</v>
      </c>
      <c r="BB144" s="13" t="str">
        <f t="shared" si="25"/>
        <v>02|Wachiraporn chailittichai|20260330</v>
      </c>
      <c r="BC144" s="13">
        <f t="shared" si="26"/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 t="shared" si="18"/>
        <v>83</v>
      </c>
      <c r="AT145" s="11">
        <f t="shared" si="19"/>
        <v>46113</v>
      </c>
      <c r="AU145" s="13" t="str">
        <f t="shared" si="20"/>
        <v>April 2026</v>
      </c>
      <c r="AV145" s="11">
        <f t="shared" si="21"/>
        <v>46111</v>
      </c>
      <c r="AW145" s="11">
        <f t="shared" si="22"/>
        <v>46117</v>
      </c>
      <c r="AX145" s="13" t="str">
        <f t="shared" si="23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4"/>
        <v>01|Wassana Phothong|20260401</v>
      </c>
      <c r="BB145" s="13" t="str">
        <f t="shared" si="25"/>
        <v>02|Wassana Phothong|20260330</v>
      </c>
      <c r="BC145" s="13">
        <f t="shared" si="26"/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46120.533569305553</v>
      </c>
      <c r="B146" s="10" t="s">
        <v>503</v>
      </c>
      <c r="C146" s="11">
        <v>46117</v>
      </c>
      <c r="D146" s="12">
        <v>0.48541666666666672</v>
      </c>
      <c r="E146" s="12">
        <v>0.48819444444444438</v>
      </c>
      <c r="F146" s="13" t="s">
        <v>2639</v>
      </c>
      <c r="G146" s="14" t="s">
        <v>2640</v>
      </c>
      <c r="H146" s="13">
        <v>10</v>
      </c>
      <c r="I146" s="19" t="s">
        <v>2641</v>
      </c>
      <c r="J146" s="13">
        <v>10</v>
      </c>
      <c r="K146" s="19" t="s">
        <v>2642</v>
      </c>
      <c r="L146" s="13">
        <v>9</v>
      </c>
      <c r="M146" s="19" t="s">
        <v>2643</v>
      </c>
      <c r="N146" s="13">
        <v>6</v>
      </c>
      <c r="O146" s="19" t="s">
        <v>2644</v>
      </c>
      <c r="P146" s="13">
        <v>5</v>
      </c>
      <c r="Q146" s="20" t="s">
        <v>2645</v>
      </c>
      <c r="R146" s="13">
        <v>2</v>
      </c>
      <c r="S146" s="20" t="s">
        <v>2646</v>
      </c>
      <c r="T146" s="13"/>
      <c r="U146" s="15"/>
      <c r="V146" s="13">
        <v>8</v>
      </c>
      <c r="W146" s="19" t="s">
        <v>2647</v>
      </c>
      <c r="X146" s="13">
        <v>7</v>
      </c>
      <c r="Y146" s="19" t="s">
        <v>2648</v>
      </c>
      <c r="Z146" s="13"/>
      <c r="AA146" s="15"/>
      <c r="AB146" s="13">
        <v>5</v>
      </c>
      <c r="AC146" s="19" t="s">
        <v>2649</v>
      </c>
      <c r="AD146" s="13">
        <v>5</v>
      </c>
      <c r="AE146" s="19" t="s">
        <v>2650</v>
      </c>
      <c r="AF146" s="13">
        <v>10</v>
      </c>
      <c r="AG146" s="15" t="s">
        <v>2651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2652</v>
      </c>
      <c r="AR146" s="13"/>
      <c r="AS146" s="17">
        <f t="shared" si="18"/>
        <v>77</v>
      </c>
      <c r="AT146" s="11">
        <f t="shared" si="19"/>
        <v>46113</v>
      </c>
      <c r="AU146" s="13" t="str">
        <f t="shared" si="20"/>
        <v>April 2026</v>
      </c>
      <c r="AV146" s="11">
        <f t="shared" si="21"/>
        <v>46111</v>
      </c>
      <c r="AW146" s="11">
        <f t="shared" si="22"/>
        <v>46117</v>
      </c>
      <c r="AX146" s="13" t="str">
        <f t="shared" si="23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4"/>
        <v>02|Wassana Phothong|20260401</v>
      </c>
      <c r="BB146" s="13" t="str">
        <f t="shared" si="25"/>
        <v>03|Wassana Phothong|20260330</v>
      </c>
      <c r="BC146" s="13">
        <f t="shared" si="26"/>
        <v>0</v>
      </c>
      <c r="BD146" s="50" t="s">
        <v>2653</v>
      </c>
      <c r="BE146" t="s">
        <v>2654</v>
      </c>
      <c r="BF146" t="s">
        <v>2338</v>
      </c>
    </row>
    <row r="147" spans="1:58" ht="15" customHeight="1">
      <c r="A147" s="9">
        <v>46128.851487245367</v>
      </c>
      <c r="B147" s="10" t="s">
        <v>2321</v>
      </c>
      <c r="C147" s="11">
        <v>46123</v>
      </c>
      <c r="D147" s="12">
        <v>0.601388888884685</v>
      </c>
      <c r="E147" s="12">
        <v>0.60347222222480923</v>
      </c>
      <c r="F147" s="13" t="s">
        <v>2655</v>
      </c>
      <c r="G147" s="14" t="s">
        <v>2656</v>
      </c>
      <c r="H147" s="13">
        <v>5</v>
      </c>
      <c r="I147" s="19" t="s">
        <v>2657</v>
      </c>
      <c r="J147" s="13">
        <v>10</v>
      </c>
      <c r="K147" s="19" t="s">
        <v>2658</v>
      </c>
      <c r="L147" s="13">
        <v>4</v>
      </c>
      <c r="M147" s="19" t="s">
        <v>2659</v>
      </c>
      <c r="N147" s="13">
        <v>2</v>
      </c>
      <c r="O147" s="19" t="s">
        <v>2660</v>
      </c>
      <c r="P147" s="13">
        <v>1</v>
      </c>
      <c r="Q147" s="20" t="s">
        <v>2661</v>
      </c>
      <c r="R147" s="13">
        <v>0</v>
      </c>
      <c r="S147" s="20" t="s">
        <v>2662</v>
      </c>
      <c r="T147" s="13"/>
      <c r="U147" s="15"/>
      <c r="V147" s="13">
        <v>1</v>
      </c>
      <c r="W147" s="19" t="s">
        <v>2663</v>
      </c>
      <c r="X147" s="13">
        <v>1</v>
      </c>
      <c r="Y147" s="19" t="s">
        <v>2664</v>
      </c>
      <c r="Z147" s="13"/>
      <c r="AA147" s="15"/>
      <c r="AB147" s="13">
        <v>4</v>
      </c>
      <c r="AC147" s="19" t="s">
        <v>2665</v>
      </c>
      <c r="AD147" s="13">
        <v>4</v>
      </c>
      <c r="AE147" s="19" t="s">
        <v>2666</v>
      </c>
      <c r="AF147" s="13">
        <v>7</v>
      </c>
      <c r="AG147" s="19" t="s">
        <v>2667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2668</v>
      </c>
      <c r="AR147" s="13"/>
      <c r="AS147" s="17">
        <f t="shared" si="18"/>
        <v>39</v>
      </c>
      <c r="AT147" s="11">
        <f t="shared" si="19"/>
        <v>46113</v>
      </c>
      <c r="AU147" s="13" t="str">
        <f t="shared" si="20"/>
        <v>April 2026</v>
      </c>
      <c r="AV147" s="11">
        <f t="shared" si="21"/>
        <v>46118</v>
      </c>
      <c r="AW147" s="11">
        <f t="shared" si="22"/>
        <v>46124</v>
      </c>
      <c r="AX147" s="13" t="str">
        <f t="shared" si="23"/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 t="shared" si="24"/>
        <v>03|Anucha Makundin|20260401</v>
      </c>
      <c r="BB147" s="13" t="str">
        <f t="shared" si="25"/>
        <v>01|Anucha Makundin|20260406</v>
      </c>
      <c r="BC147" s="13">
        <f t="shared" si="26"/>
        <v>0</v>
      </c>
      <c r="BD147" s="50" t="s">
        <v>2669</v>
      </c>
      <c r="BE147" t="s">
        <v>2670</v>
      </c>
      <c r="BF147" t="s">
        <v>2338</v>
      </c>
    </row>
    <row r="148" spans="1:58" s="62" customFormat="1" ht="15" customHeight="1">
      <c r="A148" s="51">
        <v>46128.861033425928</v>
      </c>
      <c r="B148" s="52" t="s">
        <v>2321</v>
      </c>
      <c r="C148" s="53">
        <v>46123</v>
      </c>
      <c r="D148" s="54">
        <v>0.50555555555911269</v>
      </c>
      <c r="E148" s="54">
        <v>0.51527777777664596</v>
      </c>
      <c r="F148" s="55" t="s">
        <v>2671</v>
      </c>
      <c r="G148" s="56" t="s">
        <v>2672</v>
      </c>
      <c r="H148" s="55">
        <v>5</v>
      </c>
      <c r="I148" s="57" t="s">
        <v>2673</v>
      </c>
      <c r="J148" s="55">
        <v>10</v>
      </c>
      <c r="K148" s="57" t="s">
        <v>2674</v>
      </c>
      <c r="L148" s="55">
        <v>7</v>
      </c>
      <c r="M148" s="57" t="s">
        <v>2675</v>
      </c>
      <c r="N148" s="55">
        <v>7</v>
      </c>
      <c r="O148" s="57" t="s">
        <v>2676</v>
      </c>
      <c r="P148" s="55">
        <v>5</v>
      </c>
      <c r="Q148" s="58" t="s">
        <v>2677</v>
      </c>
      <c r="R148" s="55">
        <v>3</v>
      </c>
      <c r="S148" s="58" t="s">
        <v>2678</v>
      </c>
      <c r="T148" s="55"/>
      <c r="U148" s="59"/>
      <c r="V148" s="55">
        <v>7</v>
      </c>
      <c r="W148" s="57" t="s">
        <v>2679</v>
      </c>
      <c r="X148" s="55">
        <v>5</v>
      </c>
      <c r="Y148" s="57" t="s">
        <v>2680</v>
      </c>
      <c r="Z148" s="55"/>
      <c r="AA148" s="59"/>
      <c r="AB148" s="55">
        <v>5</v>
      </c>
      <c r="AC148" s="57" t="s">
        <v>2681</v>
      </c>
      <c r="AD148" s="55">
        <v>5</v>
      </c>
      <c r="AE148" s="57" t="s">
        <v>2682</v>
      </c>
      <c r="AF148" s="55">
        <v>8</v>
      </c>
      <c r="AG148" s="57" t="s">
        <v>2683</v>
      </c>
      <c r="AH148" s="55"/>
      <c r="AI148" s="59"/>
      <c r="AJ148" s="55"/>
      <c r="AK148" s="59"/>
      <c r="AL148" s="55"/>
      <c r="AM148" s="59"/>
      <c r="AN148" s="55"/>
      <c r="AO148" s="59"/>
      <c r="AP148" s="55" t="s">
        <v>79</v>
      </c>
      <c r="AQ148" s="59" t="s">
        <v>2684</v>
      </c>
      <c r="AR148" s="55"/>
      <c r="AS148" s="60">
        <f t="shared" si="18"/>
        <v>67</v>
      </c>
      <c r="AT148" s="53">
        <f t="shared" si="19"/>
        <v>46113</v>
      </c>
      <c r="AU148" s="55" t="str">
        <f t="shared" si="20"/>
        <v>April 2026</v>
      </c>
      <c r="AV148" s="53">
        <f t="shared" si="21"/>
        <v>46118</v>
      </c>
      <c r="AW148" s="53">
        <f t="shared" si="22"/>
        <v>46124</v>
      </c>
      <c r="AX148" s="55" t="str">
        <f t="shared" si="23"/>
        <v>06/04/2026 - 12/04/2026</v>
      </c>
      <c r="AY148" s="55">
        <f>IF(B148="","",COUNTIFS($B$5:B148,B148,$AT$5:AT148,AT148))</f>
        <v>4</v>
      </c>
      <c r="AZ148" s="55">
        <f>IF(B148="","",COUNTIFS($B$5:B148,B148,$AV$5:AV148,AV148))</f>
        <v>2</v>
      </c>
      <c r="BA148" s="55" t="str">
        <f t="shared" si="24"/>
        <v>04|Anucha Makundin|20260401</v>
      </c>
      <c r="BB148" s="55" t="str">
        <f t="shared" si="25"/>
        <v>02|Anucha Makundin|20260406</v>
      </c>
      <c r="BC148" s="55">
        <f t="shared" si="26"/>
        <v>0</v>
      </c>
      <c r="BD148" s="61" t="s">
        <v>2685</v>
      </c>
      <c r="BE148" s="62" t="s">
        <v>2686</v>
      </c>
      <c r="BF148" s="62" t="s">
        <v>2338</v>
      </c>
    </row>
    <row r="149" spans="1:58" ht="15" customHeight="1">
      <c r="A149" s="9">
        <v>46128.866286539356</v>
      </c>
      <c r="B149" s="10" t="s">
        <v>2321</v>
      </c>
      <c r="C149" s="11">
        <v>46123</v>
      </c>
      <c r="D149" s="12">
        <v>0.53611111111240461</v>
      </c>
      <c r="E149" s="12">
        <v>0.53749999999854481</v>
      </c>
      <c r="F149" s="13" t="s">
        <v>2687</v>
      </c>
      <c r="G149" s="14" t="s">
        <v>2688</v>
      </c>
      <c r="H149" s="13">
        <v>0</v>
      </c>
      <c r="I149" s="19" t="s">
        <v>2689</v>
      </c>
      <c r="J149" s="13">
        <v>10</v>
      </c>
      <c r="K149" s="19" t="s">
        <v>2690</v>
      </c>
      <c r="L149" s="13">
        <v>10</v>
      </c>
      <c r="M149" s="19" t="s">
        <v>2691</v>
      </c>
      <c r="N149" s="13">
        <v>8</v>
      </c>
      <c r="O149" s="19" t="s">
        <v>2692</v>
      </c>
      <c r="P149" s="13">
        <v>2</v>
      </c>
      <c r="Q149" s="20" t="s">
        <v>2693</v>
      </c>
      <c r="R149" s="13">
        <v>5</v>
      </c>
      <c r="S149" s="20" t="s">
        <v>2694</v>
      </c>
      <c r="T149" s="13"/>
      <c r="U149" s="15"/>
      <c r="V149" s="13">
        <v>10</v>
      </c>
      <c r="W149" s="19" t="s">
        <v>2695</v>
      </c>
      <c r="X149" s="13">
        <v>5</v>
      </c>
      <c r="Y149" s="19" t="s">
        <v>2696</v>
      </c>
      <c r="Z149" s="13"/>
      <c r="AA149" s="15"/>
      <c r="AB149" s="13">
        <v>4</v>
      </c>
      <c r="AC149" s="19" t="s">
        <v>2697</v>
      </c>
      <c r="AD149" s="13">
        <v>5</v>
      </c>
      <c r="AE149" s="19" t="s">
        <v>2698</v>
      </c>
      <c r="AF149" s="13">
        <v>7</v>
      </c>
      <c r="AG149" s="19" t="s">
        <v>2699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2700</v>
      </c>
      <c r="AR149" s="13"/>
      <c r="AS149" s="17">
        <f t="shared" si="18"/>
        <v>66</v>
      </c>
      <c r="AT149" s="11">
        <f t="shared" si="19"/>
        <v>46113</v>
      </c>
      <c r="AU149" s="13" t="str">
        <f t="shared" si="20"/>
        <v>April 2026</v>
      </c>
      <c r="AV149" s="11">
        <f t="shared" si="21"/>
        <v>46118</v>
      </c>
      <c r="AW149" s="11">
        <f t="shared" si="22"/>
        <v>46124</v>
      </c>
      <c r="AX149" s="13" t="str">
        <f t="shared" si="23"/>
        <v>06/04/2026 - 12/04/2026</v>
      </c>
      <c r="AY149" s="13">
        <f>IF(B149="","",COUNTIFS($B$5:B149,B149,$AT$5:AT149,AT149))</f>
        <v>5</v>
      </c>
      <c r="AZ149" s="13">
        <f>IF(B149="","",COUNTIFS($B$5:B149,B149,$AV$5:AV149,AV149))</f>
        <v>3</v>
      </c>
      <c r="BA149" s="13" t="str">
        <f t="shared" si="24"/>
        <v>05|Anucha Makundin|20260401</v>
      </c>
      <c r="BB149" s="13" t="str">
        <f t="shared" si="25"/>
        <v>03|Anucha Makundin|20260406</v>
      </c>
      <c r="BC149" s="13">
        <f t="shared" si="26"/>
        <v>0</v>
      </c>
      <c r="BD149" s="50" t="s">
        <v>2701</v>
      </c>
      <c r="BE149" t="s">
        <v>2702</v>
      </c>
      <c r="BF149" t="s">
        <v>2338</v>
      </c>
    </row>
    <row r="150" spans="1:58" ht="15" customHeight="1">
      <c r="A150" s="9">
        <v>46128.891416516199</v>
      </c>
      <c r="B150" s="10" t="s">
        <v>59</v>
      </c>
      <c r="C150" s="11">
        <v>46118</v>
      </c>
      <c r="D150" s="12">
        <v>0.56666666666569654</v>
      </c>
      <c r="E150" s="12">
        <v>0.57708333333721384</v>
      </c>
      <c r="F150" s="13" t="s">
        <v>2703</v>
      </c>
      <c r="G150" s="14" t="s">
        <v>2704</v>
      </c>
      <c r="H150" s="13">
        <v>10</v>
      </c>
      <c r="I150" s="19" t="s">
        <v>2705</v>
      </c>
      <c r="J150" s="13">
        <v>10</v>
      </c>
      <c r="K150" s="19" t="s">
        <v>2706</v>
      </c>
      <c r="L150" s="13">
        <v>7</v>
      </c>
      <c r="M150" s="19" t="s">
        <v>2707</v>
      </c>
      <c r="N150" s="13">
        <v>8</v>
      </c>
      <c r="O150" s="19" t="s">
        <v>2708</v>
      </c>
      <c r="P150" s="13">
        <v>7</v>
      </c>
      <c r="Q150" s="20" t="s">
        <v>2709</v>
      </c>
      <c r="R150" s="13">
        <v>4</v>
      </c>
      <c r="S150" s="20" t="s">
        <v>2710</v>
      </c>
      <c r="T150" s="13"/>
      <c r="U150" s="15"/>
      <c r="V150" s="13">
        <v>11</v>
      </c>
      <c r="W150" s="19" t="s">
        <v>2711</v>
      </c>
      <c r="X150" s="13">
        <v>7</v>
      </c>
      <c r="Y150" s="19" t="s">
        <v>2712</v>
      </c>
      <c r="Z150" s="13"/>
      <c r="AA150" s="15"/>
      <c r="AB150" s="13">
        <v>5</v>
      </c>
      <c r="AC150" s="19" t="s">
        <v>2713</v>
      </c>
      <c r="AD150" s="13">
        <v>5</v>
      </c>
      <c r="AE150" s="19" t="s">
        <v>2714</v>
      </c>
      <c r="AF150" s="13">
        <v>10</v>
      </c>
      <c r="AG150" s="19" t="s">
        <v>2715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2716</v>
      </c>
      <c r="AR150" s="13"/>
      <c r="AS150" s="17">
        <f t="shared" si="18"/>
        <v>84</v>
      </c>
      <c r="AT150" s="11">
        <f t="shared" si="19"/>
        <v>46113</v>
      </c>
      <c r="AU150" s="13" t="str">
        <f t="shared" si="20"/>
        <v>April 2026</v>
      </c>
      <c r="AV150" s="11">
        <f t="shared" si="21"/>
        <v>46118</v>
      </c>
      <c r="AW150" s="11">
        <f t="shared" si="22"/>
        <v>46124</v>
      </c>
      <c r="AX150" s="13" t="str">
        <f t="shared" si="23"/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 t="shared" si="24"/>
        <v>03|Chatkonnaphat Bhusomya|20260401</v>
      </c>
      <c r="BB150" s="13" t="str">
        <f t="shared" si="25"/>
        <v>01|Chatkonnaphat Bhusomya|20260406</v>
      </c>
      <c r="BC150" s="13">
        <f t="shared" si="26"/>
        <v>0</v>
      </c>
      <c r="BD150" s="50" t="s">
        <v>2717</v>
      </c>
      <c r="BE150" t="s">
        <v>2718</v>
      </c>
      <c r="BF150" t="s">
        <v>2338</v>
      </c>
    </row>
    <row r="151" spans="1:58" ht="15" customHeight="1">
      <c r="A151" s="9">
        <v>46129.580733495372</v>
      </c>
      <c r="B151" s="10" t="s">
        <v>59</v>
      </c>
      <c r="C151" s="11">
        <v>46122</v>
      </c>
      <c r="D151" s="12">
        <v>0.52152777777519077</v>
      </c>
      <c r="E151" s="12">
        <v>0.51666666666278616</v>
      </c>
      <c r="F151" s="13" t="s">
        <v>2719</v>
      </c>
      <c r="G151" s="14" t="s">
        <v>1550</v>
      </c>
      <c r="H151" s="13">
        <v>10</v>
      </c>
      <c r="I151" s="19" t="s">
        <v>2720</v>
      </c>
      <c r="J151" s="13">
        <v>10</v>
      </c>
      <c r="K151" s="15" t="s">
        <v>2721</v>
      </c>
      <c r="L151" s="13">
        <v>7</v>
      </c>
      <c r="M151" s="15" t="s">
        <v>2722</v>
      </c>
      <c r="N151" s="13">
        <v>9</v>
      </c>
      <c r="O151" s="19" t="s">
        <v>2723</v>
      </c>
      <c r="P151" s="13">
        <v>8</v>
      </c>
      <c r="Q151" s="20" t="s">
        <v>2724</v>
      </c>
      <c r="R151" s="13">
        <v>4</v>
      </c>
      <c r="S151" s="20" t="s">
        <v>2725</v>
      </c>
      <c r="T151" s="13"/>
      <c r="U151" s="15"/>
      <c r="V151" s="13">
        <v>12</v>
      </c>
      <c r="W151" s="19" t="s">
        <v>2726</v>
      </c>
      <c r="X151" s="13">
        <v>9</v>
      </c>
      <c r="Y151" s="19" t="s">
        <v>2727</v>
      </c>
      <c r="Z151" s="13"/>
      <c r="AA151" s="15"/>
      <c r="AB151" s="13">
        <v>5</v>
      </c>
      <c r="AC151" s="15" t="s">
        <v>2726</v>
      </c>
      <c r="AD151" s="13">
        <v>5</v>
      </c>
      <c r="AE151" s="15" t="s">
        <v>2727</v>
      </c>
      <c r="AF151" s="13">
        <v>10</v>
      </c>
      <c r="AG151" s="15" t="s">
        <v>2728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2729</v>
      </c>
      <c r="AR151" s="13"/>
      <c r="AS151" s="17">
        <f t="shared" si="18"/>
        <v>89</v>
      </c>
      <c r="AT151" s="11">
        <f t="shared" si="19"/>
        <v>46113</v>
      </c>
      <c r="AU151" s="13" t="str">
        <f t="shared" si="20"/>
        <v>April 2026</v>
      </c>
      <c r="AV151" s="11">
        <f t="shared" si="21"/>
        <v>46118</v>
      </c>
      <c r="AW151" s="11">
        <f t="shared" si="22"/>
        <v>46124</v>
      </c>
      <c r="AX151" s="13" t="str">
        <f t="shared" si="23"/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 t="shared" si="24"/>
        <v>04|Chatkonnaphat Bhusomya|20260401</v>
      </c>
      <c r="BB151" s="13" t="str">
        <f t="shared" si="25"/>
        <v>02|Chatkonnaphat Bhusomya|20260406</v>
      </c>
      <c r="BC151" s="13">
        <f t="shared" si="26"/>
        <v>0</v>
      </c>
      <c r="BD151" s="63" t="s">
        <v>2730</v>
      </c>
      <c r="BE151" t="s">
        <v>2731</v>
      </c>
      <c r="BF151" t="s">
        <v>2338</v>
      </c>
    </row>
    <row r="152" spans="1:58" ht="15" customHeight="1">
      <c r="A152" s="9">
        <v>46129.593675891199</v>
      </c>
      <c r="B152" s="10" t="s">
        <v>59</v>
      </c>
      <c r="C152" s="11">
        <v>46122</v>
      </c>
      <c r="D152" s="12">
        <v>0.58541666666860692</v>
      </c>
      <c r="E152" s="12">
        <v>0.58819444444088731</v>
      </c>
      <c r="F152" s="13" t="s">
        <v>2732</v>
      </c>
      <c r="G152" s="14" t="s">
        <v>2733</v>
      </c>
      <c r="H152" s="13">
        <v>10</v>
      </c>
      <c r="I152" s="19" t="s">
        <v>2734</v>
      </c>
      <c r="J152" s="13">
        <v>10</v>
      </c>
      <c r="K152" s="15" t="s">
        <v>2735</v>
      </c>
      <c r="L152" s="13">
        <v>10</v>
      </c>
      <c r="M152" s="15" t="s">
        <v>2736</v>
      </c>
      <c r="N152" s="13">
        <v>10</v>
      </c>
      <c r="O152" s="19" t="s">
        <v>2737</v>
      </c>
      <c r="P152" s="13">
        <v>9</v>
      </c>
      <c r="Q152" s="20" t="s">
        <v>2738</v>
      </c>
      <c r="R152" s="13">
        <v>5</v>
      </c>
      <c r="S152" s="20" t="s">
        <v>2739</v>
      </c>
      <c r="T152" s="13"/>
      <c r="U152" s="15"/>
      <c r="V152" s="13">
        <v>13</v>
      </c>
      <c r="W152" s="19" t="s">
        <v>2740</v>
      </c>
      <c r="X152" s="13">
        <v>10</v>
      </c>
      <c r="Y152" s="19" t="s">
        <v>2741</v>
      </c>
      <c r="Z152" s="13"/>
      <c r="AA152" s="15"/>
      <c r="AB152" s="13">
        <v>5</v>
      </c>
      <c r="AC152" s="15" t="s">
        <v>2742</v>
      </c>
      <c r="AD152" s="13">
        <v>5</v>
      </c>
      <c r="AE152" s="15" t="s">
        <v>2743</v>
      </c>
      <c r="AF152" s="13">
        <v>10</v>
      </c>
      <c r="AG152" s="15" t="s">
        <v>2744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2745</v>
      </c>
      <c r="AR152" s="13"/>
      <c r="AS152" s="17">
        <f t="shared" si="18"/>
        <v>97</v>
      </c>
      <c r="AT152" s="11">
        <f t="shared" si="19"/>
        <v>46113</v>
      </c>
      <c r="AU152" s="13" t="str">
        <f t="shared" si="20"/>
        <v>April 2026</v>
      </c>
      <c r="AV152" s="11">
        <f t="shared" si="21"/>
        <v>46118</v>
      </c>
      <c r="AW152" s="11">
        <f t="shared" si="22"/>
        <v>46124</v>
      </c>
      <c r="AX152" s="13" t="str">
        <f t="shared" si="23"/>
        <v>06/04/2026 - 12/04/2026</v>
      </c>
      <c r="AY152" s="13">
        <f>IF(B152="","",COUNTIFS($B$5:B152,B152,$AT$5:AT152,AT152))</f>
        <v>5</v>
      </c>
      <c r="AZ152" s="13">
        <f>IF(B152="","",COUNTIFS($B$5:B152,B152,$AV$5:AV152,AV152))</f>
        <v>3</v>
      </c>
      <c r="BA152" s="13" t="str">
        <f t="shared" si="24"/>
        <v>05|Chatkonnaphat Bhusomya|20260401</v>
      </c>
      <c r="BB152" s="13" t="str">
        <f t="shared" si="25"/>
        <v>03|Chatkonnaphat Bhusomya|20260406</v>
      </c>
      <c r="BC152" s="13">
        <f t="shared" si="26"/>
        <v>0</v>
      </c>
      <c r="BD152" s="50" t="s">
        <v>2746</v>
      </c>
      <c r="BE152" t="s">
        <v>2747</v>
      </c>
      <c r="BF152" t="s">
        <v>2338</v>
      </c>
    </row>
    <row r="153" spans="1:58" ht="15" customHeight="1">
      <c r="A153" s="9">
        <v>46129.633485057871</v>
      </c>
      <c r="B153" s="10" t="s">
        <v>123</v>
      </c>
      <c r="C153" s="11">
        <v>46122</v>
      </c>
      <c r="D153" s="12">
        <v>0.83819444444088731</v>
      </c>
      <c r="E153" s="12">
        <v>0.84444444444670808</v>
      </c>
      <c r="F153" s="13" t="s">
        <v>2748</v>
      </c>
      <c r="G153" s="14" t="s">
        <v>2749</v>
      </c>
      <c r="H153" s="13">
        <v>10</v>
      </c>
      <c r="I153" s="19" t="s">
        <v>2734</v>
      </c>
      <c r="J153" s="13">
        <v>10</v>
      </c>
      <c r="K153" s="15" t="s">
        <v>2750</v>
      </c>
      <c r="L153" s="13">
        <v>10</v>
      </c>
      <c r="M153" s="15" t="s">
        <v>2751</v>
      </c>
      <c r="N153" s="13">
        <v>9</v>
      </c>
      <c r="O153" s="19" t="s">
        <v>2752</v>
      </c>
      <c r="P153" s="13">
        <v>7</v>
      </c>
      <c r="Q153" s="20" t="s">
        <v>2753</v>
      </c>
      <c r="R153" s="13">
        <v>4</v>
      </c>
      <c r="S153" s="20" t="s">
        <v>2754</v>
      </c>
      <c r="T153" s="13"/>
      <c r="U153" s="15"/>
      <c r="V153" s="13">
        <v>12</v>
      </c>
      <c r="W153" s="19" t="s">
        <v>2755</v>
      </c>
      <c r="X153" s="13">
        <v>8</v>
      </c>
      <c r="Y153" s="19" t="s">
        <v>2756</v>
      </c>
      <c r="Z153" s="13"/>
      <c r="AA153" s="15"/>
      <c r="AB153" s="13">
        <v>5</v>
      </c>
      <c r="AC153" s="15" t="s">
        <v>2742</v>
      </c>
      <c r="AD153" s="13">
        <v>5</v>
      </c>
      <c r="AE153" s="15" t="s">
        <v>2743</v>
      </c>
      <c r="AF153" s="13">
        <v>10</v>
      </c>
      <c r="AG153" s="15" t="s">
        <v>2744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2757</v>
      </c>
      <c r="AR153" s="13"/>
      <c r="AS153" s="17">
        <f t="shared" si="18"/>
        <v>90</v>
      </c>
      <c r="AT153" s="11">
        <f t="shared" si="19"/>
        <v>46113</v>
      </c>
      <c r="AU153" s="13" t="str">
        <f t="shared" si="20"/>
        <v>April 2026</v>
      </c>
      <c r="AV153" s="11">
        <f t="shared" si="21"/>
        <v>46118</v>
      </c>
      <c r="AW153" s="11">
        <f t="shared" si="22"/>
        <v>46124</v>
      </c>
      <c r="AX153" s="13" t="str">
        <f t="shared" si="23"/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 t="shared" si="24"/>
        <v>03|Jariyawadee Taboodda|20260401</v>
      </c>
      <c r="BB153" s="13" t="str">
        <f t="shared" si="25"/>
        <v>01|Jariyawadee Taboodda|20260406</v>
      </c>
      <c r="BC153" s="13">
        <f t="shared" si="26"/>
        <v>0</v>
      </c>
      <c r="BD153" s="50" t="s">
        <v>2758</v>
      </c>
      <c r="BE153" t="s">
        <v>2759</v>
      </c>
      <c r="BF153" t="s">
        <v>2338</v>
      </c>
    </row>
    <row r="154" spans="1:58" ht="15" customHeight="1">
      <c r="A154" s="9">
        <v>46129.645013368056</v>
      </c>
      <c r="B154" s="10" t="s">
        <v>123</v>
      </c>
      <c r="C154" s="11">
        <v>46122</v>
      </c>
      <c r="D154" s="12">
        <v>0.79861111110949423</v>
      </c>
      <c r="E154" s="12">
        <v>0.80625000000145519</v>
      </c>
      <c r="F154" s="13" t="s">
        <v>2760</v>
      </c>
      <c r="G154" s="14" t="s">
        <v>2761</v>
      </c>
      <c r="H154" s="13">
        <v>10</v>
      </c>
      <c r="I154" s="19" t="s">
        <v>2762</v>
      </c>
      <c r="J154" s="13">
        <v>10</v>
      </c>
      <c r="K154" s="15" t="s">
        <v>2763</v>
      </c>
      <c r="L154" s="13">
        <v>10</v>
      </c>
      <c r="M154" s="15" t="s">
        <v>2764</v>
      </c>
      <c r="N154" s="13">
        <v>10</v>
      </c>
      <c r="O154" s="19" t="s">
        <v>2765</v>
      </c>
      <c r="P154" s="13">
        <v>9</v>
      </c>
      <c r="Q154" s="20" t="s">
        <v>2766</v>
      </c>
      <c r="R154" s="13">
        <v>5</v>
      </c>
      <c r="S154" s="20" t="s">
        <v>2767</v>
      </c>
      <c r="T154" s="13"/>
      <c r="U154" s="15"/>
      <c r="V154" s="13">
        <v>14</v>
      </c>
      <c r="W154" s="19" t="s">
        <v>2768</v>
      </c>
      <c r="X154" s="13">
        <v>10</v>
      </c>
      <c r="Y154" s="19" t="s">
        <v>2769</v>
      </c>
      <c r="Z154" s="13"/>
      <c r="AA154" s="15"/>
      <c r="AB154" s="13">
        <v>5</v>
      </c>
      <c r="AC154" s="15" t="s">
        <v>2770</v>
      </c>
      <c r="AD154" s="13">
        <v>5</v>
      </c>
      <c r="AE154" s="15" t="s">
        <v>2771</v>
      </c>
      <c r="AF154" s="13">
        <v>10</v>
      </c>
      <c r="AG154" s="15" t="s">
        <v>2772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2773</v>
      </c>
      <c r="AR154" s="13"/>
      <c r="AS154" s="17">
        <f t="shared" si="18"/>
        <v>98</v>
      </c>
      <c r="AT154" s="11">
        <f t="shared" si="19"/>
        <v>46113</v>
      </c>
      <c r="AU154" s="13" t="str">
        <f t="shared" si="20"/>
        <v>April 2026</v>
      </c>
      <c r="AV154" s="11">
        <f t="shared" si="21"/>
        <v>46118</v>
      </c>
      <c r="AW154" s="11">
        <f t="shared" si="22"/>
        <v>46124</v>
      </c>
      <c r="AX154" s="13" t="str">
        <f t="shared" si="23"/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 t="shared" si="24"/>
        <v>04|Jariyawadee Taboodda|20260401</v>
      </c>
      <c r="BB154" s="13" t="str">
        <f t="shared" si="25"/>
        <v>02|Jariyawadee Taboodda|20260406</v>
      </c>
      <c r="BC154" s="13">
        <f t="shared" si="26"/>
        <v>0</v>
      </c>
      <c r="BD154" s="50" t="s">
        <v>2774</v>
      </c>
      <c r="BE154" t="s">
        <v>2775</v>
      </c>
      <c r="BF154" t="s">
        <v>2338</v>
      </c>
    </row>
    <row r="155" spans="1:58" ht="15" customHeight="1">
      <c r="A155" s="9">
        <v>46129.654448321759</v>
      </c>
      <c r="B155" s="10" t="s">
        <v>123</v>
      </c>
      <c r="C155" s="11">
        <v>46121</v>
      </c>
      <c r="D155" s="12">
        <v>0.87777777777955635</v>
      </c>
      <c r="E155" s="12">
        <v>0.88888888889050577</v>
      </c>
      <c r="F155" s="13" t="s">
        <v>2776</v>
      </c>
      <c r="G155" s="14" t="s">
        <v>2777</v>
      </c>
      <c r="H155" s="13">
        <v>10</v>
      </c>
      <c r="I155" s="19" t="s">
        <v>2778</v>
      </c>
      <c r="J155" s="13">
        <v>10</v>
      </c>
      <c r="K155" s="15" t="s">
        <v>2779</v>
      </c>
      <c r="L155" s="13">
        <v>10</v>
      </c>
      <c r="M155" s="15" t="s">
        <v>2780</v>
      </c>
      <c r="N155" s="13">
        <v>10</v>
      </c>
      <c r="O155" s="19" t="s">
        <v>2781</v>
      </c>
      <c r="P155" s="13">
        <v>8</v>
      </c>
      <c r="Q155" s="20" t="s">
        <v>2782</v>
      </c>
      <c r="R155" s="13">
        <v>5</v>
      </c>
      <c r="S155" s="20" t="s">
        <v>2783</v>
      </c>
      <c r="T155" s="13"/>
      <c r="U155" s="15"/>
      <c r="V155" s="13">
        <v>14</v>
      </c>
      <c r="W155" s="19" t="s">
        <v>2784</v>
      </c>
      <c r="X155" s="13">
        <v>9</v>
      </c>
      <c r="Y155" s="19" t="s">
        <v>2785</v>
      </c>
      <c r="Z155" s="13"/>
      <c r="AA155" s="15"/>
      <c r="AB155" s="13">
        <v>5</v>
      </c>
      <c r="AC155" s="15" t="s">
        <v>2786</v>
      </c>
      <c r="AD155" s="13">
        <v>5</v>
      </c>
      <c r="AE155" s="15" t="s">
        <v>2787</v>
      </c>
      <c r="AF155" s="13">
        <v>10</v>
      </c>
      <c r="AG155" s="15" t="s">
        <v>2744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2788</v>
      </c>
      <c r="AR155" s="13"/>
      <c r="AS155" s="17">
        <f t="shared" si="18"/>
        <v>96</v>
      </c>
      <c r="AT155" s="11">
        <f t="shared" si="19"/>
        <v>46113</v>
      </c>
      <c r="AU155" s="13" t="str">
        <f t="shared" si="20"/>
        <v>April 2026</v>
      </c>
      <c r="AV155" s="11">
        <f t="shared" si="21"/>
        <v>46118</v>
      </c>
      <c r="AW155" s="11">
        <f t="shared" si="22"/>
        <v>46124</v>
      </c>
      <c r="AX155" s="13" t="str">
        <f t="shared" si="23"/>
        <v>06/04/2026 - 12/04/2026</v>
      </c>
      <c r="AY155" s="13">
        <f>IF(B155="","",COUNTIFS($B$5:B155,B155,$AT$5:AT155,AT155))</f>
        <v>5</v>
      </c>
      <c r="AZ155" s="13">
        <f>IF(B155="","",COUNTIFS($B$5:B155,B155,$AV$5:AV155,AV155))</f>
        <v>3</v>
      </c>
      <c r="BA155" s="13" t="str">
        <f t="shared" si="24"/>
        <v>05|Jariyawadee Taboodda|20260401</v>
      </c>
      <c r="BB155" s="13" t="str">
        <f t="shared" si="25"/>
        <v>03|Jariyawadee Taboodda|20260406</v>
      </c>
      <c r="BC155" s="13">
        <f t="shared" si="26"/>
        <v>0</v>
      </c>
      <c r="BD155" s="50" t="s">
        <v>2789</v>
      </c>
      <c r="BE155" t="s">
        <v>2790</v>
      </c>
      <c r="BF155" t="s">
        <v>2338</v>
      </c>
    </row>
    <row r="156" spans="1:58" ht="15" customHeight="1">
      <c r="A156" s="9">
        <v>46129.719881296296</v>
      </c>
      <c r="B156" s="10" t="s">
        <v>81</v>
      </c>
      <c r="C156" s="11">
        <v>46120</v>
      </c>
      <c r="D156" s="12">
        <v>0.40694444444670808</v>
      </c>
      <c r="E156" s="12">
        <v>0.41249999999854481</v>
      </c>
      <c r="F156" s="13" t="s">
        <v>2791</v>
      </c>
      <c r="G156" s="14" t="s">
        <v>2792</v>
      </c>
      <c r="H156" s="13">
        <v>10</v>
      </c>
      <c r="I156" s="19" t="s">
        <v>2734</v>
      </c>
      <c r="J156" s="13">
        <v>10</v>
      </c>
      <c r="K156" s="15" t="s">
        <v>2793</v>
      </c>
      <c r="L156" s="13">
        <v>10</v>
      </c>
      <c r="M156" s="15" t="s">
        <v>2794</v>
      </c>
      <c r="N156" s="13">
        <v>10</v>
      </c>
      <c r="O156" s="19" t="s">
        <v>2795</v>
      </c>
      <c r="P156" s="13">
        <v>9</v>
      </c>
      <c r="Q156" s="20" t="s">
        <v>2796</v>
      </c>
      <c r="R156" s="13">
        <v>5</v>
      </c>
      <c r="S156" s="20" t="s">
        <v>2797</v>
      </c>
      <c r="T156" s="13"/>
      <c r="U156" s="15"/>
      <c r="V156" s="13">
        <v>14</v>
      </c>
      <c r="W156" s="19" t="s">
        <v>2798</v>
      </c>
      <c r="X156" s="13">
        <v>10</v>
      </c>
      <c r="Y156" s="19" t="s">
        <v>2799</v>
      </c>
      <c r="Z156" s="13"/>
      <c r="AA156" s="15"/>
      <c r="AB156" s="13">
        <v>5</v>
      </c>
      <c r="AC156" s="15" t="s">
        <v>2800</v>
      </c>
      <c r="AD156" s="13">
        <v>5</v>
      </c>
      <c r="AE156" s="15" t="s">
        <v>2771</v>
      </c>
      <c r="AF156" s="13">
        <v>10</v>
      </c>
      <c r="AG156" s="15" t="s">
        <v>2744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2801</v>
      </c>
      <c r="AR156" s="13"/>
      <c r="AS156" s="17">
        <f t="shared" si="18"/>
        <v>98</v>
      </c>
      <c r="AT156" s="11">
        <f t="shared" si="19"/>
        <v>46113</v>
      </c>
      <c r="AU156" s="13" t="str">
        <f t="shared" si="20"/>
        <v>April 2026</v>
      </c>
      <c r="AV156" s="11">
        <f t="shared" si="21"/>
        <v>46118</v>
      </c>
      <c r="AW156" s="11">
        <f t="shared" si="22"/>
        <v>46124</v>
      </c>
      <c r="AX156" s="13" t="str">
        <f t="shared" si="23"/>
        <v>06/04/2026 - 12/04/2026</v>
      </c>
      <c r="AY156" s="13">
        <f>IF(B156="","",COUNTIFS($B$5:B156,B156,$AT$5:AT156,AT156))</f>
        <v>3</v>
      </c>
      <c r="AZ156" s="13">
        <f>IF(B156="","",COUNTIFS($B$5:B156,B156,$AV$5:AV156,AV156))</f>
        <v>1</v>
      </c>
      <c r="BA156" s="13" t="str">
        <f t="shared" si="24"/>
        <v>03|Jureeporn Piddum|20260401</v>
      </c>
      <c r="BB156" s="13" t="str">
        <f t="shared" si="25"/>
        <v>01|Jureeporn Piddum|20260406</v>
      </c>
      <c r="BC156" s="13">
        <f t="shared" si="26"/>
        <v>0</v>
      </c>
      <c r="BD156" s="50" t="s">
        <v>2802</v>
      </c>
      <c r="BE156" t="s">
        <v>2803</v>
      </c>
      <c r="BF156" t="s">
        <v>2338</v>
      </c>
    </row>
    <row r="157" spans="1:58" ht="15" customHeight="1">
      <c r="A157" s="9">
        <v>46129.727499004628</v>
      </c>
      <c r="B157" s="10" t="s">
        <v>81</v>
      </c>
      <c r="C157" s="11">
        <v>46121</v>
      </c>
      <c r="D157" s="12">
        <v>0.39583333333575865</v>
      </c>
      <c r="E157" s="12">
        <v>0.41041666666569654</v>
      </c>
      <c r="F157" s="13" t="s">
        <v>2804</v>
      </c>
      <c r="G157" s="14" t="s">
        <v>2805</v>
      </c>
      <c r="H157" s="13">
        <v>10</v>
      </c>
      <c r="I157" s="19" t="s">
        <v>2778</v>
      </c>
      <c r="J157" s="13">
        <v>10</v>
      </c>
      <c r="K157" s="15" t="s">
        <v>2806</v>
      </c>
      <c r="L157" s="13">
        <v>7</v>
      </c>
      <c r="M157" s="15" t="s">
        <v>2807</v>
      </c>
      <c r="N157" s="13">
        <v>8</v>
      </c>
      <c r="O157" s="19" t="s">
        <v>2808</v>
      </c>
      <c r="P157" s="13">
        <v>7</v>
      </c>
      <c r="Q157" s="20" t="s">
        <v>2809</v>
      </c>
      <c r="R157" s="13">
        <v>4</v>
      </c>
      <c r="S157" s="20" t="s">
        <v>2810</v>
      </c>
      <c r="T157" s="13"/>
      <c r="U157" s="15"/>
      <c r="V157" s="13">
        <v>11</v>
      </c>
      <c r="W157" s="19" t="s">
        <v>2811</v>
      </c>
      <c r="X157" s="13">
        <v>8</v>
      </c>
      <c r="Y157" s="19" t="s">
        <v>2812</v>
      </c>
      <c r="Z157" s="13"/>
      <c r="AA157" s="15"/>
      <c r="AB157" s="13">
        <v>5</v>
      </c>
      <c r="AC157" s="15" t="s">
        <v>2812</v>
      </c>
      <c r="AD157" s="13">
        <v>5</v>
      </c>
      <c r="AE157" s="15" t="s">
        <v>2771</v>
      </c>
      <c r="AF157" s="13">
        <v>10</v>
      </c>
      <c r="AG157" s="15" t="s">
        <v>2744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2813</v>
      </c>
      <c r="AR157" s="13"/>
      <c r="AS157" s="17">
        <f t="shared" si="18"/>
        <v>85</v>
      </c>
      <c r="AT157" s="11">
        <f t="shared" si="19"/>
        <v>46113</v>
      </c>
      <c r="AU157" s="13" t="str">
        <f t="shared" si="20"/>
        <v>April 2026</v>
      </c>
      <c r="AV157" s="11">
        <f t="shared" si="21"/>
        <v>46118</v>
      </c>
      <c r="AW157" s="11">
        <f t="shared" si="22"/>
        <v>46124</v>
      </c>
      <c r="AX157" s="13" t="str">
        <f t="shared" si="23"/>
        <v>06/04/2026 - 12/04/2026</v>
      </c>
      <c r="AY157" s="13">
        <f>IF(B157="","",COUNTIFS($B$5:B157,B157,$AT$5:AT157,AT157))</f>
        <v>4</v>
      </c>
      <c r="AZ157" s="13">
        <f>IF(B157="","",COUNTIFS($B$5:B157,B157,$AV$5:AV157,AV157))</f>
        <v>2</v>
      </c>
      <c r="BA157" s="13" t="str">
        <f t="shared" si="24"/>
        <v>04|Jureeporn Piddum|20260401</v>
      </c>
      <c r="BB157" s="13" t="str">
        <f t="shared" si="25"/>
        <v>02|Jureeporn Piddum|20260406</v>
      </c>
      <c r="BC157" s="13">
        <f t="shared" si="26"/>
        <v>0</v>
      </c>
      <c r="BD157" s="50" t="s">
        <v>2814</v>
      </c>
      <c r="BE157" t="s">
        <v>2815</v>
      </c>
      <c r="BF157" t="s">
        <v>2338</v>
      </c>
    </row>
    <row r="158" spans="1:58" ht="15" customHeight="1">
      <c r="A158" s="9">
        <v>46129.733086192129</v>
      </c>
      <c r="B158" s="10" t="s">
        <v>81</v>
      </c>
      <c r="C158" s="11">
        <v>46121</v>
      </c>
      <c r="D158" s="12">
        <v>0.46527777778101154</v>
      </c>
      <c r="E158" s="12">
        <v>0.47499999999854481</v>
      </c>
      <c r="F158" s="13" t="s">
        <v>2816</v>
      </c>
      <c r="G158" s="14" t="s">
        <v>2817</v>
      </c>
      <c r="H158" s="13">
        <v>10</v>
      </c>
      <c r="I158" s="19" t="s">
        <v>2734</v>
      </c>
      <c r="J158" s="13">
        <v>10</v>
      </c>
      <c r="K158" s="15" t="s">
        <v>2818</v>
      </c>
      <c r="L158" s="13">
        <v>7</v>
      </c>
      <c r="M158" s="15" t="s">
        <v>2819</v>
      </c>
      <c r="N158" s="13">
        <v>6</v>
      </c>
      <c r="O158" s="19" t="s">
        <v>2820</v>
      </c>
      <c r="P158" s="13">
        <v>5</v>
      </c>
      <c r="Q158" s="20" t="s">
        <v>2821</v>
      </c>
      <c r="R158" s="13">
        <v>3</v>
      </c>
      <c r="S158" s="20" t="s">
        <v>2822</v>
      </c>
      <c r="T158" s="13"/>
      <c r="U158" s="15"/>
      <c r="V158" s="13">
        <v>8</v>
      </c>
      <c r="W158" s="19" t="s">
        <v>2823</v>
      </c>
      <c r="X158" s="13">
        <v>6</v>
      </c>
      <c r="Y158" s="19" t="s">
        <v>2824</v>
      </c>
      <c r="Z158" s="13"/>
      <c r="AA158" s="15"/>
      <c r="AB158" s="13">
        <v>5</v>
      </c>
      <c r="AC158" s="15" t="s">
        <v>2742</v>
      </c>
      <c r="AD158" s="13">
        <v>5</v>
      </c>
      <c r="AE158" s="15" t="s">
        <v>2771</v>
      </c>
      <c r="AF158" s="13">
        <v>10</v>
      </c>
      <c r="AG158" s="15" t="s">
        <v>2744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2825</v>
      </c>
      <c r="AR158" s="13"/>
      <c r="AS158" s="17">
        <f t="shared" si="18"/>
        <v>75</v>
      </c>
      <c r="AT158" s="11">
        <f t="shared" si="19"/>
        <v>46113</v>
      </c>
      <c r="AU158" s="13" t="str">
        <f t="shared" si="20"/>
        <v>April 2026</v>
      </c>
      <c r="AV158" s="11">
        <f t="shared" si="21"/>
        <v>46118</v>
      </c>
      <c r="AW158" s="11">
        <f t="shared" si="22"/>
        <v>46124</v>
      </c>
      <c r="AX158" s="13" t="str">
        <f t="shared" si="23"/>
        <v>06/04/2026 - 12/04/2026</v>
      </c>
      <c r="AY158" s="13">
        <f>IF(B158="","",COUNTIFS($B$5:B158,B158,$AT$5:AT158,AT158))</f>
        <v>5</v>
      </c>
      <c r="AZ158" s="13">
        <f>IF(B158="","",COUNTIFS($B$5:B158,B158,$AV$5:AV158,AV158))</f>
        <v>3</v>
      </c>
      <c r="BA158" s="13" t="str">
        <f t="shared" si="24"/>
        <v>05|Jureeporn Piddum|20260401</v>
      </c>
      <c r="BB158" s="13" t="str">
        <f t="shared" si="25"/>
        <v>03|Jureeporn Piddum|20260406</v>
      </c>
      <c r="BC158" s="13">
        <f t="shared" si="26"/>
        <v>0</v>
      </c>
      <c r="BD158" s="50" t="s">
        <v>2826</v>
      </c>
      <c r="BE158" t="s">
        <v>2827</v>
      </c>
      <c r="BF158" t="s">
        <v>2338</v>
      </c>
    </row>
    <row r="159" spans="1:58" ht="15" customHeight="1">
      <c r="A159" s="9">
        <v>46129.747488263893</v>
      </c>
      <c r="B159" s="10" t="s">
        <v>1130</v>
      </c>
      <c r="C159" s="11">
        <v>46119</v>
      </c>
      <c r="D159" s="12">
        <v>0.70416666666278616</v>
      </c>
      <c r="E159" s="12">
        <v>0.71041666666860692</v>
      </c>
      <c r="F159" s="13" t="s">
        <v>2828</v>
      </c>
      <c r="G159" s="14" t="s">
        <v>2829</v>
      </c>
      <c r="H159" s="13">
        <v>10</v>
      </c>
      <c r="I159" s="19" t="s">
        <v>2734</v>
      </c>
      <c r="J159" s="13">
        <v>10</v>
      </c>
      <c r="K159" s="15" t="s">
        <v>2830</v>
      </c>
      <c r="L159" s="13">
        <v>10</v>
      </c>
      <c r="M159" s="15" t="s">
        <v>2831</v>
      </c>
      <c r="N159" s="13">
        <v>10</v>
      </c>
      <c r="O159" s="19" t="s">
        <v>2832</v>
      </c>
      <c r="P159" s="13">
        <v>10</v>
      </c>
      <c r="Q159" s="20" t="s">
        <v>2833</v>
      </c>
      <c r="R159" s="13">
        <v>5</v>
      </c>
      <c r="S159" s="20" t="s">
        <v>2834</v>
      </c>
      <c r="T159" s="13"/>
      <c r="U159" s="15"/>
      <c r="V159" s="13">
        <v>15</v>
      </c>
      <c r="W159" s="19" t="s">
        <v>2835</v>
      </c>
      <c r="X159" s="13">
        <v>10</v>
      </c>
      <c r="Y159" s="19" t="s">
        <v>2836</v>
      </c>
      <c r="Z159" s="13"/>
      <c r="AA159" s="15"/>
      <c r="AB159" s="13">
        <v>5</v>
      </c>
      <c r="AC159" s="15" t="s">
        <v>2837</v>
      </c>
      <c r="AD159" s="13">
        <v>5</v>
      </c>
      <c r="AE159" s="15" t="s">
        <v>2838</v>
      </c>
      <c r="AF159" s="13">
        <v>10</v>
      </c>
      <c r="AG159" s="15" t="s">
        <v>2744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2839</v>
      </c>
      <c r="AR159" s="13"/>
      <c r="AS159" s="17">
        <f t="shared" si="18"/>
        <v>100</v>
      </c>
      <c r="AT159" s="11">
        <f t="shared" si="19"/>
        <v>46113</v>
      </c>
      <c r="AU159" s="13" t="str">
        <f t="shared" si="20"/>
        <v>April 2026</v>
      </c>
      <c r="AV159" s="11">
        <f t="shared" si="21"/>
        <v>46118</v>
      </c>
      <c r="AW159" s="11">
        <f t="shared" si="22"/>
        <v>46124</v>
      </c>
      <c r="AX159" s="13" t="str">
        <f t="shared" si="23"/>
        <v>06/04/2026 - 12/04/2026</v>
      </c>
      <c r="AY159" s="13">
        <f>IF(B159="","",COUNTIFS($B$5:B159,B159,$AT$5:AT159,AT159))</f>
        <v>3</v>
      </c>
      <c r="AZ159" s="13">
        <f>IF(B159="","",COUNTIFS($B$5:B159,B159,$AV$5:AV159,AV159))</f>
        <v>1</v>
      </c>
      <c r="BA159" s="13" t="str">
        <f t="shared" si="24"/>
        <v>03|Krivut Vongkampan|20260401</v>
      </c>
      <c r="BB159" s="13" t="str">
        <f t="shared" si="25"/>
        <v>01|Krivut Vongkampan|20260406</v>
      </c>
      <c r="BC159" s="13">
        <f t="shared" si="26"/>
        <v>0</v>
      </c>
      <c r="BD159" s="50" t="s">
        <v>2840</v>
      </c>
      <c r="BE159" t="s">
        <v>2841</v>
      </c>
      <c r="BF159" t="s">
        <v>2338</v>
      </c>
    </row>
    <row r="160" spans="1:58" ht="15" customHeight="1">
      <c r="A160" s="9">
        <v>46129.757063229168</v>
      </c>
      <c r="B160" s="10" t="s">
        <v>1130</v>
      </c>
      <c r="C160" s="11">
        <v>46119</v>
      </c>
      <c r="D160" s="12">
        <v>0.51527777777664596</v>
      </c>
      <c r="E160" s="12">
        <v>0.54861111110949423</v>
      </c>
      <c r="F160" s="13" t="s">
        <v>2842</v>
      </c>
      <c r="G160" s="14" t="s">
        <v>2843</v>
      </c>
      <c r="H160" s="13">
        <v>10</v>
      </c>
      <c r="I160" s="19" t="s">
        <v>2844</v>
      </c>
      <c r="J160" s="13">
        <v>10</v>
      </c>
      <c r="K160" s="15" t="s">
        <v>2845</v>
      </c>
      <c r="L160" s="13">
        <v>7</v>
      </c>
      <c r="M160" s="15" t="s">
        <v>2846</v>
      </c>
      <c r="N160" s="13">
        <v>8</v>
      </c>
      <c r="O160" s="19" t="s">
        <v>2847</v>
      </c>
      <c r="P160" s="13">
        <v>7</v>
      </c>
      <c r="Q160" s="20" t="s">
        <v>2848</v>
      </c>
      <c r="R160" s="13">
        <v>3</v>
      </c>
      <c r="S160" s="20" t="s">
        <v>2849</v>
      </c>
      <c r="T160" s="13"/>
      <c r="U160" s="15"/>
      <c r="V160" s="13">
        <v>9</v>
      </c>
      <c r="W160" s="19" t="s">
        <v>2850</v>
      </c>
      <c r="X160" s="13">
        <v>7</v>
      </c>
      <c r="Y160" s="19" t="s">
        <v>2851</v>
      </c>
      <c r="Z160" s="13"/>
      <c r="AA160" s="15"/>
      <c r="AB160" s="13">
        <v>5</v>
      </c>
      <c r="AC160" s="15" t="s">
        <v>2742</v>
      </c>
      <c r="AD160" s="13">
        <v>5</v>
      </c>
      <c r="AE160" s="15" t="s">
        <v>2771</v>
      </c>
      <c r="AF160" s="13">
        <v>10</v>
      </c>
      <c r="AG160" s="15" t="s">
        <v>2852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2853</v>
      </c>
      <c r="AR160" s="13"/>
      <c r="AS160" s="17">
        <f t="shared" si="18"/>
        <v>81</v>
      </c>
      <c r="AT160" s="11">
        <f t="shared" si="19"/>
        <v>46113</v>
      </c>
      <c r="AU160" s="13" t="str">
        <f t="shared" si="20"/>
        <v>April 2026</v>
      </c>
      <c r="AV160" s="11">
        <f t="shared" si="21"/>
        <v>46118</v>
      </c>
      <c r="AW160" s="11">
        <f t="shared" si="22"/>
        <v>46124</v>
      </c>
      <c r="AX160" s="13" t="str">
        <f t="shared" si="23"/>
        <v>06/04/2026 - 12/04/2026</v>
      </c>
      <c r="AY160" s="13">
        <f>IF(B160="","",COUNTIFS($B$5:B160,B160,$AT$5:AT160,AT160))</f>
        <v>4</v>
      </c>
      <c r="AZ160" s="13">
        <f>IF(B160="","",COUNTIFS($B$5:B160,B160,$AV$5:AV160,AV160))</f>
        <v>2</v>
      </c>
      <c r="BA160" s="13" t="str">
        <f t="shared" si="24"/>
        <v>04|Krivut Vongkampan|20260401</v>
      </c>
      <c r="BB160" s="13" t="str">
        <f t="shared" si="25"/>
        <v>02|Krivut Vongkampan|20260406</v>
      </c>
      <c r="BC160" s="13">
        <f t="shared" si="26"/>
        <v>0</v>
      </c>
      <c r="BD160" s="50" t="s">
        <v>2854</v>
      </c>
      <c r="BE160" t="s">
        <v>2855</v>
      </c>
      <c r="BF160" t="s">
        <v>2338</v>
      </c>
    </row>
    <row r="161" spans="1:58" ht="15" customHeight="1">
      <c r="A161" s="9">
        <v>46129.763446215278</v>
      </c>
      <c r="B161" s="10" t="s">
        <v>1130</v>
      </c>
      <c r="C161" s="11">
        <v>46124</v>
      </c>
      <c r="D161" s="12">
        <v>0.46041666666860692</v>
      </c>
      <c r="E161" s="12">
        <v>0.47083333333284827</v>
      </c>
      <c r="F161" s="13" t="s">
        <v>2856</v>
      </c>
      <c r="G161" s="14" t="s">
        <v>2857</v>
      </c>
      <c r="H161" s="13">
        <v>10</v>
      </c>
      <c r="I161" s="19" t="s">
        <v>2734</v>
      </c>
      <c r="J161" s="13">
        <v>10</v>
      </c>
      <c r="K161" s="15" t="s">
        <v>2858</v>
      </c>
      <c r="L161" s="13">
        <v>8</v>
      </c>
      <c r="M161" s="15" t="s">
        <v>2859</v>
      </c>
      <c r="N161" s="13">
        <v>10</v>
      </c>
      <c r="O161" s="19" t="s">
        <v>2860</v>
      </c>
      <c r="P161" s="13">
        <v>9</v>
      </c>
      <c r="Q161" s="20" t="s">
        <v>2861</v>
      </c>
      <c r="R161" s="13">
        <v>5</v>
      </c>
      <c r="S161" s="20" t="s">
        <v>2862</v>
      </c>
      <c r="T161" s="13"/>
      <c r="U161" s="15"/>
      <c r="V161" s="13">
        <v>14</v>
      </c>
      <c r="W161" s="19" t="s">
        <v>2863</v>
      </c>
      <c r="X161" s="13">
        <v>9</v>
      </c>
      <c r="Y161" s="19" t="s">
        <v>2864</v>
      </c>
      <c r="Z161" s="13"/>
      <c r="AA161" s="15"/>
      <c r="AB161" s="13">
        <v>5</v>
      </c>
      <c r="AC161" s="15" t="s">
        <v>2742</v>
      </c>
      <c r="AD161" s="13">
        <v>5</v>
      </c>
      <c r="AE161" s="15" t="s">
        <v>2771</v>
      </c>
      <c r="AF161" s="13">
        <v>10</v>
      </c>
      <c r="AG161" s="15" t="s">
        <v>2865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2866</v>
      </c>
      <c r="AR161" s="13"/>
      <c r="AS161" s="17">
        <f t="shared" si="18"/>
        <v>95</v>
      </c>
      <c r="AT161" s="11">
        <f t="shared" si="19"/>
        <v>46113</v>
      </c>
      <c r="AU161" s="13" t="str">
        <f t="shared" si="20"/>
        <v>April 2026</v>
      </c>
      <c r="AV161" s="11">
        <f t="shared" si="21"/>
        <v>46118</v>
      </c>
      <c r="AW161" s="11">
        <f t="shared" si="22"/>
        <v>46124</v>
      </c>
      <c r="AX161" s="13" t="str">
        <f t="shared" si="23"/>
        <v>06/04/2026 - 12/04/2026</v>
      </c>
      <c r="AY161" s="13">
        <f>IF(B161="","",COUNTIFS($B$5:B161,B161,$AT$5:AT161,AT161))</f>
        <v>5</v>
      </c>
      <c r="AZ161" s="13">
        <f>IF(B161="","",COUNTIFS($B$5:B161,B161,$AV$5:AV161,AV161))</f>
        <v>3</v>
      </c>
      <c r="BA161" s="13" t="str">
        <f t="shared" si="24"/>
        <v>05|Krivut Vongkampan|20260401</v>
      </c>
      <c r="BB161" s="13" t="str">
        <f t="shared" si="25"/>
        <v>03|Krivut Vongkampan|20260406</v>
      </c>
      <c r="BC161" s="13">
        <f t="shared" si="26"/>
        <v>0</v>
      </c>
      <c r="BD161" s="50" t="s">
        <v>2867</v>
      </c>
      <c r="BE161" t="s">
        <v>2868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2869</v>
      </c>
      <c r="G162" s="14" t="s">
        <v>2870</v>
      </c>
      <c r="H162" s="13">
        <v>10</v>
      </c>
      <c r="I162" s="19" t="s">
        <v>2871</v>
      </c>
      <c r="J162" s="13">
        <v>10</v>
      </c>
      <c r="K162" s="15" t="s">
        <v>2872</v>
      </c>
      <c r="L162" s="13">
        <v>7</v>
      </c>
      <c r="M162" s="15" t="s">
        <v>2873</v>
      </c>
      <c r="N162" s="13">
        <v>7</v>
      </c>
      <c r="O162" s="19" t="s">
        <v>2874</v>
      </c>
      <c r="P162" s="13">
        <v>7</v>
      </c>
      <c r="Q162" s="20" t="s">
        <v>2875</v>
      </c>
      <c r="R162" s="13">
        <v>4</v>
      </c>
      <c r="S162" s="20" t="s">
        <v>2876</v>
      </c>
      <c r="T162" s="13"/>
      <c r="U162" s="15"/>
      <c r="V162" s="13">
        <v>10</v>
      </c>
      <c r="W162" s="19" t="s">
        <v>2877</v>
      </c>
      <c r="X162" s="13">
        <v>8</v>
      </c>
      <c r="Y162" s="19" t="s">
        <v>2878</v>
      </c>
      <c r="Z162" s="13"/>
      <c r="AA162" s="15"/>
      <c r="AB162" s="13">
        <v>5</v>
      </c>
      <c r="AC162" s="15" t="s">
        <v>2879</v>
      </c>
      <c r="AD162" s="13">
        <v>5</v>
      </c>
      <c r="AE162" s="15" t="s">
        <v>2880</v>
      </c>
      <c r="AF162" s="13">
        <v>10</v>
      </c>
      <c r="AG162" s="15" t="s">
        <v>2881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2882</v>
      </c>
      <c r="AR162" s="13"/>
      <c r="AS162" s="17">
        <f t="shared" si="18"/>
        <v>83</v>
      </c>
      <c r="AT162" s="11">
        <f t="shared" si="19"/>
        <v>46113</v>
      </c>
      <c r="AU162" s="13" t="str">
        <f t="shared" si="20"/>
        <v>April 2026</v>
      </c>
      <c r="AV162" s="11">
        <f t="shared" si="21"/>
        <v>46118</v>
      </c>
      <c r="AW162" s="11">
        <f t="shared" si="22"/>
        <v>46124</v>
      </c>
      <c r="AX162" s="13" t="str">
        <f t="shared" si="23"/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 t="shared" si="24"/>
        <v>03|Natcha Chai-in|20260401</v>
      </c>
      <c r="BB162" s="13" t="str">
        <f t="shared" si="25"/>
        <v>01|Natcha Chai-in|20260406</v>
      </c>
      <c r="BC162" s="13">
        <f t="shared" si="26"/>
        <v>0</v>
      </c>
      <c r="BD162" s="50" t="s">
        <v>2883</v>
      </c>
      <c r="BE162" t="s">
        <v>2884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2885</v>
      </c>
      <c r="G163" s="14" t="s">
        <v>2886</v>
      </c>
      <c r="H163" s="13">
        <v>8</v>
      </c>
      <c r="I163" s="19" t="s">
        <v>2887</v>
      </c>
      <c r="J163" s="13">
        <v>10</v>
      </c>
      <c r="K163" s="15" t="s">
        <v>2888</v>
      </c>
      <c r="L163" s="13">
        <v>8</v>
      </c>
      <c r="M163" s="15" t="s">
        <v>2889</v>
      </c>
      <c r="N163" s="13">
        <v>8</v>
      </c>
      <c r="O163" s="19" t="s">
        <v>2890</v>
      </c>
      <c r="P163" s="13">
        <v>6</v>
      </c>
      <c r="Q163" s="20" t="s">
        <v>2891</v>
      </c>
      <c r="R163" s="13">
        <v>3</v>
      </c>
      <c r="S163" s="20" t="s">
        <v>2892</v>
      </c>
      <c r="T163" s="13"/>
      <c r="U163" s="15"/>
      <c r="V163" s="13">
        <v>7</v>
      </c>
      <c r="W163" s="19" t="s">
        <v>2893</v>
      </c>
      <c r="X163" s="13">
        <v>6</v>
      </c>
      <c r="Y163" s="19" t="s">
        <v>2894</v>
      </c>
      <c r="Z163" s="13"/>
      <c r="AA163" s="15"/>
      <c r="AB163" s="13">
        <v>5</v>
      </c>
      <c r="AC163" s="15" t="s">
        <v>2895</v>
      </c>
      <c r="AD163" s="13">
        <v>5</v>
      </c>
      <c r="AE163" s="15" t="s">
        <v>2896</v>
      </c>
      <c r="AF163" s="13">
        <v>10</v>
      </c>
      <c r="AG163" s="15" t="s">
        <v>2897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2898</v>
      </c>
      <c r="AR163" s="13"/>
      <c r="AS163" s="17">
        <f t="shared" si="18"/>
        <v>76</v>
      </c>
      <c r="AT163" s="11">
        <f t="shared" si="19"/>
        <v>46113</v>
      </c>
      <c r="AU163" s="13" t="str">
        <f t="shared" si="20"/>
        <v>April 2026</v>
      </c>
      <c r="AV163" s="11">
        <f t="shared" si="21"/>
        <v>46118</v>
      </c>
      <c r="AW163" s="11">
        <f t="shared" si="22"/>
        <v>46124</v>
      </c>
      <c r="AX163" s="13" t="str">
        <f t="shared" si="23"/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 t="shared" si="24"/>
        <v>04|Natcha Chai-in|20260401</v>
      </c>
      <c r="BB163" s="13" t="str">
        <f t="shared" si="25"/>
        <v>02|Natcha Chai-in|20260406</v>
      </c>
      <c r="BC163" s="13">
        <f t="shared" si="26"/>
        <v>0</v>
      </c>
      <c r="BD163" s="50" t="s">
        <v>2899</v>
      </c>
      <c r="BE163" t="s">
        <v>2900</v>
      </c>
      <c r="BF163" t="s">
        <v>2338</v>
      </c>
    </row>
    <row r="164" spans="1:58" ht="15" customHeight="1">
      <c r="A164" s="9">
        <v>46129.808285694446</v>
      </c>
      <c r="B164" s="10" t="s">
        <v>385</v>
      </c>
      <c r="C164" s="11">
        <v>46121</v>
      </c>
      <c r="D164" s="12">
        <v>0.58750000000145519</v>
      </c>
      <c r="E164" s="12">
        <v>0.59166666666715173</v>
      </c>
      <c r="F164" s="13" t="s">
        <v>2901</v>
      </c>
      <c r="G164" s="14" t="s">
        <v>2902</v>
      </c>
      <c r="H164" s="13">
        <v>10</v>
      </c>
      <c r="I164" s="19" t="s">
        <v>2903</v>
      </c>
      <c r="J164" s="13">
        <v>10</v>
      </c>
      <c r="K164" s="15" t="s">
        <v>2904</v>
      </c>
      <c r="L164" s="13">
        <v>9</v>
      </c>
      <c r="M164" s="15" t="s">
        <v>2905</v>
      </c>
      <c r="N164" s="13">
        <v>8</v>
      </c>
      <c r="O164" s="19" t="s">
        <v>2906</v>
      </c>
      <c r="P164" s="13">
        <v>7</v>
      </c>
      <c r="Q164" s="20" t="s">
        <v>2907</v>
      </c>
      <c r="R164" s="13">
        <v>4</v>
      </c>
      <c r="S164" s="20" t="s">
        <v>2908</v>
      </c>
      <c r="T164" s="13"/>
      <c r="U164" s="15"/>
      <c r="V164" s="13">
        <v>9</v>
      </c>
      <c r="W164" s="19" t="s">
        <v>2909</v>
      </c>
      <c r="X164" s="13">
        <v>7</v>
      </c>
      <c r="Y164" s="19" t="s">
        <v>2910</v>
      </c>
      <c r="Z164" s="13"/>
      <c r="AA164" s="15"/>
      <c r="AB164" s="13">
        <v>5</v>
      </c>
      <c r="AC164" s="15" t="s">
        <v>2742</v>
      </c>
      <c r="AD164" s="13">
        <v>5</v>
      </c>
      <c r="AE164" s="15" t="s">
        <v>2771</v>
      </c>
      <c r="AF164" s="13">
        <v>10</v>
      </c>
      <c r="AG164" s="15" t="s">
        <v>2744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2911</v>
      </c>
      <c r="AR164" s="13"/>
      <c r="AS164" s="17">
        <f t="shared" si="18"/>
        <v>84</v>
      </c>
      <c r="AT164" s="11">
        <f t="shared" si="19"/>
        <v>46113</v>
      </c>
      <c r="AU164" s="13" t="str">
        <f t="shared" si="20"/>
        <v>April 2026</v>
      </c>
      <c r="AV164" s="11">
        <f t="shared" si="21"/>
        <v>46118</v>
      </c>
      <c r="AW164" s="11">
        <f t="shared" si="22"/>
        <v>46124</v>
      </c>
      <c r="AX164" s="13" t="str">
        <f t="shared" si="23"/>
        <v>06/04/2026 - 12/04/2026</v>
      </c>
      <c r="AY164" s="13">
        <f>IF(B164="","",COUNTIFS($B$5:B164,B164,$AT$5:AT164,AT164))</f>
        <v>5</v>
      </c>
      <c r="AZ164" s="13">
        <f>IF(B164="","",COUNTIFS($B$5:B164,B164,$AV$5:AV164,AV164))</f>
        <v>3</v>
      </c>
      <c r="BA164" s="13" t="str">
        <f t="shared" si="24"/>
        <v>05|Natcha Chai-in|20260401</v>
      </c>
      <c r="BB164" s="13" t="str">
        <f t="shared" si="25"/>
        <v>03|Natcha Chai-in|20260406</v>
      </c>
      <c r="BC164" s="13">
        <f t="shared" si="26"/>
        <v>0</v>
      </c>
      <c r="BD164" s="50" t="s">
        <v>2912</v>
      </c>
      <c r="BE164" t="s">
        <v>2913</v>
      </c>
      <c r="BF164" t="s">
        <v>2338</v>
      </c>
    </row>
    <row r="165" spans="1:58" ht="15" customHeight="1">
      <c r="A165" s="9">
        <v>46129.81633898148</v>
      </c>
      <c r="B165" s="10" t="s">
        <v>143</v>
      </c>
      <c r="C165" s="11">
        <v>46118</v>
      </c>
      <c r="D165" s="12">
        <v>0.83750000000145519</v>
      </c>
      <c r="E165" s="12">
        <v>0.83888888888759539</v>
      </c>
      <c r="F165" s="13" t="s">
        <v>2914</v>
      </c>
      <c r="G165" s="14" t="s">
        <v>2915</v>
      </c>
      <c r="H165" s="13">
        <v>10</v>
      </c>
      <c r="I165" s="19" t="s">
        <v>2903</v>
      </c>
      <c r="J165" s="13">
        <v>10</v>
      </c>
      <c r="K165" s="15" t="s">
        <v>2916</v>
      </c>
      <c r="L165" s="13">
        <v>10</v>
      </c>
      <c r="M165" s="15" t="s">
        <v>2917</v>
      </c>
      <c r="N165" s="13">
        <v>9</v>
      </c>
      <c r="O165" s="19" t="s">
        <v>2918</v>
      </c>
      <c r="P165" s="13">
        <v>8</v>
      </c>
      <c r="Q165" s="20" t="s">
        <v>2919</v>
      </c>
      <c r="R165" s="13">
        <v>5</v>
      </c>
      <c r="S165" s="20" t="s">
        <v>2920</v>
      </c>
      <c r="T165" s="13"/>
      <c r="U165" s="15"/>
      <c r="V165" s="13">
        <v>12</v>
      </c>
      <c r="W165" s="19" t="s">
        <v>2921</v>
      </c>
      <c r="X165" s="13">
        <v>9</v>
      </c>
      <c r="Y165" s="19" t="s">
        <v>2922</v>
      </c>
      <c r="Z165" s="13"/>
      <c r="AA165" s="15"/>
      <c r="AB165" s="13">
        <v>5</v>
      </c>
      <c r="AC165" s="15" t="s">
        <v>2742</v>
      </c>
      <c r="AD165" s="13">
        <v>5</v>
      </c>
      <c r="AE165" s="15" t="s">
        <v>2771</v>
      </c>
      <c r="AF165" s="13">
        <v>10</v>
      </c>
      <c r="AG165" s="15" t="s">
        <v>2923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2924</v>
      </c>
      <c r="AR165" s="13"/>
      <c r="AS165" s="17">
        <f t="shared" si="18"/>
        <v>93</v>
      </c>
      <c r="AT165" s="11">
        <f t="shared" si="19"/>
        <v>46113</v>
      </c>
      <c r="AU165" s="13" t="str">
        <f t="shared" si="20"/>
        <v>April 2026</v>
      </c>
      <c r="AV165" s="11">
        <f t="shared" si="21"/>
        <v>46118</v>
      </c>
      <c r="AW165" s="11">
        <f t="shared" si="22"/>
        <v>46124</v>
      </c>
      <c r="AX165" s="13" t="str">
        <f t="shared" si="23"/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1</v>
      </c>
      <c r="BA165" s="13" t="str">
        <f t="shared" si="24"/>
        <v>03|Nattapol Suprom|20260401</v>
      </c>
      <c r="BB165" s="13" t="str">
        <f t="shared" si="25"/>
        <v>01|Nattapol Suprom|20260406</v>
      </c>
      <c r="BC165" s="13">
        <f t="shared" si="26"/>
        <v>0</v>
      </c>
      <c r="BD165" s="50" t="s">
        <v>2925</v>
      </c>
      <c r="BE165" t="s">
        <v>2926</v>
      </c>
      <c r="BF165" t="s">
        <v>2338</v>
      </c>
    </row>
    <row r="166" spans="1:58" ht="15" customHeight="1">
      <c r="A166" s="9">
        <v>46129.82168429398</v>
      </c>
      <c r="B166" s="10" t="s">
        <v>143</v>
      </c>
      <c r="C166" s="11">
        <v>46118</v>
      </c>
      <c r="D166" s="12">
        <v>0.81944444444525288</v>
      </c>
      <c r="E166" s="12">
        <v>0.82222222222480923</v>
      </c>
      <c r="F166" s="13" t="s">
        <v>2927</v>
      </c>
      <c r="G166" s="14" t="s">
        <v>2928</v>
      </c>
      <c r="H166" s="13">
        <v>10</v>
      </c>
      <c r="I166" s="19" t="s">
        <v>2903</v>
      </c>
      <c r="J166" s="13">
        <v>10</v>
      </c>
      <c r="K166" s="15" t="s">
        <v>2916</v>
      </c>
      <c r="L166" s="13">
        <v>10</v>
      </c>
      <c r="M166" s="15" t="s">
        <v>2929</v>
      </c>
      <c r="N166" s="13">
        <v>9</v>
      </c>
      <c r="O166" s="19" t="s">
        <v>2930</v>
      </c>
      <c r="P166" s="13">
        <v>8</v>
      </c>
      <c r="Q166" s="20" t="s">
        <v>2931</v>
      </c>
      <c r="R166" s="13">
        <v>5</v>
      </c>
      <c r="S166" s="20" t="s">
        <v>2932</v>
      </c>
      <c r="T166" s="13"/>
      <c r="U166" s="15"/>
      <c r="V166" s="13">
        <v>12</v>
      </c>
      <c r="W166" s="19" t="s">
        <v>2921</v>
      </c>
      <c r="X166" s="13">
        <v>9</v>
      </c>
      <c r="Y166" s="19" t="s">
        <v>2922</v>
      </c>
      <c r="Z166" s="13"/>
      <c r="AA166" s="15"/>
      <c r="AB166" s="13">
        <v>5</v>
      </c>
      <c r="AC166" s="15" t="s">
        <v>2742</v>
      </c>
      <c r="AD166" s="13">
        <v>5</v>
      </c>
      <c r="AE166" s="15" t="s">
        <v>2771</v>
      </c>
      <c r="AF166" s="13">
        <v>10</v>
      </c>
      <c r="AG166" s="15" t="s">
        <v>2923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2924</v>
      </c>
      <c r="AR166" s="13"/>
      <c r="AS166" s="17">
        <f t="shared" si="18"/>
        <v>93</v>
      </c>
      <c r="AT166" s="11">
        <f t="shared" si="19"/>
        <v>46113</v>
      </c>
      <c r="AU166" s="13" t="str">
        <f t="shared" si="20"/>
        <v>April 2026</v>
      </c>
      <c r="AV166" s="11">
        <f t="shared" si="21"/>
        <v>46118</v>
      </c>
      <c r="AW166" s="11">
        <f t="shared" si="22"/>
        <v>46124</v>
      </c>
      <c r="AX166" s="13" t="str">
        <f t="shared" si="23"/>
        <v>06/04/2026 - 12/04/2026</v>
      </c>
      <c r="AY166" s="13">
        <f>IF(B166="","",COUNTIFS($B$5:B166,B166,$AT$5:AT166,AT166))</f>
        <v>4</v>
      </c>
      <c r="AZ166" s="13">
        <f>IF(B166="","",COUNTIFS($B$5:B166,B166,$AV$5:AV166,AV166))</f>
        <v>2</v>
      </c>
      <c r="BA166" s="13" t="str">
        <f t="shared" si="24"/>
        <v>04|Nattapol Suprom|20260401</v>
      </c>
      <c r="BB166" s="13" t="str">
        <f t="shared" si="25"/>
        <v>02|Nattapol Suprom|20260406</v>
      </c>
      <c r="BC166" s="13">
        <f t="shared" si="26"/>
        <v>0</v>
      </c>
      <c r="BD166" s="50" t="s">
        <v>2933</v>
      </c>
      <c r="BE166" t="s">
        <v>2934</v>
      </c>
      <c r="BF166" t="s">
        <v>2338</v>
      </c>
    </row>
    <row r="167" spans="1:58" ht="15" customHeight="1">
      <c r="A167" s="9">
        <v>46129.832981932872</v>
      </c>
      <c r="B167" s="10" t="s">
        <v>143</v>
      </c>
      <c r="C167" s="11">
        <v>46121</v>
      </c>
      <c r="D167" s="12">
        <v>0.76875000000291038</v>
      </c>
      <c r="E167" s="12">
        <v>0.773611111115315</v>
      </c>
      <c r="F167" s="13" t="s">
        <v>2935</v>
      </c>
      <c r="G167" s="14" t="s">
        <v>2936</v>
      </c>
      <c r="H167" s="13">
        <v>10</v>
      </c>
      <c r="I167" s="19" t="s">
        <v>2903</v>
      </c>
      <c r="J167" s="13">
        <v>10</v>
      </c>
      <c r="K167" s="15" t="s">
        <v>2937</v>
      </c>
      <c r="L167" s="13">
        <v>10</v>
      </c>
      <c r="M167" s="15" t="s">
        <v>2938</v>
      </c>
      <c r="N167" s="13">
        <v>4</v>
      </c>
      <c r="O167" s="19" t="s">
        <v>2939</v>
      </c>
      <c r="P167" s="13">
        <v>5</v>
      </c>
      <c r="Q167" s="20" t="s">
        <v>2940</v>
      </c>
      <c r="R167" s="13">
        <v>3</v>
      </c>
      <c r="S167" s="20" t="s">
        <v>2941</v>
      </c>
      <c r="T167" s="13"/>
      <c r="U167" s="15"/>
      <c r="V167" s="13">
        <v>6</v>
      </c>
      <c r="W167" s="19" t="s">
        <v>2942</v>
      </c>
      <c r="X167" s="13">
        <v>6</v>
      </c>
      <c r="Y167" s="19" t="s">
        <v>2943</v>
      </c>
      <c r="Z167" s="13"/>
      <c r="AA167" s="15"/>
      <c r="AB167" s="13">
        <v>5</v>
      </c>
      <c r="AC167" s="15" t="s">
        <v>2944</v>
      </c>
      <c r="AD167" s="13">
        <v>5</v>
      </c>
      <c r="AE167" s="15" t="s">
        <v>2923</v>
      </c>
      <c r="AF167" s="13">
        <v>10</v>
      </c>
      <c r="AG167" s="15" t="s">
        <v>2923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2945</v>
      </c>
      <c r="AR167" s="13"/>
      <c r="AS167" s="17">
        <f t="shared" si="18"/>
        <v>74</v>
      </c>
      <c r="AT167" s="11">
        <f t="shared" si="19"/>
        <v>46113</v>
      </c>
      <c r="AU167" s="13" t="str">
        <f t="shared" si="20"/>
        <v>April 2026</v>
      </c>
      <c r="AV167" s="11">
        <f t="shared" si="21"/>
        <v>46118</v>
      </c>
      <c r="AW167" s="11">
        <f t="shared" si="22"/>
        <v>46124</v>
      </c>
      <c r="AX167" s="13" t="str">
        <f t="shared" si="23"/>
        <v>06/04/2026 - 12/04/2026</v>
      </c>
      <c r="AY167" s="13">
        <f>IF(B167="","",COUNTIFS($B$5:B167,B167,$AT$5:AT167,AT167))</f>
        <v>5</v>
      </c>
      <c r="AZ167" s="13">
        <f>IF(B167="","",COUNTIFS($B$5:B167,B167,$AV$5:AV167,AV167))</f>
        <v>3</v>
      </c>
      <c r="BA167" s="13" t="str">
        <f t="shared" si="24"/>
        <v>05|Nattapol Suprom|20260401</v>
      </c>
      <c r="BB167" s="13" t="str">
        <f t="shared" si="25"/>
        <v>03|Nattapol Suprom|20260406</v>
      </c>
      <c r="BC167" s="13">
        <f t="shared" si="26"/>
        <v>0</v>
      </c>
      <c r="BD167" s="50" t="s">
        <v>2946</v>
      </c>
      <c r="BE167" t="s">
        <v>2947</v>
      </c>
      <c r="BF167" t="s">
        <v>2338</v>
      </c>
    </row>
    <row r="168" spans="1:58" ht="15" customHeight="1">
      <c r="A168" s="9">
        <v>46129.839254062499</v>
      </c>
      <c r="B168" s="10" t="s">
        <v>143</v>
      </c>
      <c r="C168" s="11">
        <v>46124</v>
      </c>
      <c r="D168" s="12">
        <v>0.63888888889050577</v>
      </c>
      <c r="E168" s="12">
        <v>0.64166666666278616</v>
      </c>
      <c r="F168" s="13" t="s">
        <v>2948</v>
      </c>
      <c r="G168" s="14" t="s">
        <v>2949</v>
      </c>
      <c r="H168" s="13">
        <v>10</v>
      </c>
      <c r="I168" s="19" t="s">
        <v>2903</v>
      </c>
      <c r="J168" s="13">
        <v>10</v>
      </c>
      <c r="K168" s="15" t="s">
        <v>2950</v>
      </c>
      <c r="L168" s="13">
        <v>9</v>
      </c>
      <c r="M168" s="15" t="s">
        <v>2951</v>
      </c>
      <c r="N168" s="13">
        <v>10</v>
      </c>
      <c r="O168" s="19" t="s">
        <v>2952</v>
      </c>
      <c r="P168" s="13">
        <v>9</v>
      </c>
      <c r="Q168" s="20" t="s">
        <v>2953</v>
      </c>
      <c r="R168" s="13">
        <v>4</v>
      </c>
      <c r="S168" s="20" t="s">
        <v>2954</v>
      </c>
      <c r="T168" s="13"/>
      <c r="U168" s="15"/>
      <c r="V168" s="13">
        <v>12</v>
      </c>
      <c r="W168" s="19" t="s">
        <v>2955</v>
      </c>
      <c r="X168" s="13">
        <v>8</v>
      </c>
      <c r="Y168" s="19" t="s">
        <v>2956</v>
      </c>
      <c r="Z168" s="13"/>
      <c r="AA168" s="15"/>
      <c r="AB168" s="13">
        <v>5</v>
      </c>
      <c r="AC168" s="15" t="s">
        <v>2742</v>
      </c>
      <c r="AD168" s="13">
        <v>5</v>
      </c>
      <c r="AE168" s="15" t="s">
        <v>2771</v>
      </c>
      <c r="AF168" s="13">
        <v>10</v>
      </c>
      <c r="AG168" s="15" t="s">
        <v>2957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2958</v>
      </c>
      <c r="AR168" s="13"/>
      <c r="AS168" s="17">
        <f t="shared" si="18"/>
        <v>92</v>
      </c>
      <c r="AT168" s="11">
        <f t="shared" si="19"/>
        <v>46113</v>
      </c>
      <c r="AU168" s="13" t="str">
        <f t="shared" si="20"/>
        <v>April 2026</v>
      </c>
      <c r="AV168" s="11">
        <f t="shared" si="21"/>
        <v>46118</v>
      </c>
      <c r="AW168" s="11">
        <f t="shared" si="22"/>
        <v>46124</v>
      </c>
      <c r="AX168" s="13" t="str">
        <f t="shared" si="23"/>
        <v>06/04/2026 - 12/04/2026</v>
      </c>
      <c r="AY168" s="13">
        <f>IF(B168="","",COUNTIFS($B$5:B168,B168,$AT$5:AT168,AT168))</f>
        <v>6</v>
      </c>
      <c r="AZ168" s="13">
        <f>IF(B168="","",COUNTIFS($B$5:B168,B168,$AV$5:AV168,AV168))</f>
        <v>4</v>
      </c>
      <c r="BA168" s="13" t="str">
        <f t="shared" si="24"/>
        <v>06|Nattapol Suprom|20260401</v>
      </c>
      <c r="BB168" s="13" t="str">
        <f t="shared" si="25"/>
        <v>04|Nattapol Suprom|20260406</v>
      </c>
      <c r="BC168" s="13">
        <f t="shared" si="26"/>
        <v>0</v>
      </c>
      <c r="BD168" s="50" t="s">
        <v>2959</v>
      </c>
      <c r="BE168" t="s">
        <v>2960</v>
      </c>
      <c r="BF168" t="s">
        <v>2338</v>
      </c>
    </row>
    <row r="169" spans="1:58" ht="15" customHeight="1">
      <c r="A169" s="9">
        <v>46129.84521594907</v>
      </c>
      <c r="B169" s="10" t="s">
        <v>443</v>
      </c>
      <c r="C169" s="11">
        <v>46119</v>
      </c>
      <c r="D169" s="12">
        <v>0.50486111111240461</v>
      </c>
      <c r="E169" s="12">
        <v>0.52222222222189885</v>
      </c>
      <c r="F169" s="13" t="s">
        <v>2961</v>
      </c>
      <c r="G169" s="14" t="s">
        <v>2962</v>
      </c>
      <c r="H169" s="13">
        <v>10</v>
      </c>
      <c r="I169" s="19" t="s">
        <v>2963</v>
      </c>
      <c r="J169" s="13">
        <v>10</v>
      </c>
      <c r="K169" s="15" t="s">
        <v>2964</v>
      </c>
      <c r="L169" s="13">
        <v>6</v>
      </c>
      <c r="M169" s="15" t="s">
        <v>2965</v>
      </c>
      <c r="N169" s="13">
        <v>10</v>
      </c>
      <c r="O169" s="19" t="s">
        <v>2966</v>
      </c>
      <c r="P169" s="13">
        <v>9</v>
      </c>
      <c r="Q169" s="20" t="s">
        <v>2967</v>
      </c>
      <c r="R169" s="13">
        <v>5</v>
      </c>
      <c r="S169" s="20" t="s">
        <v>2968</v>
      </c>
      <c r="T169" s="13"/>
      <c r="U169" s="15"/>
      <c r="V169" s="13">
        <v>14</v>
      </c>
      <c r="W169" s="19" t="s">
        <v>2969</v>
      </c>
      <c r="X169" s="13">
        <v>9</v>
      </c>
      <c r="Y169" s="19" t="s">
        <v>2970</v>
      </c>
      <c r="Z169" s="13"/>
      <c r="AA169" s="15"/>
      <c r="AB169" s="13">
        <v>5</v>
      </c>
      <c r="AC169" s="15" t="s">
        <v>2742</v>
      </c>
      <c r="AD169" s="13">
        <v>5</v>
      </c>
      <c r="AE169" s="15" t="s">
        <v>2971</v>
      </c>
      <c r="AF169" s="13">
        <v>10</v>
      </c>
      <c r="AG169" s="15" t="s">
        <v>2972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2973</v>
      </c>
      <c r="AR169" s="13"/>
      <c r="AS169" s="17">
        <f t="shared" si="18"/>
        <v>93</v>
      </c>
      <c r="AT169" s="11">
        <f t="shared" si="19"/>
        <v>46113</v>
      </c>
      <c r="AU169" s="13" t="str">
        <f t="shared" si="20"/>
        <v>April 2026</v>
      </c>
      <c r="AV169" s="11">
        <f t="shared" si="21"/>
        <v>46118</v>
      </c>
      <c r="AW169" s="11">
        <f t="shared" si="22"/>
        <v>46124</v>
      </c>
      <c r="AX169" s="13" t="str">
        <f t="shared" si="23"/>
        <v>06/04/2026 - 12/04/2026</v>
      </c>
      <c r="AY169" s="13">
        <f>IF(B169="","",COUNTIFS($B$5:B169,B169,$AT$5:AT169,AT169))</f>
        <v>1</v>
      </c>
      <c r="AZ169" s="13">
        <f>IF(B169="","",COUNTIFS($B$5:B169,B169,$AV$5:AV169,AV169))</f>
        <v>1</v>
      </c>
      <c r="BA169" s="13" t="str">
        <f t="shared" si="24"/>
        <v>01|Sunijtra Siritip|20260401</v>
      </c>
      <c r="BB169" s="13" t="str">
        <f t="shared" si="25"/>
        <v>01|Sunijtra Siritip|20260406</v>
      </c>
      <c r="BC169" s="13">
        <f t="shared" si="26"/>
        <v>0</v>
      </c>
      <c r="BD169" s="50" t="s">
        <v>2974</v>
      </c>
      <c r="BE169" t="s">
        <v>2975</v>
      </c>
      <c r="BF169" t="s">
        <v>2338</v>
      </c>
    </row>
    <row r="170" spans="1:58" ht="15" customHeight="1">
      <c r="A170" s="9">
        <v>46129.920537916667</v>
      </c>
      <c r="B170" s="10" t="s">
        <v>443</v>
      </c>
      <c r="C170" s="11">
        <v>46120</v>
      </c>
      <c r="D170" s="12">
        <v>0.36944444444088731</v>
      </c>
      <c r="E170" s="12">
        <v>0.37430555555329192</v>
      </c>
      <c r="F170" s="13" t="s">
        <v>2976</v>
      </c>
      <c r="G170" s="14" t="s">
        <v>2977</v>
      </c>
      <c r="H170" s="13">
        <v>10</v>
      </c>
      <c r="I170" s="19" t="s">
        <v>2903</v>
      </c>
      <c r="J170" s="13">
        <v>10</v>
      </c>
      <c r="K170" s="15" t="s">
        <v>2978</v>
      </c>
      <c r="L170" s="13">
        <v>10</v>
      </c>
      <c r="M170" s="15" t="s">
        <v>2979</v>
      </c>
      <c r="N170" s="13">
        <v>9</v>
      </c>
      <c r="O170" s="19" t="s">
        <v>2980</v>
      </c>
      <c r="P170" s="13">
        <v>8</v>
      </c>
      <c r="Q170" s="20" t="s">
        <v>2981</v>
      </c>
      <c r="R170" s="13">
        <v>5</v>
      </c>
      <c r="S170" s="20" t="s">
        <v>2982</v>
      </c>
      <c r="T170" s="13"/>
      <c r="U170" s="15"/>
      <c r="V170" s="13">
        <v>12</v>
      </c>
      <c r="W170" s="19" t="s">
        <v>2983</v>
      </c>
      <c r="X170" s="13">
        <v>9</v>
      </c>
      <c r="Y170" s="19" t="s">
        <v>2984</v>
      </c>
      <c r="Z170" s="13"/>
      <c r="AA170" s="15"/>
      <c r="AB170" s="13">
        <v>5</v>
      </c>
      <c r="AC170" s="15" t="s">
        <v>2742</v>
      </c>
      <c r="AD170" s="13">
        <v>5</v>
      </c>
      <c r="AE170" s="15" t="s">
        <v>2771</v>
      </c>
      <c r="AF170" s="13">
        <v>8</v>
      </c>
      <c r="AG170" s="15" t="s">
        <v>2985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2986</v>
      </c>
      <c r="AR170" s="13"/>
      <c r="AS170" s="17">
        <f t="shared" si="18"/>
        <v>91</v>
      </c>
      <c r="AT170" s="11">
        <f t="shared" si="19"/>
        <v>46113</v>
      </c>
      <c r="AU170" s="13" t="str">
        <f t="shared" si="20"/>
        <v>April 2026</v>
      </c>
      <c r="AV170" s="11">
        <f t="shared" si="21"/>
        <v>46118</v>
      </c>
      <c r="AW170" s="11">
        <f t="shared" si="22"/>
        <v>46124</v>
      </c>
      <c r="AX170" s="13" t="str">
        <f t="shared" si="23"/>
        <v>06/04/2026 - 12/04/2026</v>
      </c>
      <c r="AY170" s="13">
        <f>IF(B170="","",COUNTIFS($B$5:B170,B170,$AT$5:AT170,AT170))</f>
        <v>2</v>
      </c>
      <c r="AZ170" s="13">
        <f>IF(B170="","",COUNTIFS($B$5:B170,B170,$AV$5:AV170,AV170))</f>
        <v>2</v>
      </c>
      <c r="BA170" s="13" t="str">
        <f t="shared" si="24"/>
        <v>02|Sunijtra Siritip|20260401</v>
      </c>
      <c r="BB170" s="13" t="str">
        <f t="shared" si="25"/>
        <v>02|Sunijtra Siritip|20260406</v>
      </c>
      <c r="BC170" s="13">
        <f t="shared" si="26"/>
        <v>0</v>
      </c>
      <c r="BD170" s="50" t="s">
        <v>2987</v>
      </c>
      <c r="BE170" t="s">
        <v>2988</v>
      </c>
      <c r="BF170" t="s">
        <v>2338</v>
      </c>
    </row>
    <row r="171" spans="1:58" ht="15" customHeight="1">
      <c r="A171" s="9">
        <v>46129.927513113427</v>
      </c>
      <c r="B171" s="10" t="s">
        <v>443</v>
      </c>
      <c r="C171" s="11">
        <v>46120</v>
      </c>
      <c r="D171" s="12">
        <v>0.3868055555576575</v>
      </c>
      <c r="E171" s="12">
        <v>0.3944444444423425</v>
      </c>
      <c r="F171" s="13" t="s">
        <v>2989</v>
      </c>
      <c r="G171" s="14" t="s">
        <v>2990</v>
      </c>
      <c r="H171" s="13">
        <v>10</v>
      </c>
      <c r="I171" s="19" t="s">
        <v>2991</v>
      </c>
      <c r="J171" s="13">
        <v>10</v>
      </c>
      <c r="K171" s="15" t="s">
        <v>2992</v>
      </c>
      <c r="L171" s="13">
        <v>9</v>
      </c>
      <c r="M171" s="15" t="s">
        <v>2993</v>
      </c>
      <c r="N171" s="13">
        <v>7</v>
      </c>
      <c r="O171" s="19" t="s">
        <v>2994</v>
      </c>
      <c r="P171" s="13">
        <v>8</v>
      </c>
      <c r="Q171" s="20" t="s">
        <v>2995</v>
      </c>
      <c r="R171" s="13">
        <v>5</v>
      </c>
      <c r="S171" s="20" t="s">
        <v>2996</v>
      </c>
      <c r="T171" s="13"/>
      <c r="U171" s="15"/>
      <c r="V171" s="13">
        <v>11</v>
      </c>
      <c r="W171" s="19" t="s">
        <v>2997</v>
      </c>
      <c r="X171" s="13">
        <v>9</v>
      </c>
      <c r="Y171" s="19" t="s">
        <v>2998</v>
      </c>
      <c r="Z171" s="13"/>
      <c r="AA171" s="15"/>
      <c r="AB171" s="13">
        <v>5</v>
      </c>
      <c r="AC171" s="15" t="s">
        <v>2742</v>
      </c>
      <c r="AD171" s="13">
        <v>5</v>
      </c>
      <c r="AE171" s="15" t="s">
        <v>2999</v>
      </c>
      <c r="AF171" s="13">
        <v>10</v>
      </c>
      <c r="AG171" s="15" t="s">
        <v>3000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3001</v>
      </c>
      <c r="AR171" s="13"/>
      <c r="AS171" s="17">
        <f t="shared" si="18"/>
        <v>89</v>
      </c>
      <c r="AT171" s="11">
        <f t="shared" si="19"/>
        <v>46113</v>
      </c>
      <c r="AU171" s="13" t="str">
        <f t="shared" si="20"/>
        <v>April 2026</v>
      </c>
      <c r="AV171" s="11">
        <f t="shared" si="21"/>
        <v>46118</v>
      </c>
      <c r="AW171" s="11">
        <f t="shared" si="22"/>
        <v>46124</v>
      </c>
      <c r="AX171" s="13" t="str">
        <f t="shared" si="23"/>
        <v>06/04/2026 - 12/04/2026</v>
      </c>
      <c r="AY171" s="13">
        <f>IF(B171="","",COUNTIFS($B$5:B171,B171,$AT$5:AT171,AT171))</f>
        <v>3</v>
      </c>
      <c r="AZ171" s="13">
        <f>IF(B171="","",COUNTIFS($B$5:B171,B171,$AV$5:AV171,AV171))</f>
        <v>3</v>
      </c>
      <c r="BA171" s="13" t="str">
        <f t="shared" si="24"/>
        <v>03|Sunijtra Siritip|20260401</v>
      </c>
      <c r="BB171" s="13" t="str">
        <f t="shared" si="25"/>
        <v>03|Sunijtra Siritip|20260406</v>
      </c>
      <c r="BC171" s="13">
        <f t="shared" si="26"/>
        <v>0</v>
      </c>
      <c r="BD171" s="50" t="s">
        <v>3002</v>
      </c>
      <c r="BE171" t="s">
        <v>3003</v>
      </c>
      <c r="BF171" t="s">
        <v>2338</v>
      </c>
    </row>
    <row r="172" spans="1:58" ht="15" customHeight="1">
      <c r="A172" s="9">
        <v>46129.933797685182</v>
      </c>
      <c r="B172" s="10" t="s">
        <v>443</v>
      </c>
      <c r="C172" s="11">
        <v>46123</v>
      </c>
      <c r="D172" s="12">
        <v>0.34722222221898846</v>
      </c>
      <c r="E172" s="12">
        <v>0.36388888888905058</v>
      </c>
      <c r="F172" s="13" t="s">
        <v>3004</v>
      </c>
      <c r="G172" s="14" t="s">
        <v>3005</v>
      </c>
      <c r="H172" s="13">
        <v>8</v>
      </c>
      <c r="I172" s="19" t="s">
        <v>3006</v>
      </c>
      <c r="J172" s="13">
        <v>10</v>
      </c>
      <c r="K172" s="15" t="s">
        <v>3007</v>
      </c>
      <c r="L172" s="13">
        <v>7</v>
      </c>
      <c r="M172" s="15" t="s">
        <v>3008</v>
      </c>
      <c r="N172" s="13">
        <v>4</v>
      </c>
      <c r="O172" s="19" t="s">
        <v>3009</v>
      </c>
      <c r="P172" s="13">
        <v>3</v>
      </c>
      <c r="Q172" s="20" t="s">
        <v>3010</v>
      </c>
      <c r="R172" s="13">
        <v>2</v>
      </c>
      <c r="S172" s="20" t="s">
        <v>3011</v>
      </c>
      <c r="T172" s="13"/>
      <c r="U172" s="15"/>
      <c r="V172" s="13">
        <v>4</v>
      </c>
      <c r="W172" s="19" t="s">
        <v>3012</v>
      </c>
      <c r="X172" s="13">
        <v>4</v>
      </c>
      <c r="Y172" s="19" t="s">
        <v>3013</v>
      </c>
      <c r="Z172" s="13"/>
      <c r="AA172" s="15"/>
      <c r="AB172" s="13">
        <v>4</v>
      </c>
      <c r="AC172" s="15" t="s">
        <v>3014</v>
      </c>
      <c r="AD172" s="13">
        <v>5</v>
      </c>
      <c r="AE172" s="15" t="s">
        <v>3015</v>
      </c>
      <c r="AF172" s="13">
        <v>9</v>
      </c>
      <c r="AG172" s="15" t="s">
        <v>3016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3017</v>
      </c>
      <c r="AR172" s="13"/>
      <c r="AS172" s="17">
        <f t="shared" si="18"/>
        <v>60</v>
      </c>
      <c r="AT172" s="11">
        <f t="shared" si="19"/>
        <v>46113</v>
      </c>
      <c r="AU172" s="13" t="str">
        <f t="shared" si="20"/>
        <v>April 2026</v>
      </c>
      <c r="AV172" s="11">
        <f t="shared" si="21"/>
        <v>46118</v>
      </c>
      <c r="AW172" s="11">
        <f t="shared" si="22"/>
        <v>46124</v>
      </c>
      <c r="AX172" s="13" t="str">
        <f t="shared" si="23"/>
        <v>06/04/2026 - 12/04/2026</v>
      </c>
      <c r="AY172" s="13">
        <f>IF(B172="","",COUNTIFS($B$5:B172,B172,$AT$5:AT172,AT172))</f>
        <v>4</v>
      </c>
      <c r="AZ172" s="13">
        <f>IF(B172="","",COUNTIFS($B$5:B172,B172,$AV$5:AV172,AV172))</f>
        <v>4</v>
      </c>
      <c r="BA172" s="13" t="str">
        <f t="shared" si="24"/>
        <v>04|Sunijtra Siritip|20260401</v>
      </c>
      <c r="BB172" s="13" t="str">
        <f t="shared" si="25"/>
        <v>04|Sunijtra Siritip|20260406</v>
      </c>
      <c r="BC172" s="13">
        <f t="shared" si="26"/>
        <v>0</v>
      </c>
      <c r="BD172" s="50" t="s">
        <v>3018</v>
      </c>
      <c r="BE172" t="s">
        <v>3019</v>
      </c>
      <c r="BF172" t="s">
        <v>2338</v>
      </c>
    </row>
    <row r="173" spans="1:58" ht="15" customHeight="1">
      <c r="A173" s="9">
        <v>46129.939072488429</v>
      </c>
      <c r="B173" s="10" t="s">
        <v>443</v>
      </c>
      <c r="C173" s="11">
        <v>46124</v>
      </c>
      <c r="D173" s="12">
        <v>0.39583333333575865</v>
      </c>
      <c r="E173" s="12">
        <v>0.40347222222044365</v>
      </c>
      <c r="F173" s="13" t="s">
        <v>3020</v>
      </c>
      <c r="G173" s="14" t="s">
        <v>3021</v>
      </c>
      <c r="H173" s="13">
        <v>10</v>
      </c>
      <c r="I173" s="19" t="s">
        <v>2903</v>
      </c>
      <c r="J173" s="13">
        <v>10</v>
      </c>
      <c r="K173" s="15" t="s">
        <v>3022</v>
      </c>
      <c r="L173" s="13">
        <v>8</v>
      </c>
      <c r="M173" s="15" t="s">
        <v>3023</v>
      </c>
      <c r="N173" s="13">
        <v>8</v>
      </c>
      <c r="O173" s="19" t="s">
        <v>3024</v>
      </c>
      <c r="P173" s="13">
        <v>8</v>
      </c>
      <c r="Q173" s="20" t="s">
        <v>3025</v>
      </c>
      <c r="R173" s="13">
        <v>5</v>
      </c>
      <c r="S173" s="20" t="s">
        <v>3026</v>
      </c>
      <c r="T173" s="13"/>
      <c r="U173" s="15"/>
      <c r="V173" s="13">
        <v>11</v>
      </c>
      <c r="W173" s="19" t="s">
        <v>3027</v>
      </c>
      <c r="X173" s="13">
        <v>8</v>
      </c>
      <c r="Y173" s="19" t="s">
        <v>3028</v>
      </c>
      <c r="Z173" s="13"/>
      <c r="AA173" s="15"/>
      <c r="AB173" s="13">
        <v>5</v>
      </c>
      <c r="AC173" s="15" t="s">
        <v>3029</v>
      </c>
      <c r="AD173" s="13">
        <v>5</v>
      </c>
      <c r="AE173" s="15" t="s">
        <v>3030</v>
      </c>
      <c r="AF173" s="13">
        <v>10</v>
      </c>
      <c r="AG173" s="15" t="s">
        <v>3031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3032</v>
      </c>
      <c r="AR173" s="13"/>
      <c r="AS173" s="17">
        <f t="shared" si="18"/>
        <v>88</v>
      </c>
      <c r="AT173" s="11">
        <f t="shared" si="19"/>
        <v>46113</v>
      </c>
      <c r="AU173" s="13" t="str">
        <f t="shared" si="20"/>
        <v>April 2026</v>
      </c>
      <c r="AV173" s="11">
        <f t="shared" si="21"/>
        <v>46118</v>
      </c>
      <c r="AW173" s="11">
        <f t="shared" si="22"/>
        <v>46124</v>
      </c>
      <c r="AX173" s="13" t="str">
        <f t="shared" si="23"/>
        <v>06/04/2026 - 12/04/2026</v>
      </c>
      <c r="AY173" s="13">
        <f>IF(B173="","",COUNTIFS($B$5:B173,B173,$AT$5:AT173,AT173))</f>
        <v>5</v>
      </c>
      <c r="AZ173" s="13">
        <f>IF(B173="","",COUNTIFS($B$5:B173,B173,$AV$5:AV173,AV173))</f>
        <v>5</v>
      </c>
      <c r="BA173" s="13" t="str">
        <f t="shared" si="24"/>
        <v>05|Sunijtra Siritip|20260401</v>
      </c>
      <c r="BB173" s="13" t="str">
        <f t="shared" si="25"/>
        <v>05|Sunijtra Siritip|20260406</v>
      </c>
      <c r="BC173" s="13">
        <f t="shared" si="26"/>
        <v>0</v>
      </c>
      <c r="BD173" s="50" t="s">
        <v>3033</v>
      </c>
      <c r="BE173" t="s">
        <v>3034</v>
      </c>
      <c r="BF173" t="s">
        <v>2338</v>
      </c>
    </row>
    <row r="174" spans="1:58" ht="15" customHeight="1">
      <c r="A174" s="9">
        <v>46129.944107314819</v>
      </c>
      <c r="B174" s="10" t="s">
        <v>443</v>
      </c>
      <c r="C174" s="11">
        <v>46124</v>
      </c>
      <c r="D174" s="12">
        <v>0.429861111115315</v>
      </c>
      <c r="E174" s="12">
        <v>0.44583333333139308</v>
      </c>
      <c r="F174" s="13" t="s">
        <v>3035</v>
      </c>
      <c r="G174" s="14" t="s">
        <v>3036</v>
      </c>
      <c r="H174" s="13">
        <v>7</v>
      </c>
      <c r="I174" s="19" t="s">
        <v>3037</v>
      </c>
      <c r="J174" s="13">
        <v>10</v>
      </c>
      <c r="K174" s="15" t="s">
        <v>3038</v>
      </c>
      <c r="L174" s="13">
        <v>6</v>
      </c>
      <c r="M174" s="15" t="s">
        <v>3039</v>
      </c>
      <c r="N174" s="13">
        <v>8</v>
      </c>
      <c r="O174" s="19" t="s">
        <v>3040</v>
      </c>
      <c r="P174" s="13">
        <v>6</v>
      </c>
      <c r="Q174" s="20" t="s">
        <v>3041</v>
      </c>
      <c r="R174" s="13">
        <v>4</v>
      </c>
      <c r="S174" s="20" t="s">
        <v>3042</v>
      </c>
      <c r="T174" s="13"/>
      <c r="U174" s="15"/>
      <c r="V174" s="13">
        <v>9</v>
      </c>
      <c r="W174" s="19" t="s">
        <v>3043</v>
      </c>
      <c r="X174" s="13">
        <v>9</v>
      </c>
      <c r="Y174" s="19" t="s">
        <v>3044</v>
      </c>
      <c r="Z174" s="13"/>
      <c r="AA174" s="15"/>
      <c r="AB174" s="13">
        <v>5</v>
      </c>
      <c r="AC174" s="15" t="s">
        <v>3045</v>
      </c>
      <c r="AD174" s="13">
        <v>5</v>
      </c>
      <c r="AE174" s="15" t="s">
        <v>3046</v>
      </c>
      <c r="AF174" s="13">
        <v>10</v>
      </c>
      <c r="AG174" s="15" t="s">
        <v>3047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3048</v>
      </c>
      <c r="AR174" s="13"/>
      <c r="AS174" s="17">
        <f t="shared" si="18"/>
        <v>79</v>
      </c>
      <c r="AT174" s="11">
        <f t="shared" si="19"/>
        <v>46113</v>
      </c>
      <c r="AU174" s="13" t="str">
        <f t="shared" si="20"/>
        <v>April 2026</v>
      </c>
      <c r="AV174" s="11">
        <f t="shared" si="21"/>
        <v>46118</v>
      </c>
      <c r="AW174" s="11">
        <f t="shared" si="22"/>
        <v>46124</v>
      </c>
      <c r="AX174" s="13" t="str">
        <f t="shared" si="23"/>
        <v>06/04/2026 - 12/04/2026</v>
      </c>
      <c r="AY174" s="13">
        <f>IF(B174="","",COUNTIFS($B$5:B174,B174,$AT$5:AT174,AT174))</f>
        <v>6</v>
      </c>
      <c r="AZ174" s="13">
        <f>IF(B174="","",COUNTIFS($B$5:B174,B174,$AV$5:AV174,AV174))</f>
        <v>6</v>
      </c>
      <c r="BA174" s="13" t="str">
        <f t="shared" si="24"/>
        <v>06|Sunijtra Siritip|20260401</v>
      </c>
      <c r="BB174" s="13" t="str">
        <f t="shared" si="25"/>
        <v>06|Sunijtra Siritip|20260406</v>
      </c>
      <c r="BC174" s="13">
        <f t="shared" si="26"/>
        <v>0</v>
      </c>
      <c r="BD174" s="50" t="s">
        <v>3049</v>
      </c>
      <c r="BE174" t="s">
        <v>3050</v>
      </c>
      <c r="BF174" t="s">
        <v>2338</v>
      </c>
    </row>
    <row r="175" spans="1:58" ht="15" customHeight="1">
      <c r="A175" s="9">
        <v>46129.953709583337</v>
      </c>
      <c r="B175" s="10" t="s">
        <v>256</v>
      </c>
      <c r="C175" s="11">
        <v>46118</v>
      </c>
      <c r="D175" s="12">
        <v>0.648611111115315</v>
      </c>
      <c r="E175" s="12">
        <v>0.65694444444670808</v>
      </c>
      <c r="F175" s="13" t="s">
        <v>3051</v>
      </c>
      <c r="G175" s="14" t="s">
        <v>3052</v>
      </c>
      <c r="H175" s="13">
        <v>10</v>
      </c>
      <c r="I175" s="19" t="s">
        <v>3053</v>
      </c>
      <c r="J175" s="13">
        <v>10</v>
      </c>
      <c r="K175" s="15" t="s">
        <v>3054</v>
      </c>
      <c r="L175" s="13">
        <v>6</v>
      </c>
      <c r="M175" s="15" t="s">
        <v>3055</v>
      </c>
      <c r="N175" s="13">
        <v>9</v>
      </c>
      <c r="O175" s="19" t="s">
        <v>3056</v>
      </c>
      <c r="P175" s="13">
        <v>8</v>
      </c>
      <c r="Q175" s="20" t="s">
        <v>3057</v>
      </c>
      <c r="R175" s="13">
        <v>5</v>
      </c>
      <c r="S175" s="20" t="s">
        <v>3058</v>
      </c>
      <c r="T175" s="13"/>
      <c r="U175" s="15"/>
      <c r="V175" s="13">
        <v>12</v>
      </c>
      <c r="W175" s="19" t="s">
        <v>3059</v>
      </c>
      <c r="X175" s="13">
        <v>8</v>
      </c>
      <c r="Y175" s="19" t="s">
        <v>3060</v>
      </c>
      <c r="Z175" s="13"/>
      <c r="AA175" s="15"/>
      <c r="AB175" s="13">
        <v>5</v>
      </c>
      <c r="AC175" s="15" t="s">
        <v>3061</v>
      </c>
      <c r="AD175" s="13">
        <v>4</v>
      </c>
      <c r="AE175" s="15" t="s">
        <v>3062</v>
      </c>
      <c r="AF175" s="13">
        <v>10</v>
      </c>
      <c r="AG175" s="15" t="s">
        <v>3063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3064</v>
      </c>
      <c r="AR175" s="13"/>
      <c r="AS175" s="17">
        <f t="shared" si="18"/>
        <v>87</v>
      </c>
      <c r="AT175" s="11">
        <f t="shared" si="19"/>
        <v>46113</v>
      </c>
      <c r="AU175" s="13" t="str">
        <f t="shared" si="20"/>
        <v>April 2026</v>
      </c>
      <c r="AV175" s="11">
        <f t="shared" si="21"/>
        <v>46118</v>
      </c>
      <c r="AW175" s="11">
        <f t="shared" si="22"/>
        <v>46124</v>
      </c>
      <c r="AX175" s="13" t="str">
        <f t="shared" si="23"/>
        <v>06/04/2026 - 12/04/2026</v>
      </c>
      <c r="AY175" s="13">
        <f>IF(B175="","",COUNTIFS($B$5:B175,B175,$AT$5:AT175,AT175))</f>
        <v>3</v>
      </c>
      <c r="AZ175" s="13">
        <f>IF(B175="","",COUNTIFS($B$5:B175,B175,$AV$5:AV175,AV175))</f>
        <v>1</v>
      </c>
      <c r="BA175" s="13" t="str">
        <f t="shared" si="24"/>
        <v>03|Supakrit Promkhamnoi|20260401</v>
      </c>
      <c r="BB175" s="13" t="str">
        <f t="shared" si="25"/>
        <v>01|Supakrit Promkhamnoi|20260406</v>
      </c>
      <c r="BC175" s="13">
        <f t="shared" si="26"/>
        <v>0</v>
      </c>
      <c r="BD175" s="50" t="s">
        <v>3065</v>
      </c>
      <c r="BE175" t="s">
        <v>3066</v>
      </c>
      <c r="BF175" t="s">
        <v>2338</v>
      </c>
    </row>
    <row r="176" spans="1:58" ht="15" customHeight="1">
      <c r="A176" s="9">
        <v>46129.973535219906</v>
      </c>
      <c r="B176" s="10" t="s">
        <v>256</v>
      </c>
      <c r="C176" s="11">
        <v>46119</v>
      </c>
      <c r="D176" s="12">
        <v>0.57708333333721384</v>
      </c>
      <c r="E176" s="12">
        <v>0.5819444444423425</v>
      </c>
      <c r="F176" s="13" t="s">
        <v>3067</v>
      </c>
      <c r="G176" s="14" t="s">
        <v>3068</v>
      </c>
      <c r="H176" s="13">
        <v>10</v>
      </c>
      <c r="I176" s="19" t="s">
        <v>3069</v>
      </c>
      <c r="J176" s="13">
        <v>10</v>
      </c>
      <c r="K176" s="15" t="s">
        <v>3070</v>
      </c>
      <c r="L176" s="13">
        <v>9</v>
      </c>
      <c r="M176" s="15" t="s">
        <v>3071</v>
      </c>
      <c r="N176" s="13">
        <v>10</v>
      </c>
      <c r="O176" s="19" t="s">
        <v>3072</v>
      </c>
      <c r="P176" s="13">
        <v>9</v>
      </c>
      <c r="Q176" s="20" t="s">
        <v>3073</v>
      </c>
      <c r="R176" s="13">
        <v>5</v>
      </c>
      <c r="S176" s="20" t="s">
        <v>3074</v>
      </c>
      <c r="T176" s="13"/>
      <c r="U176" s="15"/>
      <c r="V176" s="13">
        <v>13</v>
      </c>
      <c r="W176" s="19" t="s">
        <v>3075</v>
      </c>
      <c r="X176" s="13">
        <v>9</v>
      </c>
      <c r="Y176" s="19" t="s">
        <v>3076</v>
      </c>
      <c r="Z176" s="13"/>
      <c r="AA176" s="15"/>
      <c r="AB176" s="13">
        <v>5</v>
      </c>
      <c r="AC176" s="15" t="s">
        <v>3077</v>
      </c>
      <c r="AD176" s="13">
        <v>5</v>
      </c>
      <c r="AE176" s="15" t="s">
        <v>3078</v>
      </c>
      <c r="AF176" s="13">
        <v>10</v>
      </c>
      <c r="AG176" s="15" t="s">
        <v>3079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3080</v>
      </c>
      <c r="AR176" s="13"/>
      <c r="AS176" s="17">
        <f t="shared" si="18"/>
        <v>95</v>
      </c>
      <c r="AT176" s="11">
        <f t="shared" si="19"/>
        <v>46113</v>
      </c>
      <c r="AU176" s="13" t="str">
        <f t="shared" si="20"/>
        <v>April 2026</v>
      </c>
      <c r="AV176" s="11">
        <f t="shared" si="21"/>
        <v>46118</v>
      </c>
      <c r="AW176" s="11">
        <f t="shared" si="22"/>
        <v>46124</v>
      </c>
      <c r="AX176" s="13" t="str">
        <f t="shared" si="23"/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 t="shared" si="24"/>
        <v>04|Supakrit Promkhamnoi|20260401</v>
      </c>
      <c r="BB176" s="13" t="str">
        <f t="shared" si="25"/>
        <v>02|Supakrit Promkhamnoi|20260406</v>
      </c>
      <c r="BC176" s="13">
        <f t="shared" si="26"/>
        <v>0</v>
      </c>
      <c r="BD176" s="50" t="s">
        <v>3081</v>
      </c>
      <c r="BE176" t="s">
        <v>3082</v>
      </c>
      <c r="BF176" t="s">
        <v>2338</v>
      </c>
    </row>
    <row r="177" spans="1:58" ht="15" customHeight="1">
      <c r="A177" s="9">
        <v>46129.979375520837</v>
      </c>
      <c r="B177" s="10" t="s">
        <v>256</v>
      </c>
      <c r="C177" s="11">
        <v>46119</v>
      </c>
      <c r="D177" s="12">
        <v>0.523611111115315</v>
      </c>
      <c r="E177" s="12">
        <v>0.52847222222044365</v>
      </c>
      <c r="F177" s="13" t="s">
        <v>3083</v>
      </c>
      <c r="G177" s="14" t="s">
        <v>3084</v>
      </c>
      <c r="H177" s="13">
        <v>10</v>
      </c>
      <c r="I177" s="19" t="s">
        <v>3085</v>
      </c>
      <c r="J177" s="13">
        <v>10</v>
      </c>
      <c r="K177" s="15" t="s">
        <v>3086</v>
      </c>
      <c r="L177" s="13">
        <v>9</v>
      </c>
      <c r="M177" s="15" t="s">
        <v>3087</v>
      </c>
      <c r="N177" s="13">
        <v>10</v>
      </c>
      <c r="O177" s="19" t="s">
        <v>3088</v>
      </c>
      <c r="P177" s="13">
        <v>9</v>
      </c>
      <c r="Q177" s="20" t="s">
        <v>3089</v>
      </c>
      <c r="R177" s="13">
        <v>5</v>
      </c>
      <c r="S177" s="20" t="s">
        <v>3090</v>
      </c>
      <c r="T177" s="13"/>
      <c r="U177" s="15"/>
      <c r="V177" s="13">
        <v>13</v>
      </c>
      <c r="W177" s="19" t="s">
        <v>3091</v>
      </c>
      <c r="X177" s="13">
        <v>9</v>
      </c>
      <c r="Y177" s="19" t="s">
        <v>3092</v>
      </c>
      <c r="Z177" s="13"/>
      <c r="AA177" s="15"/>
      <c r="AB177" s="13">
        <v>5</v>
      </c>
      <c r="AC177" s="15" t="s">
        <v>3077</v>
      </c>
      <c r="AD177" s="13">
        <v>5</v>
      </c>
      <c r="AE177" s="15" t="s">
        <v>3093</v>
      </c>
      <c r="AF177" s="13">
        <v>10</v>
      </c>
      <c r="AG177" s="15" t="s">
        <v>3094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3095</v>
      </c>
      <c r="AR177" s="13"/>
      <c r="AS177" s="17">
        <f t="shared" si="18"/>
        <v>95</v>
      </c>
      <c r="AT177" s="11">
        <f t="shared" si="19"/>
        <v>46113</v>
      </c>
      <c r="AU177" s="13" t="str">
        <f t="shared" si="20"/>
        <v>April 2026</v>
      </c>
      <c r="AV177" s="11">
        <f t="shared" si="21"/>
        <v>46118</v>
      </c>
      <c r="AW177" s="11">
        <f t="shared" si="22"/>
        <v>46124</v>
      </c>
      <c r="AX177" s="13" t="str">
        <f t="shared" si="23"/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 t="shared" si="24"/>
        <v>05|Supakrit Promkhamnoi|20260401</v>
      </c>
      <c r="BB177" s="13" t="str">
        <f t="shared" si="25"/>
        <v>03|Supakrit Promkhamnoi|20260406</v>
      </c>
      <c r="BC177" s="13">
        <f t="shared" si="26"/>
        <v>0</v>
      </c>
      <c r="BD177" s="50" t="s">
        <v>3096</v>
      </c>
      <c r="BE177" t="s">
        <v>3097</v>
      </c>
      <c r="BF177" t="s">
        <v>2338</v>
      </c>
    </row>
    <row r="178" spans="1:58" ht="15" customHeight="1">
      <c r="A178" s="9">
        <v>46129.984799502316</v>
      </c>
      <c r="B178" s="10" t="s">
        <v>256</v>
      </c>
      <c r="C178" s="11">
        <v>46120</v>
      </c>
      <c r="D178" s="12">
        <v>0.84166666666715173</v>
      </c>
      <c r="E178" s="12">
        <v>0.84722222221898846</v>
      </c>
      <c r="F178" s="13" t="s">
        <v>3098</v>
      </c>
      <c r="G178" s="14" t="s">
        <v>3099</v>
      </c>
      <c r="H178" s="13">
        <v>10</v>
      </c>
      <c r="I178" s="19" t="s">
        <v>3085</v>
      </c>
      <c r="J178" s="13">
        <v>10</v>
      </c>
      <c r="K178" s="15" t="s">
        <v>3100</v>
      </c>
      <c r="L178" s="13">
        <v>8</v>
      </c>
      <c r="M178" s="15" t="s">
        <v>3101</v>
      </c>
      <c r="N178" s="13">
        <v>9</v>
      </c>
      <c r="O178" s="19" t="s">
        <v>3102</v>
      </c>
      <c r="P178" s="13">
        <v>7</v>
      </c>
      <c r="Q178" s="20" t="s">
        <v>3103</v>
      </c>
      <c r="R178" s="13">
        <v>4</v>
      </c>
      <c r="S178" s="20" t="s">
        <v>3104</v>
      </c>
      <c r="T178" s="13"/>
      <c r="U178" s="15"/>
      <c r="V178" s="13">
        <v>10</v>
      </c>
      <c r="W178" s="19" t="s">
        <v>3105</v>
      </c>
      <c r="X178" s="13">
        <v>9</v>
      </c>
      <c r="Y178" s="19" t="s">
        <v>3106</v>
      </c>
      <c r="Z178" s="13"/>
      <c r="AA178" s="15"/>
      <c r="AB178" s="13">
        <v>5</v>
      </c>
      <c r="AC178" s="15" t="s">
        <v>3077</v>
      </c>
      <c r="AD178" s="13">
        <v>5</v>
      </c>
      <c r="AE178" s="15" t="s">
        <v>3107</v>
      </c>
      <c r="AF178" s="13">
        <v>10</v>
      </c>
      <c r="AG178" s="15" t="s">
        <v>3108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3109</v>
      </c>
      <c r="AR178" s="13"/>
      <c r="AS178" s="17">
        <f t="shared" si="18"/>
        <v>87</v>
      </c>
      <c r="AT178" s="11">
        <f t="shared" si="19"/>
        <v>46113</v>
      </c>
      <c r="AU178" s="13" t="str">
        <f t="shared" si="20"/>
        <v>April 2026</v>
      </c>
      <c r="AV178" s="11">
        <f t="shared" si="21"/>
        <v>46118</v>
      </c>
      <c r="AW178" s="11">
        <f t="shared" si="22"/>
        <v>46124</v>
      </c>
      <c r="AX178" s="13" t="str">
        <f t="shared" si="23"/>
        <v>06/04/2026 - 12/04/2026</v>
      </c>
      <c r="AY178" s="13">
        <f>IF(B178="","",COUNTIFS($B$5:B178,B178,$AT$5:AT178,AT178))</f>
        <v>6</v>
      </c>
      <c r="AZ178" s="13">
        <f>IF(B178="","",COUNTIFS($B$5:B178,B178,$AV$5:AV178,AV178))</f>
        <v>4</v>
      </c>
      <c r="BA178" s="13" t="str">
        <f t="shared" si="24"/>
        <v>06|Supakrit Promkhamnoi|20260401</v>
      </c>
      <c r="BB178" s="13" t="str">
        <f t="shared" si="25"/>
        <v>04|Supakrit Promkhamnoi|20260406</v>
      </c>
      <c r="BC178" s="13">
        <f t="shared" si="26"/>
        <v>0</v>
      </c>
      <c r="BD178" s="50" t="s">
        <v>3110</v>
      </c>
      <c r="BE178" t="s">
        <v>3111</v>
      </c>
      <c r="BF178" t="s">
        <v>2338</v>
      </c>
    </row>
    <row r="179" spans="1:58" ht="15" customHeight="1">
      <c r="A179" s="9">
        <v>46129.990847407404</v>
      </c>
      <c r="B179" s="10" t="s">
        <v>290</v>
      </c>
      <c r="C179" s="11">
        <v>46119</v>
      </c>
      <c r="D179" s="12">
        <v>0.47083333333284827</v>
      </c>
      <c r="E179" s="12">
        <v>0.47847222222480923</v>
      </c>
      <c r="F179" s="13" t="s">
        <v>3112</v>
      </c>
      <c r="G179" s="14" t="s">
        <v>3113</v>
      </c>
      <c r="H179" s="13">
        <v>10</v>
      </c>
      <c r="I179" s="19" t="s">
        <v>3114</v>
      </c>
      <c r="J179" s="13">
        <v>10</v>
      </c>
      <c r="K179" s="15" t="s">
        <v>3115</v>
      </c>
      <c r="L179" s="13">
        <v>10</v>
      </c>
      <c r="M179" s="15" t="s">
        <v>3116</v>
      </c>
      <c r="N179" s="13">
        <v>10</v>
      </c>
      <c r="O179" s="19" t="s">
        <v>3117</v>
      </c>
      <c r="P179" s="13">
        <v>8</v>
      </c>
      <c r="Q179" s="20" t="s">
        <v>3118</v>
      </c>
      <c r="R179" s="13">
        <v>5</v>
      </c>
      <c r="S179" s="20" t="s">
        <v>3119</v>
      </c>
      <c r="T179" s="13"/>
      <c r="U179" s="15"/>
      <c r="V179" s="13">
        <v>14</v>
      </c>
      <c r="W179" s="19" t="s">
        <v>3120</v>
      </c>
      <c r="X179" s="13">
        <v>8</v>
      </c>
      <c r="Y179" s="19" t="s">
        <v>3121</v>
      </c>
      <c r="Z179" s="13"/>
      <c r="AA179" s="15"/>
      <c r="AB179" s="13">
        <v>5</v>
      </c>
      <c r="AC179" s="15" t="s">
        <v>3122</v>
      </c>
      <c r="AD179" s="13">
        <v>5</v>
      </c>
      <c r="AE179" s="15" t="s">
        <v>3123</v>
      </c>
      <c r="AF179" s="13">
        <v>9</v>
      </c>
      <c r="AG179" s="15" t="s">
        <v>3124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3125</v>
      </c>
      <c r="AR179" s="13"/>
      <c r="AS179" s="17">
        <f t="shared" si="18"/>
        <v>94</v>
      </c>
      <c r="AT179" s="11">
        <f t="shared" si="19"/>
        <v>46113</v>
      </c>
      <c r="AU179" s="13" t="str">
        <f t="shared" si="20"/>
        <v>April 2026</v>
      </c>
      <c r="AV179" s="11">
        <f t="shared" si="21"/>
        <v>46118</v>
      </c>
      <c r="AW179" s="11">
        <f t="shared" si="22"/>
        <v>46124</v>
      </c>
      <c r="AX179" s="13" t="str">
        <f t="shared" si="23"/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 t="shared" si="24"/>
        <v>03|Suphitcha Keawliam|20260401</v>
      </c>
      <c r="BB179" s="13" t="str">
        <f t="shared" si="25"/>
        <v>01|Suphitcha Keawliam|20260406</v>
      </c>
      <c r="BC179" s="13">
        <f t="shared" si="26"/>
        <v>0</v>
      </c>
      <c r="BD179" s="50" t="s">
        <v>3126</v>
      </c>
      <c r="BE179" t="s">
        <v>3127</v>
      </c>
      <c r="BF179" t="s">
        <v>2338</v>
      </c>
    </row>
    <row r="180" spans="1:58" ht="15" customHeight="1">
      <c r="A180" s="9">
        <v>46129.998046956018</v>
      </c>
      <c r="B180" s="10" t="s">
        <v>290</v>
      </c>
      <c r="C180" s="11">
        <v>46121</v>
      </c>
      <c r="D180" s="12">
        <v>0.48124999999708962</v>
      </c>
      <c r="E180" s="12">
        <v>0.51041666666424135</v>
      </c>
      <c r="F180" s="13" t="s">
        <v>3128</v>
      </c>
      <c r="G180" s="14" t="s">
        <v>3129</v>
      </c>
      <c r="H180" s="13">
        <v>9</v>
      </c>
      <c r="I180" s="19" t="s">
        <v>3130</v>
      </c>
      <c r="J180" s="13">
        <v>10</v>
      </c>
      <c r="K180" s="15" t="s">
        <v>3131</v>
      </c>
      <c r="L180" s="13">
        <v>4</v>
      </c>
      <c r="M180" s="15" t="s">
        <v>3132</v>
      </c>
      <c r="N180" s="13">
        <v>6</v>
      </c>
      <c r="O180" s="19" t="s">
        <v>3133</v>
      </c>
      <c r="P180" s="13">
        <v>4</v>
      </c>
      <c r="Q180" s="20" t="s">
        <v>3134</v>
      </c>
      <c r="R180" s="13">
        <v>3</v>
      </c>
      <c r="S180" s="20" t="s">
        <v>3135</v>
      </c>
      <c r="T180" s="13"/>
      <c r="U180" s="15"/>
      <c r="V180" s="13">
        <v>6</v>
      </c>
      <c r="W180" s="19" t="s">
        <v>3136</v>
      </c>
      <c r="X180" s="13">
        <v>5</v>
      </c>
      <c r="Y180" s="19" t="s">
        <v>3137</v>
      </c>
      <c r="Z180" s="13"/>
      <c r="AA180" s="15"/>
      <c r="AB180" s="13">
        <v>5</v>
      </c>
      <c r="AC180" s="15" t="s">
        <v>3138</v>
      </c>
      <c r="AD180" s="13">
        <v>5</v>
      </c>
      <c r="AE180" s="15" t="s">
        <v>3139</v>
      </c>
      <c r="AF180" s="13">
        <v>8</v>
      </c>
      <c r="AG180" s="15" t="s">
        <v>3140</v>
      </c>
      <c r="AH180" s="13"/>
      <c r="AI180" s="15"/>
      <c r="AJ180" s="13"/>
      <c r="AK180" s="15"/>
      <c r="AL180" s="13"/>
      <c r="AM180" s="15"/>
      <c r="AN180" s="13"/>
      <c r="AO180" s="15"/>
      <c r="AP180" s="13" t="s">
        <v>79</v>
      </c>
      <c r="AQ180" s="15" t="s">
        <v>3141</v>
      </c>
      <c r="AR180" s="13"/>
      <c r="AS180" s="17">
        <f t="shared" si="18"/>
        <v>65</v>
      </c>
      <c r="AT180" s="11">
        <f t="shared" si="19"/>
        <v>46113</v>
      </c>
      <c r="AU180" s="13" t="str">
        <f t="shared" si="20"/>
        <v>April 2026</v>
      </c>
      <c r="AV180" s="11">
        <f t="shared" si="21"/>
        <v>46118</v>
      </c>
      <c r="AW180" s="11">
        <f t="shared" si="22"/>
        <v>46124</v>
      </c>
      <c r="AX180" s="13" t="str">
        <f t="shared" si="23"/>
        <v>06/04/2026 - 12/04/2026</v>
      </c>
      <c r="AY180" s="13">
        <f>IF(B180="","",COUNTIFS($B$5:B180,B180,$AT$5:AT180,AT180))</f>
        <v>4</v>
      </c>
      <c r="AZ180" s="13">
        <f>IF(B180="","",COUNTIFS($B$5:B180,B180,$AV$5:AV180,AV180))</f>
        <v>2</v>
      </c>
      <c r="BA180" s="13" t="str">
        <f t="shared" si="24"/>
        <v>04|Suphitcha Keawliam|20260401</v>
      </c>
      <c r="BB180" s="13" t="str">
        <f t="shared" si="25"/>
        <v>02|Suphitcha Keawliam|20260406</v>
      </c>
      <c r="BC180" s="13">
        <f t="shared" si="26"/>
        <v>0</v>
      </c>
      <c r="BD180" s="50" t="s">
        <v>3142</v>
      </c>
      <c r="BE180" t="s">
        <v>3143</v>
      </c>
      <c r="BF180" t="s">
        <v>2338</v>
      </c>
    </row>
    <row r="181" spans="1:58" ht="15" customHeight="1">
      <c r="A181" s="9">
        <v>46130.003272025468</v>
      </c>
      <c r="B181" s="10" t="s">
        <v>290</v>
      </c>
      <c r="C181" s="11">
        <v>46121</v>
      </c>
      <c r="D181" s="12">
        <v>0.47986111111094942</v>
      </c>
      <c r="E181" s="12">
        <v>0.50347222221898846</v>
      </c>
      <c r="F181" s="13" t="s">
        <v>3144</v>
      </c>
      <c r="G181" s="14" t="s">
        <v>920</v>
      </c>
      <c r="H181" s="13">
        <v>10</v>
      </c>
      <c r="I181" s="19" t="s">
        <v>3145</v>
      </c>
      <c r="J181" s="13">
        <v>10</v>
      </c>
      <c r="K181" s="19" t="s">
        <v>3146</v>
      </c>
      <c r="L181" s="13">
        <v>3</v>
      </c>
      <c r="M181" s="19" t="s">
        <v>3147</v>
      </c>
      <c r="N181" s="13">
        <v>9</v>
      </c>
      <c r="O181" s="19" t="s">
        <v>3148</v>
      </c>
      <c r="P181" s="13">
        <v>7</v>
      </c>
      <c r="Q181" s="20" t="s">
        <v>3149</v>
      </c>
      <c r="R181" s="13">
        <v>4</v>
      </c>
      <c r="S181" s="20" t="s">
        <v>3150</v>
      </c>
      <c r="T181" s="13"/>
      <c r="U181" s="15"/>
      <c r="V181" s="13">
        <v>8</v>
      </c>
      <c r="W181" s="19" t="s">
        <v>3151</v>
      </c>
      <c r="X181" s="13">
        <v>8</v>
      </c>
      <c r="Y181" s="19" t="s">
        <v>3152</v>
      </c>
      <c r="Z181" s="13"/>
      <c r="AA181" s="15"/>
      <c r="AB181" s="13">
        <v>5</v>
      </c>
      <c r="AC181" s="19" t="s">
        <v>3153</v>
      </c>
      <c r="AD181" s="13">
        <v>4</v>
      </c>
      <c r="AE181" s="19" t="s">
        <v>3154</v>
      </c>
      <c r="AF181" s="13">
        <v>9</v>
      </c>
      <c r="AG181" s="19" t="s">
        <v>3155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3156</v>
      </c>
      <c r="AR181" s="13"/>
      <c r="AS181" s="17">
        <f t="shared" si="18"/>
        <v>77</v>
      </c>
      <c r="AT181" s="11">
        <f t="shared" si="19"/>
        <v>46113</v>
      </c>
      <c r="AU181" s="13" t="str">
        <f t="shared" si="20"/>
        <v>April 2026</v>
      </c>
      <c r="AV181" s="11">
        <f t="shared" si="21"/>
        <v>46118</v>
      </c>
      <c r="AW181" s="11">
        <f t="shared" si="22"/>
        <v>46124</v>
      </c>
      <c r="AX181" s="13" t="str">
        <f t="shared" si="23"/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 t="shared" si="24"/>
        <v>05|Suphitcha Keawliam|20260401</v>
      </c>
      <c r="BB181" s="13" t="str">
        <f t="shared" si="25"/>
        <v>03|Suphitcha Keawliam|20260406</v>
      </c>
      <c r="BC181" s="13">
        <f t="shared" si="26"/>
        <v>0</v>
      </c>
      <c r="BD181" s="50" t="s">
        <v>3157</v>
      </c>
      <c r="BE181" t="s">
        <v>3158</v>
      </c>
      <c r="BF181" t="s">
        <v>2338</v>
      </c>
    </row>
    <row r="182" spans="1:58" ht="15" customHeight="1">
      <c r="A182" s="9">
        <v>46130.449516851848</v>
      </c>
      <c r="B182" s="10" t="s">
        <v>290</v>
      </c>
      <c r="C182" s="11">
        <v>46119</v>
      </c>
      <c r="D182" s="12">
        <v>0.56874999999854481</v>
      </c>
      <c r="E182" s="12">
        <v>0.59166666666715173</v>
      </c>
      <c r="F182" s="13" t="s">
        <v>3159</v>
      </c>
      <c r="G182" s="14" t="s">
        <v>3160</v>
      </c>
      <c r="H182" s="13">
        <v>10</v>
      </c>
      <c r="I182" s="19" t="s">
        <v>3161</v>
      </c>
      <c r="J182" s="13">
        <v>10</v>
      </c>
      <c r="K182" s="15" t="s">
        <v>3162</v>
      </c>
      <c r="L182" s="13">
        <v>3</v>
      </c>
      <c r="M182" s="15" t="s">
        <v>3163</v>
      </c>
      <c r="N182" s="13">
        <v>9</v>
      </c>
      <c r="O182" s="19" t="s">
        <v>3164</v>
      </c>
      <c r="P182" s="13">
        <v>9</v>
      </c>
      <c r="Q182" s="20" t="s">
        <v>3165</v>
      </c>
      <c r="R182" s="13">
        <v>5</v>
      </c>
      <c r="S182" s="20" t="s">
        <v>3166</v>
      </c>
      <c r="T182" s="13"/>
      <c r="U182" s="15"/>
      <c r="V182" s="13">
        <v>12</v>
      </c>
      <c r="W182" s="19" t="s">
        <v>3167</v>
      </c>
      <c r="X182" s="13">
        <v>9</v>
      </c>
      <c r="Y182" s="19" t="s">
        <v>3168</v>
      </c>
      <c r="Z182" s="13"/>
      <c r="AA182" s="15"/>
      <c r="AB182" s="13">
        <v>5</v>
      </c>
      <c r="AC182" s="15" t="s">
        <v>3169</v>
      </c>
      <c r="AD182" s="13">
        <v>5</v>
      </c>
      <c r="AE182" s="15" t="s">
        <v>3139</v>
      </c>
      <c r="AF182" s="13">
        <v>8</v>
      </c>
      <c r="AG182" s="15" t="s">
        <v>3170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3171</v>
      </c>
      <c r="AR182" s="13"/>
      <c r="AS182" s="17">
        <f t="shared" si="18"/>
        <v>85</v>
      </c>
      <c r="AT182" s="11">
        <f t="shared" si="19"/>
        <v>46113</v>
      </c>
      <c r="AU182" s="13" t="str">
        <f t="shared" si="20"/>
        <v>April 2026</v>
      </c>
      <c r="AV182" s="11">
        <f t="shared" si="21"/>
        <v>46118</v>
      </c>
      <c r="AW182" s="11">
        <f t="shared" si="22"/>
        <v>46124</v>
      </c>
      <c r="AX182" s="13" t="str">
        <f t="shared" si="23"/>
        <v>06/04/2026 - 12/04/2026</v>
      </c>
      <c r="AY182" s="13">
        <f>IF(B182="","",COUNTIFS($B$5:B182,B182,$AT$5:AT182,AT182))</f>
        <v>6</v>
      </c>
      <c r="AZ182" s="13">
        <f>IF(B182="","",COUNTIFS($B$5:B182,B182,$AV$5:AV182,AV182))</f>
        <v>4</v>
      </c>
      <c r="BA182" s="13" t="str">
        <f t="shared" si="24"/>
        <v>06|Suphitcha Keawliam|20260401</v>
      </c>
      <c r="BB182" s="13" t="str">
        <f t="shared" si="25"/>
        <v>04|Suphitcha Keawliam|20260406</v>
      </c>
      <c r="BC182" s="13">
        <f t="shared" si="26"/>
        <v>0</v>
      </c>
      <c r="BD182" s="50" t="s">
        <v>3172</v>
      </c>
      <c r="BE182" t="s">
        <v>3173</v>
      </c>
      <c r="BF182" t="s">
        <v>2338</v>
      </c>
    </row>
    <row r="183" spans="1:58" ht="15" customHeight="1">
      <c r="A183" s="9">
        <v>46130.455565046301</v>
      </c>
      <c r="B183" s="10" t="s">
        <v>184</v>
      </c>
      <c r="C183" s="11">
        <v>46118</v>
      </c>
      <c r="D183" s="12">
        <v>0.75069444444670808</v>
      </c>
      <c r="E183" s="12">
        <v>0.75624999999854481</v>
      </c>
      <c r="F183" s="13" t="s">
        <v>3174</v>
      </c>
      <c r="G183" s="14" t="s">
        <v>3175</v>
      </c>
      <c r="H183" s="13">
        <v>9</v>
      </c>
      <c r="I183" s="19" t="s">
        <v>3176</v>
      </c>
      <c r="J183" s="13">
        <v>10</v>
      </c>
      <c r="K183" s="15" t="s">
        <v>3177</v>
      </c>
      <c r="L183" s="13">
        <v>8</v>
      </c>
      <c r="M183" s="15" t="s">
        <v>3178</v>
      </c>
      <c r="N183" s="13">
        <v>10</v>
      </c>
      <c r="O183" s="19" t="s">
        <v>3179</v>
      </c>
      <c r="P183" s="13">
        <v>9</v>
      </c>
      <c r="Q183" s="20" t="s">
        <v>3180</v>
      </c>
      <c r="R183" s="13">
        <v>5</v>
      </c>
      <c r="S183" s="20" t="s">
        <v>3181</v>
      </c>
      <c r="T183" s="13"/>
      <c r="U183" s="15"/>
      <c r="V183" s="13">
        <v>13</v>
      </c>
      <c r="W183" s="19" t="s">
        <v>3182</v>
      </c>
      <c r="X183" s="13">
        <v>9</v>
      </c>
      <c r="Y183" s="19" t="s">
        <v>3183</v>
      </c>
      <c r="Z183" s="13"/>
      <c r="AA183" s="15"/>
      <c r="AB183" s="13">
        <v>5</v>
      </c>
      <c r="AC183" s="15" t="s">
        <v>3184</v>
      </c>
      <c r="AD183" s="13">
        <v>5</v>
      </c>
      <c r="AE183" s="15" t="s">
        <v>3185</v>
      </c>
      <c r="AF183" s="13">
        <v>10</v>
      </c>
      <c r="AG183" s="15" t="s">
        <v>3186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3187</v>
      </c>
      <c r="AR183" s="13"/>
      <c r="AS183" s="17">
        <f t="shared" si="18"/>
        <v>93</v>
      </c>
      <c r="AT183" s="11">
        <f t="shared" si="19"/>
        <v>46113</v>
      </c>
      <c r="AU183" s="13" t="str">
        <f t="shared" si="20"/>
        <v>April 2026</v>
      </c>
      <c r="AV183" s="11">
        <f t="shared" si="21"/>
        <v>46118</v>
      </c>
      <c r="AW183" s="11">
        <f t="shared" si="22"/>
        <v>46124</v>
      </c>
      <c r="AX183" s="13" t="str">
        <f t="shared" si="23"/>
        <v>06/04/2026 - 12/04/2026</v>
      </c>
      <c r="AY183" s="13">
        <f>IF(B183="","",COUNTIFS($B$5:B183,B183,$AT$5:AT183,AT183))</f>
        <v>3</v>
      </c>
      <c r="AZ183" s="13">
        <f>IF(B183="","",COUNTIFS($B$5:B183,B183,$AV$5:AV183,AV183))</f>
        <v>1</v>
      </c>
      <c r="BA183" s="13" t="str">
        <f t="shared" si="24"/>
        <v>03|Wachiraporn chailittichai|20260401</v>
      </c>
      <c r="BB183" s="13" t="str">
        <f t="shared" si="25"/>
        <v>01|Wachiraporn chailittichai|20260406</v>
      </c>
      <c r="BC183" s="13">
        <f t="shared" si="26"/>
        <v>0</v>
      </c>
      <c r="BD183" s="50" t="s">
        <v>3188</v>
      </c>
      <c r="BE183" t="s">
        <v>3189</v>
      </c>
      <c r="BF183" t="s">
        <v>2338</v>
      </c>
    </row>
    <row r="184" spans="1:58" ht="15" customHeight="1">
      <c r="A184" s="9">
        <v>46130.465391817124</v>
      </c>
      <c r="B184" s="10" t="s">
        <v>184</v>
      </c>
      <c r="C184" s="11">
        <v>46118</v>
      </c>
      <c r="D184" s="12">
        <v>0.64930555555474712</v>
      </c>
      <c r="E184" s="12">
        <v>0.65347222222044365</v>
      </c>
      <c r="F184" s="13" t="s">
        <v>3190</v>
      </c>
      <c r="G184" s="14" t="s">
        <v>3191</v>
      </c>
      <c r="H184" s="13">
        <v>9</v>
      </c>
      <c r="I184" s="19" t="s">
        <v>3192</v>
      </c>
      <c r="J184" s="13">
        <v>10</v>
      </c>
      <c r="K184" s="15" t="s">
        <v>3193</v>
      </c>
      <c r="L184" s="13">
        <v>5</v>
      </c>
      <c r="M184" s="15" t="s">
        <v>3194</v>
      </c>
      <c r="N184" s="13">
        <v>4</v>
      </c>
      <c r="O184" s="19" t="s">
        <v>3195</v>
      </c>
      <c r="P184" s="13">
        <v>4</v>
      </c>
      <c r="Q184" s="20" t="s">
        <v>3196</v>
      </c>
      <c r="R184" s="13">
        <v>2</v>
      </c>
      <c r="S184" s="20" t="s">
        <v>3197</v>
      </c>
      <c r="T184" s="13"/>
      <c r="U184" s="15"/>
      <c r="V184" s="13">
        <v>6</v>
      </c>
      <c r="W184" s="19" t="s">
        <v>3198</v>
      </c>
      <c r="X184" s="13">
        <v>5</v>
      </c>
      <c r="Y184" s="19" t="s">
        <v>3199</v>
      </c>
      <c r="Z184" s="13"/>
      <c r="AA184" s="15"/>
      <c r="AB184" s="13">
        <v>5</v>
      </c>
      <c r="AC184" s="15" t="s">
        <v>3200</v>
      </c>
      <c r="AD184" s="13">
        <v>5</v>
      </c>
      <c r="AE184" s="15" t="s">
        <v>3200</v>
      </c>
      <c r="AF184" s="13">
        <v>8</v>
      </c>
      <c r="AG184" s="15" t="s">
        <v>3201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3202</v>
      </c>
      <c r="AR184" s="13"/>
      <c r="AS184" s="17">
        <f t="shared" si="18"/>
        <v>63</v>
      </c>
      <c r="AT184" s="11">
        <f t="shared" si="19"/>
        <v>46113</v>
      </c>
      <c r="AU184" s="13" t="str">
        <f t="shared" si="20"/>
        <v>April 2026</v>
      </c>
      <c r="AV184" s="11">
        <f t="shared" si="21"/>
        <v>46118</v>
      </c>
      <c r="AW184" s="11">
        <f t="shared" si="22"/>
        <v>46124</v>
      </c>
      <c r="AX184" s="13" t="str">
        <f t="shared" si="23"/>
        <v>06/04/2026 - 12/04/2026</v>
      </c>
      <c r="AY184" s="13">
        <f>IF(B184="","",COUNTIFS($B$5:B184,B184,$AT$5:AT184,AT184))</f>
        <v>4</v>
      </c>
      <c r="AZ184" s="13">
        <f>IF(B184="","",COUNTIFS($B$5:B184,B184,$AV$5:AV184,AV184))</f>
        <v>2</v>
      </c>
      <c r="BA184" s="13" t="str">
        <f t="shared" si="24"/>
        <v>04|Wachiraporn chailittichai|20260401</v>
      </c>
      <c r="BB184" s="13" t="str">
        <f t="shared" si="25"/>
        <v>02|Wachiraporn chailittichai|20260406</v>
      </c>
      <c r="BC184" s="13">
        <f t="shared" si="26"/>
        <v>0</v>
      </c>
      <c r="BD184" s="50" t="s">
        <v>3203</v>
      </c>
      <c r="BE184" t="s">
        <v>3204</v>
      </c>
      <c r="BF184" t="s">
        <v>2338</v>
      </c>
    </row>
    <row r="185" spans="1:58" ht="15" customHeight="1">
      <c r="A185" s="9">
        <v>46130.475100509255</v>
      </c>
      <c r="B185" s="10" t="s">
        <v>184</v>
      </c>
      <c r="C185" s="11">
        <v>46119</v>
      </c>
      <c r="D185" s="12">
        <v>0.67430555555620231</v>
      </c>
      <c r="E185" s="12">
        <v>0.679861111115315</v>
      </c>
      <c r="F185" s="13" t="s">
        <v>3205</v>
      </c>
      <c r="G185" s="14" t="s">
        <v>3206</v>
      </c>
      <c r="H185" s="13">
        <v>10</v>
      </c>
      <c r="I185" s="19" t="s">
        <v>3207</v>
      </c>
      <c r="J185" s="13">
        <v>10</v>
      </c>
      <c r="K185" s="15" t="s">
        <v>3208</v>
      </c>
      <c r="L185" s="13">
        <v>8</v>
      </c>
      <c r="M185" s="15" t="s">
        <v>3209</v>
      </c>
      <c r="N185" s="13">
        <v>10</v>
      </c>
      <c r="O185" s="19" t="s">
        <v>3210</v>
      </c>
      <c r="P185" s="13">
        <v>9</v>
      </c>
      <c r="Q185" s="20" t="s">
        <v>3211</v>
      </c>
      <c r="R185" s="13">
        <v>5</v>
      </c>
      <c r="S185" s="20" t="s">
        <v>3212</v>
      </c>
      <c r="T185" s="13"/>
      <c r="U185" s="15"/>
      <c r="V185" s="13">
        <v>15</v>
      </c>
      <c r="W185" s="19" t="s">
        <v>3213</v>
      </c>
      <c r="X185" s="13">
        <v>10</v>
      </c>
      <c r="Y185" s="19" t="s">
        <v>3214</v>
      </c>
      <c r="Z185" s="13"/>
      <c r="AA185" s="15"/>
      <c r="AB185" s="13">
        <v>5</v>
      </c>
      <c r="AC185" s="15" t="s">
        <v>3215</v>
      </c>
      <c r="AD185" s="13">
        <v>5</v>
      </c>
      <c r="AE185" s="15" t="s">
        <v>3216</v>
      </c>
      <c r="AF185" s="13">
        <v>10</v>
      </c>
      <c r="AG185" s="15" t="s">
        <v>3217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3218</v>
      </c>
      <c r="AR185" s="13"/>
      <c r="AS185" s="17">
        <f t="shared" si="18"/>
        <v>97</v>
      </c>
      <c r="AT185" s="11">
        <f t="shared" si="19"/>
        <v>46113</v>
      </c>
      <c r="AU185" s="13" t="str">
        <f t="shared" si="20"/>
        <v>April 2026</v>
      </c>
      <c r="AV185" s="11">
        <f t="shared" si="21"/>
        <v>46118</v>
      </c>
      <c r="AW185" s="11">
        <f t="shared" si="22"/>
        <v>46124</v>
      </c>
      <c r="AX185" s="13" t="str">
        <f t="shared" si="23"/>
        <v>06/04/2026 - 12/04/2026</v>
      </c>
      <c r="AY185" s="13">
        <f>IF(B185="","",COUNTIFS($B$5:B185,B185,$AT$5:AT185,AT185))</f>
        <v>5</v>
      </c>
      <c r="AZ185" s="13">
        <f>IF(B185="","",COUNTIFS($B$5:B185,B185,$AV$5:AV185,AV185))</f>
        <v>3</v>
      </c>
      <c r="BA185" s="13" t="str">
        <f t="shared" si="24"/>
        <v>05|Wachiraporn chailittichai|20260401</v>
      </c>
      <c r="BB185" s="13" t="str">
        <f t="shared" si="25"/>
        <v>03|Wachiraporn chailittichai|20260406</v>
      </c>
      <c r="BC185" s="13">
        <f t="shared" si="26"/>
        <v>0</v>
      </c>
      <c r="BD185" s="50" t="s">
        <v>3219</v>
      </c>
      <c r="BE185" t="s">
        <v>3220</v>
      </c>
      <c r="BF185" t="s">
        <v>2338</v>
      </c>
    </row>
    <row r="186" spans="1:58" ht="15" customHeight="1">
      <c r="A186" s="9">
        <v>46130.480695046295</v>
      </c>
      <c r="B186" s="10" t="s">
        <v>184</v>
      </c>
      <c r="C186" s="11">
        <v>46124</v>
      </c>
      <c r="D186" s="12">
        <v>0.39791666666860692</v>
      </c>
      <c r="E186" s="12">
        <v>0.40555555555329192</v>
      </c>
      <c r="F186" s="13" t="s">
        <v>3221</v>
      </c>
      <c r="G186" s="14" t="s">
        <v>3222</v>
      </c>
      <c r="H186" s="13">
        <v>10</v>
      </c>
      <c r="I186" s="19" t="s">
        <v>3223</v>
      </c>
      <c r="J186" s="13">
        <v>10</v>
      </c>
      <c r="K186" s="15" t="s">
        <v>3224</v>
      </c>
      <c r="L186" s="13">
        <v>9</v>
      </c>
      <c r="M186" s="15" t="s">
        <v>3225</v>
      </c>
      <c r="N186" s="13">
        <v>10</v>
      </c>
      <c r="O186" s="19" t="s">
        <v>3226</v>
      </c>
      <c r="P186" s="13">
        <v>9</v>
      </c>
      <c r="Q186" s="20" t="s">
        <v>3227</v>
      </c>
      <c r="R186" s="13">
        <v>5</v>
      </c>
      <c r="S186" s="20" t="s">
        <v>3228</v>
      </c>
      <c r="T186" s="13"/>
      <c r="U186" s="15"/>
      <c r="V186" s="13">
        <v>15</v>
      </c>
      <c r="W186" s="19" t="s">
        <v>3229</v>
      </c>
      <c r="X186" s="13">
        <v>10</v>
      </c>
      <c r="Y186" s="19" t="s">
        <v>3230</v>
      </c>
      <c r="Z186" s="13"/>
      <c r="AA186" s="15"/>
      <c r="AB186" s="13">
        <v>5</v>
      </c>
      <c r="AC186" s="15" t="s">
        <v>3231</v>
      </c>
      <c r="AD186" s="13">
        <v>5</v>
      </c>
      <c r="AE186" s="15" t="s">
        <v>3232</v>
      </c>
      <c r="AF186" s="13">
        <v>10</v>
      </c>
      <c r="AG186" s="15" t="s">
        <v>3233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3234</v>
      </c>
      <c r="AR186" s="13"/>
      <c r="AS186" s="17">
        <f t="shared" si="18"/>
        <v>98</v>
      </c>
      <c r="AT186" s="11">
        <f t="shared" si="19"/>
        <v>46113</v>
      </c>
      <c r="AU186" s="13" t="str">
        <f t="shared" si="20"/>
        <v>April 2026</v>
      </c>
      <c r="AV186" s="11">
        <f t="shared" si="21"/>
        <v>46118</v>
      </c>
      <c r="AW186" s="11">
        <f t="shared" si="22"/>
        <v>46124</v>
      </c>
      <c r="AX186" s="13" t="str">
        <f t="shared" si="23"/>
        <v>06/04/2026 - 12/04/2026</v>
      </c>
      <c r="AY186" s="13">
        <f>IF(B186="","",COUNTIFS($B$5:B186,B186,$AT$5:AT186,AT186))</f>
        <v>6</v>
      </c>
      <c r="AZ186" s="13">
        <f>IF(B186="","",COUNTIFS($B$5:B186,B186,$AV$5:AV186,AV186))</f>
        <v>4</v>
      </c>
      <c r="BA186" s="13" t="str">
        <f t="shared" si="24"/>
        <v>06|Wachiraporn chailittichai|20260401</v>
      </c>
      <c r="BB186" s="13" t="str">
        <f t="shared" si="25"/>
        <v>04|Wachiraporn chailittichai|20260406</v>
      </c>
      <c r="BC186" s="13">
        <f t="shared" si="26"/>
        <v>0</v>
      </c>
      <c r="BD186" s="50" t="s">
        <v>3235</v>
      </c>
      <c r="BE186" t="s">
        <v>3236</v>
      </c>
      <c r="BF186" t="s">
        <v>2338</v>
      </c>
    </row>
    <row r="187" spans="1:58" ht="15" customHeight="1">
      <c r="A187" s="9">
        <v>46130.490170763893</v>
      </c>
      <c r="B187" s="10" t="s">
        <v>503</v>
      </c>
      <c r="C187" s="11">
        <v>46118</v>
      </c>
      <c r="D187" s="12">
        <v>0.50833333333139308</v>
      </c>
      <c r="E187" s="12">
        <v>0.51597222222335404</v>
      </c>
      <c r="F187" s="13" t="s">
        <v>3237</v>
      </c>
      <c r="G187" s="14" t="s">
        <v>2817</v>
      </c>
      <c r="H187" s="13">
        <v>9</v>
      </c>
      <c r="I187" s="19" t="s">
        <v>3238</v>
      </c>
      <c r="J187" s="13">
        <v>10</v>
      </c>
      <c r="K187" s="15" t="s">
        <v>3239</v>
      </c>
      <c r="L187" s="13">
        <v>6</v>
      </c>
      <c r="M187" s="15" t="s">
        <v>3240</v>
      </c>
      <c r="N187" s="13">
        <v>8</v>
      </c>
      <c r="O187" s="19" t="s">
        <v>3241</v>
      </c>
      <c r="P187" s="13">
        <v>5</v>
      </c>
      <c r="Q187" s="20" t="s">
        <v>3242</v>
      </c>
      <c r="R187" s="13">
        <v>3</v>
      </c>
      <c r="S187" s="20" t="s">
        <v>3243</v>
      </c>
      <c r="T187" s="13"/>
      <c r="U187" s="15"/>
      <c r="V187" s="13">
        <v>7</v>
      </c>
      <c r="W187" s="19" t="s">
        <v>3244</v>
      </c>
      <c r="X187" s="13">
        <v>5</v>
      </c>
      <c r="Y187" s="19" t="s">
        <v>3245</v>
      </c>
      <c r="Z187" s="13"/>
      <c r="AA187" s="15"/>
      <c r="AB187" s="13">
        <v>5</v>
      </c>
      <c r="AC187" s="15" t="s">
        <v>3246</v>
      </c>
      <c r="AD187" s="13">
        <v>5</v>
      </c>
      <c r="AE187" s="15" t="s">
        <v>3247</v>
      </c>
      <c r="AF187" s="13">
        <v>8</v>
      </c>
      <c r="AG187" s="15" t="s">
        <v>3248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3249</v>
      </c>
      <c r="AR187" s="13"/>
      <c r="AS187" s="17">
        <f t="shared" si="18"/>
        <v>71</v>
      </c>
      <c r="AT187" s="11">
        <f t="shared" si="19"/>
        <v>46113</v>
      </c>
      <c r="AU187" s="13" t="str">
        <f t="shared" si="20"/>
        <v>April 2026</v>
      </c>
      <c r="AV187" s="11">
        <f t="shared" si="21"/>
        <v>46118</v>
      </c>
      <c r="AW187" s="11">
        <f t="shared" si="22"/>
        <v>46124</v>
      </c>
      <c r="AX187" s="13" t="str">
        <f t="shared" si="23"/>
        <v>06/04/2026 - 12/04/2026</v>
      </c>
      <c r="AY187" s="13">
        <f>IF(B187="","",COUNTIFS($B$5:B187,B187,$AT$5:AT187,AT187))</f>
        <v>3</v>
      </c>
      <c r="AZ187" s="13">
        <f>IF(B187="","",COUNTIFS($B$5:B187,B187,$AV$5:AV187,AV187))</f>
        <v>1</v>
      </c>
      <c r="BA187" s="13" t="str">
        <f t="shared" si="24"/>
        <v>03|Wassana Phothong|20260401</v>
      </c>
      <c r="BB187" s="13" t="str">
        <f t="shared" si="25"/>
        <v>01|Wassana Phothong|20260406</v>
      </c>
      <c r="BC187" s="13">
        <f t="shared" si="26"/>
        <v>0</v>
      </c>
      <c r="BD187" s="50" t="s">
        <v>3250</v>
      </c>
      <c r="BE187" t="s">
        <v>3251</v>
      </c>
      <c r="BF187" t="s">
        <v>2338</v>
      </c>
    </row>
    <row r="188" spans="1:58" ht="15" customHeight="1">
      <c r="A188" s="9">
        <v>46130.503830057874</v>
      </c>
      <c r="B188" s="10" t="s">
        <v>503</v>
      </c>
      <c r="C188" s="11">
        <v>46122</v>
      </c>
      <c r="D188" s="12">
        <v>0.48750000000291038</v>
      </c>
      <c r="E188" s="12">
        <v>0.49513888888759539</v>
      </c>
      <c r="F188" s="13" t="s">
        <v>3252</v>
      </c>
      <c r="G188" s="14" t="s">
        <v>3253</v>
      </c>
      <c r="H188" s="13">
        <v>9</v>
      </c>
      <c r="I188" s="19" t="s">
        <v>3254</v>
      </c>
      <c r="J188" s="13">
        <v>10</v>
      </c>
      <c r="K188" s="15" t="s">
        <v>3255</v>
      </c>
      <c r="L188" s="13">
        <v>5</v>
      </c>
      <c r="M188" s="15" t="s">
        <v>3256</v>
      </c>
      <c r="N188" s="13">
        <v>4</v>
      </c>
      <c r="O188" s="19" t="s">
        <v>3257</v>
      </c>
      <c r="P188" s="13">
        <v>3</v>
      </c>
      <c r="Q188" s="20" t="s">
        <v>3258</v>
      </c>
      <c r="R188" s="13">
        <v>1</v>
      </c>
      <c r="S188" s="20" t="s">
        <v>3259</v>
      </c>
      <c r="T188" s="13"/>
      <c r="U188" s="15"/>
      <c r="V188" s="13">
        <v>4</v>
      </c>
      <c r="W188" s="19" t="s">
        <v>3260</v>
      </c>
      <c r="X188" s="13">
        <v>3</v>
      </c>
      <c r="Y188" s="19" t="s">
        <v>3261</v>
      </c>
      <c r="Z188" s="13"/>
      <c r="AA188" s="15"/>
      <c r="AB188" s="13">
        <v>5</v>
      </c>
      <c r="AC188" s="15" t="s">
        <v>3246</v>
      </c>
      <c r="AD188" s="13">
        <v>5</v>
      </c>
      <c r="AE188" s="15" t="s">
        <v>3262</v>
      </c>
      <c r="AF188" s="13">
        <v>8</v>
      </c>
      <c r="AG188" s="15" t="s">
        <v>3263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3264</v>
      </c>
      <c r="AR188" s="13"/>
      <c r="AS188" s="17">
        <f t="shared" si="18"/>
        <v>57</v>
      </c>
      <c r="AT188" s="11">
        <f t="shared" si="19"/>
        <v>46113</v>
      </c>
      <c r="AU188" s="13" t="str">
        <f t="shared" si="20"/>
        <v>April 2026</v>
      </c>
      <c r="AV188" s="11">
        <f t="shared" si="21"/>
        <v>46118</v>
      </c>
      <c r="AW188" s="11">
        <f t="shared" si="22"/>
        <v>46124</v>
      </c>
      <c r="AX188" s="13" t="str">
        <f t="shared" si="23"/>
        <v>06/04/2026 - 12/04/2026</v>
      </c>
      <c r="AY188" s="13">
        <f>IF(B188="","",COUNTIFS($B$5:B188,B188,$AT$5:AT188,AT188))</f>
        <v>4</v>
      </c>
      <c r="AZ188" s="13">
        <f>IF(B188="","",COUNTIFS($B$5:B188,B188,$AV$5:AV188,AV188))</f>
        <v>2</v>
      </c>
      <c r="BA188" s="13" t="str">
        <f t="shared" si="24"/>
        <v>04|Wassana Phothong|20260401</v>
      </c>
      <c r="BB188" s="13" t="str">
        <f t="shared" si="25"/>
        <v>02|Wassana Phothong|20260406</v>
      </c>
      <c r="BC188" s="13">
        <f t="shared" si="26"/>
        <v>0</v>
      </c>
      <c r="BD188" s="50" t="s">
        <v>3265</v>
      </c>
      <c r="BE188" t="s">
        <v>3266</v>
      </c>
      <c r="BF188" t="s">
        <v>2338</v>
      </c>
    </row>
    <row r="189" spans="1:58" ht="15" customHeight="1">
      <c r="A189" s="9">
        <v>46130.509882152779</v>
      </c>
      <c r="B189" s="10" t="s">
        <v>503</v>
      </c>
      <c r="C189" s="11">
        <v>46123</v>
      </c>
      <c r="D189" s="12">
        <v>0.71388888888759539</v>
      </c>
      <c r="E189" s="12">
        <v>0.71944444444670808</v>
      </c>
      <c r="F189" s="13" t="s">
        <v>3267</v>
      </c>
      <c r="G189" s="14" t="s">
        <v>3268</v>
      </c>
      <c r="H189" s="13">
        <v>9</v>
      </c>
      <c r="I189" s="19" t="s">
        <v>3269</v>
      </c>
      <c r="J189" s="13">
        <v>10</v>
      </c>
      <c r="K189" s="15" t="s">
        <v>3270</v>
      </c>
      <c r="L189" s="13">
        <v>8</v>
      </c>
      <c r="M189" s="15" t="s">
        <v>3271</v>
      </c>
      <c r="N189" s="13">
        <v>10</v>
      </c>
      <c r="O189" s="19" t="s">
        <v>3272</v>
      </c>
      <c r="P189" s="13">
        <v>8</v>
      </c>
      <c r="Q189" s="20" t="s">
        <v>3273</v>
      </c>
      <c r="R189" s="13">
        <v>5</v>
      </c>
      <c r="S189" s="20" t="s">
        <v>3274</v>
      </c>
      <c r="T189" s="13"/>
      <c r="U189" s="15"/>
      <c r="V189" s="13">
        <v>9</v>
      </c>
      <c r="W189" s="19" t="s">
        <v>3275</v>
      </c>
      <c r="X189" s="13">
        <v>7</v>
      </c>
      <c r="Y189" s="19" t="s">
        <v>3276</v>
      </c>
      <c r="Z189" s="13"/>
      <c r="AA189" s="15"/>
      <c r="AB189" s="13">
        <v>5</v>
      </c>
      <c r="AC189" s="15" t="s">
        <v>3277</v>
      </c>
      <c r="AD189" s="13">
        <v>5</v>
      </c>
      <c r="AE189" s="15" t="s">
        <v>3278</v>
      </c>
      <c r="AF189" s="13">
        <v>9</v>
      </c>
      <c r="AG189" s="15" t="s">
        <v>3279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3280</v>
      </c>
      <c r="AR189" s="13"/>
      <c r="AS189" s="17">
        <f t="shared" si="18"/>
        <v>85</v>
      </c>
      <c r="AT189" s="11">
        <f t="shared" si="19"/>
        <v>46113</v>
      </c>
      <c r="AU189" s="13" t="str">
        <f t="shared" si="20"/>
        <v>April 2026</v>
      </c>
      <c r="AV189" s="11">
        <f t="shared" si="21"/>
        <v>46118</v>
      </c>
      <c r="AW189" s="11">
        <f t="shared" si="22"/>
        <v>46124</v>
      </c>
      <c r="AX189" s="13" t="str">
        <f t="shared" si="23"/>
        <v>06/04/2026 - 12/04/2026</v>
      </c>
      <c r="AY189" s="13">
        <f>IF(B189="","",COUNTIFS($B$5:B189,B189,$AT$5:AT189,AT189))</f>
        <v>5</v>
      </c>
      <c r="AZ189" s="13">
        <f>IF(B189="","",COUNTIFS($B$5:B189,B189,$AV$5:AV189,AV189))</f>
        <v>3</v>
      </c>
      <c r="BA189" s="13" t="str">
        <f t="shared" si="24"/>
        <v>05|Wassana Phothong|20260401</v>
      </c>
      <c r="BB189" s="13" t="str">
        <f t="shared" si="25"/>
        <v>03|Wassana Phothong|20260406</v>
      </c>
      <c r="BC189" s="13">
        <f t="shared" si="26"/>
        <v>0</v>
      </c>
      <c r="BD189" s="50" t="s">
        <v>3281</v>
      </c>
      <c r="BE189" t="s">
        <v>3282</v>
      </c>
      <c r="BF189" t="s">
        <v>2338</v>
      </c>
    </row>
    <row r="190" spans="1:58" ht="15" customHeight="1">
      <c r="A190" s="9">
        <v>46130.674971180561</v>
      </c>
      <c r="B190" s="10" t="s">
        <v>2321</v>
      </c>
      <c r="C190" s="11">
        <v>46127</v>
      </c>
      <c r="D190" s="12">
        <v>0.87222222222044365</v>
      </c>
      <c r="E190" s="12">
        <v>0.87291666666715173</v>
      </c>
      <c r="F190" s="64" t="s">
        <v>3283</v>
      </c>
      <c r="G190" s="14" t="s">
        <v>3284</v>
      </c>
      <c r="H190" s="13">
        <v>0</v>
      </c>
      <c r="I190" s="19" t="s">
        <v>3285</v>
      </c>
      <c r="J190" s="13">
        <v>9</v>
      </c>
      <c r="K190" s="19" t="s">
        <v>3286</v>
      </c>
      <c r="L190" s="13">
        <v>5</v>
      </c>
      <c r="M190" s="19" t="s">
        <v>3287</v>
      </c>
      <c r="N190" s="13">
        <v>5</v>
      </c>
      <c r="O190" s="19" t="s">
        <v>3288</v>
      </c>
      <c r="P190" s="13">
        <v>4</v>
      </c>
      <c r="Q190" s="20" t="s">
        <v>3289</v>
      </c>
      <c r="R190" s="13">
        <v>3</v>
      </c>
      <c r="S190" s="20" t="s">
        <v>3290</v>
      </c>
      <c r="T190" s="13"/>
      <c r="U190" s="15"/>
      <c r="V190" s="13">
        <v>4</v>
      </c>
      <c r="W190" s="19" t="s">
        <v>3291</v>
      </c>
      <c r="X190" s="13">
        <v>3</v>
      </c>
      <c r="Y190" s="19" t="s">
        <v>3292</v>
      </c>
      <c r="Z190" s="13"/>
      <c r="AA190" s="15"/>
      <c r="AB190" s="13">
        <v>5</v>
      </c>
      <c r="AC190" s="19" t="s">
        <v>3293</v>
      </c>
      <c r="AD190" s="13">
        <v>5</v>
      </c>
      <c r="AE190" s="19" t="s">
        <v>3294</v>
      </c>
      <c r="AF190" s="13">
        <v>6</v>
      </c>
      <c r="AG190" s="19" t="s">
        <v>3295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3296</v>
      </c>
      <c r="AR190" s="13"/>
      <c r="AS190" s="17">
        <f t="shared" si="18"/>
        <v>49</v>
      </c>
      <c r="AT190" s="11">
        <f t="shared" si="19"/>
        <v>46113</v>
      </c>
      <c r="AU190" s="13" t="str">
        <f t="shared" si="20"/>
        <v>April 2026</v>
      </c>
      <c r="AV190" s="11">
        <f t="shared" si="21"/>
        <v>46125</v>
      </c>
      <c r="AW190" s="11">
        <f t="shared" si="22"/>
        <v>46131</v>
      </c>
      <c r="AX190" s="13" t="str">
        <f t="shared" si="23"/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 t="shared" si="24"/>
        <v>06|Anucha Makundin|20260401</v>
      </c>
      <c r="BB190" s="13" t="str">
        <f t="shared" si="25"/>
        <v>01|Anucha Makundin|20260413</v>
      </c>
      <c r="BC190" s="13">
        <f t="shared" si="26"/>
        <v>0</v>
      </c>
      <c r="BD190" s="50" t="s">
        <v>3297</v>
      </c>
      <c r="BE190" t="s">
        <v>3298</v>
      </c>
      <c r="BF190" t="s">
        <v>2338</v>
      </c>
    </row>
    <row r="191" spans="1:58" ht="15" customHeight="1">
      <c r="A191" s="9">
        <v>46130.748276377315</v>
      </c>
      <c r="B191" s="10" t="s">
        <v>2321</v>
      </c>
      <c r="C191" s="11">
        <v>46130</v>
      </c>
      <c r="D191" s="12">
        <v>0.62708333333284827</v>
      </c>
      <c r="E191" s="12">
        <v>0.63055555555911269</v>
      </c>
      <c r="F191" s="13" t="s">
        <v>3299</v>
      </c>
      <c r="G191" s="14" t="s">
        <v>3300</v>
      </c>
      <c r="H191" s="13">
        <v>5</v>
      </c>
      <c r="I191" s="19" t="s">
        <v>3301</v>
      </c>
      <c r="J191" s="13">
        <v>10</v>
      </c>
      <c r="K191" s="19" t="s">
        <v>2325</v>
      </c>
      <c r="L191" s="13">
        <v>8</v>
      </c>
      <c r="M191" s="19" t="s">
        <v>3302</v>
      </c>
      <c r="N191" s="13">
        <v>6</v>
      </c>
      <c r="O191" s="19" t="s">
        <v>3303</v>
      </c>
      <c r="P191" s="13">
        <v>5</v>
      </c>
      <c r="Q191" s="20" t="s">
        <v>3304</v>
      </c>
      <c r="R191" s="13">
        <v>3</v>
      </c>
      <c r="S191" s="20" t="s">
        <v>3305</v>
      </c>
      <c r="T191" s="13"/>
      <c r="U191" s="15"/>
      <c r="V191" s="13">
        <v>6</v>
      </c>
      <c r="W191" s="19" t="s">
        <v>3306</v>
      </c>
      <c r="X191" s="13">
        <v>6</v>
      </c>
      <c r="Y191" s="19" t="s">
        <v>3307</v>
      </c>
      <c r="Z191" s="13"/>
      <c r="AA191" s="15"/>
      <c r="AB191" s="13">
        <v>5</v>
      </c>
      <c r="AC191" s="19" t="s">
        <v>3308</v>
      </c>
      <c r="AD191" s="13">
        <v>5</v>
      </c>
      <c r="AE191" s="19" t="s">
        <v>3309</v>
      </c>
      <c r="AF191" s="13">
        <v>8</v>
      </c>
      <c r="AG191" s="19" t="s">
        <v>3310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3311</v>
      </c>
      <c r="AR191" s="13"/>
      <c r="AS191" s="17">
        <f t="shared" si="18"/>
        <v>67</v>
      </c>
      <c r="AT191" s="11">
        <f t="shared" si="19"/>
        <v>46113</v>
      </c>
      <c r="AU191" s="13" t="str">
        <f t="shared" si="20"/>
        <v>April 2026</v>
      </c>
      <c r="AV191" s="11">
        <f t="shared" si="21"/>
        <v>46125</v>
      </c>
      <c r="AW191" s="11">
        <f t="shared" si="22"/>
        <v>46131</v>
      </c>
      <c r="AX191" s="13" t="str">
        <f t="shared" si="23"/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2</v>
      </c>
      <c r="BA191" s="13" t="str">
        <f t="shared" si="24"/>
        <v>07|Anucha Makundin|20260401</v>
      </c>
      <c r="BB191" s="13" t="str">
        <f t="shared" si="25"/>
        <v>02|Anucha Makundin|20260413</v>
      </c>
      <c r="BC191" s="13">
        <f t="shared" si="26"/>
        <v>0</v>
      </c>
      <c r="BD191" s="50" t="s">
        <v>3312</v>
      </c>
      <c r="BE191" t="s">
        <v>3313</v>
      </c>
      <c r="BF191" t="s">
        <v>2338</v>
      </c>
    </row>
    <row r="192" spans="1:58" ht="15" customHeight="1">
      <c r="A192" s="9">
        <v>46130.755074270834</v>
      </c>
      <c r="B192" s="10" t="s">
        <v>59</v>
      </c>
      <c r="C192" s="11">
        <v>46128</v>
      </c>
      <c r="D192" s="12">
        <v>0.40000000000145519</v>
      </c>
      <c r="E192" s="12">
        <v>0.40347222222044365</v>
      </c>
      <c r="F192" s="13" t="s">
        <v>3314</v>
      </c>
      <c r="G192" s="14" t="s">
        <v>3315</v>
      </c>
      <c r="H192" s="13">
        <v>10</v>
      </c>
      <c r="I192" s="19" t="s">
        <v>3316</v>
      </c>
      <c r="J192" s="13">
        <v>10</v>
      </c>
      <c r="K192" s="15" t="s">
        <v>3317</v>
      </c>
      <c r="L192" s="13">
        <v>9</v>
      </c>
      <c r="M192" s="15" t="s">
        <v>3318</v>
      </c>
      <c r="N192" s="13">
        <v>9</v>
      </c>
      <c r="O192" s="19" t="s">
        <v>3319</v>
      </c>
      <c r="P192" s="13">
        <v>8</v>
      </c>
      <c r="Q192" s="20" t="s">
        <v>3320</v>
      </c>
      <c r="R192" s="13">
        <v>5</v>
      </c>
      <c r="S192" s="20" t="s">
        <v>3321</v>
      </c>
      <c r="T192" s="13"/>
      <c r="U192" s="15"/>
      <c r="V192" s="13">
        <v>13</v>
      </c>
      <c r="W192" s="19" t="s">
        <v>3322</v>
      </c>
      <c r="X192" s="13">
        <v>8</v>
      </c>
      <c r="Y192" s="19" t="s">
        <v>3323</v>
      </c>
      <c r="Z192" s="13"/>
      <c r="AA192" s="15"/>
      <c r="AB192" s="13">
        <v>5</v>
      </c>
      <c r="AC192" s="15" t="s">
        <v>3324</v>
      </c>
      <c r="AD192" s="13">
        <v>5</v>
      </c>
      <c r="AE192" s="15" t="s">
        <v>3325</v>
      </c>
      <c r="AF192" s="13">
        <v>9</v>
      </c>
      <c r="AG192" s="15" t="s">
        <v>3326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3327</v>
      </c>
      <c r="AR192" s="13"/>
      <c r="AS192" s="17">
        <f t="shared" si="18"/>
        <v>91</v>
      </c>
      <c r="AT192" s="11">
        <f t="shared" si="19"/>
        <v>46113</v>
      </c>
      <c r="AU192" s="13" t="str">
        <f t="shared" si="20"/>
        <v>April 2026</v>
      </c>
      <c r="AV192" s="11">
        <f t="shared" si="21"/>
        <v>46125</v>
      </c>
      <c r="AW192" s="11">
        <f t="shared" si="22"/>
        <v>46131</v>
      </c>
      <c r="AX192" s="13" t="str">
        <f t="shared" si="23"/>
        <v>13/04/2026 - 19/04/2026</v>
      </c>
      <c r="AY192" s="13">
        <f>IF(B192="","",COUNTIFS($B$5:B192,B192,$AT$5:AT192,AT192))</f>
        <v>6</v>
      </c>
      <c r="AZ192" s="13">
        <f>IF(B192="","",COUNTIFS($B$5:B192,B192,$AV$5:AV192,AV192))</f>
        <v>1</v>
      </c>
      <c r="BA192" s="13" t="str">
        <f t="shared" si="24"/>
        <v>06|Chatkonnaphat Bhusomya|20260401</v>
      </c>
      <c r="BB192" s="13" t="str">
        <f t="shared" si="25"/>
        <v>01|Chatkonnaphat Bhusomya|20260413</v>
      </c>
      <c r="BC192" s="13">
        <f t="shared" si="26"/>
        <v>0</v>
      </c>
      <c r="BD192" s="50" t="s">
        <v>3328</v>
      </c>
      <c r="BE192" t="s">
        <v>3329</v>
      </c>
      <c r="BF192" t="s">
        <v>2338</v>
      </c>
    </row>
    <row r="193" spans="1:58" ht="15" customHeight="1">
      <c r="A193" s="9">
        <v>46130.76116923611</v>
      </c>
      <c r="B193" s="10" t="s">
        <v>59</v>
      </c>
      <c r="C193" s="11">
        <v>46128</v>
      </c>
      <c r="D193" s="12">
        <v>0.61527777777519077</v>
      </c>
      <c r="E193" s="12">
        <v>0.62361111110658385</v>
      </c>
      <c r="F193" s="13" t="s">
        <v>3330</v>
      </c>
      <c r="G193" s="14" t="s">
        <v>3331</v>
      </c>
      <c r="H193" s="13">
        <v>10</v>
      </c>
      <c r="I193" s="19" t="s">
        <v>3332</v>
      </c>
      <c r="J193" s="13">
        <v>5</v>
      </c>
      <c r="K193" s="15" t="s">
        <v>3333</v>
      </c>
      <c r="L193" s="13">
        <v>7</v>
      </c>
      <c r="M193" s="15" t="s">
        <v>3334</v>
      </c>
      <c r="N193" s="13">
        <v>6</v>
      </c>
      <c r="O193" s="19" t="s">
        <v>3335</v>
      </c>
      <c r="P193" s="13">
        <v>5</v>
      </c>
      <c r="Q193" s="20" t="s">
        <v>3336</v>
      </c>
      <c r="R193" s="13">
        <v>3</v>
      </c>
      <c r="S193" s="20" t="s">
        <v>3337</v>
      </c>
      <c r="T193" s="13"/>
      <c r="U193" s="15"/>
      <c r="V193" s="13">
        <v>7</v>
      </c>
      <c r="W193" s="19" t="s">
        <v>3338</v>
      </c>
      <c r="X193" s="13">
        <v>6</v>
      </c>
      <c r="Y193" s="19" t="s">
        <v>3339</v>
      </c>
      <c r="Z193" s="13"/>
      <c r="AA193" s="15"/>
      <c r="AB193" s="13">
        <v>4</v>
      </c>
      <c r="AC193" s="15" t="s">
        <v>3340</v>
      </c>
      <c r="AD193" s="13">
        <v>5</v>
      </c>
      <c r="AE193" s="15" t="s">
        <v>3341</v>
      </c>
      <c r="AF193" s="13">
        <v>8</v>
      </c>
      <c r="AG193" s="15" t="s">
        <v>3342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3343</v>
      </c>
      <c r="AR193" s="13"/>
      <c r="AS193" s="17">
        <f t="shared" si="18"/>
        <v>66</v>
      </c>
      <c r="AT193" s="11">
        <f t="shared" si="19"/>
        <v>46113</v>
      </c>
      <c r="AU193" s="13" t="str">
        <f t="shared" si="20"/>
        <v>April 2026</v>
      </c>
      <c r="AV193" s="11">
        <f t="shared" si="21"/>
        <v>46125</v>
      </c>
      <c r="AW193" s="11">
        <f t="shared" si="22"/>
        <v>46131</v>
      </c>
      <c r="AX193" s="13" t="str">
        <f t="shared" si="23"/>
        <v>13/04/2026 - 19/04/2026</v>
      </c>
      <c r="AY193" s="13">
        <f>IF(B193="","",COUNTIFS($B$5:B193,B193,$AT$5:AT193,AT193))</f>
        <v>7</v>
      </c>
      <c r="AZ193" s="13">
        <f>IF(B193="","",COUNTIFS($B$5:B193,B193,$AV$5:AV193,AV193))</f>
        <v>2</v>
      </c>
      <c r="BA193" s="13" t="str">
        <f t="shared" si="24"/>
        <v>07|Chatkonnaphat Bhusomya|20260401</v>
      </c>
      <c r="BB193" s="13" t="str">
        <f t="shared" si="25"/>
        <v>02|Chatkonnaphat Bhusomya|20260413</v>
      </c>
      <c r="BC193" s="13">
        <f t="shared" si="26"/>
        <v>0</v>
      </c>
      <c r="BD193" s="50" t="s">
        <v>3344</v>
      </c>
      <c r="BE193" t="s">
        <v>3345</v>
      </c>
      <c r="BF193" t="s">
        <v>2338</v>
      </c>
    </row>
    <row r="194" spans="1:58" ht="15" customHeight="1">
      <c r="A194" s="9">
        <v>46130.766450844909</v>
      </c>
      <c r="B194" s="10" t="s">
        <v>123</v>
      </c>
      <c r="C194" s="11">
        <v>46130</v>
      </c>
      <c r="D194" s="12">
        <v>0.375</v>
      </c>
      <c r="E194" s="12">
        <v>0.37777777777955635</v>
      </c>
      <c r="F194" s="13" t="s">
        <v>3346</v>
      </c>
      <c r="G194" s="14" t="s">
        <v>3347</v>
      </c>
      <c r="H194" s="13">
        <v>10</v>
      </c>
      <c r="I194" s="19" t="s">
        <v>3348</v>
      </c>
      <c r="J194" s="13">
        <v>10</v>
      </c>
      <c r="K194" s="15" t="s">
        <v>3349</v>
      </c>
      <c r="L194" s="13">
        <v>10</v>
      </c>
      <c r="M194" s="15" t="s">
        <v>3350</v>
      </c>
      <c r="N194" s="13">
        <v>8</v>
      </c>
      <c r="O194" s="19" t="s">
        <v>3351</v>
      </c>
      <c r="P194" s="13">
        <v>7</v>
      </c>
      <c r="Q194" s="20" t="s">
        <v>3352</v>
      </c>
      <c r="R194" s="13">
        <v>4</v>
      </c>
      <c r="S194" s="20" t="s">
        <v>3353</v>
      </c>
      <c r="T194" s="13"/>
      <c r="U194" s="15"/>
      <c r="V194" s="13">
        <v>10</v>
      </c>
      <c r="W194" s="19" t="s">
        <v>3354</v>
      </c>
      <c r="X194" s="13">
        <v>8</v>
      </c>
      <c r="Y194" s="19" t="s">
        <v>3355</v>
      </c>
      <c r="Z194" s="13"/>
      <c r="AA194" s="15"/>
      <c r="AB194" s="13">
        <v>5</v>
      </c>
      <c r="AC194" s="15" t="s">
        <v>3356</v>
      </c>
      <c r="AD194" s="13">
        <v>5</v>
      </c>
      <c r="AE194" s="15" t="s">
        <v>3357</v>
      </c>
      <c r="AF194" s="13">
        <v>9</v>
      </c>
      <c r="AG194" s="15" t="s">
        <v>3358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3359</v>
      </c>
      <c r="AR194" s="13"/>
      <c r="AS194" s="17">
        <f t="shared" si="18"/>
        <v>86</v>
      </c>
      <c r="AT194" s="11">
        <f t="shared" si="19"/>
        <v>46113</v>
      </c>
      <c r="AU194" s="13" t="str">
        <f t="shared" si="20"/>
        <v>April 2026</v>
      </c>
      <c r="AV194" s="11">
        <f t="shared" si="21"/>
        <v>46125</v>
      </c>
      <c r="AW194" s="11">
        <f t="shared" si="22"/>
        <v>46131</v>
      </c>
      <c r="AX194" s="13" t="str">
        <f t="shared" si="23"/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 t="shared" si="24"/>
        <v>06|Jariyawadee Taboodda|20260401</v>
      </c>
      <c r="BB194" s="13" t="str">
        <f t="shared" si="25"/>
        <v>01|Jariyawadee Taboodda|20260413</v>
      </c>
      <c r="BC194" s="13">
        <f t="shared" si="26"/>
        <v>0</v>
      </c>
      <c r="BD194" s="50" t="s">
        <v>3360</v>
      </c>
      <c r="BE194" t="s">
        <v>3361</v>
      </c>
      <c r="BF194" t="s">
        <v>2338</v>
      </c>
    </row>
    <row r="195" spans="1:58" ht="15" customHeight="1">
      <c r="A195" s="9">
        <v>46130.779443541665</v>
      </c>
      <c r="B195" s="10" t="s">
        <v>123</v>
      </c>
      <c r="C195" s="11">
        <v>46130</v>
      </c>
      <c r="D195" s="12">
        <v>0.30972222222044365</v>
      </c>
      <c r="E195" s="12">
        <v>0.31736111111240461</v>
      </c>
      <c r="F195" s="13" t="s">
        <v>3362</v>
      </c>
      <c r="G195" s="14" t="s">
        <v>3363</v>
      </c>
      <c r="H195" s="13">
        <v>10</v>
      </c>
      <c r="I195" s="19" t="s">
        <v>3348</v>
      </c>
      <c r="J195" s="13">
        <v>10</v>
      </c>
      <c r="K195" s="15" t="s">
        <v>3364</v>
      </c>
      <c r="L195" s="13">
        <v>9</v>
      </c>
      <c r="M195" s="15" t="s">
        <v>3365</v>
      </c>
      <c r="N195" s="13">
        <v>7</v>
      </c>
      <c r="O195" s="19" t="s">
        <v>3366</v>
      </c>
      <c r="P195" s="13">
        <v>5</v>
      </c>
      <c r="Q195" s="20" t="s">
        <v>3367</v>
      </c>
      <c r="R195" s="13">
        <v>3</v>
      </c>
      <c r="S195" s="20" t="s">
        <v>3368</v>
      </c>
      <c r="T195" s="13"/>
      <c r="U195" s="15"/>
      <c r="V195" s="13">
        <v>7</v>
      </c>
      <c r="W195" s="19" t="s">
        <v>3369</v>
      </c>
      <c r="X195" s="13">
        <v>5</v>
      </c>
      <c r="Y195" s="19" t="s">
        <v>3370</v>
      </c>
      <c r="Z195" s="13"/>
      <c r="AA195" s="15"/>
      <c r="AB195" s="13">
        <v>4</v>
      </c>
      <c r="AC195" s="15" t="s">
        <v>3371</v>
      </c>
      <c r="AD195" s="13">
        <v>4</v>
      </c>
      <c r="AE195" s="15" t="s">
        <v>3372</v>
      </c>
      <c r="AF195" s="13">
        <v>8</v>
      </c>
      <c r="AG195" s="15" t="s">
        <v>3373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405</v>
      </c>
      <c r="AR195" s="13"/>
      <c r="AS195" s="17">
        <f t="shared" si="18"/>
        <v>72</v>
      </c>
      <c r="AT195" s="11">
        <f t="shared" si="19"/>
        <v>46113</v>
      </c>
      <c r="AU195" s="13" t="str">
        <f t="shared" si="20"/>
        <v>April 2026</v>
      </c>
      <c r="AV195" s="11">
        <f t="shared" si="21"/>
        <v>46125</v>
      </c>
      <c r="AW195" s="11">
        <f t="shared" si="22"/>
        <v>46131</v>
      </c>
      <c r="AX195" s="13" t="str">
        <f t="shared" si="23"/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 t="shared" si="24"/>
        <v>07|Jariyawadee Taboodda|20260401</v>
      </c>
      <c r="BB195" s="13" t="str">
        <f t="shared" si="25"/>
        <v>02|Jariyawadee Taboodda|20260413</v>
      </c>
      <c r="BC195" s="13">
        <f t="shared" si="26"/>
        <v>0</v>
      </c>
      <c r="BD195" s="50" t="s">
        <v>3374</v>
      </c>
      <c r="BE195" t="s">
        <v>3375</v>
      </c>
      <c r="BF195" t="s">
        <v>2338</v>
      </c>
    </row>
    <row r="196" spans="1:58" ht="15" customHeight="1">
      <c r="A196" s="9">
        <v>46130.787084861113</v>
      </c>
      <c r="B196" s="10" t="s">
        <v>81</v>
      </c>
      <c r="C196" s="11">
        <v>46125</v>
      </c>
      <c r="D196" s="12">
        <v>0.56111111110658385</v>
      </c>
      <c r="E196" s="12">
        <v>0.56805555555911269</v>
      </c>
      <c r="F196" s="13" t="s">
        <v>3376</v>
      </c>
      <c r="G196" s="14" t="s">
        <v>3377</v>
      </c>
      <c r="H196" s="13">
        <v>10</v>
      </c>
      <c r="I196" s="19" t="s">
        <v>3348</v>
      </c>
      <c r="J196" s="13">
        <v>10</v>
      </c>
      <c r="K196" s="15" t="s">
        <v>3378</v>
      </c>
      <c r="L196" s="13">
        <v>8</v>
      </c>
      <c r="M196" s="15" t="s">
        <v>3379</v>
      </c>
      <c r="N196" s="13">
        <v>10</v>
      </c>
      <c r="O196" s="19" t="s">
        <v>3380</v>
      </c>
      <c r="P196" s="13">
        <v>9</v>
      </c>
      <c r="Q196" s="20" t="s">
        <v>3381</v>
      </c>
      <c r="R196" s="13">
        <v>4</v>
      </c>
      <c r="S196" s="20" t="s">
        <v>3382</v>
      </c>
      <c r="T196" s="13"/>
      <c r="U196" s="15"/>
      <c r="V196" s="13">
        <v>14</v>
      </c>
      <c r="W196" s="19" t="s">
        <v>3383</v>
      </c>
      <c r="X196" s="13">
        <v>8</v>
      </c>
      <c r="Y196" s="19" t="s">
        <v>3384</v>
      </c>
      <c r="Z196" s="13"/>
      <c r="AA196" s="15"/>
      <c r="AB196" s="13">
        <v>5</v>
      </c>
      <c r="AC196" s="15" t="s">
        <v>3385</v>
      </c>
      <c r="AD196" s="13">
        <v>5</v>
      </c>
      <c r="AE196" s="15" t="s">
        <v>3386</v>
      </c>
      <c r="AF196" s="13">
        <v>9</v>
      </c>
      <c r="AG196" s="15" t="s">
        <v>3387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3388</v>
      </c>
      <c r="AR196" s="13"/>
      <c r="AS196" s="17">
        <f t="shared" si="18"/>
        <v>92</v>
      </c>
      <c r="AT196" s="11">
        <f t="shared" si="19"/>
        <v>46113</v>
      </c>
      <c r="AU196" s="13" t="str">
        <f t="shared" si="20"/>
        <v>April 2026</v>
      </c>
      <c r="AV196" s="11">
        <f t="shared" si="21"/>
        <v>46125</v>
      </c>
      <c r="AW196" s="11">
        <f t="shared" si="22"/>
        <v>46131</v>
      </c>
      <c r="AX196" s="13" t="str">
        <f t="shared" si="23"/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 t="shared" si="24"/>
        <v>06|Jureeporn Piddum|20260401</v>
      </c>
      <c r="BB196" s="13" t="str">
        <f t="shared" si="25"/>
        <v>01|Jureeporn Piddum|20260413</v>
      </c>
      <c r="BC196" s="13">
        <f t="shared" si="26"/>
        <v>0</v>
      </c>
      <c r="BD196" s="50" t="s">
        <v>3389</v>
      </c>
      <c r="BE196" t="s">
        <v>3390</v>
      </c>
      <c r="BF196" t="s">
        <v>2338</v>
      </c>
    </row>
    <row r="197" spans="1:58" ht="15" customHeight="1">
      <c r="A197" s="9">
        <v>46130.806610439817</v>
      </c>
      <c r="B197" s="10" t="s">
        <v>81</v>
      </c>
      <c r="C197" s="11">
        <v>46127</v>
      </c>
      <c r="D197" s="12">
        <v>0.52569444444088731</v>
      </c>
      <c r="E197" s="12">
        <v>0.54027777777810115</v>
      </c>
      <c r="F197" s="13" t="s">
        <v>3391</v>
      </c>
      <c r="G197" s="14" t="s">
        <v>3392</v>
      </c>
      <c r="H197" s="13">
        <v>10</v>
      </c>
      <c r="I197" s="19" t="s">
        <v>3348</v>
      </c>
      <c r="J197" s="13">
        <v>10</v>
      </c>
      <c r="K197" s="15" t="s">
        <v>3393</v>
      </c>
      <c r="L197" s="13">
        <v>9</v>
      </c>
      <c r="M197" s="15" t="s">
        <v>3394</v>
      </c>
      <c r="N197" s="13">
        <v>7</v>
      </c>
      <c r="O197" s="19" t="s">
        <v>3395</v>
      </c>
      <c r="P197" s="13">
        <v>6</v>
      </c>
      <c r="Q197" s="20" t="s">
        <v>3396</v>
      </c>
      <c r="R197" s="13">
        <v>4</v>
      </c>
      <c r="S197" s="20" t="s">
        <v>3397</v>
      </c>
      <c r="T197" s="13"/>
      <c r="U197" s="15"/>
      <c r="V197" s="13">
        <v>9</v>
      </c>
      <c r="W197" s="19" t="s">
        <v>3398</v>
      </c>
      <c r="X197" s="13">
        <v>6</v>
      </c>
      <c r="Y197" s="19" t="s">
        <v>3399</v>
      </c>
      <c r="Z197" s="13"/>
      <c r="AA197" s="15"/>
      <c r="AB197" s="13">
        <v>4</v>
      </c>
      <c r="AC197" s="15" t="s">
        <v>3400</v>
      </c>
      <c r="AD197" s="13">
        <v>4</v>
      </c>
      <c r="AE197" s="15" t="s">
        <v>3401</v>
      </c>
      <c r="AF197" s="13">
        <v>9</v>
      </c>
      <c r="AG197" s="15" t="s">
        <v>3402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3403</v>
      </c>
      <c r="AR197" s="13"/>
      <c r="AS197" s="17">
        <f t="shared" ref="AS197:AS260" si="27">SUM(H197,J197,L197,N197,P197,R197,T197,V197,X197,Z197,AB197,AD197,AF197,AH197,AJ197,AL197,AN197)</f>
        <v>78</v>
      </c>
      <c r="AT197" s="11">
        <f t="shared" ref="AT197:AT260" si="28">IF(C197="","",DATE(YEAR(C197),MONTH(C197),1))</f>
        <v>46113</v>
      </c>
      <c r="AU197" s="13" t="str">
        <f t="shared" ref="AU197:AU260" si="29">IF(AT197="","",TEXT(AT197,"mmmm yyyy"))</f>
        <v>April 2026</v>
      </c>
      <c r="AV197" s="11">
        <f t="shared" ref="AV197:AV260" si="30">IF(C197="","",C197-WEEKDAY(C197,2)+1)</f>
        <v>46125</v>
      </c>
      <c r="AW197" s="11">
        <f t="shared" ref="AW197:AW260" si="31">IF(AV197="","",AV197+6)</f>
        <v>46131</v>
      </c>
      <c r="AX197" s="13" t="str">
        <f t="shared" ref="AX197:AX260" si="32"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2</v>
      </c>
      <c r="BA197" s="13" t="str">
        <f t="shared" ref="BA197:BA260" si="33">IF(B197="","",TEXT(AY197,"00")&amp;"|"&amp;B197&amp;"|"&amp;TEXT(AT197,"yyyymmdd"))</f>
        <v>07|Jureeporn Piddum|20260401</v>
      </c>
      <c r="BB197" s="13" t="str">
        <f t="shared" ref="BB197:BB260" si="34">IF(B197="","",TEXT(AZ197,"00")&amp;"|"&amp;B197&amp;"|"&amp;TEXT(AV197,"yyyymmdd"))</f>
        <v>02|Jureeporn Piddum|20260413</v>
      </c>
      <c r="BC197" s="13">
        <f t="shared" ref="BC197:BC260" si="35">IF(OR(AQ197="YES",AQ197="Yes",AQ197="Y",AQ197=1),1,0)</f>
        <v>0</v>
      </c>
      <c r="BD197" s="50" t="s">
        <v>3404</v>
      </c>
      <c r="BE197" t="s">
        <v>3405</v>
      </c>
      <c r="BF197" t="s">
        <v>2338</v>
      </c>
    </row>
    <row r="198" spans="1:58" ht="15" customHeight="1">
      <c r="A198" s="9">
        <v>46130.812333321759</v>
      </c>
      <c r="B198" s="10" t="s">
        <v>1130</v>
      </c>
      <c r="C198" s="11">
        <v>46125</v>
      </c>
      <c r="D198" s="12">
        <v>0.71250000000145519</v>
      </c>
      <c r="E198" s="12">
        <v>0.71527777778101154</v>
      </c>
      <c r="F198" s="13" t="s">
        <v>3406</v>
      </c>
      <c r="G198" s="14" t="s">
        <v>3407</v>
      </c>
      <c r="H198" s="13">
        <v>10</v>
      </c>
      <c r="I198" s="19" t="s">
        <v>3348</v>
      </c>
      <c r="J198" s="13">
        <v>10</v>
      </c>
      <c r="K198" s="15" t="s">
        <v>3408</v>
      </c>
      <c r="L198" s="13">
        <v>8</v>
      </c>
      <c r="M198" s="15" t="s">
        <v>3409</v>
      </c>
      <c r="N198" s="13">
        <v>8</v>
      </c>
      <c r="O198" s="19" t="s">
        <v>3410</v>
      </c>
      <c r="P198" s="13">
        <v>6</v>
      </c>
      <c r="Q198" s="20" t="s">
        <v>3411</v>
      </c>
      <c r="R198" s="13">
        <v>3</v>
      </c>
      <c r="S198" s="20" t="s">
        <v>3412</v>
      </c>
      <c r="T198" s="13"/>
      <c r="U198" s="15"/>
      <c r="V198" s="13">
        <v>11</v>
      </c>
      <c r="W198" s="19" t="s">
        <v>3413</v>
      </c>
      <c r="X198" s="13">
        <v>7</v>
      </c>
      <c r="Y198" s="19" t="s">
        <v>3414</v>
      </c>
      <c r="Z198" s="13"/>
      <c r="AA198" s="15"/>
      <c r="AB198" s="13">
        <v>4</v>
      </c>
      <c r="AC198" s="15" t="s">
        <v>3415</v>
      </c>
      <c r="AD198" s="13">
        <v>4</v>
      </c>
      <c r="AE198" s="15" t="s">
        <v>3416</v>
      </c>
      <c r="AF198" s="13">
        <v>9</v>
      </c>
      <c r="AG198" s="15" t="s">
        <v>3417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3418</v>
      </c>
      <c r="AR198" s="13"/>
      <c r="AS198" s="17">
        <f t="shared" si="27"/>
        <v>80</v>
      </c>
      <c r="AT198" s="11">
        <f t="shared" si="28"/>
        <v>46113</v>
      </c>
      <c r="AU198" s="13" t="str">
        <f t="shared" si="29"/>
        <v>April 2026</v>
      </c>
      <c r="AV198" s="11">
        <f t="shared" si="30"/>
        <v>46125</v>
      </c>
      <c r="AW198" s="11">
        <f t="shared" si="31"/>
        <v>46131</v>
      </c>
      <c r="AX198" s="13" t="str">
        <f t="shared" si="32"/>
        <v>13/04/2026 - 19/04/2026</v>
      </c>
      <c r="AY198" s="13">
        <f>IF(B198="","",COUNTIFS($B$5:B198,B198,$AT$5:AT198,AT198))</f>
        <v>6</v>
      </c>
      <c r="AZ198" s="13">
        <f>IF(B198="","",COUNTIFS($B$5:B198,B198,$AV$5:AV198,AV198))</f>
        <v>1</v>
      </c>
      <c r="BA198" s="13" t="str">
        <f t="shared" si="33"/>
        <v>06|Krivut Vongkampan|20260401</v>
      </c>
      <c r="BB198" s="13" t="str">
        <f t="shared" si="34"/>
        <v>01|Krivut Vongkampan|20260413</v>
      </c>
      <c r="BC198" s="13">
        <f t="shared" si="35"/>
        <v>0</v>
      </c>
      <c r="BD198" s="50" t="s">
        <v>3419</v>
      </c>
      <c r="BE198" t="s">
        <v>3420</v>
      </c>
      <c r="BF198" t="s">
        <v>2338</v>
      </c>
    </row>
    <row r="199" spans="1:58" ht="15" customHeight="1">
      <c r="A199" s="9">
        <v>46130.817486585649</v>
      </c>
      <c r="B199" s="10" t="s">
        <v>1130</v>
      </c>
      <c r="C199" s="11">
        <v>46130</v>
      </c>
      <c r="D199" s="12">
        <v>0.46388888888759539</v>
      </c>
      <c r="E199" s="12">
        <v>0.47152777777955635</v>
      </c>
      <c r="F199" s="13" t="s">
        <v>3421</v>
      </c>
      <c r="G199" s="14" t="s">
        <v>125</v>
      </c>
      <c r="H199" s="13">
        <v>10</v>
      </c>
      <c r="I199" s="19" t="s">
        <v>3348</v>
      </c>
      <c r="J199" s="13">
        <v>10</v>
      </c>
      <c r="K199" s="15" t="s">
        <v>3422</v>
      </c>
      <c r="L199" s="13">
        <v>10</v>
      </c>
      <c r="M199" s="15" t="s">
        <v>3423</v>
      </c>
      <c r="N199" s="13">
        <v>9</v>
      </c>
      <c r="O199" s="19" t="s">
        <v>3424</v>
      </c>
      <c r="P199" s="13">
        <v>8</v>
      </c>
      <c r="Q199" s="20" t="s">
        <v>3425</v>
      </c>
      <c r="R199" s="13">
        <v>4</v>
      </c>
      <c r="S199" s="20" t="s">
        <v>3426</v>
      </c>
      <c r="T199" s="13"/>
      <c r="U199" s="15"/>
      <c r="V199" s="13">
        <v>13</v>
      </c>
      <c r="W199" s="19" t="s">
        <v>3427</v>
      </c>
      <c r="X199" s="13">
        <v>8</v>
      </c>
      <c r="Y199" s="19" t="s">
        <v>3428</v>
      </c>
      <c r="Z199" s="13"/>
      <c r="AA199" s="15"/>
      <c r="AB199" s="13">
        <v>5</v>
      </c>
      <c r="AC199" s="15" t="s">
        <v>3429</v>
      </c>
      <c r="AD199" s="13">
        <v>5</v>
      </c>
      <c r="AE199" s="15" t="s">
        <v>3430</v>
      </c>
      <c r="AF199" s="13">
        <v>10</v>
      </c>
      <c r="AG199" s="15" t="s">
        <v>3431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3432</v>
      </c>
      <c r="AR199" s="13"/>
      <c r="AS199" s="17">
        <f t="shared" si="27"/>
        <v>92</v>
      </c>
      <c r="AT199" s="11">
        <f t="shared" si="28"/>
        <v>46113</v>
      </c>
      <c r="AU199" s="13" t="str">
        <f t="shared" si="29"/>
        <v>April 2026</v>
      </c>
      <c r="AV199" s="11">
        <f t="shared" si="30"/>
        <v>46125</v>
      </c>
      <c r="AW199" s="11">
        <f t="shared" si="31"/>
        <v>46131</v>
      </c>
      <c r="AX199" s="13" t="str">
        <f t="shared" si="32"/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2</v>
      </c>
      <c r="BA199" s="13" t="str">
        <f t="shared" si="33"/>
        <v>07|Krivut Vongkampan|20260401</v>
      </c>
      <c r="BB199" s="13" t="str">
        <f t="shared" si="34"/>
        <v>02|Krivut Vongkampan|20260413</v>
      </c>
      <c r="BC199" s="13">
        <f t="shared" si="35"/>
        <v>0</v>
      </c>
      <c r="BD199" s="50" t="s">
        <v>3433</v>
      </c>
      <c r="BE199" t="s">
        <v>3434</v>
      </c>
      <c r="BF199" t="s">
        <v>2338</v>
      </c>
    </row>
    <row r="200" spans="1:58" ht="15" customHeight="1">
      <c r="A200" s="9">
        <v>46130.822516423606</v>
      </c>
      <c r="B200" s="10" t="s">
        <v>385</v>
      </c>
      <c r="C200" s="11">
        <v>46127</v>
      </c>
      <c r="D200" s="12">
        <v>0.66041666666569654</v>
      </c>
      <c r="E200" s="12">
        <v>0.67013888889050577</v>
      </c>
      <c r="F200" s="13" t="s">
        <v>3435</v>
      </c>
      <c r="G200" s="14" t="s">
        <v>3436</v>
      </c>
      <c r="H200" s="13">
        <v>10</v>
      </c>
      <c r="I200" s="19" t="s">
        <v>3348</v>
      </c>
      <c r="J200" s="13">
        <v>10</v>
      </c>
      <c r="K200" s="15" t="s">
        <v>3437</v>
      </c>
      <c r="L200" s="13">
        <v>10</v>
      </c>
      <c r="M200" s="15" t="s">
        <v>3438</v>
      </c>
      <c r="N200" s="13">
        <v>8</v>
      </c>
      <c r="O200" s="19" t="s">
        <v>3439</v>
      </c>
      <c r="P200" s="13">
        <v>6</v>
      </c>
      <c r="Q200" s="20" t="s">
        <v>3440</v>
      </c>
      <c r="R200" s="13">
        <v>3</v>
      </c>
      <c r="S200" s="20" t="s">
        <v>3441</v>
      </c>
      <c r="T200" s="13"/>
      <c r="U200" s="15"/>
      <c r="V200" s="13">
        <v>9</v>
      </c>
      <c r="W200" s="19" t="s">
        <v>3442</v>
      </c>
      <c r="X200" s="13">
        <v>7</v>
      </c>
      <c r="Y200" s="19" t="s">
        <v>3443</v>
      </c>
      <c r="Z200" s="13"/>
      <c r="AA200" s="15"/>
      <c r="AB200" s="13">
        <v>5</v>
      </c>
      <c r="AC200" s="15" t="s">
        <v>3444</v>
      </c>
      <c r="AD200" s="13">
        <v>5</v>
      </c>
      <c r="AE200" s="15" t="s">
        <v>3445</v>
      </c>
      <c r="AF200" s="13">
        <v>9</v>
      </c>
      <c r="AG200" s="15" t="s">
        <v>3446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3447</v>
      </c>
      <c r="AR200" s="13"/>
      <c r="AS200" s="17">
        <f t="shared" si="27"/>
        <v>82</v>
      </c>
      <c r="AT200" s="11">
        <f t="shared" si="28"/>
        <v>46113</v>
      </c>
      <c r="AU200" s="13" t="str">
        <f t="shared" si="29"/>
        <v>April 2026</v>
      </c>
      <c r="AV200" s="11">
        <f t="shared" si="30"/>
        <v>46125</v>
      </c>
      <c r="AW200" s="11">
        <f t="shared" si="31"/>
        <v>46131</v>
      </c>
      <c r="AX200" s="13" t="str">
        <f t="shared" si="32"/>
        <v>13/04/2026 - 19/04/2026</v>
      </c>
      <c r="AY200" s="13">
        <f>IF(B200="","",COUNTIFS($B$5:B200,B200,$AT$5:AT200,AT200))</f>
        <v>6</v>
      </c>
      <c r="AZ200" s="13">
        <f>IF(B200="","",COUNTIFS($B$5:B200,B200,$AV$5:AV200,AV200))</f>
        <v>1</v>
      </c>
      <c r="BA200" s="13" t="str">
        <f t="shared" si="33"/>
        <v>06|Natcha Chai-in|20260401</v>
      </c>
      <c r="BB200" s="13" t="str">
        <f t="shared" si="34"/>
        <v>01|Natcha Chai-in|20260413</v>
      </c>
      <c r="BC200" s="13">
        <f t="shared" si="35"/>
        <v>0</v>
      </c>
      <c r="BD200" s="50" t="s">
        <v>3448</v>
      </c>
      <c r="BE200" t="s">
        <v>3449</v>
      </c>
      <c r="BF200" t="s">
        <v>2338</v>
      </c>
    </row>
    <row r="201" spans="1:58" ht="15" customHeight="1">
      <c r="A201" s="9">
        <v>46130.827354733796</v>
      </c>
      <c r="B201" s="10" t="s">
        <v>385</v>
      </c>
      <c r="C201" s="11">
        <v>46130</v>
      </c>
      <c r="D201" s="12">
        <v>0.77916666666715173</v>
      </c>
      <c r="E201" s="12">
        <v>0.78958333333139308</v>
      </c>
      <c r="F201" s="13" t="s">
        <v>3450</v>
      </c>
      <c r="G201" s="14" t="s">
        <v>3451</v>
      </c>
      <c r="H201" s="13">
        <v>10</v>
      </c>
      <c r="I201" s="19" t="s">
        <v>3452</v>
      </c>
      <c r="J201" s="13">
        <v>10</v>
      </c>
      <c r="K201" s="15" t="s">
        <v>3453</v>
      </c>
      <c r="L201" s="13">
        <v>9</v>
      </c>
      <c r="M201" s="15" t="s">
        <v>3454</v>
      </c>
      <c r="N201" s="13">
        <v>9</v>
      </c>
      <c r="O201" s="19" t="s">
        <v>3455</v>
      </c>
      <c r="P201" s="13">
        <v>7</v>
      </c>
      <c r="Q201" s="20" t="s">
        <v>3456</v>
      </c>
      <c r="R201" s="13">
        <v>4</v>
      </c>
      <c r="S201" s="20" t="s">
        <v>3457</v>
      </c>
      <c r="T201" s="13"/>
      <c r="U201" s="15"/>
      <c r="V201" s="13">
        <v>12</v>
      </c>
      <c r="W201" s="19" t="s">
        <v>3458</v>
      </c>
      <c r="X201" s="13">
        <v>7</v>
      </c>
      <c r="Y201" s="19" t="s">
        <v>3459</v>
      </c>
      <c r="Z201" s="13"/>
      <c r="AA201" s="15"/>
      <c r="AB201" s="13">
        <v>5</v>
      </c>
      <c r="AC201" s="15" t="s">
        <v>3460</v>
      </c>
      <c r="AD201" s="13">
        <v>5</v>
      </c>
      <c r="AE201" s="15" t="s">
        <v>3461</v>
      </c>
      <c r="AF201" s="13">
        <v>10</v>
      </c>
      <c r="AG201" s="15" t="s">
        <v>3462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3463</v>
      </c>
      <c r="AR201" s="13"/>
      <c r="AS201" s="17">
        <f t="shared" si="27"/>
        <v>88</v>
      </c>
      <c r="AT201" s="11">
        <f t="shared" si="28"/>
        <v>46113</v>
      </c>
      <c r="AU201" s="13" t="str">
        <f t="shared" si="29"/>
        <v>April 2026</v>
      </c>
      <c r="AV201" s="11">
        <f t="shared" si="30"/>
        <v>46125</v>
      </c>
      <c r="AW201" s="11">
        <f t="shared" si="31"/>
        <v>46131</v>
      </c>
      <c r="AX201" s="13" t="str">
        <f t="shared" si="32"/>
        <v>13/04/2026 - 19/04/2026</v>
      </c>
      <c r="AY201" s="13">
        <f>IF(B201="","",COUNTIFS($B$5:B201,B201,$AT$5:AT201,AT201))</f>
        <v>7</v>
      </c>
      <c r="AZ201" s="13">
        <f>IF(B201="","",COUNTIFS($B$5:B201,B201,$AV$5:AV201,AV201))</f>
        <v>2</v>
      </c>
      <c r="BA201" s="13" t="str">
        <f t="shared" si="33"/>
        <v>07|Natcha Chai-in|20260401</v>
      </c>
      <c r="BB201" s="13" t="str">
        <f t="shared" si="34"/>
        <v>02|Natcha Chai-in|20260413</v>
      </c>
      <c r="BC201" s="13">
        <f t="shared" si="35"/>
        <v>0</v>
      </c>
      <c r="BD201" s="50" t="s">
        <v>3464</v>
      </c>
      <c r="BE201" t="s">
        <v>3465</v>
      </c>
      <c r="BF201" t="s">
        <v>2338</v>
      </c>
    </row>
    <row r="202" spans="1:58" ht="15" customHeight="1">
      <c r="A202" s="9">
        <v>46130.833052835646</v>
      </c>
      <c r="B202" s="10" t="s">
        <v>143</v>
      </c>
      <c r="C202" s="11">
        <v>46127</v>
      </c>
      <c r="D202" s="12">
        <v>0.87361111110658385</v>
      </c>
      <c r="E202" s="12">
        <v>0.87847222221898846</v>
      </c>
      <c r="F202" s="13" t="s">
        <v>3466</v>
      </c>
      <c r="G202" s="14" t="s">
        <v>3284</v>
      </c>
      <c r="H202" s="13">
        <v>0</v>
      </c>
      <c r="I202" s="19" t="s">
        <v>3467</v>
      </c>
      <c r="J202" s="13">
        <v>10</v>
      </c>
      <c r="K202" s="15" t="s">
        <v>3468</v>
      </c>
      <c r="L202" s="13">
        <v>7</v>
      </c>
      <c r="M202" s="15" t="s">
        <v>3469</v>
      </c>
      <c r="N202" s="13">
        <v>3</v>
      </c>
      <c r="O202" s="19" t="s">
        <v>3470</v>
      </c>
      <c r="P202" s="13">
        <v>3</v>
      </c>
      <c r="Q202" s="20" t="s">
        <v>3471</v>
      </c>
      <c r="R202" s="13">
        <v>2</v>
      </c>
      <c r="S202" s="20" t="s">
        <v>3472</v>
      </c>
      <c r="T202" s="13"/>
      <c r="U202" s="15"/>
      <c r="V202" s="13">
        <v>4</v>
      </c>
      <c r="W202" s="19" t="s">
        <v>3473</v>
      </c>
      <c r="X202" s="13">
        <v>3</v>
      </c>
      <c r="Y202" s="19" t="s">
        <v>3474</v>
      </c>
      <c r="Z202" s="13"/>
      <c r="AA202" s="15"/>
      <c r="AB202" s="13">
        <v>4</v>
      </c>
      <c r="AC202" s="15" t="s">
        <v>3475</v>
      </c>
      <c r="AD202" s="13">
        <v>5</v>
      </c>
      <c r="AE202" s="15" t="s">
        <v>3476</v>
      </c>
      <c r="AF202" s="13">
        <v>7</v>
      </c>
      <c r="AG202" s="15" t="s">
        <v>3477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3478</v>
      </c>
      <c r="AR202" s="13"/>
      <c r="AS202" s="17">
        <f t="shared" si="27"/>
        <v>48</v>
      </c>
      <c r="AT202" s="11">
        <f t="shared" si="28"/>
        <v>46113</v>
      </c>
      <c r="AU202" s="13" t="str">
        <f t="shared" si="29"/>
        <v>April 2026</v>
      </c>
      <c r="AV202" s="11">
        <f t="shared" si="30"/>
        <v>46125</v>
      </c>
      <c r="AW202" s="11">
        <f t="shared" si="31"/>
        <v>46131</v>
      </c>
      <c r="AX202" s="13" t="str">
        <f t="shared" si="32"/>
        <v>13/04/2026 - 19/04/2026</v>
      </c>
      <c r="AY202" s="13">
        <f>IF(B202="","",COUNTIFS($B$5:B202,B202,$AT$5:AT202,AT202))</f>
        <v>7</v>
      </c>
      <c r="AZ202" s="13">
        <f>IF(B202="","",COUNTIFS($B$5:B202,B202,$AV$5:AV202,AV202))</f>
        <v>1</v>
      </c>
      <c r="BA202" s="13" t="str">
        <f t="shared" si="33"/>
        <v>07|Nattapol Suprom|20260401</v>
      </c>
      <c r="BB202" s="13" t="str">
        <f t="shared" si="34"/>
        <v>01|Nattapol Suprom|20260413</v>
      </c>
      <c r="BC202" s="13">
        <f t="shared" si="35"/>
        <v>0</v>
      </c>
      <c r="BD202" s="50" t="s">
        <v>3479</v>
      </c>
      <c r="BE202" t="s">
        <v>3480</v>
      </c>
      <c r="BF202" t="s">
        <v>2338</v>
      </c>
    </row>
    <row r="203" spans="1:58" ht="15" customHeight="1">
      <c r="A203" s="9">
        <v>46130.838490740745</v>
      </c>
      <c r="B203" s="10" t="s">
        <v>143</v>
      </c>
      <c r="C203" s="11">
        <v>46130</v>
      </c>
      <c r="D203" s="12">
        <v>0.31666666666569654</v>
      </c>
      <c r="E203" s="12">
        <v>0.31666666666569654</v>
      </c>
      <c r="F203" s="13" t="s">
        <v>3481</v>
      </c>
      <c r="G203" s="14" t="s">
        <v>3482</v>
      </c>
      <c r="H203" s="13">
        <v>0</v>
      </c>
      <c r="I203" s="19" t="s">
        <v>3483</v>
      </c>
      <c r="J203" s="13">
        <v>10</v>
      </c>
      <c r="K203" s="15" t="s">
        <v>3484</v>
      </c>
      <c r="L203" s="13">
        <v>3</v>
      </c>
      <c r="M203" s="15" t="s">
        <v>3485</v>
      </c>
      <c r="N203" s="13">
        <v>0</v>
      </c>
      <c r="O203" s="19" t="s">
        <v>3486</v>
      </c>
      <c r="P203" s="13">
        <v>0</v>
      </c>
      <c r="Q203" s="20" t="s">
        <v>3487</v>
      </c>
      <c r="R203" s="13">
        <v>0</v>
      </c>
      <c r="S203" s="20" t="s">
        <v>3488</v>
      </c>
      <c r="T203" s="13"/>
      <c r="U203" s="15"/>
      <c r="V203" s="13">
        <v>0</v>
      </c>
      <c r="W203" s="19" t="s">
        <v>3489</v>
      </c>
      <c r="X203" s="13">
        <v>0</v>
      </c>
      <c r="Y203" s="19" t="s">
        <v>3490</v>
      </c>
      <c r="Z203" s="13"/>
      <c r="AA203" s="15"/>
      <c r="AB203" s="13">
        <v>0</v>
      </c>
      <c r="AC203" s="15" t="s">
        <v>3491</v>
      </c>
      <c r="AD203" s="13">
        <v>0</v>
      </c>
      <c r="AE203" s="15" t="s">
        <v>3492</v>
      </c>
      <c r="AF203" s="13">
        <v>0</v>
      </c>
      <c r="AG203" s="15" t="s">
        <v>3493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3494</v>
      </c>
      <c r="AR203" s="13"/>
      <c r="AS203" s="17">
        <f t="shared" si="27"/>
        <v>13</v>
      </c>
      <c r="AT203" s="11">
        <f t="shared" si="28"/>
        <v>46113</v>
      </c>
      <c r="AU203" s="13" t="str">
        <f t="shared" si="29"/>
        <v>April 2026</v>
      </c>
      <c r="AV203" s="11">
        <f t="shared" si="30"/>
        <v>46125</v>
      </c>
      <c r="AW203" s="11">
        <f t="shared" si="31"/>
        <v>46131</v>
      </c>
      <c r="AX203" s="13" t="str">
        <f t="shared" si="32"/>
        <v>13/04/2026 - 19/04/2026</v>
      </c>
      <c r="AY203" s="13">
        <f>IF(B203="","",COUNTIFS($B$5:B203,B203,$AT$5:AT203,AT203))</f>
        <v>8</v>
      </c>
      <c r="AZ203" s="13">
        <f>IF(B203="","",COUNTIFS($B$5:B203,B203,$AV$5:AV203,AV203))</f>
        <v>2</v>
      </c>
      <c r="BA203" s="13" t="str">
        <f t="shared" si="33"/>
        <v>08|Nattapol Suprom|20260401</v>
      </c>
      <c r="BB203" s="13" t="str">
        <f t="shared" si="34"/>
        <v>02|Nattapol Suprom|20260413</v>
      </c>
      <c r="BC203" s="13">
        <f t="shared" si="35"/>
        <v>0</v>
      </c>
      <c r="BD203" s="50" t="s">
        <v>3495</v>
      </c>
      <c r="BE203" t="s">
        <v>3496</v>
      </c>
      <c r="BF203" t="s">
        <v>2338</v>
      </c>
    </row>
    <row r="204" spans="1:58" ht="15" customHeight="1">
      <c r="A204" s="9">
        <v>46130.845046724542</v>
      </c>
      <c r="B204" s="10" t="s">
        <v>443</v>
      </c>
      <c r="C204" s="11">
        <v>46126</v>
      </c>
      <c r="D204" s="12">
        <v>0.64305555555620231</v>
      </c>
      <c r="E204" s="12">
        <v>0.65069444444088731</v>
      </c>
      <c r="F204" s="13" t="s">
        <v>3497</v>
      </c>
      <c r="G204" s="14" t="s">
        <v>3498</v>
      </c>
      <c r="H204" s="13">
        <v>10</v>
      </c>
      <c r="I204" s="19" t="s">
        <v>3499</v>
      </c>
      <c r="J204" s="13">
        <v>10</v>
      </c>
      <c r="K204" s="15" t="s">
        <v>3500</v>
      </c>
      <c r="L204" s="13">
        <v>9</v>
      </c>
      <c r="M204" s="15" t="s">
        <v>3501</v>
      </c>
      <c r="N204" s="13">
        <v>9</v>
      </c>
      <c r="O204" s="19" t="s">
        <v>3502</v>
      </c>
      <c r="P204" s="13">
        <v>8</v>
      </c>
      <c r="Q204" s="20" t="s">
        <v>3503</v>
      </c>
      <c r="R204" s="13">
        <v>4</v>
      </c>
      <c r="S204" s="20" t="s">
        <v>3504</v>
      </c>
      <c r="T204" s="13"/>
      <c r="U204" s="15"/>
      <c r="V204" s="13">
        <v>13</v>
      </c>
      <c r="W204" s="19" t="s">
        <v>3505</v>
      </c>
      <c r="X204" s="13">
        <v>8</v>
      </c>
      <c r="Y204" s="19" t="s">
        <v>3506</v>
      </c>
      <c r="Z204" s="13"/>
      <c r="AA204" s="15"/>
      <c r="AB204" s="13">
        <v>5</v>
      </c>
      <c r="AC204" s="15" t="s">
        <v>3507</v>
      </c>
      <c r="AD204" s="13">
        <v>5</v>
      </c>
      <c r="AE204" s="15" t="s">
        <v>3508</v>
      </c>
      <c r="AF204" s="13">
        <v>10</v>
      </c>
      <c r="AG204" s="15" t="s">
        <v>3509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3510</v>
      </c>
      <c r="AR204" s="13"/>
      <c r="AS204" s="17">
        <f t="shared" si="27"/>
        <v>91</v>
      </c>
      <c r="AT204" s="11">
        <f t="shared" si="28"/>
        <v>46113</v>
      </c>
      <c r="AU204" s="13" t="str">
        <f t="shared" si="29"/>
        <v>April 2026</v>
      </c>
      <c r="AV204" s="11">
        <f t="shared" si="30"/>
        <v>46125</v>
      </c>
      <c r="AW204" s="11">
        <f t="shared" si="31"/>
        <v>46131</v>
      </c>
      <c r="AX204" s="13" t="str">
        <f t="shared" si="32"/>
        <v>13/04/2026 - 19/04/2026</v>
      </c>
      <c r="AY204" s="13">
        <f>IF(B204="","",COUNTIFS($B$5:B204,B204,$AT$5:AT204,AT204))</f>
        <v>7</v>
      </c>
      <c r="AZ204" s="13">
        <f>IF(B204="","",COUNTIFS($B$5:B204,B204,$AV$5:AV204,AV204))</f>
        <v>1</v>
      </c>
      <c r="BA204" s="13" t="str">
        <f t="shared" si="33"/>
        <v>07|Sunijtra Siritip|20260401</v>
      </c>
      <c r="BB204" s="13" t="str">
        <f t="shared" si="34"/>
        <v>01|Sunijtra Siritip|20260413</v>
      </c>
      <c r="BC204" s="13">
        <f t="shared" si="35"/>
        <v>0</v>
      </c>
      <c r="BD204" s="50" t="s">
        <v>3511</v>
      </c>
      <c r="BE204" t="s">
        <v>3512</v>
      </c>
      <c r="BF204" t="s">
        <v>2338</v>
      </c>
    </row>
    <row r="205" spans="1:58" ht="15" customHeight="1">
      <c r="A205" s="9">
        <v>46130.850278634258</v>
      </c>
      <c r="B205" s="10" t="s">
        <v>443</v>
      </c>
      <c r="C205" s="11">
        <v>46127</v>
      </c>
      <c r="D205" s="12">
        <v>0.882638888884685</v>
      </c>
      <c r="E205" s="12">
        <v>0.88958333333721384</v>
      </c>
      <c r="F205" s="13" t="s">
        <v>3513</v>
      </c>
      <c r="G205" s="14" t="s">
        <v>3514</v>
      </c>
      <c r="H205" s="13">
        <v>10</v>
      </c>
      <c r="I205" s="19" t="s">
        <v>3515</v>
      </c>
      <c r="J205" s="13">
        <v>9</v>
      </c>
      <c r="K205" s="15" t="s">
        <v>3516</v>
      </c>
      <c r="L205" s="13">
        <v>6</v>
      </c>
      <c r="M205" s="15" t="s">
        <v>3517</v>
      </c>
      <c r="N205" s="13">
        <v>4</v>
      </c>
      <c r="O205" s="19" t="s">
        <v>3518</v>
      </c>
      <c r="P205" s="13">
        <v>3</v>
      </c>
      <c r="Q205" s="20" t="s">
        <v>3519</v>
      </c>
      <c r="R205" s="13">
        <v>2</v>
      </c>
      <c r="S205" s="20" t="s">
        <v>3520</v>
      </c>
      <c r="T205" s="13"/>
      <c r="U205" s="15"/>
      <c r="V205" s="13">
        <v>3</v>
      </c>
      <c r="W205" s="19" t="s">
        <v>3521</v>
      </c>
      <c r="X205" s="13">
        <v>2</v>
      </c>
      <c r="Y205" s="19" t="s">
        <v>3522</v>
      </c>
      <c r="Z205" s="13"/>
      <c r="AA205" s="15"/>
      <c r="AB205" s="13">
        <v>4</v>
      </c>
      <c r="AC205" s="15" t="s">
        <v>3523</v>
      </c>
      <c r="AD205" s="13">
        <v>5</v>
      </c>
      <c r="AE205" s="15" t="s">
        <v>3524</v>
      </c>
      <c r="AF205" s="13">
        <v>8</v>
      </c>
      <c r="AG205" s="15" t="s">
        <v>3525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3526</v>
      </c>
      <c r="AR205" s="13"/>
      <c r="AS205" s="17">
        <f t="shared" si="27"/>
        <v>56</v>
      </c>
      <c r="AT205" s="11">
        <f t="shared" si="28"/>
        <v>46113</v>
      </c>
      <c r="AU205" s="13" t="str">
        <f t="shared" si="29"/>
        <v>April 2026</v>
      </c>
      <c r="AV205" s="11">
        <f t="shared" si="30"/>
        <v>46125</v>
      </c>
      <c r="AW205" s="11">
        <f t="shared" si="31"/>
        <v>46131</v>
      </c>
      <c r="AX205" s="13" t="str">
        <f t="shared" si="32"/>
        <v>13/04/2026 - 19/04/2026</v>
      </c>
      <c r="AY205" s="13">
        <f>IF(B205="","",COUNTIFS($B$5:B205,B205,$AT$5:AT205,AT205))</f>
        <v>8</v>
      </c>
      <c r="AZ205" s="13">
        <f>IF(B205="","",COUNTIFS($B$5:B205,B205,$AV$5:AV205,AV205))</f>
        <v>2</v>
      </c>
      <c r="BA205" s="13" t="str">
        <f t="shared" si="33"/>
        <v>08|Sunijtra Siritip|20260401</v>
      </c>
      <c r="BB205" s="13" t="str">
        <f t="shared" si="34"/>
        <v>02|Sunijtra Siritip|20260413</v>
      </c>
      <c r="BC205" s="13">
        <f t="shared" si="35"/>
        <v>0</v>
      </c>
      <c r="BD205" s="50" t="s">
        <v>3527</v>
      </c>
      <c r="BE205" t="s">
        <v>3528</v>
      </c>
      <c r="BF205" t="s">
        <v>2338</v>
      </c>
    </row>
    <row r="206" spans="1:58" ht="15" customHeight="1">
      <c r="A206" s="9">
        <v>46130.859303414356</v>
      </c>
      <c r="B206" s="10" t="s">
        <v>256</v>
      </c>
      <c r="C206" s="11">
        <v>46127</v>
      </c>
      <c r="D206" s="12">
        <v>0.60486111111094942</v>
      </c>
      <c r="E206" s="12">
        <v>0.61805555555474712</v>
      </c>
      <c r="F206" s="13" t="s">
        <v>3529</v>
      </c>
      <c r="G206" s="14" t="s">
        <v>3530</v>
      </c>
      <c r="H206" s="13">
        <v>10</v>
      </c>
      <c r="I206" s="19" t="s">
        <v>3348</v>
      </c>
      <c r="J206" s="13">
        <v>8</v>
      </c>
      <c r="K206" s="15" t="s">
        <v>3531</v>
      </c>
      <c r="L206" s="13">
        <v>8</v>
      </c>
      <c r="M206" s="15" t="s">
        <v>3532</v>
      </c>
      <c r="N206" s="13">
        <v>8</v>
      </c>
      <c r="O206" s="19" t="s">
        <v>3533</v>
      </c>
      <c r="P206" s="13">
        <v>8</v>
      </c>
      <c r="Q206" s="20" t="s">
        <v>3534</v>
      </c>
      <c r="R206" s="13">
        <v>4</v>
      </c>
      <c r="S206" s="20" t="s">
        <v>3535</v>
      </c>
      <c r="T206" s="13"/>
      <c r="U206" s="15"/>
      <c r="V206" s="13">
        <v>11</v>
      </c>
      <c r="W206" s="19" t="s">
        <v>3536</v>
      </c>
      <c r="X206" s="13">
        <v>8</v>
      </c>
      <c r="Y206" s="19" t="s">
        <v>3537</v>
      </c>
      <c r="Z206" s="13"/>
      <c r="AA206" s="15"/>
      <c r="AB206" s="13">
        <v>4</v>
      </c>
      <c r="AC206" s="15" t="s">
        <v>3538</v>
      </c>
      <c r="AD206" s="13">
        <v>4</v>
      </c>
      <c r="AE206" s="15" t="s">
        <v>3539</v>
      </c>
      <c r="AF206" s="13">
        <v>9</v>
      </c>
      <c r="AG206" s="15" t="s">
        <v>3540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3541</v>
      </c>
      <c r="AR206" s="13"/>
      <c r="AS206" s="17">
        <f t="shared" si="27"/>
        <v>82</v>
      </c>
      <c r="AT206" s="11">
        <f t="shared" si="28"/>
        <v>46113</v>
      </c>
      <c r="AU206" s="13" t="str">
        <f t="shared" si="29"/>
        <v>April 2026</v>
      </c>
      <c r="AV206" s="11">
        <f t="shared" si="30"/>
        <v>46125</v>
      </c>
      <c r="AW206" s="11">
        <f t="shared" si="31"/>
        <v>46131</v>
      </c>
      <c r="AX206" s="13" t="str">
        <f t="shared" si="32"/>
        <v>13/04/2026 - 19/04/2026</v>
      </c>
      <c r="AY206" s="13">
        <f>IF(B206="","",COUNTIFS($B$5:B206,B206,$AT$5:AT206,AT206))</f>
        <v>7</v>
      </c>
      <c r="AZ206" s="13">
        <f>IF(B206="","",COUNTIFS($B$5:B206,B206,$AV$5:AV206,AV206))</f>
        <v>1</v>
      </c>
      <c r="BA206" s="13" t="str">
        <f t="shared" si="33"/>
        <v>07|Supakrit Promkhamnoi|20260401</v>
      </c>
      <c r="BB206" s="13" t="str">
        <f t="shared" si="34"/>
        <v>01|Supakrit Promkhamnoi|20260413</v>
      </c>
      <c r="BC206" s="13">
        <f t="shared" si="35"/>
        <v>0</v>
      </c>
      <c r="BD206" s="50" t="s">
        <v>3542</v>
      </c>
      <c r="BE206" t="s">
        <v>3543</v>
      </c>
      <c r="BF206" t="s">
        <v>2338</v>
      </c>
    </row>
    <row r="207" spans="1:58" ht="15" customHeight="1">
      <c r="A207" s="9">
        <v>46130.865356608796</v>
      </c>
      <c r="B207" s="10" t="s">
        <v>256</v>
      </c>
      <c r="C207" s="11">
        <v>46127</v>
      </c>
      <c r="D207" s="12">
        <v>0.65069444444088731</v>
      </c>
      <c r="E207" s="12">
        <v>0.65833333333284827</v>
      </c>
      <c r="F207" s="13" t="s">
        <v>3544</v>
      </c>
      <c r="G207" s="14" t="s">
        <v>3545</v>
      </c>
      <c r="H207" s="13">
        <v>10</v>
      </c>
      <c r="I207" s="19" t="s">
        <v>3348</v>
      </c>
      <c r="J207" s="13">
        <v>10</v>
      </c>
      <c r="K207" s="15" t="s">
        <v>3546</v>
      </c>
      <c r="L207" s="13">
        <v>10</v>
      </c>
      <c r="M207" s="15" t="s">
        <v>3547</v>
      </c>
      <c r="N207" s="13">
        <v>9</v>
      </c>
      <c r="O207" s="19" t="s">
        <v>3548</v>
      </c>
      <c r="P207" s="13">
        <v>9</v>
      </c>
      <c r="Q207" s="20" t="s">
        <v>3549</v>
      </c>
      <c r="R207" s="13">
        <v>5</v>
      </c>
      <c r="S207" s="20" t="s">
        <v>3550</v>
      </c>
      <c r="T207" s="13"/>
      <c r="U207" s="15"/>
      <c r="V207" s="13">
        <v>14</v>
      </c>
      <c r="W207" s="19" t="s">
        <v>3551</v>
      </c>
      <c r="X207" s="13">
        <v>9</v>
      </c>
      <c r="Y207" s="19" t="s">
        <v>3552</v>
      </c>
      <c r="Z207" s="13"/>
      <c r="AA207" s="15"/>
      <c r="AB207" s="13">
        <v>5</v>
      </c>
      <c r="AC207" s="15" t="s">
        <v>3553</v>
      </c>
      <c r="AD207" s="13">
        <v>5</v>
      </c>
      <c r="AE207" s="15" t="s">
        <v>3554</v>
      </c>
      <c r="AF207" s="13">
        <v>10</v>
      </c>
      <c r="AG207" s="15" t="s">
        <v>3555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3556</v>
      </c>
      <c r="AR207" s="13"/>
      <c r="AS207" s="17">
        <f t="shared" si="27"/>
        <v>96</v>
      </c>
      <c r="AT207" s="11">
        <f t="shared" si="28"/>
        <v>46113</v>
      </c>
      <c r="AU207" s="13" t="str">
        <f t="shared" si="29"/>
        <v>April 2026</v>
      </c>
      <c r="AV207" s="11">
        <f t="shared" si="30"/>
        <v>46125</v>
      </c>
      <c r="AW207" s="11">
        <f t="shared" si="31"/>
        <v>46131</v>
      </c>
      <c r="AX207" s="13" t="str">
        <f t="shared" si="32"/>
        <v>13/04/2026 - 19/04/2026</v>
      </c>
      <c r="AY207" s="13">
        <f>IF(B207="","",COUNTIFS($B$5:B207,B207,$AT$5:AT207,AT207))</f>
        <v>8</v>
      </c>
      <c r="AZ207" s="13">
        <f>IF(B207="","",COUNTIFS($B$5:B207,B207,$AV$5:AV207,AV207))</f>
        <v>2</v>
      </c>
      <c r="BA207" s="13" t="str">
        <f t="shared" si="33"/>
        <v>08|Supakrit Promkhamnoi|20260401</v>
      </c>
      <c r="BB207" s="13" t="str">
        <f t="shared" si="34"/>
        <v>02|Supakrit Promkhamnoi|20260413</v>
      </c>
      <c r="BC207" s="13">
        <f t="shared" si="35"/>
        <v>0</v>
      </c>
      <c r="BD207" s="50" t="s">
        <v>3557</v>
      </c>
      <c r="BE207" t="s">
        <v>3558</v>
      </c>
      <c r="BF207" t="s">
        <v>2338</v>
      </c>
    </row>
    <row r="208" spans="1:58" ht="15" customHeight="1">
      <c r="A208" s="9">
        <v>46131.307532013889</v>
      </c>
      <c r="B208" s="10" t="s">
        <v>290</v>
      </c>
      <c r="C208" s="11">
        <v>46126</v>
      </c>
      <c r="D208" s="12">
        <v>0.49097222222189885</v>
      </c>
      <c r="E208" s="12">
        <v>0.50069444444670808</v>
      </c>
      <c r="F208" s="13" t="s">
        <v>3559</v>
      </c>
      <c r="G208" s="14" t="s">
        <v>3560</v>
      </c>
      <c r="H208" s="13">
        <v>10</v>
      </c>
      <c r="I208" s="19" t="s">
        <v>3348</v>
      </c>
      <c r="J208" s="13">
        <v>10</v>
      </c>
      <c r="K208" s="15" t="s">
        <v>3561</v>
      </c>
      <c r="L208" s="13">
        <v>9</v>
      </c>
      <c r="M208" s="15" t="s">
        <v>3562</v>
      </c>
      <c r="N208" s="13">
        <v>10</v>
      </c>
      <c r="O208" s="19" t="s">
        <v>3563</v>
      </c>
      <c r="P208" s="13">
        <v>9</v>
      </c>
      <c r="Q208" s="20" t="s">
        <v>3564</v>
      </c>
      <c r="R208" s="13">
        <v>5</v>
      </c>
      <c r="S208" s="20" t="s">
        <v>3565</v>
      </c>
      <c r="T208" s="13"/>
      <c r="U208" s="15"/>
      <c r="V208" s="13">
        <v>14</v>
      </c>
      <c r="W208" s="19" t="s">
        <v>3566</v>
      </c>
      <c r="X208" s="13">
        <v>10</v>
      </c>
      <c r="Y208" s="19" t="s">
        <v>3567</v>
      </c>
      <c r="Z208" s="13"/>
      <c r="AA208" s="15"/>
      <c r="AB208" s="13">
        <v>5</v>
      </c>
      <c r="AC208" s="15" t="s">
        <v>3568</v>
      </c>
      <c r="AD208" s="13">
        <v>5</v>
      </c>
      <c r="AE208" s="15" t="s">
        <v>3569</v>
      </c>
      <c r="AF208" s="13">
        <v>10</v>
      </c>
      <c r="AG208" s="15" t="s">
        <v>3570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3571</v>
      </c>
      <c r="AR208" s="13"/>
      <c r="AS208" s="17">
        <f t="shared" si="27"/>
        <v>97</v>
      </c>
      <c r="AT208" s="11">
        <f t="shared" si="28"/>
        <v>46113</v>
      </c>
      <c r="AU208" s="13" t="str">
        <f t="shared" si="29"/>
        <v>April 2026</v>
      </c>
      <c r="AV208" s="11">
        <f t="shared" si="30"/>
        <v>46125</v>
      </c>
      <c r="AW208" s="11">
        <f t="shared" si="31"/>
        <v>46131</v>
      </c>
      <c r="AX208" s="13" t="str">
        <f t="shared" si="32"/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1</v>
      </c>
      <c r="BA208" s="13" t="str">
        <f t="shared" si="33"/>
        <v>07|Suphitcha Keawliam|20260401</v>
      </c>
      <c r="BB208" s="13" t="str">
        <f t="shared" si="34"/>
        <v>01|Suphitcha Keawliam|20260413</v>
      </c>
      <c r="BC208" s="13">
        <f t="shared" si="35"/>
        <v>0</v>
      </c>
      <c r="BD208" s="50" t="s">
        <v>3572</v>
      </c>
      <c r="BE208" t="s">
        <v>3573</v>
      </c>
      <c r="BF208" t="s">
        <v>2338</v>
      </c>
    </row>
    <row r="209" spans="1:58" ht="15" customHeight="1">
      <c r="A209" s="9">
        <v>46131.31418361111</v>
      </c>
      <c r="B209" s="10" t="s">
        <v>290</v>
      </c>
      <c r="C209" s="11">
        <v>46128</v>
      </c>
      <c r="D209" s="12">
        <v>0.59236111110658385</v>
      </c>
      <c r="E209" s="12">
        <v>0.60347222222480923</v>
      </c>
      <c r="F209" s="13" t="s">
        <v>3574</v>
      </c>
      <c r="G209" s="14" t="s">
        <v>3575</v>
      </c>
      <c r="H209" s="13">
        <v>10</v>
      </c>
      <c r="I209" s="19" t="s">
        <v>3576</v>
      </c>
      <c r="J209" s="13">
        <v>7</v>
      </c>
      <c r="K209" s="15" t="s">
        <v>3577</v>
      </c>
      <c r="L209" s="13">
        <v>7</v>
      </c>
      <c r="M209" s="15" t="s">
        <v>3578</v>
      </c>
      <c r="N209" s="13">
        <v>4</v>
      </c>
      <c r="O209" s="19" t="s">
        <v>3579</v>
      </c>
      <c r="P209" s="13">
        <v>2</v>
      </c>
      <c r="Q209" s="20" t="s">
        <v>3580</v>
      </c>
      <c r="R209" s="13">
        <v>1</v>
      </c>
      <c r="S209" s="20" t="s">
        <v>3581</v>
      </c>
      <c r="T209" s="13"/>
      <c r="U209" s="15"/>
      <c r="V209" s="13">
        <v>3</v>
      </c>
      <c r="W209" s="19" t="s">
        <v>3582</v>
      </c>
      <c r="X209" s="13">
        <v>4</v>
      </c>
      <c r="Y209" s="19" t="s">
        <v>3583</v>
      </c>
      <c r="Z209" s="13"/>
      <c r="AA209" s="15"/>
      <c r="AB209" s="13">
        <v>5</v>
      </c>
      <c r="AC209" s="15" t="s">
        <v>3584</v>
      </c>
      <c r="AD209" s="13">
        <v>5</v>
      </c>
      <c r="AE209" s="15" t="s">
        <v>3585</v>
      </c>
      <c r="AF209" s="13">
        <v>9</v>
      </c>
      <c r="AG209" s="15" t="s">
        <v>3586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3587</v>
      </c>
      <c r="AR209" s="13"/>
      <c r="AS209" s="17">
        <f t="shared" si="27"/>
        <v>57</v>
      </c>
      <c r="AT209" s="11">
        <f t="shared" si="28"/>
        <v>46113</v>
      </c>
      <c r="AU209" s="13" t="str">
        <f t="shared" si="29"/>
        <v>April 2026</v>
      </c>
      <c r="AV209" s="11">
        <f t="shared" si="30"/>
        <v>46125</v>
      </c>
      <c r="AW209" s="11">
        <f t="shared" si="31"/>
        <v>46131</v>
      </c>
      <c r="AX209" s="13" t="str">
        <f t="shared" si="32"/>
        <v>13/04/2026 - 19/04/2026</v>
      </c>
      <c r="AY209" s="13">
        <f>IF(B209="","",COUNTIFS($B$5:B209,B209,$AT$5:AT209,AT209))</f>
        <v>8</v>
      </c>
      <c r="AZ209" s="13">
        <f>IF(B209="","",COUNTIFS($B$5:B209,B209,$AV$5:AV209,AV209))</f>
        <v>2</v>
      </c>
      <c r="BA209" s="13" t="str">
        <f t="shared" si="33"/>
        <v>08|Suphitcha Keawliam|20260401</v>
      </c>
      <c r="BB209" s="13" t="str">
        <f t="shared" si="34"/>
        <v>02|Suphitcha Keawliam|20260413</v>
      </c>
      <c r="BC209" s="13">
        <f t="shared" si="35"/>
        <v>0</v>
      </c>
      <c r="BD209" s="50" t="s">
        <v>3588</v>
      </c>
      <c r="BE209" t="s">
        <v>3589</v>
      </c>
      <c r="BF209" t="s">
        <v>2338</v>
      </c>
    </row>
    <row r="210" spans="1:58" ht="15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3590</v>
      </c>
      <c r="G210" s="14" t="s">
        <v>3591</v>
      </c>
      <c r="H210" s="13">
        <v>10</v>
      </c>
      <c r="I210" s="19" t="s">
        <v>3348</v>
      </c>
      <c r="J210" s="13">
        <v>10</v>
      </c>
      <c r="K210" s="15" t="s">
        <v>3592</v>
      </c>
      <c r="L210" s="13">
        <v>9</v>
      </c>
      <c r="M210" s="15" t="s">
        <v>3593</v>
      </c>
      <c r="N210" s="13">
        <v>9</v>
      </c>
      <c r="O210" s="19" t="s">
        <v>3594</v>
      </c>
      <c r="P210" s="13">
        <v>8</v>
      </c>
      <c r="Q210" s="20" t="s">
        <v>3595</v>
      </c>
      <c r="R210" s="13">
        <v>4</v>
      </c>
      <c r="S210" s="20" t="s">
        <v>3596</v>
      </c>
      <c r="T210" s="13"/>
      <c r="U210" s="15"/>
      <c r="V210" s="13">
        <v>12</v>
      </c>
      <c r="W210" s="19" t="s">
        <v>3597</v>
      </c>
      <c r="X210" s="13">
        <v>8</v>
      </c>
      <c r="Y210" s="19" t="s">
        <v>3598</v>
      </c>
      <c r="Z210" s="13"/>
      <c r="AA210" s="15"/>
      <c r="AB210" s="13">
        <v>5</v>
      </c>
      <c r="AC210" s="15" t="s">
        <v>3599</v>
      </c>
      <c r="AD210" s="13">
        <v>5</v>
      </c>
      <c r="AE210" s="15" t="s">
        <v>3600</v>
      </c>
      <c r="AF210" s="13">
        <v>10</v>
      </c>
      <c r="AG210" s="15" t="s">
        <v>3601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3602</v>
      </c>
      <c r="AR210" s="13"/>
      <c r="AS210" s="17">
        <f t="shared" si="27"/>
        <v>90</v>
      </c>
      <c r="AT210" s="11">
        <f t="shared" si="28"/>
        <v>46113</v>
      </c>
      <c r="AU210" s="13" t="str">
        <f t="shared" si="29"/>
        <v>April 2026</v>
      </c>
      <c r="AV210" s="11">
        <f t="shared" si="30"/>
        <v>46125</v>
      </c>
      <c r="AW210" s="11">
        <f t="shared" si="31"/>
        <v>46131</v>
      </c>
      <c r="AX210" s="13" t="str">
        <f t="shared" si="32"/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 t="shared" si="33"/>
        <v>07|Wachiraporn chailittichai|20260401</v>
      </c>
      <c r="BB210" s="13" t="str">
        <f t="shared" si="34"/>
        <v>01|Wachiraporn chailittichai|20260413</v>
      </c>
      <c r="BC210" s="13">
        <f t="shared" si="35"/>
        <v>0</v>
      </c>
      <c r="BD210" s="50" t="s">
        <v>3603</v>
      </c>
      <c r="BE210" t="s">
        <v>3604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3605</v>
      </c>
      <c r="G211" s="14" t="s">
        <v>3606</v>
      </c>
      <c r="H211" s="13">
        <v>10</v>
      </c>
      <c r="I211" s="19" t="s">
        <v>3348</v>
      </c>
      <c r="J211" s="13">
        <v>9</v>
      </c>
      <c r="K211" s="15" t="s">
        <v>3607</v>
      </c>
      <c r="L211" s="13">
        <v>7</v>
      </c>
      <c r="M211" s="15" t="s">
        <v>3608</v>
      </c>
      <c r="N211" s="13">
        <v>4</v>
      </c>
      <c r="O211" s="19" t="s">
        <v>3609</v>
      </c>
      <c r="P211" s="13">
        <v>4</v>
      </c>
      <c r="Q211" s="20" t="s">
        <v>3610</v>
      </c>
      <c r="R211" s="13">
        <v>3</v>
      </c>
      <c r="S211" s="20" t="s">
        <v>3611</v>
      </c>
      <c r="T211" s="13"/>
      <c r="U211" s="15"/>
      <c r="V211" s="13">
        <v>8</v>
      </c>
      <c r="W211" s="19" t="s">
        <v>3612</v>
      </c>
      <c r="X211" s="13">
        <v>6</v>
      </c>
      <c r="Y211" s="19" t="s">
        <v>3613</v>
      </c>
      <c r="Z211" s="13"/>
      <c r="AA211" s="15"/>
      <c r="AB211" s="13">
        <v>5</v>
      </c>
      <c r="AC211" s="15" t="s">
        <v>3614</v>
      </c>
      <c r="AD211" s="13">
        <v>5</v>
      </c>
      <c r="AE211" s="15" t="s">
        <v>3615</v>
      </c>
      <c r="AF211" s="13">
        <v>10</v>
      </c>
      <c r="AG211" s="15" t="s">
        <v>3616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3617</v>
      </c>
      <c r="AR211" s="13"/>
      <c r="AS211" s="17">
        <f t="shared" si="27"/>
        <v>71</v>
      </c>
      <c r="AT211" s="11">
        <f t="shared" si="28"/>
        <v>46113</v>
      </c>
      <c r="AU211" s="13" t="str">
        <f t="shared" si="29"/>
        <v>April 2026</v>
      </c>
      <c r="AV211" s="11">
        <f t="shared" si="30"/>
        <v>46125</v>
      </c>
      <c r="AW211" s="11">
        <f t="shared" si="31"/>
        <v>46131</v>
      </c>
      <c r="AX211" s="13" t="str">
        <f t="shared" si="32"/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 t="shared" si="33"/>
        <v>08|Wachiraporn chailittichai|20260401</v>
      </c>
      <c r="BB211" s="13" t="str">
        <f t="shared" si="34"/>
        <v>02|Wachiraporn chailittichai|20260413</v>
      </c>
      <c r="BC211" s="13">
        <f t="shared" si="35"/>
        <v>0</v>
      </c>
      <c r="BD211" s="50" t="s">
        <v>3618</v>
      </c>
      <c r="BE211" t="s">
        <v>3619</v>
      </c>
      <c r="BF211" t="s">
        <v>2338</v>
      </c>
    </row>
    <row r="212" spans="1:58" ht="15" customHeight="1">
      <c r="A212" s="9">
        <v>46131.340302824072</v>
      </c>
      <c r="B212" s="10" t="s">
        <v>503</v>
      </c>
      <c r="C212" s="11">
        <v>46126</v>
      </c>
      <c r="D212" s="12">
        <v>0.62708333333284827</v>
      </c>
      <c r="E212" s="12">
        <v>0.6368055555576575</v>
      </c>
      <c r="F212" s="13" t="s">
        <v>3620</v>
      </c>
      <c r="G212" s="14" t="s">
        <v>3621</v>
      </c>
      <c r="H212" s="13">
        <v>10</v>
      </c>
      <c r="I212" s="19" t="s">
        <v>3622</v>
      </c>
      <c r="J212" s="13">
        <v>10</v>
      </c>
      <c r="K212" s="15" t="s">
        <v>3623</v>
      </c>
      <c r="L212" s="13">
        <v>8</v>
      </c>
      <c r="M212" s="15" t="s">
        <v>3624</v>
      </c>
      <c r="N212" s="13">
        <v>7</v>
      </c>
      <c r="O212" s="19" t="s">
        <v>3625</v>
      </c>
      <c r="P212" s="13">
        <v>4</v>
      </c>
      <c r="Q212" s="20" t="s">
        <v>3626</v>
      </c>
      <c r="R212" s="13">
        <v>3</v>
      </c>
      <c r="S212" s="20" t="s">
        <v>3627</v>
      </c>
      <c r="T212" s="13"/>
      <c r="U212" s="15"/>
      <c r="V212" s="13">
        <v>7</v>
      </c>
      <c r="W212" s="19" t="s">
        <v>3628</v>
      </c>
      <c r="X212" s="13">
        <v>5</v>
      </c>
      <c r="Y212" s="19" t="s">
        <v>3629</v>
      </c>
      <c r="Z212" s="13"/>
      <c r="AA212" s="15"/>
      <c r="AB212" s="13">
        <v>5</v>
      </c>
      <c r="AC212" s="15" t="s">
        <v>3630</v>
      </c>
      <c r="AD212" s="13">
        <v>4</v>
      </c>
      <c r="AE212" s="15" t="s">
        <v>3631</v>
      </c>
      <c r="AF212" s="13">
        <v>9</v>
      </c>
      <c r="AG212" s="15" t="s">
        <v>3632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3633</v>
      </c>
      <c r="AR212" s="13"/>
      <c r="AS212" s="17">
        <f t="shared" si="27"/>
        <v>72</v>
      </c>
      <c r="AT212" s="11">
        <f t="shared" si="28"/>
        <v>46113</v>
      </c>
      <c r="AU212" s="13" t="str">
        <f t="shared" si="29"/>
        <v>April 2026</v>
      </c>
      <c r="AV212" s="11">
        <f t="shared" si="30"/>
        <v>46125</v>
      </c>
      <c r="AW212" s="11">
        <f t="shared" si="31"/>
        <v>46131</v>
      </c>
      <c r="AX212" s="13" t="str">
        <f t="shared" si="32"/>
        <v>13/04/2026 - 19/04/2026</v>
      </c>
      <c r="AY212" s="13">
        <f>IF(B212="","",COUNTIFS($B$5:B212,B212,$AT$5:AT212,AT212))</f>
        <v>6</v>
      </c>
      <c r="AZ212" s="13">
        <f>IF(B212="","",COUNTIFS($B$5:B212,B212,$AV$5:AV212,AV212))</f>
        <v>1</v>
      </c>
      <c r="BA212" s="13" t="str">
        <f t="shared" si="33"/>
        <v>06|Wassana Phothong|20260401</v>
      </c>
      <c r="BB212" s="13" t="str">
        <f t="shared" si="34"/>
        <v>01|Wassana Phothong|20260413</v>
      </c>
      <c r="BC212" s="13">
        <f t="shared" si="35"/>
        <v>0</v>
      </c>
      <c r="BD212" s="50" t="s">
        <v>3634</v>
      </c>
      <c r="BE212" t="s">
        <v>3635</v>
      </c>
      <c r="BF212" t="s">
        <v>2338</v>
      </c>
    </row>
    <row r="213" spans="1:58" ht="15" customHeight="1">
      <c r="A213" s="9">
        <v>46131.346148206023</v>
      </c>
      <c r="B213" s="10" t="s">
        <v>503</v>
      </c>
      <c r="C213" s="11">
        <v>46127</v>
      </c>
      <c r="D213" s="12">
        <v>0.55277777777519077</v>
      </c>
      <c r="E213" s="12">
        <v>0.56111111110658385</v>
      </c>
      <c r="F213" s="13" t="s">
        <v>3636</v>
      </c>
      <c r="G213" s="14" t="s">
        <v>3637</v>
      </c>
      <c r="H213" s="13">
        <v>10</v>
      </c>
      <c r="I213" s="19" t="s">
        <v>3622</v>
      </c>
      <c r="J213" s="13">
        <v>10</v>
      </c>
      <c r="K213" s="15" t="s">
        <v>3638</v>
      </c>
      <c r="L213" s="13">
        <v>8</v>
      </c>
      <c r="M213" s="15" t="s">
        <v>3639</v>
      </c>
      <c r="N213" s="13">
        <v>8</v>
      </c>
      <c r="O213" s="19" t="s">
        <v>3640</v>
      </c>
      <c r="P213" s="13">
        <v>3</v>
      </c>
      <c r="Q213" s="20" t="s">
        <v>3641</v>
      </c>
      <c r="R213" s="13">
        <v>2</v>
      </c>
      <c r="S213" s="20" t="s">
        <v>3642</v>
      </c>
      <c r="T213" s="13"/>
      <c r="U213" s="15"/>
      <c r="V213" s="13">
        <v>5</v>
      </c>
      <c r="W213" s="19" t="s">
        <v>3643</v>
      </c>
      <c r="X213" s="13">
        <v>3</v>
      </c>
      <c r="Y213" s="19" t="s">
        <v>3644</v>
      </c>
      <c r="Z213" s="13"/>
      <c r="AA213" s="15"/>
      <c r="AB213" s="13">
        <v>4</v>
      </c>
      <c r="AC213" s="15" t="s">
        <v>3645</v>
      </c>
      <c r="AD213" s="13">
        <v>5</v>
      </c>
      <c r="AE213" s="15" t="s">
        <v>3646</v>
      </c>
      <c r="AF213" s="13">
        <v>6</v>
      </c>
      <c r="AG213" s="15" t="s">
        <v>3647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3648</v>
      </c>
      <c r="AR213" s="13"/>
      <c r="AS213" s="17">
        <f t="shared" si="27"/>
        <v>64</v>
      </c>
      <c r="AT213" s="11">
        <f t="shared" si="28"/>
        <v>46113</v>
      </c>
      <c r="AU213" s="13" t="str">
        <f t="shared" si="29"/>
        <v>April 2026</v>
      </c>
      <c r="AV213" s="11">
        <f t="shared" si="30"/>
        <v>46125</v>
      </c>
      <c r="AW213" s="11">
        <f t="shared" si="31"/>
        <v>46131</v>
      </c>
      <c r="AX213" s="13" t="str">
        <f t="shared" si="32"/>
        <v>13/04/2026 - 19/04/2026</v>
      </c>
      <c r="AY213" s="13">
        <f>IF(B213="","",COUNTIFS($B$5:B213,B213,$AT$5:AT213,AT213))</f>
        <v>7</v>
      </c>
      <c r="AZ213" s="13">
        <f>IF(B213="","",COUNTIFS($B$5:B213,B213,$AV$5:AV213,AV213))</f>
        <v>2</v>
      </c>
      <c r="BA213" s="13" t="str">
        <f t="shared" si="33"/>
        <v>07|Wassana Phothong|20260401</v>
      </c>
      <c r="BB213" s="13" t="str">
        <f t="shared" si="34"/>
        <v>02|Wassana Phothong|20260413</v>
      </c>
      <c r="BC213" s="13">
        <f t="shared" si="35"/>
        <v>0</v>
      </c>
      <c r="BD213" s="50" t="s">
        <v>3649</v>
      </c>
      <c r="BE213" t="s">
        <v>3650</v>
      </c>
      <c r="BF213" t="s">
        <v>2338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69">
        <f t="shared" si="27"/>
        <v>0</v>
      </c>
      <c r="AT214" s="67" t="str">
        <f t="shared" si="28"/>
        <v/>
      </c>
      <c r="AU214" s="66" t="str">
        <f t="shared" si="29"/>
        <v/>
      </c>
      <c r="AV214" s="67" t="str">
        <f t="shared" si="30"/>
        <v/>
      </c>
      <c r="AW214" s="67" t="str">
        <f t="shared" si="31"/>
        <v/>
      </c>
      <c r="AX214" s="66" t="str">
        <f t="shared" si="32"/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 t="shared" si="33"/>
        <v/>
      </c>
      <c r="BB214" s="66" t="str">
        <f t="shared" si="34"/>
        <v/>
      </c>
      <c r="BC214" s="66">
        <f t="shared" si="35"/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69">
        <f t="shared" si="27"/>
        <v>0</v>
      </c>
      <c r="AT215" s="67" t="str">
        <f t="shared" si="28"/>
        <v/>
      </c>
      <c r="AU215" s="66" t="str">
        <f t="shared" si="29"/>
        <v/>
      </c>
      <c r="AV215" s="67" t="str">
        <f t="shared" si="30"/>
        <v/>
      </c>
      <c r="AW215" s="67" t="str">
        <f t="shared" si="31"/>
        <v/>
      </c>
      <c r="AX215" s="66" t="str">
        <f t="shared" si="32"/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 t="shared" si="33"/>
        <v/>
      </c>
      <c r="BB215" s="66" t="str">
        <f t="shared" si="34"/>
        <v/>
      </c>
      <c r="BC215" s="66">
        <f t="shared" si="35"/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69">
        <f t="shared" si="27"/>
        <v>0</v>
      </c>
      <c r="AT216" s="67" t="str">
        <f t="shared" si="28"/>
        <v/>
      </c>
      <c r="AU216" s="66" t="str">
        <f t="shared" si="29"/>
        <v/>
      </c>
      <c r="AV216" s="67" t="str">
        <f t="shared" si="30"/>
        <v/>
      </c>
      <c r="AW216" s="67" t="str">
        <f t="shared" si="31"/>
        <v/>
      </c>
      <c r="AX216" s="66" t="str">
        <f t="shared" si="32"/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 t="shared" si="33"/>
        <v/>
      </c>
      <c r="BB216" s="66" t="str">
        <f t="shared" si="34"/>
        <v/>
      </c>
      <c r="BC216" s="66">
        <f t="shared" si="35"/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69">
        <f t="shared" si="27"/>
        <v>0</v>
      </c>
      <c r="AT217" s="67" t="str">
        <f t="shared" si="28"/>
        <v/>
      </c>
      <c r="AU217" s="66" t="str">
        <f t="shared" si="29"/>
        <v/>
      </c>
      <c r="AV217" s="67" t="str">
        <f t="shared" si="30"/>
        <v/>
      </c>
      <c r="AW217" s="67" t="str">
        <f t="shared" si="31"/>
        <v/>
      </c>
      <c r="AX217" s="66" t="str">
        <f t="shared" si="32"/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 t="shared" si="33"/>
        <v/>
      </c>
      <c r="BB217" s="66" t="str">
        <f t="shared" si="34"/>
        <v/>
      </c>
      <c r="BC217" s="66">
        <f t="shared" si="35"/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69">
        <f t="shared" si="27"/>
        <v>0</v>
      </c>
      <c r="AT218" s="67" t="str">
        <f t="shared" si="28"/>
        <v/>
      </c>
      <c r="AU218" s="66" t="str">
        <f t="shared" si="29"/>
        <v/>
      </c>
      <c r="AV218" s="67" t="str">
        <f t="shared" si="30"/>
        <v/>
      </c>
      <c r="AW218" s="67" t="str">
        <f t="shared" si="31"/>
        <v/>
      </c>
      <c r="AX218" s="66" t="str">
        <f t="shared" si="32"/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 t="shared" si="33"/>
        <v/>
      </c>
      <c r="BB218" s="66" t="str">
        <f t="shared" si="34"/>
        <v/>
      </c>
      <c r="BC218" s="66">
        <f t="shared" si="35"/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69">
        <f t="shared" si="27"/>
        <v>0</v>
      </c>
      <c r="AT219" s="67" t="str">
        <f t="shared" si="28"/>
        <v/>
      </c>
      <c r="AU219" s="66" t="str">
        <f t="shared" si="29"/>
        <v/>
      </c>
      <c r="AV219" s="67" t="str">
        <f t="shared" si="30"/>
        <v/>
      </c>
      <c r="AW219" s="67" t="str">
        <f t="shared" si="31"/>
        <v/>
      </c>
      <c r="AX219" s="66" t="str">
        <f t="shared" si="32"/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 t="shared" si="33"/>
        <v/>
      </c>
      <c r="BB219" s="66" t="str">
        <f t="shared" si="34"/>
        <v/>
      </c>
      <c r="BC219" s="66">
        <f t="shared" si="35"/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69">
        <f t="shared" si="27"/>
        <v>0</v>
      </c>
      <c r="AT220" s="67" t="str">
        <f t="shared" si="28"/>
        <v/>
      </c>
      <c r="AU220" s="66" t="str">
        <f t="shared" si="29"/>
        <v/>
      </c>
      <c r="AV220" s="67" t="str">
        <f t="shared" si="30"/>
        <v/>
      </c>
      <c r="AW220" s="67" t="str">
        <f t="shared" si="31"/>
        <v/>
      </c>
      <c r="AX220" s="66" t="str">
        <f t="shared" si="32"/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 t="shared" si="33"/>
        <v/>
      </c>
      <c r="BB220" s="66" t="str">
        <f t="shared" si="34"/>
        <v/>
      </c>
      <c r="BC220" s="66">
        <f t="shared" si="35"/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69">
        <f t="shared" si="27"/>
        <v>0</v>
      </c>
      <c r="AT221" s="67" t="str">
        <f t="shared" si="28"/>
        <v/>
      </c>
      <c r="AU221" s="66" t="str">
        <f t="shared" si="29"/>
        <v/>
      </c>
      <c r="AV221" s="67" t="str">
        <f t="shared" si="30"/>
        <v/>
      </c>
      <c r="AW221" s="67" t="str">
        <f t="shared" si="31"/>
        <v/>
      </c>
      <c r="AX221" s="66" t="str">
        <f t="shared" si="32"/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 t="shared" si="33"/>
        <v/>
      </c>
      <c r="BB221" s="66" t="str">
        <f t="shared" si="34"/>
        <v/>
      </c>
      <c r="BC221" s="66">
        <f t="shared" si="35"/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69">
        <f t="shared" si="27"/>
        <v>0</v>
      </c>
      <c r="AT222" s="67" t="str">
        <f t="shared" si="28"/>
        <v/>
      </c>
      <c r="AU222" s="66" t="str">
        <f t="shared" si="29"/>
        <v/>
      </c>
      <c r="AV222" s="67" t="str">
        <f t="shared" si="30"/>
        <v/>
      </c>
      <c r="AW222" s="67" t="str">
        <f t="shared" si="31"/>
        <v/>
      </c>
      <c r="AX222" s="66" t="str">
        <f t="shared" si="32"/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 t="shared" si="33"/>
        <v/>
      </c>
      <c r="BB222" s="66" t="str">
        <f t="shared" si="34"/>
        <v/>
      </c>
      <c r="BC222" s="66">
        <f t="shared" si="35"/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69">
        <f t="shared" si="27"/>
        <v>0</v>
      </c>
      <c r="AT223" s="67" t="str">
        <f t="shared" si="28"/>
        <v/>
      </c>
      <c r="AU223" s="66" t="str">
        <f t="shared" si="29"/>
        <v/>
      </c>
      <c r="AV223" s="67" t="str">
        <f t="shared" si="30"/>
        <v/>
      </c>
      <c r="AW223" s="67" t="str">
        <f t="shared" si="31"/>
        <v/>
      </c>
      <c r="AX223" s="66" t="str">
        <f t="shared" si="32"/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 t="shared" si="33"/>
        <v/>
      </c>
      <c r="BB223" s="66" t="str">
        <f t="shared" si="34"/>
        <v/>
      </c>
      <c r="BC223" s="66">
        <f t="shared" si="35"/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69">
        <f t="shared" si="27"/>
        <v>0</v>
      </c>
      <c r="AT224" s="67" t="str">
        <f t="shared" si="28"/>
        <v/>
      </c>
      <c r="AU224" s="66" t="str">
        <f t="shared" si="29"/>
        <v/>
      </c>
      <c r="AV224" s="67" t="str">
        <f t="shared" si="30"/>
        <v/>
      </c>
      <c r="AW224" s="67" t="str">
        <f t="shared" si="31"/>
        <v/>
      </c>
      <c r="AX224" s="66" t="str">
        <f t="shared" si="32"/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 t="shared" si="33"/>
        <v/>
      </c>
      <c r="BB224" s="66" t="str">
        <f t="shared" si="34"/>
        <v/>
      </c>
      <c r="BC224" s="66">
        <f t="shared" si="35"/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69">
        <f t="shared" si="27"/>
        <v>0</v>
      </c>
      <c r="AT225" s="67" t="str">
        <f t="shared" si="28"/>
        <v/>
      </c>
      <c r="AU225" s="66" t="str">
        <f t="shared" si="29"/>
        <v/>
      </c>
      <c r="AV225" s="67" t="str">
        <f t="shared" si="30"/>
        <v/>
      </c>
      <c r="AW225" s="67" t="str">
        <f t="shared" si="31"/>
        <v/>
      </c>
      <c r="AX225" s="66" t="str">
        <f t="shared" si="32"/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 t="shared" si="33"/>
        <v/>
      </c>
      <c r="BB225" s="66" t="str">
        <f t="shared" si="34"/>
        <v/>
      </c>
      <c r="BC225" s="66">
        <f t="shared" si="35"/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69">
        <f t="shared" si="27"/>
        <v>0</v>
      </c>
      <c r="AT226" s="67" t="str">
        <f t="shared" si="28"/>
        <v/>
      </c>
      <c r="AU226" s="66" t="str">
        <f t="shared" si="29"/>
        <v/>
      </c>
      <c r="AV226" s="67" t="str">
        <f t="shared" si="30"/>
        <v/>
      </c>
      <c r="AW226" s="67" t="str">
        <f t="shared" si="31"/>
        <v/>
      </c>
      <c r="AX226" s="66" t="str">
        <f t="shared" si="32"/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 t="shared" si="33"/>
        <v/>
      </c>
      <c r="BB226" s="66" t="str">
        <f t="shared" si="34"/>
        <v/>
      </c>
      <c r="BC226" s="66">
        <f t="shared" si="35"/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69">
        <f t="shared" si="27"/>
        <v>0</v>
      </c>
      <c r="AT227" s="67" t="str">
        <f t="shared" si="28"/>
        <v/>
      </c>
      <c r="AU227" s="66" t="str">
        <f t="shared" si="29"/>
        <v/>
      </c>
      <c r="AV227" s="67" t="str">
        <f t="shared" si="30"/>
        <v/>
      </c>
      <c r="AW227" s="67" t="str">
        <f t="shared" si="31"/>
        <v/>
      </c>
      <c r="AX227" s="66" t="str">
        <f t="shared" si="32"/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 t="shared" si="33"/>
        <v/>
      </c>
      <c r="BB227" s="66" t="str">
        <f t="shared" si="34"/>
        <v/>
      </c>
      <c r="BC227" s="66">
        <f t="shared" si="35"/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69">
        <f t="shared" si="27"/>
        <v>0</v>
      </c>
      <c r="AT228" s="67" t="str">
        <f t="shared" si="28"/>
        <v/>
      </c>
      <c r="AU228" s="66" t="str">
        <f t="shared" si="29"/>
        <v/>
      </c>
      <c r="AV228" s="67" t="str">
        <f t="shared" si="30"/>
        <v/>
      </c>
      <c r="AW228" s="67" t="str">
        <f t="shared" si="31"/>
        <v/>
      </c>
      <c r="AX228" s="66" t="str">
        <f t="shared" si="32"/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 t="shared" si="33"/>
        <v/>
      </c>
      <c r="BB228" s="66" t="str">
        <f t="shared" si="34"/>
        <v/>
      </c>
      <c r="BC228" s="66">
        <f t="shared" si="35"/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69">
        <f t="shared" si="27"/>
        <v>0</v>
      </c>
      <c r="AT229" s="67" t="str">
        <f t="shared" si="28"/>
        <v/>
      </c>
      <c r="AU229" s="66" t="str">
        <f t="shared" si="29"/>
        <v/>
      </c>
      <c r="AV229" s="67" t="str">
        <f t="shared" si="30"/>
        <v/>
      </c>
      <c r="AW229" s="67" t="str">
        <f t="shared" si="31"/>
        <v/>
      </c>
      <c r="AX229" s="66" t="str">
        <f t="shared" si="32"/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 t="shared" si="33"/>
        <v/>
      </c>
      <c r="BB229" s="66" t="str">
        <f t="shared" si="34"/>
        <v/>
      </c>
      <c r="BC229" s="66">
        <f t="shared" si="35"/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69">
        <f t="shared" si="27"/>
        <v>0</v>
      </c>
      <c r="AT230" s="67" t="str">
        <f t="shared" si="28"/>
        <v/>
      </c>
      <c r="AU230" s="66" t="str">
        <f t="shared" si="29"/>
        <v/>
      </c>
      <c r="AV230" s="67" t="str">
        <f t="shared" si="30"/>
        <v/>
      </c>
      <c r="AW230" s="67" t="str">
        <f t="shared" si="31"/>
        <v/>
      </c>
      <c r="AX230" s="66" t="str">
        <f t="shared" si="32"/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 t="shared" si="33"/>
        <v/>
      </c>
      <c r="BB230" s="66" t="str">
        <f t="shared" si="34"/>
        <v/>
      </c>
      <c r="BC230" s="66">
        <f t="shared" si="35"/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69">
        <f t="shared" si="27"/>
        <v>0</v>
      </c>
      <c r="AT231" s="67" t="str">
        <f t="shared" si="28"/>
        <v/>
      </c>
      <c r="AU231" s="66" t="str">
        <f t="shared" si="29"/>
        <v/>
      </c>
      <c r="AV231" s="67" t="str">
        <f t="shared" si="30"/>
        <v/>
      </c>
      <c r="AW231" s="67" t="str">
        <f t="shared" si="31"/>
        <v/>
      </c>
      <c r="AX231" s="66" t="str">
        <f t="shared" si="32"/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 t="shared" si="33"/>
        <v/>
      </c>
      <c r="BB231" s="66" t="str">
        <f t="shared" si="34"/>
        <v/>
      </c>
      <c r="BC231" s="66">
        <f t="shared" si="35"/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69">
        <f t="shared" si="27"/>
        <v>0</v>
      </c>
      <c r="AT232" s="67" t="str">
        <f t="shared" si="28"/>
        <v/>
      </c>
      <c r="AU232" s="66" t="str">
        <f t="shared" si="29"/>
        <v/>
      </c>
      <c r="AV232" s="67" t="str">
        <f t="shared" si="30"/>
        <v/>
      </c>
      <c r="AW232" s="67" t="str">
        <f t="shared" si="31"/>
        <v/>
      </c>
      <c r="AX232" s="66" t="str">
        <f t="shared" si="32"/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 t="shared" si="33"/>
        <v/>
      </c>
      <c r="BB232" s="66" t="str">
        <f t="shared" si="34"/>
        <v/>
      </c>
      <c r="BC232" s="66">
        <f t="shared" si="35"/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69">
        <f t="shared" si="27"/>
        <v>0</v>
      </c>
      <c r="AT233" s="67" t="str">
        <f t="shared" si="28"/>
        <v/>
      </c>
      <c r="AU233" s="66" t="str">
        <f t="shared" si="29"/>
        <v/>
      </c>
      <c r="AV233" s="67" t="str">
        <f t="shared" si="30"/>
        <v/>
      </c>
      <c r="AW233" s="67" t="str">
        <f t="shared" si="31"/>
        <v/>
      </c>
      <c r="AX233" s="66" t="str">
        <f t="shared" si="32"/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 t="shared" si="33"/>
        <v/>
      </c>
      <c r="BB233" s="66" t="str">
        <f t="shared" si="34"/>
        <v/>
      </c>
      <c r="BC233" s="66">
        <f t="shared" si="35"/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69">
        <f t="shared" si="27"/>
        <v>0</v>
      </c>
      <c r="AT234" s="67" t="str">
        <f t="shared" si="28"/>
        <v/>
      </c>
      <c r="AU234" s="66" t="str">
        <f t="shared" si="29"/>
        <v/>
      </c>
      <c r="AV234" s="67" t="str">
        <f t="shared" si="30"/>
        <v/>
      </c>
      <c r="AW234" s="67" t="str">
        <f t="shared" si="31"/>
        <v/>
      </c>
      <c r="AX234" s="66" t="str">
        <f t="shared" si="32"/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 t="shared" si="33"/>
        <v/>
      </c>
      <c r="BB234" s="66" t="str">
        <f t="shared" si="34"/>
        <v/>
      </c>
      <c r="BC234" s="66">
        <f t="shared" si="35"/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69">
        <f t="shared" si="27"/>
        <v>0</v>
      </c>
      <c r="AT235" s="67" t="str">
        <f t="shared" si="28"/>
        <v/>
      </c>
      <c r="AU235" s="66" t="str">
        <f t="shared" si="29"/>
        <v/>
      </c>
      <c r="AV235" s="67" t="str">
        <f t="shared" si="30"/>
        <v/>
      </c>
      <c r="AW235" s="67" t="str">
        <f t="shared" si="31"/>
        <v/>
      </c>
      <c r="AX235" s="66" t="str">
        <f t="shared" si="32"/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 t="shared" si="33"/>
        <v/>
      </c>
      <c r="BB235" s="66" t="str">
        <f t="shared" si="34"/>
        <v/>
      </c>
      <c r="BC235" s="66">
        <f t="shared" si="35"/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69">
        <f t="shared" si="27"/>
        <v>0</v>
      </c>
      <c r="AT236" s="67" t="str">
        <f t="shared" si="28"/>
        <v/>
      </c>
      <c r="AU236" s="66" t="str">
        <f t="shared" si="29"/>
        <v/>
      </c>
      <c r="AV236" s="67" t="str">
        <f t="shared" si="30"/>
        <v/>
      </c>
      <c r="AW236" s="67" t="str">
        <f t="shared" si="31"/>
        <v/>
      </c>
      <c r="AX236" s="66" t="str">
        <f t="shared" si="32"/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 t="shared" si="33"/>
        <v/>
      </c>
      <c r="BB236" s="66" t="str">
        <f t="shared" si="34"/>
        <v/>
      </c>
      <c r="BC236" s="66">
        <f t="shared" si="35"/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69">
        <f t="shared" si="27"/>
        <v>0</v>
      </c>
      <c r="AT237" s="67" t="str">
        <f t="shared" si="28"/>
        <v/>
      </c>
      <c r="AU237" s="66" t="str">
        <f t="shared" si="29"/>
        <v/>
      </c>
      <c r="AV237" s="67" t="str">
        <f t="shared" si="30"/>
        <v/>
      </c>
      <c r="AW237" s="67" t="str">
        <f t="shared" si="31"/>
        <v/>
      </c>
      <c r="AX237" s="66" t="str">
        <f t="shared" si="32"/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 t="shared" si="33"/>
        <v/>
      </c>
      <c r="BB237" s="66" t="str">
        <f t="shared" si="34"/>
        <v/>
      </c>
      <c r="BC237" s="66">
        <f t="shared" si="35"/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69">
        <f t="shared" si="27"/>
        <v>0</v>
      </c>
      <c r="AT238" s="67" t="str">
        <f t="shared" si="28"/>
        <v/>
      </c>
      <c r="AU238" s="66" t="str">
        <f t="shared" si="29"/>
        <v/>
      </c>
      <c r="AV238" s="67" t="str">
        <f t="shared" si="30"/>
        <v/>
      </c>
      <c r="AW238" s="67" t="str">
        <f t="shared" si="31"/>
        <v/>
      </c>
      <c r="AX238" s="66" t="str">
        <f t="shared" si="32"/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 t="shared" si="33"/>
        <v/>
      </c>
      <c r="BB238" s="66" t="str">
        <f t="shared" si="34"/>
        <v/>
      </c>
      <c r="BC238" s="66">
        <f t="shared" si="35"/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69">
        <f t="shared" si="27"/>
        <v>0</v>
      </c>
      <c r="AT239" s="67" t="str">
        <f t="shared" si="28"/>
        <v/>
      </c>
      <c r="AU239" s="66" t="str">
        <f t="shared" si="29"/>
        <v/>
      </c>
      <c r="AV239" s="67" t="str">
        <f t="shared" si="30"/>
        <v/>
      </c>
      <c r="AW239" s="67" t="str">
        <f t="shared" si="31"/>
        <v/>
      </c>
      <c r="AX239" s="66" t="str">
        <f t="shared" si="32"/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 t="shared" si="33"/>
        <v/>
      </c>
      <c r="BB239" s="66" t="str">
        <f t="shared" si="34"/>
        <v/>
      </c>
      <c r="BC239" s="66">
        <f t="shared" si="35"/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69">
        <f t="shared" si="27"/>
        <v>0</v>
      </c>
      <c r="AT240" s="67" t="str">
        <f t="shared" si="28"/>
        <v/>
      </c>
      <c r="AU240" s="66" t="str">
        <f t="shared" si="29"/>
        <v/>
      </c>
      <c r="AV240" s="67" t="str">
        <f t="shared" si="30"/>
        <v/>
      </c>
      <c r="AW240" s="67" t="str">
        <f t="shared" si="31"/>
        <v/>
      </c>
      <c r="AX240" s="66" t="str">
        <f t="shared" si="32"/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 t="shared" si="33"/>
        <v/>
      </c>
      <c r="BB240" s="66" t="str">
        <f t="shared" si="34"/>
        <v/>
      </c>
      <c r="BC240" s="66">
        <f t="shared" si="35"/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69">
        <f t="shared" si="27"/>
        <v>0</v>
      </c>
      <c r="AT241" s="67" t="str">
        <f t="shared" si="28"/>
        <v/>
      </c>
      <c r="AU241" s="66" t="str">
        <f t="shared" si="29"/>
        <v/>
      </c>
      <c r="AV241" s="67" t="str">
        <f t="shared" si="30"/>
        <v/>
      </c>
      <c r="AW241" s="67" t="str">
        <f t="shared" si="31"/>
        <v/>
      </c>
      <c r="AX241" s="66" t="str">
        <f t="shared" si="32"/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 t="shared" si="33"/>
        <v/>
      </c>
      <c r="BB241" s="66" t="str">
        <f t="shared" si="34"/>
        <v/>
      </c>
      <c r="BC241" s="66">
        <f t="shared" si="35"/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69">
        <f t="shared" si="27"/>
        <v>0</v>
      </c>
      <c r="AT242" s="67" t="str">
        <f t="shared" si="28"/>
        <v/>
      </c>
      <c r="AU242" s="66" t="str">
        <f t="shared" si="29"/>
        <v/>
      </c>
      <c r="AV242" s="67" t="str">
        <f t="shared" si="30"/>
        <v/>
      </c>
      <c r="AW242" s="67" t="str">
        <f t="shared" si="31"/>
        <v/>
      </c>
      <c r="AX242" s="66" t="str">
        <f t="shared" si="32"/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 t="shared" si="33"/>
        <v/>
      </c>
      <c r="BB242" s="66" t="str">
        <f t="shared" si="34"/>
        <v/>
      </c>
      <c r="BC242" s="66">
        <f t="shared" si="35"/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69">
        <f t="shared" si="27"/>
        <v>0</v>
      </c>
      <c r="AT243" s="67" t="str">
        <f t="shared" si="28"/>
        <v/>
      </c>
      <c r="AU243" s="66" t="str">
        <f t="shared" si="29"/>
        <v/>
      </c>
      <c r="AV243" s="67" t="str">
        <f t="shared" si="30"/>
        <v/>
      </c>
      <c r="AW243" s="67" t="str">
        <f t="shared" si="31"/>
        <v/>
      </c>
      <c r="AX243" s="66" t="str">
        <f t="shared" si="32"/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 t="shared" si="33"/>
        <v/>
      </c>
      <c r="BB243" s="66" t="str">
        <f t="shared" si="34"/>
        <v/>
      </c>
      <c r="BC243" s="66">
        <f t="shared" si="35"/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69">
        <f t="shared" si="27"/>
        <v>0</v>
      </c>
      <c r="AT244" s="67" t="str">
        <f t="shared" si="28"/>
        <v/>
      </c>
      <c r="AU244" s="66" t="str">
        <f t="shared" si="29"/>
        <v/>
      </c>
      <c r="AV244" s="67" t="str">
        <f t="shared" si="30"/>
        <v/>
      </c>
      <c r="AW244" s="67" t="str">
        <f t="shared" si="31"/>
        <v/>
      </c>
      <c r="AX244" s="66" t="str">
        <f t="shared" si="32"/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 t="shared" si="33"/>
        <v/>
      </c>
      <c r="BB244" s="66" t="str">
        <f t="shared" si="34"/>
        <v/>
      </c>
      <c r="BC244" s="66">
        <f t="shared" si="35"/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69">
        <f t="shared" si="27"/>
        <v>0</v>
      </c>
      <c r="AT245" s="67" t="str">
        <f t="shared" si="28"/>
        <v/>
      </c>
      <c r="AU245" s="66" t="str">
        <f t="shared" si="29"/>
        <v/>
      </c>
      <c r="AV245" s="67" t="str">
        <f t="shared" si="30"/>
        <v/>
      </c>
      <c r="AW245" s="67" t="str">
        <f t="shared" si="31"/>
        <v/>
      </c>
      <c r="AX245" s="66" t="str">
        <f t="shared" si="32"/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 t="shared" si="33"/>
        <v/>
      </c>
      <c r="BB245" s="66" t="str">
        <f t="shared" si="34"/>
        <v/>
      </c>
      <c r="BC245" s="66">
        <f t="shared" si="35"/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69">
        <f t="shared" si="27"/>
        <v>0</v>
      </c>
      <c r="AT246" s="67" t="str">
        <f t="shared" si="28"/>
        <v/>
      </c>
      <c r="AU246" s="66" t="str">
        <f t="shared" si="29"/>
        <v/>
      </c>
      <c r="AV246" s="67" t="str">
        <f t="shared" si="30"/>
        <v/>
      </c>
      <c r="AW246" s="67" t="str">
        <f t="shared" si="31"/>
        <v/>
      </c>
      <c r="AX246" s="66" t="str">
        <f t="shared" si="32"/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 t="shared" si="33"/>
        <v/>
      </c>
      <c r="BB246" s="66" t="str">
        <f t="shared" si="34"/>
        <v/>
      </c>
      <c r="BC246" s="66">
        <f t="shared" si="35"/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69">
        <f t="shared" si="27"/>
        <v>0</v>
      </c>
      <c r="AT247" s="67" t="str">
        <f t="shared" si="28"/>
        <v/>
      </c>
      <c r="AU247" s="66" t="str">
        <f t="shared" si="29"/>
        <v/>
      </c>
      <c r="AV247" s="67" t="str">
        <f t="shared" si="30"/>
        <v/>
      </c>
      <c r="AW247" s="67" t="str">
        <f t="shared" si="31"/>
        <v/>
      </c>
      <c r="AX247" s="66" t="str">
        <f t="shared" si="32"/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 t="shared" si="33"/>
        <v/>
      </c>
      <c r="BB247" s="66" t="str">
        <f t="shared" si="34"/>
        <v/>
      </c>
      <c r="BC247" s="66">
        <f t="shared" si="35"/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69">
        <f t="shared" si="27"/>
        <v>0</v>
      </c>
      <c r="AT248" s="67" t="str">
        <f t="shared" si="28"/>
        <v/>
      </c>
      <c r="AU248" s="66" t="str">
        <f t="shared" si="29"/>
        <v/>
      </c>
      <c r="AV248" s="67" t="str">
        <f t="shared" si="30"/>
        <v/>
      </c>
      <c r="AW248" s="67" t="str">
        <f t="shared" si="31"/>
        <v/>
      </c>
      <c r="AX248" s="66" t="str">
        <f t="shared" si="32"/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 t="shared" si="33"/>
        <v/>
      </c>
      <c r="BB248" s="66" t="str">
        <f t="shared" si="34"/>
        <v/>
      </c>
      <c r="BC248" s="66">
        <f t="shared" si="35"/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69">
        <f t="shared" si="27"/>
        <v>0</v>
      </c>
      <c r="AT249" s="67" t="str">
        <f t="shared" si="28"/>
        <v/>
      </c>
      <c r="AU249" s="66" t="str">
        <f t="shared" si="29"/>
        <v/>
      </c>
      <c r="AV249" s="67" t="str">
        <f t="shared" si="30"/>
        <v/>
      </c>
      <c r="AW249" s="67" t="str">
        <f t="shared" si="31"/>
        <v/>
      </c>
      <c r="AX249" s="66" t="str">
        <f t="shared" si="32"/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 t="shared" si="33"/>
        <v/>
      </c>
      <c r="BB249" s="66" t="str">
        <f t="shared" si="34"/>
        <v/>
      </c>
      <c r="BC249" s="66">
        <f t="shared" si="35"/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69">
        <f t="shared" si="27"/>
        <v>0</v>
      </c>
      <c r="AT250" s="67" t="str">
        <f t="shared" si="28"/>
        <v/>
      </c>
      <c r="AU250" s="66" t="str">
        <f t="shared" si="29"/>
        <v/>
      </c>
      <c r="AV250" s="67" t="str">
        <f t="shared" si="30"/>
        <v/>
      </c>
      <c r="AW250" s="67" t="str">
        <f t="shared" si="31"/>
        <v/>
      </c>
      <c r="AX250" s="66" t="str">
        <f t="shared" si="32"/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 t="shared" si="33"/>
        <v/>
      </c>
      <c r="BB250" s="66" t="str">
        <f t="shared" si="34"/>
        <v/>
      </c>
      <c r="BC250" s="66">
        <f t="shared" si="35"/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69">
        <f t="shared" si="27"/>
        <v>0</v>
      </c>
      <c r="AT251" s="67" t="str">
        <f t="shared" si="28"/>
        <v/>
      </c>
      <c r="AU251" s="66" t="str">
        <f t="shared" si="29"/>
        <v/>
      </c>
      <c r="AV251" s="67" t="str">
        <f t="shared" si="30"/>
        <v/>
      </c>
      <c r="AW251" s="67" t="str">
        <f t="shared" si="31"/>
        <v/>
      </c>
      <c r="AX251" s="66" t="str">
        <f t="shared" si="32"/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 t="shared" si="33"/>
        <v/>
      </c>
      <c r="BB251" s="66" t="str">
        <f t="shared" si="34"/>
        <v/>
      </c>
      <c r="BC251" s="66">
        <f t="shared" si="35"/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69">
        <f t="shared" si="27"/>
        <v>0</v>
      </c>
      <c r="AT252" s="67" t="str">
        <f t="shared" si="28"/>
        <v/>
      </c>
      <c r="AU252" s="66" t="str">
        <f t="shared" si="29"/>
        <v/>
      </c>
      <c r="AV252" s="67" t="str">
        <f t="shared" si="30"/>
        <v/>
      </c>
      <c r="AW252" s="67" t="str">
        <f t="shared" si="31"/>
        <v/>
      </c>
      <c r="AX252" s="66" t="str">
        <f t="shared" si="32"/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 t="shared" si="33"/>
        <v/>
      </c>
      <c r="BB252" s="66" t="str">
        <f t="shared" si="34"/>
        <v/>
      </c>
      <c r="BC252" s="66">
        <f t="shared" si="35"/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69">
        <f t="shared" si="27"/>
        <v>0</v>
      </c>
      <c r="AT253" s="67" t="str">
        <f t="shared" si="28"/>
        <v/>
      </c>
      <c r="AU253" s="66" t="str">
        <f t="shared" si="29"/>
        <v/>
      </c>
      <c r="AV253" s="67" t="str">
        <f t="shared" si="30"/>
        <v/>
      </c>
      <c r="AW253" s="67" t="str">
        <f t="shared" si="31"/>
        <v/>
      </c>
      <c r="AX253" s="66" t="str">
        <f t="shared" si="32"/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 t="shared" si="33"/>
        <v/>
      </c>
      <c r="BB253" s="66" t="str">
        <f t="shared" si="34"/>
        <v/>
      </c>
      <c r="BC253" s="66">
        <f t="shared" si="35"/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69">
        <f t="shared" si="27"/>
        <v>0</v>
      </c>
      <c r="AT254" s="67" t="str">
        <f t="shared" si="28"/>
        <v/>
      </c>
      <c r="AU254" s="66" t="str">
        <f t="shared" si="29"/>
        <v/>
      </c>
      <c r="AV254" s="67" t="str">
        <f t="shared" si="30"/>
        <v/>
      </c>
      <c r="AW254" s="67" t="str">
        <f t="shared" si="31"/>
        <v/>
      </c>
      <c r="AX254" s="66" t="str">
        <f t="shared" si="32"/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 t="shared" si="33"/>
        <v/>
      </c>
      <c r="BB254" s="66" t="str">
        <f t="shared" si="34"/>
        <v/>
      </c>
      <c r="BC254" s="66">
        <f t="shared" si="35"/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69">
        <f t="shared" si="27"/>
        <v>0</v>
      </c>
      <c r="AT255" s="67" t="str">
        <f t="shared" si="28"/>
        <v/>
      </c>
      <c r="AU255" s="66" t="str">
        <f t="shared" si="29"/>
        <v/>
      </c>
      <c r="AV255" s="67" t="str">
        <f t="shared" si="30"/>
        <v/>
      </c>
      <c r="AW255" s="67" t="str">
        <f t="shared" si="31"/>
        <v/>
      </c>
      <c r="AX255" s="66" t="str">
        <f t="shared" si="32"/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 t="shared" si="33"/>
        <v/>
      </c>
      <c r="BB255" s="66" t="str">
        <f t="shared" si="34"/>
        <v/>
      </c>
      <c r="BC255" s="66">
        <f t="shared" si="35"/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69">
        <f t="shared" si="27"/>
        <v>0</v>
      </c>
      <c r="AT256" s="67" t="str">
        <f t="shared" si="28"/>
        <v/>
      </c>
      <c r="AU256" s="66" t="str">
        <f t="shared" si="29"/>
        <v/>
      </c>
      <c r="AV256" s="67" t="str">
        <f t="shared" si="30"/>
        <v/>
      </c>
      <c r="AW256" s="67" t="str">
        <f t="shared" si="31"/>
        <v/>
      </c>
      <c r="AX256" s="66" t="str">
        <f t="shared" si="32"/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 t="shared" si="33"/>
        <v/>
      </c>
      <c r="BB256" s="66" t="str">
        <f t="shared" si="34"/>
        <v/>
      </c>
      <c r="BC256" s="66">
        <f t="shared" si="35"/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69">
        <f t="shared" si="27"/>
        <v>0</v>
      </c>
      <c r="AT257" s="67" t="str">
        <f t="shared" si="28"/>
        <v/>
      </c>
      <c r="AU257" s="66" t="str">
        <f t="shared" si="29"/>
        <v/>
      </c>
      <c r="AV257" s="67" t="str">
        <f t="shared" si="30"/>
        <v/>
      </c>
      <c r="AW257" s="67" t="str">
        <f t="shared" si="31"/>
        <v/>
      </c>
      <c r="AX257" s="66" t="str">
        <f t="shared" si="32"/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 t="shared" si="33"/>
        <v/>
      </c>
      <c r="BB257" s="66" t="str">
        <f t="shared" si="34"/>
        <v/>
      </c>
      <c r="BC257" s="66">
        <f t="shared" si="35"/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69">
        <f t="shared" si="27"/>
        <v>0</v>
      </c>
      <c r="AT258" s="67" t="str">
        <f t="shared" si="28"/>
        <v/>
      </c>
      <c r="AU258" s="66" t="str">
        <f t="shared" si="29"/>
        <v/>
      </c>
      <c r="AV258" s="67" t="str">
        <f t="shared" si="30"/>
        <v/>
      </c>
      <c r="AW258" s="67" t="str">
        <f t="shared" si="31"/>
        <v/>
      </c>
      <c r="AX258" s="66" t="str">
        <f t="shared" si="32"/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 t="shared" si="33"/>
        <v/>
      </c>
      <c r="BB258" s="66" t="str">
        <f t="shared" si="34"/>
        <v/>
      </c>
      <c r="BC258" s="66">
        <f t="shared" si="35"/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69">
        <f t="shared" si="27"/>
        <v>0</v>
      </c>
      <c r="AT259" s="67" t="str">
        <f t="shared" si="28"/>
        <v/>
      </c>
      <c r="AU259" s="66" t="str">
        <f t="shared" si="29"/>
        <v/>
      </c>
      <c r="AV259" s="67" t="str">
        <f t="shared" si="30"/>
        <v/>
      </c>
      <c r="AW259" s="67" t="str">
        <f t="shared" si="31"/>
        <v/>
      </c>
      <c r="AX259" s="66" t="str">
        <f t="shared" si="32"/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 t="shared" si="33"/>
        <v/>
      </c>
      <c r="BB259" s="66" t="str">
        <f t="shared" si="34"/>
        <v/>
      </c>
      <c r="BC259" s="66">
        <f t="shared" si="35"/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69">
        <f t="shared" si="27"/>
        <v>0</v>
      </c>
      <c r="AT260" s="67" t="str">
        <f t="shared" si="28"/>
        <v/>
      </c>
      <c r="AU260" s="66" t="str">
        <f t="shared" si="29"/>
        <v/>
      </c>
      <c r="AV260" s="67" t="str">
        <f t="shared" si="30"/>
        <v/>
      </c>
      <c r="AW260" s="67" t="str">
        <f t="shared" si="31"/>
        <v/>
      </c>
      <c r="AX260" s="66" t="str">
        <f t="shared" si="32"/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 t="shared" si="33"/>
        <v/>
      </c>
      <c r="BB260" s="66" t="str">
        <f t="shared" si="34"/>
        <v/>
      </c>
      <c r="BC260" s="66">
        <f t="shared" si="35"/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69">
        <f t="shared" ref="AS261:AS324" si="36">SUM(H261,J261,L261,N261,P261,R261,T261,V261,X261,Z261,AB261,AD261,AF261,AH261,AJ261,AL261,AN261)</f>
        <v>0</v>
      </c>
      <c r="AT261" s="67" t="str">
        <f t="shared" ref="AT261:AT324" si="37">IF(C261="","",DATE(YEAR(C261),MONTH(C261),1))</f>
        <v/>
      </c>
      <c r="AU261" s="66" t="str">
        <f t="shared" ref="AU261:AU324" si="38">IF(AT261="","",TEXT(AT261,"mmmm yyyy"))</f>
        <v/>
      </c>
      <c r="AV261" s="67" t="str">
        <f t="shared" ref="AV261:AV324" si="39">IF(C261="","",C261-WEEKDAY(C261,2)+1)</f>
        <v/>
      </c>
      <c r="AW261" s="67" t="str">
        <f t="shared" ref="AW261:AW324" si="40">IF(AV261="","",AV261+6)</f>
        <v/>
      </c>
      <c r="AX261" s="66" t="str">
        <f t="shared" ref="AX261:AX324" si="41"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 t="shared" ref="BA261:BA324" si="42">IF(B261="","",TEXT(AY261,"00")&amp;"|"&amp;B261&amp;"|"&amp;TEXT(AT261,"yyyymmdd"))</f>
        <v/>
      </c>
      <c r="BB261" s="66" t="str">
        <f t="shared" ref="BB261:BB324" si="43">IF(B261="","",TEXT(AZ261,"00")&amp;"|"&amp;B261&amp;"|"&amp;TEXT(AV261,"yyyymmdd"))</f>
        <v/>
      </c>
      <c r="BC261" s="66">
        <f t="shared" ref="BC261:BC324" si="44"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69">
        <f t="shared" si="36"/>
        <v>0</v>
      </c>
      <c r="AT262" s="67" t="str">
        <f t="shared" si="37"/>
        <v/>
      </c>
      <c r="AU262" s="66" t="str">
        <f t="shared" si="38"/>
        <v/>
      </c>
      <c r="AV262" s="67" t="str">
        <f t="shared" si="39"/>
        <v/>
      </c>
      <c r="AW262" s="67" t="str">
        <f t="shared" si="40"/>
        <v/>
      </c>
      <c r="AX262" s="66" t="str">
        <f t="shared" si="41"/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 t="shared" si="42"/>
        <v/>
      </c>
      <c r="BB262" s="66" t="str">
        <f t="shared" si="43"/>
        <v/>
      </c>
      <c r="BC262" s="66">
        <f t="shared" si="44"/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69">
        <f t="shared" si="36"/>
        <v>0</v>
      </c>
      <c r="AT263" s="67" t="str">
        <f t="shared" si="37"/>
        <v/>
      </c>
      <c r="AU263" s="66" t="str">
        <f t="shared" si="38"/>
        <v/>
      </c>
      <c r="AV263" s="67" t="str">
        <f t="shared" si="39"/>
        <v/>
      </c>
      <c r="AW263" s="67" t="str">
        <f t="shared" si="40"/>
        <v/>
      </c>
      <c r="AX263" s="66" t="str">
        <f t="shared" si="41"/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 t="shared" si="42"/>
        <v/>
      </c>
      <c r="BB263" s="66" t="str">
        <f t="shared" si="43"/>
        <v/>
      </c>
      <c r="BC263" s="66">
        <f t="shared" si="44"/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69">
        <f t="shared" si="36"/>
        <v>0</v>
      </c>
      <c r="AT264" s="67" t="str">
        <f t="shared" si="37"/>
        <v/>
      </c>
      <c r="AU264" s="66" t="str">
        <f t="shared" si="38"/>
        <v/>
      </c>
      <c r="AV264" s="67" t="str">
        <f t="shared" si="39"/>
        <v/>
      </c>
      <c r="AW264" s="67" t="str">
        <f t="shared" si="40"/>
        <v/>
      </c>
      <c r="AX264" s="66" t="str">
        <f t="shared" si="41"/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 t="shared" si="42"/>
        <v/>
      </c>
      <c r="BB264" s="66" t="str">
        <f t="shared" si="43"/>
        <v/>
      </c>
      <c r="BC264" s="66">
        <f t="shared" si="44"/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69">
        <f t="shared" si="36"/>
        <v>0</v>
      </c>
      <c r="AT265" s="67" t="str">
        <f t="shared" si="37"/>
        <v/>
      </c>
      <c r="AU265" s="66" t="str">
        <f t="shared" si="38"/>
        <v/>
      </c>
      <c r="AV265" s="67" t="str">
        <f t="shared" si="39"/>
        <v/>
      </c>
      <c r="AW265" s="67" t="str">
        <f t="shared" si="40"/>
        <v/>
      </c>
      <c r="AX265" s="66" t="str">
        <f t="shared" si="41"/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 t="shared" si="42"/>
        <v/>
      </c>
      <c r="BB265" s="66" t="str">
        <f t="shared" si="43"/>
        <v/>
      </c>
      <c r="BC265" s="66">
        <f t="shared" si="44"/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69">
        <f t="shared" si="36"/>
        <v>0</v>
      </c>
      <c r="AT266" s="67" t="str">
        <f t="shared" si="37"/>
        <v/>
      </c>
      <c r="AU266" s="66" t="str">
        <f t="shared" si="38"/>
        <v/>
      </c>
      <c r="AV266" s="67" t="str">
        <f t="shared" si="39"/>
        <v/>
      </c>
      <c r="AW266" s="67" t="str">
        <f t="shared" si="40"/>
        <v/>
      </c>
      <c r="AX266" s="66" t="str">
        <f t="shared" si="41"/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 t="shared" si="42"/>
        <v/>
      </c>
      <c r="BB266" s="66" t="str">
        <f t="shared" si="43"/>
        <v/>
      </c>
      <c r="BC266" s="66">
        <f t="shared" si="44"/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69">
        <f t="shared" si="36"/>
        <v>0</v>
      </c>
      <c r="AT267" s="67" t="str">
        <f t="shared" si="37"/>
        <v/>
      </c>
      <c r="AU267" s="66" t="str">
        <f t="shared" si="38"/>
        <v/>
      </c>
      <c r="AV267" s="67" t="str">
        <f t="shared" si="39"/>
        <v/>
      </c>
      <c r="AW267" s="67" t="str">
        <f t="shared" si="40"/>
        <v/>
      </c>
      <c r="AX267" s="66" t="str">
        <f t="shared" si="41"/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 t="shared" si="42"/>
        <v/>
      </c>
      <c r="BB267" s="66" t="str">
        <f t="shared" si="43"/>
        <v/>
      </c>
      <c r="BC267" s="66">
        <f t="shared" si="44"/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69">
        <f t="shared" si="36"/>
        <v>0</v>
      </c>
      <c r="AT268" s="67" t="str">
        <f t="shared" si="37"/>
        <v/>
      </c>
      <c r="AU268" s="66" t="str">
        <f t="shared" si="38"/>
        <v/>
      </c>
      <c r="AV268" s="67" t="str">
        <f t="shared" si="39"/>
        <v/>
      </c>
      <c r="AW268" s="67" t="str">
        <f t="shared" si="40"/>
        <v/>
      </c>
      <c r="AX268" s="66" t="str">
        <f t="shared" si="41"/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 t="shared" si="42"/>
        <v/>
      </c>
      <c r="BB268" s="66" t="str">
        <f t="shared" si="43"/>
        <v/>
      </c>
      <c r="BC268" s="66">
        <f t="shared" si="44"/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69">
        <f t="shared" si="36"/>
        <v>0</v>
      </c>
      <c r="AT269" s="67" t="str">
        <f t="shared" si="37"/>
        <v/>
      </c>
      <c r="AU269" s="66" t="str">
        <f t="shared" si="38"/>
        <v/>
      </c>
      <c r="AV269" s="67" t="str">
        <f t="shared" si="39"/>
        <v/>
      </c>
      <c r="AW269" s="67" t="str">
        <f t="shared" si="40"/>
        <v/>
      </c>
      <c r="AX269" s="66" t="str">
        <f t="shared" si="41"/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 t="shared" si="42"/>
        <v/>
      </c>
      <c r="BB269" s="66" t="str">
        <f t="shared" si="43"/>
        <v/>
      </c>
      <c r="BC269" s="66">
        <f t="shared" si="44"/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69">
        <f t="shared" si="36"/>
        <v>0</v>
      </c>
      <c r="AT270" s="67" t="str">
        <f t="shared" si="37"/>
        <v/>
      </c>
      <c r="AU270" s="66" t="str">
        <f t="shared" si="38"/>
        <v/>
      </c>
      <c r="AV270" s="67" t="str">
        <f t="shared" si="39"/>
        <v/>
      </c>
      <c r="AW270" s="67" t="str">
        <f t="shared" si="40"/>
        <v/>
      </c>
      <c r="AX270" s="66" t="str">
        <f t="shared" si="41"/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 t="shared" si="42"/>
        <v/>
      </c>
      <c r="BB270" s="66" t="str">
        <f t="shared" si="43"/>
        <v/>
      </c>
      <c r="BC270" s="66">
        <f t="shared" si="44"/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69">
        <f t="shared" si="36"/>
        <v>0</v>
      </c>
      <c r="AT271" s="67" t="str">
        <f t="shared" si="37"/>
        <v/>
      </c>
      <c r="AU271" s="66" t="str">
        <f t="shared" si="38"/>
        <v/>
      </c>
      <c r="AV271" s="67" t="str">
        <f t="shared" si="39"/>
        <v/>
      </c>
      <c r="AW271" s="67" t="str">
        <f t="shared" si="40"/>
        <v/>
      </c>
      <c r="AX271" s="66" t="str">
        <f t="shared" si="41"/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 t="shared" si="42"/>
        <v/>
      </c>
      <c r="BB271" s="66" t="str">
        <f t="shared" si="43"/>
        <v/>
      </c>
      <c r="BC271" s="66">
        <f t="shared" si="44"/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69">
        <f t="shared" si="36"/>
        <v>0</v>
      </c>
      <c r="AT272" s="67" t="str">
        <f t="shared" si="37"/>
        <v/>
      </c>
      <c r="AU272" s="66" t="str">
        <f t="shared" si="38"/>
        <v/>
      </c>
      <c r="AV272" s="67" t="str">
        <f t="shared" si="39"/>
        <v/>
      </c>
      <c r="AW272" s="67" t="str">
        <f t="shared" si="40"/>
        <v/>
      </c>
      <c r="AX272" s="66" t="str">
        <f t="shared" si="41"/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 t="shared" si="42"/>
        <v/>
      </c>
      <c r="BB272" s="66" t="str">
        <f t="shared" si="43"/>
        <v/>
      </c>
      <c r="BC272" s="66">
        <f t="shared" si="44"/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69">
        <f t="shared" si="36"/>
        <v>0</v>
      </c>
      <c r="AT273" s="67" t="str">
        <f t="shared" si="37"/>
        <v/>
      </c>
      <c r="AU273" s="66" t="str">
        <f t="shared" si="38"/>
        <v/>
      </c>
      <c r="AV273" s="67" t="str">
        <f t="shared" si="39"/>
        <v/>
      </c>
      <c r="AW273" s="67" t="str">
        <f t="shared" si="40"/>
        <v/>
      </c>
      <c r="AX273" s="66" t="str">
        <f t="shared" si="41"/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 t="shared" si="42"/>
        <v/>
      </c>
      <c r="BB273" s="66" t="str">
        <f t="shared" si="43"/>
        <v/>
      </c>
      <c r="BC273" s="66">
        <f t="shared" si="44"/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69">
        <f t="shared" si="36"/>
        <v>0</v>
      </c>
      <c r="AT274" s="67" t="str">
        <f t="shared" si="37"/>
        <v/>
      </c>
      <c r="AU274" s="66" t="str">
        <f t="shared" si="38"/>
        <v/>
      </c>
      <c r="AV274" s="67" t="str">
        <f t="shared" si="39"/>
        <v/>
      </c>
      <c r="AW274" s="67" t="str">
        <f t="shared" si="40"/>
        <v/>
      </c>
      <c r="AX274" s="66" t="str">
        <f t="shared" si="41"/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 t="shared" si="42"/>
        <v/>
      </c>
      <c r="BB274" s="66" t="str">
        <f t="shared" si="43"/>
        <v/>
      </c>
      <c r="BC274" s="66">
        <f t="shared" si="44"/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69">
        <f t="shared" si="36"/>
        <v>0</v>
      </c>
      <c r="AT275" s="67" t="str">
        <f t="shared" si="37"/>
        <v/>
      </c>
      <c r="AU275" s="66" t="str">
        <f t="shared" si="38"/>
        <v/>
      </c>
      <c r="AV275" s="67" t="str">
        <f t="shared" si="39"/>
        <v/>
      </c>
      <c r="AW275" s="67" t="str">
        <f t="shared" si="40"/>
        <v/>
      </c>
      <c r="AX275" s="66" t="str">
        <f t="shared" si="41"/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 t="shared" si="42"/>
        <v/>
      </c>
      <c r="BB275" s="66" t="str">
        <f t="shared" si="43"/>
        <v/>
      </c>
      <c r="BC275" s="66">
        <f t="shared" si="44"/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69">
        <f t="shared" si="36"/>
        <v>0</v>
      </c>
      <c r="AT276" s="67" t="str">
        <f t="shared" si="37"/>
        <v/>
      </c>
      <c r="AU276" s="66" t="str">
        <f t="shared" si="38"/>
        <v/>
      </c>
      <c r="AV276" s="67" t="str">
        <f t="shared" si="39"/>
        <v/>
      </c>
      <c r="AW276" s="67" t="str">
        <f t="shared" si="40"/>
        <v/>
      </c>
      <c r="AX276" s="66" t="str">
        <f t="shared" si="41"/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 t="shared" si="42"/>
        <v/>
      </c>
      <c r="BB276" s="66" t="str">
        <f t="shared" si="43"/>
        <v/>
      </c>
      <c r="BC276" s="66">
        <f t="shared" si="44"/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69">
        <f t="shared" si="36"/>
        <v>0</v>
      </c>
      <c r="AT277" s="67" t="str">
        <f t="shared" si="37"/>
        <v/>
      </c>
      <c r="AU277" s="66" t="str">
        <f t="shared" si="38"/>
        <v/>
      </c>
      <c r="AV277" s="67" t="str">
        <f t="shared" si="39"/>
        <v/>
      </c>
      <c r="AW277" s="67" t="str">
        <f t="shared" si="40"/>
        <v/>
      </c>
      <c r="AX277" s="66" t="str">
        <f t="shared" si="41"/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 t="shared" si="42"/>
        <v/>
      </c>
      <c r="BB277" s="66" t="str">
        <f t="shared" si="43"/>
        <v/>
      </c>
      <c r="BC277" s="66">
        <f t="shared" si="44"/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69">
        <f t="shared" si="36"/>
        <v>0</v>
      </c>
      <c r="AT278" s="67" t="str">
        <f t="shared" si="37"/>
        <v/>
      </c>
      <c r="AU278" s="66" t="str">
        <f t="shared" si="38"/>
        <v/>
      </c>
      <c r="AV278" s="67" t="str">
        <f t="shared" si="39"/>
        <v/>
      </c>
      <c r="AW278" s="67" t="str">
        <f t="shared" si="40"/>
        <v/>
      </c>
      <c r="AX278" s="66" t="str">
        <f t="shared" si="41"/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 t="shared" si="42"/>
        <v/>
      </c>
      <c r="BB278" s="66" t="str">
        <f t="shared" si="43"/>
        <v/>
      </c>
      <c r="BC278" s="66">
        <f t="shared" si="44"/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69">
        <f t="shared" si="36"/>
        <v>0</v>
      </c>
      <c r="AT279" s="67" t="str">
        <f t="shared" si="37"/>
        <v/>
      </c>
      <c r="AU279" s="66" t="str">
        <f t="shared" si="38"/>
        <v/>
      </c>
      <c r="AV279" s="67" t="str">
        <f t="shared" si="39"/>
        <v/>
      </c>
      <c r="AW279" s="67" t="str">
        <f t="shared" si="40"/>
        <v/>
      </c>
      <c r="AX279" s="66" t="str">
        <f t="shared" si="41"/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 t="shared" si="42"/>
        <v/>
      </c>
      <c r="BB279" s="66" t="str">
        <f t="shared" si="43"/>
        <v/>
      </c>
      <c r="BC279" s="66">
        <f t="shared" si="44"/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69">
        <f t="shared" si="36"/>
        <v>0</v>
      </c>
      <c r="AT280" s="67" t="str">
        <f t="shared" si="37"/>
        <v/>
      </c>
      <c r="AU280" s="66" t="str">
        <f t="shared" si="38"/>
        <v/>
      </c>
      <c r="AV280" s="67" t="str">
        <f t="shared" si="39"/>
        <v/>
      </c>
      <c r="AW280" s="67" t="str">
        <f t="shared" si="40"/>
        <v/>
      </c>
      <c r="AX280" s="66" t="str">
        <f t="shared" si="41"/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 t="shared" si="42"/>
        <v/>
      </c>
      <c r="BB280" s="66" t="str">
        <f t="shared" si="43"/>
        <v/>
      </c>
      <c r="BC280" s="66">
        <f t="shared" si="44"/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69">
        <f t="shared" si="36"/>
        <v>0</v>
      </c>
      <c r="AT281" s="67" t="str">
        <f t="shared" si="37"/>
        <v/>
      </c>
      <c r="AU281" s="66" t="str">
        <f t="shared" si="38"/>
        <v/>
      </c>
      <c r="AV281" s="67" t="str">
        <f t="shared" si="39"/>
        <v/>
      </c>
      <c r="AW281" s="67" t="str">
        <f t="shared" si="40"/>
        <v/>
      </c>
      <c r="AX281" s="66" t="str">
        <f t="shared" si="41"/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 t="shared" si="42"/>
        <v/>
      </c>
      <c r="BB281" s="66" t="str">
        <f t="shared" si="43"/>
        <v/>
      </c>
      <c r="BC281" s="66">
        <f t="shared" si="44"/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69">
        <f t="shared" si="36"/>
        <v>0</v>
      </c>
      <c r="AT282" s="67" t="str">
        <f t="shared" si="37"/>
        <v/>
      </c>
      <c r="AU282" s="66" t="str">
        <f t="shared" si="38"/>
        <v/>
      </c>
      <c r="AV282" s="67" t="str">
        <f t="shared" si="39"/>
        <v/>
      </c>
      <c r="AW282" s="67" t="str">
        <f t="shared" si="40"/>
        <v/>
      </c>
      <c r="AX282" s="66" t="str">
        <f t="shared" si="41"/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 t="shared" si="42"/>
        <v/>
      </c>
      <c r="BB282" s="66" t="str">
        <f t="shared" si="43"/>
        <v/>
      </c>
      <c r="BC282" s="66">
        <f t="shared" si="44"/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69">
        <f t="shared" si="36"/>
        <v>0</v>
      </c>
      <c r="AT283" s="67" t="str">
        <f t="shared" si="37"/>
        <v/>
      </c>
      <c r="AU283" s="66" t="str">
        <f t="shared" si="38"/>
        <v/>
      </c>
      <c r="AV283" s="67" t="str">
        <f t="shared" si="39"/>
        <v/>
      </c>
      <c r="AW283" s="67" t="str">
        <f t="shared" si="40"/>
        <v/>
      </c>
      <c r="AX283" s="66" t="str">
        <f t="shared" si="41"/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 t="shared" si="42"/>
        <v/>
      </c>
      <c r="BB283" s="66" t="str">
        <f t="shared" si="43"/>
        <v/>
      </c>
      <c r="BC283" s="66">
        <f t="shared" si="44"/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69">
        <f t="shared" si="36"/>
        <v>0</v>
      </c>
      <c r="AT284" s="67" t="str">
        <f t="shared" si="37"/>
        <v/>
      </c>
      <c r="AU284" s="66" t="str">
        <f t="shared" si="38"/>
        <v/>
      </c>
      <c r="AV284" s="67" t="str">
        <f t="shared" si="39"/>
        <v/>
      </c>
      <c r="AW284" s="67" t="str">
        <f t="shared" si="40"/>
        <v/>
      </c>
      <c r="AX284" s="66" t="str">
        <f t="shared" si="41"/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 t="shared" si="42"/>
        <v/>
      </c>
      <c r="BB284" s="66" t="str">
        <f t="shared" si="43"/>
        <v/>
      </c>
      <c r="BC284" s="66">
        <f t="shared" si="44"/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69">
        <f t="shared" si="36"/>
        <v>0</v>
      </c>
      <c r="AT285" s="67" t="str">
        <f t="shared" si="37"/>
        <v/>
      </c>
      <c r="AU285" s="66" t="str">
        <f t="shared" si="38"/>
        <v/>
      </c>
      <c r="AV285" s="67" t="str">
        <f t="shared" si="39"/>
        <v/>
      </c>
      <c r="AW285" s="67" t="str">
        <f t="shared" si="40"/>
        <v/>
      </c>
      <c r="AX285" s="66" t="str">
        <f t="shared" si="41"/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 t="shared" si="42"/>
        <v/>
      </c>
      <c r="BB285" s="66" t="str">
        <f t="shared" si="43"/>
        <v/>
      </c>
      <c r="BC285" s="66">
        <f t="shared" si="44"/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69">
        <f t="shared" si="36"/>
        <v>0</v>
      </c>
      <c r="AT286" s="67" t="str">
        <f t="shared" si="37"/>
        <v/>
      </c>
      <c r="AU286" s="66" t="str">
        <f t="shared" si="38"/>
        <v/>
      </c>
      <c r="AV286" s="67" t="str">
        <f t="shared" si="39"/>
        <v/>
      </c>
      <c r="AW286" s="67" t="str">
        <f t="shared" si="40"/>
        <v/>
      </c>
      <c r="AX286" s="66" t="str">
        <f t="shared" si="41"/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 t="shared" si="42"/>
        <v/>
      </c>
      <c r="BB286" s="66" t="str">
        <f t="shared" si="43"/>
        <v/>
      </c>
      <c r="BC286" s="66">
        <f t="shared" si="44"/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69">
        <f t="shared" si="36"/>
        <v>0</v>
      </c>
      <c r="AT287" s="67" t="str">
        <f t="shared" si="37"/>
        <v/>
      </c>
      <c r="AU287" s="66" t="str">
        <f t="shared" si="38"/>
        <v/>
      </c>
      <c r="AV287" s="67" t="str">
        <f t="shared" si="39"/>
        <v/>
      </c>
      <c r="AW287" s="67" t="str">
        <f t="shared" si="40"/>
        <v/>
      </c>
      <c r="AX287" s="66" t="str">
        <f t="shared" si="41"/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 t="shared" si="42"/>
        <v/>
      </c>
      <c r="BB287" s="66" t="str">
        <f t="shared" si="43"/>
        <v/>
      </c>
      <c r="BC287" s="66">
        <f t="shared" si="44"/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69">
        <f t="shared" si="36"/>
        <v>0</v>
      </c>
      <c r="AT288" s="67" t="str">
        <f t="shared" si="37"/>
        <v/>
      </c>
      <c r="AU288" s="66" t="str">
        <f t="shared" si="38"/>
        <v/>
      </c>
      <c r="AV288" s="67" t="str">
        <f t="shared" si="39"/>
        <v/>
      </c>
      <c r="AW288" s="67" t="str">
        <f t="shared" si="40"/>
        <v/>
      </c>
      <c r="AX288" s="66" t="str">
        <f t="shared" si="41"/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 t="shared" si="42"/>
        <v/>
      </c>
      <c r="BB288" s="66" t="str">
        <f t="shared" si="43"/>
        <v/>
      </c>
      <c r="BC288" s="66">
        <f t="shared" si="44"/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69">
        <f t="shared" si="36"/>
        <v>0</v>
      </c>
      <c r="AT289" s="67" t="str">
        <f t="shared" si="37"/>
        <v/>
      </c>
      <c r="AU289" s="66" t="str">
        <f t="shared" si="38"/>
        <v/>
      </c>
      <c r="AV289" s="67" t="str">
        <f t="shared" si="39"/>
        <v/>
      </c>
      <c r="AW289" s="67" t="str">
        <f t="shared" si="40"/>
        <v/>
      </c>
      <c r="AX289" s="66" t="str">
        <f t="shared" si="41"/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 t="shared" si="42"/>
        <v/>
      </c>
      <c r="BB289" s="66" t="str">
        <f t="shared" si="43"/>
        <v/>
      </c>
      <c r="BC289" s="66">
        <f t="shared" si="44"/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69">
        <f t="shared" si="36"/>
        <v>0</v>
      </c>
      <c r="AT290" s="67" t="str">
        <f t="shared" si="37"/>
        <v/>
      </c>
      <c r="AU290" s="66" t="str">
        <f t="shared" si="38"/>
        <v/>
      </c>
      <c r="AV290" s="67" t="str">
        <f t="shared" si="39"/>
        <v/>
      </c>
      <c r="AW290" s="67" t="str">
        <f t="shared" si="40"/>
        <v/>
      </c>
      <c r="AX290" s="66" t="str">
        <f t="shared" si="41"/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 t="shared" si="42"/>
        <v/>
      </c>
      <c r="BB290" s="66" t="str">
        <f t="shared" si="43"/>
        <v/>
      </c>
      <c r="BC290" s="66">
        <f t="shared" si="44"/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69">
        <f t="shared" si="36"/>
        <v>0</v>
      </c>
      <c r="AT291" s="67" t="str">
        <f t="shared" si="37"/>
        <v/>
      </c>
      <c r="AU291" s="66" t="str">
        <f t="shared" si="38"/>
        <v/>
      </c>
      <c r="AV291" s="67" t="str">
        <f t="shared" si="39"/>
        <v/>
      </c>
      <c r="AW291" s="67" t="str">
        <f t="shared" si="40"/>
        <v/>
      </c>
      <c r="AX291" s="66" t="str">
        <f t="shared" si="41"/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 t="shared" si="42"/>
        <v/>
      </c>
      <c r="BB291" s="66" t="str">
        <f t="shared" si="43"/>
        <v/>
      </c>
      <c r="BC291" s="66">
        <f t="shared" si="44"/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69">
        <f t="shared" si="36"/>
        <v>0</v>
      </c>
      <c r="AT292" s="67" t="str">
        <f t="shared" si="37"/>
        <v/>
      </c>
      <c r="AU292" s="66" t="str">
        <f t="shared" si="38"/>
        <v/>
      </c>
      <c r="AV292" s="67" t="str">
        <f t="shared" si="39"/>
        <v/>
      </c>
      <c r="AW292" s="67" t="str">
        <f t="shared" si="40"/>
        <v/>
      </c>
      <c r="AX292" s="66" t="str">
        <f t="shared" si="41"/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 t="shared" si="42"/>
        <v/>
      </c>
      <c r="BB292" s="66" t="str">
        <f t="shared" si="43"/>
        <v/>
      </c>
      <c r="BC292" s="66">
        <f t="shared" si="44"/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69">
        <f t="shared" si="36"/>
        <v>0</v>
      </c>
      <c r="AT293" s="67" t="str">
        <f t="shared" si="37"/>
        <v/>
      </c>
      <c r="AU293" s="66" t="str">
        <f t="shared" si="38"/>
        <v/>
      </c>
      <c r="AV293" s="67" t="str">
        <f t="shared" si="39"/>
        <v/>
      </c>
      <c r="AW293" s="67" t="str">
        <f t="shared" si="40"/>
        <v/>
      </c>
      <c r="AX293" s="66" t="str">
        <f t="shared" si="41"/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 t="shared" si="42"/>
        <v/>
      </c>
      <c r="BB293" s="66" t="str">
        <f t="shared" si="43"/>
        <v/>
      </c>
      <c r="BC293" s="66">
        <f t="shared" si="44"/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69">
        <f t="shared" si="36"/>
        <v>0</v>
      </c>
      <c r="AT294" s="67" t="str">
        <f t="shared" si="37"/>
        <v/>
      </c>
      <c r="AU294" s="66" t="str">
        <f t="shared" si="38"/>
        <v/>
      </c>
      <c r="AV294" s="67" t="str">
        <f t="shared" si="39"/>
        <v/>
      </c>
      <c r="AW294" s="67" t="str">
        <f t="shared" si="40"/>
        <v/>
      </c>
      <c r="AX294" s="66" t="str">
        <f t="shared" si="41"/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 t="shared" si="42"/>
        <v/>
      </c>
      <c r="BB294" s="66" t="str">
        <f t="shared" si="43"/>
        <v/>
      </c>
      <c r="BC294" s="66">
        <f t="shared" si="44"/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69">
        <f t="shared" si="36"/>
        <v>0</v>
      </c>
      <c r="AT295" s="67" t="str">
        <f t="shared" si="37"/>
        <v/>
      </c>
      <c r="AU295" s="66" t="str">
        <f t="shared" si="38"/>
        <v/>
      </c>
      <c r="AV295" s="67" t="str">
        <f t="shared" si="39"/>
        <v/>
      </c>
      <c r="AW295" s="67" t="str">
        <f t="shared" si="40"/>
        <v/>
      </c>
      <c r="AX295" s="66" t="str">
        <f t="shared" si="41"/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 t="shared" si="42"/>
        <v/>
      </c>
      <c r="BB295" s="66" t="str">
        <f t="shared" si="43"/>
        <v/>
      </c>
      <c r="BC295" s="66">
        <f t="shared" si="44"/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69">
        <f t="shared" si="36"/>
        <v>0</v>
      </c>
      <c r="AT296" s="67" t="str">
        <f t="shared" si="37"/>
        <v/>
      </c>
      <c r="AU296" s="66" t="str">
        <f t="shared" si="38"/>
        <v/>
      </c>
      <c r="AV296" s="67" t="str">
        <f t="shared" si="39"/>
        <v/>
      </c>
      <c r="AW296" s="67" t="str">
        <f t="shared" si="40"/>
        <v/>
      </c>
      <c r="AX296" s="66" t="str">
        <f t="shared" si="41"/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 t="shared" si="42"/>
        <v/>
      </c>
      <c r="BB296" s="66" t="str">
        <f t="shared" si="43"/>
        <v/>
      </c>
      <c r="BC296" s="66">
        <f t="shared" si="44"/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69">
        <f t="shared" si="36"/>
        <v>0</v>
      </c>
      <c r="AT297" s="67" t="str">
        <f t="shared" si="37"/>
        <v/>
      </c>
      <c r="AU297" s="66" t="str">
        <f t="shared" si="38"/>
        <v/>
      </c>
      <c r="AV297" s="67" t="str">
        <f t="shared" si="39"/>
        <v/>
      </c>
      <c r="AW297" s="67" t="str">
        <f t="shared" si="40"/>
        <v/>
      </c>
      <c r="AX297" s="66" t="str">
        <f t="shared" si="41"/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 t="shared" si="42"/>
        <v/>
      </c>
      <c r="BB297" s="66" t="str">
        <f t="shared" si="43"/>
        <v/>
      </c>
      <c r="BC297" s="66">
        <f t="shared" si="44"/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69">
        <f t="shared" si="36"/>
        <v>0</v>
      </c>
      <c r="AT298" s="67" t="str">
        <f t="shared" si="37"/>
        <v/>
      </c>
      <c r="AU298" s="66" t="str">
        <f t="shared" si="38"/>
        <v/>
      </c>
      <c r="AV298" s="67" t="str">
        <f t="shared" si="39"/>
        <v/>
      </c>
      <c r="AW298" s="67" t="str">
        <f t="shared" si="40"/>
        <v/>
      </c>
      <c r="AX298" s="66" t="str">
        <f t="shared" si="41"/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 t="shared" si="42"/>
        <v/>
      </c>
      <c r="BB298" s="66" t="str">
        <f t="shared" si="43"/>
        <v/>
      </c>
      <c r="BC298" s="66">
        <f t="shared" si="44"/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69">
        <f t="shared" si="36"/>
        <v>0</v>
      </c>
      <c r="AT299" s="67" t="str">
        <f t="shared" si="37"/>
        <v/>
      </c>
      <c r="AU299" s="66" t="str">
        <f t="shared" si="38"/>
        <v/>
      </c>
      <c r="AV299" s="67" t="str">
        <f t="shared" si="39"/>
        <v/>
      </c>
      <c r="AW299" s="67" t="str">
        <f t="shared" si="40"/>
        <v/>
      </c>
      <c r="AX299" s="66" t="str">
        <f t="shared" si="41"/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 t="shared" si="42"/>
        <v/>
      </c>
      <c r="BB299" s="66" t="str">
        <f t="shared" si="43"/>
        <v/>
      </c>
      <c r="BC299" s="66">
        <f t="shared" si="44"/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69">
        <f t="shared" si="36"/>
        <v>0</v>
      </c>
      <c r="AT300" s="67" t="str">
        <f t="shared" si="37"/>
        <v/>
      </c>
      <c r="AU300" s="66" t="str">
        <f t="shared" si="38"/>
        <v/>
      </c>
      <c r="AV300" s="67" t="str">
        <f t="shared" si="39"/>
        <v/>
      </c>
      <c r="AW300" s="67" t="str">
        <f t="shared" si="40"/>
        <v/>
      </c>
      <c r="AX300" s="66" t="str">
        <f t="shared" si="41"/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 t="shared" si="42"/>
        <v/>
      </c>
      <c r="BB300" s="66" t="str">
        <f t="shared" si="43"/>
        <v/>
      </c>
      <c r="BC300" s="66">
        <f t="shared" si="44"/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69">
        <f t="shared" si="36"/>
        <v>0</v>
      </c>
      <c r="AT301" s="67" t="str">
        <f t="shared" si="37"/>
        <v/>
      </c>
      <c r="AU301" s="66" t="str">
        <f t="shared" si="38"/>
        <v/>
      </c>
      <c r="AV301" s="67" t="str">
        <f t="shared" si="39"/>
        <v/>
      </c>
      <c r="AW301" s="67" t="str">
        <f t="shared" si="40"/>
        <v/>
      </c>
      <c r="AX301" s="66" t="str">
        <f t="shared" si="41"/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 t="shared" si="42"/>
        <v/>
      </c>
      <c r="BB301" s="66" t="str">
        <f t="shared" si="43"/>
        <v/>
      </c>
      <c r="BC301" s="66">
        <f t="shared" si="44"/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69">
        <f t="shared" si="36"/>
        <v>0</v>
      </c>
      <c r="AT302" s="67" t="str">
        <f t="shared" si="37"/>
        <v/>
      </c>
      <c r="AU302" s="66" t="str">
        <f t="shared" si="38"/>
        <v/>
      </c>
      <c r="AV302" s="67" t="str">
        <f t="shared" si="39"/>
        <v/>
      </c>
      <c r="AW302" s="67" t="str">
        <f t="shared" si="40"/>
        <v/>
      </c>
      <c r="AX302" s="66" t="str">
        <f t="shared" si="41"/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 t="shared" si="42"/>
        <v/>
      </c>
      <c r="BB302" s="66" t="str">
        <f t="shared" si="43"/>
        <v/>
      </c>
      <c r="BC302" s="66">
        <f t="shared" si="44"/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69">
        <f t="shared" si="36"/>
        <v>0</v>
      </c>
      <c r="AT303" s="67" t="str">
        <f t="shared" si="37"/>
        <v/>
      </c>
      <c r="AU303" s="66" t="str">
        <f t="shared" si="38"/>
        <v/>
      </c>
      <c r="AV303" s="67" t="str">
        <f t="shared" si="39"/>
        <v/>
      </c>
      <c r="AW303" s="67" t="str">
        <f t="shared" si="40"/>
        <v/>
      </c>
      <c r="AX303" s="66" t="str">
        <f t="shared" si="41"/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 t="shared" si="42"/>
        <v/>
      </c>
      <c r="BB303" s="66" t="str">
        <f t="shared" si="43"/>
        <v/>
      </c>
      <c r="BC303" s="66">
        <f t="shared" si="44"/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69">
        <f t="shared" si="36"/>
        <v>0</v>
      </c>
      <c r="AT304" s="67" t="str">
        <f t="shared" si="37"/>
        <v/>
      </c>
      <c r="AU304" s="66" t="str">
        <f t="shared" si="38"/>
        <v/>
      </c>
      <c r="AV304" s="67" t="str">
        <f t="shared" si="39"/>
        <v/>
      </c>
      <c r="AW304" s="67" t="str">
        <f t="shared" si="40"/>
        <v/>
      </c>
      <c r="AX304" s="66" t="str">
        <f t="shared" si="41"/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 t="shared" si="42"/>
        <v/>
      </c>
      <c r="BB304" s="66" t="str">
        <f t="shared" si="43"/>
        <v/>
      </c>
      <c r="BC304" s="66">
        <f t="shared" si="44"/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69">
        <f t="shared" si="36"/>
        <v>0</v>
      </c>
      <c r="AT305" s="67" t="str">
        <f t="shared" si="37"/>
        <v/>
      </c>
      <c r="AU305" s="66" t="str">
        <f t="shared" si="38"/>
        <v/>
      </c>
      <c r="AV305" s="67" t="str">
        <f t="shared" si="39"/>
        <v/>
      </c>
      <c r="AW305" s="67" t="str">
        <f t="shared" si="40"/>
        <v/>
      </c>
      <c r="AX305" s="66" t="str">
        <f t="shared" si="41"/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 t="shared" si="42"/>
        <v/>
      </c>
      <c r="BB305" s="66" t="str">
        <f t="shared" si="43"/>
        <v/>
      </c>
      <c r="BC305" s="66">
        <f t="shared" si="44"/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69">
        <f t="shared" si="36"/>
        <v>0</v>
      </c>
      <c r="AT306" s="67" t="str">
        <f t="shared" si="37"/>
        <v/>
      </c>
      <c r="AU306" s="66" t="str">
        <f t="shared" si="38"/>
        <v/>
      </c>
      <c r="AV306" s="67" t="str">
        <f t="shared" si="39"/>
        <v/>
      </c>
      <c r="AW306" s="67" t="str">
        <f t="shared" si="40"/>
        <v/>
      </c>
      <c r="AX306" s="66" t="str">
        <f t="shared" si="41"/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 t="shared" si="42"/>
        <v/>
      </c>
      <c r="BB306" s="66" t="str">
        <f t="shared" si="43"/>
        <v/>
      </c>
      <c r="BC306" s="66">
        <f t="shared" si="44"/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69">
        <f t="shared" si="36"/>
        <v>0</v>
      </c>
      <c r="AT307" s="67" t="str">
        <f t="shared" si="37"/>
        <v/>
      </c>
      <c r="AU307" s="66" t="str">
        <f t="shared" si="38"/>
        <v/>
      </c>
      <c r="AV307" s="67" t="str">
        <f t="shared" si="39"/>
        <v/>
      </c>
      <c r="AW307" s="67" t="str">
        <f t="shared" si="40"/>
        <v/>
      </c>
      <c r="AX307" s="66" t="str">
        <f t="shared" si="41"/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 t="shared" si="42"/>
        <v/>
      </c>
      <c r="BB307" s="66" t="str">
        <f t="shared" si="43"/>
        <v/>
      </c>
      <c r="BC307" s="66">
        <f t="shared" si="44"/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69">
        <f t="shared" si="36"/>
        <v>0</v>
      </c>
      <c r="AT308" s="67" t="str">
        <f t="shared" si="37"/>
        <v/>
      </c>
      <c r="AU308" s="66" t="str">
        <f t="shared" si="38"/>
        <v/>
      </c>
      <c r="AV308" s="67" t="str">
        <f t="shared" si="39"/>
        <v/>
      </c>
      <c r="AW308" s="67" t="str">
        <f t="shared" si="40"/>
        <v/>
      </c>
      <c r="AX308" s="66" t="str">
        <f t="shared" si="41"/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 t="shared" si="42"/>
        <v/>
      </c>
      <c r="BB308" s="66" t="str">
        <f t="shared" si="43"/>
        <v/>
      </c>
      <c r="BC308" s="66">
        <f t="shared" si="44"/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69">
        <f t="shared" si="36"/>
        <v>0</v>
      </c>
      <c r="AT309" s="67" t="str">
        <f t="shared" si="37"/>
        <v/>
      </c>
      <c r="AU309" s="66" t="str">
        <f t="shared" si="38"/>
        <v/>
      </c>
      <c r="AV309" s="67" t="str">
        <f t="shared" si="39"/>
        <v/>
      </c>
      <c r="AW309" s="67" t="str">
        <f t="shared" si="40"/>
        <v/>
      </c>
      <c r="AX309" s="66" t="str">
        <f t="shared" si="41"/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 t="shared" si="42"/>
        <v/>
      </c>
      <c r="BB309" s="66" t="str">
        <f t="shared" si="43"/>
        <v/>
      </c>
      <c r="BC309" s="66">
        <f t="shared" si="44"/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69">
        <f t="shared" si="36"/>
        <v>0</v>
      </c>
      <c r="AT310" s="67" t="str">
        <f t="shared" si="37"/>
        <v/>
      </c>
      <c r="AU310" s="66" t="str">
        <f t="shared" si="38"/>
        <v/>
      </c>
      <c r="AV310" s="67" t="str">
        <f t="shared" si="39"/>
        <v/>
      </c>
      <c r="AW310" s="67" t="str">
        <f t="shared" si="40"/>
        <v/>
      </c>
      <c r="AX310" s="66" t="str">
        <f t="shared" si="41"/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 t="shared" si="42"/>
        <v/>
      </c>
      <c r="BB310" s="66" t="str">
        <f t="shared" si="43"/>
        <v/>
      </c>
      <c r="BC310" s="66">
        <f t="shared" si="44"/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69">
        <f t="shared" si="36"/>
        <v>0</v>
      </c>
      <c r="AT311" s="67" t="str">
        <f t="shared" si="37"/>
        <v/>
      </c>
      <c r="AU311" s="66" t="str">
        <f t="shared" si="38"/>
        <v/>
      </c>
      <c r="AV311" s="67" t="str">
        <f t="shared" si="39"/>
        <v/>
      </c>
      <c r="AW311" s="67" t="str">
        <f t="shared" si="40"/>
        <v/>
      </c>
      <c r="AX311" s="66" t="str">
        <f t="shared" si="41"/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 t="shared" si="42"/>
        <v/>
      </c>
      <c r="BB311" s="66" t="str">
        <f t="shared" si="43"/>
        <v/>
      </c>
      <c r="BC311" s="66">
        <f t="shared" si="44"/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69">
        <f t="shared" si="36"/>
        <v>0</v>
      </c>
      <c r="AT312" s="67" t="str">
        <f t="shared" si="37"/>
        <v/>
      </c>
      <c r="AU312" s="66" t="str">
        <f t="shared" si="38"/>
        <v/>
      </c>
      <c r="AV312" s="67" t="str">
        <f t="shared" si="39"/>
        <v/>
      </c>
      <c r="AW312" s="67" t="str">
        <f t="shared" si="40"/>
        <v/>
      </c>
      <c r="AX312" s="66" t="str">
        <f t="shared" si="41"/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 t="shared" si="42"/>
        <v/>
      </c>
      <c r="BB312" s="66" t="str">
        <f t="shared" si="43"/>
        <v/>
      </c>
      <c r="BC312" s="66">
        <f t="shared" si="44"/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69">
        <f t="shared" si="36"/>
        <v>0</v>
      </c>
      <c r="AT313" s="67" t="str">
        <f t="shared" si="37"/>
        <v/>
      </c>
      <c r="AU313" s="66" t="str">
        <f t="shared" si="38"/>
        <v/>
      </c>
      <c r="AV313" s="67" t="str">
        <f t="shared" si="39"/>
        <v/>
      </c>
      <c r="AW313" s="67" t="str">
        <f t="shared" si="40"/>
        <v/>
      </c>
      <c r="AX313" s="66" t="str">
        <f t="shared" si="41"/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 t="shared" si="42"/>
        <v/>
      </c>
      <c r="BB313" s="66" t="str">
        <f t="shared" si="43"/>
        <v/>
      </c>
      <c r="BC313" s="66">
        <f t="shared" si="44"/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69">
        <f t="shared" si="36"/>
        <v>0</v>
      </c>
      <c r="AT314" s="67" t="str">
        <f t="shared" si="37"/>
        <v/>
      </c>
      <c r="AU314" s="66" t="str">
        <f t="shared" si="38"/>
        <v/>
      </c>
      <c r="AV314" s="67" t="str">
        <f t="shared" si="39"/>
        <v/>
      </c>
      <c r="AW314" s="67" t="str">
        <f t="shared" si="40"/>
        <v/>
      </c>
      <c r="AX314" s="66" t="str">
        <f t="shared" si="41"/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 t="shared" si="42"/>
        <v/>
      </c>
      <c r="BB314" s="66" t="str">
        <f t="shared" si="43"/>
        <v/>
      </c>
      <c r="BC314" s="66">
        <f t="shared" si="44"/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69">
        <f t="shared" si="36"/>
        <v>0</v>
      </c>
      <c r="AT315" s="67" t="str">
        <f t="shared" si="37"/>
        <v/>
      </c>
      <c r="AU315" s="66" t="str">
        <f t="shared" si="38"/>
        <v/>
      </c>
      <c r="AV315" s="67" t="str">
        <f t="shared" si="39"/>
        <v/>
      </c>
      <c r="AW315" s="67" t="str">
        <f t="shared" si="40"/>
        <v/>
      </c>
      <c r="AX315" s="66" t="str">
        <f t="shared" si="41"/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 t="shared" si="42"/>
        <v/>
      </c>
      <c r="BB315" s="66" t="str">
        <f t="shared" si="43"/>
        <v/>
      </c>
      <c r="BC315" s="66">
        <f t="shared" si="44"/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69">
        <f t="shared" si="36"/>
        <v>0</v>
      </c>
      <c r="AT316" s="67" t="str">
        <f t="shared" si="37"/>
        <v/>
      </c>
      <c r="AU316" s="66" t="str">
        <f t="shared" si="38"/>
        <v/>
      </c>
      <c r="AV316" s="67" t="str">
        <f t="shared" si="39"/>
        <v/>
      </c>
      <c r="AW316" s="67" t="str">
        <f t="shared" si="40"/>
        <v/>
      </c>
      <c r="AX316" s="66" t="str">
        <f t="shared" si="41"/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 t="shared" si="42"/>
        <v/>
      </c>
      <c r="BB316" s="66" t="str">
        <f t="shared" si="43"/>
        <v/>
      </c>
      <c r="BC316" s="66">
        <f t="shared" si="44"/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69">
        <f t="shared" si="36"/>
        <v>0</v>
      </c>
      <c r="AT317" s="67" t="str">
        <f t="shared" si="37"/>
        <v/>
      </c>
      <c r="AU317" s="66" t="str">
        <f t="shared" si="38"/>
        <v/>
      </c>
      <c r="AV317" s="67" t="str">
        <f t="shared" si="39"/>
        <v/>
      </c>
      <c r="AW317" s="67" t="str">
        <f t="shared" si="40"/>
        <v/>
      </c>
      <c r="AX317" s="66" t="str">
        <f t="shared" si="41"/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 t="shared" si="42"/>
        <v/>
      </c>
      <c r="BB317" s="66" t="str">
        <f t="shared" si="43"/>
        <v/>
      </c>
      <c r="BC317" s="66">
        <f t="shared" si="44"/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69">
        <f t="shared" si="36"/>
        <v>0</v>
      </c>
      <c r="AT318" s="67" t="str">
        <f t="shared" si="37"/>
        <v/>
      </c>
      <c r="AU318" s="66" t="str">
        <f t="shared" si="38"/>
        <v/>
      </c>
      <c r="AV318" s="67" t="str">
        <f t="shared" si="39"/>
        <v/>
      </c>
      <c r="AW318" s="67" t="str">
        <f t="shared" si="40"/>
        <v/>
      </c>
      <c r="AX318" s="66" t="str">
        <f t="shared" si="41"/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 t="shared" si="42"/>
        <v/>
      </c>
      <c r="BB318" s="66" t="str">
        <f t="shared" si="43"/>
        <v/>
      </c>
      <c r="BC318" s="66">
        <f t="shared" si="44"/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69">
        <f t="shared" si="36"/>
        <v>0</v>
      </c>
      <c r="AT319" s="67" t="str">
        <f t="shared" si="37"/>
        <v/>
      </c>
      <c r="AU319" s="66" t="str">
        <f t="shared" si="38"/>
        <v/>
      </c>
      <c r="AV319" s="67" t="str">
        <f t="shared" si="39"/>
        <v/>
      </c>
      <c r="AW319" s="67" t="str">
        <f t="shared" si="40"/>
        <v/>
      </c>
      <c r="AX319" s="66" t="str">
        <f t="shared" si="41"/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 t="shared" si="42"/>
        <v/>
      </c>
      <c r="BB319" s="66" t="str">
        <f t="shared" si="43"/>
        <v/>
      </c>
      <c r="BC319" s="66">
        <f t="shared" si="44"/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69">
        <f t="shared" si="36"/>
        <v>0</v>
      </c>
      <c r="AT320" s="67" t="str">
        <f t="shared" si="37"/>
        <v/>
      </c>
      <c r="AU320" s="66" t="str">
        <f t="shared" si="38"/>
        <v/>
      </c>
      <c r="AV320" s="67" t="str">
        <f t="shared" si="39"/>
        <v/>
      </c>
      <c r="AW320" s="67" t="str">
        <f t="shared" si="40"/>
        <v/>
      </c>
      <c r="AX320" s="66" t="str">
        <f t="shared" si="41"/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 t="shared" si="42"/>
        <v/>
      </c>
      <c r="BB320" s="66" t="str">
        <f t="shared" si="43"/>
        <v/>
      </c>
      <c r="BC320" s="66">
        <f t="shared" si="44"/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69">
        <f t="shared" si="36"/>
        <v>0</v>
      </c>
      <c r="AT321" s="67" t="str">
        <f t="shared" si="37"/>
        <v/>
      </c>
      <c r="AU321" s="66" t="str">
        <f t="shared" si="38"/>
        <v/>
      </c>
      <c r="AV321" s="67" t="str">
        <f t="shared" si="39"/>
        <v/>
      </c>
      <c r="AW321" s="67" t="str">
        <f t="shared" si="40"/>
        <v/>
      </c>
      <c r="AX321" s="66" t="str">
        <f t="shared" si="41"/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 t="shared" si="42"/>
        <v/>
      </c>
      <c r="BB321" s="66" t="str">
        <f t="shared" si="43"/>
        <v/>
      </c>
      <c r="BC321" s="66">
        <f t="shared" si="44"/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69">
        <f t="shared" si="36"/>
        <v>0</v>
      </c>
      <c r="AT322" s="67" t="str">
        <f t="shared" si="37"/>
        <v/>
      </c>
      <c r="AU322" s="66" t="str">
        <f t="shared" si="38"/>
        <v/>
      </c>
      <c r="AV322" s="67" t="str">
        <f t="shared" si="39"/>
        <v/>
      </c>
      <c r="AW322" s="67" t="str">
        <f t="shared" si="40"/>
        <v/>
      </c>
      <c r="AX322" s="66" t="str">
        <f t="shared" si="41"/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 t="shared" si="42"/>
        <v/>
      </c>
      <c r="BB322" s="66" t="str">
        <f t="shared" si="43"/>
        <v/>
      </c>
      <c r="BC322" s="66">
        <f t="shared" si="44"/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69">
        <f t="shared" si="36"/>
        <v>0</v>
      </c>
      <c r="AT323" s="67" t="str">
        <f t="shared" si="37"/>
        <v/>
      </c>
      <c r="AU323" s="66" t="str">
        <f t="shared" si="38"/>
        <v/>
      </c>
      <c r="AV323" s="67" t="str">
        <f t="shared" si="39"/>
        <v/>
      </c>
      <c r="AW323" s="67" t="str">
        <f t="shared" si="40"/>
        <v/>
      </c>
      <c r="AX323" s="66" t="str">
        <f t="shared" si="41"/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 t="shared" si="42"/>
        <v/>
      </c>
      <c r="BB323" s="66" t="str">
        <f t="shared" si="43"/>
        <v/>
      </c>
      <c r="BC323" s="66">
        <f t="shared" si="44"/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69">
        <f t="shared" si="36"/>
        <v>0</v>
      </c>
      <c r="AT324" s="67" t="str">
        <f t="shared" si="37"/>
        <v/>
      </c>
      <c r="AU324" s="66" t="str">
        <f t="shared" si="38"/>
        <v/>
      </c>
      <c r="AV324" s="67" t="str">
        <f t="shared" si="39"/>
        <v/>
      </c>
      <c r="AW324" s="67" t="str">
        <f t="shared" si="40"/>
        <v/>
      </c>
      <c r="AX324" s="66" t="str">
        <f t="shared" si="41"/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 t="shared" si="42"/>
        <v/>
      </c>
      <c r="BB324" s="66" t="str">
        <f t="shared" si="43"/>
        <v/>
      </c>
      <c r="BC324" s="66">
        <f t="shared" si="44"/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69">
        <f t="shared" ref="AS325:AS388" si="45">SUM(H325,J325,L325,N325,P325,R325,T325,V325,X325,Z325,AB325,AD325,AF325,AH325,AJ325,AL325,AN325)</f>
        <v>0</v>
      </c>
      <c r="AT325" s="67" t="str">
        <f t="shared" ref="AT325:AT388" si="46">IF(C325="","",DATE(YEAR(C325),MONTH(C325),1))</f>
        <v/>
      </c>
      <c r="AU325" s="66" t="str">
        <f t="shared" ref="AU325:AU388" si="47">IF(AT325="","",TEXT(AT325,"mmmm yyyy"))</f>
        <v/>
      </c>
      <c r="AV325" s="67" t="str">
        <f t="shared" ref="AV325:AV388" si="48">IF(C325="","",C325-WEEKDAY(C325,2)+1)</f>
        <v/>
      </c>
      <c r="AW325" s="67" t="str">
        <f t="shared" ref="AW325:AW388" si="49">IF(AV325="","",AV325+6)</f>
        <v/>
      </c>
      <c r="AX325" s="66" t="str">
        <f t="shared" ref="AX325:AX388" si="50"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 t="shared" ref="BA325:BA388" si="51">IF(B325="","",TEXT(AY325,"00")&amp;"|"&amp;B325&amp;"|"&amp;TEXT(AT325,"yyyymmdd"))</f>
        <v/>
      </c>
      <c r="BB325" s="66" t="str">
        <f t="shared" ref="BB325:BB388" si="52">IF(B325="","",TEXT(AZ325,"00")&amp;"|"&amp;B325&amp;"|"&amp;TEXT(AV325,"yyyymmdd"))</f>
        <v/>
      </c>
      <c r="BC325" s="66">
        <f t="shared" ref="BC325:BC388" si="53"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69">
        <f t="shared" si="45"/>
        <v>0</v>
      </c>
      <c r="AT326" s="67" t="str">
        <f t="shared" si="46"/>
        <v/>
      </c>
      <c r="AU326" s="66" t="str">
        <f t="shared" si="47"/>
        <v/>
      </c>
      <c r="AV326" s="67" t="str">
        <f t="shared" si="48"/>
        <v/>
      </c>
      <c r="AW326" s="67" t="str">
        <f t="shared" si="49"/>
        <v/>
      </c>
      <c r="AX326" s="66" t="str">
        <f t="shared" si="50"/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 t="shared" si="51"/>
        <v/>
      </c>
      <c r="BB326" s="66" t="str">
        <f t="shared" si="52"/>
        <v/>
      </c>
      <c r="BC326" s="66">
        <f t="shared" si="53"/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69">
        <f t="shared" si="45"/>
        <v>0</v>
      </c>
      <c r="AT327" s="67" t="str">
        <f t="shared" si="46"/>
        <v/>
      </c>
      <c r="AU327" s="66" t="str">
        <f t="shared" si="47"/>
        <v/>
      </c>
      <c r="AV327" s="67" t="str">
        <f t="shared" si="48"/>
        <v/>
      </c>
      <c r="AW327" s="67" t="str">
        <f t="shared" si="49"/>
        <v/>
      </c>
      <c r="AX327" s="66" t="str">
        <f t="shared" si="50"/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 t="shared" si="51"/>
        <v/>
      </c>
      <c r="BB327" s="66" t="str">
        <f t="shared" si="52"/>
        <v/>
      </c>
      <c r="BC327" s="66">
        <f t="shared" si="53"/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69">
        <f t="shared" si="45"/>
        <v>0</v>
      </c>
      <c r="AT328" s="67" t="str">
        <f t="shared" si="46"/>
        <v/>
      </c>
      <c r="AU328" s="66" t="str">
        <f t="shared" si="47"/>
        <v/>
      </c>
      <c r="AV328" s="67" t="str">
        <f t="shared" si="48"/>
        <v/>
      </c>
      <c r="AW328" s="67" t="str">
        <f t="shared" si="49"/>
        <v/>
      </c>
      <c r="AX328" s="66" t="str">
        <f t="shared" si="50"/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 t="shared" si="51"/>
        <v/>
      </c>
      <c r="BB328" s="66" t="str">
        <f t="shared" si="52"/>
        <v/>
      </c>
      <c r="BC328" s="66">
        <f t="shared" si="53"/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69">
        <f t="shared" si="45"/>
        <v>0</v>
      </c>
      <c r="AT329" s="67" t="str">
        <f t="shared" si="46"/>
        <v/>
      </c>
      <c r="AU329" s="66" t="str">
        <f t="shared" si="47"/>
        <v/>
      </c>
      <c r="AV329" s="67" t="str">
        <f t="shared" si="48"/>
        <v/>
      </c>
      <c r="AW329" s="67" t="str">
        <f t="shared" si="49"/>
        <v/>
      </c>
      <c r="AX329" s="66" t="str">
        <f t="shared" si="50"/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 t="shared" si="51"/>
        <v/>
      </c>
      <c r="BB329" s="66" t="str">
        <f t="shared" si="52"/>
        <v/>
      </c>
      <c r="BC329" s="66">
        <f t="shared" si="53"/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69">
        <f t="shared" si="45"/>
        <v>0</v>
      </c>
      <c r="AT330" s="67" t="str">
        <f t="shared" si="46"/>
        <v/>
      </c>
      <c r="AU330" s="66" t="str">
        <f t="shared" si="47"/>
        <v/>
      </c>
      <c r="AV330" s="67" t="str">
        <f t="shared" si="48"/>
        <v/>
      </c>
      <c r="AW330" s="67" t="str">
        <f t="shared" si="49"/>
        <v/>
      </c>
      <c r="AX330" s="66" t="str">
        <f t="shared" si="50"/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 t="shared" si="51"/>
        <v/>
      </c>
      <c r="BB330" s="66" t="str">
        <f t="shared" si="52"/>
        <v/>
      </c>
      <c r="BC330" s="66">
        <f t="shared" si="53"/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69">
        <f t="shared" si="45"/>
        <v>0</v>
      </c>
      <c r="AT331" s="67" t="str">
        <f t="shared" si="46"/>
        <v/>
      </c>
      <c r="AU331" s="66" t="str">
        <f t="shared" si="47"/>
        <v/>
      </c>
      <c r="AV331" s="67" t="str">
        <f t="shared" si="48"/>
        <v/>
      </c>
      <c r="AW331" s="67" t="str">
        <f t="shared" si="49"/>
        <v/>
      </c>
      <c r="AX331" s="66" t="str">
        <f t="shared" si="50"/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 t="shared" si="51"/>
        <v/>
      </c>
      <c r="BB331" s="66" t="str">
        <f t="shared" si="52"/>
        <v/>
      </c>
      <c r="BC331" s="66">
        <f t="shared" si="53"/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69">
        <f t="shared" si="45"/>
        <v>0</v>
      </c>
      <c r="AT332" s="67" t="str">
        <f t="shared" si="46"/>
        <v/>
      </c>
      <c r="AU332" s="66" t="str">
        <f t="shared" si="47"/>
        <v/>
      </c>
      <c r="AV332" s="67" t="str">
        <f t="shared" si="48"/>
        <v/>
      </c>
      <c r="AW332" s="67" t="str">
        <f t="shared" si="49"/>
        <v/>
      </c>
      <c r="AX332" s="66" t="str">
        <f t="shared" si="50"/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 t="shared" si="51"/>
        <v/>
      </c>
      <c r="BB332" s="66" t="str">
        <f t="shared" si="52"/>
        <v/>
      </c>
      <c r="BC332" s="66">
        <f t="shared" si="53"/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69">
        <f t="shared" si="45"/>
        <v>0</v>
      </c>
      <c r="AT333" s="67" t="str">
        <f t="shared" si="46"/>
        <v/>
      </c>
      <c r="AU333" s="66" t="str">
        <f t="shared" si="47"/>
        <v/>
      </c>
      <c r="AV333" s="67" t="str">
        <f t="shared" si="48"/>
        <v/>
      </c>
      <c r="AW333" s="67" t="str">
        <f t="shared" si="49"/>
        <v/>
      </c>
      <c r="AX333" s="66" t="str">
        <f t="shared" si="50"/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 t="shared" si="51"/>
        <v/>
      </c>
      <c r="BB333" s="66" t="str">
        <f t="shared" si="52"/>
        <v/>
      </c>
      <c r="BC333" s="66">
        <f t="shared" si="53"/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69">
        <f t="shared" si="45"/>
        <v>0</v>
      </c>
      <c r="AT334" s="67" t="str">
        <f t="shared" si="46"/>
        <v/>
      </c>
      <c r="AU334" s="66" t="str">
        <f t="shared" si="47"/>
        <v/>
      </c>
      <c r="AV334" s="67" t="str">
        <f t="shared" si="48"/>
        <v/>
      </c>
      <c r="AW334" s="67" t="str">
        <f t="shared" si="49"/>
        <v/>
      </c>
      <c r="AX334" s="66" t="str">
        <f t="shared" si="50"/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 t="shared" si="51"/>
        <v/>
      </c>
      <c r="BB334" s="66" t="str">
        <f t="shared" si="52"/>
        <v/>
      </c>
      <c r="BC334" s="66">
        <f t="shared" si="53"/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69">
        <f t="shared" si="45"/>
        <v>0</v>
      </c>
      <c r="AT335" s="67" t="str">
        <f t="shared" si="46"/>
        <v/>
      </c>
      <c r="AU335" s="66" t="str">
        <f t="shared" si="47"/>
        <v/>
      </c>
      <c r="AV335" s="67" t="str">
        <f t="shared" si="48"/>
        <v/>
      </c>
      <c r="AW335" s="67" t="str">
        <f t="shared" si="49"/>
        <v/>
      </c>
      <c r="AX335" s="66" t="str">
        <f t="shared" si="50"/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 t="shared" si="51"/>
        <v/>
      </c>
      <c r="BB335" s="66" t="str">
        <f t="shared" si="52"/>
        <v/>
      </c>
      <c r="BC335" s="66">
        <f t="shared" si="53"/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69">
        <f t="shared" si="45"/>
        <v>0</v>
      </c>
      <c r="AT336" s="67" t="str">
        <f t="shared" si="46"/>
        <v/>
      </c>
      <c r="AU336" s="66" t="str">
        <f t="shared" si="47"/>
        <v/>
      </c>
      <c r="AV336" s="67" t="str">
        <f t="shared" si="48"/>
        <v/>
      </c>
      <c r="AW336" s="67" t="str">
        <f t="shared" si="49"/>
        <v/>
      </c>
      <c r="AX336" s="66" t="str">
        <f t="shared" si="50"/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 t="shared" si="51"/>
        <v/>
      </c>
      <c r="BB336" s="66" t="str">
        <f t="shared" si="52"/>
        <v/>
      </c>
      <c r="BC336" s="66">
        <f t="shared" si="53"/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69">
        <f t="shared" si="45"/>
        <v>0</v>
      </c>
      <c r="AT337" s="67" t="str">
        <f t="shared" si="46"/>
        <v/>
      </c>
      <c r="AU337" s="66" t="str">
        <f t="shared" si="47"/>
        <v/>
      </c>
      <c r="AV337" s="67" t="str">
        <f t="shared" si="48"/>
        <v/>
      </c>
      <c r="AW337" s="67" t="str">
        <f t="shared" si="49"/>
        <v/>
      </c>
      <c r="AX337" s="66" t="str">
        <f t="shared" si="50"/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 t="shared" si="51"/>
        <v/>
      </c>
      <c r="BB337" s="66" t="str">
        <f t="shared" si="52"/>
        <v/>
      </c>
      <c r="BC337" s="66">
        <f t="shared" si="53"/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69">
        <f t="shared" si="45"/>
        <v>0</v>
      </c>
      <c r="AT338" s="67" t="str">
        <f t="shared" si="46"/>
        <v/>
      </c>
      <c r="AU338" s="66" t="str">
        <f t="shared" si="47"/>
        <v/>
      </c>
      <c r="AV338" s="67" t="str">
        <f t="shared" si="48"/>
        <v/>
      </c>
      <c r="AW338" s="67" t="str">
        <f t="shared" si="49"/>
        <v/>
      </c>
      <c r="AX338" s="66" t="str">
        <f t="shared" si="50"/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 t="shared" si="51"/>
        <v/>
      </c>
      <c r="BB338" s="66" t="str">
        <f t="shared" si="52"/>
        <v/>
      </c>
      <c r="BC338" s="66">
        <f t="shared" si="53"/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69">
        <f t="shared" si="45"/>
        <v>0</v>
      </c>
      <c r="AT339" s="67" t="str">
        <f t="shared" si="46"/>
        <v/>
      </c>
      <c r="AU339" s="66" t="str">
        <f t="shared" si="47"/>
        <v/>
      </c>
      <c r="AV339" s="67" t="str">
        <f t="shared" si="48"/>
        <v/>
      </c>
      <c r="AW339" s="67" t="str">
        <f t="shared" si="49"/>
        <v/>
      </c>
      <c r="AX339" s="66" t="str">
        <f t="shared" si="50"/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 t="shared" si="51"/>
        <v/>
      </c>
      <c r="BB339" s="66" t="str">
        <f t="shared" si="52"/>
        <v/>
      </c>
      <c r="BC339" s="66">
        <f t="shared" si="53"/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69">
        <f t="shared" si="45"/>
        <v>0</v>
      </c>
      <c r="AT340" s="67" t="str">
        <f t="shared" si="46"/>
        <v/>
      </c>
      <c r="AU340" s="66" t="str">
        <f t="shared" si="47"/>
        <v/>
      </c>
      <c r="AV340" s="67" t="str">
        <f t="shared" si="48"/>
        <v/>
      </c>
      <c r="AW340" s="67" t="str">
        <f t="shared" si="49"/>
        <v/>
      </c>
      <c r="AX340" s="66" t="str">
        <f t="shared" si="50"/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 t="shared" si="51"/>
        <v/>
      </c>
      <c r="BB340" s="66" t="str">
        <f t="shared" si="52"/>
        <v/>
      </c>
      <c r="BC340" s="66">
        <f t="shared" si="53"/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69">
        <f t="shared" si="45"/>
        <v>0</v>
      </c>
      <c r="AT341" s="67" t="str">
        <f t="shared" si="46"/>
        <v/>
      </c>
      <c r="AU341" s="66" t="str">
        <f t="shared" si="47"/>
        <v/>
      </c>
      <c r="AV341" s="67" t="str">
        <f t="shared" si="48"/>
        <v/>
      </c>
      <c r="AW341" s="67" t="str">
        <f t="shared" si="49"/>
        <v/>
      </c>
      <c r="AX341" s="66" t="str">
        <f t="shared" si="50"/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 t="shared" si="51"/>
        <v/>
      </c>
      <c r="BB341" s="66" t="str">
        <f t="shared" si="52"/>
        <v/>
      </c>
      <c r="BC341" s="66">
        <f t="shared" si="53"/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69">
        <f t="shared" si="45"/>
        <v>0</v>
      </c>
      <c r="AT342" s="67" t="str">
        <f t="shared" si="46"/>
        <v/>
      </c>
      <c r="AU342" s="66" t="str">
        <f t="shared" si="47"/>
        <v/>
      </c>
      <c r="AV342" s="67" t="str">
        <f t="shared" si="48"/>
        <v/>
      </c>
      <c r="AW342" s="67" t="str">
        <f t="shared" si="49"/>
        <v/>
      </c>
      <c r="AX342" s="66" t="str">
        <f t="shared" si="50"/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 t="shared" si="51"/>
        <v/>
      </c>
      <c r="BB342" s="66" t="str">
        <f t="shared" si="52"/>
        <v/>
      </c>
      <c r="BC342" s="66">
        <f t="shared" si="53"/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69">
        <f t="shared" si="45"/>
        <v>0</v>
      </c>
      <c r="AT343" s="67" t="str">
        <f t="shared" si="46"/>
        <v/>
      </c>
      <c r="AU343" s="66" t="str">
        <f t="shared" si="47"/>
        <v/>
      </c>
      <c r="AV343" s="67" t="str">
        <f t="shared" si="48"/>
        <v/>
      </c>
      <c r="AW343" s="67" t="str">
        <f t="shared" si="49"/>
        <v/>
      </c>
      <c r="AX343" s="66" t="str">
        <f t="shared" si="50"/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 t="shared" si="51"/>
        <v/>
      </c>
      <c r="BB343" s="66" t="str">
        <f t="shared" si="52"/>
        <v/>
      </c>
      <c r="BC343" s="66">
        <f t="shared" si="53"/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69">
        <f t="shared" si="45"/>
        <v>0</v>
      </c>
      <c r="AT344" s="67" t="str">
        <f t="shared" si="46"/>
        <v/>
      </c>
      <c r="AU344" s="66" t="str">
        <f t="shared" si="47"/>
        <v/>
      </c>
      <c r="AV344" s="67" t="str">
        <f t="shared" si="48"/>
        <v/>
      </c>
      <c r="AW344" s="67" t="str">
        <f t="shared" si="49"/>
        <v/>
      </c>
      <c r="AX344" s="66" t="str">
        <f t="shared" si="50"/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 t="shared" si="51"/>
        <v/>
      </c>
      <c r="BB344" s="66" t="str">
        <f t="shared" si="52"/>
        <v/>
      </c>
      <c r="BC344" s="66">
        <f t="shared" si="53"/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69">
        <f t="shared" si="45"/>
        <v>0</v>
      </c>
      <c r="AT345" s="67" t="str">
        <f t="shared" si="46"/>
        <v/>
      </c>
      <c r="AU345" s="66" t="str">
        <f t="shared" si="47"/>
        <v/>
      </c>
      <c r="AV345" s="67" t="str">
        <f t="shared" si="48"/>
        <v/>
      </c>
      <c r="AW345" s="67" t="str">
        <f t="shared" si="49"/>
        <v/>
      </c>
      <c r="AX345" s="66" t="str">
        <f t="shared" si="50"/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 t="shared" si="51"/>
        <v/>
      </c>
      <c r="BB345" s="66" t="str">
        <f t="shared" si="52"/>
        <v/>
      </c>
      <c r="BC345" s="66">
        <f t="shared" si="53"/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69">
        <f t="shared" si="45"/>
        <v>0</v>
      </c>
      <c r="AT346" s="67" t="str">
        <f t="shared" si="46"/>
        <v/>
      </c>
      <c r="AU346" s="66" t="str">
        <f t="shared" si="47"/>
        <v/>
      </c>
      <c r="AV346" s="67" t="str">
        <f t="shared" si="48"/>
        <v/>
      </c>
      <c r="AW346" s="67" t="str">
        <f t="shared" si="49"/>
        <v/>
      </c>
      <c r="AX346" s="66" t="str">
        <f t="shared" si="50"/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 t="shared" si="51"/>
        <v/>
      </c>
      <c r="BB346" s="66" t="str">
        <f t="shared" si="52"/>
        <v/>
      </c>
      <c r="BC346" s="66">
        <f t="shared" si="53"/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69">
        <f t="shared" si="45"/>
        <v>0</v>
      </c>
      <c r="AT347" s="67" t="str">
        <f t="shared" si="46"/>
        <v/>
      </c>
      <c r="AU347" s="66" t="str">
        <f t="shared" si="47"/>
        <v/>
      </c>
      <c r="AV347" s="67" t="str">
        <f t="shared" si="48"/>
        <v/>
      </c>
      <c r="AW347" s="67" t="str">
        <f t="shared" si="49"/>
        <v/>
      </c>
      <c r="AX347" s="66" t="str">
        <f t="shared" si="50"/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 t="shared" si="51"/>
        <v/>
      </c>
      <c r="BB347" s="66" t="str">
        <f t="shared" si="52"/>
        <v/>
      </c>
      <c r="BC347" s="66">
        <f t="shared" si="53"/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69">
        <f t="shared" si="45"/>
        <v>0</v>
      </c>
      <c r="AT348" s="67" t="str">
        <f t="shared" si="46"/>
        <v/>
      </c>
      <c r="AU348" s="66" t="str">
        <f t="shared" si="47"/>
        <v/>
      </c>
      <c r="AV348" s="67" t="str">
        <f t="shared" si="48"/>
        <v/>
      </c>
      <c r="AW348" s="67" t="str">
        <f t="shared" si="49"/>
        <v/>
      </c>
      <c r="AX348" s="66" t="str">
        <f t="shared" si="50"/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 t="shared" si="51"/>
        <v/>
      </c>
      <c r="BB348" s="66" t="str">
        <f t="shared" si="52"/>
        <v/>
      </c>
      <c r="BC348" s="66">
        <f t="shared" si="53"/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69">
        <f t="shared" si="45"/>
        <v>0</v>
      </c>
      <c r="AT349" s="67" t="str">
        <f t="shared" si="46"/>
        <v/>
      </c>
      <c r="AU349" s="66" t="str">
        <f t="shared" si="47"/>
        <v/>
      </c>
      <c r="AV349" s="67" t="str">
        <f t="shared" si="48"/>
        <v/>
      </c>
      <c r="AW349" s="67" t="str">
        <f t="shared" si="49"/>
        <v/>
      </c>
      <c r="AX349" s="66" t="str">
        <f t="shared" si="50"/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 t="shared" si="51"/>
        <v/>
      </c>
      <c r="BB349" s="66" t="str">
        <f t="shared" si="52"/>
        <v/>
      </c>
      <c r="BC349" s="66">
        <f t="shared" si="53"/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69">
        <f t="shared" si="45"/>
        <v>0</v>
      </c>
      <c r="AT350" s="67" t="str">
        <f t="shared" si="46"/>
        <v/>
      </c>
      <c r="AU350" s="66" t="str">
        <f t="shared" si="47"/>
        <v/>
      </c>
      <c r="AV350" s="67" t="str">
        <f t="shared" si="48"/>
        <v/>
      </c>
      <c r="AW350" s="67" t="str">
        <f t="shared" si="49"/>
        <v/>
      </c>
      <c r="AX350" s="66" t="str">
        <f t="shared" si="50"/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 t="shared" si="51"/>
        <v/>
      </c>
      <c r="BB350" s="66" t="str">
        <f t="shared" si="52"/>
        <v/>
      </c>
      <c r="BC350" s="66">
        <f t="shared" si="53"/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69">
        <f t="shared" si="45"/>
        <v>0</v>
      </c>
      <c r="AT351" s="67" t="str">
        <f t="shared" si="46"/>
        <v/>
      </c>
      <c r="AU351" s="66" t="str">
        <f t="shared" si="47"/>
        <v/>
      </c>
      <c r="AV351" s="67" t="str">
        <f t="shared" si="48"/>
        <v/>
      </c>
      <c r="AW351" s="67" t="str">
        <f t="shared" si="49"/>
        <v/>
      </c>
      <c r="AX351" s="66" t="str">
        <f t="shared" si="50"/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 t="shared" si="51"/>
        <v/>
      </c>
      <c r="BB351" s="66" t="str">
        <f t="shared" si="52"/>
        <v/>
      </c>
      <c r="BC351" s="66">
        <f t="shared" si="53"/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69">
        <f t="shared" si="45"/>
        <v>0</v>
      </c>
      <c r="AT352" s="67" t="str">
        <f t="shared" si="46"/>
        <v/>
      </c>
      <c r="AU352" s="66" t="str">
        <f t="shared" si="47"/>
        <v/>
      </c>
      <c r="AV352" s="67" t="str">
        <f t="shared" si="48"/>
        <v/>
      </c>
      <c r="AW352" s="67" t="str">
        <f t="shared" si="49"/>
        <v/>
      </c>
      <c r="AX352" s="66" t="str">
        <f t="shared" si="50"/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 t="shared" si="51"/>
        <v/>
      </c>
      <c r="BB352" s="66" t="str">
        <f t="shared" si="52"/>
        <v/>
      </c>
      <c r="BC352" s="66">
        <f t="shared" si="53"/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69">
        <f t="shared" si="45"/>
        <v>0</v>
      </c>
      <c r="AT353" s="67" t="str">
        <f t="shared" si="46"/>
        <v/>
      </c>
      <c r="AU353" s="66" t="str">
        <f t="shared" si="47"/>
        <v/>
      </c>
      <c r="AV353" s="67" t="str">
        <f t="shared" si="48"/>
        <v/>
      </c>
      <c r="AW353" s="67" t="str">
        <f t="shared" si="49"/>
        <v/>
      </c>
      <c r="AX353" s="66" t="str">
        <f t="shared" si="50"/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 t="shared" si="51"/>
        <v/>
      </c>
      <c r="BB353" s="66" t="str">
        <f t="shared" si="52"/>
        <v/>
      </c>
      <c r="BC353" s="66">
        <f t="shared" si="53"/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69">
        <f t="shared" si="45"/>
        <v>0</v>
      </c>
      <c r="AT354" s="67" t="str">
        <f t="shared" si="46"/>
        <v/>
      </c>
      <c r="AU354" s="66" t="str">
        <f t="shared" si="47"/>
        <v/>
      </c>
      <c r="AV354" s="67" t="str">
        <f t="shared" si="48"/>
        <v/>
      </c>
      <c r="AW354" s="67" t="str">
        <f t="shared" si="49"/>
        <v/>
      </c>
      <c r="AX354" s="66" t="str">
        <f t="shared" si="50"/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 t="shared" si="51"/>
        <v/>
      </c>
      <c r="BB354" s="66" t="str">
        <f t="shared" si="52"/>
        <v/>
      </c>
      <c r="BC354" s="66">
        <f t="shared" si="53"/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69">
        <f t="shared" si="45"/>
        <v>0</v>
      </c>
      <c r="AT355" s="67" t="str">
        <f t="shared" si="46"/>
        <v/>
      </c>
      <c r="AU355" s="66" t="str">
        <f t="shared" si="47"/>
        <v/>
      </c>
      <c r="AV355" s="67" t="str">
        <f t="shared" si="48"/>
        <v/>
      </c>
      <c r="AW355" s="67" t="str">
        <f t="shared" si="49"/>
        <v/>
      </c>
      <c r="AX355" s="66" t="str">
        <f t="shared" si="50"/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 t="shared" si="51"/>
        <v/>
      </c>
      <c r="BB355" s="66" t="str">
        <f t="shared" si="52"/>
        <v/>
      </c>
      <c r="BC355" s="66">
        <f t="shared" si="53"/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69">
        <f t="shared" si="45"/>
        <v>0</v>
      </c>
      <c r="AT356" s="67" t="str">
        <f t="shared" si="46"/>
        <v/>
      </c>
      <c r="AU356" s="66" t="str">
        <f t="shared" si="47"/>
        <v/>
      </c>
      <c r="AV356" s="67" t="str">
        <f t="shared" si="48"/>
        <v/>
      </c>
      <c r="AW356" s="67" t="str">
        <f t="shared" si="49"/>
        <v/>
      </c>
      <c r="AX356" s="66" t="str">
        <f t="shared" si="50"/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 t="shared" si="51"/>
        <v/>
      </c>
      <c r="BB356" s="66" t="str">
        <f t="shared" si="52"/>
        <v/>
      </c>
      <c r="BC356" s="66">
        <f t="shared" si="53"/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69">
        <f t="shared" si="45"/>
        <v>0</v>
      </c>
      <c r="AT357" s="67" t="str">
        <f t="shared" si="46"/>
        <v/>
      </c>
      <c r="AU357" s="66" t="str">
        <f t="shared" si="47"/>
        <v/>
      </c>
      <c r="AV357" s="67" t="str">
        <f t="shared" si="48"/>
        <v/>
      </c>
      <c r="AW357" s="67" t="str">
        <f t="shared" si="49"/>
        <v/>
      </c>
      <c r="AX357" s="66" t="str">
        <f t="shared" si="50"/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 t="shared" si="51"/>
        <v/>
      </c>
      <c r="BB357" s="66" t="str">
        <f t="shared" si="52"/>
        <v/>
      </c>
      <c r="BC357" s="66">
        <f t="shared" si="53"/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69">
        <f t="shared" si="45"/>
        <v>0</v>
      </c>
      <c r="AT358" s="67" t="str">
        <f t="shared" si="46"/>
        <v/>
      </c>
      <c r="AU358" s="66" t="str">
        <f t="shared" si="47"/>
        <v/>
      </c>
      <c r="AV358" s="67" t="str">
        <f t="shared" si="48"/>
        <v/>
      </c>
      <c r="AW358" s="67" t="str">
        <f t="shared" si="49"/>
        <v/>
      </c>
      <c r="AX358" s="66" t="str">
        <f t="shared" si="50"/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 t="shared" si="51"/>
        <v/>
      </c>
      <c r="BB358" s="66" t="str">
        <f t="shared" si="52"/>
        <v/>
      </c>
      <c r="BC358" s="66">
        <f t="shared" si="53"/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69">
        <f t="shared" si="45"/>
        <v>0</v>
      </c>
      <c r="AT359" s="67" t="str">
        <f t="shared" si="46"/>
        <v/>
      </c>
      <c r="AU359" s="66" t="str">
        <f t="shared" si="47"/>
        <v/>
      </c>
      <c r="AV359" s="67" t="str">
        <f t="shared" si="48"/>
        <v/>
      </c>
      <c r="AW359" s="67" t="str">
        <f t="shared" si="49"/>
        <v/>
      </c>
      <c r="AX359" s="66" t="str">
        <f t="shared" si="50"/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 t="shared" si="51"/>
        <v/>
      </c>
      <c r="BB359" s="66" t="str">
        <f t="shared" si="52"/>
        <v/>
      </c>
      <c r="BC359" s="66">
        <f t="shared" si="53"/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69">
        <f t="shared" si="45"/>
        <v>0</v>
      </c>
      <c r="AT360" s="67" t="str">
        <f t="shared" si="46"/>
        <v/>
      </c>
      <c r="AU360" s="66" t="str">
        <f t="shared" si="47"/>
        <v/>
      </c>
      <c r="AV360" s="67" t="str">
        <f t="shared" si="48"/>
        <v/>
      </c>
      <c r="AW360" s="67" t="str">
        <f t="shared" si="49"/>
        <v/>
      </c>
      <c r="AX360" s="66" t="str">
        <f t="shared" si="50"/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 t="shared" si="51"/>
        <v/>
      </c>
      <c r="BB360" s="66" t="str">
        <f t="shared" si="52"/>
        <v/>
      </c>
      <c r="BC360" s="66">
        <f t="shared" si="53"/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69">
        <f t="shared" si="45"/>
        <v>0</v>
      </c>
      <c r="AT361" s="67" t="str">
        <f t="shared" si="46"/>
        <v/>
      </c>
      <c r="AU361" s="66" t="str">
        <f t="shared" si="47"/>
        <v/>
      </c>
      <c r="AV361" s="67" t="str">
        <f t="shared" si="48"/>
        <v/>
      </c>
      <c r="AW361" s="67" t="str">
        <f t="shared" si="49"/>
        <v/>
      </c>
      <c r="AX361" s="66" t="str">
        <f t="shared" si="50"/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 t="shared" si="51"/>
        <v/>
      </c>
      <c r="BB361" s="66" t="str">
        <f t="shared" si="52"/>
        <v/>
      </c>
      <c r="BC361" s="66">
        <f t="shared" si="53"/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69">
        <f t="shared" si="45"/>
        <v>0</v>
      </c>
      <c r="AT362" s="67" t="str">
        <f t="shared" si="46"/>
        <v/>
      </c>
      <c r="AU362" s="66" t="str">
        <f t="shared" si="47"/>
        <v/>
      </c>
      <c r="AV362" s="67" t="str">
        <f t="shared" si="48"/>
        <v/>
      </c>
      <c r="AW362" s="67" t="str">
        <f t="shared" si="49"/>
        <v/>
      </c>
      <c r="AX362" s="66" t="str">
        <f t="shared" si="50"/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 t="shared" si="51"/>
        <v/>
      </c>
      <c r="BB362" s="66" t="str">
        <f t="shared" si="52"/>
        <v/>
      </c>
      <c r="BC362" s="66">
        <f t="shared" si="53"/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69">
        <f t="shared" si="45"/>
        <v>0</v>
      </c>
      <c r="AT363" s="67" t="str">
        <f t="shared" si="46"/>
        <v/>
      </c>
      <c r="AU363" s="66" t="str">
        <f t="shared" si="47"/>
        <v/>
      </c>
      <c r="AV363" s="67" t="str">
        <f t="shared" si="48"/>
        <v/>
      </c>
      <c r="AW363" s="67" t="str">
        <f t="shared" si="49"/>
        <v/>
      </c>
      <c r="AX363" s="66" t="str">
        <f t="shared" si="50"/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 t="shared" si="51"/>
        <v/>
      </c>
      <c r="BB363" s="66" t="str">
        <f t="shared" si="52"/>
        <v/>
      </c>
      <c r="BC363" s="66">
        <f t="shared" si="53"/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69">
        <f t="shared" si="45"/>
        <v>0</v>
      </c>
      <c r="AT364" s="67" t="str">
        <f t="shared" si="46"/>
        <v/>
      </c>
      <c r="AU364" s="66" t="str">
        <f t="shared" si="47"/>
        <v/>
      </c>
      <c r="AV364" s="67" t="str">
        <f t="shared" si="48"/>
        <v/>
      </c>
      <c r="AW364" s="67" t="str">
        <f t="shared" si="49"/>
        <v/>
      </c>
      <c r="AX364" s="66" t="str">
        <f t="shared" si="50"/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 t="shared" si="51"/>
        <v/>
      </c>
      <c r="BB364" s="66" t="str">
        <f t="shared" si="52"/>
        <v/>
      </c>
      <c r="BC364" s="66">
        <f t="shared" si="53"/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69">
        <f t="shared" si="45"/>
        <v>0</v>
      </c>
      <c r="AT365" s="67" t="str">
        <f t="shared" si="46"/>
        <v/>
      </c>
      <c r="AU365" s="66" t="str">
        <f t="shared" si="47"/>
        <v/>
      </c>
      <c r="AV365" s="67" t="str">
        <f t="shared" si="48"/>
        <v/>
      </c>
      <c r="AW365" s="67" t="str">
        <f t="shared" si="49"/>
        <v/>
      </c>
      <c r="AX365" s="66" t="str">
        <f t="shared" si="50"/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 t="shared" si="51"/>
        <v/>
      </c>
      <c r="BB365" s="66" t="str">
        <f t="shared" si="52"/>
        <v/>
      </c>
      <c r="BC365" s="66">
        <f t="shared" si="53"/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69">
        <f t="shared" si="45"/>
        <v>0</v>
      </c>
      <c r="AT366" s="67" t="str">
        <f t="shared" si="46"/>
        <v/>
      </c>
      <c r="AU366" s="66" t="str">
        <f t="shared" si="47"/>
        <v/>
      </c>
      <c r="AV366" s="67" t="str">
        <f t="shared" si="48"/>
        <v/>
      </c>
      <c r="AW366" s="67" t="str">
        <f t="shared" si="49"/>
        <v/>
      </c>
      <c r="AX366" s="66" t="str">
        <f t="shared" si="50"/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 t="shared" si="51"/>
        <v/>
      </c>
      <c r="BB366" s="66" t="str">
        <f t="shared" si="52"/>
        <v/>
      </c>
      <c r="BC366" s="66">
        <f t="shared" si="53"/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69">
        <f t="shared" si="45"/>
        <v>0</v>
      </c>
      <c r="AT367" s="67" t="str">
        <f t="shared" si="46"/>
        <v/>
      </c>
      <c r="AU367" s="66" t="str">
        <f t="shared" si="47"/>
        <v/>
      </c>
      <c r="AV367" s="67" t="str">
        <f t="shared" si="48"/>
        <v/>
      </c>
      <c r="AW367" s="67" t="str">
        <f t="shared" si="49"/>
        <v/>
      </c>
      <c r="AX367" s="66" t="str">
        <f t="shared" si="50"/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 t="shared" si="51"/>
        <v/>
      </c>
      <c r="BB367" s="66" t="str">
        <f t="shared" si="52"/>
        <v/>
      </c>
      <c r="BC367" s="66">
        <f t="shared" si="53"/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69">
        <f t="shared" si="45"/>
        <v>0</v>
      </c>
      <c r="AT368" s="67" t="str">
        <f t="shared" si="46"/>
        <v/>
      </c>
      <c r="AU368" s="66" t="str">
        <f t="shared" si="47"/>
        <v/>
      </c>
      <c r="AV368" s="67" t="str">
        <f t="shared" si="48"/>
        <v/>
      </c>
      <c r="AW368" s="67" t="str">
        <f t="shared" si="49"/>
        <v/>
      </c>
      <c r="AX368" s="66" t="str">
        <f t="shared" si="50"/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 t="shared" si="51"/>
        <v/>
      </c>
      <c r="BB368" s="66" t="str">
        <f t="shared" si="52"/>
        <v/>
      </c>
      <c r="BC368" s="66">
        <f t="shared" si="53"/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69">
        <f t="shared" si="45"/>
        <v>0</v>
      </c>
      <c r="AT369" s="67" t="str">
        <f t="shared" si="46"/>
        <v/>
      </c>
      <c r="AU369" s="66" t="str">
        <f t="shared" si="47"/>
        <v/>
      </c>
      <c r="AV369" s="67" t="str">
        <f t="shared" si="48"/>
        <v/>
      </c>
      <c r="AW369" s="67" t="str">
        <f t="shared" si="49"/>
        <v/>
      </c>
      <c r="AX369" s="66" t="str">
        <f t="shared" si="50"/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 t="shared" si="51"/>
        <v/>
      </c>
      <c r="BB369" s="66" t="str">
        <f t="shared" si="52"/>
        <v/>
      </c>
      <c r="BC369" s="66">
        <f t="shared" si="53"/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69">
        <f t="shared" si="45"/>
        <v>0</v>
      </c>
      <c r="AT370" s="67" t="str">
        <f t="shared" si="46"/>
        <v/>
      </c>
      <c r="AU370" s="66" t="str">
        <f t="shared" si="47"/>
        <v/>
      </c>
      <c r="AV370" s="67" t="str">
        <f t="shared" si="48"/>
        <v/>
      </c>
      <c r="AW370" s="67" t="str">
        <f t="shared" si="49"/>
        <v/>
      </c>
      <c r="AX370" s="66" t="str">
        <f t="shared" si="50"/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 t="shared" si="51"/>
        <v/>
      </c>
      <c r="BB370" s="66" t="str">
        <f t="shared" si="52"/>
        <v/>
      </c>
      <c r="BC370" s="66">
        <f t="shared" si="53"/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69">
        <f t="shared" si="45"/>
        <v>0</v>
      </c>
      <c r="AT371" s="67" t="str">
        <f t="shared" si="46"/>
        <v/>
      </c>
      <c r="AU371" s="66" t="str">
        <f t="shared" si="47"/>
        <v/>
      </c>
      <c r="AV371" s="67" t="str">
        <f t="shared" si="48"/>
        <v/>
      </c>
      <c r="AW371" s="67" t="str">
        <f t="shared" si="49"/>
        <v/>
      </c>
      <c r="AX371" s="66" t="str">
        <f t="shared" si="50"/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 t="shared" si="51"/>
        <v/>
      </c>
      <c r="BB371" s="66" t="str">
        <f t="shared" si="52"/>
        <v/>
      </c>
      <c r="BC371" s="66">
        <f t="shared" si="53"/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69">
        <f t="shared" si="45"/>
        <v>0</v>
      </c>
      <c r="AT372" s="67" t="str">
        <f t="shared" si="46"/>
        <v/>
      </c>
      <c r="AU372" s="66" t="str">
        <f t="shared" si="47"/>
        <v/>
      </c>
      <c r="AV372" s="67" t="str">
        <f t="shared" si="48"/>
        <v/>
      </c>
      <c r="AW372" s="67" t="str">
        <f t="shared" si="49"/>
        <v/>
      </c>
      <c r="AX372" s="66" t="str">
        <f t="shared" si="50"/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 t="shared" si="51"/>
        <v/>
      </c>
      <c r="BB372" s="66" t="str">
        <f t="shared" si="52"/>
        <v/>
      </c>
      <c r="BC372" s="66">
        <f t="shared" si="53"/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69">
        <f t="shared" si="45"/>
        <v>0</v>
      </c>
      <c r="AT373" s="67" t="str">
        <f t="shared" si="46"/>
        <v/>
      </c>
      <c r="AU373" s="66" t="str">
        <f t="shared" si="47"/>
        <v/>
      </c>
      <c r="AV373" s="67" t="str">
        <f t="shared" si="48"/>
        <v/>
      </c>
      <c r="AW373" s="67" t="str">
        <f t="shared" si="49"/>
        <v/>
      </c>
      <c r="AX373" s="66" t="str">
        <f t="shared" si="50"/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 t="shared" si="51"/>
        <v/>
      </c>
      <c r="BB373" s="66" t="str">
        <f t="shared" si="52"/>
        <v/>
      </c>
      <c r="BC373" s="66">
        <f t="shared" si="53"/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69">
        <f t="shared" si="45"/>
        <v>0</v>
      </c>
      <c r="AT374" s="67" t="str">
        <f t="shared" si="46"/>
        <v/>
      </c>
      <c r="AU374" s="66" t="str">
        <f t="shared" si="47"/>
        <v/>
      </c>
      <c r="AV374" s="67" t="str">
        <f t="shared" si="48"/>
        <v/>
      </c>
      <c r="AW374" s="67" t="str">
        <f t="shared" si="49"/>
        <v/>
      </c>
      <c r="AX374" s="66" t="str">
        <f t="shared" si="50"/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 t="shared" si="51"/>
        <v/>
      </c>
      <c r="BB374" s="66" t="str">
        <f t="shared" si="52"/>
        <v/>
      </c>
      <c r="BC374" s="66">
        <f t="shared" si="53"/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69">
        <f t="shared" si="45"/>
        <v>0</v>
      </c>
      <c r="AT375" s="67" t="str">
        <f t="shared" si="46"/>
        <v/>
      </c>
      <c r="AU375" s="66" t="str">
        <f t="shared" si="47"/>
        <v/>
      </c>
      <c r="AV375" s="67" t="str">
        <f t="shared" si="48"/>
        <v/>
      </c>
      <c r="AW375" s="67" t="str">
        <f t="shared" si="49"/>
        <v/>
      </c>
      <c r="AX375" s="66" t="str">
        <f t="shared" si="50"/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 t="shared" si="51"/>
        <v/>
      </c>
      <c r="BB375" s="66" t="str">
        <f t="shared" si="52"/>
        <v/>
      </c>
      <c r="BC375" s="66">
        <f t="shared" si="53"/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69">
        <f t="shared" si="45"/>
        <v>0</v>
      </c>
      <c r="AT376" s="67" t="str">
        <f t="shared" si="46"/>
        <v/>
      </c>
      <c r="AU376" s="66" t="str">
        <f t="shared" si="47"/>
        <v/>
      </c>
      <c r="AV376" s="67" t="str">
        <f t="shared" si="48"/>
        <v/>
      </c>
      <c r="AW376" s="67" t="str">
        <f t="shared" si="49"/>
        <v/>
      </c>
      <c r="AX376" s="66" t="str">
        <f t="shared" si="50"/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 t="shared" si="51"/>
        <v/>
      </c>
      <c r="BB376" s="66" t="str">
        <f t="shared" si="52"/>
        <v/>
      </c>
      <c r="BC376" s="66">
        <f t="shared" si="53"/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69">
        <f t="shared" si="45"/>
        <v>0</v>
      </c>
      <c r="AT377" s="67" t="str">
        <f t="shared" si="46"/>
        <v/>
      </c>
      <c r="AU377" s="66" t="str">
        <f t="shared" si="47"/>
        <v/>
      </c>
      <c r="AV377" s="67" t="str">
        <f t="shared" si="48"/>
        <v/>
      </c>
      <c r="AW377" s="67" t="str">
        <f t="shared" si="49"/>
        <v/>
      </c>
      <c r="AX377" s="66" t="str">
        <f t="shared" si="50"/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 t="shared" si="51"/>
        <v/>
      </c>
      <c r="BB377" s="66" t="str">
        <f t="shared" si="52"/>
        <v/>
      </c>
      <c r="BC377" s="66">
        <f t="shared" si="53"/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69">
        <f t="shared" si="45"/>
        <v>0</v>
      </c>
      <c r="AT378" s="67" t="str">
        <f t="shared" si="46"/>
        <v/>
      </c>
      <c r="AU378" s="66" t="str">
        <f t="shared" si="47"/>
        <v/>
      </c>
      <c r="AV378" s="67" t="str">
        <f t="shared" si="48"/>
        <v/>
      </c>
      <c r="AW378" s="67" t="str">
        <f t="shared" si="49"/>
        <v/>
      </c>
      <c r="AX378" s="66" t="str">
        <f t="shared" si="50"/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 t="shared" si="51"/>
        <v/>
      </c>
      <c r="BB378" s="66" t="str">
        <f t="shared" si="52"/>
        <v/>
      </c>
      <c r="BC378" s="66">
        <f t="shared" si="53"/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69">
        <f t="shared" si="45"/>
        <v>0</v>
      </c>
      <c r="AT379" s="67" t="str">
        <f t="shared" si="46"/>
        <v/>
      </c>
      <c r="AU379" s="66" t="str">
        <f t="shared" si="47"/>
        <v/>
      </c>
      <c r="AV379" s="67" t="str">
        <f t="shared" si="48"/>
        <v/>
      </c>
      <c r="AW379" s="67" t="str">
        <f t="shared" si="49"/>
        <v/>
      </c>
      <c r="AX379" s="66" t="str">
        <f t="shared" si="50"/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 t="shared" si="51"/>
        <v/>
      </c>
      <c r="BB379" s="66" t="str">
        <f t="shared" si="52"/>
        <v/>
      </c>
      <c r="BC379" s="66">
        <f t="shared" si="53"/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69">
        <f t="shared" si="45"/>
        <v>0</v>
      </c>
      <c r="AT380" s="67" t="str">
        <f t="shared" si="46"/>
        <v/>
      </c>
      <c r="AU380" s="66" t="str">
        <f t="shared" si="47"/>
        <v/>
      </c>
      <c r="AV380" s="67" t="str">
        <f t="shared" si="48"/>
        <v/>
      </c>
      <c r="AW380" s="67" t="str">
        <f t="shared" si="49"/>
        <v/>
      </c>
      <c r="AX380" s="66" t="str">
        <f t="shared" si="50"/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 t="shared" si="51"/>
        <v/>
      </c>
      <c r="BB380" s="66" t="str">
        <f t="shared" si="52"/>
        <v/>
      </c>
      <c r="BC380" s="66">
        <f t="shared" si="53"/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69">
        <f t="shared" si="45"/>
        <v>0</v>
      </c>
      <c r="AT381" s="67" t="str">
        <f t="shared" si="46"/>
        <v/>
      </c>
      <c r="AU381" s="66" t="str">
        <f t="shared" si="47"/>
        <v/>
      </c>
      <c r="AV381" s="67" t="str">
        <f t="shared" si="48"/>
        <v/>
      </c>
      <c r="AW381" s="67" t="str">
        <f t="shared" si="49"/>
        <v/>
      </c>
      <c r="AX381" s="66" t="str">
        <f t="shared" si="50"/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 t="shared" si="51"/>
        <v/>
      </c>
      <c r="BB381" s="66" t="str">
        <f t="shared" si="52"/>
        <v/>
      </c>
      <c r="BC381" s="66">
        <f t="shared" si="53"/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69">
        <f t="shared" si="45"/>
        <v>0</v>
      </c>
      <c r="AT382" s="67" t="str">
        <f t="shared" si="46"/>
        <v/>
      </c>
      <c r="AU382" s="66" t="str">
        <f t="shared" si="47"/>
        <v/>
      </c>
      <c r="AV382" s="67" t="str">
        <f t="shared" si="48"/>
        <v/>
      </c>
      <c r="AW382" s="67" t="str">
        <f t="shared" si="49"/>
        <v/>
      </c>
      <c r="AX382" s="66" t="str">
        <f t="shared" si="50"/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 t="shared" si="51"/>
        <v/>
      </c>
      <c r="BB382" s="66" t="str">
        <f t="shared" si="52"/>
        <v/>
      </c>
      <c r="BC382" s="66">
        <f t="shared" si="53"/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69">
        <f t="shared" si="45"/>
        <v>0</v>
      </c>
      <c r="AT383" s="67" t="str">
        <f t="shared" si="46"/>
        <v/>
      </c>
      <c r="AU383" s="66" t="str">
        <f t="shared" si="47"/>
        <v/>
      </c>
      <c r="AV383" s="67" t="str">
        <f t="shared" si="48"/>
        <v/>
      </c>
      <c r="AW383" s="67" t="str">
        <f t="shared" si="49"/>
        <v/>
      </c>
      <c r="AX383" s="66" t="str">
        <f t="shared" si="50"/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 t="shared" si="51"/>
        <v/>
      </c>
      <c r="BB383" s="66" t="str">
        <f t="shared" si="52"/>
        <v/>
      </c>
      <c r="BC383" s="66">
        <f t="shared" si="53"/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69">
        <f t="shared" si="45"/>
        <v>0</v>
      </c>
      <c r="AT384" s="67" t="str">
        <f t="shared" si="46"/>
        <v/>
      </c>
      <c r="AU384" s="66" t="str">
        <f t="shared" si="47"/>
        <v/>
      </c>
      <c r="AV384" s="67" t="str">
        <f t="shared" si="48"/>
        <v/>
      </c>
      <c r="AW384" s="67" t="str">
        <f t="shared" si="49"/>
        <v/>
      </c>
      <c r="AX384" s="66" t="str">
        <f t="shared" si="50"/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 t="shared" si="51"/>
        <v/>
      </c>
      <c r="BB384" s="66" t="str">
        <f t="shared" si="52"/>
        <v/>
      </c>
      <c r="BC384" s="66">
        <f t="shared" si="53"/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69">
        <f t="shared" si="45"/>
        <v>0</v>
      </c>
      <c r="AT385" s="67" t="str">
        <f t="shared" si="46"/>
        <v/>
      </c>
      <c r="AU385" s="66" t="str">
        <f t="shared" si="47"/>
        <v/>
      </c>
      <c r="AV385" s="67" t="str">
        <f t="shared" si="48"/>
        <v/>
      </c>
      <c r="AW385" s="67" t="str">
        <f t="shared" si="49"/>
        <v/>
      </c>
      <c r="AX385" s="66" t="str">
        <f t="shared" si="50"/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 t="shared" si="51"/>
        <v/>
      </c>
      <c r="BB385" s="66" t="str">
        <f t="shared" si="52"/>
        <v/>
      </c>
      <c r="BC385" s="66">
        <f t="shared" si="53"/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69">
        <f t="shared" si="45"/>
        <v>0</v>
      </c>
      <c r="AT386" s="67" t="str">
        <f t="shared" si="46"/>
        <v/>
      </c>
      <c r="AU386" s="66" t="str">
        <f t="shared" si="47"/>
        <v/>
      </c>
      <c r="AV386" s="67" t="str">
        <f t="shared" si="48"/>
        <v/>
      </c>
      <c r="AW386" s="67" t="str">
        <f t="shared" si="49"/>
        <v/>
      </c>
      <c r="AX386" s="66" t="str">
        <f t="shared" si="50"/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 t="shared" si="51"/>
        <v/>
      </c>
      <c r="BB386" s="66" t="str">
        <f t="shared" si="52"/>
        <v/>
      </c>
      <c r="BC386" s="66">
        <f t="shared" si="53"/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69">
        <f t="shared" si="45"/>
        <v>0</v>
      </c>
      <c r="AT387" s="67" t="str">
        <f t="shared" si="46"/>
        <v/>
      </c>
      <c r="AU387" s="66" t="str">
        <f t="shared" si="47"/>
        <v/>
      </c>
      <c r="AV387" s="67" t="str">
        <f t="shared" si="48"/>
        <v/>
      </c>
      <c r="AW387" s="67" t="str">
        <f t="shared" si="49"/>
        <v/>
      </c>
      <c r="AX387" s="66" t="str">
        <f t="shared" si="50"/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 t="shared" si="51"/>
        <v/>
      </c>
      <c r="BB387" s="66" t="str">
        <f t="shared" si="52"/>
        <v/>
      </c>
      <c r="BC387" s="66">
        <f t="shared" si="53"/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69">
        <f t="shared" si="45"/>
        <v>0</v>
      </c>
      <c r="AT388" s="67" t="str">
        <f t="shared" si="46"/>
        <v/>
      </c>
      <c r="AU388" s="66" t="str">
        <f t="shared" si="47"/>
        <v/>
      </c>
      <c r="AV388" s="67" t="str">
        <f t="shared" si="48"/>
        <v/>
      </c>
      <c r="AW388" s="67" t="str">
        <f t="shared" si="49"/>
        <v/>
      </c>
      <c r="AX388" s="66" t="str">
        <f t="shared" si="50"/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 t="shared" si="51"/>
        <v/>
      </c>
      <c r="BB388" s="66" t="str">
        <f t="shared" si="52"/>
        <v/>
      </c>
      <c r="BC388" s="66">
        <f t="shared" si="53"/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69">
        <f t="shared" ref="AS389:AS452" si="54">SUM(H389,J389,L389,N389,P389,R389,T389,V389,X389,Z389,AB389,AD389,AF389,AH389,AJ389,AL389,AN389)</f>
        <v>0</v>
      </c>
      <c r="AT389" s="67" t="str">
        <f t="shared" ref="AT389:AT452" si="55">IF(C389="","",DATE(YEAR(C389),MONTH(C389),1))</f>
        <v/>
      </c>
      <c r="AU389" s="66" t="str">
        <f t="shared" ref="AU389:AU452" si="56">IF(AT389="","",TEXT(AT389,"mmmm yyyy"))</f>
        <v/>
      </c>
      <c r="AV389" s="67" t="str">
        <f t="shared" ref="AV389:AV452" si="57">IF(C389="","",C389-WEEKDAY(C389,2)+1)</f>
        <v/>
      </c>
      <c r="AW389" s="67" t="str">
        <f t="shared" ref="AW389:AW452" si="58">IF(AV389="","",AV389+6)</f>
        <v/>
      </c>
      <c r="AX389" s="66" t="str">
        <f t="shared" ref="AX389:AX452" si="59"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 t="shared" ref="BA389:BA452" si="60">IF(B389="","",TEXT(AY389,"00")&amp;"|"&amp;B389&amp;"|"&amp;TEXT(AT389,"yyyymmdd"))</f>
        <v/>
      </c>
      <c r="BB389" s="66" t="str">
        <f t="shared" ref="BB389:BB452" si="61">IF(B389="","",TEXT(AZ389,"00")&amp;"|"&amp;B389&amp;"|"&amp;TEXT(AV389,"yyyymmdd"))</f>
        <v/>
      </c>
      <c r="BC389" s="66">
        <f t="shared" ref="BC389:BC452" si="62"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69">
        <f t="shared" si="54"/>
        <v>0</v>
      </c>
      <c r="AT390" s="67" t="str">
        <f t="shared" si="55"/>
        <v/>
      </c>
      <c r="AU390" s="66" t="str">
        <f t="shared" si="56"/>
        <v/>
      </c>
      <c r="AV390" s="67" t="str">
        <f t="shared" si="57"/>
        <v/>
      </c>
      <c r="AW390" s="67" t="str">
        <f t="shared" si="58"/>
        <v/>
      </c>
      <c r="AX390" s="66" t="str">
        <f t="shared" si="59"/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 t="shared" si="60"/>
        <v/>
      </c>
      <c r="BB390" s="66" t="str">
        <f t="shared" si="61"/>
        <v/>
      </c>
      <c r="BC390" s="66">
        <f t="shared" si="62"/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69">
        <f t="shared" si="54"/>
        <v>0</v>
      </c>
      <c r="AT391" s="67" t="str">
        <f t="shared" si="55"/>
        <v/>
      </c>
      <c r="AU391" s="66" t="str">
        <f t="shared" si="56"/>
        <v/>
      </c>
      <c r="AV391" s="67" t="str">
        <f t="shared" si="57"/>
        <v/>
      </c>
      <c r="AW391" s="67" t="str">
        <f t="shared" si="58"/>
        <v/>
      </c>
      <c r="AX391" s="66" t="str">
        <f t="shared" si="59"/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 t="shared" si="60"/>
        <v/>
      </c>
      <c r="BB391" s="66" t="str">
        <f t="shared" si="61"/>
        <v/>
      </c>
      <c r="BC391" s="66">
        <f t="shared" si="62"/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69">
        <f t="shared" si="54"/>
        <v>0</v>
      </c>
      <c r="AT392" s="67" t="str">
        <f t="shared" si="55"/>
        <v/>
      </c>
      <c r="AU392" s="66" t="str">
        <f t="shared" si="56"/>
        <v/>
      </c>
      <c r="AV392" s="67" t="str">
        <f t="shared" si="57"/>
        <v/>
      </c>
      <c r="AW392" s="67" t="str">
        <f t="shared" si="58"/>
        <v/>
      </c>
      <c r="AX392" s="66" t="str">
        <f t="shared" si="59"/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 t="shared" si="60"/>
        <v/>
      </c>
      <c r="BB392" s="66" t="str">
        <f t="shared" si="61"/>
        <v/>
      </c>
      <c r="BC392" s="66">
        <f t="shared" si="62"/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69">
        <f t="shared" si="54"/>
        <v>0</v>
      </c>
      <c r="AT393" s="67" t="str">
        <f t="shared" si="55"/>
        <v/>
      </c>
      <c r="AU393" s="66" t="str">
        <f t="shared" si="56"/>
        <v/>
      </c>
      <c r="AV393" s="67" t="str">
        <f t="shared" si="57"/>
        <v/>
      </c>
      <c r="AW393" s="67" t="str">
        <f t="shared" si="58"/>
        <v/>
      </c>
      <c r="AX393" s="66" t="str">
        <f t="shared" si="59"/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 t="shared" si="60"/>
        <v/>
      </c>
      <c r="BB393" s="66" t="str">
        <f t="shared" si="61"/>
        <v/>
      </c>
      <c r="BC393" s="66">
        <f t="shared" si="62"/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69">
        <f t="shared" si="54"/>
        <v>0</v>
      </c>
      <c r="AT394" s="67" t="str">
        <f t="shared" si="55"/>
        <v/>
      </c>
      <c r="AU394" s="66" t="str">
        <f t="shared" si="56"/>
        <v/>
      </c>
      <c r="AV394" s="67" t="str">
        <f t="shared" si="57"/>
        <v/>
      </c>
      <c r="AW394" s="67" t="str">
        <f t="shared" si="58"/>
        <v/>
      </c>
      <c r="AX394" s="66" t="str">
        <f t="shared" si="59"/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 t="shared" si="60"/>
        <v/>
      </c>
      <c r="BB394" s="66" t="str">
        <f t="shared" si="61"/>
        <v/>
      </c>
      <c r="BC394" s="66">
        <f t="shared" si="62"/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69">
        <f t="shared" si="54"/>
        <v>0</v>
      </c>
      <c r="AT395" s="67" t="str">
        <f t="shared" si="55"/>
        <v/>
      </c>
      <c r="AU395" s="66" t="str">
        <f t="shared" si="56"/>
        <v/>
      </c>
      <c r="AV395" s="67" t="str">
        <f t="shared" si="57"/>
        <v/>
      </c>
      <c r="AW395" s="67" t="str">
        <f t="shared" si="58"/>
        <v/>
      </c>
      <c r="AX395" s="66" t="str">
        <f t="shared" si="59"/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 t="shared" si="60"/>
        <v/>
      </c>
      <c r="BB395" s="66" t="str">
        <f t="shared" si="61"/>
        <v/>
      </c>
      <c r="BC395" s="66">
        <f t="shared" si="62"/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69">
        <f t="shared" si="54"/>
        <v>0</v>
      </c>
      <c r="AT396" s="67" t="str">
        <f t="shared" si="55"/>
        <v/>
      </c>
      <c r="AU396" s="66" t="str">
        <f t="shared" si="56"/>
        <v/>
      </c>
      <c r="AV396" s="67" t="str">
        <f t="shared" si="57"/>
        <v/>
      </c>
      <c r="AW396" s="67" t="str">
        <f t="shared" si="58"/>
        <v/>
      </c>
      <c r="AX396" s="66" t="str">
        <f t="shared" si="59"/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 t="shared" si="60"/>
        <v/>
      </c>
      <c r="BB396" s="66" t="str">
        <f t="shared" si="61"/>
        <v/>
      </c>
      <c r="BC396" s="66">
        <f t="shared" si="62"/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69">
        <f t="shared" si="54"/>
        <v>0</v>
      </c>
      <c r="AT397" s="67" t="str">
        <f t="shared" si="55"/>
        <v/>
      </c>
      <c r="AU397" s="66" t="str">
        <f t="shared" si="56"/>
        <v/>
      </c>
      <c r="AV397" s="67" t="str">
        <f t="shared" si="57"/>
        <v/>
      </c>
      <c r="AW397" s="67" t="str">
        <f t="shared" si="58"/>
        <v/>
      </c>
      <c r="AX397" s="66" t="str">
        <f t="shared" si="59"/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 t="shared" si="60"/>
        <v/>
      </c>
      <c r="BB397" s="66" t="str">
        <f t="shared" si="61"/>
        <v/>
      </c>
      <c r="BC397" s="66">
        <f t="shared" si="62"/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69">
        <f t="shared" si="54"/>
        <v>0</v>
      </c>
      <c r="AT398" s="67" t="str">
        <f t="shared" si="55"/>
        <v/>
      </c>
      <c r="AU398" s="66" t="str">
        <f t="shared" si="56"/>
        <v/>
      </c>
      <c r="AV398" s="67" t="str">
        <f t="shared" si="57"/>
        <v/>
      </c>
      <c r="AW398" s="67" t="str">
        <f t="shared" si="58"/>
        <v/>
      </c>
      <c r="AX398" s="66" t="str">
        <f t="shared" si="59"/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 t="shared" si="60"/>
        <v/>
      </c>
      <c r="BB398" s="66" t="str">
        <f t="shared" si="61"/>
        <v/>
      </c>
      <c r="BC398" s="66">
        <f t="shared" si="62"/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69">
        <f t="shared" si="54"/>
        <v>0</v>
      </c>
      <c r="AT399" s="67" t="str">
        <f t="shared" si="55"/>
        <v/>
      </c>
      <c r="AU399" s="66" t="str">
        <f t="shared" si="56"/>
        <v/>
      </c>
      <c r="AV399" s="67" t="str">
        <f t="shared" si="57"/>
        <v/>
      </c>
      <c r="AW399" s="67" t="str">
        <f t="shared" si="58"/>
        <v/>
      </c>
      <c r="AX399" s="66" t="str">
        <f t="shared" si="59"/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 t="shared" si="60"/>
        <v/>
      </c>
      <c r="BB399" s="66" t="str">
        <f t="shared" si="61"/>
        <v/>
      </c>
      <c r="BC399" s="66">
        <f t="shared" si="62"/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69">
        <f t="shared" si="54"/>
        <v>0</v>
      </c>
      <c r="AT400" s="67" t="str">
        <f t="shared" si="55"/>
        <v/>
      </c>
      <c r="AU400" s="66" t="str">
        <f t="shared" si="56"/>
        <v/>
      </c>
      <c r="AV400" s="67" t="str">
        <f t="shared" si="57"/>
        <v/>
      </c>
      <c r="AW400" s="67" t="str">
        <f t="shared" si="58"/>
        <v/>
      </c>
      <c r="AX400" s="66" t="str">
        <f t="shared" si="59"/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 t="shared" si="60"/>
        <v/>
      </c>
      <c r="BB400" s="66" t="str">
        <f t="shared" si="61"/>
        <v/>
      </c>
      <c r="BC400" s="66">
        <f t="shared" si="62"/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69">
        <f t="shared" si="54"/>
        <v>0</v>
      </c>
      <c r="AT401" s="67" t="str">
        <f t="shared" si="55"/>
        <v/>
      </c>
      <c r="AU401" s="66" t="str">
        <f t="shared" si="56"/>
        <v/>
      </c>
      <c r="AV401" s="67" t="str">
        <f t="shared" si="57"/>
        <v/>
      </c>
      <c r="AW401" s="67" t="str">
        <f t="shared" si="58"/>
        <v/>
      </c>
      <c r="AX401" s="66" t="str">
        <f t="shared" si="59"/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 t="shared" si="60"/>
        <v/>
      </c>
      <c r="BB401" s="66" t="str">
        <f t="shared" si="61"/>
        <v/>
      </c>
      <c r="BC401" s="66">
        <f t="shared" si="62"/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69">
        <f t="shared" si="54"/>
        <v>0</v>
      </c>
      <c r="AT402" s="67" t="str">
        <f t="shared" si="55"/>
        <v/>
      </c>
      <c r="AU402" s="66" t="str">
        <f t="shared" si="56"/>
        <v/>
      </c>
      <c r="AV402" s="67" t="str">
        <f t="shared" si="57"/>
        <v/>
      </c>
      <c r="AW402" s="67" t="str">
        <f t="shared" si="58"/>
        <v/>
      </c>
      <c r="AX402" s="66" t="str">
        <f t="shared" si="59"/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 t="shared" si="60"/>
        <v/>
      </c>
      <c r="BB402" s="66" t="str">
        <f t="shared" si="61"/>
        <v/>
      </c>
      <c r="BC402" s="66">
        <f t="shared" si="62"/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69">
        <f t="shared" si="54"/>
        <v>0</v>
      </c>
      <c r="AT403" s="67" t="str">
        <f t="shared" si="55"/>
        <v/>
      </c>
      <c r="AU403" s="66" t="str">
        <f t="shared" si="56"/>
        <v/>
      </c>
      <c r="AV403" s="67" t="str">
        <f t="shared" si="57"/>
        <v/>
      </c>
      <c r="AW403" s="67" t="str">
        <f t="shared" si="58"/>
        <v/>
      </c>
      <c r="AX403" s="66" t="str">
        <f t="shared" si="59"/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 t="shared" si="60"/>
        <v/>
      </c>
      <c r="BB403" s="66" t="str">
        <f t="shared" si="61"/>
        <v/>
      </c>
      <c r="BC403" s="66">
        <f t="shared" si="62"/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69">
        <f t="shared" si="54"/>
        <v>0</v>
      </c>
      <c r="AT404" s="67" t="str">
        <f t="shared" si="55"/>
        <v/>
      </c>
      <c r="AU404" s="66" t="str">
        <f t="shared" si="56"/>
        <v/>
      </c>
      <c r="AV404" s="67" t="str">
        <f t="shared" si="57"/>
        <v/>
      </c>
      <c r="AW404" s="67" t="str">
        <f t="shared" si="58"/>
        <v/>
      </c>
      <c r="AX404" s="66" t="str">
        <f t="shared" si="59"/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 t="shared" si="60"/>
        <v/>
      </c>
      <c r="BB404" s="66" t="str">
        <f t="shared" si="61"/>
        <v/>
      </c>
      <c r="BC404" s="66">
        <f t="shared" si="62"/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69">
        <f t="shared" si="54"/>
        <v>0</v>
      </c>
      <c r="AT405" s="67" t="str">
        <f t="shared" si="55"/>
        <v/>
      </c>
      <c r="AU405" s="66" t="str">
        <f t="shared" si="56"/>
        <v/>
      </c>
      <c r="AV405" s="67" t="str">
        <f t="shared" si="57"/>
        <v/>
      </c>
      <c r="AW405" s="67" t="str">
        <f t="shared" si="58"/>
        <v/>
      </c>
      <c r="AX405" s="66" t="str">
        <f t="shared" si="59"/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 t="shared" si="60"/>
        <v/>
      </c>
      <c r="BB405" s="66" t="str">
        <f t="shared" si="61"/>
        <v/>
      </c>
      <c r="BC405" s="66">
        <f t="shared" si="62"/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69">
        <f t="shared" si="54"/>
        <v>0</v>
      </c>
      <c r="AT406" s="67" t="str">
        <f t="shared" si="55"/>
        <v/>
      </c>
      <c r="AU406" s="66" t="str">
        <f t="shared" si="56"/>
        <v/>
      </c>
      <c r="AV406" s="67" t="str">
        <f t="shared" si="57"/>
        <v/>
      </c>
      <c r="AW406" s="67" t="str">
        <f t="shared" si="58"/>
        <v/>
      </c>
      <c r="AX406" s="66" t="str">
        <f t="shared" si="59"/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 t="shared" si="60"/>
        <v/>
      </c>
      <c r="BB406" s="66" t="str">
        <f t="shared" si="61"/>
        <v/>
      </c>
      <c r="BC406" s="66">
        <f t="shared" si="62"/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69">
        <f t="shared" si="54"/>
        <v>0</v>
      </c>
      <c r="AT407" s="67" t="str">
        <f t="shared" si="55"/>
        <v/>
      </c>
      <c r="AU407" s="66" t="str">
        <f t="shared" si="56"/>
        <v/>
      </c>
      <c r="AV407" s="67" t="str">
        <f t="shared" si="57"/>
        <v/>
      </c>
      <c r="AW407" s="67" t="str">
        <f t="shared" si="58"/>
        <v/>
      </c>
      <c r="AX407" s="66" t="str">
        <f t="shared" si="59"/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 t="shared" si="60"/>
        <v/>
      </c>
      <c r="BB407" s="66" t="str">
        <f t="shared" si="61"/>
        <v/>
      </c>
      <c r="BC407" s="66">
        <f t="shared" si="62"/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69">
        <f t="shared" si="54"/>
        <v>0</v>
      </c>
      <c r="AT408" s="67" t="str">
        <f t="shared" si="55"/>
        <v/>
      </c>
      <c r="AU408" s="66" t="str">
        <f t="shared" si="56"/>
        <v/>
      </c>
      <c r="AV408" s="67" t="str">
        <f t="shared" si="57"/>
        <v/>
      </c>
      <c r="AW408" s="67" t="str">
        <f t="shared" si="58"/>
        <v/>
      </c>
      <c r="AX408" s="66" t="str">
        <f t="shared" si="59"/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 t="shared" si="60"/>
        <v/>
      </c>
      <c r="BB408" s="66" t="str">
        <f t="shared" si="61"/>
        <v/>
      </c>
      <c r="BC408" s="66">
        <f t="shared" si="62"/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69">
        <f t="shared" si="54"/>
        <v>0</v>
      </c>
      <c r="AT409" s="67" t="str">
        <f t="shared" si="55"/>
        <v/>
      </c>
      <c r="AU409" s="66" t="str">
        <f t="shared" si="56"/>
        <v/>
      </c>
      <c r="AV409" s="67" t="str">
        <f t="shared" si="57"/>
        <v/>
      </c>
      <c r="AW409" s="67" t="str">
        <f t="shared" si="58"/>
        <v/>
      </c>
      <c r="AX409" s="66" t="str">
        <f t="shared" si="59"/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 t="shared" si="60"/>
        <v/>
      </c>
      <c r="BB409" s="66" t="str">
        <f t="shared" si="61"/>
        <v/>
      </c>
      <c r="BC409" s="66">
        <f t="shared" si="62"/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69">
        <f t="shared" si="54"/>
        <v>0</v>
      </c>
      <c r="AT410" s="67" t="str">
        <f t="shared" si="55"/>
        <v/>
      </c>
      <c r="AU410" s="66" t="str">
        <f t="shared" si="56"/>
        <v/>
      </c>
      <c r="AV410" s="67" t="str">
        <f t="shared" si="57"/>
        <v/>
      </c>
      <c r="AW410" s="67" t="str">
        <f t="shared" si="58"/>
        <v/>
      </c>
      <c r="AX410" s="66" t="str">
        <f t="shared" si="59"/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 t="shared" si="60"/>
        <v/>
      </c>
      <c r="BB410" s="66" t="str">
        <f t="shared" si="61"/>
        <v/>
      </c>
      <c r="BC410" s="66">
        <f t="shared" si="62"/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69">
        <f t="shared" si="54"/>
        <v>0</v>
      </c>
      <c r="AT411" s="67" t="str">
        <f t="shared" si="55"/>
        <v/>
      </c>
      <c r="AU411" s="66" t="str">
        <f t="shared" si="56"/>
        <v/>
      </c>
      <c r="AV411" s="67" t="str">
        <f t="shared" si="57"/>
        <v/>
      </c>
      <c r="AW411" s="67" t="str">
        <f t="shared" si="58"/>
        <v/>
      </c>
      <c r="AX411" s="66" t="str">
        <f t="shared" si="59"/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 t="shared" si="60"/>
        <v/>
      </c>
      <c r="BB411" s="66" t="str">
        <f t="shared" si="61"/>
        <v/>
      </c>
      <c r="BC411" s="66">
        <f t="shared" si="62"/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69">
        <f t="shared" si="54"/>
        <v>0</v>
      </c>
      <c r="AT412" s="67" t="str">
        <f t="shared" si="55"/>
        <v/>
      </c>
      <c r="AU412" s="66" t="str">
        <f t="shared" si="56"/>
        <v/>
      </c>
      <c r="AV412" s="67" t="str">
        <f t="shared" si="57"/>
        <v/>
      </c>
      <c r="AW412" s="67" t="str">
        <f t="shared" si="58"/>
        <v/>
      </c>
      <c r="AX412" s="66" t="str">
        <f t="shared" si="59"/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 t="shared" si="60"/>
        <v/>
      </c>
      <c r="BB412" s="66" t="str">
        <f t="shared" si="61"/>
        <v/>
      </c>
      <c r="BC412" s="66">
        <f t="shared" si="62"/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69">
        <f t="shared" si="54"/>
        <v>0</v>
      </c>
      <c r="AT413" s="67" t="str">
        <f t="shared" si="55"/>
        <v/>
      </c>
      <c r="AU413" s="66" t="str">
        <f t="shared" si="56"/>
        <v/>
      </c>
      <c r="AV413" s="67" t="str">
        <f t="shared" si="57"/>
        <v/>
      </c>
      <c r="AW413" s="67" t="str">
        <f t="shared" si="58"/>
        <v/>
      </c>
      <c r="AX413" s="66" t="str">
        <f t="shared" si="59"/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 t="shared" si="60"/>
        <v/>
      </c>
      <c r="BB413" s="66" t="str">
        <f t="shared" si="61"/>
        <v/>
      </c>
      <c r="BC413" s="66">
        <f t="shared" si="62"/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69">
        <f t="shared" si="54"/>
        <v>0</v>
      </c>
      <c r="AT414" s="67" t="str">
        <f t="shared" si="55"/>
        <v/>
      </c>
      <c r="AU414" s="66" t="str">
        <f t="shared" si="56"/>
        <v/>
      </c>
      <c r="AV414" s="67" t="str">
        <f t="shared" si="57"/>
        <v/>
      </c>
      <c r="AW414" s="67" t="str">
        <f t="shared" si="58"/>
        <v/>
      </c>
      <c r="AX414" s="66" t="str">
        <f t="shared" si="59"/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 t="shared" si="60"/>
        <v/>
      </c>
      <c r="BB414" s="66" t="str">
        <f t="shared" si="61"/>
        <v/>
      </c>
      <c r="BC414" s="66">
        <f t="shared" si="62"/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69">
        <f t="shared" si="54"/>
        <v>0</v>
      </c>
      <c r="AT415" s="67" t="str">
        <f t="shared" si="55"/>
        <v/>
      </c>
      <c r="AU415" s="66" t="str">
        <f t="shared" si="56"/>
        <v/>
      </c>
      <c r="AV415" s="67" t="str">
        <f t="shared" si="57"/>
        <v/>
      </c>
      <c r="AW415" s="67" t="str">
        <f t="shared" si="58"/>
        <v/>
      </c>
      <c r="AX415" s="66" t="str">
        <f t="shared" si="59"/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 t="shared" si="60"/>
        <v/>
      </c>
      <c r="BB415" s="66" t="str">
        <f t="shared" si="61"/>
        <v/>
      </c>
      <c r="BC415" s="66">
        <f t="shared" si="62"/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69">
        <f t="shared" si="54"/>
        <v>0</v>
      </c>
      <c r="AT416" s="67" t="str">
        <f t="shared" si="55"/>
        <v/>
      </c>
      <c r="AU416" s="66" t="str">
        <f t="shared" si="56"/>
        <v/>
      </c>
      <c r="AV416" s="67" t="str">
        <f t="shared" si="57"/>
        <v/>
      </c>
      <c r="AW416" s="67" t="str">
        <f t="shared" si="58"/>
        <v/>
      </c>
      <c r="AX416" s="66" t="str">
        <f t="shared" si="59"/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 t="shared" si="60"/>
        <v/>
      </c>
      <c r="BB416" s="66" t="str">
        <f t="shared" si="61"/>
        <v/>
      </c>
      <c r="BC416" s="66">
        <f t="shared" si="62"/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69">
        <f t="shared" si="54"/>
        <v>0</v>
      </c>
      <c r="AT417" s="67" t="str">
        <f t="shared" si="55"/>
        <v/>
      </c>
      <c r="AU417" s="66" t="str">
        <f t="shared" si="56"/>
        <v/>
      </c>
      <c r="AV417" s="67" t="str">
        <f t="shared" si="57"/>
        <v/>
      </c>
      <c r="AW417" s="67" t="str">
        <f t="shared" si="58"/>
        <v/>
      </c>
      <c r="AX417" s="66" t="str">
        <f t="shared" si="59"/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 t="shared" si="60"/>
        <v/>
      </c>
      <c r="BB417" s="66" t="str">
        <f t="shared" si="61"/>
        <v/>
      </c>
      <c r="BC417" s="66">
        <f t="shared" si="62"/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69">
        <f t="shared" si="54"/>
        <v>0</v>
      </c>
      <c r="AT418" s="67" t="str">
        <f t="shared" si="55"/>
        <v/>
      </c>
      <c r="AU418" s="66" t="str">
        <f t="shared" si="56"/>
        <v/>
      </c>
      <c r="AV418" s="67" t="str">
        <f t="shared" si="57"/>
        <v/>
      </c>
      <c r="AW418" s="67" t="str">
        <f t="shared" si="58"/>
        <v/>
      </c>
      <c r="AX418" s="66" t="str">
        <f t="shared" si="59"/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 t="shared" si="60"/>
        <v/>
      </c>
      <c r="BB418" s="66" t="str">
        <f t="shared" si="61"/>
        <v/>
      </c>
      <c r="BC418" s="66">
        <f t="shared" si="62"/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69">
        <f t="shared" si="54"/>
        <v>0</v>
      </c>
      <c r="AT419" s="67" t="str">
        <f t="shared" si="55"/>
        <v/>
      </c>
      <c r="AU419" s="66" t="str">
        <f t="shared" si="56"/>
        <v/>
      </c>
      <c r="AV419" s="67" t="str">
        <f t="shared" si="57"/>
        <v/>
      </c>
      <c r="AW419" s="67" t="str">
        <f t="shared" si="58"/>
        <v/>
      </c>
      <c r="AX419" s="66" t="str">
        <f t="shared" si="59"/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 t="shared" si="60"/>
        <v/>
      </c>
      <c r="BB419" s="66" t="str">
        <f t="shared" si="61"/>
        <v/>
      </c>
      <c r="BC419" s="66">
        <f t="shared" si="62"/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69">
        <f t="shared" si="54"/>
        <v>0</v>
      </c>
      <c r="AT420" s="67" t="str">
        <f t="shared" si="55"/>
        <v/>
      </c>
      <c r="AU420" s="66" t="str">
        <f t="shared" si="56"/>
        <v/>
      </c>
      <c r="AV420" s="67" t="str">
        <f t="shared" si="57"/>
        <v/>
      </c>
      <c r="AW420" s="67" t="str">
        <f t="shared" si="58"/>
        <v/>
      </c>
      <c r="AX420" s="66" t="str">
        <f t="shared" si="59"/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 t="shared" si="60"/>
        <v/>
      </c>
      <c r="BB420" s="66" t="str">
        <f t="shared" si="61"/>
        <v/>
      </c>
      <c r="BC420" s="66">
        <f t="shared" si="62"/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69">
        <f t="shared" si="54"/>
        <v>0</v>
      </c>
      <c r="AT421" s="67" t="str">
        <f t="shared" si="55"/>
        <v/>
      </c>
      <c r="AU421" s="66" t="str">
        <f t="shared" si="56"/>
        <v/>
      </c>
      <c r="AV421" s="67" t="str">
        <f t="shared" si="57"/>
        <v/>
      </c>
      <c r="AW421" s="67" t="str">
        <f t="shared" si="58"/>
        <v/>
      </c>
      <c r="AX421" s="66" t="str">
        <f t="shared" si="59"/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 t="shared" si="60"/>
        <v/>
      </c>
      <c r="BB421" s="66" t="str">
        <f t="shared" si="61"/>
        <v/>
      </c>
      <c r="BC421" s="66">
        <f t="shared" si="62"/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69">
        <f t="shared" si="54"/>
        <v>0</v>
      </c>
      <c r="AT422" s="67" t="str">
        <f t="shared" si="55"/>
        <v/>
      </c>
      <c r="AU422" s="66" t="str">
        <f t="shared" si="56"/>
        <v/>
      </c>
      <c r="AV422" s="67" t="str">
        <f t="shared" si="57"/>
        <v/>
      </c>
      <c r="AW422" s="67" t="str">
        <f t="shared" si="58"/>
        <v/>
      </c>
      <c r="AX422" s="66" t="str">
        <f t="shared" si="59"/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 t="shared" si="60"/>
        <v/>
      </c>
      <c r="BB422" s="66" t="str">
        <f t="shared" si="61"/>
        <v/>
      </c>
      <c r="BC422" s="66">
        <f t="shared" si="62"/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69">
        <f t="shared" si="54"/>
        <v>0</v>
      </c>
      <c r="AT423" s="67" t="str">
        <f t="shared" si="55"/>
        <v/>
      </c>
      <c r="AU423" s="66" t="str">
        <f t="shared" si="56"/>
        <v/>
      </c>
      <c r="AV423" s="67" t="str">
        <f t="shared" si="57"/>
        <v/>
      </c>
      <c r="AW423" s="67" t="str">
        <f t="shared" si="58"/>
        <v/>
      </c>
      <c r="AX423" s="66" t="str">
        <f t="shared" si="59"/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 t="shared" si="60"/>
        <v/>
      </c>
      <c r="BB423" s="66" t="str">
        <f t="shared" si="61"/>
        <v/>
      </c>
      <c r="BC423" s="66">
        <f t="shared" si="62"/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69">
        <f t="shared" si="54"/>
        <v>0</v>
      </c>
      <c r="AT424" s="67" t="str">
        <f t="shared" si="55"/>
        <v/>
      </c>
      <c r="AU424" s="66" t="str">
        <f t="shared" si="56"/>
        <v/>
      </c>
      <c r="AV424" s="67" t="str">
        <f t="shared" si="57"/>
        <v/>
      </c>
      <c r="AW424" s="67" t="str">
        <f t="shared" si="58"/>
        <v/>
      </c>
      <c r="AX424" s="66" t="str">
        <f t="shared" si="59"/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 t="shared" si="60"/>
        <v/>
      </c>
      <c r="BB424" s="66" t="str">
        <f t="shared" si="61"/>
        <v/>
      </c>
      <c r="BC424" s="66">
        <f t="shared" si="62"/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69">
        <f t="shared" si="54"/>
        <v>0</v>
      </c>
      <c r="AT425" s="67" t="str">
        <f t="shared" si="55"/>
        <v/>
      </c>
      <c r="AU425" s="66" t="str">
        <f t="shared" si="56"/>
        <v/>
      </c>
      <c r="AV425" s="67" t="str">
        <f t="shared" si="57"/>
        <v/>
      </c>
      <c r="AW425" s="67" t="str">
        <f t="shared" si="58"/>
        <v/>
      </c>
      <c r="AX425" s="66" t="str">
        <f t="shared" si="59"/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 t="shared" si="60"/>
        <v/>
      </c>
      <c r="BB425" s="66" t="str">
        <f t="shared" si="61"/>
        <v/>
      </c>
      <c r="BC425" s="66">
        <f t="shared" si="62"/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69">
        <f t="shared" si="54"/>
        <v>0</v>
      </c>
      <c r="AT426" s="67" t="str">
        <f t="shared" si="55"/>
        <v/>
      </c>
      <c r="AU426" s="66" t="str">
        <f t="shared" si="56"/>
        <v/>
      </c>
      <c r="AV426" s="67" t="str">
        <f t="shared" si="57"/>
        <v/>
      </c>
      <c r="AW426" s="67" t="str">
        <f t="shared" si="58"/>
        <v/>
      </c>
      <c r="AX426" s="66" t="str">
        <f t="shared" si="59"/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 t="shared" si="60"/>
        <v/>
      </c>
      <c r="BB426" s="66" t="str">
        <f t="shared" si="61"/>
        <v/>
      </c>
      <c r="BC426" s="66">
        <f t="shared" si="62"/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69">
        <f t="shared" si="54"/>
        <v>0</v>
      </c>
      <c r="AT427" s="67" t="str">
        <f t="shared" si="55"/>
        <v/>
      </c>
      <c r="AU427" s="66" t="str">
        <f t="shared" si="56"/>
        <v/>
      </c>
      <c r="AV427" s="67" t="str">
        <f t="shared" si="57"/>
        <v/>
      </c>
      <c r="AW427" s="67" t="str">
        <f t="shared" si="58"/>
        <v/>
      </c>
      <c r="AX427" s="66" t="str">
        <f t="shared" si="59"/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 t="shared" si="60"/>
        <v/>
      </c>
      <c r="BB427" s="66" t="str">
        <f t="shared" si="61"/>
        <v/>
      </c>
      <c r="BC427" s="66">
        <f t="shared" si="62"/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69">
        <f t="shared" si="54"/>
        <v>0</v>
      </c>
      <c r="AT428" s="67" t="str">
        <f t="shared" si="55"/>
        <v/>
      </c>
      <c r="AU428" s="66" t="str">
        <f t="shared" si="56"/>
        <v/>
      </c>
      <c r="AV428" s="67" t="str">
        <f t="shared" si="57"/>
        <v/>
      </c>
      <c r="AW428" s="67" t="str">
        <f t="shared" si="58"/>
        <v/>
      </c>
      <c r="AX428" s="66" t="str">
        <f t="shared" si="59"/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 t="shared" si="60"/>
        <v/>
      </c>
      <c r="BB428" s="66" t="str">
        <f t="shared" si="61"/>
        <v/>
      </c>
      <c r="BC428" s="66">
        <f t="shared" si="62"/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69">
        <f t="shared" si="54"/>
        <v>0</v>
      </c>
      <c r="AT429" s="67" t="str">
        <f t="shared" si="55"/>
        <v/>
      </c>
      <c r="AU429" s="66" t="str">
        <f t="shared" si="56"/>
        <v/>
      </c>
      <c r="AV429" s="67" t="str">
        <f t="shared" si="57"/>
        <v/>
      </c>
      <c r="AW429" s="67" t="str">
        <f t="shared" si="58"/>
        <v/>
      </c>
      <c r="AX429" s="66" t="str">
        <f t="shared" si="59"/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 t="shared" si="60"/>
        <v/>
      </c>
      <c r="BB429" s="66" t="str">
        <f t="shared" si="61"/>
        <v/>
      </c>
      <c r="BC429" s="66">
        <f t="shared" si="62"/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69">
        <f t="shared" si="54"/>
        <v>0</v>
      </c>
      <c r="AT430" s="67" t="str">
        <f t="shared" si="55"/>
        <v/>
      </c>
      <c r="AU430" s="66" t="str">
        <f t="shared" si="56"/>
        <v/>
      </c>
      <c r="AV430" s="67" t="str">
        <f t="shared" si="57"/>
        <v/>
      </c>
      <c r="AW430" s="67" t="str">
        <f t="shared" si="58"/>
        <v/>
      </c>
      <c r="AX430" s="66" t="str">
        <f t="shared" si="59"/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 t="shared" si="60"/>
        <v/>
      </c>
      <c r="BB430" s="66" t="str">
        <f t="shared" si="61"/>
        <v/>
      </c>
      <c r="BC430" s="66">
        <f t="shared" si="62"/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69">
        <f t="shared" si="54"/>
        <v>0</v>
      </c>
      <c r="AT431" s="67" t="str">
        <f t="shared" si="55"/>
        <v/>
      </c>
      <c r="AU431" s="66" t="str">
        <f t="shared" si="56"/>
        <v/>
      </c>
      <c r="AV431" s="67" t="str">
        <f t="shared" si="57"/>
        <v/>
      </c>
      <c r="AW431" s="67" t="str">
        <f t="shared" si="58"/>
        <v/>
      </c>
      <c r="AX431" s="66" t="str">
        <f t="shared" si="59"/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 t="shared" si="60"/>
        <v/>
      </c>
      <c r="BB431" s="66" t="str">
        <f t="shared" si="61"/>
        <v/>
      </c>
      <c r="BC431" s="66">
        <f t="shared" si="62"/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69">
        <f t="shared" si="54"/>
        <v>0</v>
      </c>
      <c r="AT432" s="67" t="str">
        <f t="shared" si="55"/>
        <v/>
      </c>
      <c r="AU432" s="66" t="str">
        <f t="shared" si="56"/>
        <v/>
      </c>
      <c r="AV432" s="67" t="str">
        <f t="shared" si="57"/>
        <v/>
      </c>
      <c r="AW432" s="67" t="str">
        <f t="shared" si="58"/>
        <v/>
      </c>
      <c r="AX432" s="66" t="str">
        <f t="shared" si="59"/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 t="shared" si="60"/>
        <v/>
      </c>
      <c r="BB432" s="66" t="str">
        <f t="shared" si="61"/>
        <v/>
      </c>
      <c r="BC432" s="66">
        <f t="shared" si="62"/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69">
        <f t="shared" si="54"/>
        <v>0</v>
      </c>
      <c r="AT433" s="67" t="str">
        <f t="shared" si="55"/>
        <v/>
      </c>
      <c r="AU433" s="66" t="str">
        <f t="shared" si="56"/>
        <v/>
      </c>
      <c r="AV433" s="67" t="str">
        <f t="shared" si="57"/>
        <v/>
      </c>
      <c r="AW433" s="67" t="str">
        <f t="shared" si="58"/>
        <v/>
      </c>
      <c r="AX433" s="66" t="str">
        <f t="shared" si="59"/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 t="shared" si="60"/>
        <v/>
      </c>
      <c r="BB433" s="66" t="str">
        <f t="shared" si="61"/>
        <v/>
      </c>
      <c r="BC433" s="66">
        <f t="shared" si="62"/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69">
        <f t="shared" si="54"/>
        <v>0</v>
      </c>
      <c r="AT434" s="67" t="str">
        <f t="shared" si="55"/>
        <v/>
      </c>
      <c r="AU434" s="66" t="str">
        <f t="shared" si="56"/>
        <v/>
      </c>
      <c r="AV434" s="67" t="str">
        <f t="shared" si="57"/>
        <v/>
      </c>
      <c r="AW434" s="67" t="str">
        <f t="shared" si="58"/>
        <v/>
      </c>
      <c r="AX434" s="66" t="str">
        <f t="shared" si="59"/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 t="shared" si="60"/>
        <v/>
      </c>
      <c r="BB434" s="66" t="str">
        <f t="shared" si="61"/>
        <v/>
      </c>
      <c r="BC434" s="66">
        <f t="shared" si="62"/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69">
        <f t="shared" si="54"/>
        <v>0</v>
      </c>
      <c r="AT435" s="67" t="str">
        <f t="shared" si="55"/>
        <v/>
      </c>
      <c r="AU435" s="66" t="str">
        <f t="shared" si="56"/>
        <v/>
      </c>
      <c r="AV435" s="67" t="str">
        <f t="shared" si="57"/>
        <v/>
      </c>
      <c r="AW435" s="67" t="str">
        <f t="shared" si="58"/>
        <v/>
      </c>
      <c r="AX435" s="66" t="str">
        <f t="shared" si="59"/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 t="shared" si="60"/>
        <v/>
      </c>
      <c r="BB435" s="66" t="str">
        <f t="shared" si="61"/>
        <v/>
      </c>
      <c r="BC435" s="66">
        <f t="shared" si="62"/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69">
        <f t="shared" si="54"/>
        <v>0</v>
      </c>
      <c r="AT436" s="67" t="str">
        <f t="shared" si="55"/>
        <v/>
      </c>
      <c r="AU436" s="66" t="str">
        <f t="shared" si="56"/>
        <v/>
      </c>
      <c r="AV436" s="67" t="str">
        <f t="shared" si="57"/>
        <v/>
      </c>
      <c r="AW436" s="67" t="str">
        <f t="shared" si="58"/>
        <v/>
      </c>
      <c r="AX436" s="66" t="str">
        <f t="shared" si="59"/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 t="shared" si="60"/>
        <v/>
      </c>
      <c r="BB436" s="66" t="str">
        <f t="shared" si="61"/>
        <v/>
      </c>
      <c r="BC436" s="66">
        <f t="shared" si="62"/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69">
        <f t="shared" si="54"/>
        <v>0</v>
      </c>
      <c r="AT437" s="67" t="str">
        <f t="shared" si="55"/>
        <v/>
      </c>
      <c r="AU437" s="66" t="str">
        <f t="shared" si="56"/>
        <v/>
      </c>
      <c r="AV437" s="67" t="str">
        <f t="shared" si="57"/>
        <v/>
      </c>
      <c r="AW437" s="67" t="str">
        <f t="shared" si="58"/>
        <v/>
      </c>
      <c r="AX437" s="66" t="str">
        <f t="shared" si="59"/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 t="shared" si="60"/>
        <v/>
      </c>
      <c r="BB437" s="66" t="str">
        <f t="shared" si="61"/>
        <v/>
      </c>
      <c r="BC437" s="66">
        <f t="shared" si="62"/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69">
        <f t="shared" si="54"/>
        <v>0</v>
      </c>
      <c r="AT438" s="67" t="str">
        <f t="shared" si="55"/>
        <v/>
      </c>
      <c r="AU438" s="66" t="str">
        <f t="shared" si="56"/>
        <v/>
      </c>
      <c r="AV438" s="67" t="str">
        <f t="shared" si="57"/>
        <v/>
      </c>
      <c r="AW438" s="67" t="str">
        <f t="shared" si="58"/>
        <v/>
      </c>
      <c r="AX438" s="66" t="str">
        <f t="shared" si="59"/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 t="shared" si="60"/>
        <v/>
      </c>
      <c r="BB438" s="66" t="str">
        <f t="shared" si="61"/>
        <v/>
      </c>
      <c r="BC438" s="66">
        <f t="shared" si="62"/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69">
        <f t="shared" si="54"/>
        <v>0</v>
      </c>
      <c r="AT439" s="67" t="str">
        <f t="shared" si="55"/>
        <v/>
      </c>
      <c r="AU439" s="66" t="str">
        <f t="shared" si="56"/>
        <v/>
      </c>
      <c r="AV439" s="67" t="str">
        <f t="shared" si="57"/>
        <v/>
      </c>
      <c r="AW439" s="67" t="str">
        <f t="shared" si="58"/>
        <v/>
      </c>
      <c r="AX439" s="66" t="str">
        <f t="shared" si="59"/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 t="shared" si="60"/>
        <v/>
      </c>
      <c r="BB439" s="66" t="str">
        <f t="shared" si="61"/>
        <v/>
      </c>
      <c r="BC439" s="66">
        <f t="shared" si="62"/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69">
        <f t="shared" si="54"/>
        <v>0</v>
      </c>
      <c r="AT440" s="67" t="str">
        <f t="shared" si="55"/>
        <v/>
      </c>
      <c r="AU440" s="66" t="str">
        <f t="shared" si="56"/>
        <v/>
      </c>
      <c r="AV440" s="67" t="str">
        <f t="shared" si="57"/>
        <v/>
      </c>
      <c r="AW440" s="67" t="str">
        <f t="shared" si="58"/>
        <v/>
      </c>
      <c r="AX440" s="66" t="str">
        <f t="shared" si="59"/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 t="shared" si="60"/>
        <v/>
      </c>
      <c r="BB440" s="66" t="str">
        <f t="shared" si="61"/>
        <v/>
      </c>
      <c r="BC440" s="66">
        <f t="shared" si="62"/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69">
        <f t="shared" si="54"/>
        <v>0</v>
      </c>
      <c r="AT441" s="67" t="str">
        <f t="shared" si="55"/>
        <v/>
      </c>
      <c r="AU441" s="66" t="str">
        <f t="shared" si="56"/>
        <v/>
      </c>
      <c r="AV441" s="67" t="str">
        <f t="shared" si="57"/>
        <v/>
      </c>
      <c r="AW441" s="67" t="str">
        <f t="shared" si="58"/>
        <v/>
      </c>
      <c r="AX441" s="66" t="str">
        <f t="shared" si="59"/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 t="shared" si="60"/>
        <v/>
      </c>
      <c r="BB441" s="66" t="str">
        <f t="shared" si="61"/>
        <v/>
      </c>
      <c r="BC441" s="66">
        <f t="shared" si="62"/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69">
        <f t="shared" si="54"/>
        <v>0</v>
      </c>
      <c r="AT442" s="67" t="str">
        <f t="shared" si="55"/>
        <v/>
      </c>
      <c r="AU442" s="66" t="str">
        <f t="shared" si="56"/>
        <v/>
      </c>
      <c r="AV442" s="67" t="str">
        <f t="shared" si="57"/>
        <v/>
      </c>
      <c r="AW442" s="67" t="str">
        <f t="shared" si="58"/>
        <v/>
      </c>
      <c r="AX442" s="66" t="str">
        <f t="shared" si="59"/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 t="shared" si="60"/>
        <v/>
      </c>
      <c r="BB442" s="66" t="str">
        <f t="shared" si="61"/>
        <v/>
      </c>
      <c r="BC442" s="66">
        <f t="shared" si="62"/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69">
        <f t="shared" si="54"/>
        <v>0</v>
      </c>
      <c r="AT443" s="67" t="str">
        <f t="shared" si="55"/>
        <v/>
      </c>
      <c r="AU443" s="66" t="str">
        <f t="shared" si="56"/>
        <v/>
      </c>
      <c r="AV443" s="67" t="str">
        <f t="shared" si="57"/>
        <v/>
      </c>
      <c r="AW443" s="67" t="str">
        <f t="shared" si="58"/>
        <v/>
      </c>
      <c r="AX443" s="66" t="str">
        <f t="shared" si="59"/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 t="shared" si="60"/>
        <v/>
      </c>
      <c r="BB443" s="66" t="str">
        <f t="shared" si="61"/>
        <v/>
      </c>
      <c r="BC443" s="66">
        <f t="shared" si="62"/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69">
        <f t="shared" si="54"/>
        <v>0</v>
      </c>
      <c r="AT444" s="67" t="str">
        <f t="shared" si="55"/>
        <v/>
      </c>
      <c r="AU444" s="66" t="str">
        <f t="shared" si="56"/>
        <v/>
      </c>
      <c r="AV444" s="67" t="str">
        <f t="shared" si="57"/>
        <v/>
      </c>
      <c r="AW444" s="67" t="str">
        <f t="shared" si="58"/>
        <v/>
      </c>
      <c r="AX444" s="66" t="str">
        <f t="shared" si="59"/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 t="shared" si="60"/>
        <v/>
      </c>
      <c r="BB444" s="66" t="str">
        <f t="shared" si="61"/>
        <v/>
      </c>
      <c r="BC444" s="66">
        <f t="shared" si="62"/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69">
        <f t="shared" si="54"/>
        <v>0</v>
      </c>
      <c r="AT445" s="67" t="str">
        <f t="shared" si="55"/>
        <v/>
      </c>
      <c r="AU445" s="66" t="str">
        <f t="shared" si="56"/>
        <v/>
      </c>
      <c r="AV445" s="67" t="str">
        <f t="shared" si="57"/>
        <v/>
      </c>
      <c r="AW445" s="67" t="str">
        <f t="shared" si="58"/>
        <v/>
      </c>
      <c r="AX445" s="66" t="str">
        <f t="shared" si="59"/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 t="shared" si="60"/>
        <v/>
      </c>
      <c r="BB445" s="66" t="str">
        <f t="shared" si="61"/>
        <v/>
      </c>
      <c r="BC445" s="66">
        <f t="shared" si="62"/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69">
        <f t="shared" si="54"/>
        <v>0</v>
      </c>
      <c r="AT446" s="67" t="str">
        <f t="shared" si="55"/>
        <v/>
      </c>
      <c r="AU446" s="66" t="str">
        <f t="shared" si="56"/>
        <v/>
      </c>
      <c r="AV446" s="67" t="str">
        <f t="shared" si="57"/>
        <v/>
      </c>
      <c r="AW446" s="67" t="str">
        <f t="shared" si="58"/>
        <v/>
      </c>
      <c r="AX446" s="66" t="str">
        <f t="shared" si="59"/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 t="shared" si="60"/>
        <v/>
      </c>
      <c r="BB446" s="66" t="str">
        <f t="shared" si="61"/>
        <v/>
      </c>
      <c r="BC446" s="66">
        <f t="shared" si="62"/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69">
        <f t="shared" si="54"/>
        <v>0</v>
      </c>
      <c r="AT447" s="67" t="str">
        <f t="shared" si="55"/>
        <v/>
      </c>
      <c r="AU447" s="66" t="str">
        <f t="shared" si="56"/>
        <v/>
      </c>
      <c r="AV447" s="67" t="str">
        <f t="shared" si="57"/>
        <v/>
      </c>
      <c r="AW447" s="67" t="str">
        <f t="shared" si="58"/>
        <v/>
      </c>
      <c r="AX447" s="66" t="str">
        <f t="shared" si="59"/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 t="shared" si="60"/>
        <v/>
      </c>
      <c r="BB447" s="66" t="str">
        <f t="shared" si="61"/>
        <v/>
      </c>
      <c r="BC447" s="66">
        <f t="shared" si="62"/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69">
        <f t="shared" si="54"/>
        <v>0</v>
      </c>
      <c r="AT448" s="67" t="str">
        <f t="shared" si="55"/>
        <v/>
      </c>
      <c r="AU448" s="66" t="str">
        <f t="shared" si="56"/>
        <v/>
      </c>
      <c r="AV448" s="67" t="str">
        <f t="shared" si="57"/>
        <v/>
      </c>
      <c r="AW448" s="67" t="str">
        <f t="shared" si="58"/>
        <v/>
      </c>
      <c r="AX448" s="66" t="str">
        <f t="shared" si="59"/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 t="shared" si="60"/>
        <v/>
      </c>
      <c r="BB448" s="66" t="str">
        <f t="shared" si="61"/>
        <v/>
      </c>
      <c r="BC448" s="66">
        <f t="shared" si="62"/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69">
        <f t="shared" si="54"/>
        <v>0</v>
      </c>
      <c r="AT449" s="67" t="str">
        <f t="shared" si="55"/>
        <v/>
      </c>
      <c r="AU449" s="66" t="str">
        <f t="shared" si="56"/>
        <v/>
      </c>
      <c r="AV449" s="67" t="str">
        <f t="shared" si="57"/>
        <v/>
      </c>
      <c r="AW449" s="67" t="str">
        <f t="shared" si="58"/>
        <v/>
      </c>
      <c r="AX449" s="66" t="str">
        <f t="shared" si="59"/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 t="shared" si="60"/>
        <v/>
      </c>
      <c r="BB449" s="66" t="str">
        <f t="shared" si="61"/>
        <v/>
      </c>
      <c r="BC449" s="66">
        <f t="shared" si="62"/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69">
        <f t="shared" si="54"/>
        <v>0</v>
      </c>
      <c r="AT450" s="67" t="str">
        <f t="shared" si="55"/>
        <v/>
      </c>
      <c r="AU450" s="66" t="str">
        <f t="shared" si="56"/>
        <v/>
      </c>
      <c r="AV450" s="67" t="str">
        <f t="shared" si="57"/>
        <v/>
      </c>
      <c r="AW450" s="67" t="str">
        <f t="shared" si="58"/>
        <v/>
      </c>
      <c r="AX450" s="66" t="str">
        <f t="shared" si="59"/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 t="shared" si="60"/>
        <v/>
      </c>
      <c r="BB450" s="66" t="str">
        <f t="shared" si="61"/>
        <v/>
      </c>
      <c r="BC450" s="66">
        <f t="shared" si="62"/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69">
        <f t="shared" si="54"/>
        <v>0</v>
      </c>
      <c r="AT451" s="67" t="str">
        <f t="shared" si="55"/>
        <v/>
      </c>
      <c r="AU451" s="66" t="str">
        <f t="shared" si="56"/>
        <v/>
      </c>
      <c r="AV451" s="67" t="str">
        <f t="shared" si="57"/>
        <v/>
      </c>
      <c r="AW451" s="67" t="str">
        <f t="shared" si="58"/>
        <v/>
      </c>
      <c r="AX451" s="66" t="str">
        <f t="shared" si="59"/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 t="shared" si="60"/>
        <v/>
      </c>
      <c r="BB451" s="66" t="str">
        <f t="shared" si="61"/>
        <v/>
      </c>
      <c r="BC451" s="66">
        <f t="shared" si="62"/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69">
        <f t="shared" si="54"/>
        <v>0</v>
      </c>
      <c r="AT452" s="67" t="str">
        <f t="shared" si="55"/>
        <v/>
      </c>
      <c r="AU452" s="66" t="str">
        <f t="shared" si="56"/>
        <v/>
      </c>
      <c r="AV452" s="67" t="str">
        <f t="shared" si="57"/>
        <v/>
      </c>
      <c r="AW452" s="67" t="str">
        <f t="shared" si="58"/>
        <v/>
      </c>
      <c r="AX452" s="66" t="str">
        <f t="shared" si="59"/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 t="shared" si="60"/>
        <v/>
      </c>
      <c r="BB452" s="66" t="str">
        <f t="shared" si="61"/>
        <v/>
      </c>
      <c r="BC452" s="66">
        <f t="shared" si="62"/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69">
        <f t="shared" ref="AS453:AS516" si="63">SUM(H453,J453,L453,N453,P453,R453,T453,V453,X453,Z453,AB453,AD453,AF453,AH453,AJ453,AL453,AN453)</f>
        <v>0</v>
      </c>
      <c r="AT453" s="67" t="str">
        <f t="shared" ref="AT453:AT516" si="64">IF(C453="","",DATE(YEAR(C453),MONTH(C453),1))</f>
        <v/>
      </c>
      <c r="AU453" s="66" t="str">
        <f t="shared" ref="AU453:AU516" si="65">IF(AT453="","",TEXT(AT453,"mmmm yyyy"))</f>
        <v/>
      </c>
      <c r="AV453" s="67" t="str">
        <f t="shared" ref="AV453:AV516" si="66">IF(C453="","",C453-WEEKDAY(C453,2)+1)</f>
        <v/>
      </c>
      <c r="AW453" s="67" t="str">
        <f t="shared" ref="AW453:AW516" si="67">IF(AV453="","",AV453+6)</f>
        <v/>
      </c>
      <c r="AX453" s="66" t="str">
        <f t="shared" ref="AX453:AX516" si="68"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 t="shared" ref="BA453:BA516" si="69">IF(B453="","",TEXT(AY453,"00")&amp;"|"&amp;B453&amp;"|"&amp;TEXT(AT453,"yyyymmdd"))</f>
        <v/>
      </c>
      <c r="BB453" s="66" t="str">
        <f t="shared" ref="BB453:BB516" si="70">IF(B453="","",TEXT(AZ453,"00")&amp;"|"&amp;B453&amp;"|"&amp;TEXT(AV453,"yyyymmdd"))</f>
        <v/>
      </c>
      <c r="BC453" s="66">
        <f t="shared" ref="BC453:BC516" si="71"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69">
        <f t="shared" si="63"/>
        <v>0</v>
      </c>
      <c r="AT454" s="67" t="str">
        <f t="shared" si="64"/>
        <v/>
      </c>
      <c r="AU454" s="66" t="str">
        <f t="shared" si="65"/>
        <v/>
      </c>
      <c r="AV454" s="67" t="str">
        <f t="shared" si="66"/>
        <v/>
      </c>
      <c r="AW454" s="67" t="str">
        <f t="shared" si="67"/>
        <v/>
      </c>
      <c r="AX454" s="66" t="str">
        <f t="shared" si="68"/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 t="shared" si="69"/>
        <v/>
      </c>
      <c r="BB454" s="66" t="str">
        <f t="shared" si="70"/>
        <v/>
      </c>
      <c r="BC454" s="66">
        <f t="shared" si="71"/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69">
        <f t="shared" si="63"/>
        <v>0</v>
      </c>
      <c r="AT455" s="67" t="str">
        <f t="shared" si="64"/>
        <v/>
      </c>
      <c r="AU455" s="66" t="str">
        <f t="shared" si="65"/>
        <v/>
      </c>
      <c r="AV455" s="67" t="str">
        <f t="shared" si="66"/>
        <v/>
      </c>
      <c r="AW455" s="67" t="str">
        <f t="shared" si="67"/>
        <v/>
      </c>
      <c r="AX455" s="66" t="str">
        <f t="shared" si="68"/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 t="shared" si="69"/>
        <v/>
      </c>
      <c r="BB455" s="66" t="str">
        <f t="shared" si="70"/>
        <v/>
      </c>
      <c r="BC455" s="66">
        <f t="shared" si="71"/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69">
        <f t="shared" si="63"/>
        <v>0</v>
      </c>
      <c r="AT456" s="67" t="str">
        <f t="shared" si="64"/>
        <v/>
      </c>
      <c r="AU456" s="66" t="str">
        <f t="shared" si="65"/>
        <v/>
      </c>
      <c r="AV456" s="67" t="str">
        <f t="shared" si="66"/>
        <v/>
      </c>
      <c r="AW456" s="67" t="str">
        <f t="shared" si="67"/>
        <v/>
      </c>
      <c r="AX456" s="66" t="str">
        <f t="shared" si="68"/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 t="shared" si="69"/>
        <v/>
      </c>
      <c r="BB456" s="66" t="str">
        <f t="shared" si="70"/>
        <v/>
      </c>
      <c r="BC456" s="66">
        <f t="shared" si="71"/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69">
        <f t="shared" si="63"/>
        <v>0</v>
      </c>
      <c r="AT457" s="67" t="str">
        <f t="shared" si="64"/>
        <v/>
      </c>
      <c r="AU457" s="66" t="str">
        <f t="shared" si="65"/>
        <v/>
      </c>
      <c r="AV457" s="67" t="str">
        <f t="shared" si="66"/>
        <v/>
      </c>
      <c r="AW457" s="67" t="str">
        <f t="shared" si="67"/>
        <v/>
      </c>
      <c r="AX457" s="66" t="str">
        <f t="shared" si="68"/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 t="shared" si="69"/>
        <v/>
      </c>
      <c r="BB457" s="66" t="str">
        <f t="shared" si="70"/>
        <v/>
      </c>
      <c r="BC457" s="66">
        <f t="shared" si="71"/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69">
        <f t="shared" si="63"/>
        <v>0</v>
      </c>
      <c r="AT458" s="67" t="str">
        <f t="shared" si="64"/>
        <v/>
      </c>
      <c r="AU458" s="66" t="str">
        <f t="shared" si="65"/>
        <v/>
      </c>
      <c r="AV458" s="67" t="str">
        <f t="shared" si="66"/>
        <v/>
      </c>
      <c r="AW458" s="67" t="str">
        <f t="shared" si="67"/>
        <v/>
      </c>
      <c r="AX458" s="66" t="str">
        <f t="shared" si="68"/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 t="shared" si="69"/>
        <v/>
      </c>
      <c r="BB458" s="66" t="str">
        <f t="shared" si="70"/>
        <v/>
      </c>
      <c r="BC458" s="66">
        <f t="shared" si="71"/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69">
        <f t="shared" si="63"/>
        <v>0</v>
      </c>
      <c r="AT459" s="67" t="str">
        <f t="shared" si="64"/>
        <v/>
      </c>
      <c r="AU459" s="66" t="str">
        <f t="shared" si="65"/>
        <v/>
      </c>
      <c r="AV459" s="67" t="str">
        <f t="shared" si="66"/>
        <v/>
      </c>
      <c r="AW459" s="67" t="str">
        <f t="shared" si="67"/>
        <v/>
      </c>
      <c r="AX459" s="66" t="str">
        <f t="shared" si="68"/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 t="shared" si="69"/>
        <v/>
      </c>
      <c r="BB459" s="66" t="str">
        <f t="shared" si="70"/>
        <v/>
      </c>
      <c r="BC459" s="66">
        <f t="shared" si="71"/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69">
        <f t="shared" si="63"/>
        <v>0</v>
      </c>
      <c r="AT460" s="67" t="str">
        <f t="shared" si="64"/>
        <v/>
      </c>
      <c r="AU460" s="66" t="str">
        <f t="shared" si="65"/>
        <v/>
      </c>
      <c r="AV460" s="67" t="str">
        <f t="shared" si="66"/>
        <v/>
      </c>
      <c r="AW460" s="67" t="str">
        <f t="shared" si="67"/>
        <v/>
      </c>
      <c r="AX460" s="66" t="str">
        <f t="shared" si="68"/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 t="shared" si="69"/>
        <v/>
      </c>
      <c r="BB460" s="66" t="str">
        <f t="shared" si="70"/>
        <v/>
      </c>
      <c r="BC460" s="66">
        <f t="shared" si="71"/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69">
        <f t="shared" si="63"/>
        <v>0</v>
      </c>
      <c r="AT461" s="67" t="str">
        <f t="shared" si="64"/>
        <v/>
      </c>
      <c r="AU461" s="66" t="str">
        <f t="shared" si="65"/>
        <v/>
      </c>
      <c r="AV461" s="67" t="str">
        <f t="shared" si="66"/>
        <v/>
      </c>
      <c r="AW461" s="67" t="str">
        <f t="shared" si="67"/>
        <v/>
      </c>
      <c r="AX461" s="66" t="str">
        <f t="shared" si="68"/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 t="shared" si="69"/>
        <v/>
      </c>
      <c r="BB461" s="66" t="str">
        <f t="shared" si="70"/>
        <v/>
      </c>
      <c r="BC461" s="66">
        <f t="shared" si="71"/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69">
        <f t="shared" si="63"/>
        <v>0</v>
      </c>
      <c r="AT462" s="67" t="str">
        <f t="shared" si="64"/>
        <v/>
      </c>
      <c r="AU462" s="66" t="str">
        <f t="shared" si="65"/>
        <v/>
      </c>
      <c r="AV462" s="67" t="str">
        <f t="shared" si="66"/>
        <v/>
      </c>
      <c r="AW462" s="67" t="str">
        <f t="shared" si="67"/>
        <v/>
      </c>
      <c r="AX462" s="66" t="str">
        <f t="shared" si="68"/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 t="shared" si="69"/>
        <v/>
      </c>
      <c r="BB462" s="66" t="str">
        <f t="shared" si="70"/>
        <v/>
      </c>
      <c r="BC462" s="66">
        <f t="shared" si="71"/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69">
        <f t="shared" si="63"/>
        <v>0</v>
      </c>
      <c r="AT463" s="67" t="str">
        <f t="shared" si="64"/>
        <v/>
      </c>
      <c r="AU463" s="66" t="str">
        <f t="shared" si="65"/>
        <v/>
      </c>
      <c r="AV463" s="67" t="str">
        <f t="shared" si="66"/>
        <v/>
      </c>
      <c r="AW463" s="67" t="str">
        <f t="shared" si="67"/>
        <v/>
      </c>
      <c r="AX463" s="66" t="str">
        <f t="shared" si="68"/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 t="shared" si="69"/>
        <v/>
      </c>
      <c r="BB463" s="66" t="str">
        <f t="shared" si="70"/>
        <v/>
      </c>
      <c r="BC463" s="66">
        <f t="shared" si="71"/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69">
        <f t="shared" si="63"/>
        <v>0</v>
      </c>
      <c r="AT464" s="67" t="str">
        <f t="shared" si="64"/>
        <v/>
      </c>
      <c r="AU464" s="66" t="str">
        <f t="shared" si="65"/>
        <v/>
      </c>
      <c r="AV464" s="67" t="str">
        <f t="shared" si="66"/>
        <v/>
      </c>
      <c r="AW464" s="67" t="str">
        <f t="shared" si="67"/>
        <v/>
      </c>
      <c r="AX464" s="66" t="str">
        <f t="shared" si="68"/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 t="shared" si="69"/>
        <v/>
      </c>
      <c r="BB464" s="66" t="str">
        <f t="shared" si="70"/>
        <v/>
      </c>
      <c r="BC464" s="66">
        <f t="shared" si="71"/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69">
        <f t="shared" si="63"/>
        <v>0</v>
      </c>
      <c r="AT465" s="67" t="str">
        <f t="shared" si="64"/>
        <v/>
      </c>
      <c r="AU465" s="66" t="str">
        <f t="shared" si="65"/>
        <v/>
      </c>
      <c r="AV465" s="67" t="str">
        <f t="shared" si="66"/>
        <v/>
      </c>
      <c r="AW465" s="67" t="str">
        <f t="shared" si="67"/>
        <v/>
      </c>
      <c r="AX465" s="66" t="str">
        <f t="shared" si="68"/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 t="shared" si="69"/>
        <v/>
      </c>
      <c r="BB465" s="66" t="str">
        <f t="shared" si="70"/>
        <v/>
      </c>
      <c r="BC465" s="66">
        <f t="shared" si="71"/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69">
        <f t="shared" si="63"/>
        <v>0</v>
      </c>
      <c r="AT466" s="67" t="str">
        <f t="shared" si="64"/>
        <v/>
      </c>
      <c r="AU466" s="66" t="str">
        <f t="shared" si="65"/>
        <v/>
      </c>
      <c r="AV466" s="67" t="str">
        <f t="shared" si="66"/>
        <v/>
      </c>
      <c r="AW466" s="67" t="str">
        <f t="shared" si="67"/>
        <v/>
      </c>
      <c r="AX466" s="66" t="str">
        <f t="shared" si="68"/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 t="shared" si="69"/>
        <v/>
      </c>
      <c r="BB466" s="66" t="str">
        <f t="shared" si="70"/>
        <v/>
      </c>
      <c r="BC466" s="66">
        <f t="shared" si="71"/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69">
        <f t="shared" si="63"/>
        <v>0</v>
      </c>
      <c r="AT467" s="67" t="str">
        <f t="shared" si="64"/>
        <v/>
      </c>
      <c r="AU467" s="66" t="str">
        <f t="shared" si="65"/>
        <v/>
      </c>
      <c r="AV467" s="67" t="str">
        <f t="shared" si="66"/>
        <v/>
      </c>
      <c r="AW467" s="67" t="str">
        <f t="shared" si="67"/>
        <v/>
      </c>
      <c r="AX467" s="66" t="str">
        <f t="shared" si="68"/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 t="shared" si="69"/>
        <v/>
      </c>
      <c r="BB467" s="66" t="str">
        <f t="shared" si="70"/>
        <v/>
      </c>
      <c r="BC467" s="66">
        <f t="shared" si="71"/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69">
        <f t="shared" si="63"/>
        <v>0</v>
      </c>
      <c r="AT468" s="67" t="str">
        <f t="shared" si="64"/>
        <v/>
      </c>
      <c r="AU468" s="66" t="str">
        <f t="shared" si="65"/>
        <v/>
      </c>
      <c r="AV468" s="67" t="str">
        <f t="shared" si="66"/>
        <v/>
      </c>
      <c r="AW468" s="67" t="str">
        <f t="shared" si="67"/>
        <v/>
      </c>
      <c r="AX468" s="66" t="str">
        <f t="shared" si="68"/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 t="shared" si="69"/>
        <v/>
      </c>
      <c r="BB468" s="66" t="str">
        <f t="shared" si="70"/>
        <v/>
      </c>
      <c r="BC468" s="66">
        <f t="shared" si="71"/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69">
        <f t="shared" si="63"/>
        <v>0</v>
      </c>
      <c r="AT469" s="67" t="str">
        <f t="shared" si="64"/>
        <v/>
      </c>
      <c r="AU469" s="66" t="str">
        <f t="shared" si="65"/>
        <v/>
      </c>
      <c r="AV469" s="67" t="str">
        <f t="shared" si="66"/>
        <v/>
      </c>
      <c r="AW469" s="67" t="str">
        <f t="shared" si="67"/>
        <v/>
      </c>
      <c r="AX469" s="66" t="str">
        <f t="shared" si="68"/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 t="shared" si="69"/>
        <v/>
      </c>
      <c r="BB469" s="66" t="str">
        <f t="shared" si="70"/>
        <v/>
      </c>
      <c r="BC469" s="66">
        <f t="shared" si="71"/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69">
        <f t="shared" si="63"/>
        <v>0</v>
      </c>
      <c r="AT470" s="67" t="str">
        <f t="shared" si="64"/>
        <v/>
      </c>
      <c r="AU470" s="66" t="str">
        <f t="shared" si="65"/>
        <v/>
      </c>
      <c r="AV470" s="67" t="str">
        <f t="shared" si="66"/>
        <v/>
      </c>
      <c r="AW470" s="67" t="str">
        <f t="shared" si="67"/>
        <v/>
      </c>
      <c r="AX470" s="66" t="str">
        <f t="shared" si="68"/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 t="shared" si="69"/>
        <v/>
      </c>
      <c r="BB470" s="66" t="str">
        <f t="shared" si="70"/>
        <v/>
      </c>
      <c r="BC470" s="66">
        <f t="shared" si="71"/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69">
        <f t="shared" si="63"/>
        <v>0</v>
      </c>
      <c r="AT471" s="67" t="str">
        <f t="shared" si="64"/>
        <v/>
      </c>
      <c r="AU471" s="66" t="str">
        <f t="shared" si="65"/>
        <v/>
      </c>
      <c r="AV471" s="67" t="str">
        <f t="shared" si="66"/>
        <v/>
      </c>
      <c r="AW471" s="67" t="str">
        <f t="shared" si="67"/>
        <v/>
      </c>
      <c r="AX471" s="66" t="str">
        <f t="shared" si="68"/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 t="shared" si="69"/>
        <v/>
      </c>
      <c r="BB471" s="66" t="str">
        <f t="shared" si="70"/>
        <v/>
      </c>
      <c r="BC471" s="66">
        <f t="shared" si="71"/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69">
        <f t="shared" si="63"/>
        <v>0</v>
      </c>
      <c r="AT472" s="67" t="str">
        <f t="shared" si="64"/>
        <v/>
      </c>
      <c r="AU472" s="66" t="str">
        <f t="shared" si="65"/>
        <v/>
      </c>
      <c r="AV472" s="67" t="str">
        <f t="shared" si="66"/>
        <v/>
      </c>
      <c r="AW472" s="67" t="str">
        <f t="shared" si="67"/>
        <v/>
      </c>
      <c r="AX472" s="66" t="str">
        <f t="shared" si="68"/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 t="shared" si="69"/>
        <v/>
      </c>
      <c r="BB472" s="66" t="str">
        <f t="shared" si="70"/>
        <v/>
      </c>
      <c r="BC472" s="66">
        <f t="shared" si="71"/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69">
        <f t="shared" si="63"/>
        <v>0</v>
      </c>
      <c r="AT473" s="67" t="str">
        <f t="shared" si="64"/>
        <v/>
      </c>
      <c r="AU473" s="66" t="str">
        <f t="shared" si="65"/>
        <v/>
      </c>
      <c r="AV473" s="67" t="str">
        <f t="shared" si="66"/>
        <v/>
      </c>
      <c r="AW473" s="67" t="str">
        <f t="shared" si="67"/>
        <v/>
      </c>
      <c r="AX473" s="66" t="str">
        <f t="shared" si="68"/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 t="shared" si="69"/>
        <v/>
      </c>
      <c r="BB473" s="66" t="str">
        <f t="shared" si="70"/>
        <v/>
      </c>
      <c r="BC473" s="66">
        <f t="shared" si="71"/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69">
        <f t="shared" si="63"/>
        <v>0</v>
      </c>
      <c r="AT474" s="67" t="str">
        <f t="shared" si="64"/>
        <v/>
      </c>
      <c r="AU474" s="66" t="str">
        <f t="shared" si="65"/>
        <v/>
      </c>
      <c r="AV474" s="67" t="str">
        <f t="shared" si="66"/>
        <v/>
      </c>
      <c r="AW474" s="67" t="str">
        <f t="shared" si="67"/>
        <v/>
      </c>
      <c r="AX474" s="66" t="str">
        <f t="shared" si="68"/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 t="shared" si="69"/>
        <v/>
      </c>
      <c r="BB474" s="66" t="str">
        <f t="shared" si="70"/>
        <v/>
      </c>
      <c r="BC474" s="66">
        <f t="shared" si="71"/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69">
        <f t="shared" si="63"/>
        <v>0</v>
      </c>
      <c r="AT475" s="67" t="str">
        <f t="shared" si="64"/>
        <v/>
      </c>
      <c r="AU475" s="66" t="str">
        <f t="shared" si="65"/>
        <v/>
      </c>
      <c r="AV475" s="67" t="str">
        <f t="shared" si="66"/>
        <v/>
      </c>
      <c r="AW475" s="67" t="str">
        <f t="shared" si="67"/>
        <v/>
      </c>
      <c r="AX475" s="66" t="str">
        <f t="shared" si="68"/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 t="shared" si="69"/>
        <v/>
      </c>
      <c r="BB475" s="66" t="str">
        <f t="shared" si="70"/>
        <v/>
      </c>
      <c r="BC475" s="66">
        <f t="shared" si="71"/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69">
        <f t="shared" si="63"/>
        <v>0</v>
      </c>
      <c r="AT476" s="67" t="str">
        <f t="shared" si="64"/>
        <v/>
      </c>
      <c r="AU476" s="66" t="str">
        <f t="shared" si="65"/>
        <v/>
      </c>
      <c r="AV476" s="67" t="str">
        <f t="shared" si="66"/>
        <v/>
      </c>
      <c r="AW476" s="67" t="str">
        <f t="shared" si="67"/>
        <v/>
      </c>
      <c r="AX476" s="66" t="str">
        <f t="shared" si="68"/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 t="shared" si="69"/>
        <v/>
      </c>
      <c r="BB476" s="66" t="str">
        <f t="shared" si="70"/>
        <v/>
      </c>
      <c r="BC476" s="66">
        <f t="shared" si="71"/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69">
        <f t="shared" si="63"/>
        <v>0</v>
      </c>
      <c r="AT477" s="67" t="str">
        <f t="shared" si="64"/>
        <v/>
      </c>
      <c r="AU477" s="66" t="str">
        <f t="shared" si="65"/>
        <v/>
      </c>
      <c r="AV477" s="67" t="str">
        <f t="shared" si="66"/>
        <v/>
      </c>
      <c r="AW477" s="67" t="str">
        <f t="shared" si="67"/>
        <v/>
      </c>
      <c r="AX477" s="66" t="str">
        <f t="shared" si="68"/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 t="shared" si="69"/>
        <v/>
      </c>
      <c r="BB477" s="66" t="str">
        <f t="shared" si="70"/>
        <v/>
      </c>
      <c r="BC477" s="66">
        <f t="shared" si="71"/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69">
        <f t="shared" si="63"/>
        <v>0</v>
      </c>
      <c r="AT478" s="67" t="str">
        <f t="shared" si="64"/>
        <v/>
      </c>
      <c r="AU478" s="66" t="str">
        <f t="shared" si="65"/>
        <v/>
      </c>
      <c r="AV478" s="67" t="str">
        <f t="shared" si="66"/>
        <v/>
      </c>
      <c r="AW478" s="67" t="str">
        <f t="shared" si="67"/>
        <v/>
      </c>
      <c r="AX478" s="66" t="str">
        <f t="shared" si="68"/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 t="shared" si="69"/>
        <v/>
      </c>
      <c r="BB478" s="66" t="str">
        <f t="shared" si="70"/>
        <v/>
      </c>
      <c r="BC478" s="66">
        <f t="shared" si="71"/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69">
        <f t="shared" si="63"/>
        <v>0</v>
      </c>
      <c r="AT479" s="67" t="str">
        <f t="shared" si="64"/>
        <v/>
      </c>
      <c r="AU479" s="66" t="str">
        <f t="shared" si="65"/>
        <v/>
      </c>
      <c r="AV479" s="67" t="str">
        <f t="shared" si="66"/>
        <v/>
      </c>
      <c r="AW479" s="67" t="str">
        <f t="shared" si="67"/>
        <v/>
      </c>
      <c r="AX479" s="66" t="str">
        <f t="shared" si="68"/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 t="shared" si="69"/>
        <v/>
      </c>
      <c r="BB479" s="66" t="str">
        <f t="shared" si="70"/>
        <v/>
      </c>
      <c r="BC479" s="66">
        <f t="shared" si="71"/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69">
        <f t="shared" si="63"/>
        <v>0</v>
      </c>
      <c r="AT480" s="67" t="str">
        <f t="shared" si="64"/>
        <v/>
      </c>
      <c r="AU480" s="66" t="str">
        <f t="shared" si="65"/>
        <v/>
      </c>
      <c r="AV480" s="67" t="str">
        <f t="shared" si="66"/>
        <v/>
      </c>
      <c r="AW480" s="67" t="str">
        <f t="shared" si="67"/>
        <v/>
      </c>
      <c r="AX480" s="66" t="str">
        <f t="shared" si="68"/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 t="shared" si="69"/>
        <v/>
      </c>
      <c r="BB480" s="66" t="str">
        <f t="shared" si="70"/>
        <v/>
      </c>
      <c r="BC480" s="66">
        <f t="shared" si="71"/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69">
        <f t="shared" si="63"/>
        <v>0</v>
      </c>
      <c r="AT481" s="67" t="str">
        <f t="shared" si="64"/>
        <v/>
      </c>
      <c r="AU481" s="66" t="str">
        <f t="shared" si="65"/>
        <v/>
      </c>
      <c r="AV481" s="67" t="str">
        <f t="shared" si="66"/>
        <v/>
      </c>
      <c r="AW481" s="67" t="str">
        <f t="shared" si="67"/>
        <v/>
      </c>
      <c r="AX481" s="66" t="str">
        <f t="shared" si="68"/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 t="shared" si="69"/>
        <v/>
      </c>
      <c r="BB481" s="66" t="str">
        <f t="shared" si="70"/>
        <v/>
      </c>
      <c r="BC481" s="66">
        <f t="shared" si="71"/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69">
        <f t="shared" si="63"/>
        <v>0</v>
      </c>
      <c r="AT482" s="67" t="str">
        <f t="shared" si="64"/>
        <v/>
      </c>
      <c r="AU482" s="66" t="str">
        <f t="shared" si="65"/>
        <v/>
      </c>
      <c r="AV482" s="67" t="str">
        <f t="shared" si="66"/>
        <v/>
      </c>
      <c r="AW482" s="67" t="str">
        <f t="shared" si="67"/>
        <v/>
      </c>
      <c r="AX482" s="66" t="str">
        <f t="shared" si="68"/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 t="shared" si="69"/>
        <v/>
      </c>
      <c r="BB482" s="66" t="str">
        <f t="shared" si="70"/>
        <v/>
      </c>
      <c r="BC482" s="66">
        <f t="shared" si="71"/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69">
        <f t="shared" si="63"/>
        <v>0</v>
      </c>
      <c r="AT483" s="67" t="str">
        <f t="shared" si="64"/>
        <v/>
      </c>
      <c r="AU483" s="66" t="str">
        <f t="shared" si="65"/>
        <v/>
      </c>
      <c r="AV483" s="67" t="str">
        <f t="shared" si="66"/>
        <v/>
      </c>
      <c r="AW483" s="67" t="str">
        <f t="shared" si="67"/>
        <v/>
      </c>
      <c r="AX483" s="66" t="str">
        <f t="shared" si="68"/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 t="shared" si="69"/>
        <v/>
      </c>
      <c r="BB483" s="66" t="str">
        <f t="shared" si="70"/>
        <v/>
      </c>
      <c r="BC483" s="66">
        <f t="shared" si="71"/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69">
        <f t="shared" si="63"/>
        <v>0</v>
      </c>
      <c r="AT484" s="67" t="str">
        <f t="shared" si="64"/>
        <v/>
      </c>
      <c r="AU484" s="66" t="str">
        <f t="shared" si="65"/>
        <v/>
      </c>
      <c r="AV484" s="67" t="str">
        <f t="shared" si="66"/>
        <v/>
      </c>
      <c r="AW484" s="67" t="str">
        <f t="shared" si="67"/>
        <v/>
      </c>
      <c r="AX484" s="66" t="str">
        <f t="shared" si="68"/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 t="shared" si="69"/>
        <v/>
      </c>
      <c r="BB484" s="66" t="str">
        <f t="shared" si="70"/>
        <v/>
      </c>
      <c r="BC484" s="66">
        <f t="shared" si="71"/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69">
        <f t="shared" si="63"/>
        <v>0</v>
      </c>
      <c r="AT485" s="67" t="str">
        <f t="shared" si="64"/>
        <v/>
      </c>
      <c r="AU485" s="66" t="str">
        <f t="shared" si="65"/>
        <v/>
      </c>
      <c r="AV485" s="67" t="str">
        <f t="shared" si="66"/>
        <v/>
      </c>
      <c r="AW485" s="67" t="str">
        <f t="shared" si="67"/>
        <v/>
      </c>
      <c r="AX485" s="66" t="str">
        <f t="shared" si="68"/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 t="shared" si="69"/>
        <v/>
      </c>
      <c r="BB485" s="66" t="str">
        <f t="shared" si="70"/>
        <v/>
      </c>
      <c r="BC485" s="66">
        <f t="shared" si="71"/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69">
        <f t="shared" si="63"/>
        <v>0</v>
      </c>
      <c r="AT486" s="67" t="str">
        <f t="shared" si="64"/>
        <v/>
      </c>
      <c r="AU486" s="66" t="str">
        <f t="shared" si="65"/>
        <v/>
      </c>
      <c r="AV486" s="67" t="str">
        <f t="shared" si="66"/>
        <v/>
      </c>
      <c r="AW486" s="67" t="str">
        <f t="shared" si="67"/>
        <v/>
      </c>
      <c r="AX486" s="66" t="str">
        <f t="shared" si="68"/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 t="shared" si="69"/>
        <v/>
      </c>
      <c r="BB486" s="66" t="str">
        <f t="shared" si="70"/>
        <v/>
      </c>
      <c r="BC486" s="66">
        <f t="shared" si="71"/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69">
        <f t="shared" si="63"/>
        <v>0</v>
      </c>
      <c r="AT487" s="67" t="str">
        <f t="shared" si="64"/>
        <v/>
      </c>
      <c r="AU487" s="66" t="str">
        <f t="shared" si="65"/>
        <v/>
      </c>
      <c r="AV487" s="67" t="str">
        <f t="shared" si="66"/>
        <v/>
      </c>
      <c r="AW487" s="67" t="str">
        <f t="shared" si="67"/>
        <v/>
      </c>
      <c r="AX487" s="66" t="str">
        <f t="shared" si="68"/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 t="shared" si="69"/>
        <v/>
      </c>
      <c r="BB487" s="66" t="str">
        <f t="shared" si="70"/>
        <v/>
      </c>
      <c r="BC487" s="66">
        <f t="shared" si="71"/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69">
        <f t="shared" si="63"/>
        <v>0</v>
      </c>
      <c r="AT488" s="67" t="str">
        <f t="shared" si="64"/>
        <v/>
      </c>
      <c r="AU488" s="66" t="str">
        <f t="shared" si="65"/>
        <v/>
      </c>
      <c r="AV488" s="67" t="str">
        <f t="shared" si="66"/>
        <v/>
      </c>
      <c r="AW488" s="67" t="str">
        <f t="shared" si="67"/>
        <v/>
      </c>
      <c r="AX488" s="66" t="str">
        <f t="shared" si="68"/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 t="shared" si="69"/>
        <v/>
      </c>
      <c r="BB488" s="66" t="str">
        <f t="shared" si="70"/>
        <v/>
      </c>
      <c r="BC488" s="66">
        <f t="shared" si="71"/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69">
        <f t="shared" si="63"/>
        <v>0</v>
      </c>
      <c r="AT489" s="67" t="str">
        <f t="shared" si="64"/>
        <v/>
      </c>
      <c r="AU489" s="66" t="str">
        <f t="shared" si="65"/>
        <v/>
      </c>
      <c r="AV489" s="67" t="str">
        <f t="shared" si="66"/>
        <v/>
      </c>
      <c r="AW489" s="67" t="str">
        <f t="shared" si="67"/>
        <v/>
      </c>
      <c r="AX489" s="66" t="str">
        <f t="shared" si="68"/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 t="shared" si="69"/>
        <v/>
      </c>
      <c r="BB489" s="66" t="str">
        <f t="shared" si="70"/>
        <v/>
      </c>
      <c r="BC489" s="66">
        <f t="shared" si="71"/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69">
        <f t="shared" si="63"/>
        <v>0</v>
      </c>
      <c r="AT490" s="67" t="str">
        <f t="shared" si="64"/>
        <v/>
      </c>
      <c r="AU490" s="66" t="str">
        <f t="shared" si="65"/>
        <v/>
      </c>
      <c r="AV490" s="67" t="str">
        <f t="shared" si="66"/>
        <v/>
      </c>
      <c r="AW490" s="67" t="str">
        <f t="shared" si="67"/>
        <v/>
      </c>
      <c r="AX490" s="66" t="str">
        <f t="shared" si="68"/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 t="shared" si="69"/>
        <v/>
      </c>
      <c r="BB490" s="66" t="str">
        <f t="shared" si="70"/>
        <v/>
      </c>
      <c r="BC490" s="66">
        <f t="shared" si="71"/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69">
        <f t="shared" si="63"/>
        <v>0</v>
      </c>
      <c r="AT491" s="67" t="str">
        <f t="shared" si="64"/>
        <v/>
      </c>
      <c r="AU491" s="66" t="str">
        <f t="shared" si="65"/>
        <v/>
      </c>
      <c r="AV491" s="67" t="str">
        <f t="shared" si="66"/>
        <v/>
      </c>
      <c r="AW491" s="67" t="str">
        <f t="shared" si="67"/>
        <v/>
      </c>
      <c r="AX491" s="66" t="str">
        <f t="shared" si="68"/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 t="shared" si="69"/>
        <v/>
      </c>
      <c r="BB491" s="66" t="str">
        <f t="shared" si="70"/>
        <v/>
      </c>
      <c r="BC491" s="66">
        <f t="shared" si="71"/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69">
        <f t="shared" si="63"/>
        <v>0</v>
      </c>
      <c r="AT492" s="67" t="str">
        <f t="shared" si="64"/>
        <v/>
      </c>
      <c r="AU492" s="66" t="str">
        <f t="shared" si="65"/>
        <v/>
      </c>
      <c r="AV492" s="67" t="str">
        <f t="shared" si="66"/>
        <v/>
      </c>
      <c r="AW492" s="67" t="str">
        <f t="shared" si="67"/>
        <v/>
      </c>
      <c r="AX492" s="66" t="str">
        <f t="shared" si="68"/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 t="shared" si="69"/>
        <v/>
      </c>
      <c r="BB492" s="66" t="str">
        <f t="shared" si="70"/>
        <v/>
      </c>
      <c r="BC492" s="66">
        <f t="shared" si="71"/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69">
        <f t="shared" si="63"/>
        <v>0</v>
      </c>
      <c r="AT493" s="67" t="str">
        <f t="shared" si="64"/>
        <v/>
      </c>
      <c r="AU493" s="66" t="str">
        <f t="shared" si="65"/>
        <v/>
      </c>
      <c r="AV493" s="67" t="str">
        <f t="shared" si="66"/>
        <v/>
      </c>
      <c r="AW493" s="67" t="str">
        <f t="shared" si="67"/>
        <v/>
      </c>
      <c r="AX493" s="66" t="str">
        <f t="shared" si="68"/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 t="shared" si="69"/>
        <v/>
      </c>
      <c r="BB493" s="66" t="str">
        <f t="shared" si="70"/>
        <v/>
      </c>
      <c r="BC493" s="66">
        <f t="shared" si="71"/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69">
        <f t="shared" si="63"/>
        <v>0</v>
      </c>
      <c r="AT494" s="67" t="str">
        <f t="shared" si="64"/>
        <v/>
      </c>
      <c r="AU494" s="66" t="str">
        <f t="shared" si="65"/>
        <v/>
      </c>
      <c r="AV494" s="67" t="str">
        <f t="shared" si="66"/>
        <v/>
      </c>
      <c r="AW494" s="67" t="str">
        <f t="shared" si="67"/>
        <v/>
      </c>
      <c r="AX494" s="66" t="str">
        <f t="shared" si="68"/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 t="shared" si="69"/>
        <v/>
      </c>
      <c r="BB494" s="66" t="str">
        <f t="shared" si="70"/>
        <v/>
      </c>
      <c r="BC494" s="66">
        <f t="shared" si="71"/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69">
        <f t="shared" si="63"/>
        <v>0</v>
      </c>
      <c r="AT495" s="67" t="str">
        <f t="shared" si="64"/>
        <v/>
      </c>
      <c r="AU495" s="66" t="str">
        <f t="shared" si="65"/>
        <v/>
      </c>
      <c r="AV495" s="67" t="str">
        <f t="shared" si="66"/>
        <v/>
      </c>
      <c r="AW495" s="67" t="str">
        <f t="shared" si="67"/>
        <v/>
      </c>
      <c r="AX495" s="66" t="str">
        <f t="shared" si="68"/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 t="shared" si="69"/>
        <v/>
      </c>
      <c r="BB495" s="66" t="str">
        <f t="shared" si="70"/>
        <v/>
      </c>
      <c r="BC495" s="66">
        <f t="shared" si="71"/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69">
        <f t="shared" si="63"/>
        <v>0</v>
      </c>
      <c r="AT496" s="67" t="str">
        <f t="shared" si="64"/>
        <v/>
      </c>
      <c r="AU496" s="66" t="str">
        <f t="shared" si="65"/>
        <v/>
      </c>
      <c r="AV496" s="67" t="str">
        <f t="shared" si="66"/>
        <v/>
      </c>
      <c r="AW496" s="67" t="str">
        <f t="shared" si="67"/>
        <v/>
      </c>
      <c r="AX496" s="66" t="str">
        <f t="shared" si="68"/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 t="shared" si="69"/>
        <v/>
      </c>
      <c r="BB496" s="66" t="str">
        <f t="shared" si="70"/>
        <v/>
      </c>
      <c r="BC496" s="66">
        <f t="shared" si="71"/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69">
        <f t="shared" si="63"/>
        <v>0</v>
      </c>
      <c r="AT497" s="67" t="str">
        <f t="shared" si="64"/>
        <v/>
      </c>
      <c r="AU497" s="66" t="str">
        <f t="shared" si="65"/>
        <v/>
      </c>
      <c r="AV497" s="67" t="str">
        <f t="shared" si="66"/>
        <v/>
      </c>
      <c r="AW497" s="67" t="str">
        <f t="shared" si="67"/>
        <v/>
      </c>
      <c r="AX497" s="66" t="str">
        <f t="shared" si="68"/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 t="shared" si="69"/>
        <v/>
      </c>
      <c r="BB497" s="66" t="str">
        <f t="shared" si="70"/>
        <v/>
      </c>
      <c r="BC497" s="66">
        <f t="shared" si="71"/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69">
        <f t="shared" si="63"/>
        <v>0</v>
      </c>
      <c r="AT498" s="67" t="str">
        <f t="shared" si="64"/>
        <v/>
      </c>
      <c r="AU498" s="66" t="str">
        <f t="shared" si="65"/>
        <v/>
      </c>
      <c r="AV498" s="67" t="str">
        <f t="shared" si="66"/>
        <v/>
      </c>
      <c r="AW498" s="67" t="str">
        <f t="shared" si="67"/>
        <v/>
      </c>
      <c r="AX498" s="66" t="str">
        <f t="shared" si="68"/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 t="shared" si="69"/>
        <v/>
      </c>
      <c r="BB498" s="66" t="str">
        <f t="shared" si="70"/>
        <v/>
      </c>
      <c r="BC498" s="66">
        <f t="shared" si="71"/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69">
        <f t="shared" si="63"/>
        <v>0</v>
      </c>
      <c r="AT499" s="67" t="str">
        <f t="shared" si="64"/>
        <v/>
      </c>
      <c r="AU499" s="66" t="str">
        <f t="shared" si="65"/>
        <v/>
      </c>
      <c r="AV499" s="67" t="str">
        <f t="shared" si="66"/>
        <v/>
      </c>
      <c r="AW499" s="67" t="str">
        <f t="shared" si="67"/>
        <v/>
      </c>
      <c r="AX499" s="66" t="str">
        <f t="shared" si="68"/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 t="shared" si="69"/>
        <v/>
      </c>
      <c r="BB499" s="66" t="str">
        <f t="shared" si="70"/>
        <v/>
      </c>
      <c r="BC499" s="66">
        <f t="shared" si="71"/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69">
        <f t="shared" si="63"/>
        <v>0</v>
      </c>
      <c r="AT500" s="67" t="str">
        <f t="shared" si="64"/>
        <v/>
      </c>
      <c r="AU500" s="66" t="str">
        <f t="shared" si="65"/>
        <v/>
      </c>
      <c r="AV500" s="67" t="str">
        <f t="shared" si="66"/>
        <v/>
      </c>
      <c r="AW500" s="67" t="str">
        <f t="shared" si="67"/>
        <v/>
      </c>
      <c r="AX500" s="66" t="str">
        <f t="shared" si="68"/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 t="shared" si="69"/>
        <v/>
      </c>
      <c r="BB500" s="66" t="str">
        <f t="shared" si="70"/>
        <v/>
      </c>
      <c r="BC500" s="66">
        <f t="shared" si="71"/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69">
        <f t="shared" si="63"/>
        <v>0</v>
      </c>
      <c r="AT501" s="67" t="str">
        <f t="shared" si="64"/>
        <v/>
      </c>
      <c r="AU501" s="66" t="str">
        <f t="shared" si="65"/>
        <v/>
      </c>
      <c r="AV501" s="67" t="str">
        <f t="shared" si="66"/>
        <v/>
      </c>
      <c r="AW501" s="67" t="str">
        <f t="shared" si="67"/>
        <v/>
      </c>
      <c r="AX501" s="66" t="str">
        <f t="shared" si="68"/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 t="shared" si="69"/>
        <v/>
      </c>
      <c r="BB501" s="66" t="str">
        <f t="shared" si="70"/>
        <v/>
      </c>
      <c r="BC501" s="66">
        <f t="shared" si="71"/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69">
        <f t="shared" si="63"/>
        <v>0</v>
      </c>
      <c r="AT502" s="67" t="str">
        <f t="shared" si="64"/>
        <v/>
      </c>
      <c r="AU502" s="66" t="str">
        <f t="shared" si="65"/>
        <v/>
      </c>
      <c r="AV502" s="67" t="str">
        <f t="shared" si="66"/>
        <v/>
      </c>
      <c r="AW502" s="67" t="str">
        <f t="shared" si="67"/>
        <v/>
      </c>
      <c r="AX502" s="66" t="str">
        <f t="shared" si="68"/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 t="shared" si="69"/>
        <v/>
      </c>
      <c r="BB502" s="66" t="str">
        <f t="shared" si="70"/>
        <v/>
      </c>
      <c r="BC502" s="66">
        <f t="shared" si="71"/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69">
        <f t="shared" si="63"/>
        <v>0</v>
      </c>
      <c r="AT503" s="67" t="str">
        <f t="shared" si="64"/>
        <v/>
      </c>
      <c r="AU503" s="66" t="str">
        <f t="shared" si="65"/>
        <v/>
      </c>
      <c r="AV503" s="67" t="str">
        <f t="shared" si="66"/>
        <v/>
      </c>
      <c r="AW503" s="67" t="str">
        <f t="shared" si="67"/>
        <v/>
      </c>
      <c r="AX503" s="66" t="str">
        <f t="shared" si="68"/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 t="shared" si="69"/>
        <v/>
      </c>
      <c r="BB503" s="66" t="str">
        <f t="shared" si="70"/>
        <v/>
      </c>
      <c r="BC503" s="66">
        <f t="shared" si="71"/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69">
        <f t="shared" si="63"/>
        <v>0</v>
      </c>
      <c r="AT504" s="67" t="str">
        <f t="shared" si="64"/>
        <v/>
      </c>
      <c r="AU504" s="66" t="str">
        <f t="shared" si="65"/>
        <v/>
      </c>
      <c r="AV504" s="67" t="str">
        <f t="shared" si="66"/>
        <v/>
      </c>
      <c r="AW504" s="67" t="str">
        <f t="shared" si="67"/>
        <v/>
      </c>
      <c r="AX504" s="66" t="str">
        <f t="shared" si="68"/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 t="shared" si="69"/>
        <v/>
      </c>
      <c r="BB504" s="66" t="str">
        <f t="shared" si="70"/>
        <v/>
      </c>
      <c r="BC504" s="66">
        <f t="shared" si="71"/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69">
        <f t="shared" si="63"/>
        <v>0</v>
      </c>
      <c r="AT505" s="67" t="str">
        <f t="shared" si="64"/>
        <v/>
      </c>
      <c r="AU505" s="66" t="str">
        <f t="shared" si="65"/>
        <v/>
      </c>
      <c r="AV505" s="67" t="str">
        <f t="shared" si="66"/>
        <v/>
      </c>
      <c r="AW505" s="67" t="str">
        <f t="shared" si="67"/>
        <v/>
      </c>
      <c r="AX505" s="66" t="str">
        <f t="shared" si="68"/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 t="shared" si="69"/>
        <v/>
      </c>
      <c r="BB505" s="66" t="str">
        <f t="shared" si="70"/>
        <v/>
      </c>
      <c r="BC505" s="66">
        <f t="shared" si="71"/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69">
        <f t="shared" si="63"/>
        <v>0</v>
      </c>
      <c r="AT506" s="67" t="str">
        <f t="shared" si="64"/>
        <v/>
      </c>
      <c r="AU506" s="66" t="str">
        <f t="shared" si="65"/>
        <v/>
      </c>
      <c r="AV506" s="67" t="str">
        <f t="shared" si="66"/>
        <v/>
      </c>
      <c r="AW506" s="67" t="str">
        <f t="shared" si="67"/>
        <v/>
      </c>
      <c r="AX506" s="66" t="str">
        <f t="shared" si="68"/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 t="shared" si="69"/>
        <v/>
      </c>
      <c r="BB506" s="66" t="str">
        <f t="shared" si="70"/>
        <v/>
      </c>
      <c r="BC506" s="66">
        <f t="shared" si="71"/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69">
        <f t="shared" si="63"/>
        <v>0</v>
      </c>
      <c r="AT507" s="67" t="str">
        <f t="shared" si="64"/>
        <v/>
      </c>
      <c r="AU507" s="66" t="str">
        <f t="shared" si="65"/>
        <v/>
      </c>
      <c r="AV507" s="67" t="str">
        <f t="shared" si="66"/>
        <v/>
      </c>
      <c r="AW507" s="67" t="str">
        <f t="shared" si="67"/>
        <v/>
      </c>
      <c r="AX507" s="66" t="str">
        <f t="shared" si="68"/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 t="shared" si="69"/>
        <v/>
      </c>
      <c r="BB507" s="66" t="str">
        <f t="shared" si="70"/>
        <v/>
      </c>
      <c r="BC507" s="66">
        <f t="shared" si="71"/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69">
        <f t="shared" si="63"/>
        <v>0</v>
      </c>
      <c r="AT508" s="67" t="str">
        <f t="shared" si="64"/>
        <v/>
      </c>
      <c r="AU508" s="66" t="str">
        <f t="shared" si="65"/>
        <v/>
      </c>
      <c r="AV508" s="67" t="str">
        <f t="shared" si="66"/>
        <v/>
      </c>
      <c r="AW508" s="67" t="str">
        <f t="shared" si="67"/>
        <v/>
      </c>
      <c r="AX508" s="66" t="str">
        <f t="shared" si="68"/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 t="shared" si="69"/>
        <v/>
      </c>
      <c r="BB508" s="66" t="str">
        <f t="shared" si="70"/>
        <v/>
      </c>
      <c r="BC508" s="66">
        <f t="shared" si="71"/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69">
        <f t="shared" si="63"/>
        <v>0</v>
      </c>
      <c r="AT509" s="67" t="str">
        <f t="shared" si="64"/>
        <v/>
      </c>
      <c r="AU509" s="66" t="str">
        <f t="shared" si="65"/>
        <v/>
      </c>
      <c r="AV509" s="67" t="str">
        <f t="shared" si="66"/>
        <v/>
      </c>
      <c r="AW509" s="67" t="str">
        <f t="shared" si="67"/>
        <v/>
      </c>
      <c r="AX509" s="66" t="str">
        <f t="shared" si="68"/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 t="shared" si="69"/>
        <v/>
      </c>
      <c r="BB509" s="66" t="str">
        <f t="shared" si="70"/>
        <v/>
      </c>
      <c r="BC509" s="66">
        <f t="shared" si="71"/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69">
        <f t="shared" si="63"/>
        <v>0</v>
      </c>
      <c r="AT510" s="67" t="str">
        <f t="shared" si="64"/>
        <v/>
      </c>
      <c r="AU510" s="66" t="str">
        <f t="shared" si="65"/>
        <v/>
      </c>
      <c r="AV510" s="67" t="str">
        <f t="shared" si="66"/>
        <v/>
      </c>
      <c r="AW510" s="67" t="str">
        <f t="shared" si="67"/>
        <v/>
      </c>
      <c r="AX510" s="66" t="str">
        <f t="shared" si="68"/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 t="shared" si="69"/>
        <v/>
      </c>
      <c r="BB510" s="66" t="str">
        <f t="shared" si="70"/>
        <v/>
      </c>
      <c r="BC510" s="66">
        <f t="shared" si="71"/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69">
        <f t="shared" si="63"/>
        <v>0</v>
      </c>
      <c r="AT511" s="67" t="str">
        <f t="shared" si="64"/>
        <v/>
      </c>
      <c r="AU511" s="66" t="str">
        <f t="shared" si="65"/>
        <v/>
      </c>
      <c r="AV511" s="67" t="str">
        <f t="shared" si="66"/>
        <v/>
      </c>
      <c r="AW511" s="67" t="str">
        <f t="shared" si="67"/>
        <v/>
      </c>
      <c r="AX511" s="66" t="str">
        <f t="shared" si="68"/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 t="shared" si="69"/>
        <v/>
      </c>
      <c r="BB511" s="66" t="str">
        <f t="shared" si="70"/>
        <v/>
      </c>
      <c r="BC511" s="66">
        <f t="shared" si="71"/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69">
        <f t="shared" si="63"/>
        <v>0</v>
      </c>
      <c r="AT512" s="67" t="str">
        <f t="shared" si="64"/>
        <v/>
      </c>
      <c r="AU512" s="66" t="str">
        <f t="shared" si="65"/>
        <v/>
      </c>
      <c r="AV512" s="67" t="str">
        <f t="shared" si="66"/>
        <v/>
      </c>
      <c r="AW512" s="67" t="str">
        <f t="shared" si="67"/>
        <v/>
      </c>
      <c r="AX512" s="66" t="str">
        <f t="shared" si="68"/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 t="shared" si="69"/>
        <v/>
      </c>
      <c r="BB512" s="66" t="str">
        <f t="shared" si="70"/>
        <v/>
      </c>
      <c r="BC512" s="66">
        <f t="shared" si="71"/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69">
        <f t="shared" si="63"/>
        <v>0</v>
      </c>
      <c r="AT513" s="67" t="str">
        <f t="shared" si="64"/>
        <v/>
      </c>
      <c r="AU513" s="66" t="str">
        <f t="shared" si="65"/>
        <v/>
      </c>
      <c r="AV513" s="67" t="str">
        <f t="shared" si="66"/>
        <v/>
      </c>
      <c r="AW513" s="67" t="str">
        <f t="shared" si="67"/>
        <v/>
      </c>
      <c r="AX513" s="66" t="str">
        <f t="shared" si="68"/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 t="shared" si="69"/>
        <v/>
      </c>
      <c r="BB513" s="66" t="str">
        <f t="shared" si="70"/>
        <v/>
      </c>
      <c r="BC513" s="66">
        <f t="shared" si="71"/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69">
        <f t="shared" si="63"/>
        <v>0</v>
      </c>
      <c r="AT514" s="67" t="str">
        <f t="shared" si="64"/>
        <v/>
      </c>
      <c r="AU514" s="66" t="str">
        <f t="shared" si="65"/>
        <v/>
      </c>
      <c r="AV514" s="67" t="str">
        <f t="shared" si="66"/>
        <v/>
      </c>
      <c r="AW514" s="67" t="str">
        <f t="shared" si="67"/>
        <v/>
      </c>
      <c r="AX514" s="66" t="str">
        <f t="shared" si="68"/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 t="shared" si="69"/>
        <v/>
      </c>
      <c r="BB514" s="66" t="str">
        <f t="shared" si="70"/>
        <v/>
      </c>
      <c r="BC514" s="66">
        <f t="shared" si="71"/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69">
        <f t="shared" si="63"/>
        <v>0</v>
      </c>
      <c r="AT515" s="67" t="str">
        <f t="shared" si="64"/>
        <v/>
      </c>
      <c r="AU515" s="66" t="str">
        <f t="shared" si="65"/>
        <v/>
      </c>
      <c r="AV515" s="67" t="str">
        <f t="shared" si="66"/>
        <v/>
      </c>
      <c r="AW515" s="67" t="str">
        <f t="shared" si="67"/>
        <v/>
      </c>
      <c r="AX515" s="66" t="str">
        <f t="shared" si="68"/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 t="shared" si="69"/>
        <v/>
      </c>
      <c r="BB515" s="66" t="str">
        <f t="shared" si="70"/>
        <v/>
      </c>
      <c r="BC515" s="66">
        <f t="shared" si="71"/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69">
        <f t="shared" si="63"/>
        <v>0</v>
      </c>
      <c r="AT516" s="67" t="str">
        <f t="shared" si="64"/>
        <v/>
      </c>
      <c r="AU516" s="66" t="str">
        <f t="shared" si="65"/>
        <v/>
      </c>
      <c r="AV516" s="67" t="str">
        <f t="shared" si="66"/>
        <v/>
      </c>
      <c r="AW516" s="67" t="str">
        <f t="shared" si="67"/>
        <v/>
      </c>
      <c r="AX516" s="66" t="str">
        <f t="shared" si="68"/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 t="shared" si="69"/>
        <v/>
      </c>
      <c r="BB516" s="66" t="str">
        <f t="shared" si="70"/>
        <v/>
      </c>
      <c r="BC516" s="66">
        <f t="shared" si="71"/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69">
        <f t="shared" ref="AS517:AS580" si="72">SUM(H517,J517,L517,N517,P517,R517,T517,V517,X517,Z517,AB517,AD517,AF517,AH517,AJ517,AL517,AN517)</f>
        <v>0</v>
      </c>
      <c r="AT517" s="67" t="str">
        <f t="shared" ref="AT517:AT580" si="73">IF(C517="","",DATE(YEAR(C517),MONTH(C517),1))</f>
        <v/>
      </c>
      <c r="AU517" s="66" t="str">
        <f t="shared" ref="AU517:AU580" si="74">IF(AT517="","",TEXT(AT517,"mmmm yyyy"))</f>
        <v/>
      </c>
      <c r="AV517" s="67" t="str">
        <f t="shared" ref="AV517:AV580" si="75">IF(C517="","",C517-WEEKDAY(C517,2)+1)</f>
        <v/>
      </c>
      <c r="AW517" s="67" t="str">
        <f t="shared" ref="AW517:AW580" si="76">IF(AV517="","",AV517+6)</f>
        <v/>
      </c>
      <c r="AX517" s="66" t="str">
        <f t="shared" ref="AX517:AX580" si="77"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 t="shared" ref="BA517:BA580" si="78">IF(B517="","",TEXT(AY517,"00")&amp;"|"&amp;B517&amp;"|"&amp;TEXT(AT517,"yyyymmdd"))</f>
        <v/>
      </c>
      <c r="BB517" s="66" t="str">
        <f t="shared" ref="BB517:BB580" si="79">IF(B517="","",TEXT(AZ517,"00")&amp;"|"&amp;B517&amp;"|"&amp;TEXT(AV517,"yyyymmdd"))</f>
        <v/>
      </c>
      <c r="BC517" s="66">
        <f t="shared" ref="BC517:BC580" si="80"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69">
        <f t="shared" si="72"/>
        <v>0</v>
      </c>
      <c r="AT518" s="67" t="str">
        <f t="shared" si="73"/>
        <v/>
      </c>
      <c r="AU518" s="66" t="str">
        <f t="shared" si="74"/>
        <v/>
      </c>
      <c r="AV518" s="67" t="str">
        <f t="shared" si="75"/>
        <v/>
      </c>
      <c r="AW518" s="67" t="str">
        <f t="shared" si="76"/>
        <v/>
      </c>
      <c r="AX518" s="66" t="str">
        <f t="shared" si="77"/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 t="shared" si="78"/>
        <v/>
      </c>
      <c r="BB518" s="66" t="str">
        <f t="shared" si="79"/>
        <v/>
      </c>
      <c r="BC518" s="66">
        <f t="shared" si="80"/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69">
        <f t="shared" si="72"/>
        <v>0</v>
      </c>
      <c r="AT519" s="67" t="str">
        <f t="shared" si="73"/>
        <v/>
      </c>
      <c r="AU519" s="66" t="str">
        <f t="shared" si="74"/>
        <v/>
      </c>
      <c r="AV519" s="67" t="str">
        <f t="shared" si="75"/>
        <v/>
      </c>
      <c r="AW519" s="67" t="str">
        <f t="shared" si="76"/>
        <v/>
      </c>
      <c r="AX519" s="66" t="str">
        <f t="shared" si="77"/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 t="shared" si="78"/>
        <v/>
      </c>
      <c r="BB519" s="66" t="str">
        <f t="shared" si="79"/>
        <v/>
      </c>
      <c r="BC519" s="66">
        <f t="shared" si="80"/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69">
        <f t="shared" si="72"/>
        <v>0</v>
      </c>
      <c r="AT520" s="67" t="str">
        <f t="shared" si="73"/>
        <v/>
      </c>
      <c r="AU520" s="66" t="str">
        <f t="shared" si="74"/>
        <v/>
      </c>
      <c r="AV520" s="67" t="str">
        <f t="shared" si="75"/>
        <v/>
      </c>
      <c r="AW520" s="67" t="str">
        <f t="shared" si="76"/>
        <v/>
      </c>
      <c r="AX520" s="66" t="str">
        <f t="shared" si="77"/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 t="shared" si="78"/>
        <v/>
      </c>
      <c r="BB520" s="66" t="str">
        <f t="shared" si="79"/>
        <v/>
      </c>
      <c r="BC520" s="66">
        <f t="shared" si="80"/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69">
        <f t="shared" si="72"/>
        <v>0</v>
      </c>
      <c r="AT521" s="67" t="str">
        <f t="shared" si="73"/>
        <v/>
      </c>
      <c r="AU521" s="66" t="str">
        <f t="shared" si="74"/>
        <v/>
      </c>
      <c r="AV521" s="67" t="str">
        <f t="shared" si="75"/>
        <v/>
      </c>
      <c r="AW521" s="67" t="str">
        <f t="shared" si="76"/>
        <v/>
      </c>
      <c r="AX521" s="66" t="str">
        <f t="shared" si="77"/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 t="shared" si="78"/>
        <v/>
      </c>
      <c r="BB521" s="66" t="str">
        <f t="shared" si="79"/>
        <v/>
      </c>
      <c r="BC521" s="66">
        <f t="shared" si="80"/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69">
        <f t="shared" si="72"/>
        <v>0</v>
      </c>
      <c r="AT522" s="67" t="str">
        <f t="shared" si="73"/>
        <v/>
      </c>
      <c r="AU522" s="66" t="str">
        <f t="shared" si="74"/>
        <v/>
      </c>
      <c r="AV522" s="67" t="str">
        <f t="shared" si="75"/>
        <v/>
      </c>
      <c r="AW522" s="67" t="str">
        <f t="shared" si="76"/>
        <v/>
      </c>
      <c r="AX522" s="66" t="str">
        <f t="shared" si="77"/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 t="shared" si="78"/>
        <v/>
      </c>
      <c r="BB522" s="66" t="str">
        <f t="shared" si="79"/>
        <v/>
      </c>
      <c r="BC522" s="66">
        <f t="shared" si="80"/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69">
        <f t="shared" si="72"/>
        <v>0</v>
      </c>
      <c r="AT523" s="67" t="str">
        <f t="shared" si="73"/>
        <v/>
      </c>
      <c r="AU523" s="66" t="str">
        <f t="shared" si="74"/>
        <v/>
      </c>
      <c r="AV523" s="67" t="str">
        <f t="shared" si="75"/>
        <v/>
      </c>
      <c r="AW523" s="67" t="str">
        <f t="shared" si="76"/>
        <v/>
      </c>
      <c r="AX523" s="66" t="str">
        <f t="shared" si="77"/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 t="shared" si="78"/>
        <v/>
      </c>
      <c r="BB523" s="66" t="str">
        <f t="shared" si="79"/>
        <v/>
      </c>
      <c r="BC523" s="66">
        <f t="shared" si="80"/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69">
        <f t="shared" si="72"/>
        <v>0</v>
      </c>
      <c r="AT524" s="67" t="str">
        <f t="shared" si="73"/>
        <v/>
      </c>
      <c r="AU524" s="66" t="str">
        <f t="shared" si="74"/>
        <v/>
      </c>
      <c r="AV524" s="67" t="str">
        <f t="shared" si="75"/>
        <v/>
      </c>
      <c r="AW524" s="67" t="str">
        <f t="shared" si="76"/>
        <v/>
      </c>
      <c r="AX524" s="66" t="str">
        <f t="shared" si="77"/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 t="shared" si="78"/>
        <v/>
      </c>
      <c r="BB524" s="66" t="str">
        <f t="shared" si="79"/>
        <v/>
      </c>
      <c r="BC524" s="66">
        <f t="shared" si="80"/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69">
        <f t="shared" si="72"/>
        <v>0</v>
      </c>
      <c r="AT525" s="67" t="str">
        <f t="shared" si="73"/>
        <v/>
      </c>
      <c r="AU525" s="66" t="str">
        <f t="shared" si="74"/>
        <v/>
      </c>
      <c r="AV525" s="67" t="str">
        <f t="shared" si="75"/>
        <v/>
      </c>
      <c r="AW525" s="67" t="str">
        <f t="shared" si="76"/>
        <v/>
      </c>
      <c r="AX525" s="66" t="str">
        <f t="shared" si="77"/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 t="shared" si="78"/>
        <v/>
      </c>
      <c r="BB525" s="66" t="str">
        <f t="shared" si="79"/>
        <v/>
      </c>
      <c r="BC525" s="66">
        <f t="shared" si="80"/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69">
        <f t="shared" si="72"/>
        <v>0</v>
      </c>
      <c r="AT526" s="67" t="str">
        <f t="shared" si="73"/>
        <v/>
      </c>
      <c r="AU526" s="66" t="str">
        <f t="shared" si="74"/>
        <v/>
      </c>
      <c r="AV526" s="67" t="str">
        <f t="shared" si="75"/>
        <v/>
      </c>
      <c r="AW526" s="67" t="str">
        <f t="shared" si="76"/>
        <v/>
      </c>
      <c r="AX526" s="66" t="str">
        <f t="shared" si="77"/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 t="shared" si="78"/>
        <v/>
      </c>
      <c r="BB526" s="66" t="str">
        <f t="shared" si="79"/>
        <v/>
      </c>
      <c r="BC526" s="66">
        <f t="shared" si="80"/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69">
        <f t="shared" si="72"/>
        <v>0</v>
      </c>
      <c r="AT527" s="67" t="str">
        <f t="shared" si="73"/>
        <v/>
      </c>
      <c r="AU527" s="66" t="str">
        <f t="shared" si="74"/>
        <v/>
      </c>
      <c r="AV527" s="67" t="str">
        <f t="shared" si="75"/>
        <v/>
      </c>
      <c r="AW527" s="67" t="str">
        <f t="shared" si="76"/>
        <v/>
      </c>
      <c r="AX527" s="66" t="str">
        <f t="shared" si="77"/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 t="shared" si="78"/>
        <v/>
      </c>
      <c r="BB527" s="66" t="str">
        <f t="shared" si="79"/>
        <v/>
      </c>
      <c r="BC527" s="66">
        <f t="shared" si="80"/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69">
        <f t="shared" si="72"/>
        <v>0</v>
      </c>
      <c r="AT528" s="67" t="str">
        <f t="shared" si="73"/>
        <v/>
      </c>
      <c r="AU528" s="66" t="str">
        <f t="shared" si="74"/>
        <v/>
      </c>
      <c r="AV528" s="67" t="str">
        <f t="shared" si="75"/>
        <v/>
      </c>
      <c r="AW528" s="67" t="str">
        <f t="shared" si="76"/>
        <v/>
      </c>
      <c r="AX528" s="66" t="str">
        <f t="shared" si="77"/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 t="shared" si="78"/>
        <v/>
      </c>
      <c r="BB528" s="66" t="str">
        <f t="shared" si="79"/>
        <v/>
      </c>
      <c r="BC528" s="66">
        <f t="shared" si="80"/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69">
        <f t="shared" si="72"/>
        <v>0</v>
      </c>
      <c r="AT529" s="67" t="str">
        <f t="shared" si="73"/>
        <v/>
      </c>
      <c r="AU529" s="66" t="str">
        <f t="shared" si="74"/>
        <v/>
      </c>
      <c r="AV529" s="67" t="str">
        <f t="shared" si="75"/>
        <v/>
      </c>
      <c r="AW529" s="67" t="str">
        <f t="shared" si="76"/>
        <v/>
      </c>
      <c r="AX529" s="66" t="str">
        <f t="shared" si="77"/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 t="shared" si="78"/>
        <v/>
      </c>
      <c r="BB529" s="66" t="str">
        <f t="shared" si="79"/>
        <v/>
      </c>
      <c r="BC529" s="66">
        <f t="shared" si="80"/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69">
        <f t="shared" si="72"/>
        <v>0</v>
      </c>
      <c r="AT530" s="67" t="str">
        <f t="shared" si="73"/>
        <v/>
      </c>
      <c r="AU530" s="66" t="str">
        <f t="shared" si="74"/>
        <v/>
      </c>
      <c r="AV530" s="67" t="str">
        <f t="shared" si="75"/>
        <v/>
      </c>
      <c r="AW530" s="67" t="str">
        <f t="shared" si="76"/>
        <v/>
      </c>
      <c r="AX530" s="66" t="str">
        <f t="shared" si="77"/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 t="shared" si="78"/>
        <v/>
      </c>
      <c r="BB530" s="66" t="str">
        <f t="shared" si="79"/>
        <v/>
      </c>
      <c r="BC530" s="66">
        <f t="shared" si="80"/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69">
        <f t="shared" si="72"/>
        <v>0</v>
      </c>
      <c r="AT531" s="67" t="str">
        <f t="shared" si="73"/>
        <v/>
      </c>
      <c r="AU531" s="66" t="str">
        <f t="shared" si="74"/>
        <v/>
      </c>
      <c r="AV531" s="67" t="str">
        <f t="shared" si="75"/>
        <v/>
      </c>
      <c r="AW531" s="67" t="str">
        <f t="shared" si="76"/>
        <v/>
      </c>
      <c r="AX531" s="66" t="str">
        <f t="shared" si="77"/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 t="shared" si="78"/>
        <v/>
      </c>
      <c r="BB531" s="66" t="str">
        <f t="shared" si="79"/>
        <v/>
      </c>
      <c r="BC531" s="66">
        <f t="shared" si="80"/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69">
        <f t="shared" si="72"/>
        <v>0</v>
      </c>
      <c r="AT532" s="67" t="str">
        <f t="shared" si="73"/>
        <v/>
      </c>
      <c r="AU532" s="66" t="str">
        <f t="shared" si="74"/>
        <v/>
      </c>
      <c r="AV532" s="67" t="str">
        <f t="shared" si="75"/>
        <v/>
      </c>
      <c r="AW532" s="67" t="str">
        <f t="shared" si="76"/>
        <v/>
      </c>
      <c r="AX532" s="66" t="str">
        <f t="shared" si="77"/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 t="shared" si="78"/>
        <v/>
      </c>
      <c r="BB532" s="66" t="str">
        <f t="shared" si="79"/>
        <v/>
      </c>
      <c r="BC532" s="66">
        <f t="shared" si="80"/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69">
        <f t="shared" si="72"/>
        <v>0</v>
      </c>
      <c r="AT533" s="67" t="str">
        <f t="shared" si="73"/>
        <v/>
      </c>
      <c r="AU533" s="66" t="str">
        <f t="shared" si="74"/>
        <v/>
      </c>
      <c r="AV533" s="67" t="str">
        <f t="shared" si="75"/>
        <v/>
      </c>
      <c r="AW533" s="67" t="str">
        <f t="shared" si="76"/>
        <v/>
      </c>
      <c r="AX533" s="66" t="str">
        <f t="shared" si="77"/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 t="shared" si="78"/>
        <v/>
      </c>
      <c r="BB533" s="66" t="str">
        <f t="shared" si="79"/>
        <v/>
      </c>
      <c r="BC533" s="66">
        <f t="shared" si="80"/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69">
        <f t="shared" si="72"/>
        <v>0</v>
      </c>
      <c r="AT534" s="67" t="str">
        <f t="shared" si="73"/>
        <v/>
      </c>
      <c r="AU534" s="66" t="str">
        <f t="shared" si="74"/>
        <v/>
      </c>
      <c r="AV534" s="67" t="str">
        <f t="shared" si="75"/>
        <v/>
      </c>
      <c r="AW534" s="67" t="str">
        <f t="shared" si="76"/>
        <v/>
      </c>
      <c r="AX534" s="66" t="str">
        <f t="shared" si="77"/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 t="shared" si="78"/>
        <v/>
      </c>
      <c r="BB534" s="66" t="str">
        <f t="shared" si="79"/>
        <v/>
      </c>
      <c r="BC534" s="66">
        <f t="shared" si="80"/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69">
        <f t="shared" si="72"/>
        <v>0</v>
      </c>
      <c r="AT535" s="67" t="str">
        <f t="shared" si="73"/>
        <v/>
      </c>
      <c r="AU535" s="66" t="str">
        <f t="shared" si="74"/>
        <v/>
      </c>
      <c r="AV535" s="67" t="str">
        <f t="shared" si="75"/>
        <v/>
      </c>
      <c r="AW535" s="67" t="str">
        <f t="shared" si="76"/>
        <v/>
      </c>
      <c r="AX535" s="66" t="str">
        <f t="shared" si="77"/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 t="shared" si="78"/>
        <v/>
      </c>
      <c r="BB535" s="66" t="str">
        <f t="shared" si="79"/>
        <v/>
      </c>
      <c r="BC535" s="66">
        <f t="shared" si="80"/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69">
        <f t="shared" si="72"/>
        <v>0</v>
      </c>
      <c r="AT536" s="67" t="str">
        <f t="shared" si="73"/>
        <v/>
      </c>
      <c r="AU536" s="66" t="str">
        <f t="shared" si="74"/>
        <v/>
      </c>
      <c r="AV536" s="67" t="str">
        <f t="shared" si="75"/>
        <v/>
      </c>
      <c r="AW536" s="67" t="str">
        <f t="shared" si="76"/>
        <v/>
      </c>
      <c r="AX536" s="66" t="str">
        <f t="shared" si="77"/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 t="shared" si="78"/>
        <v/>
      </c>
      <c r="BB536" s="66" t="str">
        <f t="shared" si="79"/>
        <v/>
      </c>
      <c r="BC536" s="66">
        <f t="shared" si="80"/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69">
        <f t="shared" si="72"/>
        <v>0</v>
      </c>
      <c r="AT537" s="67" t="str">
        <f t="shared" si="73"/>
        <v/>
      </c>
      <c r="AU537" s="66" t="str">
        <f t="shared" si="74"/>
        <v/>
      </c>
      <c r="AV537" s="67" t="str">
        <f t="shared" si="75"/>
        <v/>
      </c>
      <c r="AW537" s="67" t="str">
        <f t="shared" si="76"/>
        <v/>
      </c>
      <c r="AX537" s="66" t="str">
        <f t="shared" si="77"/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 t="shared" si="78"/>
        <v/>
      </c>
      <c r="BB537" s="66" t="str">
        <f t="shared" si="79"/>
        <v/>
      </c>
      <c r="BC537" s="66">
        <f t="shared" si="80"/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69">
        <f t="shared" si="72"/>
        <v>0</v>
      </c>
      <c r="AT538" s="67" t="str">
        <f t="shared" si="73"/>
        <v/>
      </c>
      <c r="AU538" s="66" t="str">
        <f t="shared" si="74"/>
        <v/>
      </c>
      <c r="AV538" s="67" t="str">
        <f t="shared" si="75"/>
        <v/>
      </c>
      <c r="AW538" s="67" t="str">
        <f t="shared" si="76"/>
        <v/>
      </c>
      <c r="AX538" s="66" t="str">
        <f t="shared" si="77"/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 t="shared" si="78"/>
        <v/>
      </c>
      <c r="BB538" s="66" t="str">
        <f t="shared" si="79"/>
        <v/>
      </c>
      <c r="BC538" s="66">
        <f t="shared" si="80"/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69">
        <f t="shared" si="72"/>
        <v>0</v>
      </c>
      <c r="AT539" s="67" t="str">
        <f t="shared" si="73"/>
        <v/>
      </c>
      <c r="AU539" s="66" t="str">
        <f t="shared" si="74"/>
        <v/>
      </c>
      <c r="AV539" s="67" t="str">
        <f t="shared" si="75"/>
        <v/>
      </c>
      <c r="AW539" s="67" t="str">
        <f t="shared" si="76"/>
        <v/>
      </c>
      <c r="AX539" s="66" t="str">
        <f t="shared" si="77"/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 t="shared" si="78"/>
        <v/>
      </c>
      <c r="BB539" s="66" t="str">
        <f t="shared" si="79"/>
        <v/>
      </c>
      <c r="BC539" s="66">
        <f t="shared" si="80"/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69">
        <f t="shared" si="72"/>
        <v>0</v>
      </c>
      <c r="AT540" s="67" t="str">
        <f t="shared" si="73"/>
        <v/>
      </c>
      <c r="AU540" s="66" t="str">
        <f t="shared" si="74"/>
        <v/>
      </c>
      <c r="AV540" s="67" t="str">
        <f t="shared" si="75"/>
        <v/>
      </c>
      <c r="AW540" s="67" t="str">
        <f t="shared" si="76"/>
        <v/>
      </c>
      <c r="AX540" s="66" t="str">
        <f t="shared" si="77"/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 t="shared" si="78"/>
        <v/>
      </c>
      <c r="BB540" s="66" t="str">
        <f t="shared" si="79"/>
        <v/>
      </c>
      <c r="BC540" s="66">
        <f t="shared" si="80"/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69">
        <f t="shared" si="72"/>
        <v>0</v>
      </c>
      <c r="AT541" s="67" t="str">
        <f t="shared" si="73"/>
        <v/>
      </c>
      <c r="AU541" s="66" t="str">
        <f t="shared" si="74"/>
        <v/>
      </c>
      <c r="AV541" s="67" t="str">
        <f t="shared" si="75"/>
        <v/>
      </c>
      <c r="AW541" s="67" t="str">
        <f t="shared" si="76"/>
        <v/>
      </c>
      <c r="AX541" s="66" t="str">
        <f t="shared" si="77"/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 t="shared" si="78"/>
        <v/>
      </c>
      <c r="BB541" s="66" t="str">
        <f t="shared" si="79"/>
        <v/>
      </c>
      <c r="BC541" s="66">
        <f t="shared" si="80"/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69">
        <f t="shared" si="72"/>
        <v>0</v>
      </c>
      <c r="AT542" s="67" t="str">
        <f t="shared" si="73"/>
        <v/>
      </c>
      <c r="AU542" s="66" t="str">
        <f t="shared" si="74"/>
        <v/>
      </c>
      <c r="AV542" s="67" t="str">
        <f t="shared" si="75"/>
        <v/>
      </c>
      <c r="AW542" s="67" t="str">
        <f t="shared" si="76"/>
        <v/>
      </c>
      <c r="AX542" s="66" t="str">
        <f t="shared" si="77"/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 t="shared" si="78"/>
        <v/>
      </c>
      <c r="BB542" s="66" t="str">
        <f t="shared" si="79"/>
        <v/>
      </c>
      <c r="BC542" s="66">
        <f t="shared" si="80"/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69">
        <f t="shared" si="72"/>
        <v>0</v>
      </c>
      <c r="AT543" s="67" t="str">
        <f t="shared" si="73"/>
        <v/>
      </c>
      <c r="AU543" s="66" t="str">
        <f t="shared" si="74"/>
        <v/>
      </c>
      <c r="AV543" s="67" t="str">
        <f t="shared" si="75"/>
        <v/>
      </c>
      <c r="AW543" s="67" t="str">
        <f t="shared" si="76"/>
        <v/>
      </c>
      <c r="AX543" s="66" t="str">
        <f t="shared" si="77"/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 t="shared" si="78"/>
        <v/>
      </c>
      <c r="BB543" s="66" t="str">
        <f t="shared" si="79"/>
        <v/>
      </c>
      <c r="BC543" s="66">
        <f t="shared" si="80"/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69">
        <f t="shared" si="72"/>
        <v>0</v>
      </c>
      <c r="AT544" s="67" t="str">
        <f t="shared" si="73"/>
        <v/>
      </c>
      <c r="AU544" s="66" t="str">
        <f t="shared" si="74"/>
        <v/>
      </c>
      <c r="AV544" s="67" t="str">
        <f t="shared" si="75"/>
        <v/>
      </c>
      <c r="AW544" s="67" t="str">
        <f t="shared" si="76"/>
        <v/>
      </c>
      <c r="AX544" s="66" t="str">
        <f t="shared" si="77"/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 t="shared" si="78"/>
        <v/>
      </c>
      <c r="BB544" s="66" t="str">
        <f t="shared" si="79"/>
        <v/>
      </c>
      <c r="BC544" s="66">
        <f t="shared" si="80"/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69">
        <f t="shared" si="72"/>
        <v>0</v>
      </c>
      <c r="AT545" s="67" t="str">
        <f t="shared" si="73"/>
        <v/>
      </c>
      <c r="AU545" s="66" t="str">
        <f t="shared" si="74"/>
        <v/>
      </c>
      <c r="AV545" s="67" t="str">
        <f t="shared" si="75"/>
        <v/>
      </c>
      <c r="AW545" s="67" t="str">
        <f t="shared" si="76"/>
        <v/>
      </c>
      <c r="AX545" s="66" t="str">
        <f t="shared" si="77"/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 t="shared" si="78"/>
        <v/>
      </c>
      <c r="BB545" s="66" t="str">
        <f t="shared" si="79"/>
        <v/>
      </c>
      <c r="BC545" s="66">
        <f t="shared" si="80"/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69">
        <f t="shared" si="72"/>
        <v>0</v>
      </c>
      <c r="AT546" s="67" t="str">
        <f t="shared" si="73"/>
        <v/>
      </c>
      <c r="AU546" s="66" t="str">
        <f t="shared" si="74"/>
        <v/>
      </c>
      <c r="AV546" s="67" t="str">
        <f t="shared" si="75"/>
        <v/>
      </c>
      <c r="AW546" s="67" t="str">
        <f t="shared" si="76"/>
        <v/>
      </c>
      <c r="AX546" s="66" t="str">
        <f t="shared" si="77"/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 t="shared" si="78"/>
        <v/>
      </c>
      <c r="BB546" s="66" t="str">
        <f t="shared" si="79"/>
        <v/>
      </c>
      <c r="BC546" s="66">
        <f t="shared" si="80"/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69">
        <f t="shared" si="72"/>
        <v>0</v>
      </c>
      <c r="AT547" s="67" t="str">
        <f t="shared" si="73"/>
        <v/>
      </c>
      <c r="AU547" s="66" t="str">
        <f t="shared" si="74"/>
        <v/>
      </c>
      <c r="AV547" s="67" t="str">
        <f t="shared" si="75"/>
        <v/>
      </c>
      <c r="AW547" s="67" t="str">
        <f t="shared" si="76"/>
        <v/>
      </c>
      <c r="AX547" s="66" t="str">
        <f t="shared" si="77"/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 t="shared" si="78"/>
        <v/>
      </c>
      <c r="BB547" s="66" t="str">
        <f t="shared" si="79"/>
        <v/>
      </c>
      <c r="BC547" s="66">
        <f t="shared" si="80"/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69">
        <f t="shared" si="72"/>
        <v>0</v>
      </c>
      <c r="AT548" s="67" t="str">
        <f t="shared" si="73"/>
        <v/>
      </c>
      <c r="AU548" s="66" t="str">
        <f t="shared" si="74"/>
        <v/>
      </c>
      <c r="AV548" s="67" t="str">
        <f t="shared" si="75"/>
        <v/>
      </c>
      <c r="AW548" s="67" t="str">
        <f t="shared" si="76"/>
        <v/>
      </c>
      <c r="AX548" s="66" t="str">
        <f t="shared" si="77"/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 t="shared" si="78"/>
        <v/>
      </c>
      <c r="BB548" s="66" t="str">
        <f t="shared" si="79"/>
        <v/>
      </c>
      <c r="BC548" s="66">
        <f t="shared" si="80"/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69">
        <f t="shared" si="72"/>
        <v>0</v>
      </c>
      <c r="AT549" s="67" t="str">
        <f t="shared" si="73"/>
        <v/>
      </c>
      <c r="AU549" s="66" t="str">
        <f t="shared" si="74"/>
        <v/>
      </c>
      <c r="AV549" s="67" t="str">
        <f t="shared" si="75"/>
        <v/>
      </c>
      <c r="AW549" s="67" t="str">
        <f t="shared" si="76"/>
        <v/>
      </c>
      <c r="AX549" s="66" t="str">
        <f t="shared" si="77"/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 t="shared" si="78"/>
        <v/>
      </c>
      <c r="BB549" s="66" t="str">
        <f t="shared" si="79"/>
        <v/>
      </c>
      <c r="BC549" s="66">
        <f t="shared" si="80"/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69">
        <f t="shared" si="72"/>
        <v>0</v>
      </c>
      <c r="AT550" s="67" t="str">
        <f t="shared" si="73"/>
        <v/>
      </c>
      <c r="AU550" s="66" t="str">
        <f t="shared" si="74"/>
        <v/>
      </c>
      <c r="AV550" s="67" t="str">
        <f t="shared" si="75"/>
        <v/>
      </c>
      <c r="AW550" s="67" t="str">
        <f t="shared" si="76"/>
        <v/>
      </c>
      <c r="AX550" s="66" t="str">
        <f t="shared" si="77"/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 t="shared" si="78"/>
        <v/>
      </c>
      <c r="BB550" s="66" t="str">
        <f t="shared" si="79"/>
        <v/>
      </c>
      <c r="BC550" s="66">
        <f t="shared" si="80"/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69">
        <f t="shared" si="72"/>
        <v>0</v>
      </c>
      <c r="AT551" s="67" t="str">
        <f t="shared" si="73"/>
        <v/>
      </c>
      <c r="AU551" s="66" t="str">
        <f t="shared" si="74"/>
        <v/>
      </c>
      <c r="AV551" s="67" t="str">
        <f t="shared" si="75"/>
        <v/>
      </c>
      <c r="AW551" s="67" t="str">
        <f t="shared" si="76"/>
        <v/>
      </c>
      <c r="AX551" s="66" t="str">
        <f t="shared" si="77"/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 t="shared" si="78"/>
        <v/>
      </c>
      <c r="BB551" s="66" t="str">
        <f t="shared" si="79"/>
        <v/>
      </c>
      <c r="BC551" s="66">
        <f t="shared" si="80"/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69">
        <f t="shared" si="72"/>
        <v>0</v>
      </c>
      <c r="AT552" s="67" t="str">
        <f t="shared" si="73"/>
        <v/>
      </c>
      <c r="AU552" s="66" t="str">
        <f t="shared" si="74"/>
        <v/>
      </c>
      <c r="AV552" s="67" t="str">
        <f t="shared" si="75"/>
        <v/>
      </c>
      <c r="AW552" s="67" t="str">
        <f t="shared" si="76"/>
        <v/>
      </c>
      <c r="AX552" s="66" t="str">
        <f t="shared" si="77"/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 t="shared" si="78"/>
        <v/>
      </c>
      <c r="BB552" s="66" t="str">
        <f t="shared" si="79"/>
        <v/>
      </c>
      <c r="BC552" s="66">
        <f t="shared" si="80"/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69">
        <f t="shared" si="72"/>
        <v>0</v>
      </c>
      <c r="AT553" s="67" t="str">
        <f t="shared" si="73"/>
        <v/>
      </c>
      <c r="AU553" s="66" t="str">
        <f t="shared" si="74"/>
        <v/>
      </c>
      <c r="AV553" s="67" t="str">
        <f t="shared" si="75"/>
        <v/>
      </c>
      <c r="AW553" s="67" t="str">
        <f t="shared" si="76"/>
        <v/>
      </c>
      <c r="AX553" s="66" t="str">
        <f t="shared" si="77"/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 t="shared" si="78"/>
        <v/>
      </c>
      <c r="BB553" s="66" t="str">
        <f t="shared" si="79"/>
        <v/>
      </c>
      <c r="BC553" s="66">
        <f t="shared" si="80"/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69">
        <f t="shared" si="72"/>
        <v>0</v>
      </c>
      <c r="AT554" s="67" t="str">
        <f t="shared" si="73"/>
        <v/>
      </c>
      <c r="AU554" s="66" t="str">
        <f t="shared" si="74"/>
        <v/>
      </c>
      <c r="AV554" s="67" t="str">
        <f t="shared" si="75"/>
        <v/>
      </c>
      <c r="AW554" s="67" t="str">
        <f t="shared" si="76"/>
        <v/>
      </c>
      <c r="AX554" s="66" t="str">
        <f t="shared" si="77"/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 t="shared" si="78"/>
        <v/>
      </c>
      <c r="BB554" s="66" t="str">
        <f t="shared" si="79"/>
        <v/>
      </c>
      <c r="BC554" s="66">
        <f t="shared" si="80"/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69">
        <f t="shared" si="72"/>
        <v>0</v>
      </c>
      <c r="AT555" s="67" t="str">
        <f t="shared" si="73"/>
        <v/>
      </c>
      <c r="AU555" s="66" t="str">
        <f t="shared" si="74"/>
        <v/>
      </c>
      <c r="AV555" s="67" t="str">
        <f t="shared" si="75"/>
        <v/>
      </c>
      <c r="AW555" s="67" t="str">
        <f t="shared" si="76"/>
        <v/>
      </c>
      <c r="AX555" s="66" t="str">
        <f t="shared" si="77"/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 t="shared" si="78"/>
        <v/>
      </c>
      <c r="BB555" s="66" t="str">
        <f t="shared" si="79"/>
        <v/>
      </c>
      <c r="BC555" s="66">
        <f t="shared" si="80"/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69">
        <f t="shared" si="72"/>
        <v>0</v>
      </c>
      <c r="AT556" s="67" t="str">
        <f t="shared" si="73"/>
        <v/>
      </c>
      <c r="AU556" s="66" t="str">
        <f t="shared" si="74"/>
        <v/>
      </c>
      <c r="AV556" s="67" t="str">
        <f t="shared" si="75"/>
        <v/>
      </c>
      <c r="AW556" s="67" t="str">
        <f t="shared" si="76"/>
        <v/>
      </c>
      <c r="AX556" s="66" t="str">
        <f t="shared" si="77"/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 t="shared" si="78"/>
        <v/>
      </c>
      <c r="BB556" s="66" t="str">
        <f t="shared" si="79"/>
        <v/>
      </c>
      <c r="BC556" s="66">
        <f t="shared" si="80"/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69">
        <f t="shared" si="72"/>
        <v>0</v>
      </c>
      <c r="AT557" s="67" t="str">
        <f t="shared" si="73"/>
        <v/>
      </c>
      <c r="AU557" s="66" t="str">
        <f t="shared" si="74"/>
        <v/>
      </c>
      <c r="AV557" s="67" t="str">
        <f t="shared" si="75"/>
        <v/>
      </c>
      <c r="AW557" s="67" t="str">
        <f t="shared" si="76"/>
        <v/>
      </c>
      <c r="AX557" s="66" t="str">
        <f t="shared" si="77"/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 t="shared" si="78"/>
        <v/>
      </c>
      <c r="BB557" s="66" t="str">
        <f t="shared" si="79"/>
        <v/>
      </c>
      <c r="BC557" s="66">
        <f t="shared" si="80"/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69">
        <f t="shared" si="72"/>
        <v>0</v>
      </c>
      <c r="AT558" s="67" t="str">
        <f t="shared" si="73"/>
        <v/>
      </c>
      <c r="AU558" s="66" t="str">
        <f t="shared" si="74"/>
        <v/>
      </c>
      <c r="AV558" s="67" t="str">
        <f t="shared" si="75"/>
        <v/>
      </c>
      <c r="AW558" s="67" t="str">
        <f t="shared" si="76"/>
        <v/>
      </c>
      <c r="AX558" s="66" t="str">
        <f t="shared" si="77"/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 t="shared" si="78"/>
        <v/>
      </c>
      <c r="BB558" s="66" t="str">
        <f t="shared" si="79"/>
        <v/>
      </c>
      <c r="BC558" s="66">
        <f t="shared" si="80"/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69">
        <f t="shared" si="72"/>
        <v>0</v>
      </c>
      <c r="AT559" s="67" t="str">
        <f t="shared" si="73"/>
        <v/>
      </c>
      <c r="AU559" s="66" t="str">
        <f t="shared" si="74"/>
        <v/>
      </c>
      <c r="AV559" s="67" t="str">
        <f t="shared" si="75"/>
        <v/>
      </c>
      <c r="AW559" s="67" t="str">
        <f t="shared" si="76"/>
        <v/>
      </c>
      <c r="AX559" s="66" t="str">
        <f t="shared" si="77"/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 t="shared" si="78"/>
        <v/>
      </c>
      <c r="BB559" s="66" t="str">
        <f t="shared" si="79"/>
        <v/>
      </c>
      <c r="BC559" s="66">
        <f t="shared" si="80"/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69">
        <f t="shared" si="72"/>
        <v>0</v>
      </c>
      <c r="AT560" s="67" t="str">
        <f t="shared" si="73"/>
        <v/>
      </c>
      <c r="AU560" s="66" t="str">
        <f t="shared" si="74"/>
        <v/>
      </c>
      <c r="AV560" s="67" t="str">
        <f t="shared" si="75"/>
        <v/>
      </c>
      <c r="AW560" s="67" t="str">
        <f t="shared" si="76"/>
        <v/>
      </c>
      <c r="AX560" s="66" t="str">
        <f t="shared" si="77"/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 t="shared" si="78"/>
        <v/>
      </c>
      <c r="BB560" s="66" t="str">
        <f t="shared" si="79"/>
        <v/>
      </c>
      <c r="BC560" s="66">
        <f t="shared" si="80"/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69">
        <f t="shared" si="72"/>
        <v>0</v>
      </c>
      <c r="AT561" s="67" t="str">
        <f t="shared" si="73"/>
        <v/>
      </c>
      <c r="AU561" s="66" t="str">
        <f t="shared" si="74"/>
        <v/>
      </c>
      <c r="AV561" s="67" t="str">
        <f t="shared" si="75"/>
        <v/>
      </c>
      <c r="AW561" s="67" t="str">
        <f t="shared" si="76"/>
        <v/>
      </c>
      <c r="AX561" s="66" t="str">
        <f t="shared" si="77"/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 t="shared" si="78"/>
        <v/>
      </c>
      <c r="BB561" s="66" t="str">
        <f t="shared" si="79"/>
        <v/>
      </c>
      <c r="BC561" s="66">
        <f t="shared" si="80"/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69">
        <f t="shared" si="72"/>
        <v>0</v>
      </c>
      <c r="AT562" s="67" t="str">
        <f t="shared" si="73"/>
        <v/>
      </c>
      <c r="AU562" s="66" t="str">
        <f t="shared" si="74"/>
        <v/>
      </c>
      <c r="AV562" s="67" t="str">
        <f t="shared" si="75"/>
        <v/>
      </c>
      <c r="AW562" s="67" t="str">
        <f t="shared" si="76"/>
        <v/>
      </c>
      <c r="AX562" s="66" t="str">
        <f t="shared" si="77"/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 t="shared" si="78"/>
        <v/>
      </c>
      <c r="BB562" s="66" t="str">
        <f t="shared" si="79"/>
        <v/>
      </c>
      <c r="BC562" s="66">
        <f t="shared" si="80"/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69">
        <f t="shared" si="72"/>
        <v>0</v>
      </c>
      <c r="AT563" s="67" t="str">
        <f t="shared" si="73"/>
        <v/>
      </c>
      <c r="AU563" s="66" t="str">
        <f t="shared" si="74"/>
        <v/>
      </c>
      <c r="AV563" s="67" t="str">
        <f t="shared" si="75"/>
        <v/>
      </c>
      <c r="AW563" s="67" t="str">
        <f t="shared" si="76"/>
        <v/>
      </c>
      <c r="AX563" s="66" t="str">
        <f t="shared" si="77"/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 t="shared" si="78"/>
        <v/>
      </c>
      <c r="BB563" s="66" t="str">
        <f t="shared" si="79"/>
        <v/>
      </c>
      <c r="BC563" s="66">
        <f t="shared" si="80"/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69">
        <f t="shared" si="72"/>
        <v>0</v>
      </c>
      <c r="AT564" s="67" t="str">
        <f t="shared" si="73"/>
        <v/>
      </c>
      <c r="AU564" s="66" t="str">
        <f t="shared" si="74"/>
        <v/>
      </c>
      <c r="AV564" s="67" t="str">
        <f t="shared" si="75"/>
        <v/>
      </c>
      <c r="AW564" s="67" t="str">
        <f t="shared" si="76"/>
        <v/>
      </c>
      <c r="AX564" s="66" t="str">
        <f t="shared" si="77"/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 t="shared" si="78"/>
        <v/>
      </c>
      <c r="BB564" s="66" t="str">
        <f t="shared" si="79"/>
        <v/>
      </c>
      <c r="BC564" s="66">
        <f t="shared" si="80"/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69">
        <f t="shared" si="72"/>
        <v>0</v>
      </c>
      <c r="AT565" s="67" t="str">
        <f t="shared" si="73"/>
        <v/>
      </c>
      <c r="AU565" s="66" t="str">
        <f t="shared" si="74"/>
        <v/>
      </c>
      <c r="AV565" s="67" t="str">
        <f t="shared" si="75"/>
        <v/>
      </c>
      <c r="AW565" s="67" t="str">
        <f t="shared" si="76"/>
        <v/>
      </c>
      <c r="AX565" s="66" t="str">
        <f t="shared" si="77"/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 t="shared" si="78"/>
        <v/>
      </c>
      <c r="BB565" s="66" t="str">
        <f t="shared" si="79"/>
        <v/>
      </c>
      <c r="BC565" s="66">
        <f t="shared" si="80"/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69">
        <f t="shared" si="72"/>
        <v>0</v>
      </c>
      <c r="AT566" s="67" t="str">
        <f t="shared" si="73"/>
        <v/>
      </c>
      <c r="AU566" s="66" t="str">
        <f t="shared" si="74"/>
        <v/>
      </c>
      <c r="AV566" s="67" t="str">
        <f t="shared" si="75"/>
        <v/>
      </c>
      <c r="AW566" s="67" t="str">
        <f t="shared" si="76"/>
        <v/>
      </c>
      <c r="AX566" s="66" t="str">
        <f t="shared" si="77"/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 t="shared" si="78"/>
        <v/>
      </c>
      <c r="BB566" s="66" t="str">
        <f t="shared" si="79"/>
        <v/>
      </c>
      <c r="BC566" s="66">
        <f t="shared" si="80"/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69">
        <f t="shared" si="72"/>
        <v>0</v>
      </c>
      <c r="AT567" s="67" t="str">
        <f t="shared" si="73"/>
        <v/>
      </c>
      <c r="AU567" s="66" t="str">
        <f t="shared" si="74"/>
        <v/>
      </c>
      <c r="AV567" s="67" t="str">
        <f t="shared" si="75"/>
        <v/>
      </c>
      <c r="AW567" s="67" t="str">
        <f t="shared" si="76"/>
        <v/>
      </c>
      <c r="AX567" s="66" t="str">
        <f t="shared" si="77"/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 t="shared" si="78"/>
        <v/>
      </c>
      <c r="BB567" s="66" t="str">
        <f t="shared" si="79"/>
        <v/>
      </c>
      <c r="BC567" s="66">
        <f t="shared" si="80"/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69">
        <f t="shared" si="72"/>
        <v>0</v>
      </c>
      <c r="AT568" s="67" t="str">
        <f t="shared" si="73"/>
        <v/>
      </c>
      <c r="AU568" s="66" t="str">
        <f t="shared" si="74"/>
        <v/>
      </c>
      <c r="AV568" s="67" t="str">
        <f t="shared" si="75"/>
        <v/>
      </c>
      <c r="AW568" s="67" t="str">
        <f t="shared" si="76"/>
        <v/>
      </c>
      <c r="AX568" s="66" t="str">
        <f t="shared" si="77"/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 t="shared" si="78"/>
        <v/>
      </c>
      <c r="BB568" s="66" t="str">
        <f t="shared" si="79"/>
        <v/>
      </c>
      <c r="BC568" s="66">
        <f t="shared" si="80"/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69">
        <f t="shared" si="72"/>
        <v>0</v>
      </c>
      <c r="AT569" s="67" t="str">
        <f t="shared" si="73"/>
        <v/>
      </c>
      <c r="AU569" s="66" t="str">
        <f t="shared" si="74"/>
        <v/>
      </c>
      <c r="AV569" s="67" t="str">
        <f t="shared" si="75"/>
        <v/>
      </c>
      <c r="AW569" s="67" t="str">
        <f t="shared" si="76"/>
        <v/>
      </c>
      <c r="AX569" s="66" t="str">
        <f t="shared" si="77"/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 t="shared" si="78"/>
        <v/>
      </c>
      <c r="BB569" s="66" t="str">
        <f t="shared" si="79"/>
        <v/>
      </c>
      <c r="BC569" s="66">
        <f t="shared" si="80"/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69">
        <f t="shared" si="72"/>
        <v>0</v>
      </c>
      <c r="AT570" s="67" t="str">
        <f t="shared" si="73"/>
        <v/>
      </c>
      <c r="AU570" s="66" t="str">
        <f t="shared" si="74"/>
        <v/>
      </c>
      <c r="AV570" s="67" t="str">
        <f t="shared" si="75"/>
        <v/>
      </c>
      <c r="AW570" s="67" t="str">
        <f t="shared" si="76"/>
        <v/>
      </c>
      <c r="AX570" s="66" t="str">
        <f t="shared" si="77"/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 t="shared" si="78"/>
        <v/>
      </c>
      <c r="BB570" s="66" t="str">
        <f t="shared" si="79"/>
        <v/>
      </c>
      <c r="BC570" s="66">
        <f t="shared" si="80"/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69">
        <f t="shared" si="72"/>
        <v>0</v>
      </c>
      <c r="AT571" s="67" t="str">
        <f t="shared" si="73"/>
        <v/>
      </c>
      <c r="AU571" s="66" t="str">
        <f t="shared" si="74"/>
        <v/>
      </c>
      <c r="AV571" s="67" t="str">
        <f t="shared" si="75"/>
        <v/>
      </c>
      <c r="AW571" s="67" t="str">
        <f t="shared" si="76"/>
        <v/>
      </c>
      <c r="AX571" s="66" t="str">
        <f t="shared" si="77"/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 t="shared" si="78"/>
        <v/>
      </c>
      <c r="BB571" s="66" t="str">
        <f t="shared" si="79"/>
        <v/>
      </c>
      <c r="BC571" s="66">
        <f t="shared" si="80"/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69">
        <f t="shared" si="72"/>
        <v>0</v>
      </c>
      <c r="AT572" s="67" t="str">
        <f t="shared" si="73"/>
        <v/>
      </c>
      <c r="AU572" s="66" t="str">
        <f t="shared" si="74"/>
        <v/>
      </c>
      <c r="AV572" s="67" t="str">
        <f t="shared" si="75"/>
        <v/>
      </c>
      <c r="AW572" s="67" t="str">
        <f t="shared" si="76"/>
        <v/>
      </c>
      <c r="AX572" s="66" t="str">
        <f t="shared" si="77"/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 t="shared" si="78"/>
        <v/>
      </c>
      <c r="BB572" s="66" t="str">
        <f t="shared" si="79"/>
        <v/>
      </c>
      <c r="BC572" s="66">
        <f t="shared" si="80"/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69">
        <f t="shared" si="72"/>
        <v>0</v>
      </c>
      <c r="AT573" s="67" t="str">
        <f t="shared" si="73"/>
        <v/>
      </c>
      <c r="AU573" s="66" t="str">
        <f t="shared" si="74"/>
        <v/>
      </c>
      <c r="AV573" s="67" t="str">
        <f t="shared" si="75"/>
        <v/>
      </c>
      <c r="AW573" s="67" t="str">
        <f t="shared" si="76"/>
        <v/>
      </c>
      <c r="AX573" s="66" t="str">
        <f t="shared" si="77"/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 t="shared" si="78"/>
        <v/>
      </c>
      <c r="BB573" s="66" t="str">
        <f t="shared" si="79"/>
        <v/>
      </c>
      <c r="BC573" s="66">
        <f t="shared" si="80"/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69">
        <f t="shared" si="72"/>
        <v>0</v>
      </c>
      <c r="AT574" s="67" t="str">
        <f t="shared" si="73"/>
        <v/>
      </c>
      <c r="AU574" s="66" t="str">
        <f t="shared" si="74"/>
        <v/>
      </c>
      <c r="AV574" s="67" t="str">
        <f t="shared" si="75"/>
        <v/>
      </c>
      <c r="AW574" s="67" t="str">
        <f t="shared" si="76"/>
        <v/>
      </c>
      <c r="AX574" s="66" t="str">
        <f t="shared" si="77"/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 t="shared" si="78"/>
        <v/>
      </c>
      <c r="BB574" s="66" t="str">
        <f t="shared" si="79"/>
        <v/>
      </c>
      <c r="BC574" s="66">
        <f t="shared" si="80"/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69">
        <f t="shared" si="72"/>
        <v>0</v>
      </c>
      <c r="AT575" s="67" t="str">
        <f t="shared" si="73"/>
        <v/>
      </c>
      <c r="AU575" s="66" t="str">
        <f t="shared" si="74"/>
        <v/>
      </c>
      <c r="AV575" s="67" t="str">
        <f t="shared" si="75"/>
        <v/>
      </c>
      <c r="AW575" s="67" t="str">
        <f t="shared" si="76"/>
        <v/>
      </c>
      <c r="AX575" s="66" t="str">
        <f t="shared" si="77"/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 t="shared" si="78"/>
        <v/>
      </c>
      <c r="BB575" s="66" t="str">
        <f t="shared" si="79"/>
        <v/>
      </c>
      <c r="BC575" s="66">
        <f t="shared" si="80"/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69">
        <f t="shared" si="72"/>
        <v>0</v>
      </c>
      <c r="AT576" s="67" t="str">
        <f t="shared" si="73"/>
        <v/>
      </c>
      <c r="AU576" s="66" t="str">
        <f t="shared" si="74"/>
        <v/>
      </c>
      <c r="AV576" s="67" t="str">
        <f t="shared" si="75"/>
        <v/>
      </c>
      <c r="AW576" s="67" t="str">
        <f t="shared" si="76"/>
        <v/>
      </c>
      <c r="AX576" s="66" t="str">
        <f t="shared" si="77"/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 t="shared" si="78"/>
        <v/>
      </c>
      <c r="BB576" s="66" t="str">
        <f t="shared" si="79"/>
        <v/>
      </c>
      <c r="BC576" s="66">
        <f t="shared" si="80"/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69">
        <f t="shared" si="72"/>
        <v>0</v>
      </c>
      <c r="AT577" s="67" t="str">
        <f t="shared" si="73"/>
        <v/>
      </c>
      <c r="AU577" s="66" t="str">
        <f t="shared" si="74"/>
        <v/>
      </c>
      <c r="AV577" s="67" t="str">
        <f t="shared" si="75"/>
        <v/>
      </c>
      <c r="AW577" s="67" t="str">
        <f t="shared" si="76"/>
        <v/>
      </c>
      <c r="AX577" s="66" t="str">
        <f t="shared" si="77"/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 t="shared" si="78"/>
        <v/>
      </c>
      <c r="BB577" s="66" t="str">
        <f t="shared" si="79"/>
        <v/>
      </c>
      <c r="BC577" s="66">
        <f t="shared" si="80"/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69">
        <f t="shared" si="72"/>
        <v>0</v>
      </c>
      <c r="AT578" s="67" t="str">
        <f t="shared" si="73"/>
        <v/>
      </c>
      <c r="AU578" s="66" t="str">
        <f t="shared" si="74"/>
        <v/>
      </c>
      <c r="AV578" s="67" t="str">
        <f t="shared" si="75"/>
        <v/>
      </c>
      <c r="AW578" s="67" t="str">
        <f t="shared" si="76"/>
        <v/>
      </c>
      <c r="AX578" s="66" t="str">
        <f t="shared" si="77"/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 t="shared" si="78"/>
        <v/>
      </c>
      <c r="BB578" s="66" t="str">
        <f t="shared" si="79"/>
        <v/>
      </c>
      <c r="BC578" s="66">
        <f t="shared" si="80"/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69">
        <f t="shared" si="72"/>
        <v>0</v>
      </c>
      <c r="AT579" s="67" t="str">
        <f t="shared" si="73"/>
        <v/>
      </c>
      <c r="AU579" s="66" t="str">
        <f t="shared" si="74"/>
        <v/>
      </c>
      <c r="AV579" s="67" t="str">
        <f t="shared" si="75"/>
        <v/>
      </c>
      <c r="AW579" s="67" t="str">
        <f t="shared" si="76"/>
        <v/>
      </c>
      <c r="AX579" s="66" t="str">
        <f t="shared" si="77"/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 t="shared" si="78"/>
        <v/>
      </c>
      <c r="BB579" s="66" t="str">
        <f t="shared" si="79"/>
        <v/>
      </c>
      <c r="BC579" s="66">
        <f t="shared" si="80"/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69">
        <f t="shared" si="72"/>
        <v>0</v>
      </c>
      <c r="AT580" s="67" t="str">
        <f t="shared" si="73"/>
        <v/>
      </c>
      <c r="AU580" s="66" t="str">
        <f t="shared" si="74"/>
        <v/>
      </c>
      <c r="AV580" s="67" t="str">
        <f t="shared" si="75"/>
        <v/>
      </c>
      <c r="AW580" s="67" t="str">
        <f t="shared" si="76"/>
        <v/>
      </c>
      <c r="AX580" s="66" t="str">
        <f t="shared" si="77"/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 t="shared" si="78"/>
        <v/>
      </c>
      <c r="BB580" s="66" t="str">
        <f t="shared" si="79"/>
        <v/>
      </c>
      <c r="BC580" s="66">
        <f t="shared" si="80"/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69">
        <f t="shared" ref="AS581:AS644" si="81">SUM(H581,J581,L581,N581,P581,R581,T581,V581,X581,Z581,AB581,AD581,AF581,AH581,AJ581,AL581,AN581)</f>
        <v>0</v>
      </c>
      <c r="AT581" s="67" t="str">
        <f t="shared" ref="AT581:AT644" si="82">IF(C581="","",DATE(YEAR(C581),MONTH(C581),1))</f>
        <v/>
      </c>
      <c r="AU581" s="66" t="str">
        <f t="shared" ref="AU581:AU644" si="83">IF(AT581="","",TEXT(AT581,"mmmm yyyy"))</f>
        <v/>
      </c>
      <c r="AV581" s="67" t="str">
        <f t="shared" ref="AV581:AV644" si="84">IF(C581="","",C581-WEEKDAY(C581,2)+1)</f>
        <v/>
      </c>
      <c r="AW581" s="67" t="str">
        <f t="shared" ref="AW581:AW644" si="85">IF(AV581="","",AV581+6)</f>
        <v/>
      </c>
      <c r="AX581" s="66" t="str">
        <f t="shared" ref="AX581:AX644" si="86"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 t="shared" ref="BA581:BA644" si="87">IF(B581="","",TEXT(AY581,"00")&amp;"|"&amp;B581&amp;"|"&amp;TEXT(AT581,"yyyymmdd"))</f>
        <v/>
      </c>
      <c r="BB581" s="66" t="str">
        <f t="shared" ref="BB581:BB644" si="88">IF(B581="","",TEXT(AZ581,"00")&amp;"|"&amp;B581&amp;"|"&amp;TEXT(AV581,"yyyymmdd"))</f>
        <v/>
      </c>
      <c r="BC581" s="66">
        <f t="shared" ref="BC581:BC644" si="89"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69">
        <f t="shared" si="81"/>
        <v>0</v>
      </c>
      <c r="AT582" s="67" t="str">
        <f t="shared" si="82"/>
        <v/>
      </c>
      <c r="AU582" s="66" t="str">
        <f t="shared" si="83"/>
        <v/>
      </c>
      <c r="AV582" s="67" t="str">
        <f t="shared" si="84"/>
        <v/>
      </c>
      <c r="AW582" s="67" t="str">
        <f t="shared" si="85"/>
        <v/>
      </c>
      <c r="AX582" s="66" t="str">
        <f t="shared" si="86"/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 t="shared" si="87"/>
        <v/>
      </c>
      <c r="BB582" s="66" t="str">
        <f t="shared" si="88"/>
        <v/>
      </c>
      <c r="BC582" s="66">
        <f t="shared" si="89"/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69">
        <f t="shared" si="81"/>
        <v>0</v>
      </c>
      <c r="AT583" s="67" t="str">
        <f t="shared" si="82"/>
        <v/>
      </c>
      <c r="AU583" s="66" t="str">
        <f t="shared" si="83"/>
        <v/>
      </c>
      <c r="AV583" s="67" t="str">
        <f t="shared" si="84"/>
        <v/>
      </c>
      <c r="AW583" s="67" t="str">
        <f t="shared" si="85"/>
        <v/>
      </c>
      <c r="AX583" s="66" t="str">
        <f t="shared" si="86"/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 t="shared" si="87"/>
        <v/>
      </c>
      <c r="BB583" s="66" t="str">
        <f t="shared" si="88"/>
        <v/>
      </c>
      <c r="BC583" s="66">
        <f t="shared" si="89"/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69">
        <f t="shared" si="81"/>
        <v>0</v>
      </c>
      <c r="AT584" s="67" t="str">
        <f t="shared" si="82"/>
        <v/>
      </c>
      <c r="AU584" s="66" t="str">
        <f t="shared" si="83"/>
        <v/>
      </c>
      <c r="AV584" s="67" t="str">
        <f t="shared" si="84"/>
        <v/>
      </c>
      <c r="AW584" s="67" t="str">
        <f t="shared" si="85"/>
        <v/>
      </c>
      <c r="AX584" s="66" t="str">
        <f t="shared" si="86"/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 t="shared" si="87"/>
        <v/>
      </c>
      <c r="BB584" s="66" t="str">
        <f t="shared" si="88"/>
        <v/>
      </c>
      <c r="BC584" s="66">
        <f t="shared" si="89"/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69">
        <f t="shared" si="81"/>
        <v>0</v>
      </c>
      <c r="AT585" s="67" t="str">
        <f t="shared" si="82"/>
        <v/>
      </c>
      <c r="AU585" s="66" t="str">
        <f t="shared" si="83"/>
        <v/>
      </c>
      <c r="AV585" s="67" t="str">
        <f t="shared" si="84"/>
        <v/>
      </c>
      <c r="AW585" s="67" t="str">
        <f t="shared" si="85"/>
        <v/>
      </c>
      <c r="AX585" s="66" t="str">
        <f t="shared" si="86"/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 t="shared" si="87"/>
        <v/>
      </c>
      <c r="BB585" s="66" t="str">
        <f t="shared" si="88"/>
        <v/>
      </c>
      <c r="BC585" s="66">
        <f t="shared" si="89"/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69">
        <f t="shared" si="81"/>
        <v>0</v>
      </c>
      <c r="AT586" s="67" t="str">
        <f t="shared" si="82"/>
        <v/>
      </c>
      <c r="AU586" s="66" t="str">
        <f t="shared" si="83"/>
        <v/>
      </c>
      <c r="AV586" s="67" t="str">
        <f t="shared" si="84"/>
        <v/>
      </c>
      <c r="AW586" s="67" t="str">
        <f t="shared" si="85"/>
        <v/>
      </c>
      <c r="AX586" s="66" t="str">
        <f t="shared" si="86"/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 t="shared" si="87"/>
        <v/>
      </c>
      <c r="BB586" s="66" t="str">
        <f t="shared" si="88"/>
        <v/>
      </c>
      <c r="BC586" s="66">
        <f t="shared" si="89"/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69">
        <f t="shared" si="81"/>
        <v>0</v>
      </c>
      <c r="AT587" s="67" t="str">
        <f t="shared" si="82"/>
        <v/>
      </c>
      <c r="AU587" s="66" t="str">
        <f t="shared" si="83"/>
        <v/>
      </c>
      <c r="AV587" s="67" t="str">
        <f t="shared" si="84"/>
        <v/>
      </c>
      <c r="AW587" s="67" t="str">
        <f t="shared" si="85"/>
        <v/>
      </c>
      <c r="AX587" s="66" t="str">
        <f t="shared" si="86"/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 t="shared" si="87"/>
        <v/>
      </c>
      <c r="BB587" s="66" t="str">
        <f t="shared" si="88"/>
        <v/>
      </c>
      <c r="BC587" s="66">
        <f t="shared" si="89"/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69">
        <f t="shared" si="81"/>
        <v>0</v>
      </c>
      <c r="AT588" s="67" t="str">
        <f t="shared" si="82"/>
        <v/>
      </c>
      <c r="AU588" s="66" t="str">
        <f t="shared" si="83"/>
        <v/>
      </c>
      <c r="AV588" s="67" t="str">
        <f t="shared" si="84"/>
        <v/>
      </c>
      <c r="AW588" s="67" t="str">
        <f t="shared" si="85"/>
        <v/>
      </c>
      <c r="AX588" s="66" t="str">
        <f t="shared" si="86"/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 t="shared" si="87"/>
        <v/>
      </c>
      <c r="BB588" s="66" t="str">
        <f t="shared" si="88"/>
        <v/>
      </c>
      <c r="BC588" s="66">
        <f t="shared" si="89"/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69">
        <f t="shared" si="81"/>
        <v>0</v>
      </c>
      <c r="AT589" s="67" t="str">
        <f t="shared" si="82"/>
        <v/>
      </c>
      <c r="AU589" s="66" t="str">
        <f t="shared" si="83"/>
        <v/>
      </c>
      <c r="AV589" s="67" t="str">
        <f t="shared" si="84"/>
        <v/>
      </c>
      <c r="AW589" s="67" t="str">
        <f t="shared" si="85"/>
        <v/>
      </c>
      <c r="AX589" s="66" t="str">
        <f t="shared" si="86"/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 t="shared" si="87"/>
        <v/>
      </c>
      <c r="BB589" s="66" t="str">
        <f t="shared" si="88"/>
        <v/>
      </c>
      <c r="BC589" s="66">
        <f t="shared" si="89"/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69">
        <f t="shared" si="81"/>
        <v>0</v>
      </c>
      <c r="AT590" s="67" t="str">
        <f t="shared" si="82"/>
        <v/>
      </c>
      <c r="AU590" s="66" t="str">
        <f t="shared" si="83"/>
        <v/>
      </c>
      <c r="AV590" s="67" t="str">
        <f t="shared" si="84"/>
        <v/>
      </c>
      <c r="AW590" s="67" t="str">
        <f t="shared" si="85"/>
        <v/>
      </c>
      <c r="AX590" s="66" t="str">
        <f t="shared" si="86"/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 t="shared" si="87"/>
        <v/>
      </c>
      <c r="BB590" s="66" t="str">
        <f t="shared" si="88"/>
        <v/>
      </c>
      <c r="BC590" s="66">
        <f t="shared" si="89"/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69">
        <f t="shared" si="81"/>
        <v>0</v>
      </c>
      <c r="AT591" s="67" t="str">
        <f t="shared" si="82"/>
        <v/>
      </c>
      <c r="AU591" s="66" t="str">
        <f t="shared" si="83"/>
        <v/>
      </c>
      <c r="AV591" s="67" t="str">
        <f t="shared" si="84"/>
        <v/>
      </c>
      <c r="AW591" s="67" t="str">
        <f t="shared" si="85"/>
        <v/>
      </c>
      <c r="AX591" s="66" t="str">
        <f t="shared" si="86"/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 t="shared" si="87"/>
        <v/>
      </c>
      <c r="BB591" s="66" t="str">
        <f t="shared" si="88"/>
        <v/>
      </c>
      <c r="BC591" s="66">
        <f t="shared" si="89"/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69">
        <f t="shared" si="81"/>
        <v>0</v>
      </c>
      <c r="AT592" s="67" t="str">
        <f t="shared" si="82"/>
        <v/>
      </c>
      <c r="AU592" s="66" t="str">
        <f t="shared" si="83"/>
        <v/>
      </c>
      <c r="AV592" s="67" t="str">
        <f t="shared" si="84"/>
        <v/>
      </c>
      <c r="AW592" s="67" t="str">
        <f t="shared" si="85"/>
        <v/>
      </c>
      <c r="AX592" s="66" t="str">
        <f t="shared" si="86"/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 t="shared" si="87"/>
        <v/>
      </c>
      <c r="BB592" s="66" t="str">
        <f t="shared" si="88"/>
        <v/>
      </c>
      <c r="BC592" s="66">
        <f t="shared" si="89"/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69">
        <f t="shared" si="81"/>
        <v>0</v>
      </c>
      <c r="AT593" s="67" t="str">
        <f t="shared" si="82"/>
        <v/>
      </c>
      <c r="AU593" s="66" t="str">
        <f t="shared" si="83"/>
        <v/>
      </c>
      <c r="AV593" s="67" t="str">
        <f t="shared" si="84"/>
        <v/>
      </c>
      <c r="AW593" s="67" t="str">
        <f t="shared" si="85"/>
        <v/>
      </c>
      <c r="AX593" s="66" t="str">
        <f t="shared" si="86"/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 t="shared" si="87"/>
        <v/>
      </c>
      <c r="BB593" s="66" t="str">
        <f t="shared" si="88"/>
        <v/>
      </c>
      <c r="BC593" s="66">
        <f t="shared" si="89"/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69">
        <f t="shared" si="81"/>
        <v>0</v>
      </c>
      <c r="AT594" s="67" t="str">
        <f t="shared" si="82"/>
        <v/>
      </c>
      <c r="AU594" s="66" t="str">
        <f t="shared" si="83"/>
        <v/>
      </c>
      <c r="AV594" s="67" t="str">
        <f t="shared" si="84"/>
        <v/>
      </c>
      <c r="AW594" s="67" t="str">
        <f t="shared" si="85"/>
        <v/>
      </c>
      <c r="AX594" s="66" t="str">
        <f t="shared" si="86"/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 t="shared" si="87"/>
        <v/>
      </c>
      <c r="BB594" s="66" t="str">
        <f t="shared" si="88"/>
        <v/>
      </c>
      <c r="BC594" s="66">
        <f t="shared" si="89"/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69">
        <f t="shared" si="81"/>
        <v>0</v>
      </c>
      <c r="AT595" s="67" t="str">
        <f t="shared" si="82"/>
        <v/>
      </c>
      <c r="AU595" s="66" t="str">
        <f t="shared" si="83"/>
        <v/>
      </c>
      <c r="AV595" s="67" t="str">
        <f t="shared" si="84"/>
        <v/>
      </c>
      <c r="AW595" s="67" t="str">
        <f t="shared" si="85"/>
        <v/>
      </c>
      <c r="AX595" s="66" t="str">
        <f t="shared" si="86"/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 t="shared" si="87"/>
        <v/>
      </c>
      <c r="BB595" s="66" t="str">
        <f t="shared" si="88"/>
        <v/>
      </c>
      <c r="BC595" s="66">
        <f t="shared" si="89"/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69">
        <f t="shared" si="81"/>
        <v>0</v>
      </c>
      <c r="AT596" s="67" t="str">
        <f t="shared" si="82"/>
        <v/>
      </c>
      <c r="AU596" s="66" t="str">
        <f t="shared" si="83"/>
        <v/>
      </c>
      <c r="AV596" s="67" t="str">
        <f t="shared" si="84"/>
        <v/>
      </c>
      <c r="AW596" s="67" t="str">
        <f t="shared" si="85"/>
        <v/>
      </c>
      <c r="AX596" s="66" t="str">
        <f t="shared" si="86"/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 t="shared" si="87"/>
        <v/>
      </c>
      <c r="BB596" s="66" t="str">
        <f t="shared" si="88"/>
        <v/>
      </c>
      <c r="BC596" s="66">
        <f t="shared" si="89"/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69">
        <f t="shared" si="81"/>
        <v>0</v>
      </c>
      <c r="AT597" s="67" t="str">
        <f t="shared" si="82"/>
        <v/>
      </c>
      <c r="AU597" s="66" t="str">
        <f t="shared" si="83"/>
        <v/>
      </c>
      <c r="AV597" s="67" t="str">
        <f t="shared" si="84"/>
        <v/>
      </c>
      <c r="AW597" s="67" t="str">
        <f t="shared" si="85"/>
        <v/>
      </c>
      <c r="AX597" s="66" t="str">
        <f t="shared" si="86"/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 t="shared" si="87"/>
        <v/>
      </c>
      <c r="BB597" s="66" t="str">
        <f t="shared" si="88"/>
        <v/>
      </c>
      <c r="BC597" s="66">
        <f t="shared" si="89"/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69">
        <f t="shared" si="81"/>
        <v>0</v>
      </c>
      <c r="AT598" s="67" t="str">
        <f t="shared" si="82"/>
        <v/>
      </c>
      <c r="AU598" s="66" t="str">
        <f t="shared" si="83"/>
        <v/>
      </c>
      <c r="AV598" s="67" t="str">
        <f t="shared" si="84"/>
        <v/>
      </c>
      <c r="AW598" s="67" t="str">
        <f t="shared" si="85"/>
        <v/>
      </c>
      <c r="AX598" s="66" t="str">
        <f t="shared" si="86"/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 t="shared" si="87"/>
        <v/>
      </c>
      <c r="BB598" s="66" t="str">
        <f t="shared" si="88"/>
        <v/>
      </c>
      <c r="BC598" s="66">
        <f t="shared" si="89"/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69">
        <f t="shared" si="81"/>
        <v>0</v>
      </c>
      <c r="AT599" s="67" t="str">
        <f t="shared" si="82"/>
        <v/>
      </c>
      <c r="AU599" s="66" t="str">
        <f t="shared" si="83"/>
        <v/>
      </c>
      <c r="AV599" s="67" t="str">
        <f t="shared" si="84"/>
        <v/>
      </c>
      <c r="AW599" s="67" t="str">
        <f t="shared" si="85"/>
        <v/>
      </c>
      <c r="AX599" s="66" t="str">
        <f t="shared" si="86"/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 t="shared" si="87"/>
        <v/>
      </c>
      <c r="BB599" s="66" t="str">
        <f t="shared" si="88"/>
        <v/>
      </c>
      <c r="BC599" s="66">
        <f t="shared" si="89"/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69">
        <f t="shared" si="81"/>
        <v>0</v>
      </c>
      <c r="AT600" s="67" t="str">
        <f t="shared" si="82"/>
        <v/>
      </c>
      <c r="AU600" s="66" t="str">
        <f t="shared" si="83"/>
        <v/>
      </c>
      <c r="AV600" s="67" t="str">
        <f t="shared" si="84"/>
        <v/>
      </c>
      <c r="AW600" s="67" t="str">
        <f t="shared" si="85"/>
        <v/>
      </c>
      <c r="AX600" s="66" t="str">
        <f t="shared" si="86"/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 t="shared" si="87"/>
        <v/>
      </c>
      <c r="BB600" s="66" t="str">
        <f t="shared" si="88"/>
        <v/>
      </c>
      <c r="BC600" s="66">
        <f t="shared" si="89"/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69">
        <f t="shared" si="81"/>
        <v>0</v>
      </c>
      <c r="AT601" s="67" t="str">
        <f t="shared" si="82"/>
        <v/>
      </c>
      <c r="AU601" s="66" t="str">
        <f t="shared" si="83"/>
        <v/>
      </c>
      <c r="AV601" s="67" t="str">
        <f t="shared" si="84"/>
        <v/>
      </c>
      <c r="AW601" s="67" t="str">
        <f t="shared" si="85"/>
        <v/>
      </c>
      <c r="AX601" s="66" t="str">
        <f t="shared" si="86"/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 t="shared" si="87"/>
        <v/>
      </c>
      <c r="BB601" s="66" t="str">
        <f t="shared" si="88"/>
        <v/>
      </c>
      <c r="BC601" s="66">
        <f t="shared" si="89"/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69">
        <f t="shared" si="81"/>
        <v>0</v>
      </c>
      <c r="AT602" s="67" t="str">
        <f t="shared" si="82"/>
        <v/>
      </c>
      <c r="AU602" s="66" t="str">
        <f t="shared" si="83"/>
        <v/>
      </c>
      <c r="AV602" s="67" t="str">
        <f t="shared" si="84"/>
        <v/>
      </c>
      <c r="AW602" s="67" t="str">
        <f t="shared" si="85"/>
        <v/>
      </c>
      <c r="AX602" s="66" t="str">
        <f t="shared" si="86"/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 t="shared" si="87"/>
        <v/>
      </c>
      <c r="BB602" s="66" t="str">
        <f t="shared" si="88"/>
        <v/>
      </c>
      <c r="BC602" s="66">
        <f t="shared" si="89"/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69">
        <f t="shared" si="81"/>
        <v>0</v>
      </c>
      <c r="AT603" s="67" t="str">
        <f t="shared" si="82"/>
        <v/>
      </c>
      <c r="AU603" s="66" t="str">
        <f t="shared" si="83"/>
        <v/>
      </c>
      <c r="AV603" s="67" t="str">
        <f t="shared" si="84"/>
        <v/>
      </c>
      <c r="AW603" s="67" t="str">
        <f t="shared" si="85"/>
        <v/>
      </c>
      <c r="AX603" s="66" t="str">
        <f t="shared" si="86"/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 t="shared" si="87"/>
        <v/>
      </c>
      <c r="BB603" s="66" t="str">
        <f t="shared" si="88"/>
        <v/>
      </c>
      <c r="BC603" s="66">
        <f t="shared" si="89"/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69">
        <f t="shared" si="81"/>
        <v>0</v>
      </c>
      <c r="AT604" s="67" t="str">
        <f t="shared" si="82"/>
        <v/>
      </c>
      <c r="AU604" s="66" t="str">
        <f t="shared" si="83"/>
        <v/>
      </c>
      <c r="AV604" s="67" t="str">
        <f t="shared" si="84"/>
        <v/>
      </c>
      <c r="AW604" s="67" t="str">
        <f t="shared" si="85"/>
        <v/>
      </c>
      <c r="AX604" s="66" t="str">
        <f t="shared" si="86"/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 t="shared" si="87"/>
        <v/>
      </c>
      <c r="BB604" s="66" t="str">
        <f t="shared" si="88"/>
        <v/>
      </c>
      <c r="BC604" s="66">
        <f t="shared" si="89"/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69">
        <f t="shared" si="81"/>
        <v>0</v>
      </c>
      <c r="AT605" s="67" t="str">
        <f t="shared" si="82"/>
        <v/>
      </c>
      <c r="AU605" s="66" t="str">
        <f t="shared" si="83"/>
        <v/>
      </c>
      <c r="AV605" s="67" t="str">
        <f t="shared" si="84"/>
        <v/>
      </c>
      <c r="AW605" s="67" t="str">
        <f t="shared" si="85"/>
        <v/>
      </c>
      <c r="AX605" s="66" t="str">
        <f t="shared" si="86"/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 t="shared" si="87"/>
        <v/>
      </c>
      <c r="BB605" s="66" t="str">
        <f t="shared" si="88"/>
        <v/>
      </c>
      <c r="BC605" s="66">
        <f t="shared" si="89"/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69">
        <f t="shared" si="81"/>
        <v>0</v>
      </c>
      <c r="AT606" s="67" t="str">
        <f t="shared" si="82"/>
        <v/>
      </c>
      <c r="AU606" s="66" t="str">
        <f t="shared" si="83"/>
        <v/>
      </c>
      <c r="AV606" s="67" t="str">
        <f t="shared" si="84"/>
        <v/>
      </c>
      <c r="AW606" s="67" t="str">
        <f t="shared" si="85"/>
        <v/>
      </c>
      <c r="AX606" s="66" t="str">
        <f t="shared" si="86"/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 t="shared" si="87"/>
        <v/>
      </c>
      <c r="BB606" s="66" t="str">
        <f t="shared" si="88"/>
        <v/>
      </c>
      <c r="BC606" s="66">
        <f t="shared" si="89"/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69">
        <f t="shared" si="81"/>
        <v>0</v>
      </c>
      <c r="AT607" s="67" t="str">
        <f t="shared" si="82"/>
        <v/>
      </c>
      <c r="AU607" s="66" t="str">
        <f t="shared" si="83"/>
        <v/>
      </c>
      <c r="AV607" s="67" t="str">
        <f t="shared" si="84"/>
        <v/>
      </c>
      <c r="AW607" s="67" t="str">
        <f t="shared" si="85"/>
        <v/>
      </c>
      <c r="AX607" s="66" t="str">
        <f t="shared" si="86"/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 t="shared" si="87"/>
        <v/>
      </c>
      <c r="BB607" s="66" t="str">
        <f t="shared" si="88"/>
        <v/>
      </c>
      <c r="BC607" s="66">
        <f t="shared" si="89"/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69">
        <f t="shared" si="81"/>
        <v>0</v>
      </c>
      <c r="AT608" s="67" t="str">
        <f t="shared" si="82"/>
        <v/>
      </c>
      <c r="AU608" s="66" t="str">
        <f t="shared" si="83"/>
        <v/>
      </c>
      <c r="AV608" s="67" t="str">
        <f t="shared" si="84"/>
        <v/>
      </c>
      <c r="AW608" s="67" t="str">
        <f t="shared" si="85"/>
        <v/>
      </c>
      <c r="AX608" s="66" t="str">
        <f t="shared" si="86"/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 t="shared" si="87"/>
        <v/>
      </c>
      <c r="BB608" s="66" t="str">
        <f t="shared" si="88"/>
        <v/>
      </c>
      <c r="BC608" s="66">
        <f t="shared" si="89"/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69">
        <f t="shared" si="81"/>
        <v>0</v>
      </c>
      <c r="AT609" s="67" t="str">
        <f t="shared" si="82"/>
        <v/>
      </c>
      <c r="AU609" s="66" t="str">
        <f t="shared" si="83"/>
        <v/>
      </c>
      <c r="AV609" s="67" t="str">
        <f t="shared" si="84"/>
        <v/>
      </c>
      <c r="AW609" s="67" t="str">
        <f t="shared" si="85"/>
        <v/>
      </c>
      <c r="AX609" s="66" t="str">
        <f t="shared" si="86"/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 t="shared" si="87"/>
        <v/>
      </c>
      <c r="BB609" s="66" t="str">
        <f t="shared" si="88"/>
        <v/>
      </c>
      <c r="BC609" s="66">
        <f t="shared" si="89"/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69">
        <f t="shared" si="81"/>
        <v>0</v>
      </c>
      <c r="AT610" s="67" t="str">
        <f t="shared" si="82"/>
        <v/>
      </c>
      <c r="AU610" s="66" t="str">
        <f t="shared" si="83"/>
        <v/>
      </c>
      <c r="AV610" s="67" t="str">
        <f t="shared" si="84"/>
        <v/>
      </c>
      <c r="AW610" s="67" t="str">
        <f t="shared" si="85"/>
        <v/>
      </c>
      <c r="AX610" s="66" t="str">
        <f t="shared" si="86"/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 t="shared" si="87"/>
        <v/>
      </c>
      <c r="BB610" s="66" t="str">
        <f t="shared" si="88"/>
        <v/>
      </c>
      <c r="BC610" s="66">
        <f t="shared" si="89"/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69">
        <f t="shared" si="81"/>
        <v>0</v>
      </c>
      <c r="AT611" s="67" t="str">
        <f t="shared" si="82"/>
        <v/>
      </c>
      <c r="AU611" s="66" t="str">
        <f t="shared" si="83"/>
        <v/>
      </c>
      <c r="AV611" s="67" t="str">
        <f t="shared" si="84"/>
        <v/>
      </c>
      <c r="AW611" s="67" t="str">
        <f t="shared" si="85"/>
        <v/>
      </c>
      <c r="AX611" s="66" t="str">
        <f t="shared" si="86"/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 t="shared" si="87"/>
        <v/>
      </c>
      <c r="BB611" s="66" t="str">
        <f t="shared" si="88"/>
        <v/>
      </c>
      <c r="BC611" s="66">
        <f t="shared" si="89"/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69">
        <f t="shared" si="81"/>
        <v>0</v>
      </c>
      <c r="AT612" s="67" t="str">
        <f t="shared" si="82"/>
        <v/>
      </c>
      <c r="AU612" s="66" t="str">
        <f t="shared" si="83"/>
        <v/>
      </c>
      <c r="AV612" s="67" t="str">
        <f t="shared" si="84"/>
        <v/>
      </c>
      <c r="AW612" s="67" t="str">
        <f t="shared" si="85"/>
        <v/>
      </c>
      <c r="AX612" s="66" t="str">
        <f t="shared" si="86"/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 t="shared" si="87"/>
        <v/>
      </c>
      <c r="BB612" s="66" t="str">
        <f t="shared" si="88"/>
        <v/>
      </c>
      <c r="BC612" s="66">
        <f t="shared" si="89"/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69">
        <f t="shared" si="81"/>
        <v>0</v>
      </c>
      <c r="AT613" s="67" t="str">
        <f t="shared" si="82"/>
        <v/>
      </c>
      <c r="AU613" s="66" t="str">
        <f t="shared" si="83"/>
        <v/>
      </c>
      <c r="AV613" s="67" t="str">
        <f t="shared" si="84"/>
        <v/>
      </c>
      <c r="AW613" s="67" t="str">
        <f t="shared" si="85"/>
        <v/>
      </c>
      <c r="AX613" s="66" t="str">
        <f t="shared" si="86"/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 t="shared" si="87"/>
        <v/>
      </c>
      <c r="BB613" s="66" t="str">
        <f t="shared" si="88"/>
        <v/>
      </c>
      <c r="BC613" s="66">
        <f t="shared" si="89"/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69">
        <f t="shared" si="81"/>
        <v>0</v>
      </c>
      <c r="AT614" s="67" t="str">
        <f t="shared" si="82"/>
        <v/>
      </c>
      <c r="AU614" s="66" t="str">
        <f t="shared" si="83"/>
        <v/>
      </c>
      <c r="AV614" s="67" t="str">
        <f t="shared" si="84"/>
        <v/>
      </c>
      <c r="AW614" s="67" t="str">
        <f t="shared" si="85"/>
        <v/>
      </c>
      <c r="AX614" s="66" t="str">
        <f t="shared" si="86"/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 t="shared" si="87"/>
        <v/>
      </c>
      <c r="BB614" s="66" t="str">
        <f t="shared" si="88"/>
        <v/>
      </c>
      <c r="BC614" s="66">
        <f t="shared" si="89"/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69">
        <f t="shared" si="81"/>
        <v>0</v>
      </c>
      <c r="AT615" s="67" t="str">
        <f t="shared" si="82"/>
        <v/>
      </c>
      <c r="AU615" s="66" t="str">
        <f t="shared" si="83"/>
        <v/>
      </c>
      <c r="AV615" s="67" t="str">
        <f t="shared" si="84"/>
        <v/>
      </c>
      <c r="AW615" s="67" t="str">
        <f t="shared" si="85"/>
        <v/>
      </c>
      <c r="AX615" s="66" t="str">
        <f t="shared" si="86"/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 t="shared" si="87"/>
        <v/>
      </c>
      <c r="BB615" s="66" t="str">
        <f t="shared" si="88"/>
        <v/>
      </c>
      <c r="BC615" s="66">
        <f t="shared" si="89"/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69">
        <f t="shared" si="81"/>
        <v>0</v>
      </c>
      <c r="AT616" s="67" t="str">
        <f t="shared" si="82"/>
        <v/>
      </c>
      <c r="AU616" s="66" t="str">
        <f t="shared" si="83"/>
        <v/>
      </c>
      <c r="AV616" s="67" t="str">
        <f t="shared" si="84"/>
        <v/>
      </c>
      <c r="AW616" s="67" t="str">
        <f t="shared" si="85"/>
        <v/>
      </c>
      <c r="AX616" s="66" t="str">
        <f t="shared" si="86"/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 t="shared" si="87"/>
        <v/>
      </c>
      <c r="BB616" s="66" t="str">
        <f t="shared" si="88"/>
        <v/>
      </c>
      <c r="BC616" s="66">
        <f t="shared" si="89"/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69">
        <f t="shared" si="81"/>
        <v>0</v>
      </c>
      <c r="AT617" s="67" t="str">
        <f t="shared" si="82"/>
        <v/>
      </c>
      <c r="AU617" s="66" t="str">
        <f t="shared" si="83"/>
        <v/>
      </c>
      <c r="AV617" s="67" t="str">
        <f t="shared" si="84"/>
        <v/>
      </c>
      <c r="AW617" s="67" t="str">
        <f t="shared" si="85"/>
        <v/>
      </c>
      <c r="AX617" s="66" t="str">
        <f t="shared" si="86"/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 t="shared" si="87"/>
        <v/>
      </c>
      <c r="BB617" s="66" t="str">
        <f t="shared" si="88"/>
        <v/>
      </c>
      <c r="BC617" s="66">
        <f t="shared" si="89"/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69">
        <f t="shared" si="81"/>
        <v>0</v>
      </c>
      <c r="AT618" s="67" t="str">
        <f t="shared" si="82"/>
        <v/>
      </c>
      <c r="AU618" s="66" t="str">
        <f t="shared" si="83"/>
        <v/>
      </c>
      <c r="AV618" s="67" t="str">
        <f t="shared" si="84"/>
        <v/>
      </c>
      <c r="AW618" s="67" t="str">
        <f t="shared" si="85"/>
        <v/>
      </c>
      <c r="AX618" s="66" t="str">
        <f t="shared" si="86"/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 t="shared" si="87"/>
        <v/>
      </c>
      <c r="BB618" s="66" t="str">
        <f t="shared" si="88"/>
        <v/>
      </c>
      <c r="BC618" s="66">
        <f t="shared" si="89"/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69">
        <f t="shared" si="81"/>
        <v>0</v>
      </c>
      <c r="AT619" s="67" t="str">
        <f t="shared" si="82"/>
        <v/>
      </c>
      <c r="AU619" s="66" t="str">
        <f t="shared" si="83"/>
        <v/>
      </c>
      <c r="AV619" s="67" t="str">
        <f t="shared" si="84"/>
        <v/>
      </c>
      <c r="AW619" s="67" t="str">
        <f t="shared" si="85"/>
        <v/>
      </c>
      <c r="AX619" s="66" t="str">
        <f t="shared" si="86"/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 t="shared" si="87"/>
        <v/>
      </c>
      <c r="BB619" s="66" t="str">
        <f t="shared" si="88"/>
        <v/>
      </c>
      <c r="BC619" s="66">
        <f t="shared" si="89"/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69">
        <f t="shared" si="81"/>
        <v>0</v>
      </c>
      <c r="AT620" s="67" t="str">
        <f t="shared" si="82"/>
        <v/>
      </c>
      <c r="AU620" s="66" t="str">
        <f t="shared" si="83"/>
        <v/>
      </c>
      <c r="AV620" s="67" t="str">
        <f t="shared" si="84"/>
        <v/>
      </c>
      <c r="AW620" s="67" t="str">
        <f t="shared" si="85"/>
        <v/>
      </c>
      <c r="AX620" s="66" t="str">
        <f t="shared" si="86"/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 t="shared" si="87"/>
        <v/>
      </c>
      <c r="BB620" s="66" t="str">
        <f t="shared" si="88"/>
        <v/>
      </c>
      <c r="BC620" s="66">
        <f t="shared" si="89"/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69">
        <f t="shared" si="81"/>
        <v>0</v>
      </c>
      <c r="AT621" s="67" t="str">
        <f t="shared" si="82"/>
        <v/>
      </c>
      <c r="AU621" s="66" t="str">
        <f t="shared" si="83"/>
        <v/>
      </c>
      <c r="AV621" s="67" t="str">
        <f t="shared" si="84"/>
        <v/>
      </c>
      <c r="AW621" s="67" t="str">
        <f t="shared" si="85"/>
        <v/>
      </c>
      <c r="AX621" s="66" t="str">
        <f t="shared" si="86"/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 t="shared" si="87"/>
        <v/>
      </c>
      <c r="BB621" s="66" t="str">
        <f t="shared" si="88"/>
        <v/>
      </c>
      <c r="BC621" s="66">
        <f t="shared" si="89"/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69">
        <f t="shared" si="81"/>
        <v>0</v>
      </c>
      <c r="AT622" s="67" t="str">
        <f t="shared" si="82"/>
        <v/>
      </c>
      <c r="AU622" s="66" t="str">
        <f t="shared" si="83"/>
        <v/>
      </c>
      <c r="AV622" s="67" t="str">
        <f t="shared" si="84"/>
        <v/>
      </c>
      <c r="AW622" s="67" t="str">
        <f t="shared" si="85"/>
        <v/>
      </c>
      <c r="AX622" s="66" t="str">
        <f t="shared" si="86"/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 t="shared" si="87"/>
        <v/>
      </c>
      <c r="BB622" s="66" t="str">
        <f t="shared" si="88"/>
        <v/>
      </c>
      <c r="BC622" s="66">
        <f t="shared" si="89"/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69">
        <f t="shared" si="81"/>
        <v>0</v>
      </c>
      <c r="AT623" s="67" t="str">
        <f t="shared" si="82"/>
        <v/>
      </c>
      <c r="AU623" s="66" t="str">
        <f t="shared" si="83"/>
        <v/>
      </c>
      <c r="AV623" s="67" t="str">
        <f t="shared" si="84"/>
        <v/>
      </c>
      <c r="AW623" s="67" t="str">
        <f t="shared" si="85"/>
        <v/>
      </c>
      <c r="AX623" s="66" t="str">
        <f t="shared" si="86"/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 t="shared" si="87"/>
        <v/>
      </c>
      <c r="BB623" s="66" t="str">
        <f t="shared" si="88"/>
        <v/>
      </c>
      <c r="BC623" s="66">
        <f t="shared" si="89"/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69">
        <f t="shared" si="81"/>
        <v>0</v>
      </c>
      <c r="AT624" s="67" t="str">
        <f t="shared" si="82"/>
        <v/>
      </c>
      <c r="AU624" s="66" t="str">
        <f t="shared" si="83"/>
        <v/>
      </c>
      <c r="AV624" s="67" t="str">
        <f t="shared" si="84"/>
        <v/>
      </c>
      <c r="AW624" s="67" t="str">
        <f t="shared" si="85"/>
        <v/>
      </c>
      <c r="AX624" s="66" t="str">
        <f t="shared" si="86"/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 t="shared" si="87"/>
        <v/>
      </c>
      <c r="BB624" s="66" t="str">
        <f t="shared" si="88"/>
        <v/>
      </c>
      <c r="BC624" s="66">
        <f t="shared" si="89"/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69">
        <f t="shared" si="81"/>
        <v>0</v>
      </c>
      <c r="AT625" s="67" t="str">
        <f t="shared" si="82"/>
        <v/>
      </c>
      <c r="AU625" s="66" t="str">
        <f t="shared" si="83"/>
        <v/>
      </c>
      <c r="AV625" s="67" t="str">
        <f t="shared" si="84"/>
        <v/>
      </c>
      <c r="AW625" s="67" t="str">
        <f t="shared" si="85"/>
        <v/>
      </c>
      <c r="AX625" s="66" t="str">
        <f t="shared" si="86"/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 t="shared" si="87"/>
        <v/>
      </c>
      <c r="BB625" s="66" t="str">
        <f t="shared" si="88"/>
        <v/>
      </c>
      <c r="BC625" s="66">
        <f t="shared" si="89"/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69">
        <f t="shared" si="81"/>
        <v>0</v>
      </c>
      <c r="AT626" s="67" t="str">
        <f t="shared" si="82"/>
        <v/>
      </c>
      <c r="AU626" s="66" t="str">
        <f t="shared" si="83"/>
        <v/>
      </c>
      <c r="AV626" s="67" t="str">
        <f t="shared" si="84"/>
        <v/>
      </c>
      <c r="AW626" s="67" t="str">
        <f t="shared" si="85"/>
        <v/>
      </c>
      <c r="AX626" s="66" t="str">
        <f t="shared" si="86"/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 t="shared" si="87"/>
        <v/>
      </c>
      <c r="BB626" s="66" t="str">
        <f t="shared" si="88"/>
        <v/>
      </c>
      <c r="BC626" s="66">
        <f t="shared" si="89"/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69">
        <f t="shared" si="81"/>
        <v>0</v>
      </c>
      <c r="AT627" s="67" t="str">
        <f t="shared" si="82"/>
        <v/>
      </c>
      <c r="AU627" s="66" t="str">
        <f t="shared" si="83"/>
        <v/>
      </c>
      <c r="AV627" s="67" t="str">
        <f t="shared" si="84"/>
        <v/>
      </c>
      <c r="AW627" s="67" t="str">
        <f t="shared" si="85"/>
        <v/>
      </c>
      <c r="AX627" s="66" t="str">
        <f t="shared" si="86"/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 t="shared" si="87"/>
        <v/>
      </c>
      <c r="BB627" s="66" t="str">
        <f t="shared" si="88"/>
        <v/>
      </c>
      <c r="BC627" s="66">
        <f t="shared" si="89"/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69">
        <f t="shared" si="81"/>
        <v>0</v>
      </c>
      <c r="AT628" s="67" t="str">
        <f t="shared" si="82"/>
        <v/>
      </c>
      <c r="AU628" s="66" t="str">
        <f t="shared" si="83"/>
        <v/>
      </c>
      <c r="AV628" s="67" t="str">
        <f t="shared" si="84"/>
        <v/>
      </c>
      <c r="AW628" s="67" t="str">
        <f t="shared" si="85"/>
        <v/>
      </c>
      <c r="AX628" s="66" t="str">
        <f t="shared" si="86"/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 t="shared" si="87"/>
        <v/>
      </c>
      <c r="BB628" s="66" t="str">
        <f t="shared" si="88"/>
        <v/>
      </c>
      <c r="BC628" s="66">
        <f t="shared" si="89"/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69">
        <f t="shared" si="81"/>
        <v>0</v>
      </c>
      <c r="AT629" s="67" t="str">
        <f t="shared" si="82"/>
        <v/>
      </c>
      <c r="AU629" s="66" t="str">
        <f t="shared" si="83"/>
        <v/>
      </c>
      <c r="AV629" s="67" t="str">
        <f t="shared" si="84"/>
        <v/>
      </c>
      <c r="AW629" s="67" t="str">
        <f t="shared" si="85"/>
        <v/>
      </c>
      <c r="AX629" s="66" t="str">
        <f t="shared" si="86"/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 t="shared" si="87"/>
        <v/>
      </c>
      <c r="BB629" s="66" t="str">
        <f t="shared" si="88"/>
        <v/>
      </c>
      <c r="BC629" s="66">
        <f t="shared" si="89"/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69">
        <f t="shared" si="81"/>
        <v>0</v>
      </c>
      <c r="AT630" s="67" t="str">
        <f t="shared" si="82"/>
        <v/>
      </c>
      <c r="AU630" s="66" t="str">
        <f t="shared" si="83"/>
        <v/>
      </c>
      <c r="AV630" s="67" t="str">
        <f t="shared" si="84"/>
        <v/>
      </c>
      <c r="AW630" s="67" t="str">
        <f t="shared" si="85"/>
        <v/>
      </c>
      <c r="AX630" s="66" t="str">
        <f t="shared" si="86"/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 t="shared" si="87"/>
        <v/>
      </c>
      <c r="BB630" s="66" t="str">
        <f t="shared" si="88"/>
        <v/>
      </c>
      <c r="BC630" s="66">
        <f t="shared" si="89"/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69">
        <f t="shared" si="81"/>
        <v>0</v>
      </c>
      <c r="AT631" s="67" t="str">
        <f t="shared" si="82"/>
        <v/>
      </c>
      <c r="AU631" s="66" t="str">
        <f t="shared" si="83"/>
        <v/>
      </c>
      <c r="AV631" s="67" t="str">
        <f t="shared" si="84"/>
        <v/>
      </c>
      <c r="AW631" s="67" t="str">
        <f t="shared" si="85"/>
        <v/>
      </c>
      <c r="AX631" s="66" t="str">
        <f t="shared" si="86"/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 t="shared" si="87"/>
        <v/>
      </c>
      <c r="BB631" s="66" t="str">
        <f t="shared" si="88"/>
        <v/>
      </c>
      <c r="BC631" s="66">
        <f t="shared" si="89"/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69">
        <f t="shared" si="81"/>
        <v>0</v>
      </c>
      <c r="AT632" s="67" t="str">
        <f t="shared" si="82"/>
        <v/>
      </c>
      <c r="AU632" s="66" t="str">
        <f t="shared" si="83"/>
        <v/>
      </c>
      <c r="AV632" s="67" t="str">
        <f t="shared" si="84"/>
        <v/>
      </c>
      <c r="AW632" s="67" t="str">
        <f t="shared" si="85"/>
        <v/>
      </c>
      <c r="AX632" s="66" t="str">
        <f t="shared" si="86"/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 t="shared" si="87"/>
        <v/>
      </c>
      <c r="BB632" s="66" t="str">
        <f t="shared" si="88"/>
        <v/>
      </c>
      <c r="BC632" s="66">
        <f t="shared" si="89"/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69">
        <f t="shared" si="81"/>
        <v>0</v>
      </c>
      <c r="AT633" s="67" t="str">
        <f t="shared" si="82"/>
        <v/>
      </c>
      <c r="AU633" s="66" t="str">
        <f t="shared" si="83"/>
        <v/>
      </c>
      <c r="AV633" s="67" t="str">
        <f t="shared" si="84"/>
        <v/>
      </c>
      <c r="AW633" s="67" t="str">
        <f t="shared" si="85"/>
        <v/>
      </c>
      <c r="AX633" s="66" t="str">
        <f t="shared" si="86"/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 t="shared" si="87"/>
        <v/>
      </c>
      <c r="BB633" s="66" t="str">
        <f t="shared" si="88"/>
        <v/>
      </c>
      <c r="BC633" s="66">
        <f t="shared" si="89"/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69">
        <f t="shared" si="81"/>
        <v>0</v>
      </c>
      <c r="AT634" s="67" t="str">
        <f t="shared" si="82"/>
        <v/>
      </c>
      <c r="AU634" s="66" t="str">
        <f t="shared" si="83"/>
        <v/>
      </c>
      <c r="AV634" s="67" t="str">
        <f t="shared" si="84"/>
        <v/>
      </c>
      <c r="AW634" s="67" t="str">
        <f t="shared" si="85"/>
        <v/>
      </c>
      <c r="AX634" s="66" t="str">
        <f t="shared" si="86"/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 t="shared" si="87"/>
        <v/>
      </c>
      <c r="BB634" s="66" t="str">
        <f t="shared" si="88"/>
        <v/>
      </c>
      <c r="BC634" s="66">
        <f t="shared" si="89"/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69">
        <f t="shared" si="81"/>
        <v>0</v>
      </c>
      <c r="AT635" s="67" t="str">
        <f t="shared" si="82"/>
        <v/>
      </c>
      <c r="AU635" s="66" t="str">
        <f t="shared" si="83"/>
        <v/>
      </c>
      <c r="AV635" s="67" t="str">
        <f t="shared" si="84"/>
        <v/>
      </c>
      <c r="AW635" s="67" t="str">
        <f t="shared" si="85"/>
        <v/>
      </c>
      <c r="AX635" s="66" t="str">
        <f t="shared" si="86"/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 t="shared" si="87"/>
        <v/>
      </c>
      <c r="BB635" s="66" t="str">
        <f t="shared" si="88"/>
        <v/>
      </c>
      <c r="BC635" s="66">
        <f t="shared" si="89"/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69">
        <f t="shared" si="81"/>
        <v>0</v>
      </c>
      <c r="AT636" s="67" t="str">
        <f t="shared" si="82"/>
        <v/>
      </c>
      <c r="AU636" s="66" t="str">
        <f t="shared" si="83"/>
        <v/>
      </c>
      <c r="AV636" s="67" t="str">
        <f t="shared" si="84"/>
        <v/>
      </c>
      <c r="AW636" s="67" t="str">
        <f t="shared" si="85"/>
        <v/>
      </c>
      <c r="AX636" s="66" t="str">
        <f t="shared" si="86"/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 t="shared" si="87"/>
        <v/>
      </c>
      <c r="BB636" s="66" t="str">
        <f t="shared" si="88"/>
        <v/>
      </c>
      <c r="BC636" s="66">
        <f t="shared" si="89"/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69">
        <f t="shared" si="81"/>
        <v>0</v>
      </c>
      <c r="AT637" s="67" t="str">
        <f t="shared" si="82"/>
        <v/>
      </c>
      <c r="AU637" s="66" t="str">
        <f t="shared" si="83"/>
        <v/>
      </c>
      <c r="AV637" s="67" t="str">
        <f t="shared" si="84"/>
        <v/>
      </c>
      <c r="AW637" s="67" t="str">
        <f t="shared" si="85"/>
        <v/>
      </c>
      <c r="AX637" s="66" t="str">
        <f t="shared" si="86"/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 t="shared" si="87"/>
        <v/>
      </c>
      <c r="BB637" s="66" t="str">
        <f t="shared" si="88"/>
        <v/>
      </c>
      <c r="BC637" s="66">
        <f t="shared" si="89"/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69">
        <f t="shared" si="81"/>
        <v>0</v>
      </c>
      <c r="AT638" s="67" t="str">
        <f t="shared" si="82"/>
        <v/>
      </c>
      <c r="AU638" s="66" t="str">
        <f t="shared" si="83"/>
        <v/>
      </c>
      <c r="AV638" s="67" t="str">
        <f t="shared" si="84"/>
        <v/>
      </c>
      <c r="AW638" s="67" t="str">
        <f t="shared" si="85"/>
        <v/>
      </c>
      <c r="AX638" s="66" t="str">
        <f t="shared" si="86"/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 t="shared" si="87"/>
        <v/>
      </c>
      <c r="BB638" s="66" t="str">
        <f t="shared" si="88"/>
        <v/>
      </c>
      <c r="BC638" s="66">
        <f t="shared" si="89"/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69">
        <f t="shared" si="81"/>
        <v>0</v>
      </c>
      <c r="AT639" s="67" t="str">
        <f t="shared" si="82"/>
        <v/>
      </c>
      <c r="AU639" s="66" t="str">
        <f t="shared" si="83"/>
        <v/>
      </c>
      <c r="AV639" s="67" t="str">
        <f t="shared" si="84"/>
        <v/>
      </c>
      <c r="AW639" s="67" t="str">
        <f t="shared" si="85"/>
        <v/>
      </c>
      <c r="AX639" s="66" t="str">
        <f t="shared" si="86"/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 t="shared" si="87"/>
        <v/>
      </c>
      <c r="BB639" s="66" t="str">
        <f t="shared" si="88"/>
        <v/>
      </c>
      <c r="BC639" s="66">
        <f t="shared" si="89"/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69">
        <f t="shared" si="81"/>
        <v>0</v>
      </c>
      <c r="AT640" s="67" t="str">
        <f t="shared" si="82"/>
        <v/>
      </c>
      <c r="AU640" s="66" t="str">
        <f t="shared" si="83"/>
        <v/>
      </c>
      <c r="AV640" s="67" t="str">
        <f t="shared" si="84"/>
        <v/>
      </c>
      <c r="AW640" s="67" t="str">
        <f t="shared" si="85"/>
        <v/>
      </c>
      <c r="AX640" s="66" t="str">
        <f t="shared" si="86"/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 t="shared" si="87"/>
        <v/>
      </c>
      <c r="BB640" s="66" t="str">
        <f t="shared" si="88"/>
        <v/>
      </c>
      <c r="BC640" s="66">
        <f t="shared" si="89"/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69">
        <f t="shared" si="81"/>
        <v>0</v>
      </c>
      <c r="AT641" s="67" t="str">
        <f t="shared" si="82"/>
        <v/>
      </c>
      <c r="AU641" s="66" t="str">
        <f t="shared" si="83"/>
        <v/>
      </c>
      <c r="AV641" s="67" t="str">
        <f t="shared" si="84"/>
        <v/>
      </c>
      <c r="AW641" s="67" t="str">
        <f t="shared" si="85"/>
        <v/>
      </c>
      <c r="AX641" s="66" t="str">
        <f t="shared" si="86"/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 t="shared" si="87"/>
        <v/>
      </c>
      <c r="BB641" s="66" t="str">
        <f t="shared" si="88"/>
        <v/>
      </c>
      <c r="BC641" s="66">
        <f t="shared" si="89"/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69">
        <f t="shared" si="81"/>
        <v>0</v>
      </c>
      <c r="AT642" s="67" t="str">
        <f t="shared" si="82"/>
        <v/>
      </c>
      <c r="AU642" s="66" t="str">
        <f t="shared" si="83"/>
        <v/>
      </c>
      <c r="AV642" s="67" t="str">
        <f t="shared" si="84"/>
        <v/>
      </c>
      <c r="AW642" s="67" t="str">
        <f t="shared" si="85"/>
        <v/>
      </c>
      <c r="AX642" s="66" t="str">
        <f t="shared" si="86"/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 t="shared" si="87"/>
        <v/>
      </c>
      <c r="BB642" s="66" t="str">
        <f t="shared" si="88"/>
        <v/>
      </c>
      <c r="BC642" s="66">
        <f t="shared" si="89"/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69">
        <f t="shared" si="81"/>
        <v>0</v>
      </c>
      <c r="AT643" s="67" t="str">
        <f t="shared" si="82"/>
        <v/>
      </c>
      <c r="AU643" s="66" t="str">
        <f t="shared" si="83"/>
        <v/>
      </c>
      <c r="AV643" s="67" t="str">
        <f t="shared" si="84"/>
        <v/>
      </c>
      <c r="AW643" s="67" t="str">
        <f t="shared" si="85"/>
        <v/>
      </c>
      <c r="AX643" s="66" t="str">
        <f t="shared" si="86"/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 t="shared" si="87"/>
        <v/>
      </c>
      <c r="BB643" s="66" t="str">
        <f t="shared" si="88"/>
        <v/>
      </c>
      <c r="BC643" s="66">
        <f t="shared" si="89"/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69">
        <f t="shared" si="81"/>
        <v>0</v>
      </c>
      <c r="AT644" s="67" t="str">
        <f t="shared" si="82"/>
        <v/>
      </c>
      <c r="AU644" s="66" t="str">
        <f t="shared" si="83"/>
        <v/>
      </c>
      <c r="AV644" s="67" t="str">
        <f t="shared" si="84"/>
        <v/>
      </c>
      <c r="AW644" s="67" t="str">
        <f t="shared" si="85"/>
        <v/>
      </c>
      <c r="AX644" s="66" t="str">
        <f t="shared" si="86"/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 t="shared" si="87"/>
        <v/>
      </c>
      <c r="BB644" s="66" t="str">
        <f t="shared" si="88"/>
        <v/>
      </c>
      <c r="BC644" s="66">
        <f t="shared" si="89"/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69">
        <f t="shared" ref="AS645:AS708" si="90">SUM(H645,J645,L645,N645,P645,R645,T645,V645,X645,Z645,AB645,AD645,AF645,AH645,AJ645,AL645,AN645)</f>
        <v>0</v>
      </c>
      <c r="AT645" s="67" t="str">
        <f t="shared" ref="AT645:AT708" si="91">IF(C645="","",DATE(YEAR(C645),MONTH(C645),1))</f>
        <v/>
      </c>
      <c r="AU645" s="66" t="str">
        <f t="shared" ref="AU645:AU708" si="92">IF(AT645="","",TEXT(AT645,"mmmm yyyy"))</f>
        <v/>
      </c>
      <c r="AV645" s="67" t="str">
        <f t="shared" ref="AV645:AV708" si="93">IF(C645="","",C645-WEEKDAY(C645,2)+1)</f>
        <v/>
      </c>
      <c r="AW645" s="67" t="str">
        <f t="shared" ref="AW645:AW708" si="94">IF(AV645="","",AV645+6)</f>
        <v/>
      </c>
      <c r="AX645" s="66" t="str">
        <f t="shared" ref="AX645:AX708" si="95"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 t="shared" ref="BA645:BA708" si="96">IF(B645="","",TEXT(AY645,"00")&amp;"|"&amp;B645&amp;"|"&amp;TEXT(AT645,"yyyymmdd"))</f>
        <v/>
      </c>
      <c r="BB645" s="66" t="str">
        <f t="shared" ref="BB645:BB708" si="97">IF(B645="","",TEXT(AZ645,"00")&amp;"|"&amp;B645&amp;"|"&amp;TEXT(AV645,"yyyymmdd"))</f>
        <v/>
      </c>
      <c r="BC645" s="66">
        <f t="shared" ref="BC645:BC708" si="98"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69">
        <f t="shared" si="90"/>
        <v>0</v>
      </c>
      <c r="AT646" s="67" t="str">
        <f t="shared" si="91"/>
        <v/>
      </c>
      <c r="AU646" s="66" t="str">
        <f t="shared" si="92"/>
        <v/>
      </c>
      <c r="AV646" s="67" t="str">
        <f t="shared" si="93"/>
        <v/>
      </c>
      <c r="AW646" s="67" t="str">
        <f t="shared" si="94"/>
        <v/>
      </c>
      <c r="AX646" s="66" t="str">
        <f t="shared" si="95"/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 t="shared" si="96"/>
        <v/>
      </c>
      <c r="BB646" s="66" t="str">
        <f t="shared" si="97"/>
        <v/>
      </c>
      <c r="BC646" s="66">
        <f t="shared" si="98"/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69">
        <f t="shared" si="90"/>
        <v>0</v>
      </c>
      <c r="AT647" s="67" t="str">
        <f t="shared" si="91"/>
        <v/>
      </c>
      <c r="AU647" s="66" t="str">
        <f t="shared" si="92"/>
        <v/>
      </c>
      <c r="AV647" s="67" t="str">
        <f t="shared" si="93"/>
        <v/>
      </c>
      <c r="AW647" s="67" t="str">
        <f t="shared" si="94"/>
        <v/>
      </c>
      <c r="AX647" s="66" t="str">
        <f t="shared" si="95"/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 t="shared" si="96"/>
        <v/>
      </c>
      <c r="BB647" s="66" t="str">
        <f t="shared" si="97"/>
        <v/>
      </c>
      <c r="BC647" s="66">
        <f t="shared" si="98"/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69">
        <f t="shared" si="90"/>
        <v>0</v>
      </c>
      <c r="AT648" s="67" t="str">
        <f t="shared" si="91"/>
        <v/>
      </c>
      <c r="AU648" s="66" t="str">
        <f t="shared" si="92"/>
        <v/>
      </c>
      <c r="AV648" s="67" t="str">
        <f t="shared" si="93"/>
        <v/>
      </c>
      <c r="AW648" s="67" t="str">
        <f t="shared" si="94"/>
        <v/>
      </c>
      <c r="AX648" s="66" t="str">
        <f t="shared" si="95"/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 t="shared" si="96"/>
        <v/>
      </c>
      <c r="BB648" s="66" t="str">
        <f t="shared" si="97"/>
        <v/>
      </c>
      <c r="BC648" s="66">
        <f t="shared" si="98"/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69">
        <f t="shared" si="90"/>
        <v>0</v>
      </c>
      <c r="AT649" s="67" t="str">
        <f t="shared" si="91"/>
        <v/>
      </c>
      <c r="AU649" s="66" t="str">
        <f t="shared" si="92"/>
        <v/>
      </c>
      <c r="AV649" s="67" t="str">
        <f t="shared" si="93"/>
        <v/>
      </c>
      <c r="AW649" s="67" t="str">
        <f t="shared" si="94"/>
        <v/>
      </c>
      <c r="AX649" s="66" t="str">
        <f t="shared" si="95"/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 t="shared" si="96"/>
        <v/>
      </c>
      <c r="BB649" s="66" t="str">
        <f t="shared" si="97"/>
        <v/>
      </c>
      <c r="BC649" s="66">
        <f t="shared" si="98"/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69">
        <f t="shared" si="90"/>
        <v>0</v>
      </c>
      <c r="AT650" s="67" t="str">
        <f t="shared" si="91"/>
        <v/>
      </c>
      <c r="AU650" s="66" t="str">
        <f t="shared" si="92"/>
        <v/>
      </c>
      <c r="AV650" s="67" t="str">
        <f t="shared" si="93"/>
        <v/>
      </c>
      <c r="AW650" s="67" t="str">
        <f t="shared" si="94"/>
        <v/>
      </c>
      <c r="AX650" s="66" t="str">
        <f t="shared" si="95"/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 t="shared" si="96"/>
        <v/>
      </c>
      <c r="BB650" s="66" t="str">
        <f t="shared" si="97"/>
        <v/>
      </c>
      <c r="BC650" s="66">
        <f t="shared" si="98"/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69">
        <f t="shared" si="90"/>
        <v>0</v>
      </c>
      <c r="AT651" s="67" t="str">
        <f t="shared" si="91"/>
        <v/>
      </c>
      <c r="AU651" s="66" t="str">
        <f t="shared" si="92"/>
        <v/>
      </c>
      <c r="AV651" s="67" t="str">
        <f t="shared" si="93"/>
        <v/>
      </c>
      <c r="AW651" s="67" t="str">
        <f t="shared" si="94"/>
        <v/>
      </c>
      <c r="AX651" s="66" t="str">
        <f t="shared" si="95"/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 t="shared" si="96"/>
        <v/>
      </c>
      <c r="BB651" s="66" t="str">
        <f t="shared" si="97"/>
        <v/>
      </c>
      <c r="BC651" s="66">
        <f t="shared" si="98"/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69">
        <f t="shared" si="90"/>
        <v>0</v>
      </c>
      <c r="AT652" s="67" t="str">
        <f t="shared" si="91"/>
        <v/>
      </c>
      <c r="AU652" s="66" t="str">
        <f t="shared" si="92"/>
        <v/>
      </c>
      <c r="AV652" s="67" t="str">
        <f t="shared" si="93"/>
        <v/>
      </c>
      <c r="AW652" s="67" t="str">
        <f t="shared" si="94"/>
        <v/>
      </c>
      <c r="AX652" s="66" t="str">
        <f t="shared" si="95"/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 t="shared" si="96"/>
        <v/>
      </c>
      <c r="BB652" s="66" t="str">
        <f t="shared" si="97"/>
        <v/>
      </c>
      <c r="BC652" s="66">
        <f t="shared" si="98"/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69">
        <f t="shared" si="90"/>
        <v>0</v>
      </c>
      <c r="AT653" s="67" t="str">
        <f t="shared" si="91"/>
        <v/>
      </c>
      <c r="AU653" s="66" t="str">
        <f t="shared" si="92"/>
        <v/>
      </c>
      <c r="AV653" s="67" t="str">
        <f t="shared" si="93"/>
        <v/>
      </c>
      <c r="AW653" s="67" t="str">
        <f t="shared" si="94"/>
        <v/>
      </c>
      <c r="AX653" s="66" t="str">
        <f t="shared" si="95"/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 t="shared" si="96"/>
        <v/>
      </c>
      <c r="BB653" s="66" t="str">
        <f t="shared" si="97"/>
        <v/>
      </c>
      <c r="BC653" s="66">
        <f t="shared" si="98"/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69">
        <f t="shared" si="90"/>
        <v>0</v>
      </c>
      <c r="AT654" s="67" t="str">
        <f t="shared" si="91"/>
        <v/>
      </c>
      <c r="AU654" s="66" t="str">
        <f t="shared" si="92"/>
        <v/>
      </c>
      <c r="AV654" s="67" t="str">
        <f t="shared" si="93"/>
        <v/>
      </c>
      <c r="AW654" s="67" t="str">
        <f t="shared" si="94"/>
        <v/>
      </c>
      <c r="AX654" s="66" t="str">
        <f t="shared" si="95"/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 t="shared" si="96"/>
        <v/>
      </c>
      <c r="BB654" s="66" t="str">
        <f t="shared" si="97"/>
        <v/>
      </c>
      <c r="BC654" s="66">
        <f t="shared" si="98"/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69">
        <f t="shared" si="90"/>
        <v>0</v>
      </c>
      <c r="AT655" s="67" t="str">
        <f t="shared" si="91"/>
        <v/>
      </c>
      <c r="AU655" s="66" t="str">
        <f t="shared" si="92"/>
        <v/>
      </c>
      <c r="AV655" s="67" t="str">
        <f t="shared" si="93"/>
        <v/>
      </c>
      <c r="AW655" s="67" t="str">
        <f t="shared" si="94"/>
        <v/>
      </c>
      <c r="AX655" s="66" t="str">
        <f t="shared" si="95"/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 t="shared" si="96"/>
        <v/>
      </c>
      <c r="BB655" s="66" t="str">
        <f t="shared" si="97"/>
        <v/>
      </c>
      <c r="BC655" s="66">
        <f t="shared" si="98"/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69">
        <f t="shared" si="90"/>
        <v>0</v>
      </c>
      <c r="AT656" s="67" t="str">
        <f t="shared" si="91"/>
        <v/>
      </c>
      <c r="AU656" s="66" t="str">
        <f t="shared" si="92"/>
        <v/>
      </c>
      <c r="AV656" s="67" t="str">
        <f t="shared" si="93"/>
        <v/>
      </c>
      <c r="AW656" s="67" t="str">
        <f t="shared" si="94"/>
        <v/>
      </c>
      <c r="AX656" s="66" t="str">
        <f t="shared" si="95"/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 t="shared" si="96"/>
        <v/>
      </c>
      <c r="BB656" s="66" t="str">
        <f t="shared" si="97"/>
        <v/>
      </c>
      <c r="BC656" s="66">
        <f t="shared" si="98"/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69">
        <f t="shared" si="90"/>
        <v>0</v>
      </c>
      <c r="AT657" s="67" t="str">
        <f t="shared" si="91"/>
        <v/>
      </c>
      <c r="AU657" s="66" t="str">
        <f t="shared" si="92"/>
        <v/>
      </c>
      <c r="AV657" s="67" t="str">
        <f t="shared" si="93"/>
        <v/>
      </c>
      <c r="AW657" s="67" t="str">
        <f t="shared" si="94"/>
        <v/>
      </c>
      <c r="AX657" s="66" t="str">
        <f t="shared" si="95"/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 t="shared" si="96"/>
        <v/>
      </c>
      <c r="BB657" s="66" t="str">
        <f t="shared" si="97"/>
        <v/>
      </c>
      <c r="BC657" s="66">
        <f t="shared" si="98"/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69">
        <f t="shared" si="90"/>
        <v>0</v>
      </c>
      <c r="AT658" s="67" t="str">
        <f t="shared" si="91"/>
        <v/>
      </c>
      <c r="AU658" s="66" t="str">
        <f t="shared" si="92"/>
        <v/>
      </c>
      <c r="AV658" s="67" t="str">
        <f t="shared" si="93"/>
        <v/>
      </c>
      <c r="AW658" s="67" t="str">
        <f t="shared" si="94"/>
        <v/>
      </c>
      <c r="AX658" s="66" t="str">
        <f t="shared" si="95"/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 t="shared" si="96"/>
        <v/>
      </c>
      <c r="BB658" s="66" t="str">
        <f t="shared" si="97"/>
        <v/>
      </c>
      <c r="BC658" s="66">
        <f t="shared" si="98"/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69">
        <f t="shared" si="90"/>
        <v>0</v>
      </c>
      <c r="AT659" s="67" t="str">
        <f t="shared" si="91"/>
        <v/>
      </c>
      <c r="AU659" s="66" t="str">
        <f t="shared" si="92"/>
        <v/>
      </c>
      <c r="AV659" s="67" t="str">
        <f t="shared" si="93"/>
        <v/>
      </c>
      <c r="AW659" s="67" t="str">
        <f t="shared" si="94"/>
        <v/>
      </c>
      <c r="AX659" s="66" t="str">
        <f t="shared" si="95"/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 t="shared" si="96"/>
        <v/>
      </c>
      <c r="BB659" s="66" t="str">
        <f t="shared" si="97"/>
        <v/>
      </c>
      <c r="BC659" s="66">
        <f t="shared" si="98"/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69">
        <f t="shared" si="90"/>
        <v>0</v>
      </c>
      <c r="AT660" s="67" t="str">
        <f t="shared" si="91"/>
        <v/>
      </c>
      <c r="AU660" s="66" t="str">
        <f t="shared" si="92"/>
        <v/>
      </c>
      <c r="AV660" s="67" t="str">
        <f t="shared" si="93"/>
        <v/>
      </c>
      <c r="AW660" s="67" t="str">
        <f t="shared" si="94"/>
        <v/>
      </c>
      <c r="AX660" s="66" t="str">
        <f t="shared" si="95"/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 t="shared" si="96"/>
        <v/>
      </c>
      <c r="BB660" s="66" t="str">
        <f t="shared" si="97"/>
        <v/>
      </c>
      <c r="BC660" s="66">
        <f t="shared" si="98"/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69">
        <f t="shared" si="90"/>
        <v>0</v>
      </c>
      <c r="AT661" s="67" t="str">
        <f t="shared" si="91"/>
        <v/>
      </c>
      <c r="AU661" s="66" t="str">
        <f t="shared" si="92"/>
        <v/>
      </c>
      <c r="AV661" s="67" t="str">
        <f t="shared" si="93"/>
        <v/>
      </c>
      <c r="AW661" s="67" t="str">
        <f t="shared" si="94"/>
        <v/>
      </c>
      <c r="AX661" s="66" t="str">
        <f t="shared" si="95"/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 t="shared" si="96"/>
        <v/>
      </c>
      <c r="BB661" s="66" t="str">
        <f t="shared" si="97"/>
        <v/>
      </c>
      <c r="BC661" s="66">
        <f t="shared" si="98"/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69">
        <f t="shared" si="90"/>
        <v>0</v>
      </c>
      <c r="AT662" s="67" t="str">
        <f t="shared" si="91"/>
        <v/>
      </c>
      <c r="AU662" s="66" t="str">
        <f t="shared" si="92"/>
        <v/>
      </c>
      <c r="AV662" s="67" t="str">
        <f t="shared" si="93"/>
        <v/>
      </c>
      <c r="AW662" s="67" t="str">
        <f t="shared" si="94"/>
        <v/>
      </c>
      <c r="AX662" s="66" t="str">
        <f t="shared" si="95"/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 t="shared" si="96"/>
        <v/>
      </c>
      <c r="BB662" s="66" t="str">
        <f t="shared" si="97"/>
        <v/>
      </c>
      <c r="BC662" s="66">
        <f t="shared" si="98"/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69">
        <f t="shared" si="90"/>
        <v>0</v>
      </c>
      <c r="AT663" s="67" t="str">
        <f t="shared" si="91"/>
        <v/>
      </c>
      <c r="AU663" s="66" t="str">
        <f t="shared" si="92"/>
        <v/>
      </c>
      <c r="AV663" s="67" t="str">
        <f t="shared" si="93"/>
        <v/>
      </c>
      <c r="AW663" s="67" t="str">
        <f t="shared" si="94"/>
        <v/>
      </c>
      <c r="AX663" s="66" t="str">
        <f t="shared" si="95"/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 t="shared" si="96"/>
        <v/>
      </c>
      <c r="BB663" s="66" t="str">
        <f t="shared" si="97"/>
        <v/>
      </c>
      <c r="BC663" s="66">
        <f t="shared" si="98"/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69">
        <f t="shared" si="90"/>
        <v>0</v>
      </c>
      <c r="AT664" s="67" t="str">
        <f t="shared" si="91"/>
        <v/>
      </c>
      <c r="AU664" s="66" t="str">
        <f t="shared" si="92"/>
        <v/>
      </c>
      <c r="AV664" s="67" t="str">
        <f t="shared" si="93"/>
        <v/>
      </c>
      <c r="AW664" s="67" t="str">
        <f t="shared" si="94"/>
        <v/>
      </c>
      <c r="AX664" s="66" t="str">
        <f t="shared" si="95"/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 t="shared" si="96"/>
        <v/>
      </c>
      <c r="BB664" s="66" t="str">
        <f t="shared" si="97"/>
        <v/>
      </c>
      <c r="BC664" s="66">
        <f t="shared" si="98"/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69">
        <f t="shared" si="90"/>
        <v>0</v>
      </c>
      <c r="AT665" s="67" t="str">
        <f t="shared" si="91"/>
        <v/>
      </c>
      <c r="AU665" s="66" t="str">
        <f t="shared" si="92"/>
        <v/>
      </c>
      <c r="AV665" s="67" t="str">
        <f t="shared" si="93"/>
        <v/>
      </c>
      <c r="AW665" s="67" t="str">
        <f t="shared" si="94"/>
        <v/>
      </c>
      <c r="AX665" s="66" t="str">
        <f t="shared" si="95"/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 t="shared" si="96"/>
        <v/>
      </c>
      <c r="BB665" s="66" t="str">
        <f t="shared" si="97"/>
        <v/>
      </c>
      <c r="BC665" s="66">
        <f t="shared" si="98"/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69">
        <f t="shared" si="90"/>
        <v>0</v>
      </c>
      <c r="AT666" s="67" t="str">
        <f t="shared" si="91"/>
        <v/>
      </c>
      <c r="AU666" s="66" t="str">
        <f t="shared" si="92"/>
        <v/>
      </c>
      <c r="AV666" s="67" t="str">
        <f t="shared" si="93"/>
        <v/>
      </c>
      <c r="AW666" s="67" t="str">
        <f t="shared" si="94"/>
        <v/>
      </c>
      <c r="AX666" s="66" t="str">
        <f t="shared" si="95"/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 t="shared" si="96"/>
        <v/>
      </c>
      <c r="BB666" s="66" t="str">
        <f t="shared" si="97"/>
        <v/>
      </c>
      <c r="BC666" s="66">
        <f t="shared" si="98"/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69">
        <f t="shared" si="90"/>
        <v>0</v>
      </c>
      <c r="AT667" s="67" t="str">
        <f t="shared" si="91"/>
        <v/>
      </c>
      <c r="AU667" s="66" t="str">
        <f t="shared" si="92"/>
        <v/>
      </c>
      <c r="AV667" s="67" t="str">
        <f t="shared" si="93"/>
        <v/>
      </c>
      <c r="AW667" s="67" t="str">
        <f t="shared" si="94"/>
        <v/>
      </c>
      <c r="AX667" s="66" t="str">
        <f t="shared" si="95"/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 t="shared" si="96"/>
        <v/>
      </c>
      <c r="BB667" s="66" t="str">
        <f t="shared" si="97"/>
        <v/>
      </c>
      <c r="BC667" s="66">
        <f t="shared" si="98"/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69">
        <f t="shared" si="90"/>
        <v>0</v>
      </c>
      <c r="AT668" s="67" t="str">
        <f t="shared" si="91"/>
        <v/>
      </c>
      <c r="AU668" s="66" t="str">
        <f t="shared" si="92"/>
        <v/>
      </c>
      <c r="AV668" s="67" t="str">
        <f t="shared" si="93"/>
        <v/>
      </c>
      <c r="AW668" s="67" t="str">
        <f t="shared" si="94"/>
        <v/>
      </c>
      <c r="AX668" s="66" t="str">
        <f t="shared" si="95"/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 t="shared" si="96"/>
        <v/>
      </c>
      <c r="BB668" s="66" t="str">
        <f t="shared" si="97"/>
        <v/>
      </c>
      <c r="BC668" s="66">
        <f t="shared" si="98"/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69">
        <f t="shared" si="90"/>
        <v>0</v>
      </c>
      <c r="AT669" s="67" t="str">
        <f t="shared" si="91"/>
        <v/>
      </c>
      <c r="AU669" s="66" t="str">
        <f t="shared" si="92"/>
        <v/>
      </c>
      <c r="AV669" s="67" t="str">
        <f t="shared" si="93"/>
        <v/>
      </c>
      <c r="AW669" s="67" t="str">
        <f t="shared" si="94"/>
        <v/>
      </c>
      <c r="AX669" s="66" t="str">
        <f t="shared" si="95"/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 t="shared" si="96"/>
        <v/>
      </c>
      <c r="BB669" s="66" t="str">
        <f t="shared" si="97"/>
        <v/>
      </c>
      <c r="BC669" s="66">
        <f t="shared" si="98"/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69">
        <f t="shared" si="90"/>
        <v>0</v>
      </c>
      <c r="AT670" s="67" t="str">
        <f t="shared" si="91"/>
        <v/>
      </c>
      <c r="AU670" s="66" t="str">
        <f t="shared" si="92"/>
        <v/>
      </c>
      <c r="AV670" s="67" t="str">
        <f t="shared" si="93"/>
        <v/>
      </c>
      <c r="AW670" s="67" t="str">
        <f t="shared" si="94"/>
        <v/>
      </c>
      <c r="AX670" s="66" t="str">
        <f t="shared" si="95"/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 t="shared" si="96"/>
        <v/>
      </c>
      <c r="BB670" s="66" t="str">
        <f t="shared" si="97"/>
        <v/>
      </c>
      <c r="BC670" s="66">
        <f t="shared" si="98"/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69">
        <f t="shared" si="90"/>
        <v>0</v>
      </c>
      <c r="AT671" s="67" t="str">
        <f t="shared" si="91"/>
        <v/>
      </c>
      <c r="AU671" s="66" t="str">
        <f t="shared" si="92"/>
        <v/>
      </c>
      <c r="AV671" s="67" t="str">
        <f t="shared" si="93"/>
        <v/>
      </c>
      <c r="AW671" s="67" t="str">
        <f t="shared" si="94"/>
        <v/>
      </c>
      <c r="AX671" s="66" t="str">
        <f t="shared" si="95"/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 t="shared" si="96"/>
        <v/>
      </c>
      <c r="BB671" s="66" t="str">
        <f t="shared" si="97"/>
        <v/>
      </c>
      <c r="BC671" s="66">
        <f t="shared" si="98"/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69">
        <f t="shared" si="90"/>
        <v>0</v>
      </c>
      <c r="AT672" s="67" t="str">
        <f t="shared" si="91"/>
        <v/>
      </c>
      <c r="AU672" s="66" t="str">
        <f t="shared" si="92"/>
        <v/>
      </c>
      <c r="AV672" s="67" t="str">
        <f t="shared" si="93"/>
        <v/>
      </c>
      <c r="AW672" s="67" t="str">
        <f t="shared" si="94"/>
        <v/>
      </c>
      <c r="AX672" s="66" t="str">
        <f t="shared" si="95"/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 t="shared" si="96"/>
        <v/>
      </c>
      <c r="BB672" s="66" t="str">
        <f t="shared" si="97"/>
        <v/>
      </c>
      <c r="BC672" s="66">
        <f t="shared" si="98"/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69">
        <f t="shared" si="90"/>
        <v>0</v>
      </c>
      <c r="AT673" s="67" t="str">
        <f t="shared" si="91"/>
        <v/>
      </c>
      <c r="AU673" s="66" t="str">
        <f t="shared" si="92"/>
        <v/>
      </c>
      <c r="AV673" s="67" t="str">
        <f t="shared" si="93"/>
        <v/>
      </c>
      <c r="AW673" s="67" t="str">
        <f t="shared" si="94"/>
        <v/>
      </c>
      <c r="AX673" s="66" t="str">
        <f t="shared" si="95"/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 t="shared" si="96"/>
        <v/>
      </c>
      <c r="BB673" s="66" t="str">
        <f t="shared" si="97"/>
        <v/>
      </c>
      <c r="BC673" s="66">
        <f t="shared" si="98"/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69">
        <f t="shared" si="90"/>
        <v>0</v>
      </c>
      <c r="AT674" s="67" t="str">
        <f t="shared" si="91"/>
        <v/>
      </c>
      <c r="AU674" s="66" t="str">
        <f t="shared" si="92"/>
        <v/>
      </c>
      <c r="AV674" s="67" t="str">
        <f t="shared" si="93"/>
        <v/>
      </c>
      <c r="AW674" s="67" t="str">
        <f t="shared" si="94"/>
        <v/>
      </c>
      <c r="AX674" s="66" t="str">
        <f t="shared" si="95"/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 t="shared" si="96"/>
        <v/>
      </c>
      <c r="BB674" s="66" t="str">
        <f t="shared" si="97"/>
        <v/>
      </c>
      <c r="BC674" s="66">
        <f t="shared" si="98"/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69">
        <f t="shared" si="90"/>
        <v>0</v>
      </c>
      <c r="AT675" s="67" t="str">
        <f t="shared" si="91"/>
        <v/>
      </c>
      <c r="AU675" s="66" t="str">
        <f t="shared" si="92"/>
        <v/>
      </c>
      <c r="AV675" s="67" t="str">
        <f t="shared" si="93"/>
        <v/>
      </c>
      <c r="AW675" s="67" t="str">
        <f t="shared" si="94"/>
        <v/>
      </c>
      <c r="AX675" s="66" t="str">
        <f t="shared" si="95"/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 t="shared" si="96"/>
        <v/>
      </c>
      <c r="BB675" s="66" t="str">
        <f t="shared" si="97"/>
        <v/>
      </c>
      <c r="BC675" s="66">
        <f t="shared" si="98"/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69">
        <f t="shared" si="90"/>
        <v>0</v>
      </c>
      <c r="AT676" s="67" t="str">
        <f t="shared" si="91"/>
        <v/>
      </c>
      <c r="AU676" s="66" t="str">
        <f t="shared" si="92"/>
        <v/>
      </c>
      <c r="AV676" s="67" t="str">
        <f t="shared" si="93"/>
        <v/>
      </c>
      <c r="AW676" s="67" t="str">
        <f t="shared" si="94"/>
        <v/>
      </c>
      <c r="AX676" s="66" t="str">
        <f t="shared" si="95"/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 t="shared" si="96"/>
        <v/>
      </c>
      <c r="BB676" s="66" t="str">
        <f t="shared" si="97"/>
        <v/>
      </c>
      <c r="BC676" s="66">
        <f t="shared" si="98"/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69">
        <f t="shared" si="90"/>
        <v>0</v>
      </c>
      <c r="AT677" s="67" t="str">
        <f t="shared" si="91"/>
        <v/>
      </c>
      <c r="AU677" s="66" t="str">
        <f t="shared" si="92"/>
        <v/>
      </c>
      <c r="AV677" s="67" t="str">
        <f t="shared" si="93"/>
        <v/>
      </c>
      <c r="AW677" s="67" t="str">
        <f t="shared" si="94"/>
        <v/>
      </c>
      <c r="AX677" s="66" t="str">
        <f t="shared" si="95"/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 t="shared" si="96"/>
        <v/>
      </c>
      <c r="BB677" s="66" t="str">
        <f t="shared" si="97"/>
        <v/>
      </c>
      <c r="BC677" s="66">
        <f t="shared" si="98"/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69">
        <f t="shared" si="90"/>
        <v>0</v>
      </c>
      <c r="AT678" s="67" t="str">
        <f t="shared" si="91"/>
        <v/>
      </c>
      <c r="AU678" s="66" t="str">
        <f t="shared" si="92"/>
        <v/>
      </c>
      <c r="AV678" s="67" t="str">
        <f t="shared" si="93"/>
        <v/>
      </c>
      <c r="AW678" s="67" t="str">
        <f t="shared" si="94"/>
        <v/>
      </c>
      <c r="AX678" s="66" t="str">
        <f t="shared" si="95"/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 t="shared" si="96"/>
        <v/>
      </c>
      <c r="BB678" s="66" t="str">
        <f t="shared" si="97"/>
        <v/>
      </c>
      <c r="BC678" s="66">
        <f t="shared" si="98"/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69">
        <f t="shared" si="90"/>
        <v>0</v>
      </c>
      <c r="AT679" s="67" t="str">
        <f t="shared" si="91"/>
        <v/>
      </c>
      <c r="AU679" s="66" t="str">
        <f t="shared" si="92"/>
        <v/>
      </c>
      <c r="AV679" s="67" t="str">
        <f t="shared" si="93"/>
        <v/>
      </c>
      <c r="AW679" s="67" t="str">
        <f t="shared" si="94"/>
        <v/>
      </c>
      <c r="AX679" s="66" t="str">
        <f t="shared" si="95"/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 t="shared" si="96"/>
        <v/>
      </c>
      <c r="BB679" s="66" t="str">
        <f t="shared" si="97"/>
        <v/>
      </c>
      <c r="BC679" s="66">
        <f t="shared" si="98"/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69">
        <f t="shared" si="90"/>
        <v>0</v>
      </c>
      <c r="AT680" s="67" t="str">
        <f t="shared" si="91"/>
        <v/>
      </c>
      <c r="AU680" s="66" t="str">
        <f t="shared" si="92"/>
        <v/>
      </c>
      <c r="AV680" s="67" t="str">
        <f t="shared" si="93"/>
        <v/>
      </c>
      <c r="AW680" s="67" t="str">
        <f t="shared" si="94"/>
        <v/>
      </c>
      <c r="AX680" s="66" t="str">
        <f t="shared" si="95"/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 t="shared" si="96"/>
        <v/>
      </c>
      <c r="BB680" s="66" t="str">
        <f t="shared" si="97"/>
        <v/>
      </c>
      <c r="BC680" s="66">
        <f t="shared" si="98"/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69">
        <f t="shared" si="90"/>
        <v>0</v>
      </c>
      <c r="AT681" s="67" t="str">
        <f t="shared" si="91"/>
        <v/>
      </c>
      <c r="AU681" s="66" t="str">
        <f t="shared" si="92"/>
        <v/>
      </c>
      <c r="AV681" s="67" t="str">
        <f t="shared" si="93"/>
        <v/>
      </c>
      <c r="AW681" s="67" t="str">
        <f t="shared" si="94"/>
        <v/>
      </c>
      <c r="AX681" s="66" t="str">
        <f t="shared" si="95"/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 t="shared" si="96"/>
        <v/>
      </c>
      <c r="BB681" s="66" t="str">
        <f t="shared" si="97"/>
        <v/>
      </c>
      <c r="BC681" s="66">
        <f t="shared" si="98"/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69">
        <f t="shared" si="90"/>
        <v>0</v>
      </c>
      <c r="AT682" s="67" t="str">
        <f t="shared" si="91"/>
        <v/>
      </c>
      <c r="AU682" s="66" t="str">
        <f t="shared" si="92"/>
        <v/>
      </c>
      <c r="AV682" s="67" t="str">
        <f t="shared" si="93"/>
        <v/>
      </c>
      <c r="AW682" s="67" t="str">
        <f t="shared" si="94"/>
        <v/>
      </c>
      <c r="AX682" s="66" t="str">
        <f t="shared" si="95"/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 t="shared" si="96"/>
        <v/>
      </c>
      <c r="BB682" s="66" t="str">
        <f t="shared" si="97"/>
        <v/>
      </c>
      <c r="BC682" s="66">
        <f t="shared" si="98"/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69">
        <f t="shared" si="90"/>
        <v>0</v>
      </c>
      <c r="AT683" s="67" t="str">
        <f t="shared" si="91"/>
        <v/>
      </c>
      <c r="AU683" s="66" t="str">
        <f t="shared" si="92"/>
        <v/>
      </c>
      <c r="AV683" s="67" t="str">
        <f t="shared" si="93"/>
        <v/>
      </c>
      <c r="AW683" s="67" t="str">
        <f t="shared" si="94"/>
        <v/>
      </c>
      <c r="AX683" s="66" t="str">
        <f t="shared" si="95"/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 t="shared" si="96"/>
        <v/>
      </c>
      <c r="BB683" s="66" t="str">
        <f t="shared" si="97"/>
        <v/>
      </c>
      <c r="BC683" s="66">
        <f t="shared" si="98"/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69">
        <f t="shared" si="90"/>
        <v>0</v>
      </c>
      <c r="AT684" s="67" t="str">
        <f t="shared" si="91"/>
        <v/>
      </c>
      <c r="AU684" s="66" t="str">
        <f t="shared" si="92"/>
        <v/>
      </c>
      <c r="AV684" s="67" t="str">
        <f t="shared" si="93"/>
        <v/>
      </c>
      <c r="AW684" s="67" t="str">
        <f t="shared" si="94"/>
        <v/>
      </c>
      <c r="AX684" s="66" t="str">
        <f t="shared" si="95"/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 t="shared" si="96"/>
        <v/>
      </c>
      <c r="BB684" s="66" t="str">
        <f t="shared" si="97"/>
        <v/>
      </c>
      <c r="BC684" s="66">
        <f t="shared" si="98"/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69">
        <f t="shared" si="90"/>
        <v>0</v>
      </c>
      <c r="AT685" s="67" t="str">
        <f t="shared" si="91"/>
        <v/>
      </c>
      <c r="AU685" s="66" t="str">
        <f t="shared" si="92"/>
        <v/>
      </c>
      <c r="AV685" s="67" t="str">
        <f t="shared" si="93"/>
        <v/>
      </c>
      <c r="AW685" s="67" t="str">
        <f t="shared" si="94"/>
        <v/>
      </c>
      <c r="AX685" s="66" t="str">
        <f t="shared" si="95"/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 t="shared" si="96"/>
        <v/>
      </c>
      <c r="BB685" s="66" t="str">
        <f t="shared" si="97"/>
        <v/>
      </c>
      <c r="BC685" s="66">
        <f t="shared" si="98"/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69">
        <f t="shared" si="90"/>
        <v>0</v>
      </c>
      <c r="AT686" s="67" t="str">
        <f t="shared" si="91"/>
        <v/>
      </c>
      <c r="AU686" s="66" t="str">
        <f t="shared" si="92"/>
        <v/>
      </c>
      <c r="AV686" s="67" t="str">
        <f t="shared" si="93"/>
        <v/>
      </c>
      <c r="AW686" s="67" t="str">
        <f t="shared" si="94"/>
        <v/>
      </c>
      <c r="AX686" s="66" t="str">
        <f t="shared" si="95"/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 t="shared" si="96"/>
        <v/>
      </c>
      <c r="BB686" s="66" t="str">
        <f t="shared" si="97"/>
        <v/>
      </c>
      <c r="BC686" s="66">
        <f t="shared" si="98"/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69">
        <f t="shared" si="90"/>
        <v>0</v>
      </c>
      <c r="AT687" s="67" t="str">
        <f t="shared" si="91"/>
        <v/>
      </c>
      <c r="AU687" s="66" t="str">
        <f t="shared" si="92"/>
        <v/>
      </c>
      <c r="AV687" s="67" t="str">
        <f t="shared" si="93"/>
        <v/>
      </c>
      <c r="AW687" s="67" t="str">
        <f t="shared" si="94"/>
        <v/>
      </c>
      <c r="AX687" s="66" t="str">
        <f t="shared" si="95"/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 t="shared" si="96"/>
        <v/>
      </c>
      <c r="BB687" s="66" t="str">
        <f t="shared" si="97"/>
        <v/>
      </c>
      <c r="BC687" s="66">
        <f t="shared" si="98"/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69">
        <f t="shared" si="90"/>
        <v>0</v>
      </c>
      <c r="AT688" s="67" t="str">
        <f t="shared" si="91"/>
        <v/>
      </c>
      <c r="AU688" s="66" t="str">
        <f t="shared" si="92"/>
        <v/>
      </c>
      <c r="AV688" s="67" t="str">
        <f t="shared" si="93"/>
        <v/>
      </c>
      <c r="AW688" s="67" t="str">
        <f t="shared" si="94"/>
        <v/>
      </c>
      <c r="AX688" s="66" t="str">
        <f t="shared" si="95"/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 t="shared" si="96"/>
        <v/>
      </c>
      <c r="BB688" s="66" t="str">
        <f t="shared" si="97"/>
        <v/>
      </c>
      <c r="BC688" s="66">
        <f t="shared" si="98"/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69">
        <f t="shared" si="90"/>
        <v>0</v>
      </c>
      <c r="AT689" s="67" t="str">
        <f t="shared" si="91"/>
        <v/>
      </c>
      <c r="AU689" s="66" t="str">
        <f t="shared" si="92"/>
        <v/>
      </c>
      <c r="AV689" s="67" t="str">
        <f t="shared" si="93"/>
        <v/>
      </c>
      <c r="AW689" s="67" t="str">
        <f t="shared" si="94"/>
        <v/>
      </c>
      <c r="AX689" s="66" t="str">
        <f t="shared" si="95"/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 t="shared" si="96"/>
        <v/>
      </c>
      <c r="BB689" s="66" t="str">
        <f t="shared" si="97"/>
        <v/>
      </c>
      <c r="BC689" s="66">
        <f t="shared" si="98"/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69">
        <f t="shared" si="90"/>
        <v>0</v>
      </c>
      <c r="AT690" s="67" t="str">
        <f t="shared" si="91"/>
        <v/>
      </c>
      <c r="AU690" s="66" t="str">
        <f t="shared" si="92"/>
        <v/>
      </c>
      <c r="AV690" s="67" t="str">
        <f t="shared" si="93"/>
        <v/>
      </c>
      <c r="AW690" s="67" t="str">
        <f t="shared" si="94"/>
        <v/>
      </c>
      <c r="AX690" s="66" t="str">
        <f t="shared" si="95"/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 t="shared" si="96"/>
        <v/>
      </c>
      <c r="BB690" s="66" t="str">
        <f t="shared" si="97"/>
        <v/>
      </c>
      <c r="BC690" s="66">
        <f t="shared" si="98"/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69">
        <f t="shared" si="90"/>
        <v>0</v>
      </c>
      <c r="AT691" s="67" t="str">
        <f t="shared" si="91"/>
        <v/>
      </c>
      <c r="AU691" s="66" t="str">
        <f t="shared" si="92"/>
        <v/>
      </c>
      <c r="AV691" s="67" t="str">
        <f t="shared" si="93"/>
        <v/>
      </c>
      <c r="AW691" s="67" t="str">
        <f t="shared" si="94"/>
        <v/>
      </c>
      <c r="AX691" s="66" t="str">
        <f t="shared" si="95"/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 t="shared" si="96"/>
        <v/>
      </c>
      <c r="BB691" s="66" t="str">
        <f t="shared" si="97"/>
        <v/>
      </c>
      <c r="BC691" s="66">
        <f t="shared" si="98"/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69">
        <f t="shared" si="90"/>
        <v>0</v>
      </c>
      <c r="AT692" s="67" t="str">
        <f t="shared" si="91"/>
        <v/>
      </c>
      <c r="AU692" s="66" t="str">
        <f t="shared" si="92"/>
        <v/>
      </c>
      <c r="AV692" s="67" t="str">
        <f t="shared" si="93"/>
        <v/>
      </c>
      <c r="AW692" s="67" t="str">
        <f t="shared" si="94"/>
        <v/>
      </c>
      <c r="AX692" s="66" t="str">
        <f t="shared" si="95"/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 t="shared" si="96"/>
        <v/>
      </c>
      <c r="BB692" s="66" t="str">
        <f t="shared" si="97"/>
        <v/>
      </c>
      <c r="BC692" s="66">
        <f t="shared" si="98"/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69">
        <f t="shared" si="90"/>
        <v>0</v>
      </c>
      <c r="AT693" s="67" t="str">
        <f t="shared" si="91"/>
        <v/>
      </c>
      <c r="AU693" s="66" t="str">
        <f t="shared" si="92"/>
        <v/>
      </c>
      <c r="AV693" s="67" t="str">
        <f t="shared" si="93"/>
        <v/>
      </c>
      <c r="AW693" s="67" t="str">
        <f t="shared" si="94"/>
        <v/>
      </c>
      <c r="AX693" s="66" t="str">
        <f t="shared" si="95"/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 t="shared" si="96"/>
        <v/>
      </c>
      <c r="BB693" s="66" t="str">
        <f t="shared" si="97"/>
        <v/>
      </c>
      <c r="BC693" s="66">
        <f t="shared" si="98"/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69">
        <f t="shared" si="90"/>
        <v>0</v>
      </c>
      <c r="AT694" s="67" t="str">
        <f t="shared" si="91"/>
        <v/>
      </c>
      <c r="AU694" s="66" t="str">
        <f t="shared" si="92"/>
        <v/>
      </c>
      <c r="AV694" s="67" t="str">
        <f t="shared" si="93"/>
        <v/>
      </c>
      <c r="AW694" s="67" t="str">
        <f t="shared" si="94"/>
        <v/>
      </c>
      <c r="AX694" s="66" t="str">
        <f t="shared" si="95"/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 t="shared" si="96"/>
        <v/>
      </c>
      <c r="BB694" s="66" t="str">
        <f t="shared" si="97"/>
        <v/>
      </c>
      <c r="BC694" s="66">
        <f t="shared" si="98"/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69">
        <f t="shared" si="90"/>
        <v>0</v>
      </c>
      <c r="AT695" s="67" t="str">
        <f t="shared" si="91"/>
        <v/>
      </c>
      <c r="AU695" s="66" t="str">
        <f t="shared" si="92"/>
        <v/>
      </c>
      <c r="AV695" s="67" t="str">
        <f t="shared" si="93"/>
        <v/>
      </c>
      <c r="AW695" s="67" t="str">
        <f t="shared" si="94"/>
        <v/>
      </c>
      <c r="AX695" s="66" t="str">
        <f t="shared" si="95"/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 t="shared" si="96"/>
        <v/>
      </c>
      <c r="BB695" s="66" t="str">
        <f t="shared" si="97"/>
        <v/>
      </c>
      <c r="BC695" s="66">
        <f t="shared" si="98"/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69">
        <f t="shared" si="90"/>
        <v>0</v>
      </c>
      <c r="AT696" s="67" t="str">
        <f t="shared" si="91"/>
        <v/>
      </c>
      <c r="AU696" s="66" t="str">
        <f t="shared" si="92"/>
        <v/>
      </c>
      <c r="AV696" s="67" t="str">
        <f t="shared" si="93"/>
        <v/>
      </c>
      <c r="AW696" s="67" t="str">
        <f t="shared" si="94"/>
        <v/>
      </c>
      <c r="AX696" s="66" t="str">
        <f t="shared" si="95"/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 t="shared" si="96"/>
        <v/>
      </c>
      <c r="BB696" s="66" t="str">
        <f t="shared" si="97"/>
        <v/>
      </c>
      <c r="BC696" s="66">
        <f t="shared" si="98"/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69">
        <f t="shared" si="90"/>
        <v>0</v>
      </c>
      <c r="AT697" s="67" t="str">
        <f t="shared" si="91"/>
        <v/>
      </c>
      <c r="AU697" s="66" t="str">
        <f t="shared" si="92"/>
        <v/>
      </c>
      <c r="AV697" s="67" t="str">
        <f t="shared" si="93"/>
        <v/>
      </c>
      <c r="AW697" s="67" t="str">
        <f t="shared" si="94"/>
        <v/>
      </c>
      <c r="AX697" s="66" t="str">
        <f t="shared" si="95"/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 t="shared" si="96"/>
        <v/>
      </c>
      <c r="BB697" s="66" t="str">
        <f t="shared" si="97"/>
        <v/>
      </c>
      <c r="BC697" s="66">
        <f t="shared" si="98"/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69">
        <f t="shared" si="90"/>
        <v>0</v>
      </c>
      <c r="AT698" s="67" t="str">
        <f t="shared" si="91"/>
        <v/>
      </c>
      <c r="AU698" s="66" t="str">
        <f t="shared" si="92"/>
        <v/>
      </c>
      <c r="AV698" s="67" t="str">
        <f t="shared" si="93"/>
        <v/>
      </c>
      <c r="AW698" s="67" t="str">
        <f t="shared" si="94"/>
        <v/>
      </c>
      <c r="AX698" s="66" t="str">
        <f t="shared" si="95"/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 t="shared" si="96"/>
        <v/>
      </c>
      <c r="BB698" s="66" t="str">
        <f t="shared" si="97"/>
        <v/>
      </c>
      <c r="BC698" s="66">
        <f t="shared" si="98"/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69">
        <f t="shared" si="90"/>
        <v>0</v>
      </c>
      <c r="AT699" s="67" t="str">
        <f t="shared" si="91"/>
        <v/>
      </c>
      <c r="AU699" s="66" t="str">
        <f t="shared" si="92"/>
        <v/>
      </c>
      <c r="AV699" s="67" t="str">
        <f t="shared" si="93"/>
        <v/>
      </c>
      <c r="AW699" s="67" t="str">
        <f t="shared" si="94"/>
        <v/>
      </c>
      <c r="AX699" s="66" t="str">
        <f t="shared" si="95"/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 t="shared" si="96"/>
        <v/>
      </c>
      <c r="BB699" s="66" t="str">
        <f t="shared" si="97"/>
        <v/>
      </c>
      <c r="BC699" s="66">
        <f t="shared" si="98"/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69">
        <f t="shared" si="90"/>
        <v>0</v>
      </c>
      <c r="AT700" s="67" t="str">
        <f t="shared" si="91"/>
        <v/>
      </c>
      <c r="AU700" s="66" t="str">
        <f t="shared" si="92"/>
        <v/>
      </c>
      <c r="AV700" s="67" t="str">
        <f t="shared" si="93"/>
        <v/>
      </c>
      <c r="AW700" s="67" t="str">
        <f t="shared" si="94"/>
        <v/>
      </c>
      <c r="AX700" s="66" t="str">
        <f t="shared" si="95"/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 t="shared" si="96"/>
        <v/>
      </c>
      <c r="BB700" s="66" t="str">
        <f t="shared" si="97"/>
        <v/>
      </c>
      <c r="BC700" s="66">
        <f t="shared" si="98"/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69">
        <f t="shared" si="90"/>
        <v>0</v>
      </c>
      <c r="AT701" s="67" t="str">
        <f t="shared" si="91"/>
        <v/>
      </c>
      <c r="AU701" s="66" t="str">
        <f t="shared" si="92"/>
        <v/>
      </c>
      <c r="AV701" s="67" t="str">
        <f t="shared" si="93"/>
        <v/>
      </c>
      <c r="AW701" s="67" t="str">
        <f t="shared" si="94"/>
        <v/>
      </c>
      <c r="AX701" s="66" t="str">
        <f t="shared" si="95"/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 t="shared" si="96"/>
        <v/>
      </c>
      <c r="BB701" s="66" t="str">
        <f t="shared" si="97"/>
        <v/>
      </c>
      <c r="BC701" s="66">
        <f t="shared" si="98"/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69">
        <f t="shared" si="90"/>
        <v>0</v>
      </c>
      <c r="AT702" s="67" t="str">
        <f t="shared" si="91"/>
        <v/>
      </c>
      <c r="AU702" s="66" t="str">
        <f t="shared" si="92"/>
        <v/>
      </c>
      <c r="AV702" s="67" t="str">
        <f t="shared" si="93"/>
        <v/>
      </c>
      <c r="AW702" s="67" t="str">
        <f t="shared" si="94"/>
        <v/>
      </c>
      <c r="AX702" s="66" t="str">
        <f t="shared" si="95"/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 t="shared" si="96"/>
        <v/>
      </c>
      <c r="BB702" s="66" t="str">
        <f t="shared" si="97"/>
        <v/>
      </c>
      <c r="BC702" s="66">
        <f t="shared" si="98"/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69">
        <f t="shared" si="90"/>
        <v>0</v>
      </c>
      <c r="AT703" s="67" t="str">
        <f t="shared" si="91"/>
        <v/>
      </c>
      <c r="AU703" s="66" t="str">
        <f t="shared" si="92"/>
        <v/>
      </c>
      <c r="AV703" s="67" t="str">
        <f t="shared" si="93"/>
        <v/>
      </c>
      <c r="AW703" s="67" t="str">
        <f t="shared" si="94"/>
        <v/>
      </c>
      <c r="AX703" s="66" t="str">
        <f t="shared" si="95"/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 t="shared" si="96"/>
        <v/>
      </c>
      <c r="BB703" s="66" t="str">
        <f t="shared" si="97"/>
        <v/>
      </c>
      <c r="BC703" s="66">
        <f t="shared" si="98"/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69">
        <f t="shared" si="90"/>
        <v>0</v>
      </c>
      <c r="AT704" s="67" t="str">
        <f t="shared" si="91"/>
        <v/>
      </c>
      <c r="AU704" s="66" t="str">
        <f t="shared" si="92"/>
        <v/>
      </c>
      <c r="AV704" s="67" t="str">
        <f t="shared" si="93"/>
        <v/>
      </c>
      <c r="AW704" s="67" t="str">
        <f t="shared" si="94"/>
        <v/>
      </c>
      <c r="AX704" s="66" t="str">
        <f t="shared" si="95"/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 t="shared" si="96"/>
        <v/>
      </c>
      <c r="BB704" s="66" t="str">
        <f t="shared" si="97"/>
        <v/>
      </c>
      <c r="BC704" s="66">
        <f t="shared" si="98"/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69">
        <f t="shared" si="90"/>
        <v>0</v>
      </c>
      <c r="AT705" s="67" t="str">
        <f t="shared" si="91"/>
        <v/>
      </c>
      <c r="AU705" s="66" t="str">
        <f t="shared" si="92"/>
        <v/>
      </c>
      <c r="AV705" s="67" t="str">
        <f t="shared" si="93"/>
        <v/>
      </c>
      <c r="AW705" s="67" t="str">
        <f t="shared" si="94"/>
        <v/>
      </c>
      <c r="AX705" s="66" t="str">
        <f t="shared" si="95"/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 t="shared" si="96"/>
        <v/>
      </c>
      <c r="BB705" s="66" t="str">
        <f t="shared" si="97"/>
        <v/>
      </c>
      <c r="BC705" s="66">
        <f t="shared" si="98"/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69">
        <f t="shared" si="90"/>
        <v>0</v>
      </c>
      <c r="AT706" s="67" t="str">
        <f t="shared" si="91"/>
        <v/>
      </c>
      <c r="AU706" s="66" t="str">
        <f t="shared" si="92"/>
        <v/>
      </c>
      <c r="AV706" s="67" t="str">
        <f t="shared" si="93"/>
        <v/>
      </c>
      <c r="AW706" s="67" t="str">
        <f t="shared" si="94"/>
        <v/>
      </c>
      <c r="AX706" s="66" t="str">
        <f t="shared" si="95"/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 t="shared" si="96"/>
        <v/>
      </c>
      <c r="BB706" s="66" t="str">
        <f t="shared" si="97"/>
        <v/>
      </c>
      <c r="BC706" s="66">
        <f t="shared" si="98"/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69">
        <f t="shared" si="90"/>
        <v>0</v>
      </c>
      <c r="AT707" s="67" t="str">
        <f t="shared" si="91"/>
        <v/>
      </c>
      <c r="AU707" s="66" t="str">
        <f t="shared" si="92"/>
        <v/>
      </c>
      <c r="AV707" s="67" t="str">
        <f t="shared" si="93"/>
        <v/>
      </c>
      <c r="AW707" s="67" t="str">
        <f t="shared" si="94"/>
        <v/>
      </c>
      <c r="AX707" s="66" t="str">
        <f t="shared" si="95"/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 t="shared" si="96"/>
        <v/>
      </c>
      <c r="BB707" s="66" t="str">
        <f t="shared" si="97"/>
        <v/>
      </c>
      <c r="BC707" s="66">
        <f t="shared" si="98"/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69">
        <f t="shared" si="90"/>
        <v>0</v>
      </c>
      <c r="AT708" s="67" t="str">
        <f t="shared" si="91"/>
        <v/>
      </c>
      <c r="AU708" s="66" t="str">
        <f t="shared" si="92"/>
        <v/>
      </c>
      <c r="AV708" s="67" t="str">
        <f t="shared" si="93"/>
        <v/>
      </c>
      <c r="AW708" s="67" t="str">
        <f t="shared" si="94"/>
        <v/>
      </c>
      <c r="AX708" s="66" t="str">
        <f t="shared" si="95"/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 t="shared" si="96"/>
        <v/>
      </c>
      <c r="BB708" s="66" t="str">
        <f t="shared" si="97"/>
        <v/>
      </c>
      <c r="BC708" s="66">
        <f t="shared" si="98"/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69">
        <f t="shared" ref="AS709:AS772" si="99">SUM(H709,J709,L709,N709,P709,R709,T709,V709,X709,Z709,AB709,AD709,AF709,AH709,AJ709,AL709,AN709)</f>
        <v>0</v>
      </c>
      <c r="AT709" s="67" t="str">
        <f t="shared" ref="AT709:AT772" si="100">IF(C709="","",DATE(YEAR(C709),MONTH(C709),1))</f>
        <v/>
      </c>
      <c r="AU709" s="66" t="str">
        <f t="shared" ref="AU709:AU772" si="101">IF(AT709="","",TEXT(AT709,"mmmm yyyy"))</f>
        <v/>
      </c>
      <c r="AV709" s="67" t="str">
        <f t="shared" ref="AV709:AV772" si="102">IF(C709="","",C709-WEEKDAY(C709,2)+1)</f>
        <v/>
      </c>
      <c r="AW709" s="67" t="str">
        <f t="shared" ref="AW709:AW772" si="103">IF(AV709="","",AV709+6)</f>
        <v/>
      </c>
      <c r="AX709" s="66" t="str">
        <f t="shared" ref="AX709:AX772" si="104"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 t="shared" ref="BA709:BA772" si="105">IF(B709="","",TEXT(AY709,"00")&amp;"|"&amp;B709&amp;"|"&amp;TEXT(AT709,"yyyymmdd"))</f>
        <v/>
      </c>
      <c r="BB709" s="66" t="str">
        <f t="shared" ref="BB709:BB772" si="106">IF(B709="","",TEXT(AZ709,"00")&amp;"|"&amp;B709&amp;"|"&amp;TEXT(AV709,"yyyymmdd"))</f>
        <v/>
      </c>
      <c r="BC709" s="66">
        <f t="shared" ref="BC709:BC772" si="107"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69">
        <f t="shared" si="99"/>
        <v>0</v>
      </c>
      <c r="AT710" s="67" t="str">
        <f t="shared" si="100"/>
        <v/>
      </c>
      <c r="AU710" s="66" t="str">
        <f t="shared" si="101"/>
        <v/>
      </c>
      <c r="AV710" s="67" t="str">
        <f t="shared" si="102"/>
        <v/>
      </c>
      <c r="AW710" s="67" t="str">
        <f t="shared" si="103"/>
        <v/>
      </c>
      <c r="AX710" s="66" t="str">
        <f t="shared" si="104"/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 t="shared" si="105"/>
        <v/>
      </c>
      <c r="BB710" s="66" t="str">
        <f t="shared" si="106"/>
        <v/>
      </c>
      <c r="BC710" s="66">
        <f t="shared" si="107"/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69">
        <f t="shared" si="99"/>
        <v>0</v>
      </c>
      <c r="AT711" s="67" t="str">
        <f t="shared" si="100"/>
        <v/>
      </c>
      <c r="AU711" s="66" t="str">
        <f t="shared" si="101"/>
        <v/>
      </c>
      <c r="AV711" s="67" t="str">
        <f t="shared" si="102"/>
        <v/>
      </c>
      <c r="AW711" s="67" t="str">
        <f t="shared" si="103"/>
        <v/>
      </c>
      <c r="AX711" s="66" t="str">
        <f t="shared" si="104"/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 t="shared" si="105"/>
        <v/>
      </c>
      <c r="BB711" s="66" t="str">
        <f t="shared" si="106"/>
        <v/>
      </c>
      <c r="BC711" s="66">
        <f t="shared" si="107"/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69">
        <f t="shared" si="99"/>
        <v>0</v>
      </c>
      <c r="AT712" s="67" t="str">
        <f t="shared" si="100"/>
        <v/>
      </c>
      <c r="AU712" s="66" t="str">
        <f t="shared" si="101"/>
        <v/>
      </c>
      <c r="AV712" s="67" t="str">
        <f t="shared" si="102"/>
        <v/>
      </c>
      <c r="AW712" s="67" t="str">
        <f t="shared" si="103"/>
        <v/>
      </c>
      <c r="AX712" s="66" t="str">
        <f t="shared" si="104"/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 t="shared" si="105"/>
        <v/>
      </c>
      <c r="BB712" s="66" t="str">
        <f t="shared" si="106"/>
        <v/>
      </c>
      <c r="BC712" s="66">
        <f t="shared" si="107"/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69">
        <f t="shared" si="99"/>
        <v>0</v>
      </c>
      <c r="AT713" s="67" t="str">
        <f t="shared" si="100"/>
        <v/>
      </c>
      <c r="AU713" s="66" t="str">
        <f t="shared" si="101"/>
        <v/>
      </c>
      <c r="AV713" s="67" t="str">
        <f t="shared" si="102"/>
        <v/>
      </c>
      <c r="AW713" s="67" t="str">
        <f t="shared" si="103"/>
        <v/>
      </c>
      <c r="AX713" s="66" t="str">
        <f t="shared" si="104"/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 t="shared" si="105"/>
        <v/>
      </c>
      <c r="BB713" s="66" t="str">
        <f t="shared" si="106"/>
        <v/>
      </c>
      <c r="BC713" s="66">
        <f t="shared" si="107"/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69">
        <f t="shared" si="99"/>
        <v>0</v>
      </c>
      <c r="AT714" s="67" t="str">
        <f t="shared" si="100"/>
        <v/>
      </c>
      <c r="AU714" s="66" t="str">
        <f t="shared" si="101"/>
        <v/>
      </c>
      <c r="AV714" s="67" t="str">
        <f t="shared" si="102"/>
        <v/>
      </c>
      <c r="AW714" s="67" t="str">
        <f t="shared" si="103"/>
        <v/>
      </c>
      <c r="AX714" s="66" t="str">
        <f t="shared" si="104"/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 t="shared" si="105"/>
        <v/>
      </c>
      <c r="BB714" s="66" t="str">
        <f t="shared" si="106"/>
        <v/>
      </c>
      <c r="BC714" s="66">
        <f t="shared" si="107"/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69">
        <f t="shared" si="99"/>
        <v>0</v>
      </c>
      <c r="AT715" s="67" t="str">
        <f t="shared" si="100"/>
        <v/>
      </c>
      <c r="AU715" s="66" t="str">
        <f t="shared" si="101"/>
        <v/>
      </c>
      <c r="AV715" s="67" t="str">
        <f t="shared" si="102"/>
        <v/>
      </c>
      <c r="AW715" s="67" t="str">
        <f t="shared" si="103"/>
        <v/>
      </c>
      <c r="AX715" s="66" t="str">
        <f t="shared" si="104"/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 t="shared" si="105"/>
        <v/>
      </c>
      <c r="BB715" s="66" t="str">
        <f t="shared" si="106"/>
        <v/>
      </c>
      <c r="BC715" s="66">
        <f t="shared" si="107"/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69">
        <f t="shared" si="99"/>
        <v>0</v>
      </c>
      <c r="AT716" s="67" t="str">
        <f t="shared" si="100"/>
        <v/>
      </c>
      <c r="AU716" s="66" t="str">
        <f t="shared" si="101"/>
        <v/>
      </c>
      <c r="AV716" s="67" t="str">
        <f t="shared" si="102"/>
        <v/>
      </c>
      <c r="AW716" s="67" t="str">
        <f t="shared" si="103"/>
        <v/>
      </c>
      <c r="AX716" s="66" t="str">
        <f t="shared" si="104"/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 t="shared" si="105"/>
        <v/>
      </c>
      <c r="BB716" s="66" t="str">
        <f t="shared" si="106"/>
        <v/>
      </c>
      <c r="BC716" s="66">
        <f t="shared" si="107"/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69">
        <f t="shared" si="99"/>
        <v>0</v>
      </c>
      <c r="AT717" s="67" t="str">
        <f t="shared" si="100"/>
        <v/>
      </c>
      <c r="AU717" s="66" t="str">
        <f t="shared" si="101"/>
        <v/>
      </c>
      <c r="AV717" s="67" t="str">
        <f t="shared" si="102"/>
        <v/>
      </c>
      <c r="AW717" s="67" t="str">
        <f t="shared" si="103"/>
        <v/>
      </c>
      <c r="AX717" s="66" t="str">
        <f t="shared" si="104"/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 t="shared" si="105"/>
        <v/>
      </c>
      <c r="BB717" s="66" t="str">
        <f t="shared" si="106"/>
        <v/>
      </c>
      <c r="BC717" s="66">
        <f t="shared" si="107"/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69">
        <f t="shared" si="99"/>
        <v>0</v>
      </c>
      <c r="AT718" s="67" t="str">
        <f t="shared" si="100"/>
        <v/>
      </c>
      <c r="AU718" s="66" t="str">
        <f t="shared" si="101"/>
        <v/>
      </c>
      <c r="AV718" s="67" t="str">
        <f t="shared" si="102"/>
        <v/>
      </c>
      <c r="AW718" s="67" t="str">
        <f t="shared" si="103"/>
        <v/>
      </c>
      <c r="AX718" s="66" t="str">
        <f t="shared" si="104"/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 t="shared" si="105"/>
        <v/>
      </c>
      <c r="BB718" s="66" t="str">
        <f t="shared" si="106"/>
        <v/>
      </c>
      <c r="BC718" s="66">
        <f t="shared" si="107"/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69">
        <f t="shared" si="99"/>
        <v>0</v>
      </c>
      <c r="AT719" s="67" t="str">
        <f t="shared" si="100"/>
        <v/>
      </c>
      <c r="AU719" s="66" t="str">
        <f t="shared" si="101"/>
        <v/>
      </c>
      <c r="AV719" s="67" t="str">
        <f t="shared" si="102"/>
        <v/>
      </c>
      <c r="AW719" s="67" t="str">
        <f t="shared" si="103"/>
        <v/>
      </c>
      <c r="AX719" s="66" t="str">
        <f t="shared" si="104"/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 t="shared" si="105"/>
        <v/>
      </c>
      <c r="BB719" s="66" t="str">
        <f t="shared" si="106"/>
        <v/>
      </c>
      <c r="BC719" s="66">
        <f t="shared" si="107"/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69">
        <f t="shared" si="99"/>
        <v>0</v>
      </c>
      <c r="AT720" s="67" t="str">
        <f t="shared" si="100"/>
        <v/>
      </c>
      <c r="AU720" s="66" t="str">
        <f t="shared" si="101"/>
        <v/>
      </c>
      <c r="AV720" s="67" t="str">
        <f t="shared" si="102"/>
        <v/>
      </c>
      <c r="AW720" s="67" t="str">
        <f t="shared" si="103"/>
        <v/>
      </c>
      <c r="AX720" s="66" t="str">
        <f t="shared" si="104"/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 t="shared" si="105"/>
        <v/>
      </c>
      <c r="BB720" s="66" t="str">
        <f t="shared" si="106"/>
        <v/>
      </c>
      <c r="BC720" s="66">
        <f t="shared" si="107"/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69">
        <f t="shared" si="99"/>
        <v>0</v>
      </c>
      <c r="AT721" s="67" t="str">
        <f t="shared" si="100"/>
        <v/>
      </c>
      <c r="AU721" s="66" t="str">
        <f t="shared" si="101"/>
        <v/>
      </c>
      <c r="AV721" s="67" t="str">
        <f t="shared" si="102"/>
        <v/>
      </c>
      <c r="AW721" s="67" t="str">
        <f t="shared" si="103"/>
        <v/>
      </c>
      <c r="AX721" s="66" t="str">
        <f t="shared" si="104"/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 t="shared" si="105"/>
        <v/>
      </c>
      <c r="BB721" s="66" t="str">
        <f t="shared" si="106"/>
        <v/>
      </c>
      <c r="BC721" s="66">
        <f t="shared" si="107"/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69">
        <f t="shared" si="99"/>
        <v>0</v>
      </c>
      <c r="AT722" s="67" t="str">
        <f t="shared" si="100"/>
        <v/>
      </c>
      <c r="AU722" s="66" t="str">
        <f t="shared" si="101"/>
        <v/>
      </c>
      <c r="AV722" s="67" t="str">
        <f t="shared" si="102"/>
        <v/>
      </c>
      <c r="AW722" s="67" t="str">
        <f t="shared" si="103"/>
        <v/>
      </c>
      <c r="AX722" s="66" t="str">
        <f t="shared" si="104"/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 t="shared" si="105"/>
        <v/>
      </c>
      <c r="BB722" s="66" t="str">
        <f t="shared" si="106"/>
        <v/>
      </c>
      <c r="BC722" s="66">
        <f t="shared" si="107"/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69">
        <f t="shared" si="99"/>
        <v>0</v>
      </c>
      <c r="AT723" s="67" t="str">
        <f t="shared" si="100"/>
        <v/>
      </c>
      <c r="AU723" s="66" t="str">
        <f t="shared" si="101"/>
        <v/>
      </c>
      <c r="AV723" s="67" t="str">
        <f t="shared" si="102"/>
        <v/>
      </c>
      <c r="AW723" s="67" t="str">
        <f t="shared" si="103"/>
        <v/>
      </c>
      <c r="AX723" s="66" t="str">
        <f t="shared" si="104"/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 t="shared" si="105"/>
        <v/>
      </c>
      <c r="BB723" s="66" t="str">
        <f t="shared" si="106"/>
        <v/>
      </c>
      <c r="BC723" s="66">
        <f t="shared" si="107"/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69">
        <f t="shared" si="99"/>
        <v>0</v>
      </c>
      <c r="AT724" s="67" t="str">
        <f t="shared" si="100"/>
        <v/>
      </c>
      <c r="AU724" s="66" t="str">
        <f t="shared" si="101"/>
        <v/>
      </c>
      <c r="AV724" s="67" t="str">
        <f t="shared" si="102"/>
        <v/>
      </c>
      <c r="AW724" s="67" t="str">
        <f t="shared" si="103"/>
        <v/>
      </c>
      <c r="AX724" s="66" t="str">
        <f t="shared" si="104"/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 t="shared" si="105"/>
        <v/>
      </c>
      <c r="BB724" s="66" t="str">
        <f t="shared" si="106"/>
        <v/>
      </c>
      <c r="BC724" s="66">
        <f t="shared" si="107"/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69">
        <f t="shared" si="99"/>
        <v>0</v>
      </c>
      <c r="AT725" s="67" t="str">
        <f t="shared" si="100"/>
        <v/>
      </c>
      <c r="AU725" s="66" t="str">
        <f t="shared" si="101"/>
        <v/>
      </c>
      <c r="AV725" s="67" t="str">
        <f t="shared" si="102"/>
        <v/>
      </c>
      <c r="AW725" s="67" t="str">
        <f t="shared" si="103"/>
        <v/>
      </c>
      <c r="AX725" s="66" t="str">
        <f t="shared" si="104"/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 t="shared" si="105"/>
        <v/>
      </c>
      <c r="BB725" s="66" t="str">
        <f t="shared" si="106"/>
        <v/>
      </c>
      <c r="BC725" s="66">
        <f t="shared" si="107"/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69">
        <f t="shared" si="99"/>
        <v>0</v>
      </c>
      <c r="AT726" s="67" t="str">
        <f t="shared" si="100"/>
        <v/>
      </c>
      <c r="AU726" s="66" t="str">
        <f t="shared" si="101"/>
        <v/>
      </c>
      <c r="AV726" s="67" t="str">
        <f t="shared" si="102"/>
        <v/>
      </c>
      <c r="AW726" s="67" t="str">
        <f t="shared" si="103"/>
        <v/>
      </c>
      <c r="AX726" s="66" t="str">
        <f t="shared" si="104"/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 t="shared" si="105"/>
        <v/>
      </c>
      <c r="BB726" s="66" t="str">
        <f t="shared" si="106"/>
        <v/>
      </c>
      <c r="BC726" s="66">
        <f t="shared" si="107"/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69">
        <f t="shared" si="99"/>
        <v>0</v>
      </c>
      <c r="AT727" s="67" t="str">
        <f t="shared" si="100"/>
        <v/>
      </c>
      <c r="AU727" s="66" t="str">
        <f t="shared" si="101"/>
        <v/>
      </c>
      <c r="AV727" s="67" t="str">
        <f t="shared" si="102"/>
        <v/>
      </c>
      <c r="AW727" s="67" t="str">
        <f t="shared" si="103"/>
        <v/>
      </c>
      <c r="AX727" s="66" t="str">
        <f t="shared" si="104"/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 t="shared" si="105"/>
        <v/>
      </c>
      <c r="BB727" s="66" t="str">
        <f t="shared" si="106"/>
        <v/>
      </c>
      <c r="BC727" s="66">
        <f t="shared" si="107"/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69">
        <f t="shared" si="99"/>
        <v>0</v>
      </c>
      <c r="AT728" s="67" t="str">
        <f t="shared" si="100"/>
        <v/>
      </c>
      <c r="AU728" s="66" t="str">
        <f t="shared" si="101"/>
        <v/>
      </c>
      <c r="AV728" s="67" t="str">
        <f t="shared" si="102"/>
        <v/>
      </c>
      <c r="AW728" s="67" t="str">
        <f t="shared" si="103"/>
        <v/>
      </c>
      <c r="AX728" s="66" t="str">
        <f t="shared" si="104"/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 t="shared" si="105"/>
        <v/>
      </c>
      <c r="BB728" s="66" t="str">
        <f t="shared" si="106"/>
        <v/>
      </c>
      <c r="BC728" s="66">
        <f t="shared" si="107"/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69">
        <f t="shared" si="99"/>
        <v>0</v>
      </c>
      <c r="AT729" s="67" t="str">
        <f t="shared" si="100"/>
        <v/>
      </c>
      <c r="AU729" s="66" t="str">
        <f t="shared" si="101"/>
        <v/>
      </c>
      <c r="AV729" s="67" t="str">
        <f t="shared" si="102"/>
        <v/>
      </c>
      <c r="AW729" s="67" t="str">
        <f t="shared" si="103"/>
        <v/>
      </c>
      <c r="AX729" s="66" t="str">
        <f t="shared" si="104"/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 t="shared" si="105"/>
        <v/>
      </c>
      <c r="BB729" s="66" t="str">
        <f t="shared" si="106"/>
        <v/>
      </c>
      <c r="BC729" s="66">
        <f t="shared" si="107"/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69">
        <f t="shared" si="99"/>
        <v>0</v>
      </c>
      <c r="AT730" s="67" t="str">
        <f t="shared" si="100"/>
        <v/>
      </c>
      <c r="AU730" s="66" t="str">
        <f t="shared" si="101"/>
        <v/>
      </c>
      <c r="AV730" s="67" t="str">
        <f t="shared" si="102"/>
        <v/>
      </c>
      <c r="AW730" s="67" t="str">
        <f t="shared" si="103"/>
        <v/>
      </c>
      <c r="AX730" s="66" t="str">
        <f t="shared" si="104"/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 t="shared" si="105"/>
        <v/>
      </c>
      <c r="BB730" s="66" t="str">
        <f t="shared" si="106"/>
        <v/>
      </c>
      <c r="BC730" s="66">
        <f t="shared" si="107"/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69">
        <f t="shared" si="99"/>
        <v>0</v>
      </c>
      <c r="AT731" s="67" t="str">
        <f t="shared" si="100"/>
        <v/>
      </c>
      <c r="AU731" s="66" t="str">
        <f t="shared" si="101"/>
        <v/>
      </c>
      <c r="AV731" s="67" t="str">
        <f t="shared" si="102"/>
        <v/>
      </c>
      <c r="AW731" s="67" t="str">
        <f t="shared" si="103"/>
        <v/>
      </c>
      <c r="AX731" s="66" t="str">
        <f t="shared" si="104"/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 t="shared" si="105"/>
        <v/>
      </c>
      <c r="BB731" s="66" t="str">
        <f t="shared" si="106"/>
        <v/>
      </c>
      <c r="BC731" s="66">
        <f t="shared" si="107"/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69">
        <f t="shared" si="99"/>
        <v>0</v>
      </c>
      <c r="AT732" s="67" t="str">
        <f t="shared" si="100"/>
        <v/>
      </c>
      <c r="AU732" s="66" t="str">
        <f t="shared" si="101"/>
        <v/>
      </c>
      <c r="AV732" s="67" t="str">
        <f t="shared" si="102"/>
        <v/>
      </c>
      <c r="AW732" s="67" t="str">
        <f t="shared" si="103"/>
        <v/>
      </c>
      <c r="AX732" s="66" t="str">
        <f t="shared" si="104"/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 t="shared" si="105"/>
        <v/>
      </c>
      <c r="BB732" s="66" t="str">
        <f t="shared" si="106"/>
        <v/>
      </c>
      <c r="BC732" s="66">
        <f t="shared" si="107"/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69">
        <f t="shared" si="99"/>
        <v>0</v>
      </c>
      <c r="AT733" s="67" t="str">
        <f t="shared" si="100"/>
        <v/>
      </c>
      <c r="AU733" s="66" t="str">
        <f t="shared" si="101"/>
        <v/>
      </c>
      <c r="AV733" s="67" t="str">
        <f t="shared" si="102"/>
        <v/>
      </c>
      <c r="AW733" s="67" t="str">
        <f t="shared" si="103"/>
        <v/>
      </c>
      <c r="AX733" s="66" t="str">
        <f t="shared" si="104"/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 t="shared" si="105"/>
        <v/>
      </c>
      <c r="BB733" s="66" t="str">
        <f t="shared" si="106"/>
        <v/>
      </c>
      <c r="BC733" s="66">
        <f t="shared" si="107"/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69">
        <f t="shared" si="99"/>
        <v>0</v>
      </c>
      <c r="AT734" s="67" t="str">
        <f t="shared" si="100"/>
        <v/>
      </c>
      <c r="AU734" s="66" t="str">
        <f t="shared" si="101"/>
        <v/>
      </c>
      <c r="AV734" s="67" t="str">
        <f t="shared" si="102"/>
        <v/>
      </c>
      <c r="AW734" s="67" t="str">
        <f t="shared" si="103"/>
        <v/>
      </c>
      <c r="AX734" s="66" t="str">
        <f t="shared" si="104"/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 t="shared" si="105"/>
        <v/>
      </c>
      <c r="BB734" s="66" t="str">
        <f t="shared" si="106"/>
        <v/>
      </c>
      <c r="BC734" s="66">
        <f t="shared" si="107"/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69">
        <f t="shared" si="99"/>
        <v>0</v>
      </c>
      <c r="AT735" s="67" t="str">
        <f t="shared" si="100"/>
        <v/>
      </c>
      <c r="AU735" s="66" t="str">
        <f t="shared" si="101"/>
        <v/>
      </c>
      <c r="AV735" s="67" t="str">
        <f t="shared" si="102"/>
        <v/>
      </c>
      <c r="AW735" s="67" t="str">
        <f t="shared" si="103"/>
        <v/>
      </c>
      <c r="AX735" s="66" t="str">
        <f t="shared" si="104"/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 t="shared" si="105"/>
        <v/>
      </c>
      <c r="BB735" s="66" t="str">
        <f t="shared" si="106"/>
        <v/>
      </c>
      <c r="BC735" s="66">
        <f t="shared" si="107"/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69">
        <f t="shared" si="99"/>
        <v>0</v>
      </c>
      <c r="AT736" s="67" t="str">
        <f t="shared" si="100"/>
        <v/>
      </c>
      <c r="AU736" s="66" t="str">
        <f t="shared" si="101"/>
        <v/>
      </c>
      <c r="AV736" s="67" t="str">
        <f t="shared" si="102"/>
        <v/>
      </c>
      <c r="AW736" s="67" t="str">
        <f t="shared" si="103"/>
        <v/>
      </c>
      <c r="AX736" s="66" t="str">
        <f t="shared" si="104"/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 t="shared" si="105"/>
        <v/>
      </c>
      <c r="BB736" s="66" t="str">
        <f t="shared" si="106"/>
        <v/>
      </c>
      <c r="BC736" s="66">
        <f t="shared" si="107"/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69">
        <f t="shared" si="99"/>
        <v>0</v>
      </c>
      <c r="AT737" s="67" t="str">
        <f t="shared" si="100"/>
        <v/>
      </c>
      <c r="AU737" s="66" t="str">
        <f t="shared" si="101"/>
        <v/>
      </c>
      <c r="AV737" s="67" t="str">
        <f t="shared" si="102"/>
        <v/>
      </c>
      <c r="AW737" s="67" t="str">
        <f t="shared" si="103"/>
        <v/>
      </c>
      <c r="AX737" s="66" t="str">
        <f t="shared" si="104"/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 t="shared" si="105"/>
        <v/>
      </c>
      <c r="BB737" s="66" t="str">
        <f t="shared" si="106"/>
        <v/>
      </c>
      <c r="BC737" s="66">
        <f t="shared" si="107"/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69">
        <f t="shared" si="99"/>
        <v>0</v>
      </c>
      <c r="AT738" s="67" t="str">
        <f t="shared" si="100"/>
        <v/>
      </c>
      <c r="AU738" s="66" t="str">
        <f t="shared" si="101"/>
        <v/>
      </c>
      <c r="AV738" s="67" t="str">
        <f t="shared" si="102"/>
        <v/>
      </c>
      <c r="AW738" s="67" t="str">
        <f t="shared" si="103"/>
        <v/>
      </c>
      <c r="AX738" s="66" t="str">
        <f t="shared" si="104"/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 t="shared" si="105"/>
        <v/>
      </c>
      <c r="BB738" s="66" t="str">
        <f t="shared" si="106"/>
        <v/>
      </c>
      <c r="BC738" s="66">
        <f t="shared" si="107"/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69">
        <f t="shared" si="99"/>
        <v>0</v>
      </c>
      <c r="AT739" s="67" t="str">
        <f t="shared" si="100"/>
        <v/>
      </c>
      <c r="AU739" s="66" t="str">
        <f t="shared" si="101"/>
        <v/>
      </c>
      <c r="AV739" s="67" t="str">
        <f t="shared" si="102"/>
        <v/>
      </c>
      <c r="AW739" s="67" t="str">
        <f t="shared" si="103"/>
        <v/>
      </c>
      <c r="AX739" s="66" t="str">
        <f t="shared" si="104"/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 t="shared" si="105"/>
        <v/>
      </c>
      <c r="BB739" s="66" t="str">
        <f t="shared" si="106"/>
        <v/>
      </c>
      <c r="BC739" s="66">
        <f t="shared" si="107"/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69">
        <f t="shared" si="99"/>
        <v>0</v>
      </c>
      <c r="AT740" s="67" t="str">
        <f t="shared" si="100"/>
        <v/>
      </c>
      <c r="AU740" s="66" t="str">
        <f t="shared" si="101"/>
        <v/>
      </c>
      <c r="AV740" s="67" t="str">
        <f t="shared" si="102"/>
        <v/>
      </c>
      <c r="AW740" s="67" t="str">
        <f t="shared" si="103"/>
        <v/>
      </c>
      <c r="AX740" s="66" t="str">
        <f t="shared" si="104"/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 t="shared" si="105"/>
        <v/>
      </c>
      <c r="BB740" s="66" t="str">
        <f t="shared" si="106"/>
        <v/>
      </c>
      <c r="BC740" s="66">
        <f t="shared" si="107"/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69">
        <f t="shared" si="99"/>
        <v>0</v>
      </c>
      <c r="AT741" s="67" t="str">
        <f t="shared" si="100"/>
        <v/>
      </c>
      <c r="AU741" s="66" t="str">
        <f t="shared" si="101"/>
        <v/>
      </c>
      <c r="AV741" s="67" t="str">
        <f t="shared" si="102"/>
        <v/>
      </c>
      <c r="AW741" s="67" t="str">
        <f t="shared" si="103"/>
        <v/>
      </c>
      <c r="AX741" s="66" t="str">
        <f t="shared" si="104"/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 t="shared" si="105"/>
        <v/>
      </c>
      <c r="BB741" s="66" t="str">
        <f t="shared" si="106"/>
        <v/>
      </c>
      <c r="BC741" s="66">
        <f t="shared" si="107"/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69">
        <f t="shared" si="99"/>
        <v>0</v>
      </c>
      <c r="AT742" s="67" t="str">
        <f t="shared" si="100"/>
        <v/>
      </c>
      <c r="AU742" s="66" t="str">
        <f t="shared" si="101"/>
        <v/>
      </c>
      <c r="AV742" s="67" t="str">
        <f t="shared" si="102"/>
        <v/>
      </c>
      <c r="AW742" s="67" t="str">
        <f t="shared" si="103"/>
        <v/>
      </c>
      <c r="AX742" s="66" t="str">
        <f t="shared" si="104"/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 t="shared" si="105"/>
        <v/>
      </c>
      <c r="BB742" s="66" t="str">
        <f t="shared" si="106"/>
        <v/>
      </c>
      <c r="BC742" s="66">
        <f t="shared" si="107"/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69">
        <f t="shared" si="99"/>
        <v>0</v>
      </c>
      <c r="AT743" s="67" t="str">
        <f t="shared" si="100"/>
        <v/>
      </c>
      <c r="AU743" s="66" t="str">
        <f t="shared" si="101"/>
        <v/>
      </c>
      <c r="AV743" s="67" t="str">
        <f t="shared" si="102"/>
        <v/>
      </c>
      <c r="AW743" s="67" t="str">
        <f t="shared" si="103"/>
        <v/>
      </c>
      <c r="AX743" s="66" t="str">
        <f t="shared" si="104"/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 t="shared" si="105"/>
        <v/>
      </c>
      <c r="BB743" s="66" t="str">
        <f t="shared" si="106"/>
        <v/>
      </c>
      <c r="BC743" s="66">
        <f t="shared" si="107"/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69">
        <f t="shared" si="99"/>
        <v>0</v>
      </c>
      <c r="AT744" s="67" t="str">
        <f t="shared" si="100"/>
        <v/>
      </c>
      <c r="AU744" s="66" t="str">
        <f t="shared" si="101"/>
        <v/>
      </c>
      <c r="AV744" s="67" t="str">
        <f t="shared" si="102"/>
        <v/>
      </c>
      <c r="AW744" s="67" t="str">
        <f t="shared" si="103"/>
        <v/>
      </c>
      <c r="AX744" s="66" t="str">
        <f t="shared" si="104"/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 t="shared" si="105"/>
        <v/>
      </c>
      <c r="BB744" s="66" t="str">
        <f t="shared" si="106"/>
        <v/>
      </c>
      <c r="BC744" s="66">
        <f t="shared" si="107"/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69">
        <f t="shared" si="99"/>
        <v>0</v>
      </c>
      <c r="AT745" s="67" t="str">
        <f t="shared" si="100"/>
        <v/>
      </c>
      <c r="AU745" s="66" t="str">
        <f t="shared" si="101"/>
        <v/>
      </c>
      <c r="AV745" s="67" t="str">
        <f t="shared" si="102"/>
        <v/>
      </c>
      <c r="AW745" s="67" t="str">
        <f t="shared" si="103"/>
        <v/>
      </c>
      <c r="AX745" s="66" t="str">
        <f t="shared" si="104"/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 t="shared" si="105"/>
        <v/>
      </c>
      <c r="BB745" s="66" t="str">
        <f t="shared" si="106"/>
        <v/>
      </c>
      <c r="BC745" s="66">
        <f t="shared" si="107"/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69">
        <f t="shared" si="99"/>
        <v>0</v>
      </c>
      <c r="AT746" s="67" t="str">
        <f t="shared" si="100"/>
        <v/>
      </c>
      <c r="AU746" s="66" t="str">
        <f t="shared" si="101"/>
        <v/>
      </c>
      <c r="AV746" s="67" t="str">
        <f t="shared" si="102"/>
        <v/>
      </c>
      <c r="AW746" s="67" t="str">
        <f t="shared" si="103"/>
        <v/>
      </c>
      <c r="AX746" s="66" t="str">
        <f t="shared" si="104"/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 t="shared" si="105"/>
        <v/>
      </c>
      <c r="BB746" s="66" t="str">
        <f t="shared" si="106"/>
        <v/>
      </c>
      <c r="BC746" s="66">
        <f t="shared" si="107"/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69">
        <f t="shared" si="99"/>
        <v>0</v>
      </c>
      <c r="AT747" s="67" t="str">
        <f t="shared" si="100"/>
        <v/>
      </c>
      <c r="AU747" s="66" t="str">
        <f t="shared" si="101"/>
        <v/>
      </c>
      <c r="AV747" s="67" t="str">
        <f t="shared" si="102"/>
        <v/>
      </c>
      <c r="AW747" s="67" t="str">
        <f t="shared" si="103"/>
        <v/>
      </c>
      <c r="AX747" s="66" t="str">
        <f t="shared" si="104"/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 t="shared" si="105"/>
        <v/>
      </c>
      <c r="BB747" s="66" t="str">
        <f t="shared" si="106"/>
        <v/>
      </c>
      <c r="BC747" s="66">
        <f t="shared" si="107"/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69">
        <f t="shared" si="99"/>
        <v>0</v>
      </c>
      <c r="AT748" s="67" t="str">
        <f t="shared" si="100"/>
        <v/>
      </c>
      <c r="AU748" s="66" t="str">
        <f t="shared" si="101"/>
        <v/>
      </c>
      <c r="AV748" s="67" t="str">
        <f t="shared" si="102"/>
        <v/>
      </c>
      <c r="AW748" s="67" t="str">
        <f t="shared" si="103"/>
        <v/>
      </c>
      <c r="AX748" s="66" t="str">
        <f t="shared" si="104"/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 t="shared" si="105"/>
        <v/>
      </c>
      <c r="BB748" s="66" t="str">
        <f t="shared" si="106"/>
        <v/>
      </c>
      <c r="BC748" s="66">
        <f t="shared" si="107"/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69">
        <f t="shared" si="99"/>
        <v>0</v>
      </c>
      <c r="AT749" s="67" t="str">
        <f t="shared" si="100"/>
        <v/>
      </c>
      <c r="AU749" s="66" t="str">
        <f t="shared" si="101"/>
        <v/>
      </c>
      <c r="AV749" s="67" t="str">
        <f t="shared" si="102"/>
        <v/>
      </c>
      <c r="AW749" s="67" t="str">
        <f t="shared" si="103"/>
        <v/>
      </c>
      <c r="AX749" s="66" t="str">
        <f t="shared" si="104"/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 t="shared" si="105"/>
        <v/>
      </c>
      <c r="BB749" s="66" t="str">
        <f t="shared" si="106"/>
        <v/>
      </c>
      <c r="BC749" s="66">
        <f t="shared" si="107"/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69">
        <f t="shared" si="99"/>
        <v>0</v>
      </c>
      <c r="AT750" s="67" t="str">
        <f t="shared" si="100"/>
        <v/>
      </c>
      <c r="AU750" s="66" t="str">
        <f t="shared" si="101"/>
        <v/>
      </c>
      <c r="AV750" s="67" t="str">
        <f t="shared" si="102"/>
        <v/>
      </c>
      <c r="AW750" s="67" t="str">
        <f t="shared" si="103"/>
        <v/>
      </c>
      <c r="AX750" s="66" t="str">
        <f t="shared" si="104"/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 t="shared" si="105"/>
        <v/>
      </c>
      <c r="BB750" s="66" t="str">
        <f t="shared" si="106"/>
        <v/>
      </c>
      <c r="BC750" s="66">
        <f t="shared" si="107"/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69">
        <f t="shared" si="99"/>
        <v>0</v>
      </c>
      <c r="AT751" s="67" t="str">
        <f t="shared" si="100"/>
        <v/>
      </c>
      <c r="AU751" s="66" t="str">
        <f t="shared" si="101"/>
        <v/>
      </c>
      <c r="AV751" s="67" t="str">
        <f t="shared" si="102"/>
        <v/>
      </c>
      <c r="AW751" s="67" t="str">
        <f t="shared" si="103"/>
        <v/>
      </c>
      <c r="AX751" s="66" t="str">
        <f t="shared" si="104"/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 t="shared" si="105"/>
        <v/>
      </c>
      <c r="BB751" s="66" t="str">
        <f t="shared" si="106"/>
        <v/>
      </c>
      <c r="BC751" s="66">
        <f t="shared" si="107"/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69">
        <f t="shared" si="99"/>
        <v>0</v>
      </c>
      <c r="AT752" s="67" t="str">
        <f t="shared" si="100"/>
        <v/>
      </c>
      <c r="AU752" s="66" t="str">
        <f t="shared" si="101"/>
        <v/>
      </c>
      <c r="AV752" s="67" t="str">
        <f t="shared" si="102"/>
        <v/>
      </c>
      <c r="AW752" s="67" t="str">
        <f t="shared" si="103"/>
        <v/>
      </c>
      <c r="AX752" s="66" t="str">
        <f t="shared" si="104"/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 t="shared" si="105"/>
        <v/>
      </c>
      <c r="BB752" s="66" t="str">
        <f t="shared" si="106"/>
        <v/>
      </c>
      <c r="BC752" s="66">
        <f t="shared" si="107"/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69">
        <f t="shared" si="99"/>
        <v>0</v>
      </c>
      <c r="AT753" s="67" t="str">
        <f t="shared" si="100"/>
        <v/>
      </c>
      <c r="AU753" s="66" t="str">
        <f t="shared" si="101"/>
        <v/>
      </c>
      <c r="AV753" s="67" t="str">
        <f t="shared" si="102"/>
        <v/>
      </c>
      <c r="AW753" s="67" t="str">
        <f t="shared" si="103"/>
        <v/>
      </c>
      <c r="AX753" s="66" t="str">
        <f t="shared" si="104"/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 t="shared" si="105"/>
        <v/>
      </c>
      <c r="BB753" s="66" t="str">
        <f t="shared" si="106"/>
        <v/>
      </c>
      <c r="BC753" s="66">
        <f t="shared" si="107"/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69">
        <f t="shared" si="99"/>
        <v>0</v>
      </c>
      <c r="AT754" s="67" t="str">
        <f t="shared" si="100"/>
        <v/>
      </c>
      <c r="AU754" s="66" t="str">
        <f t="shared" si="101"/>
        <v/>
      </c>
      <c r="AV754" s="67" t="str">
        <f t="shared" si="102"/>
        <v/>
      </c>
      <c r="AW754" s="67" t="str">
        <f t="shared" si="103"/>
        <v/>
      </c>
      <c r="AX754" s="66" t="str">
        <f t="shared" si="104"/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 t="shared" si="105"/>
        <v/>
      </c>
      <c r="BB754" s="66" t="str">
        <f t="shared" si="106"/>
        <v/>
      </c>
      <c r="BC754" s="66">
        <f t="shared" si="107"/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69">
        <f t="shared" si="99"/>
        <v>0</v>
      </c>
      <c r="AT755" s="67" t="str">
        <f t="shared" si="100"/>
        <v/>
      </c>
      <c r="AU755" s="66" t="str">
        <f t="shared" si="101"/>
        <v/>
      </c>
      <c r="AV755" s="67" t="str">
        <f t="shared" si="102"/>
        <v/>
      </c>
      <c r="AW755" s="67" t="str">
        <f t="shared" si="103"/>
        <v/>
      </c>
      <c r="AX755" s="66" t="str">
        <f t="shared" si="104"/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 t="shared" si="105"/>
        <v/>
      </c>
      <c r="BB755" s="66" t="str">
        <f t="shared" si="106"/>
        <v/>
      </c>
      <c r="BC755" s="66">
        <f t="shared" si="107"/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69">
        <f t="shared" si="99"/>
        <v>0</v>
      </c>
      <c r="AT756" s="67" t="str">
        <f t="shared" si="100"/>
        <v/>
      </c>
      <c r="AU756" s="66" t="str">
        <f t="shared" si="101"/>
        <v/>
      </c>
      <c r="AV756" s="67" t="str">
        <f t="shared" si="102"/>
        <v/>
      </c>
      <c r="AW756" s="67" t="str">
        <f t="shared" si="103"/>
        <v/>
      </c>
      <c r="AX756" s="66" t="str">
        <f t="shared" si="104"/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 t="shared" si="105"/>
        <v/>
      </c>
      <c r="BB756" s="66" t="str">
        <f t="shared" si="106"/>
        <v/>
      </c>
      <c r="BC756" s="66">
        <f t="shared" si="107"/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69">
        <f t="shared" si="99"/>
        <v>0</v>
      </c>
      <c r="AT757" s="67" t="str">
        <f t="shared" si="100"/>
        <v/>
      </c>
      <c r="AU757" s="66" t="str">
        <f t="shared" si="101"/>
        <v/>
      </c>
      <c r="AV757" s="67" t="str">
        <f t="shared" si="102"/>
        <v/>
      </c>
      <c r="AW757" s="67" t="str">
        <f t="shared" si="103"/>
        <v/>
      </c>
      <c r="AX757" s="66" t="str">
        <f t="shared" si="104"/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 t="shared" si="105"/>
        <v/>
      </c>
      <c r="BB757" s="66" t="str">
        <f t="shared" si="106"/>
        <v/>
      </c>
      <c r="BC757" s="66">
        <f t="shared" si="107"/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69">
        <f t="shared" si="99"/>
        <v>0</v>
      </c>
      <c r="AT758" s="67" t="str">
        <f t="shared" si="100"/>
        <v/>
      </c>
      <c r="AU758" s="66" t="str">
        <f t="shared" si="101"/>
        <v/>
      </c>
      <c r="AV758" s="67" t="str">
        <f t="shared" si="102"/>
        <v/>
      </c>
      <c r="AW758" s="67" t="str">
        <f t="shared" si="103"/>
        <v/>
      </c>
      <c r="AX758" s="66" t="str">
        <f t="shared" si="104"/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 t="shared" si="105"/>
        <v/>
      </c>
      <c r="BB758" s="66" t="str">
        <f t="shared" si="106"/>
        <v/>
      </c>
      <c r="BC758" s="66">
        <f t="shared" si="107"/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69">
        <f t="shared" si="99"/>
        <v>0</v>
      </c>
      <c r="AT759" s="67" t="str">
        <f t="shared" si="100"/>
        <v/>
      </c>
      <c r="AU759" s="66" t="str">
        <f t="shared" si="101"/>
        <v/>
      </c>
      <c r="AV759" s="67" t="str">
        <f t="shared" si="102"/>
        <v/>
      </c>
      <c r="AW759" s="67" t="str">
        <f t="shared" si="103"/>
        <v/>
      </c>
      <c r="AX759" s="66" t="str">
        <f t="shared" si="104"/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 t="shared" si="105"/>
        <v/>
      </c>
      <c r="BB759" s="66" t="str">
        <f t="shared" si="106"/>
        <v/>
      </c>
      <c r="BC759" s="66">
        <f t="shared" si="107"/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69">
        <f t="shared" si="99"/>
        <v>0</v>
      </c>
      <c r="AT760" s="67" t="str">
        <f t="shared" si="100"/>
        <v/>
      </c>
      <c r="AU760" s="66" t="str">
        <f t="shared" si="101"/>
        <v/>
      </c>
      <c r="AV760" s="67" t="str">
        <f t="shared" si="102"/>
        <v/>
      </c>
      <c r="AW760" s="67" t="str">
        <f t="shared" si="103"/>
        <v/>
      </c>
      <c r="AX760" s="66" t="str">
        <f t="shared" si="104"/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 t="shared" si="105"/>
        <v/>
      </c>
      <c r="BB760" s="66" t="str">
        <f t="shared" si="106"/>
        <v/>
      </c>
      <c r="BC760" s="66">
        <f t="shared" si="107"/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69">
        <f t="shared" si="99"/>
        <v>0</v>
      </c>
      <c r="AT761" s="67" t="str">
        <f t="shared" si="100"/>
        <v/>
      </c>
      <c r="AU761" s="66" t="str">
        <f t="shared" si="101"/>
        <v/>
      </c>
      <c r="AV761" s="67" t="str">
        <f t="shared" si="102"/>
        <v/>
      </c>
      <c r="AW761" s="67" t="str">
        <f t="shared" si="103"/>
        <v/>
      </c>
      <c r="AX761" s="66" t="str">
        <f t="shared" si="104"/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 t="shared" si="105"/>
        <v/>
      </c>
      <c r="BB761" s="66" t="str">
        <f t="shared" si="106"/>
        <v/>
      </c>
      <c r="BC761" s="66">
        <f t="shared" si="107"/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69">
        <f t="shared" si="99"/>
        <v>0</v>
      </c>
      <c r="AT762" s="67" t="str">
        <f t="shared" si="100"/>
        <v/>
      </c>
      <c r="AU762" s="66" t="str">
        <f t="shared" si="101"/>
        <v/>
      </c>
      <c r="AV762" s="67" t="str">
        <f t="shared" si="102"/>
        <v/>
      </c>
      <c r="AW762" s="67" t="str">
        <f t="shared" si="103"/>
        <v/>
      </c>
      <c r="AX762" s="66" t="str">
        <f t="shared" si="104"/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 t="shared" si="105"/>
        <v/>
      </c>
      <c r="BB762" s="66" t="str">
        <f t="shared" si="106"/>
        <v/>
      </c>
      <c r="BC762" s="66">
        <f t="shared" si="107"/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69">
        <f t="shared" si="99"/>
        <v>0</v>
      </c>
      <c r="AT763" s="67" t="str">
        <f t="shared" si="100"/>
        <v/>
      </c>
      <c r="AU763" s="66" t="str">
        <f t="shared" si="101"/>
        <v/>
      </c>
      <c r="AV763" s="67" t="str">
        <f t="shared" si="102"/>
        <v/>
      </c>
      <c r="AW763" s="67" t="str">
        <f t="shared" si="103"/>
        <v/>
      </c>
      <c r="AX763" s="66" t="str">
        <f t="shared" si="104"/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 t="shared" si="105"/>
        <v/>
      </c>
      <c r="BB763" s="66" t="str">
        <f t="shared" si="106"/>
        <v/>
      </c>
      <c r="BC763" s="66">
        <f t="shared" si="107"/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69">
        <f t="shared" si="99"/>
        <v>0</v>
      </c>
      <c r="AT764" s="67" t="str">
        <f t="shared" si="100"/>
        <v/>
      </c>
      <c r="AU764" s="66" t="str">
        <f t="shared" si="101"/>
        <v/>
      </c>
      <c r="AV764" s="67" t="str">
        <f t="shared" si="102"/>
        <v/>
      </c>
      <c r="AW764" s="67" t="str">
        <f t="shared" si="103"/>
        <v/>
      </c>
      <c r="AX764" s="66" t="str">
        <f t="shared" si="104"/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 t="shared" si="105"/>
        <v/>
      </c>
      <c r="BB764" s="66" t="str">
        <f t="shared" si="106"/>
        <v/>
      </c>
      <c r="BC764" s="66">
        <f t="shared" si="107"/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69">
        <f t="shared" si="99"/>
        <v>0</v>
      </c>
      <c r="AT765" s="67" t="str">
        <f t="shared" si="100"/>
        <v/>
      </c>
      <c r="AU765" s="66" t="str">
        <f t="shared" si="101"/>
        <v/>
      </c>
      <c r="AV765" s="67" t="str">
        <f t="shared" si="102"/>
        <v/>
      </c>
      <c r="AW765" s="67" t="str">
        <f t="shared" si="103"/>
        <v/>
      </c>
      <c r="AX765" s="66" t="str">
        <f t="shared" si="104"/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 t="shared" si="105"/>
        <v/>
      </c>
      <c r="BB765" s="66" t="str">
        <f t="shared" si="106"/>
        <v/>
      </c>
      <c r="BC765" s="66">
        <f t="shared" si="107"/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69">
        <f t="shared" si="99"/>
        <v>0</v>
      </c>
      <c r="AT766" s="67" t="str">
        <f t="shared" si="100"/>
        <v/>
      </c>
      <c r="AU766" s="66" t="str">
        <f t="shared" si="101"/>
        <v/>
      </c>
      <c r="AV766" s="67" t="str">
        <f t="shared" si="102"/>
        <v/>
      </c>
      <c r="AW766" s="67" t="str">
        <f t="shared" si="103"/>
        <v/>
      </c>
      <c r="AX766" s="66" t="str">
        <f t="shared" si="104"/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 t="shared" si="105"/>
        <v/>
      </c>
      <c r="BB766" s="66" t="str">
        <f t="shared" si="106"/>
        <v/>
      </c>
      <c r="BC766" s="66">
        <f t="shared" si="107"/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69">
        <f t="shared" si="99"/>
        <v>0</v>
      </c>
      <c r="AT767" s="67" t="str">
        <f t="shared" si="100"/>
        <v/>
      </c>
      <c r="AU767" s="66" t="str">
        <f t="shared" si="101"/>
        <v/>
      </c>
      <c r="AV767" s="67" t="str">
        <f t="shared" si="102"/>
        <v/>
      </c>
      <c r="AW767" s="67" t="str">
        <f t="shared" si="103"/>
        <v/>
      </c>
      <c r="AX767" s="66" t="str">
        <f t="shared" si="104"/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 t="shared" si="105"/>
        <v/>
      </c>
      <c r="BB767" s="66" t="str">
        <f t="shared" si="106"/>
        <v/>
      </c>
      <c r="BC767" s="66">
        <f t="shared" si="107"/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69">
        <f t="shared" si="99"/>
        <v>0</v>
      </c>
      <c r="AT768" s="67" t="str">
        <f t="shared" si="100"/>
        <v/>
      </c>
      <c r="AU768" s="66" t="str">
        <f t="shared" si="101"/>
        <v/>
      </c>
      <c r="AV768" s="67" t="str">
        <f t="shared" si="102"/>
        <v/>
      </c>
      <c r="AW768" s="67" t="str">
        <f t="shared" si="103"/>
        <v/>
      </c>
      <c r="AX768" s="66" t="str">
        <f t="shared" si="104"/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 t="shared" si="105"/>
        <v/>
      </c>
      <c r="BB768" s="66" t="str">
        <f t="shared" si="106"/>
        <v/>
      </c>
      <c r="BC768" s="66">
        <f t="shared" si="107"/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69">
        <f t="shared" si="99"/>
        <v>0</v>
      </c>
      <c r="AT769" s="67" t="str">
        <f t="shared" si="100"/>
        <v/>
      </c>
      <c r="AU769" s="66" t="str">
        <f t="shared" si="101"/>
        <v/>
      </c>
      <c r="AV769" s="67" t="str">
        <f t="shared" si="102"/>
        <v/>
      </c>
      <c r="AW769" s="67" t="str">
        <f t="shared" si="103"/>
        <v/>
      </c>
      <c r="AX769" s="66" t="str">
        <f t="shared" si="104"/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 t="shared" si="105"/>
        <v/>
      </c>
      <c r="BB769" s="66" t="str">
        <f t="shared" si="106"/>
        <v/>
      </c>
      <c r="BC769" s="66">
        <f t="shared" si="107"/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69">
        <f t="shared" si="99"/>
        <v>0</v>
      </c>
      <c r="AT770" s="67" t="str">
        <f t="shared" si="100"/>
        <v/>
      </c>
      <c r="AU770" s="66" t="str">
        <f t="shared" si="101"/>
        <v/>
      </c>
      <c r="AV770" s="67" t="str">
        <f t="shared" si="102"/>
        <v/>
      </c>
      <c r="AW770" s="67" t="str">
        <f t="shared" si="103"/>
        <v/>
      </c>
      <c r="AX770" s="66" t="str">
        <f t="shared" si="104"/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 t="shared" si="105"/>
        <v/>
      </c>
      <c r="BB770" s="66" t="str">
        <f t="shared" si="106"/>
        <v/>
      </c>
      <c r="BC770" s="66">
        <f t="shared" si="107"/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69">
        <f t="shared" si="99"/>
        <v>0</v>
      </c>
      <c r="AT771" s="67" t="str">
        <f t="shared" si="100"/>
        <v/>
      </c>
      <c r="AU771" s="66" t="str">
        <f t="shared" si="101"/>
        <v/>
      </c>
      <c r="AV771" s="67" t="str">
        <f t="shared" si="102"/>
        <v/>
      </c>
      <c r="AW771" s="67" t="str">
        <f t="shared" si="103"/>
        <v/>
      </c>
      <c r="AX771" s="66" t="str">
        <f t="shared" si="104"/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 t="shared" si="105"/>
        <v/>
      </c>
      <c r="BB771" s="66" t="str">
        <f t="shared" si="106"/>
        <v/>
      </c>
      <c r="BC771" s="66">
        <f t="shared" si="107"/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69">
        <f t="shared" si="99"/>
        <v>0</v>
      </c>
      <c r="AT772" s="67" t="str">
        <f t="shared" si="100"/>
        <v/>
      </c>
      <c r="AU772" s="66" t="str">
        <f t="shared" si="101"/>
        <v/>
      </c>
      <c r="AV772" s="67" t="str">
        <f t="shared" si="102"/>
        <v/>
      </c>
      <c r="AW772" s="67" t="str">
        <f t="shared" si="103"/>
        <v/>
      </c>
      <c r="AX772" s="66" t="str">
        <f t="shared" si="104"/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 t="shared" si="105"/>
        <v/>
      </c>
      <c r="BB772" s="66" t="str">
        <f t="shared" si="106"/>
        <v/>
      </c>
      <c r="BC772" s="66">
        <f t="shared" si="107"/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69">
        <f t="shared" ref="AS773:AS836" si="108">SUM(H773,J773,L773,N773,P773,R773,T773,V773,X773,Z773,AB773,AD773,AF773,AH773,AJ773,AL773,AN773)</f>
        <v>0</v>
      </c>
      <c r="AT773" s="67" t="str">
        <f t="shared" ref="AT773:AT836" si="109">IF(C773="","",DATE(YEAR(C773),MONTH(C773),1))</f>
        <v/>
      </c>
      <c r="AU773" s="66" t="str">
        <f t="shared" ref="AU773:AU836" si="110">IF(AT773="","",TEXT(AT773,"mmmm yyyy"))</f>
        <v/>
      </c>
      <c r="AV773" s="67" t="str">
        <f t="shared" ref="AV773:AV836" si="111">IF(C773="","",C773-WEEKDAY(C773,2)+1)</f>
        <v/>
      </c>
      <c r="AW773" s="67" t="str">
        <f t="shared" ref="AW773:AW836" si="112">IF(AV773="","",AV773+6)</f>
        <v/>
      </c>
      <c r="AX773" s="66" t="str">
        <f t="shared" ref="AX773:AX836" si="113"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 t="shared" ref="BA773:BA836" si="114">IF(B773="","",TEXT(AY773,"00")&amp;"|"&amp;B773&amp;"|"&amp;TEXT(AT773,"yyyymmdd"))</f>
        <v/>
      </c>
      <c r="BB773" s="66" t="str">
        <f t="shared" ref="BB773:BB836" si="115">IF(B773="","",TEXT(AZ773,"00")&amp;"|"&amp;B773&amp;"|"&amp;TEXT(AV773,"yyyymmdd"))</f>
        <v/>
      </c>
      <c r="BC773" s="66">
        <f t="shared" ref="BC773:BC836" si="116"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69">
        <f t="shared" si="108"/>
        <v>0</v>
      </c>
      <c r="AT774" s="67" t="str">
        <f t="shared" si="109"/>
        <v/>
      </c>
      <c r="AU774" s="66" t="str">
        <f t="shared" si="110"/>
        <v/>
      </c>
      <c r="AV774" s="67" t="str">
        <f t="shared" si="111"/>
        <v/>
      </c>
      <c r="AW774" s="67" t="str">
        <f t="shared" si="112"/>
        <v/>
      </c>
      <c r="AX774" s="66" t="str">
        <f t="shared" si="113"/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 t="shared" si="114"/>
        <v/>
      </c>
      <c r="BB774" s="66" t="str">
        <f t="shared" si="115"/>
        <v/>
      </c>
      <c r="BC774" s="66">
        <f t="shared" si="116"/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69">
        <f t="shared" si="108"/>
        <v>0</v>
      </c>
      <c r="AT775" s="67" t="str">
        <f t="shared" si="109"/>
        <v/>
      </c>
      <c r="AU775" s="66" t="str">
        <f t="shared" si="110"/>
        <v/>
      </c>
      <c r="AV775" s="67" t="str">
        <f t="shared" si="111"/>
        <v/>
      </c>
      <c r="AW775" s="67" t="str">
        <f t="shared" si="112"/>
        <v/>
      </c>
      <c r="AX775" s="66" t="str">
        <f t="shared" si="113"/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 t="shared" si="114"/>
        <v/>
      </c>
      <c r="BB775" s="66" t="str">
        <f t="shared" si="115"/>
        <v/>
      </c>
      <c r="BC775" s="66">
        <f t="shared" si="116"/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69">
        <f t="shared" si="108"/>
        <v>0</v>
      </c>
      <c r="AT776" s="67" t="str">
        <f t="shared" si="109"/>
        <v/>
      </c>
      <c r="AU776" s="66" t="str">
        <f t="shared" si="110"/>
        <v/>
      </c>
      <c r="AV776" s="67" t="str">
        <f t="shared" si="111"/>
        <v/>
      </c>
      <c r="AW776" s="67" t="str">
        <f t="shared" si="112"/>
        <v/>
      </c>
      <c r="AX776" s="66" t="str">
        <f t="shared" si="113"/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 t="shared" si="114"/>
        <v/>
      </c>
      <c r="BB776" s="66" t="str">
        <f t="shared" si="115"/>
        <v/>
      </c>
      <c r="BC776" s="66">
        <f t="shared" si="116"/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69">
        <f t="shared" si="108"/>
        <v>0</v>
      </c>
      <c r="AT777" s="67" t="str">
        <f t="shared" si="109"/>
        <v/>
      </c>
      <c r="AU777" s="66" t="str">
        <f t="shared" si="110"/>
        <v/>
      </c>
      <c r="AV777" s="67" t="str">
        <f t="shared" si="111"/>
        <v/>
      </c>
      <c r="AW777" s="67" t="str">
        <f t="shared" si="112"/>
        <v/>
      </c>
      <c r="AX777" s="66" t="str">
        <f t="shared" si="113"/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 t="shared" si="114"/>
        <v/>
      </c>
      <c r="BB777" s="66" t="str">
        <f t="shared" si="115"/>
        <v/>
      </c>
      <c r="BC777" s="66">
        <f t="shared" si="116"/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69">
        <f t="shared" si="108"/>
        <v>0</v>
      </c>
      <c r="AT778" s="67" t="str">
        <f t="shared" si="109"/>
        <v/>
      </c>
      <c r="AU778" s="66" t="str">
        <f t="shared" si="110"/>
        <v/>
      </c>
      <c r="AV778" s="67" t="str">
        <f t="shared" si="111"/>
        <v/>
      </c>
      <c r="AW778" s="67" t="str">
        <f t="shared" si="112"/>
        <v/>
      </c>
      <c r="AX778" s="66" t="str">
        <f t="shared" si="113"/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 t="shared" si="114"/>
        <v/>
      </c>
      <c r="BB778" s="66" t="str">
        <f t="shared" si="115"/>
        <v/>
      </c>
      <c r="BC778" s="66">
        <f t="shared" si="116"/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69">
        <f t="shared" si="108"/>
        <v>0</v>
      </c>
      <c r="AT779" s="67" t="str">
        <f t="shared" si="109"/>
        <v/>
      </c>
      <c r="AU779" s="66" t="str">
        <f t="shared" si="110"/>
        <v/>
      </c>
      <c r="AV779" s="67" t="str">
        <f t="shared" si="111"/>
        <v/>
      </c>
      <c r="AW779" s="67" t="str">
        <f t="shared" si="112"/>
        <v/>
      </c>
      <c r="AX779" s="66" t="str">
        <f t="shared" si="113"/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 t="shared" si="114"/>
        <v/>
      </c>
      <c r="BB779" s="66" t="str">
        <f t="shared" si="115"/>
        <v/>
      </c>
      <c r="BC779" s="66">
        <f t="shared" si="116"/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69">
        <f t="shared" si="108"/>
        <v>0</v>
      </c>
      <c r="AT780" s="67" t="str">
        <f t="shared" si="109"/>
        <v/>
      </c>
      <c r="AU780" s="66" t="str">
        <f t="shared" si="110"/>
        <v/>
      </c>
      <c r="AV780" s="67" t="str">
        <f t="shared" si="111"/>
        <v/>
      </c>
      <c r="AW780" s="67" t="str">
        <f t="shared" si="112"/>
        <v/>
      </c>
      <c r="AX780" s="66" t="str">
        <f t="shared" si="113"/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 t="shared" si="114"/>
        <v/>
      </c>
      <c r="BB780" s="66" t="str">
        <f t="shared" si="115"/>
        <v/>
      </c>
      <c r="BC780" s="66">
        <f t="shared" si="116"/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69">
        <f t="shared" si="108"/>
        <v>0</v>
      </c>
      <c r="AT781" s="67" t="str">
        <f t="shared" si="109"/>
        <v/>
      </c>
      <c r="AU781" s="66" t="str">
        <f t="shared" si="110"/>
        <v/>
      </c>
      <c r="AV781" s="67" t="str">
        <f t="shared" si="111"/>
        <v/>
      </c>
      <c r="AW781" s="67" t="str">
        <f t="shared" si="112"/>
        <v/>
      </c>
      <c r="AX781" s="66" t="str">
        <f t="shared" si="113"/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 t="shared" si="114"/>
        <v/>
      </c>
      <c r="BB781" s="66" t="str">
        <f t="shared" si="115"/>
        <v/>
      </c>
      <c r="BC781" s="66">
        <f t="shared" si="116"/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69">
        <f t="shared" si="108"/>
        <v>0</v>
      </c>
      <c r="AT782" s="67" t="str">
        <f t="shared" si="109"/>
        <v/>
      </c>
      <c r="AU782" s="66" t="str">
        <f t="shared" si="110"/>
        <v/>
      </c>
      <c r="AV782" s="67" t="str">
        <f t="shared" si="111"/>
        <v/>
      </c>
      <c r="AW782" s="67" t="str">
        <f t="shared" si="112"/>
        <v/>
      </c>
      <c r="AX782" s="66" t="str">
        <f t="shared" si="113"/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 t="shared" si="114"/>
        <v/>
      </c>
      <c r="BB782" s="66" t="str">
        <f t="shared" si="115"/>
        <v/>
      </c>
      <c r="BC782" s="66">
        <f t="shared" si="116"/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69">
        <f t="shared" si="108"/>
        <v>0</v>
      </c>
      <c r="AT783" s="67" t="str">
        <f t="shared" si="109"/>
        <v/>
      </c>
      <c r="AU783" s="66" t="str">
        <f t="shared" si="110"/>
        <v/>
      </c>
      <c r="AV783" s="67" t="str">
        <f t="shared" si="111"/>
        <v/>
      </c>
      <c r="AW783" s="67" t="str">
        <f t="shared" si="112"/>
        <v/>
      </c>
      <c r="AX783" s="66" t="str">
        <f t="shared" si="113"/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 t="shared" si="114"/>
        <v/>
      </c>
      <c r="BB783" s="66" t="str">
        <f t="shared" si="115"/>
        <v/>
      </c>
      <c r="BC783" s="66">
        <f t="shared" si="116"/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69">
        <f t="shared" si="108"/>
        <v>0</v>
      </c>
      <c r="AT784" s="67" t="str">
        <f t="shared" si="109"/>
        <v/>
      </c>
      <c r="AU784" s="66" t="str">
        <f t="shared" si="110"/>
        <v/>
      </c>
      <c r="AV784" s="67" t="str">
        <f t="shared" si="111"/>
        <v/>
      </c>
      <c r="AW784" s="67" t="str">
        <f t="shared" si="112"/>
        <v/>
      </c>
      <c r="AX784" s="66" t="str">
        <f t="shared" si="113"/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 t="shared" si="114"/>
        <v/>
      </c>
      <c r="BB784" s="66" t="str">
        <f t="shared" si="115"/>
        <v/>
      </c>
      <c r="BC784" s="66">
        <f t="shared" si="116"/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69">
        <f t="shared" si="108"/>
        <v>0</v>
      </c>
      <c r="AT785" s="67" t="str">
        <f t="shared" si="109"/>
        <v/>
      </c>
      <c r="AU785" s="66" t="str">
        <f t="shared" si="110"/>
        <v/>
      </c>
      <c r="AV785" s="67" t="str">
        <f t="shared" si="111"/>
        <v/>
      </c>
      <c r="AW785" s="67" t="str">
        <f t="shared" si="112"/>
        <v/>
      </c>
      <c r="AX785" s="66" t="str">
        <f t="shared" si="113"/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 t="shared" si="114"/>
        <v/>
      </c>
      <c r="BB785" s="66" t="str">
        <f t="shared" si="115"/>
        <v/>
      </c>
      <c r="BC785" s="66">
        <f t="shared" si="116"/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69">
        <f t="shared" si="108"/>
        <v>0</v>
      </c>
      <c r="AT786" s="67" t="str">
        <f t="shared" si="109"/>
        <v/>
      </c>
      <c r="AU786" s="66" t="str">
        <f t="shared" si="110"/>
        <v/>
      </c>
      <c r="AV786" s="67" t="str">
        <f t="shared" si="111"/>
        <v/>
      </c>
      <c r="AW786" s="67" t="str">
        <f t="shared" si="112"/>
        <v/>
      </c>
      <c r="AX786" s="66" t="str">
        <f t="shared" si="113"/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 t="shared" si="114"/>
        <v/>
      </c>
      <c r="BB786" s="66" t="str">
        <f t="shared" si="115"/>
        <v/>
      </c>
      <c r="BC786" s="66">
        <f t="shared" si="116"/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69">
        <f t="shared" si="108"/>
        <v>0</v>
      </c>
      <c r="AT787" s="67" t="str">
        <f t="shared" si="109"/>
        <v/>
      </c>
      <c r="AU787" s="66" t="str">
        <f t="shared" si="110"/>
        <v/>
      </c>
      <c r="AV787" s="67" t="str">
        <f t="shared" si="111"/>
        <v/>
      </c>
      <c r="AW787" s="67" t="str">
        <f t="shared" si="112"/>
        <v/>
      </c>
      <c r="AX787" s="66" t="str">
        <f t="shared" si="113"/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 t="shared" si="114"/>
        <v/>
      </c>
      <c r="BB787" s="66" t="str">
        <f t="shared" si="115"/>
        <v/>
      </c>
      <c r="BC787" s="66">
        <f t="shared" si="116"/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69">
        <f t="shared" si="108"/>
        <v>0</v>
      </c>
      <c r="AT788" s="67" t="str">
        <f t="shared" si="109"/>
        <v/>
      </c>
      <c r="AU788" s="66" t="str">
        <f t="shared" si="110"/>
        <v/>
      </c>
      <c r="AV788" s="67" t="str">
        <f t="shared" si="111"/>
        <v/>
      </c>
      <c r="AW788" s="67" t="str">
        <f t="shared" si="112"/>
        <v/>
      </c>
      <c r="AX788" s="66" t="str">
        <f t="shared" si="113"/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 t="shared" si="114"/>
        <v/>
      </c>
      <c r="BB788" s="66" t="str">
        <f t="shared" si="115"/>
        <v/>
      </c>
      <c r="BC788" s="66">
        <f t="shared" si="116"/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69">
        <f t="shared" si="108"/>
        <v>0</v>
      </c>
      <c r="AT789" s="67" t="str">
        <f t="shared" si="109"/>
        <v/>
      </c>
      <c r="AU789" s="66" t="str">
        <f t="shared" si="110"/>
        <v/>
      </c>
      <c r="AV789" s="67" t="str">
        <f t="shared" si="111"/>
        <v/>
      </c>
      <c r="AW789" s="67" t="str">
        <f t="shared" si="112"/>
        <v/>
      </c>
      <c r="AX789" s="66" t="str">
        <f t="shared" si="113"/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 t="shared" si="114"/>
        <v/>
      </c>
      <c r="BB789" s="66" t="str">
        <f t="shared" si="115"/>
        <v/>
      </c>
      <c r="BC789" s="66">
        <f t="shared" si="116"/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69">
        <f t="shared" si="108"/>
        <v>0</v>
      </c>
      <c r="AT790" s="67" t="str">
        <f t="shared" si="109"/>
        <v/>
      </c>
      <c r="AU790" s="66" t="str">
        <f t="shared" si="110"/>
        <v/>
      </c>
      <c r="AV790" s="67" t="str">
        <f t="shared" si="111"/>
        <v/>
      </c>
      <c r="AW790" s="67" t="str">
        <f t="shared" si="112"/>
        <v/>
      </c>
      <c r="AX790" s="66" t="str">
        <f t="shared" si="113"/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 t="shared" si="114"/>
        <v/>
      </c>
      <c r="BB790" s="66" t="str">
        <f t="shared" si="115"/>
        <v/>
      </c>
      <c r="BC790" s="66">
        <f t="shared" si="116"/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69">
        <f t="shared" si="108"/>
        <v>0</v>
      </c>
      <c r="AT791" s="67" t="str">
        <f t="shared" si="109"/>
        <v/>
      </c>
      <c r="AU791" s="66" t="str">
        <f t="shared" si="110"/>
        <v/>
      </c>
      <c r="AV791" s="67" t="str">
        <f t="shared" si="111"/>
        <v/>
      </c>
      <c r="AW791" s="67" t="str">
        <f t="shared" si="112"/>
        <v/>
      </c>
      <c r="AX791" s="66" t="str">
        <f t="shared" si="113"/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 t="shared" si="114"/>
        <v/>
      </c>
      <c r="BB791" s="66" t="str">
        <f t="shared" si="115"/>
        <v/>
      </c>
      <c r="BC791" s="66">
        <f t="shared" si="116"/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69">
        <f t="shared" si="108"/>
        <v>0</v>
      </c>
      <c r="AT792" s="67" t="str">
        <f t="shared" si="109"/>
        <v/>
      </c>
      <c r="AU792" s="66" t="str">
        <f t="shared" si="110"/>
        <v/>
      </c>
      <c r="AV792" s="67" t="str">
        <f t="shared" si="111"/>
        <v/>
      </c>
      <c r="AW792" s="67" t="str">
        <f t="shared" si="112"/>
        <v/>
      </c>
      <c r="AX792" s="66" t="str">
        <f t="shared" si="113"/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 t="shared" si="114"/>
        <v/>
      </c>
      <c r="BB792" s="66" t="str">
        <f t="shared" si="115"/>
        <v/>
      </c>
      <c r="BC792" s="66">
        <f t="shared" si="116"/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69">
        <f t="shared" si="108"/>
        <v>0</v>
      </c>
      <c r="AT793" s="67" t="str">
        <f t="shared" si="109"/>
        <v/>
      </c>
      <c r="AU793" s="66" t="str">
        <f t="shared" si="110"/>
        <v/>
      </c>
      <c r="AV793" s="67" t="str">
        <f t="shared" si="111"/>
        <v/>
      </c>
      <c r="AW793" s="67" t="str">
        <f t="shared" si="112"/>
        <v/>
      </c>
      <c r="AX793" s="66" t="str">
        <f t="shared" si="113"/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 t="shared" si="114"/>
        <v/>
      </c>
      <c r="BB793" s="66" t="str">
        <f t="shared" si="115"/>
        <v/>
      </c>
      <c r="BC793" s="66">
        <f t="shared" si="116"/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69">
        <f t="shared" si="108"/>
        <v>0</v>
      </c>
      <c r="AT794" s="67" t="str">
        <f t="shared" si="109"/>
        <v/>
      </c>
      <c r="AU794" s="66" t="str">
        <f t="shared" si="110"/>
        <v/>
      </c>
      <c r="AV794" s="67" t="str">
        <f t="shared" si="111"/>
        <v/>
      </c>
      <c r="AW794" s="67" t="str">
        <f t="shared" si="112"/>
        <v/>
      </c>
      <c r="AX794" s="66" t="str">
        <f t="shared" si="113"/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 t="shared" si="114"/>
        <v/>
      </c>
      <c r="BB794" s="66" t="str">
        <f t="shared" si="115"/>
        <v/>
      </c>
      <c r="BC794" s="66">
        <f t="shared" si="116"/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69">
        <f t="shared" si="108"/>
        <v>0</v>
      </c>
      <c r="AT795" s="67" t="str">
        <f t="shared" si="109"/>
        <v/>
      </c>
      <c r="AU795" s="66" t="str">
        <f t="shared" si="110"/>
        <v/>
      </c>
      <c r="AV795" s="67" t="str">
        <f t="shared" si="111"/>
        <v/>
      </c>
      <c r="AW795" s="67" t="str">
        <f t="shared" si="112"/>
        <v/>
      </c>
      <c r="AX795" s="66" t="str">
        <f t="shared" si="113"/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 t="shared" si="114"/>
        <v/>
      </c>
      <c r="BB795" s="66" t="str">
        <f t="shared" si="115"/>
        <v/>
      </c>
      <c r="BC795" s="66">
        <f t="shared" si="116"/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69">
        <f t="shared" si="108"/>
        <v>0</v>
      </c>
      <c r="AT796" s="67" t="str">
        <f t="shared" si="109"/>
        <v/>
      </c>
      <c r="AU796" s="66" t="str">
        <f t="shared" si="110"/>
        <v/>
      </c>
      <c r="AV796" s="67" t="str">
        <f t="shared" si="111"/>
        <v/>
      </c>
      <c r="AW796" s="67" t="str">
        <f t="shared" si="112"/>
        <v/>
      </c>
      <c r="AX796" s="66" t="str">
        <f t="shared" si="113"/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 t="shared" si="114"/>
        <v/>
      </c>
      <c r="BB796" s="66" t="str">
        <f t="shared" si="115"/>
        <v/>
      </c>
      <c r="BC796" s="66">
        <f t="shared" si="116"/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69">
        <f t="shared" si="108"/>
        <v>0</v>
      </c>
      <c r="AT797" s="67" t="str">
        <f t="shared" si="109"/>
        <v/>
      </c>
      <c r="AU797" s="66" t="str">
        <f t="shared" si="110"/>
        <v/>
      </c>
      <c r="AV797" s="67" t="str">
        <f t="shared" si="111"/>
        <v/>
      </c>
      <c r="AW797" s="67" t="str">
        <f t="shared" si="112"/>
        <v/>
      </c>
      <c r="AX797" s="66" t="str">
        <f t="shared" si="113"/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 t="shared" si="114"/>
        <v/>
      </c>
      <c r="BB797" s="66" t="str">
        <f t="shared" si="115"/>
        <v/>
      </c>
      <c r="BC797" s="66">
        <f t="shared" si="116"/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69">
        <f t="shared" si="108"/>
        <v>0</v>
      </c>
      <c r="AT798" s="67" t="str">
        <f t="shared" si="109"/>
        <v/>
      </c>
      <c r="AU798" s="66" t="str">
        <f t="shared" si="110"/>
        <v/>
      </c>
      <c r="AV798" s="67" t="str">
        <f t="shared" si="111"/>
        <v/>
      </c>
      <c r="AW798" s="67" t="str">
        <f t="shared" si="112"/>
        <v/>
      </c>
      <c r="AX798" s="66" t="str">
        <f t="shared" si="113"/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 t="shared" si="114"/>
        <v/>
      </c>
      <c r="BB798" s="66" t="str">
        <f t="shared" si="115"/>
        <v/>
      </c>
      <c r="BC798" s="66">
        <f t="shared" si="116"/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69">
        <f t="shared" si="108"/>
        <v>0</v>
      </c>
      <c r="AT799" s="67" t="str">
        <f t="shared" si="109"/>
        <v/>
      </c>
      <c r="AU799" s="66" t="str">
        <f t="shared" si="110"/>
        <v/>
      </c>
      <c r="AV799" s="67" t="str">
        <f t="shared" si="111"/>
        <v/>
      </c>
      <c r="AW799" s="67" t="str">
        <f t="shared" si="112"/>
        <v/>
      </c>
      <c r="AX799" s="66" t="str">
        <f t="shared" si="113"/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 t="shared" si="114"/>
        <v/>
      </c>
      <c r="BB799" s="66" t="str">
        <f t="shared" si="115"/>
        <v/>
      </c>
      <c r="BC799" s="66">
        <f t="shared" si="116"/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69">
        <f t="shared" si="108"/>
        <v>0</v>
      </c>
      <c r="AT800" s="67" t="str">
        <f t="shared" si="109"/>
        <v/>
      </c>
      <c r="AU800" s="66" t="str">
        <f t="shared" si="110"/>
        <v/>
      </c>
      <c r="AV800" s="67" t="str">
        <f t="shared" si="111"/>
        <v/>
      </c>
      <c r="AW800" s="67" t="str">
        <f t="shared" si="112"/>
        <v/>
      </c>
      <c r="AX800" s="66" t="str">
        <f t="shared" si="113"/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 t="shared" si="114"/>
        <v/>
      </c>
      <c r="BB800" s="66" t="str">
        <f t="shared" si="115"/>
        <v/>
      </c>
      <c r="BC800" s="66">
        <f t="shared" si="116"/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69">
        <f t="shared" si="108"/>
        <v>0</v>
      </c>
      <c r="AT801" s="67" t="str">
        <f t="shared" si="109"/>
        <v/>
      </c>
      <c r="AU801" s="66" t="str">
        <f t="shared" si="110"/>
        <v/>
      </c>
      <c r="AV801" s="67" t="str">
        <f t="shared" si="111"/>
        <v/>
      </c>
      <c r="AW801" s="67" t="str">
        <f t="shared" si="112"/>
        <v/>
      </c>
      <c r="AX801" s="66" t="str">
        <f t="shared" si="113"/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 t="shared" si="114"/>
        <v/>
      </c>
      <c r="BB801" s="66" t="str">
        <f t="shared" si="115"/>
        <v/>
      </c>
      <c r="BC801" s="66">
        <f t="shared" si="116"/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69">
        <f t="shared" si="108"/>
        <v>0</v>
      </c>
      <c r="AT802" s="67" t="str">
        <f t="shared" si="109"/>
        <v/>
      </c>
      <c r="AU802" s="66" t="str">
        <f t="shared" si="110"/>
        <v/>
      </c>
      <c r="AV802" s="67" t="str">
        <f t="shared" si="111"/>
        <v/>
      </c>
      <c r="AW802" s="67" t="str">
        <f t="shared" si="112"/>
        <v/>
      </c>
      <c r="AX802" s="66" t="str">
        <f t="shared" si="113"/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 t="shared" si="114"/>
        <v/>
      </c>
      <c r="BB802" s="66" t="str">
        <f t="shared" si="115"/>
        <v/>
      </c>
      <c r="BC802" s="66">
        <f t="shared" si="116"/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69">
        <f t="shared" si="108"/>
        <v>0</v>
      </c>
      <c r="AT803" s="67" t="str">
        <f t="shared" si="109"/>
        <v/>
      </c>
      <c r="AU803" s="66" t="str">
        <f t="shared" si="110"/>
        <v/>
      </c>
      <c r="AV803" s="67" t="str">
        <f t="shared" si="111"/>
        <v/>
      </c>
      <c r="AW803" s="67" t="str">
        <f t="shared" si="112"/>
        <v/>
      </c>
      <c r="AX803" s="66" t="str">
        <f t="shared" si="113"/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 t="shared" si="114"/>
        <v/>
      </c>
      <c r="BB803" s="66" t="str">
        <f t="shared" si="115"/>
        <v/>
      </c>
      <c r="BC803" s="66">
        <f t="shared" si="116"/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69">
        <f t="shared" si="108"/>
        <v>0</v>
      </c>
      <c r="AT804" s="67" t="str">
        <f t="shared" si="109"/>
        <v/>
      </c>
      <c r="AU804" s="66" t="str">
        <f t="shared" si="110"/>
        <v/>
      </c>
      <c r="AV804" s="67" t="str">
        <f t="shared" si="111"/>
        <v/>
      </c>
      <c r="AW804" s="67" t="str">
        <f t="shared" si="112"/>
        <v/>
      </c>
      <c r="AX804" s="66" t="str">
        <f t="shared" si="113"/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 t="shared" si="114"/>
        <v/>
      </c>
      <c r="BB804" s="66" t="str">
        <f t="shared" si="115"/>
        <v/>
      </c>
      <c r="BC804" s="66">
        <f t="shared" si="116"/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69">
        <f t="shared" si="108"/>
        <v>0</v>
      </c>
      <c r="AT805" s="67" t="str">
        <f t="shared" si="109"/>
        <v/>
      </c>
      <c r="AU805" s="66" t="str">
        <f t="shared" si="110"/>
        <v/>
      </c>
      <c r="AV805" s="67" t="str">
        <f t="shared" si="111"/>
        <v/>
      </c>
      <c r="AW805" s="67" t="str">
        <f t="shared" si="112"/>
        <v/>
      </c>
      <c r="AX805" s="66" t="str">
        <f t="shared" si="113"/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 t="shared" si="114"/>
        <v/>
      </c>
      <c r="BB805" s="66" t="str">
        <f t="shared" si="115"/>
        <v/>
      </c>
      <c r="BC805" s="66">
        <f t="shared" si="116"/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69">
        <f t="shared" si="108"/>
        <v>0</v>
      </c>
      <c r="AT806" s="67" t="str">
        <f t="shared" si="109"/>
        <v/>
      </c>
      <c r="AU806" s="66" t="str">
        <f t="shared" si="110"/>
        <v/>
      </c>
      <c r="AV806" s="67" t="str">
        <f t="shared" si="111"/>
        <v/>
      </c>
      <c r="AW806" s="67" t="str">
        <f t="shared" si="112"/>
        <v/>
      </c>
      <c r="AX806" s="66" t="str">
        <f t="shared" si="113"/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 t="shared" si="114"/>
        <v/>
      </c>
      <c r="BB806" s="66" t="str">
        <f t="shared" si="115"/>
        <v/>
      </c>
      <c r="BC806" s="66">
        <f t="shared" si="116"/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69">
        <f t="shared" si="108"/>
        <v>0</v>
      </c>
      <c r="AT807" s="67" t="str">
        <f t="shared" si="109"/>
        <v/>
      </c>
      <c r="AU807" s="66" t="str">
        <f t="shared" si="110"/>
        <v/>
      </c>
      <c r="AV807" s="67" t="str">
        <f t="shared" si="111"/>
        <v/>
      </c>
      <c r="AW807" s="67" t="str">
        <f t="shared" si="112"/>
        <v/>
      </c>
      <c r="AX807" s="66" t="str">
        <f t="shared" si="113"/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 t="shared" si="114"/>
        <v/>
      </c>
      <c r="BB807" s="66" t="str">
        <f t="shared" si="115"/>
        <v/>
      </c>
      <c r="BC807" s="66">
        <f t="shared" si="116"/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69">
        <f t="shared" si="108"/>
        <v>0</v>
      </c>
      <c r="AT808" s="67" t="str">
        <f t="shared" si="109"/>
        <v/>
      </c>
      <c r="AU808" s="66" t="str">
        <f t="shared" si="110"/>
        <v/>
      </c>
      <c r="AV808" s="67" t="str">
        <f t="shared" si="111"/>
        <v/>
      </c>
      <c r="AW808" s="67" t="str">
        <f t="shared" si="112"/>
        <v/>
      </c>
      <c r="AX808" s="66" t="str">
        <f t="shared" si="113"/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 t="shared" si="114"/>
        <v/>
      </c>
      <c r="BB808" s="66" t="str">
        <f t="shared" si="115"/>
        <v/>
      </c>
      <c r="BC808" s="66">
        <f t="shared" si="116"/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69">
        <f t="shared" si="108"/>
        <v>0</v>
      </c>
      <c r="AT809" s="67" t="str">
        <f t="shared" si="109"/>
        <v/>
      </c>
      <c r="AU809" s="66" t="str">
        <f t="shared" si="110"/>
        <v/>
      </c>
      <c r="AV809" s="67" t="str">
        <f t="shared" si="111"/>
        <v/>
      </c>
      <c r="AW809" s="67" t="str">
        <f t="shared" si="112"/>
        <v/>
      </c>
      <c r="AX809" s="66" t="str">
        <f t="shared" si="113"/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 t="shared" si="114"/>
        <v/>
      </c>
      <c r="BB809" s="66" t="str">
        <f t="shared" si="115"/>
        <v/>
      </c>
      <c r="BC809" s="66">
        <f t="shared" si="116"/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69">
        <f t="shared" si="108"/>
        <v>0</v>
      </c>
      <c r="AT810" s="67" t="str">
        <f t="shared" si="109"/>
        <v/>
      </c>
      <c r="AU810" s="66" t="str">
        <f t="shared" si="110"/>
        <v/>
      </c>
      <c r="AV810" s="67" t="str">
        <f t="shared" si="111"/>
        <v/>
      </c>
      <c r="AW810" s="67" t="str">
        <f t="shared" si="112"/>
        <v/>
      </c>
      <c r="AX810" s="66" t="str">
        <f t="shared" si="113"/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 t="shared" si="114"/>
        <v/>
      </c>
      <c r="BB810" s="66" t="str">
        <f t="shared" si="115"/>
        <v/>
      </c>
      <c r="BC810" s="66">
        <f t="shared" si="116"/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69">
        <f t="shared" si="108"/>
        <v>0</v>
      </c>
      <c r="AT811" s="67" t="str">
        <f t="shared" si="109"/>
        <v/>
      </c>
      <c r="AU811" s="66" t="str">
        <f t="shared" si="110"/>
        <v/>
      </c>
      <c r="AV811" s="67" t="str">
        <f t="shared" si="111"/>
        <v/>
      </c>
      <c r="AW811" s="67" t="str">
        <f t="shared" si="112"/>
        <v/>
      </c>
      <c r="AX811" s="66" t="str">
        <f t="shared" si="113"/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 t="shared" si="114"/>
        <v/>
      </c>
      <c r="BB811" s="66" t="str">
        <f t="shared" si="115"/>
        <v/>
      </c>
      <c r="BC811" s="66">
        <f t="shared" si="116"/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69">
        <f t="shared" si="108"/>
        <v>0</v>
      </c>
      <c r="AT812" s="67" t="str">
        <f t="shared" si="109"/>
        <v/>
      </c>
      <c r="AU812" s="66" t="str">
        <f t="shared" si="110"/>
        <v/>
      </c>
      <c r="AV812" s="67" t="str">
        <f t="shared" si="111"/>
        <v/>
      </c>
      <c r="AW812" s="67" t="str">
        <f t="shared" si="112"/>
        <v/>
      </c>
      <c r="AX812" s="66" t="str">
        <f t="shared" si="113"/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 t="shared" si="114"/>
        <v/>
      </c>
      <c r="BB812" s="66" t="str">
        <f t="shared" si="115"/>
        <v/>
      </c>
      <c r="BC812" s="66">
        <f t="shared" si="116"/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69">
        <f t="shared" si="108"/>
        <v>0</v>
      </c>
      <c r="AT813" s="67" t="str">
        <f t="shared" si="109"/>
        <v/>
      </c>
      <c r="AU813" s="66" t="str">
        <f t="shared" si="110"/>
        <v/>
      </c>
      <c r="AV813" s="67" t="str">
        <f t="shared" si="111"/>
        <v/>
      </c>
      <c r="AW813" s="67" t="str">
        <f t="shared" si="112"/>
        <v/>
      </c>
      <c r="AX813" s="66" t="str">
        <f t="shared" si="113"/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 t="shared" si="114"/>
        <v/>
      </c>
      <c r="BB813" s="66" t="str">
        <f t="shared" si="115"/>
        <v/>
      </c>
      <c r="BC813" s="66">
        <f t="shared" si="116"/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69">
        <f t="shared" si="108"/>
        <v>0</v>
      </c>
      <c r="AT814" s="67" t="str">
        <f t="shared" si="109"/>
        <v/>
      </c>
      <c r="AU814" s="66" t="str">
        <f t="shared" si="110"/>
        <v/>
      </c>
      <c r="AV814" s="67" t="str">
        <f t="shared" si="111"/>
        <v/>
      </c>
      <c r="AW814" s="67" t="str">
        <f t="shared" si="112"/>
        <v/>
      </c>
      <c r="AX814" s="66" t="str">
        <f t="shared" si="113"/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 t="shared" si="114"/>
        <v/>
      </c>
      <c r="BB814" s="66" t="str">
        <f t="shared" si="115"/>
        <v/>
      </c>
      <c r="BC814" s="66">
        <f t="shared" si="116"/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69">
        <f t="shared" si="108"/>
        <v>0</v>
      </c>
      <c r="AT815" s="67" t="str">
        <f t="shared" si="109"/>
        <v/>
      </c>
      <c r="AU815" s="66" t="str">
        <f t="shared" si="110"/>
        <v/>
      </c>
      <c r="AV815" s="67" t="str">
        <f t="shared" si="111"/>
        <v/>
      </c>
      <c r="AW815" s="67" t="str">
        <f t="shared" si="112"/>
        <v/>
      </c>
      <c r="AX815" s="66" t="str">
        <f t="shared" si="113"/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 t="shared" si="114"/>
        <v/>
      </c>
      <c r="BB815" s="66" t="str">
        <f t="shared" si="115"/>
        <v/>
      </c>
      <c r="BC815" s="66">
        <f t="shared" si="116"/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69">
        <f t="shared" si="108"/>
        <v>0</v>
      </c>
      <c r="AT816" s="67" t="str">
        <f t="shared" si="109"/>
        <v/>
      </c>
      <c r="AU816" s="66" t="str">
        <f t="shared" si="110"/>
        <v/>
      </c>
      <c r="AV816" s="67" t="str">
        <f t="shared" si="111"/>
        <v/>
      </c>
      <c r="AW816" s="67" t="str">
        <f t="shared" si="112"/>
        <v/>
      </c>
      <c r="AX816" s="66" t="str">
        <f t="shared" si="113"/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 t="shared" si="114"/>
        <v/>
      </c>
      <c r="BB816" s="66" t="str">
        <f t="shared" si="115"/>
        <v/>
      </c>
      <c r="BC816" s="66">
        <f t="shared" si="116"/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69">
        <f t="shared" si="108"/>
        <v>0</v>
      </c>
      <c r="AT817" s="67" t="str">
        <f t="shared" si="109"/>
        <v/>
      </c>
      <c r="AU817" s="66" t="str">
        <f t="shared" si="110"/>
        <v/>
      </c>
      <c r="AV817" s="67" t="str">
        <f t="shared" si="111"/>
        <v/>
      </c>
      <c r="AW817" s="67" t="str">
        <f t="shared" si="112"/>
        <v/>
      </c>
      <c r="AX817" s="66" t="str">
        <f t="shared" si="113"/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 t="shared" si="114"/>
        <v/>
      </c>
      <c r="BB817" s="66" t="str">
        <f t="shared" si="115"/>
        <v/>
      </c>
      <c r="BC817" s="66">
        <f t="shared" si="116"/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69">
        <f t="shared" si="108"/>
        <v>0</v>
      </c>
      <c r="AT818" s="67" t="str">
        <f t="shared" si="109"/>
        <v/>
      </c>
      <c r="AU818" s="66" t="str">
        <f t="shared" si="110"/>
        <v/>
      </c>
      <c r="AV818" s="67" t="str">
        <f t="shared" si="111"/>
        <v/>
      </c>
      <c r="AW818" s="67" t="str">
        <f t="shared" si="112"/>
        <v/>
      </c>
      <c r="AX818" s="66" t="str">
        <f t="shared" si="113"/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 t="shared" si="114"/>
        <v/>
      </c>
      <c r="BB818" s="66" t="str">
        <f t="shared" si="115"/>
        <v/>
      </c>
      <c r="BC818" s="66">
        <f t="shared" si="116"/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69">
        <f t="shared" si="108"/>
        <v>0</v>
      </c>
      <c r="AT819" s="67" t="str">
        <f t="shared" si="109"/>
        <v/>
      </c>
      <c r="AU819" s="66" t="str">
        <f t="shared" si="110"/>
        <v/>
      </c>
      <c r="AV819" s="67" t="str">
        <f t="shared" si="111"/>
        <v/>
      </c>
      <c r="AW819" s="67" t="str">
        <f t="shared" si="112"/>
        <v/>
      </c>
      <c r="AX819" s="66" t="str">
        <f t="shared" si="113"/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 t="shared" si="114"/>
        <v/>
      </c>
      <c r="BB819" s="66" t="str">
        <f t="shared" si="115"/>
        <v/>
      </c>
      <c r="BC819" s="66">
        <f t="shared" si="116"/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69">
        <f t="shared" si="108"/>
        <v>0</v>
      </c>
      <c r="AT820" s="67" t="str">
        <f t="shared" si="109"/>
        <v/>
      </c>
      <c r="AU820" s="66" t="str">
        <f t="shared" si="110"/>
        <v/>
      </c>
      <c r="AV820" s="67" t="str">
        <f t="shared" si="111"/>
        <v/>
      </c>
      <c r="AW820" s="67" t="str">
        <f t="shared" si="112"/>
        <v/>
      </c>
      <c r="AX820" s="66" t="str">
        <f t="shared" si="113"/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 t="shared" si="114"/>
        <v/>
      </c>
      <c r="BB820" s="66" t="str">
        <f t="shared" si="115"/>
        <v/>
      </c>
      <c r="BC820" s="66">
        <f t="shared" si="116"/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69">
        <f t="shared" si="108"/>
        <v>0</v>
      </c>
      <c r="AT821" s="67" t="str">
        <f t="shared" si="109"/>
        <v/>
      </c>
      <c r="AU821" s="66" t="str">
        <f t="shared" si="110"/>
        <v/>
      </c>
      <c r="AV821" s="67" t="str">
        <f t="shared" si="111"/>
        <v/>
      </c>
      <c r="AW821" s="67" t="str">
        <f t="shared" si="112"/>
        <v/>
      </c>
      <c r="AX821" s="66" t="str">
        <f t="shared" si="113"/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 t="shared" si="114"/>
        <v/>
      </c>
      <c r="BB821" s="66" t="str">
        <f t="shared" si="115"/>
        <v/>
      </c>
      <c r="BC821" s="66">
        <f t="shared" si="116"/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69">
        <f t="shared" si="108"/>
        <v>0</v>
      </c>
      <c r="AT822" s="67" t="str">
        <f t="shared" si="109"/>
        <v/>
      </c>
      <c r="AU822" s="66" t="str">
        <f t="shared" si="110"/>
        <v/>
      </c>
      <c r="AV822" s="67" t="str">
        <f t="shared" si="111"/>
        <v/>
      </c>
      <c r="AW822" s="67" t="str">
        <f t="shared" si="112"/>
        <v/>
      </c>
      <c r="AX822" s="66" t="str">
        <f t="shared" si="113"/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 t="shared" si="114"/>
        <v/>
      </c>
      <c r="BB822" s="66" t="str">
        <f t="shared" si="115"/>
        <v/>
      </c>
      <c r="BC822" s="66">
        <f t="shared" si="116"/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69">
        <f t="shared" si="108"/>
        <v>0</v>
      </c>
      <c r="AT823" s="67" t="str">
        <f t="shared" si="109"/>
        <v/>
      </c>
      <c r="AU823" s="66" t="str">
        <f t="shared" si="110"/>
        <v/>
      </c>
      <c r="AV823" s="67" t="str">
        <f t="shared" si="111"/>
        <v/>
      </c>
      <c r="AW823" s="67" t="str">
        <f t="shared" si="112"/>
        <v/>
      </c>
      <c r="AX823" s="66" t="str">
        <f t="shared" si="113"/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 t="shared" si="114"/>
        <v/>
      </c>
      <c r="BB823" s="66" t="str">
        <f t="shared" si="115"/>
        <v/>
      </c>
      <c r="BC823" s="66">
        <f t="shared" si="116"/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69">
        <f t="shared" si="108"/>
        <v>0</v>
      </c>
      <c r="AT824" s="67" t="str">
        <f t="shared" si="109"/>
        <v/>
      </c>
      <c r="AU824" s="66" t="str">
        <f t="shared" si="110"/>
        <v/>
      </c>
      <c r="AV824" s="67" t="str">
        <f t="shared" si="111"/>
        <v/>
      </c>
      <c r="AW824" s="67" t="str">
        <f t="shared" si="112"/>
        <v/>
      </c>
      <c r="AX824" s="66" t="str">
        <f t="shared" si="113"/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 t="shared" si="114"/>
        <v/>
      </c>
      <c r="BB824" s="66" t="str">
        <f t="shared" si="115"/>
        <v/>
      </c>
      <c r="BC824" s="66">
        <f t="shared" si="116"/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69">
        <f t="shared" si="108"/>
        <v>0</v>
      </c>
      <c r="AT825" s="67" t="str">
        <f t="shared" si="109"/>
        <v/>
      </c>
      <c r="AU825" s="66" t="str">
        <f t="shared" si="110"/>
        <v/>
      </c>
      <c r="AV825" s="67" t="str">
        <f t="shared" si="111"/>
        <v/>
      </c>
      <c r="AW825" s="67" t="str">
        <f t="shared" si="112"/>
        <v/>
      </c>
      <c r="AX825" s="66" t="str">
        <f t="shared" si="113"/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 t="shared" si="114"/>
        <v/>
      </c>
      <c r="BB825" s="66" t="str">
        <f t="shared" si="115"/>
        <v/>
      </c>
      <c r="BC825" s="66">
        <f t="shared" si="116"/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69">
        <f t="shared" si="108"/>
        <v>0</v>
      </c>
      <c r="AT826" s="67" t="str">
        <f t="shared" si="109"/>
        <v/>
      </c>
      <c r="AU826" s="66" t="str">
        <f t="shared" si="110"/>
        <v/>
      </c>
      <c r="AV826" s="67" t="str">
        <f t="shared" si="111"/>
        <v/>
      </c>
      <c r="AW826" s="67" t="str">
        <f t="shared" si="112"/>
        <v/>
      </c>
      <c r="AX826" s="66" t="str">
        <f t="shared" si="113"/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 t="shared" si="114"/>
        <v/>
      </c>
      <c r="BB826" s="66" t="str">
        <f t="shared" si="115"/>
        <v/>
      </c>
      <c r="BC826" s="66">
        <f t="shared" si="116"/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69">
        <f t="shared" si="108"/>
        <v>0</v>
      </c>
      <c r="AT827" s="67" t="str">
        <f t="shared" si="109"/>
        <v/>
      </c>
      <c r="AU827" s="66" t="str">
        <f t="shared" si="110"/>
        <v/>
      </c>
      <c r="AV827" s="67" t="str">
        <f t="shared" si="111"/>
        <v/>
      </c>
      <c r="AW827" s="67" t="str">
        <f t="shared" si="112"/>
        <v/>
      </c>
      <c r="AX827" s="66" t="str">
        <f t="shared" si="113"/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 t="shared" si="114"/>
        <v/>
      </c>
      <c r="BB827" s="66" t="str">
        <f t="shared" si="115"/>
        <v/>
      </c>
      <c r="BC827" s="66">
        <f t="shared" si="116"/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69">
        <f t="shared" si="108"/>
        <v>0</v>
      </c>
      <c r="AT828" s="67" t="str">
        <f t="shared" si="109"/>
        <v/>
      </c>
      <c r="AU828" s="66" t="str">
        <f t="shared" si="110"/>
        <v/>
      </c>
      <c r="AV828" s="67" t="str">
        <f t="shared" si="111"/>
        <v/>
      </c>
      <c r="AW828" s="67" t="str">
        <f t="shared" si="112"/>
        <v/>
      </c>
      <c r="AX828" s="66" t="str">
        <f t="shared" si="113"/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 t="shared" si="114"/>
        <v/>
      </c>
      <c r="BB828" s="66" t="str">
        <f t="shared" si="115"/>
        <v/>
      </c>
      <c r="BC828" s="66">
        <f t="shared" si="116"/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69">
        <f t="shared" si="108"/>
        <v>0</v>
      </c>
      <c r="AT829" s="67" t="str">
        <f t="shared" si="109"/>
        <v/>
      </c>
      <c r="AU829" s="66" t="str">
        <f t="shared" si="110"/>
        <v/>
      </c>
      <c r="AV829" s="67" t="str">
        <f t="shared" si="111"/>
        <v/>
      </c>
      <c r="AW829" s="67" t="str">
        <f t="shared" si="112"/>
        <v/>
      </c>
      <c r="AX829" s="66" t="str">
        <f t="shared" si="113"/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 t="shared" si="114"/>
        <v/>
      </c>
      <c r="BB829" s="66" t="str">
        <f t="shared" si="115"/>
        <v/>
      </c>
      <c r="BC829" s="66">
        <f t="shared" si="116"/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69">
        <f t="shared" si="108"/>
        <v>0</v>
      </c>
      <c r="AT830" s="67" t="str">
        <f t="shared" si="109"/>
        <v/>
      </c>
      <c r="AU830" s="66" t="str">
        <f t="shared" si="110"/>
        <v/>
      </c>
      <c r="AV830" s="67" t="str">
        <f t="shared" si="111"/>
        <v/>
      </c>
      <c r="AW830" s="67" t="str">
        <f t="shared" si="112"/>
        <v/>
      </c>
      <c r="AX830" s="66" t="str">
        <f t="shared" si="113"/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 t="shared" si="114"/>
        <v/>
      </c>
      <c r="BB830" s="66" t="str">
        <f t="shared" si="115"/>
        <v/>
      </c>
      <c r="BC830" s="66">
        <f t="shared" si="116"/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69">
        <f t="shared" si="108"/>
        <v>0</v>
      </c>
      <c r="AT831" s="67" t="str">
        <f t="shared" si="109"/>
        <v/>
      </c>
      <c r="AU831" s="66" t="str">
        <f t="shared" si="110"/>
        <v/>
      </c>
      <c r="AV831" s="67" t="str">
        <f t="shared" si="111"/>
        <v/>
      </c>
      <c r="AW831" s="67" t="str">
        <f t="shared" si="112"/>
        <v/>
      </c>
      <c r="AX831" s="66" t="str">
        <f t="shared" si="113"/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 t="shared" si="114"/>
        <v/>
      </c>
      <c r="BB831" s="66" t="str">
        <f t="shared" si="115"/>
        <v/>
      </c>
      <c r="BC831" s="66">
        <f t="shared" si="116"/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69">
        <f t="shared" si="108"/>
        <v>0</v>
      </c>
      <c r="AT832" s="67" t="str">
        <f t="shared" si="109"/>
        <v/>
      </c>
      <c r="AU832" s="66" t="str">
        <f t="shared" si="110"/>
        <v/>
      </c>
      <c r="AV832" s="67" t="str">
        <f t="shared" si="111"/>
        <v/>
      </c>
      <c r="AW832" s="67" t="str">
        <f t="shared" si="112"/>
        <v/>
      </c>
      <c r="AX832" s="66" t="str">
        <f t="shared" si="113"/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 t="shared" si="114"/>
        <v/>
      </c>
      <c r="BB832" s="66" t="str">
        <f t="shared" si="115"/>
        <v/>
      </c>
      <c r="BC832" s="66">
        <f t="shared" si="116"/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69">
        <f t="shared" si="108"/>
        <v>0</v>
      </c>
      <c r="AT833" s="67" t="str">
        <f t="shared" si="109"/>
        <v/>
      </c>
      <c r="AU833" s="66" t="str">
        <f t="shared" si="110"/>
        <v/>
      </c>
      <c r="AV833" s="67" t="str">
        <f t="shared" si="111"/>
        <v/>
      </c>
      <c r="AW833" s="67" t="str">
        <f t="shared" si="112"/>
        <v/>
      </c>
      <c r="AX833" s="66" t="str">
        <f t="shared" si="113"/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 t="shared" si="114"/>
        <v/>
      </c>
      <c r="BB833" s="66" t="str">
        <f t="shared" si="115"/>
        <v/>
      </c>
      <c r="BC833" s="66">
        <f t="shared" si="116"/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69">
        <f t="shared" si="108"/>
        <v>0</v>
      </c>
      <c r="AT834" s="67" t="str">
        <f t="shared" si="109"/>
        <v/>
      </c>
      <c r="AU834" s="66" t="str">
        <f t="shared" si="110"/>
        <v/>
      </c>
      <c r="AV834" s="67" t="str">
        <f t="shared" si="111"/>
        <v/>
      </c>
      <c r="AW834" s="67" t="str">
        <f t="shared" si="112"/>
        <v/>
      </c>
      <c r="AX834" s="66" t="str">
        <f t="shared" si="113"/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 t="shared" si="114"/>
        <v/>
      </c>
      <c r="BB834" s="66" t="str">
        <f t="shared" si="115"/>
        <v/>
      </c>
      <c r="BC834" s="66">
        <f t="shared" si="116"/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69">
        <f t="shared" si="108"/>
        <v>0</v>
      </c>
      <c r="AT835" s="67" t="str">
        <f t="shared" si="109"/>
        <v/>
      </c>
      <c r="AU835" s="66" t="str">
        <f t="shared" si="110"/>
        <v/>
      </c>
      <c r="AV835" s="67" t="str">
        <f t="shared" si="111"/>
        <v/>
      </c>
      <c r="AW835" s="67" t="str">
        <f t="shared" si="112"/>
        <v/>
      </c>
      <c r="AX835" s="66" t="str">
        <f t="shared" si="113"/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 t="shared" si="114"/>
        <v/>
      </c>
      <c r="BB835" s="66" t="str">
        <f t="shared" si="115"/>
        <v/>
      </c>
      <c r="BC835" s="66">
        <f t="shared" si="116"/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69">
        <f t="shared" si="108"/>
        <v>0</v>
      </c>
      <c r="AT836" s="67" t="str">
        <f t="shared" si="109"/>
        <v/>
      </c>
      <c r="AU836" s="66" t="str">
        <f t="shared" si="110"/>
        <v/>
      </c>
      <c r="AV836" s="67" t="str">
        <f t="shared" si="111"/>
        <v/>
      </c>
      <c r="AW836" s="67" t="str">
        <f t="shared" si="112"/>
        <v/>
      </c>
      <c r="AX836" s="66" t="str">
        <f t="shared" si="113"/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 t="shared" si="114"/>
        <v/>
      </c>
      <c r="BB836" s="66" t="str">
        <f t="shared" si="115"/>
        <v/>
      </c>
      <c r="BC836" s="66">
        <f t="shared" si="116"/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69">
        <f t="shared" ref="AS837:AS900" si="117">SUM(H837,J837,L837,N837,P837,R837,T837,V837,X837,Z837,AB837,AD837,AF837,AH837,AJ837,AL837,AN837)</f>
        <v>0</v>
      </c>
      <c r="AT837" s="67" t="str">
        <f t="shared" ref="AT837:AT900" si="118">IF(C837="","",DATE(YEAR(C837),MONTH(C837),1))</f>
        <v/>
      </c>
      <c r="AU837" s="66" t="str">
        <f t="shared" ref="AU837:AU900" si="119">IF(AT837="","",TEXT(AT837,"mmmm yyyy"))</f>
        <v/>
      </c>
      <c r="AV837" s="67" t="str">
        <f t="shared" ref="AV837:AV900" si="120">IF(C837="","",C837-WEEKDAY(C837,2)+1)</f>
        <v/>
      </c>
      <c r="AW837" s="67" t="str">
        <f t="shared" ref="AW837:AW900" si="121">IF(AV837="","",AV837+6)</f>
        <v/>
      </c>
      <c r="AX837" s="66" t="str">
        <f t="shared" ref="AX837:AX900" si="122"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 t="shared" ref="BA837:BA900" si="123">IF(B837="","",TEXT(AY837,"00")&amp;"|"&amp;B837&amp;"|"&amp;TEXT(AT837,"yyyymmdd"))</f>
        <v/>
      </c>
      <c r="BB837" s="66" t="str">
        <f t="shared" ref="BB837:BB900" si="124">IF(B837="","",TEXT(AZ837,"00")&amp;"|"&amp;B837&amp;"|"&amp;TEXT(AV837,"yyyymmdd"))</f>
        <v/>
      </c>
      <c r="BC837" s="66">
        <f t="shared" ref="BC837:BC900" si="125"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69">
        <f t="shared" si="117"/>
        <v>0</v>
      </c>
      <c r="AT838" s="67" t="str">
        <f t="shared" si="118"/>
        <v/>
      </c>
      <c r="AU838" s="66" t="str">
        <f t="shared" si="119"/>
        <v/>
      </c>
      <c r="AV838" s="67" t="str">
        <f t="shared" si="120"/>
        <v/>
      </c>
      <c r="AW838" s="67" t="str">
        <f t="shared" si="121"/>
        <v/>
      </c>
      <c r="AX838" s="66" t="str">
        <f t="shared" si="122"/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 t="shared" si="123"/>
        <v/>
      </c>
      <c r="BB838" s="66" t="str">
        <f t="shared" si="124"/>
        <v/>
      </c>
      <c r="BC838" s="66">
        <f t="shared" si="125"/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69">
        <f t="shared" si="117"/>
        <v>0</v>
      </c>
      <c r="AT839" s="67" t="str">
        <f t="shared" si="118"/>
        <v/>
      </c>
      <c r="AU839" s="66" t="str">
        <f t="shared" si="119"/>
        <v/>
      </c>
      <c r="AV839" s="67" t="str">
        <f t="shared" si="120"/>
        <v/>
      </c>
      <c r="AW839" s="67" t="str">
        <f t="shared" si="121"/>
        <v/>
      </c>
      <c r="AX839" s="66" t="str">
        <f t="shared" si="122"/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 t="shared" si="123"/>
        <v/>
      </c>
      <c r="BB839" s="66" t="str">
        <f t="shared" si="124"/>
        <v/>
      </c>
      <c r="BC839" s="66">
        <f t="shared" si="125"/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69">
        <f t="shared" si="117"/>
        <v>0</v>
      </c>
      <c r="AT840" s="67" t="str">
        <f t="shared" si="118"/>
        <v/>
      </c>
      <c r="AU840" s="66" t="str">
        <f t="shared" si="119"/>
        <v/>
      </c>
      <c r="AV840" s="67" t="str">
        <f t="shared" si="120"/>
        <v/>
      </c>
      <c r="AW840" s="67" t="str">
        <f t="shared" si="121"/>
        <v/>
      </c>
      <c r="AX840" s="66" t="str">
        <f t="shared" si="122"/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 t="shared" si="123"/>
        <v/>
      </c>
      <c r="BB840" s="66" t="str">
        <f t="shared" si="124"/>
        <v/>
      </c>
      <c r="BC840" s="66">
        <f t="shared" si="125"/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69">
        <f t="shared" si="117"/>
        <v>0</v>
      </c>
      <c r="AT841" s="67" t="str">
        <f t="shared" si="118"/>
        <v/>
      </c>
      <c r="AU841" s="66" t="str">
        <f t="shared" si="119"/>
        <v/>
      </c>
      <c r="AV841" s="67" t="str">
        <f t="shared" si="120"/>
        <v/>
      </c>
      <c r="AW841" s="67" t="str">
        <f t="shared" si="121"/>
        <v/>
      </c>
      <c r="AX841" s="66" t="str">
        <f t="shared" si="122"/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 t="shared" si="123"/>
        <v/>
      </c>
      <c r="BB841" s="66" t="str">
        <f t="shared" si="124"/>
        <v/>
      </c>
      <c r="BC841" s="66">
        <f t="shared" si="125"/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69">
        <f t="shared" si="117"/>
        <v>0</v>
      </c>
      <c r="AT842" s="67" t="str">
        <f t="shared" si="118"/>
        <v/>
      </c>
      <c r="AU842" s="66" t="str">
        <f t="shared" si="119"/>
        <v/>
      </c>
      <c r="AV842" s="67" t="str">
        <f t="shared" si="120"/>
        <v/>
      </c>
      <c r="AW842" s="67" t="str">
        <f t="shared" si="121"/>
        <v/>
      </c>
      <c r="AX842" s="66" t="str">
        <f t="shared" si="122"/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 t="shared" si="123"/>
        <v/>
      </c>
      <c r="BB842" s="66" t="str">
        <f t="shared" si="124"/>
        <v/>
      </c>
      <c r="BC842" s="66">
        <f t="shared" si="125"/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69">
        <f t="shared" si="117"/>
        <v>0</v>
      </c>
      <c r="AT843" s="67" t="str">
        <f t="shared" si="118"/>
        <v/>
      </c>
      <c r="AU843" s="66" t="str">
        <f t="shared" si="119"/>
        <v/>
      </c>
      <c r="AV843" s="67" t="str">
        <f t="shared" si="120"/>
        <v/>
      </c>
      <c r="AW843" s="67" t="str">
        <f t="shared" si="121"/>
        <v/>
      </c>
      <c r="AX843" s="66" t="str">
        <f t="shared" si="122"/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 t="shared" si="123"/>
        <v/>
      </c>
      <c r="BB843" s="66" t="str">
        <f t="shared" si="124"/>
        <v/>
      </c>
      <c r="BC843" s="66">
        <f t="shared" si="125"/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69">
        <f t="shared" si="117"/>
        <v>0</v>
      </c>
      <c r="AT844" s="67" t="str">
        <f t="shared" si="118"/>
        <v/>
      </c>
      <c r="AU844" s="66" t="str">
        <f t="shared" si="119"/>
        <v/>
      </c>
      <c r="AV844" s="67" t="str">
        <f t="shared" si="120"/>
        <v/>
      </c>
      <c r="AW844" s="67" t="str">
        <f t="shared" si="121"/>
        <v/>
      </c>
      <c r="AX844" s="66" t="str">
        <f t="shared" si="122"/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 t="shared" si="123"/>
        <v/>
      </c>
      <c r="BB844" s="66" t="str">
        <f t="shared" si="124"/>
        <v/>
      </c>
      <c r="BC844" s="66">
        <f t="shared" si="125"/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69">
        <f t="shared" si="117"/>
        <v>0</v>
      </c>
      <c r="AT845" s="67" t="str">
        <f t="shared" si="118"/>
        <v/>
      </c>
      <c r="AU845" s="66" t="str">
        <f t="shared" si="119"/>
        <v/>
      </c>
      <c r="AV845" s="67" t="str">
        <f t="shared" si="120"/>
        <v/>
      </c>
      <c r="AW845" s="67" t="str">
        <f t="shared" si="121"/>
        <v/>
      </c>
      <c r="AX845" s="66" t="str">
        <f t="shared" si="122"/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 t="shared" si="123"/>
        <v/>
      </c>
      <c r="BB845" s="66" t="str">
        <f t="shared" si="124"/>
        <v/>
      </c>
      <c r="BC845" s="66">
        <f t="shared" si="125"/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69">
        <f t="shared" si="117"/>
        <v>0</v>
      </c>
      <c r="AT846" s="67" t="str">
        <f t="shared" si="118"/>
        <v/>
      </c>
      <c r="AU846" s="66" t="str">
        <f t="shared" si="119"/>
        <v/>
      </c>
      <c r="AV846" s="67" t="str">
        <f t="shared" si="120"/>
        <v/>
      </c>
      <c r="AW846" s="67" t="str">
        <f t="shared" si="121"/>
        <v/>
      </c>
      <c r="AX846" s="66" t="str">
        <f t="shared" si="122"/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 t="shared" si="123"/>
        <v/>
      </c>
      <c r="BB846" s="66" t="str">
        <f t="shared" si="124"/>
        <v/>
      </c>
      <c r="BC846" s="66">
        <f t="shared" si="125"/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69">
        <f t="shared" si="117"/>
        <v>0</v>
      </c>
      <c r="AT847" s="67" t="str">
        <f t="shared" si="118"/>
        <v/>
      </c>
      <c r="AU847" s="66" t="str">
        <f t="shared" si="119"/>
        <v/>
      </c>
      <c r="AV847" s="67" t="str">
        <f t="shared" si="120"/>
        <v/>
      </c>
      <c r="AW847" s="67" t="str">
        <f t="shared" si="121"/>
        <v/>
      </c>
      <c r="AX847" s="66" t="str">
        <f t="shared" si="122"/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 t="shared" si="123"/>
        <v/>
      </c>
      <c r="BB847" s="66" t="str">
        <f t="shared" si="124"/>
        <v/>
      </c>
      <c r="BC847" s="66">
        <f t="shared" si="125"/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69">
        <f t="shared" si="117"/>
        <v>0</v>
      </c>
      <c r="AT848" s="67" t="str">
        <f t="shared" si="118"/>
        <v/>
      </c>
      <c r="AU848" s="66" t="str">
        <f t="shared" si="119"/>
        <v/>
      </c>
      <c r="AV848" s="67" t="str">
        <f t="shared" si="120"/>
        <v/>
      </c>
      <c r="AW848" s="67" t="str">
        <f t="shared" si="121"/>
        <v/>
      </c>
      <c r="AX848" s="66" t="str">
        <f t="shared" si="122"/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 t="shared" si="123"/>
        <v/>
      </c>
      <c r="BB848" s="66" t="str">
        <f t="shared" si="124"/>
        <v/>
      </c>
      <c r="BC848" s="66">
        <f t="shared" si="125"/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69">
        <f t="shared" si="117"/>
        <v>0</v>
      </c>
      <c r="AT849" s="67" t="str">
        <f t="shared" si="118"/>
        <v/>
      </c>
      <c r="AU849" s="66" t="str">
        <f t="shared" si="119"/>
        <v/>
      </c>
      <c r="AV849" s="67" t="str">
        <f t="shared" si="120"/>
        <v/>
      </c>
      <c r="AW849" s="67" t="str">
        <f t="shared" si="121"/>
        <v/>
      </c>
      <c r="AX849" s="66" t="str">
        <f t="shared" si="122"/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 t="shared" si="123"/>
        <v/>
      </c>
      <c r="BB849" s="66" t="str">
        <f t="shared" si="124"/>
        <v/>
      </c>
      <c r="BC849" s="66">
        <f t="shared" si="125"/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69">
        <f t="shared" si="117"/>
        <v>0</v>
      </c>
      <c r="AT850" s="67" t="str">
        <f t="shared" si="118"/>
        <v/>
      </c>
      <c r="AU850" s="66" t="str">
        <f t="shared" si="119"/>
        <v/>
      </c>
      <c r="AV850" s="67" t="str">
        <f t="shared" si="120"/>
        <v/>
      </c>
      <c r="AW850" s="67" t="str">
        <f t="shared" si="121"/>
        <v/>
      </c>
      <c r="AX850" s="66" t="str">
        <f t="shared" si="122"/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 t="shared" si="123"/>
        <v/>
      </c>
      <c r="BB850" s="66" t="str">
        <f t="shared" si="124"/>
        <v/>
      </c>
      <c r="BC850" s="66">
        <f t="shared" si="125"/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69">
        <f t="shared" si="117"/>
        <v>0</v>
      </c>
      <c r="AT851" s="67" t="str">
        <f t="shared" si="118"/>
        <v/>
      </c>
      <c r="AU851" s="66" t="str">
        <f t="shared" si="119"/>
        <v/>
      </c>
      <c r="AV851" s="67" t="str">
        <f t="shared" si="120"/>
        <v/>
      </c>
      <c r="AW851" s="67" t="str">
        <f t="shared" si="121"/>
        <v/>
      </c>
      <c r="AX851" s="66" t="str">
        <f t="shared" si="122"/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 t="shared" si="123"/>
        <v/>
      </c>
      <c r="BB851" s="66" t="str">
        <f t="shared" si="124"/>
        <v/>
      </c>
      <c r="BC851" s="66">
        <f t="shared" si="125"/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69">
        <f t="shared" si="117"/>
        <v>0</v>
      </c>
      <c r="AT852" s="67" t="str">
        <f t="shared" si="118"/>
        <v/>
      </c>
      <c r="AU852" s="66" t="str">
        <f t="shared" si="119"/>
        <v/>
      </c>
      <c r="AV852" s="67" t="str">
        <f t="shared" si="120"/>
        <v/>
      </c>
      <c r="AW852" s="67" t="str">
        <f t="shared" si="121"/>
        <v/>
      </c>
      <c r="AX852" s="66" t="str">
        <f t="shared" si="122"/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 t="shared" si="123"/>
        <v/>
      </c>
      <c r="BB852" s="66" t="str">
        <f t="shared" si="124"/>
        <v/>
      </c>
      <c r="BC852" s="66">
        <f t="shared" si="125"/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69">
        <f t="shared" si="117"/>
        <v>0</v>
      </c>
      <c r="AT853" s="67" t="str">
        <f t="shared" si="118"/>
        <v/>
      </c>
      <c r="AU853" s="66" t="str">
        <f t="shared" si="119"/>
        <v/>
      </c>
      <c r="AV853" s="67" t="str">
        <f t="shared" si="120"/>
        <v/>
      </c>
      <c r="AW853" s="67" t="str">
        <f t="shared" si="121"/>
        <v/>
      </c>
      <c r="AX853" s="66" t="str">
        <f t="shared" si="122"/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 t="shared" si="123"/>
        <v/>
      </c>
      <c r="BB853" s="66" t="str">
        <f t="shared" si="124"/>
        <v/>
      </c>
      <c r="BC853" s="66">
        <f t="shared" si="125"/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69">
        <f t="shared" si="117"/>
        <v>0</v>
      </c>
      <c r="AT854" s="67" t="str">
        <f t="shared" si="118"/>
        <v/>
      </c>
      <c r="AU854" s="66" t="str">
        <f t="shared" si="119"/>
        <v/>
      </c>
      <c r="AV854" s="67" t="str">
        <f t="shared" si="120"/>
        <v/>
      </c>
      <c r="AW854" s="67" t="str">
        <f t="shared" si="121"/>
        <v/>
      </c>
      <c r="AX854" s="66" t="str">
        <f t="shared" si="122"/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 t="shared" si="123"/>
        <v/>
      </c>
      <c r="BB854" s="66" t="str">
        <f t="shared" si="124"/>
        <v/>
      </c>
      <c r="BC854" s="66">
        <f t="shared" si="125"/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69">
        <f t="shared" si="117"/>
        <v>0</v>
      </c>
      <c r="AT855" s="67" t="str">
        <f t="shared" si="118"/>
        <v/>
      </c>
      <c r="AU855" s="66" t="str">
        <f t="shared" si="119"/>
        <v/>
      </c>
      <c r="AV855" s="67" t="str">
        <f t="shared" si="120"/>
        <v/>
      </c>
      <c r="AW855" s="67" t="str">
        <f t="shared" si="121"/>
        <v/>
      </c>
      <c r="AX855" s="66" t="str">
        <f t="shared" si="122"/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 t="shared" si="123"/>
        <v/>
      </c>
      <c r="BB855" s="66" t="str">
        <f t="shared" si="124"/>
        <v/>
      </c>
      <c r="BC855" s="66">
        <f t="shared" si="125"/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69">
        <f t="shared" si="117"/>
        <v>0</v>
      </c>
      <c r="AT856" s="67" t="str">
        <f t="shared" si="118"/>
        <v/>
      </c>
      <c r="AU856" s="66" t="str">
        <f t="shared" si="119"/>
        <v/>
      </c>
      <c r="AV856" s="67" t="str">
        <f t="shared" si="120"/>
        <v/>
      </c>
      <c r="AW856" s="67" t="str">
        <f t="shared" si="121"/>
        <v/>
      </c>
      <c r="AX856" s="66" t="str">
        <f t="shared" si="122"/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 t="shared" si="123"/>
        <v/>
      </c>
      <c r="BB856" s="66" t="str">
        <f t="shared" si="124"/>
        <v/>
      </c>
      <c r="BC856" s="66">
        <f t="shared" si="125"/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69">
        <f t="shared" si="117"/>
        <v>0</v>
      </c>
      <c r="AT857" s="67" t="str">
        <f t="shared" si="118"/>
        <v/>
      </c>
      <c r="AU857" s="66" t="str">
        <f t="shared" si="119"/>
        <v/>
      </c>
      <c r="AV857" s="67" t="str">
        <f t="shared" si="120"/>
        <v/>
      </c>
      <c r="AW857" s="67" t="str">
        <f t="shared" si="121"/>
        <v/>
      </c>
      <c r="AX857" s="66" t="str">
        <f t="shared" si="122"/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 t="shared" si="123"/>
        <v/>
      </c>
      <c r="BB857" s="66" t="str">
        <f t="shared" si="124"/>
        <v/>
      </c>
      <c r="BC857" s="66">
        <f t="shared" si="125"/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69">
        <f t="shared" si="117"/>
        <v>0</v>
      </c>
      <c r="AT858" s="67" t="str">
        <f t="shared" si="118"/>
        <v/>
      </c>
      <c r="AU858" s="66" t="str">
        <f t="shared" si="119"/>
        <v/>
      </c>
      <c r="AV858" s="67" t="str">
        <f t="shared" si="120"/>
        <v/>
      </c>
      <c r="AW858" s="67" t="str">
        <f t="shared" si="121"/>
        <v/>
      </c>
      <c r="AX858" s="66" t="str">
        <f t="shared" si="122"/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 t="shared" si="123"/>
        <v/>
      </c>
      <c r="BB858" s="66" t="str">
        <f t="shared" si="124"/>
        <v/>
      </c>
      <c r="BC858" s="66">
        <f t="shared" si="125"/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69">
        <f t="shared" si="117"/>
        <v>0</v>
      </c>
      <c r="AT859" s="67" t="str">
        <f t="shared" si="118"/>
        <v/>
      </c>
      <c r="AU859" s="66" t="str">
        <f t="shared" si="119"/>
        <v/>
      </c>
      <c r="AV859" s="67" t="str">
        <f t="shared" si="120"/>
        <v/>
      </c>
      <c r="AW859" s="67" t="str">
        <f t="shared" si="121"/>
        <v/>
      </c>
      <c r="AX859" s="66" t="str">
        <f t="shared" si="122"/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 t="shared" si="123"/>
        <v/>
      </c>
      <c r="BB859" s="66" t="str">
        <f t="shared" si="124"/>
        <v/>
      </c>
      <c r="BC859" s="66">
        <f t="shared" si="125"/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69">
        <f t="shared" si="117"/>
        <v>0</v>
      </c>
      <c r="AT860" s="67" t="str">
        <f t="shared" si="118"/>
        <v/>
      </c>
      <c r="AU860" s="66" t="str">
        <f t="shared" si="119"/>
        <v/>
      </c>
      <c r="AV860" s="67" t="str">
        <f t="shared" si="120"/>
        <v/>
      </c>
      <c r="AW860" s="67" t="str">
        <f t="shared" si="121"/>
        <v/>
      </c>
      <c r="AX860" s="66" t="str">
        <f t="shared" si="122"/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 t="shared" si="123"/>
        <v/>
      </c>
      <c r="BB860" s="66" t="str">
        <f t="shared" si="124"/>
        <v/>
      </c>
      <c r="BC860" s="66">
        <f t="shared" si="125"/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69">
        <f t="shared" si="117"/>
        <v>0</v>
      </c>
      <c r="AT861" s="67" t="str">
        <f t="shared" si="118"/>
        <v/>
      </c>
      <c r="AU861" s="66" t="str">
        <f t="shared" si="119"/>
        <v/>
      </c>
      <c r="AV861" s="67" t="str">
        <f t="shared" si="120"/>
        <v/>
      </c>
      <c r="AW861" s="67" t="str">
        <f t="shared" si="121"/>
        <v/>
      </c>
      <c r="AX861" s="66" t="str">
        <f t="shared" si="122"/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 t="shared" si="123"/>
        <v/>
      </c>
      <c r="BB861" s="66" t="str">
        <f t="shared" si="124"/>
        <v/>
      </c>
      <c r="BC861" s="66">
        <f t="shared" si="125"/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69">
        <f t="shared" si="117"/>
        <v>0</v>
      </c>
      <c r="AT862" s="67" t="str">
        <f t="shared" si="118"/>
        <v/>
      </c>
      <c r="AU862" s="66" t="str">
        <f t="shared" si="119"/>
        <v/>
      </c>
      <c r="AV862" s="67" t="str">
        <f t="shared" si="120"/>
        <v/>
      </c>
      <c r="AW862" s="67" t="str">
        <f t="shared" si="121"/>
        <v/>
      </c>
      <c r="AX862" s="66" t="str">
        <f t="shared" si="122"/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 t="shared" si="123"/>
        <v/>
      </c>
      <c r="BB862" s="66" t="str">
        <f t="shared" si="124"/>
        <v/>
      </c>
      <c r="BC862" s="66">
        <f t="shared" si="125"/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69">
        <f t="shared" si="117"/>
        <v>0</v>
      </c>
      <c r="AT863" s="67" t="str">
        <f t="shared" si="118"/>
        <v/>
      </c>
      <c r="AU863" s="66" t="str">
        <f t="shared" si="119"/>
        <v/>
      </c>
      <c r="AV863" s="67" t="str">
        <f t="shared" si="120"/>
        <v/>
      </c>
      <c r="AW863" s="67" t="str">
        <f t="shared" si="121"/>
        <v/>
      </c>
      <c r="AX863" s="66" t="str">
        <f t="shared" si="122"/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 t="shared" si="123"/>
        <v/>
      </c>
      <c r="BB863" s="66" t="str">
        <f t="shared" si="124"/>
        <v/>
      </c>
      <c r="BC863" s="66">
        <f t="shared" si="125"/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69">
        <f t="shared" si="117"/>
        <v>0</v>
      </c>
      <c r="AT864" s="67" t="str">
        <f t="shared" si="118"/>
        <v/>
      </c>
      <c r="AU864" s="66" t="str">
        <f t="shared" si="119"/>
        <v/>
      </c>
      <c r="AV864" s="67" t="str">
        <f t="shared" si="120"/>
        <v/>
      </c>
      <c r="AW864" s="67" t="str">
        <f t="shared" si="121"/>
        <v/>
      </c>
      <c r="AX864" s="66" t="str">
        <f t="shared" si="122"/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 t="shared" si="123"/>
        <v/>
      </c>
      <c r="BB864" s="66" t="str">
        <f t="shared" si="124"/>
        <v/>
      </c>
      <c r="BC864" s="66">
        <f t="shared" si="125"/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69">
        <f t="shared" si="117"/>
        <v>0</v>
      </c>
      <c r="AT865" s="67" t="str">
        <f t="shared" si="118"/>
        <v/>
      </c>
      <c r="AU865" s="66" t="str">
        <f t="shared" si="119"/>
        <v/>
      </c>
      <c r="AV865" s="67" t="str">
        <f t="shared" si="120"/>
        <v/>
      </c>
      <c r="AW865" s="67" t="str">
        <f t="shared" si="121"/>
        <v/>
      </c>
      <c r="AX865" s="66" t="str">
        <f t="shared" si="122"/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 t="shared" si="123"/>
        <v/>
      </c>
      <c r="BB865" s="66" t="str">
        <f t="shared" si="124"/>
        <v/>
      </c>
      <c r="BC865" s="66">
        <f t="shared" si="125"/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69">
        <f t="shared" si="117"/>
        <v>0</v>
      </c>
      <c r="AT866" s="67" t="str">
        <f t="shared" si="118"/>
        <v/>
      </c>
      <c r="AU866" s="66" t="str">
        <f t="shared" si="119"/>
        <v/>
      </c>
      <c r="AV866" s="67" t="str">
        <f t="shared" si="120"/>
        <v/>
      </c>
      <c r="AW866" s="67" t="str">
        <f t="shared" si="121"/>
        <v/>
      </c>
      <c r="AX866" s="66" t="str">
        <f t="shared" si="122"/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 t="shared" si="123"/>
        <v/>
      </c>
      <c r="BB866" s="66" t="str">
        <f t="shared" si="124"/>
        <v/>
      </c>
      <c r="BC866" s="66">
        <f t="shared" si="125"/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69">
        <f t="shared" si="117"/>
        <v>0</v>
      </c>
      <c r="AT867" s="67" t="str">
        <f t="shared" si="118"/>
        <v/>
      </c>
      <c r="AU867" s="66" t="str">
        <f t="shared" si="119"/>
        <v/>
      </c>
      <c r="AV867" s="67" t="str">
        <f t="shared" si="120"/>
        <v/>
      </c>
      <c r="AW867" s="67" t="str">
        <f t="shared" si="121"/>
        <v/>
      </c>
      <c r="AX867" s="66" t="str">
        <f t="shared" si="122"/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 t="shared" si="123"/>
        <v/>
      </c>
      <c r="BB867" s="66" t="str">
        <f t="shared" si="124"/>
        <v/>
      </c>
      <c r="BC867" s="66">
        <f t="shared" si="125"/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69">
        <f t="shared" si="117"/>
        <v>0</v>
      </c>
      <c r="AT868" s="67" t="str">
        <f t="shared" si="118"/>
        <v/>
      </c>
      <c r="AU868" s="66" t="str">
        <f t="shared" si="119"/>
        <v/>
      </c>
      <c r="AV868" s="67" t="str">
        <f t="shared" si="120"/>
        <v/>
      </c>
      <c r="AW868" s="67" t="str">
        <f t="shared" si="121"/>
        <v/>
      </c>
      <c r="AX868" s="66" t="str">
        <f t="shared" si="122"/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 t="shared" si="123"/>
        <v/>
      </c>
      <c r="BB868" s="66" t="str">
        <f t="shared" si="124"/>
        <v/>
      </c>
      <c r="BC868" s="66">
        <f t="shared" si="125"/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69">
        <f t="shared" si="117"/>
        <v>0</v>
      </c>
      <c r="AT869" s="67" t="str">
        <f t="shared" si="118"/>
        <v/>
      </c>
      <c r="AU869" s="66" t="str">
        <f t="shared" si="119"/>
        <v/>
      </c>
      <c r="AV869" s="67" t="str">
        <f t="shared" si="120"/>
        <v/>
      </c>
      <c r="AW869" s="67" t="str">
        <f t="shared" si="121"/>
        <v/>
      </c>
      <c r="AX869" s="66" t="str">
        <f t="shared" si="122"/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 t="shared" si="123"/>
        <v/>
      </c>
      <c r="BB869" s="66" t="str">
        <f t="shared" si="124"/>
        <v/>
      </c>
      <c r="BC869" s="66">
        <f t="shared" si="125"/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69">
        <f t="shared" si="117"/>
        <v>0</v>
      </c>
      <c r="AT870" s="67" t="str">
        <f t="shared" si="118"/>
        <v/>
      </c>
      <c r="AU870" s="66" t="str">
        <f t="shared" si="119"/>
        <v/>
      </c>
      <c r="AV870" s="67" t="str">
        <f t="shared" si="120"/>
        <v/>
      </c>
      <c r="AW870" s="67" t="str">
        <f t="shared" si="121"/>
        <v/>
      </c>
      <c r="AX870" s="66" t="str">
        <f t="shared" si="122"/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 t="shared" si="123"/>
        <v/>
      </c>
      <c r="BB870" s="66" t="str">
        <f t="shared" si="124"/>
        <v/>
      </c>
      <c r="BC870" s="66">
        <f t="shared" si="125"/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69">
        <f t="shared" si="117"/>
        <v>0</v>
      </c>
      <c r="AT871" s="67" t="str">
        <f t="shared" si="118"/>
        <v/>
      </c>
      <c r="AU871" s="66" t="str">
        <f t="shared" si="119"/>
        <v/>
      </c>
      <c r="AV871" s="67" t="str">
        <f t="shared" si="120"/>
        <v/>
      </c>
      <c r="AW871" s="67" t="str">
        <f t="shared" si="121"/>
        <v/>
      </c>
      <c r="AX871" s="66" t="str">
        <f t="shared" si="122"/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 t="shared" si="123"/>
        <v/>
      </c>
      <c r="BB871" s="66" t="str">
        <f t="shared" si="124"/>
        <v/>
      </c>
      <c r="BC871" s="66">
        <f t="shared" si="125"/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69">
        <f t="shared" si="117"/>
        <v>0</v>
      </c>
      <c r="AT872" s="67" t="str">
        <f t="shared" si="118"/>
        <v/>
      </c>
      <c r="AU872" s="66" t="str">
        <f t="shared" si="119"/>
        <v/>
      </c>
      <c r="AV872" s="67" t="str">
        <f t="shared" si="120"/>
        <v/>
      </c>
      <c r="AW872" s="67" t="str">
        <f t="shared" si="121"/>
        <v/>
      </c>
      <c r="AX872" s="66" t="str">
        <f t="shared" si="122"/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 t="shared" si="123"/>
        <v/>
      </c>
      <c r="BB872" s="66" t="str">
        <f t="shared" si="124"/>
        <v/>
      </c>
      <c r="BC872" s="66">
        <f t="shared" si="125"/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69">
        <f t="shared" si="117"/>
        <v>0</v>
      </c>
      <c r="AT873" s="67" t="str">
        <f t="shared" si="118"/>
        <v/>
      </c>
      <c r="AU873" s="66" t="str">
        <f t="shared" si="119"/>
        <v/>
      </c>
      <c r="AV873" s="67" t="str">
        <f t="shared" si="120"/>
        <v/>
      </c>
      <c r="AW873" s="67" t="str">
        <f t="shared" si="121"/>
        <v/>
      </c>
      <c r="AX873" s="66" t="str">
        <f t="shared" si="122"/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 t="shared" si="123"/>
        <v/>
      </c>
      <c r="BB873" s="66" t="str">
        <f t="shared" si="124"/>
        <v/>
      </c>
      <c r="BC873" s="66">
        <f t="shared" si="125"/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69">
        <f t="shared" si="117"/>
        <v>0</v>
      </c>
      <c r="AT874" s="67" t="str">
        <f t="shared" si="118"/>
        <v/>
      </c>
      <c r="AU874" s="66" t="str">
        <f t="shared" si="119"/>
        <v/>
      </c>
      <c r="AV874" s="67" t="str">
        <f t="shared" si="120"/>
        <v/>
      </c>
      <c r="AW874" s="67" t="str">
        <f t="shared" si="121"/>
        <v/>
      </c>
      <c r="AX874" s="66" t="str">
        <f t="shared" si="122"/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 t="shared" si="123"/>
        <v/>
      </c>
      <c r="BB874" s="66" t="str">
        <f t="shared" si="124"/>
        <v/>
      </c>
      <c r="BC874" s="66">
        <f t="shared" si="125"/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69">
        <f t="shared" si="117"/>
        <v>0</v>
      </c>
      <c r="AT875" s="67" t="str">
        <f t="shared" si="118"/>
        <v/>
      </c>
      <c r="AU875" s="66" t="str">
        <f t="shared" si="119"/>
        <v/>
      </c>
      <c r="AV875" s="67" t="str">
        <f t="shared" si="120"/>
        <v/>
      </c>
      <c r="AW875" s="67" t="str">
        <f t="shared" si="121"/>
        <v/>
      </c>
      <c r="AX875" s="66" t="str">
        <f t="shared" si="122"/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 t="shared" si="123"/>
        <v/>
      </c>
      <c r="BB875" s="66" t="str">
        <f t="shared" si="124"/>
        <v/>
      </c>
      <c r="BC875" s="66">
        <f t="shared" si="125"/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69">
        <f t="shared" si="117"/>
        <v>0</v>
      </c>
      <c r="AT876" s="67" t="str">
        <f t="shared" si="118"/>
        <v/>
      </c>
      <c r="AU876" s="66" t="str">
        <f t="shared" si="119"/>
        <v/>
      </c>
      <c r="AV876" s="67" t="str">
        <f t="shared" si="120"/>
        <v/>
      </c>
      <c r="AW876" s="67" t="str">
        <f t="shared" si="121"/>
        <v/>
      </c>
      <c r="AX876" s="66" t="str">
        <f t="shared" si="122"/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 t="shared" si="123"/>
        <v/>
      </c>
      <c r="BB876" s="66" t="str">
        <f t="shared" si="124"/>
        <v/>
      </c>
      <c r="BC876" s="66">
        <f t="shared" si="125"/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69">
        <f t="shared" si="117"/>
        <v>0</v>
      </c>
      <c r="AT877" s="67" t="str">
        <f t="shared" si="118"/>
        <v/>
      </c>
      <c r="AU877" s="66" t="str">
        <f t="shared" si="119"/>
        <v/>
      </c>
      <c r="AV877" s="67" t="str">
        <f t="shared" si="120"/>
        <v/>
      </c>
      <c r="AW877" s="67" t="str">
        <f t="shared" si="121"/>
        <v/>
      </c>
      <c r="AX877" s="66" t="str">
        <f t="shared" si="122"/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 t="shared" si="123"/>
        <v/>
      </c>
      <c r="BB877" s="66" t="str">
        <f t="shared" si="124"/>
        <v/>
      </c>
      <c r="BC877" s="66">
        <f t="shared" si="125"/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69">
        <f t="shared" si="117"/>
        <v>0</v>
      </c>
      <c r="AT878" s="67" t="str">
        <f t="shared" si="118"/>
        <v/>
      </c>
      <c r="AU878" s="66" t="str">
        <f t="shared" si="119"/>
        <v/>
      </c>
      <c r="AV878" s="67" t="str">
        <f t="shared" si="120"/>
        <v/>
      </c>
      <c r="AW878" s="67" t="str">
        <f t="shared" si="121"/>
        <v/>
      </c>
      <c r="AX878" s="66" t="str">
        <f t="shared" si="122"/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 t="shared" si="123"/>
        <v/>
      </c>
      <c r="BB878" s="66" t="str">
        <f t="shared" si="124"/>
        <v/>
      </c>
      <c r="BC878" s="66">
        <f t="shared" si="125"/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69">
        <f t="shared" si="117"/>
        <v>0</v>
      </c>
      <c r="AT879" s="67" t="str">
        <f t="shared" si="118"/>
        <v/>
      </c>
      <c r="AU879" s="66" t="str">
        <f t="shared" si="119"/>
        <v/>
      </c>
      <c r="AV879" s="67" t="str">
        <f t="shared" si="120"/>
        <v/>
      </c>
      <c r="AW879" s="67" t="str">
        <f t="shared" si="121"/>
        <v/>
      </c>
      <c r="AX879" s="66" t="str">
        <f t="shared" si="122"/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 t="shared" si="123"/>
        <v/>
      </c>
      <c r="BB879" s="66" t="str">
        <f t="shared" si="124"/>
        <v/>
      </c>
      <c r="BC879" s="66">
        <f t="shared" si="125"/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69">
        <f t="shared" si="117"/>
        <v>0</v>
      </c>
      <c r="AT880" s="67" t="str">
        <f t="shared" si="118"/>
        <v/>
      </c>
      <c r="AU880" s="66" t="str">
        <f t="shared" si="119"/>
        <v/>
      </c>
      <c r="AV880" s="67" t="str">
        <f t="shared" si="120"/>
        <v/>
      </c>
      <c r="AW880" s="67" t="str">
        <f t="shared" si="121"/>
        <v/>
      </c>
      <c r="AX880" s="66" t="str">
        <f t="shared" si="122"/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 t="shared" si="123"/>
        <v/>
      </c>
      <c r="BB880" s="66" t="str">
        <f t="shared" si="124"/>
        <v/>
      </c>
      <c r="BC880" s="66">
        <f t="shared" si="125"/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69">
        <f t="shared" si="117"/>
        <v>0</v>
      </c>
      <c r="AT881" s="67" t="str">
        <f t="shared" si="118"/>
        <v/>
      </c>
      <c r="AU881" s="66" t="str">
        <f t="shared" si="119"/>
        <v/>
      </c>
      <c r="AV881" s="67" t="str">
        <f t="shared" si="120"/>
        <v/>
      </c>
      <c r="AW881" s="67" t="str">
        <f t="shared" si="121"/>
        <v/>
      </c>
      <c r="AX881" s="66" t="str">
        <f t="shared" si="122"/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 t="shared" si="123"/>
        <v/>
      </c>
      <c r="BB881" s="66" t="str">
        <f t="shared" si="124"/>
        <v/>
      </c>
      <c r="BC881" s="66">
        <f t="shared" si="125"/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69">
        <f t="shared" si="117"/>
        <v>0</v>
      </c>
      <c r="AT882" s="67" t="str">
        <f t="shared" si="118"/>
        <v/>
      </c>
      <c r="AU882" s="66" t="str">
        <f t="shared" si="119"/>
        <v/>
      </c>
      <c r="AV882" s="67" t="str">
        <f t="shared" si="120"/>
        <v/>
      </c>
      <c r="AW882" s="67" t="str">
        <f t="shared" si="121"/>
        <v/>
      </c>
      <c r="AX882" s="66" t="str">
        <f t="shared" si="122"/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 t="shared" si="123"/>
        <v/>
      </c>
      <c r="BB882" s="66" t="str">
        <f t="shared" si="124"/>
        <v/>
      </c>
      <c r="BC882" s="66">
        <f t="shared" si="125"/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69">
        <f t="shared" si="117"/>
        <v>0</v>
      </c>
      <c r="AT883" s="67" t="str">
        <f t="shared" si="118"/>
        <v/>
      </c>
      <c r="AU883" s="66" t="str">
        <f t="shared" si="119"/>
        <v/>
      </c>
      <c r="AV883" s="67" t="str">
        <f t="shared" si="120"/>
        <v/>
      </c>
      <c r="AW883" s="67" t="str">
        <f t="shared" si="121"/>
        <v/>
      </c>
      <c r="AX883" s="66" t="str">
        <f t="shared" si="122"/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 t="shared" si="123"/>
        <v/>
      </c>
      <c r="BB883" s="66" t="str">
        <f t="shared" si="124"/>
        <v/>
      </c>
      <c r="BC883" s="66">
        <f t="shared" si="125"/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69">
        <f t="shared" si="117"/>
        <v>0</v>
      </c>
      <c r="AT884" s="67" t="str">
        <f t="shared" si="118"/>
        <v/>
      </c>
      <c r="AU884" s="66" t="str">
        <f t="shared" si="119"/>
        <v/>
      </c>
      <c r="AV884" s="67" t="str">
        <f t="shared" si="120"/>
        <v/>
      </c>
      <c r="AW884" s="67" t="str">
        <f t="shared" si="121"/>
        <v/>
      </c>
      <c r="AX884" s="66" t="str">
        <f t="shared" si="122"/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 t="shared" si="123"/>
        <v/>
      </c>
      <c r="BB884" s="66" t="str">
        <f t="shared" si="124"/>
        <v/>
      </c>
      <c r="BC884" s="66">
        <f t="shared" si="125"/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69">
        <f t="shared" si="117"/>
        <v>0</v>
      </c>
      <c r="AT885" s="67" t="str">
        <f t="shared" si="118"/>
        <v/>
      </c>
      <c r="AU885" s="66" t="str">
        <f t="shared" si="119"/>
        <v/>
      </c>
      <c r="AV885" s="67" t="str">
        <f t="shared" si="120"/>
        <v/>
      </c>
      <c r="AW885" s="67" t="str">
        <f t="shared" si="121"/>
        <v/>
      </c>
      <c r="AX885" s="66" t="str">
        <f t="shared" si="122"/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 t="shared" si="123"/>
        <v/>
      </c>
      <c r="BB885" s="66" t="str">
        <f t="shared" si="124"/>
        <v/>
      </c>
      <c r="BC885" s="66">
        <f t="shared" si="125"/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69">
        <f t="shared" si="117"/>
        <v>0</v>
      </c>
      <c r="AT886" s="67" t="str">
        <f t="shared" si="118"/>
        <v/>
      </c>
      <c r="AU886" s="66" t="str">
        <f t="shared" si="119"/>
        <v/>
      </c>
      <c r="AV886" s="67" t="str">
        <f t="shared" si="120"/>
        <v/>
      </c>
      <c r="AW886" s="67" t="str">
        <f t="shared" si="121"/>
        <v/>
      </c>
      <c r="AX886" s="66" t="str">
        <f t="shared" si="122"/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 t="shared" si="123"/>
        <v/>
      </c>
      <c r="BB886" s="66" t="str">
        <f t="shared" si="124"/>
        <v/>
      </c>
      <c r="BC886" s="66">
        <f t="shared" si="125"/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69">
        <f t="shared" si="117"/>
        <v>0</v>
      </c>
      <c r="AT887" s="67" t="str">
        <f t="shared" si="118"/>
        <v/>
      </c>
      <c r="AU887" s="66" t="str">
        <f t="shared" si="119"/>
        <v/>
      </c>
      <c r="AV887" s="67" t="str">
        <f t="shared" si="120"/>
        <v/>
      </c>
      <c r="AW887" s="67" t="str">
        <f t="shared" si="121"/>
        <v/>
      </c>
      <c r="AX887" s="66" t="str">
        <f t="shared" si="122"/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 t="shared" si="123"/>
        <v/>
      </c>
      <c r="BB887" s="66" t="str">
        <f t="shared" si="124"/>
        <v/>
      </c>
      <c r="BC887" s="66">
        <f t="shared" si="125"/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69">
        <f t="shared" si="117"/>
        <v>0</v>
      </c>
      <c r="AT888" s="67" t="str">
        <f t="shared" si="118"/>
        <v/>
      </c>
      <c r="AU888" s="66" t="str">
        <f t="shared" si="119"/>
        <v/>
      </c>
      <c r="AV888" s="67" t="str">
        <f t="shared" si="120"/>
        <v/>
      </c>
      <c r="AW888" s="67" t="str">
        <f t="shared" si="121"/>
        <v/>
      </c>
      <c r="AX888" s="66" t="str">
        <f t="shared" si="122"/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 t="shared" si="123"/>
        <v/>
      </c>
      <c r="BB888" s="66" t="str">
        <f t="shared" si="124"/>
        <v/>
      </c>
      <c r="BC888" s="66">
        <f t="shared" si="125"/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69">
        <f t="shared" si="117"/>
        <v>0</v>
      </c>
      <c r="AT889" s="67" t="str">
        <f t="shared" si="118"/>
        <v/>
      </c>
      <c r="AU889" s="66" t="str">
        <f t="shared" si="119"/>
        <v/>
      </c>
      <c r="AV889" s="67" t="str">
        <f t="shared" si="120"/>
        <v/>
      </c>
      <c r="AW889" s="67" t="str">
        <f t="shared" si="121"/>
        <v/>
      </c>
      <c r="AX889" s="66" t="str">
        <f t="shared" si="122"/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 t="shared" si="123"/>
        <v/>
      </c>
      <c r="BB889" s="66" t="str">
        <f t="shared" si="124"/>
        <v/>
      </c>
      <c r="BC889" s="66">
        <f t="shared" si="125"/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69">
        <f t="shared" si="117"/>
        <v>0</v>
      </c>
      <c r="AT890" s="67" t="str">
        <f t="shared" si="118"/>
        <v/>
      </c>
      <c r="AU890" s="66" t="str">
        <f t="shared" si="119"/>
        <v/>
      </c>
      <c r="AV890" s="67" t="str">
        <f t="shared" si="120"/>
        <v/>
      </c>
      <c r="AW890" s="67" t="str">
        <f t="shared" si="121"/>
        <v/>
      </c>
      <c r="AX890" s="66" t="str">
        <f t="shared" si="122"/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 t="shared" si="123"/>
        <v/>
      </c>
      <c r="BB890" s="66" t="str">
        <f t="shared" si="124"/>
        <v/>
      </c>
      <c r="BC890" s="66">
        <f t="shared" si="125"/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69">
        <f t="shared" si="117"/>
        <v>0</v>
      </c>
      <c r="AT891" s="67" t="str">
        <f t="shared" si="118"/>
        <v/>
      </c>
      <c r="AU891" s="66" t="str">
        <f t="shared" si="119"/>
        <v/>
      </c>
      <c r="AV891" s="67" t="str">
        <f t="shared" si="120"/>
        <v/>
      </c>
      <c r="AW891" s="67" t="str">
        <f t="shared" si="121"/>
        <v/>
      </c>
      <c r="AX891" s="66" t="str">
        <f t="shared" si="122"/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 t="shared" si="123"/>
        <v/>
      </c>
      <c r="BB891" s="66" t="str">
        <f t="shared" si="124"/>
        <v/>
      </c>
      <c r="BC891" s="66">
        <f t="shared" si="125"/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69">
        <f t="shared" si="117"/>
        <v>0</v>
      </c>
      <c r="AT892" s="67" t="str">
        <f t="shared" si="118"/>
        <v/>
      </c>
      <c r="AU892" s="66" t="str">
        <f t="shared" si="119"/>
        <v/>
      </c>
      <c r="AV892" s="67" t="str">
        <f t="shared" si="120"/>
        <v/>
      </c>
      <c r="AW892" s="67" t="str">
        <f t="shared" si="121"/>
        <v/>
      </c>
      <c r="AX892" s="66" t="str">
        <f t="shared" si="122"/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 t="shared" si="123"/>
        <v/>
      </c>
      <c r="BB892" s="66" t="str">
        <f t="shared" si="124"/>
        <v/>
      </c>
      <c r="BC892" s="66">
        <f t="shared" si="125"/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69">
        <f t="shared" si="117"/>
        <v>0</v>
      </c>
      <c r="AT893" s="67" t="str">
        <f t="shared" si="118"/>
        <v/>
      </c>
      <c r="AU893" s="66" t="str">
        <f t="shared" si="119"/>
        <v/>
      </c>
      <c r="AV893" s="67" t="str">
        <f t="shared" si="120"/>
        <v/>
      </c>
      <c r="AW893" s="67" t="str">
        <f t="shared" si="121"/>
        <v/>
      </c>
      <c r="AX893" s="66" t="str">
        <f t="shared" si="122"/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 t="shared" si="123"/>
        <v/>
      </c>
      <c r="BB893" s="66" t="str">
        <f t="shared" si="124"/>
        <v/>
      </c>
      <c r="BC893" s="66">
        <f t="shared" si="125"/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69">
        <f t="shared" si="117"/>
        <v>0</v>
      </c>
      <c r="AT894" s="67" t="str">
        <f t="shared" si="118"/>
        <v/>
      </c>
      <c r="AU894" s="66" t="str">
        <f t="shared" si="119"/>
        <v/>
      </c>
      <c r="AV894" s="67" t="str">
        <f t="shared" si="120"/>
        <v/>
      </c>
      <c r="AW894" s="67" t="str">
        <f t="shared" si="121"/>
        <v/>
      </c>
      <c r="AX894" s="66" t="str">
        <f t="shared" si="122"/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 t="shared" si="123"/>
        <v/>
      </c>
      <c r="BB894" s="66" t="str">
        <f t="shared" si="124"/>
        <v/>
      </c>
      <c r="BC894" s="66">
        <f t="shared" si="125"/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69">
        <f t="shared" si="117"/>
        <v>0</v>
      </c>
      <c r="AT895" s="67" t="str">
        <f t="shared" si="118"/>
        <v/>
      </c>
      <c r="AU895" s="66" t="str">
        <f t="shared" si="119"/>
        <v/>
      </c>
      <c r="AV895" s="67" t="str">
        <f t="shared" si="120"/>
        <v/>
      </c>
      <c r="AW895" s="67" t="str">
        <f t="shared" si="121"/>
        <v/>
      </c>
      <c r="AX895" s="66" t="str">
        <f t="shared" si="122"/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 t="shared" si="123"/>
        <v/>
      </c>
      <c r="BB895" s="66" t="str">
        <f t="shared" si="124"/>
        <v/>
      </c>
      <c r="BC895" s="66">
        <f t="shared" si="125"/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69">
        <f t="shared" si="117"/>
        <v>0</v>
      </c>
      <c r="AT896" s="67" t="str">
        <f t="shared" si="118"/>
        <v/>
      </c>
      <c r="AU896" s="66" t="str">
        <f t="shared" si="119"/>
        <v/>
      </c>
      <c r="AV896" s="67" t="str">
        <f t="shared" si="120"/>
        <v/>
      </c>
      <c r="AW896" s="67" t="str">
        <f t="shared" si="121"/>
        <v/>
      </c>
      <c r="AX896" s="66" t="str">
        <f t="shared" si="122"/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 t="shared" si="123"/>
        <v/>
      </c>
      <c r="BB896" s="66" t="str">
        <f t="shared" si="124"/>
        <v/>
      </c>
      <c r="BC896" s="66">
        <f t="shared" si="125"/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69">
        <f t="shared" si="117"/>
        <v>0</v>
      </c>
      <c r="AT897" s="67" t="str">
        <f t="shared" si="118"/>
        <v/>
      </c>
      <c r="AU897" s="66" t="str">
        <f t="shared" si="119"/>
        <v/>
      </c>
      <c r="AV897" s="67" t="str">
        <f t="shared" si="120"/>
        <v/>
      </c>
      <c r="AW897" s="67" t="str">
        <f t="shared" si="121"/>
        <v/>
      </c>
      <c r="AX897" s="66" t="str">
        <f t="shared" si="122"/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 t="shared" si="123"/>
        <v/>
      </c>
      <c r="BB897" s="66" t="str">
        <f t="shared" si="124"/>
        <v/>
      </c>
      <c r="BC897" s="66">
        <f t="shared" si="125"/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69">
        <f t="shared" si="117"/>
        <v>0</v>
      </c>
      <c r="AT898" s="67" t="str">
        <f t="shared" si="118"/>
        <v/>
      </c>
      <c r="AU898" s="66" t="str">
        <f t="shared" si="119"/>
        <v/>
      </c>
      <c r="AV898" s="67" t="str">
        <f t="shared" si="120"/>
        <v/>
      </c>
      <c r="AW898" s="67" t="str">
        <f t="shared" si="121"/>
        <v/>
      </c>
      <c r="AX898" s="66" t="str">
        <f t="shared" si="122"/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 t="shared" si="123"/>
        <v/>
      </c>
      <c r="BB898" s="66" t="str">
        <f t="shared" si="124"/>
        <v/>
      </c>
      <c r="BC898" s="66">
        <f t="shared" si="125"/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69">
        <f t="shared" si="117"/>
        <v>0</v>
      </c>
      <c r="AT899" s="67" t="str">
        <f t="shared" si="118"/>
        <v/>
      </c>
      <c r="AU899" s="66" t="str">
        <f t="shared" si="119"/>
        <v/>
      </c>
      <c r="AV899" s="67" t="str">
        <f t="shared" si="120"/>
        <v/>
      </c>
      <c r="AW899" s="67" t="str">
        <f t="shared" si="121"/>
        <v/>
      </c>
      <c r="AX899" s="66" t="str">
        <f t="shared" si="122"/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 t="shared" si="123"/>
        <v/>
      </c>
      <c r="BB899" s="66" t="str">
        <f t="shared" si="124"/>
        <v/>
      </c>
      <c r="BC899" s="66">
        <f t="shared" si="125"/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69">
        <f t="shared" si="117"/>
        <v>0</v>
      </c>
      <c r="AT900" s="67" t="str">
        <f t="shared" si="118"/>
        <v/>
      </c>
      <c r="AU900" s="66" t="str">
        <f t="shared" si="119"/>
        <v/>
      </c>
      <c r="AV900" s="67" t="str">
        <f t="shared" si="120"/>
        <v/>
      </c>
      <c r="AW900" s="67" t="str">
        <f t="shared" si="121"/>
        <v/>
      </c>
      <c r="AX900" s="66" t="str">
        <f t="shared" si="122"/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 t="shared" si="123"/>
        <v/>
      </c>
      <c r="BB900" s="66" t="str">
        <f t="shared" si="124"/>
        <v/>
      </c>
      <c r="BC900" s="66">
        <f t="shared" si="125"/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69">
        <f t="shared" ref="AS901:AS964" si="126">SUM(H901,J901,L901,N901,P901,R901,T901,V901,X901,Z901,AB901,AD901,AF901,AH901,AJ901,AL901,AN901)</f>
        <v>0</v>
      </c>
      <c r="AT901" s="67" t="str">
        <f t="shared" ref="AT901:AT964" si="127">IF(C901="","",DATE(YEAR(C901),MONTH(C901),1))</f>
        <v/>
      </c>
      <c r="AU901" s="66" t="str">
        <f t="shared" ref="AU901:AU964" si="128">IF(AT901="","",TEXT(AT901,"mmmm yyyy"))</f>
        <v/>
      </c>
      <c r="AV901" s="67" t="str">
        <f t="shared" ref="AV901:AV964" si="129">IF(C901="","",C901-WEEKDAY(C901,2)+1)</f>
        <v/>
      </c>
      <c r="AW901" s="67" t="str">
        <f t="shared" ref="AW901:AW964" si="130">IF(AV901="","",AV901+6)</f>
        <v/>
      </c>
      <c r="AX901" s="66" t="str">
        <f t="shared" ref="AX901:AX964" si="131"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 t="shared" ref="BA901:BA964" si="132">IF(B901="","",TEXT(AY901,"00")&amp;"|"&amp;B901&amp;"|"&amp;TEXT(AT901,"yyyymmdd"))</f>
        <v/>
      </c>
      <c r="BB901" s="66" t="str">
        <f t="shared" ref="BB901:BB964" si="133">IF(B901="","",TEXT(AZ901,"00")&amp;"|"&amp;B901&amp;"|"&amp;TEXT(AV901,"yyyymmdd"))</f>
        <v/>
      </c>
      <c r="BC901" s="66">
        <f t="shared" ref="BC901:BC964" si="134"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69">
        <f t="shared" si="126"/>
        <v>0</v>
      </c>
      <c r="AT902" s="67" t="str">
        <f t="shared" si="127"/>
        <v/>
      </c>
      <c r="AU902" s="66" t="str">
        <f t="shared" si="128"/>
        <v/>
      </c>
      <c r="AV902" s="67" t="str">
        <f t="shared" si="129"/>
        <v/>
      </c>
      <c r="AW902" s="67" t="str">
        <f t="shared" si="130"/>
        <v/>
      </c>
      <c r="AX902" s="66" t="str">
        <f t="shared" si="131"/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 t="shared" si="132"/>
        <v/>
      </c>
      <c r="BB902" s="66" t="str">
        <f t="shared" si="133"/>
        <v/>
      </c>
      <c r="BC902" s="66">
        <f t="shared" si="134"/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69">
        <f t="shared" si="126"/>
        <v>0</v>
      </c>
      <c r="AT903" s="67" t="str">
        <f t="shared" si="127"/>
        <v/>
      </c>
      <c r="AU903" s="66" t="str">
        <f t="shared" si="128"/>
        <v/>
      </c>
      <c r="AV903" s="67" t="str">
        <f t="shared" si="129"/>
        <v/>
      </c>
      <c r="AW903" s="67" t="str">
        <f t="shared" si="130"/>
        <v/>
      </c>
      <c r="AX903" s="66" t="str">
        <f t="shared" si="131"/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 t="shared" si="132"/>
        <v/>
      </c>
      <c r="BB903" s="66" t="str">
        <f t="shared" si="133"/>
        <v/>
      </c>
      <c r="BC903" s="66">
        <f t="shared" si="134"/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69">
        <f t="shared" si="126"/>
        <v>0</v>
      </c>
      <c r="AT904" s="67" t="str">
        <f t="shared" si="127"/>
        <v/>
      </c>
      <c r="AU904" s="66" t="str">
        <f t="shared" si="128"/>
        <v/>
      </c>
      <c r="AV904" s="67" t="str">
        <f t="shared" si="129"/>
        <v/>
      </c>
      <c r="AW904" s="67" t="str">
        <f t="shared" si="130"/>
        <v/>
      </c>
      <c r="AX904" s="66" t="str">
        <f t="shared" si="131"/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 t="shared" si="132"/>
        <v/>
      </c>
      <c r="BB904" s="66" t="str">
        <f t="shared" si="133"/>
        <v/>
      </c>
      <c r="BC904" s="66">
        <f t="shared" si="134"/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69">
        <f t="shared" si="126"/>
        <v>0</v>
      </c>
      <c r="AT905" s="67" t="str">
        <f t="shared" si="127"/>
        <v/>
      </c>
      <c r="AU905" s="66" t="str">
        <f t="shared" si="128"/>
        <v/>
      </c>
      <c r="AV905" s="67" t="str">
        <f t="shared" si="129"/>
        <v/>
      </c>
      <c r="AW905" s="67" t="str">
        <f t="shared" si="130"/>
        <v/>
      </c>
      <c r="AX905" s="66" t="str">
        <f t="shared" si="131"/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 t="shared" si="132"/>
        <v/>
      </c>
      <c r="BB905" s="66" t="str">
        <f t="shared" si="133"/>
        <v/>
      </c>
      <c r="BC905" s="66">
        <f t="shared" si="134"/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69">
        <f t="shared" si="126"/>
        <v>0</v>
      </c>
      <c r="AT906" s="67" t="str">
        <f t="shared" si="127"/>
        <v/>
      </c>
      <c r="AU906" s="66" t="str">
        <f t="shared" si="128"/>
        <v/>
      </c>
      <c r="AV906" s="67" t="str">
        <f t="shared" si="129"/>
        <v/>
      </c>
      <c r="AW906" s="67" t="str">
        <f t="shared" si="130"/>
        <v/>
      </c>
      <c r="AX906" s="66" t="str">
        <f t="shared" si="131"/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 t="shared" si="132"/>
        <v/>
      </c>
      <c r="BB906" s="66" t="str">
        <f t="shared" si="133"/>
        <v/>
      </c>
      <c r="BC906" s="66">
        <f t="shared" si="134"/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69">
        <f t="shared" si="126"/>
        <v>0</v>
      </c>
      <c r="AT907" s="67" t="str">
        <f t="shared" si="127"/>
        <v/>
      </c>
      <c r="AU907" s="66" t="str">
        <f t="shared" si="128"/>
        <v/>
      </c>
      <c r="AV907" s="67" t="str">
        <f t="shared" si="129"/>
        <v/>
      </c>
      <c r="AW907" s="67" t="str">
        <f t="shared" si="130"/>
        <v/>
      </c>
      <c r="AX907" s="66" t="str">
        <f t="shared" si="131"/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 t="shared" si="132"/>
        <v/>
      </c>
      <c r="BB907" s="66" t="str">
        <f t="shared" si="133"/>
        <v/>
      </c>
      <c r="BC907" s="66">
        <f t="shared" si="134"/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69">
        <f t="shared" si="126"/>
        <v>0</v>
      </c>
      <c r="AT908" s="67" t="str">
        <f t="shared" si="127"/>
        <v/>
      </c>
      <c r="AU908" s="66" t="str">
        <f t="shared" si="128"/>
        <v/>
      </c>
      <c r="AV908" s="67" t="str">
        <f t="shared" si="129"/>
        <v/>
      </c>
      <c r="AW908" s="67" t="str">
        <f t="shared" si="130"/>
        <v/>
      </c>
      <c r="AX908" s="66" t="str">
        <f t="shared" si="131"/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 t="shared" si="132"/>
        <v/>
      </c>
      <c r="BB908" s="66" t="str">
        <f t="shared" si="133"/>
        <v/>
      </c>
      <c r="BC908" s="66">
        <f t="shared" si="134"/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69">
        <f t="shared" si="126"/>
        <v>0</v>
      </c>
      <c r="AT909" s="67" t="str">
        <f t="shared" si="127"/>
        <v/>
      </c>
      <c r="AU909" s="66" t="str">
        <f t="shared" si="128"/>
        <v/>
      </c>
      <c r="AV909" s="67" t="str">
        <f t="shared" si="129"/>
        <v/>
      </c>
      <c r="AW909" s="67" t="str">
        <f t="shared" si="130"/>
        <v/>
      </c>
      <c r="AX909" s="66" t="str">
        <f t="shared" si="131"/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 t="shared" si="132"/>
        <v/>
      </c>
      <c r="BB909" s="66" t="str">
        <f t="shared" si="133"/>
        <v/>
      </c>
      <c r="BC909" s="66">
        <f t="shared" si="134"/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69">
        <f t="shared" si="126"/>
        <v>0</v>
      </c>
      <c r="AT910" s="67" t="str">
        <f t="shared" si="127"/>
        <v/>
      </c>
      <c r="AU910" s="66" t="str">
        <f t="shared" si="128"/>
        <v/>
      </c>
      <c r="AV910" s="67" t="str">
        <f t="shared" si="129"/>
        <v/>
      </c>
      <c r="AW910" s="67" t="str">
        <f t="shared" si="130"/>
        <v/>
      </c>
      <c r="AX910" s="66" t="str">
        <f t="shared" si="131"/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 t="shared" si="132"/>
        <v/>
      </c>
      <c r="BB910" s="66" t="str">
        <f t="shared" si="133"/>
        <v/>
      </c>
      <c r="BC910" s="66">
        <f t="shared" si="134"/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69">
        <f t="shared" si="126"/>
        <v>0</v>
      </c>
      <c r="AT911" s="67" t="str">
        <f t="shared" si="127"/>
        <v/>
      </c>
      <c r="AU911" s="66" t="str">
        <f t="shared" si="128"/>
        <v/>
      </c>
      <c r="AV911" s="67" t="str">
        <f t="shared" si="129"/>
        <v/>
      </c>
      <c r="AW911" s="67" t="str">
        <f t="shared" si="130"/>
        <v/>
      </c>
      <c r="AX911" s="66" t="str">
        <f t="shared" si="131"/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 t="shared" si="132"/>
        <v/>
      </c>
      <c r="BB911" s="66" t="str">
        <f t="shared" si="133"/>
        <v/>
      </c>
      <c r="BC911" s="66">
        <f t="shared" si="134"/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69">
        <f t="shared" si="126"/>
        <v>0</v>
      </c>
      <c r="AT912" s="67" t="str">
        <f t="shared" si="127"/>
        <v/>
      </c>
      <c r="AU912" s="66" t="str">
        <f t="shared" si="128"/>
        <v/>
      </c>
      <c r="AV912" s="67" t="str">
        <f t="shared" si="129"/>
        <v/>
      </c>
      <c r="AW912" s="67" t="str">
        <f t="shared" si="130"/>
        <v/>
      </c>
      <c r="AX912" s="66" t="str">
        <f t="shared" si="131"/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 t="shared" si="132"/>
        <v/>
      </c>
      <c r="BB912" s="66" t="str">
        <f t="shared" si="133"/>
        <v/>
      </c>
      <c r="BC912" s="66">
        <f t="shared" si="134"/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69">
        <f t="shared" si="126"/>
        <v>0</v>
      </c>
      <c r="AT913" s="67" t="str">
        <f t="shared" si="127"/>
        <v/>
      </c>
      <c r="AU913" s="66" t="str">
        <f t="shared" si="128"/>
        <v/>
      </c>
      <c r="AV913" s="67" t="str">
        <f t="shared" si="129"/>
        <v/>
      </c>
      <c r="AW913" s="67" t="str">
        <f t="shared" si="130"/>
        <v/>
      </c>
      <c r="AX913" s="66" t="str">
        <f t="shared" si="131"/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 t="shared" si="132"/>
        <v/>
      </c>
      <c r="BB913" s="66" t="str">
        <f t="shared" si="133"/>
        <v/>
      </c>
      <c r="BC913" s="66">
        <f t="shared" si="134"/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69">
        <f t="shared" si="126"/>
        <v>0</v>
      </c>
      <c r="AT914" s="67" t="str">
        <f t="shared" si="127"/>
        <v/>
      </c>
      <c r="AU914" s="66" t="str">
        <f t="shared" si="128"/>
        <v/>
      </c>
      <c r="AV914" s="67" t="str">
        <f t="shared" si="129"/>
        <v/>
      </c>
      <c r="AW914" s="67" t="str">
        <f t="shared" si="130"/>
        <v/>
      </c>
      <c r="AX914" s="66" t="str">
        <f t="shared" si="131"/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 t="shared" si="132"/>
        <v/>
      </c>
      <c r="BB914" s="66" t="str">
        <f t="shared" si="133"/>
        <v/>
      </c>
      <c r="BC914" s="66">
        <f t="shared" si="134"/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69">
        <f t="shared" si="126"/>
        <v>0</v>
      </c>
      <c r="AT915" s="67" t="str">
        <f t="shared" si="127"/>
        <v/>
      </c>
      <c r="AU915" s="66" t="str">
        <f t="shared" si="128"/>
        <v/>
      </c>
      <c r="AV915" s="67" t="str">
        <f t="shared" si="129"/>
        <v/>
      </c>
      <c r="AW915" s="67" t="str">
        <f t="shared" si="130"/>
        <v/>
      </c>
      <c r="AX915" s="66" t="str">
        <f t="shared" si="131"/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 t="shared" si="132"/>
        <v/>
      </c>
      <c r="BB915" s="66" t="str">
        <f t="shared" si="133"/>
        <v/>
      </c>
      <c r="BC915" s="66">
        <f t="shared" si="134"/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69">
        <f t="shared" si="126"/>
        <v>0</v>
      </c>
      <c r="AT916" s="67" t="str">
        <f t="shared" si="127"/>
        <v/>
      </c>
      <c r="AU916" s="66" t="str">
        <f t="shared" si="128"/>
        <v/>
      </c>
      <c r="AV916" s="67" t="str">
        <f t="shared" si="129"/>
        <v/>
      </c>
      <c r="AW916" s="67" t="str">
        <f t="shared" si="130"/>
        <v/>
      </c>
      <c r="AX916" s="66" t="str">
        <f t="shared" si="131"/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 t="shared" si="132"/>
        <v/>
      </c>
      <c r="BB916" s="66" t="str">
        <f t="shared" si="133"/>
        <v/>
      </c>
      <c r="BC916" s="66">
        <f t="shared" si="134"/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69">
        <f t="shared" si="126"/>
        <v>0</v>
      </c>
      <c r="AT917" s="67" t="str">
        <f t="shared" si="127"/>
        <v/>
      </c>
      <c r="AU917" s="66" t="str">
        <f t="shared" si="128"/>
        <v/>
      </c>
      <c r="AV917" s="67" t="str">
        <f t="shared" si="129"/>
        <v/>
      </c>
      <c r="AW917" s="67" t="str">
        <f t="shared" si="130"/>
        <v/>
      </c>
      <c r="AX917" s="66" t="str">
        <f t="shared" si="131"/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 t="shared" si="132"/>
        <v/>
      </c>
      <c r="BB917" s="66" t="str">
        <f t="shared" si="133"/>
        <v/>
      </c>
      <c r="BC917" s="66">
        <f t="shared" si="134"/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69">
        <f t="shared" si="126"/>
        <v>0</v>
      </c>
      <c r="AT918" s="67" t="str">
        <f t="shared" si="127"/>
        <v/>
      </c>
      <c r="AU918" s="66" t="str">
        <f t="shared" si="128"/>
        <v/>
      </c>
      <c r="AV918" s="67" t="str">
        <f t="shared" si="129"/>
        <v/>
      </c>
      <c r="AW918" s="67" t="str">
        <f t="shared" si="130"/>
        <v/>
      </c>
      <c r="AX918" s="66" t="str">
        <f t="shared" si="131"/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 t="shared" si="132"/>
        <v/>
      </c>
      <c r="BB918" s="66" t="str">
        <f t="shared" si="133"/>
        <v/>
      </c>
      <c r="BC918" s="66">
        <f t="shared" si="134"/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69">
        <f t="shared" si="126"/>
        <v>0</v>
      </c>
      <c r="AT919" s="67" t="str">
        <f t="shared" si="127"/>
        <v/>
      </c>
      <c r="AU919" s="66" t="str">
        <f t="shared" si="128"/>
        <v/>
      </c>
      <c r="AV919" s="67" t="str">
        <f t="shared" si="129"/>
        <v/>
      </c>
      <c r="AW919" s="67" t="str">
        <f t="shared" si="130"/>
        <v/>
      </c>
      <c r="AX919" s="66" t="str">
        <f t="shared" si="131"/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 t="shared" si="132"/>
        <v/>
      </c>
      <c r="BB919" s="66" t="str">
        <f t="shared" si="133"/>
        <v/>
      </c>
      <c r="BC919" s="66">
        <f t="shared" si="134"/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69">
        <f t="shared" si="126"/>
        <v>0</v>
      </c>
      <c r="AT920" s="67" t="str">
        <f t="shared" si="127"/>
        <v/>
      </c>
      <c r="AU920" s="66" t="str">
        <f t="shared" si="128"/>
        <v/>
      </c>
      <c r="AV920" s="67" t="str">
        <f t="shared" si="129"/>
        <v/>
      </c>
      <c r="AW920" s="67" t="str">
        <f t="shared" si="130"/>
        <v/>
      </c>
      <c r="AX920" s="66" t="str">
        <f t="shared" si="131"/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 t="shared" si="132"/>
        <v/>
      </c>
      <c r="BB920" s="66" t="str">
        <f t="shared" si="133"/>
        <v/>
      </c>
      <c r="BC920" s="66">
        <f t="shared" si="134"/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69">
        <f t="shared" si="126"/>
        <v>0</v>
      </c>
      <c r="AT921" s="67" t="str">
        <f t="shared" si="127"/>
        <v/>
      </c>
      <c r="AU921" s="66" t="str">
        <f t="shared" si="128"/>
        <v/>
      </c>
      <c r="AV921" s="67" t="str">
        <f t="shared" si="129"/>
        <v/>
      </c>
      <c r="AW921" s="67" t="str">
        <f t="shared" si="130"/>
        <v/>
      </c>
      <c r="AX921" s="66" t="str">
        <f t="shared" si="131"/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 t="shared" si="132"/>
        <v/>
      </c>
      <c r="BB921" s="66" t="str">
        <f t="shared" si="133"/>
        <v/>
      </c>
      <c r="BC921" s="66">
        <f t="shared" si="134"/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69">
        <f t="shared" si="126"/>
        <v>0</v>
      </c>
      <c r="AT922" s="67" t="str">
        <f t="shared" si="127"/>
        <v/>
      </c>
      <c r="AU922" s="66" t="str">
        <f t="shared" si="128"/>
        <v/>
      </c>
      <c r="AV922" s="67" t="str">
        <f t="shared" si="129"/>
        <v/>
      </c>
      <c r="AW922" s="67" t="str">
        <f t="shared" si="130"/>
        <v/>
      </c>
      <c r="AX922" s="66" t="str">
        <f t="shared" si="131"/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 t="shared" si="132"/>
        <v/>
      </c>
      <c r="BB922" s="66" t="str">
        <f t="shared" si="133"/>
        <v/>
      </c>
      <c r="BC922" s="66">
        <f t="shared" si="134"/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69">
        <f t="shared" si="126"/>
        <v>0</v>
      </c>
      <c r="AT923" s="67" t="str">
        <f t="shared" si="127"/>
        <v/>
      </c>
      <c r="AU923" s="66" t="str">
        <f t="shared" si="128"/>
        <v/>
      </c>
      <c r="AV923" s="67" t="str">
        <f t="shared" si="129"/>
        <v/>
      </c>
      <c r="AW923" s="67" t="str">
        <f t="shared" si="130"/>
        <v/>
      </c>
      <c r="AX923" s="66" t="str">
        <f t="shared" si="131"/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 t="shared" si="132"/>
        <v/>
      </c>
      <c r="BB923" s="66" t="str">
        <f t="shared" si="133"/>
        <v/>
      </c>
      <c r="BC923" s="66">
        <f t="shared" si="134"/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69">
        <f t="shared" si="126"/>
        <v>0</v>
      </c>
      <c r="AT924" s="67" t="str">
        <f t="shared" si="127"/>
        <v/>
      </c>
      <c r="AU924" s="66" t="str">
        <f t="shared" si="128"/>
        <v/>
      </c>
      <c r="AV924" s="67" t="str">
        <f t="shared" si="129"/>
        <v/>
      </c>
      <c r="AW924" s="67" t="str">
        <f t="shared" si="130"/>
        <v/>
      </c>
      <c r="AX924" s="66" t="str">
        <f t="shared" si="131"/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 t="shared" si="132"/>
        <v/>
      </c>
      <c r="BB924" s="66" t="str">
        <f t="shared" si="133"/>
        <v/>
      </c>
      <c r="BC924" s="66">
        <f t="shared" si="134"/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69">
        <f t="shared" si="126"/>
        <v>0</v>
      </c>
      <c r="AT925" s="67" t="str">
        <f t="shared" si="127"/>
        <v/>
      </c>
      <c r="AU925" s="66" t="str">
        <f t="shared" si="128"/>
        <v/>
      </c>
      <c r="AV925" s="67" t="str">
        <f t="shared" si="129"/>
        <v/>
      </c>
      <c r="AW925" s="67" t="str">
        <f t="shared" si="130"/>
        <v/>
      </c>
      <c r="AX925" s="66" t="str">
        <f t="shared" si="131"/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 t="shared" si="132"/>
        <v/>
      </c>
      <c r="BB925" s="66" t="str">
        <f t="shared" si="133"/>
        <v/>
      </c>
      <c r="BC925" s="66">
        <f t="shared" si="134"/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69">
        <f t="shared" si="126"/>
        <v>0</v>
      </c>
      <c r="AT926" s="67" t="str">
        <f t="shared" si="127"/>
        <v/>
      </c>
      <c r="AU926" s="66" t="str">
        <f t="shared" si="128"/>
        <v/>
      </c>
      <c r="AV926" s="67" t="str">
        <f t="shared" si="129"/>
        <v/>
      </c>
      <c r="AW926" s="67" t="str">
        <f t="shared" si="130"/>
        <v/>
      </c>
      <c r="AX926" s="66" t="str">
        <f t="shared" si="131"/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 t="shared" si="132"/>
        <v/>
      </c>
      <c r="BB926" s="66" t="str">
        <f t="shared" si="133"/>
        <v/>
      </c>
      <c r="BC926" s="66">
        <f t="shared" si="134"/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69">
        <f t="shared" si="126"/>
        <v>0</v>
      </c>
      <c r="AT927" s="67" t="str">
        <f t="shared" si="127"/>
        <v/>
      </c>
      <c r="AU927" s="66" t="str">
        <f t="shared" si="128"/>
        <v/>
      </c>
      <c r="AV927" s="67" t="str">
        <f t="shared" si="129"/>
        <v/>
      </c>
      <c r="AW927" s="67" t="str">
        <f t="shared" si="130"/>
        <v/>
      </c>
      <c r="AX927" s="66" t="str">
        <f t="shared" si="131"/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 t="shared" si="132"/>
        <v/>
      </c>
      <c r="BB927" s="66" t="str">
        <f t="shared" si="133"/>
        <v/>
      </c>
      <c r="BC927" s="66">
        <f t="shared" si="134"/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69">
        <f t="shared" si="126"/>
        <v>0</v>
      </c>
      <c r="AT928" s="67" t="str">
        <f t="shared" si="127"/>
        <v/>
      </c>
      <c r="AU928" s="66" t="str">
        <f t="shared" si="128"/>
        <v/>
      </c>
      <c r="AV928" s="67" t="str">
        <f t="shared" si="129"/>
        <v/>
      </c>
      <c r="AW928" s="67" t="str">
        <f t="shared" si="130"/>
        <v/>
      </c>
      <c r="AX928" s="66" t="str">
        <f t="shared" si="131"/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 t="shared" si="132"/>
        <v/>
      </c>
      <c r="BB928" s="66" t="str">
        <f t="shared" si="133"/>
        <v/>
      </c>
      <c r="BC928" s="66">
        <f t="shared" si="134"/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69">
        <f t="shared" si="126"/>
        <v>0</v>
      </c>
      <c r="AT929" s="67" t="str">
        <f t="shared" si="127"/>
        <v/>
      </c>
      <c r="AU929" s="66" t="str">
        <f t="shared" si="128"/>
        <v/>
      </c>
      <c r="AV929" s="67" t="str">
        <f t="shared" si="129"/>
        <v/>
      </c>
      <c r="AW929" s="67" t="str">
        <f t="shared" si="130"/>
        <v/>
      </c>
      <c r="AX929" s="66" t="str">
        <f t="shared" si="131"/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 t="shared" si="132"/>
        <v/>
      </c>
      <c r="BB929" s="66" t="str">
        <f t="shared" si="133"/>
        <v/>
      </c>
      <c r="BC929" s="66">
        <f t="shared" si="134"/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69">
        <f t="shared" si="126"/>
        <v>0</v>
      </c>
      <c r="AT930" s="67" t="str">
        <f t="shared" si="127"/>
        <v/>
      </c>
      <c r="AU930" s="66" t="str">
        <f t="shared" si="128"/>
        <v/>
      </c>
      <c r="AV930" s="67" t="str">
        <f t="shared" si="129"/>
        <v/>
      </c>
      <c r="AW930" s="67" t="str">
        <f t="shared" si="130"/>
        <v/>
      </c>
      <c r="AX930" s="66" t="str">
        <f t="shared" si="131"/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 t="shared" si="132"/>
        <v/>
      </c>
      <c r="BB930" s="66" t="str">
        <f t="shared" si="133"/>
        <v/>
      </c>
      <c r="BC930" s="66">
        <f t="shared" si="134"/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69">
        <f t="shared" si="126"/>
        <v>0</v>
      </c>
      <c r="AT931" s="67" t="str">
        <f t="shared" si="127"/>
        <v/>
      </c>
      <c r="AU931" s="66" t="str">
        <f t="shared" si="128"/>
        <v/>
      </c>
      <c r="AV931" s="67" t="str">
        <f t="shared" si="129"/>
        <v/>
      </c>
      <c r="AW931" s="67" t="str">
        <f t="shared" si="130"/>
        <v/>
      </c>
      <c r="AX931" s="66" t="str">
        <f t="shared" si="131"/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 t="shared" si="132"/>
        <v/>
      </c>
      <c r="BB931" s="66" t="str">
        <f t="shared" si="133"/>
        <v/>
      </c>
      <c r="BC931" s="66">
        <f t="shared" si="134"/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69">
        <f t="shared" si="126"/>
        <v>0</v>
      </c>
      <c r="AT932" s="67" t="str">
        <f t="shared" si="127"/>
        <v/>
      </c>
      <c r="AU932" s="66" t="str">
        <f t="shared" si="128"/>
        <v/>
      </c>
      <c r="AV932" s="67" t="str">
        <f t="shared" si="129"/>
        <v/>
      </c>
      <c r="AW932" s="67" t="str">
        <f t="shared" si="130"/>
        <v/>
      </c>
      <c r="AX932" s="66" t="str">
        <f t="shared" si="131"/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 t="shared" si="132"/>
        <v/>
      </c>
      <c r="BB932" s="66" t="str">
        <f t="shared" si="133"/>
        <v/>
      </c>
      <c r="BC932" s="66">
        <f t="shared" si="134"/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69">
        <f t="shared" si="126"/>
        <v>0</v>
      </c>
      <c r="AT933" s="67" t="str">
        <f t="shared" si="127"/>
        <v/>
      </c>
      <c r="AU933" s="66" t="str">
        <f t="shared" si="128"/>
        <v/>
      </c>
      <c r="AV933" s="67" t="str">
        <f t="shared" si="129"/>
        <v/>
      </c>
      <c r="AW933" s="67" t="str">
        <f t="shared" si="130"/>
        <v/>
      </c>
      <c r="AX933" s="66" t="str">
        <f t="shared" si="131"/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 t="shared" si="132"/>
        <v/>
      </c>
      <c r="BB933" s="66" t="str">
        <f t="shared" si="133"/>
        <v/>
      </c>
      <c r="BC933" s="66">
        <f t="shared" si="134"/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69">
        <f t="shared" si="126"/>
        <v>0</v>
      </c>
      <c r="AT934" s="67" t="str">
        <f t="shared" si="127"/>
        <v/>
      </c>
      <c r="AU934" s="66" t="str">
        <f t="shared" si="128"/>
        <v/>
      </c>
      <c r="AV934" s="67" t="str">
        <f t="shared" si="129"/>
        <v/>
      </c>
      <c r="AW934" s="67" t="str">
        <f t="shared" si="130"/>
        <v/>
      </c>
      <c r="AX934" s="66" t="str">
        <f t="shared" si="131"/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 t="shared" si="132"/>
        <v/>
      </c>
      <c r="BB934" s="66" t="str">
        <f t="shared" si="133"/>
        <v/>
      </c>
      <c r="BC934" s="66">
        <f t="shared" si="134"/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69">
        <f t="shared" si="126"/>
        <v>0</v>
      </c>
      <c r="AT935" s="67" t="str">
        <f t="shared" si="127"/>
        <v/>
      </c>
      <c r="AU935" s="66" t="str">
        <f t="shared" si="128"/>
        <v/>
      </c>
      <c r="AV935" s="67" t="str">
        <f t="shared" si="129"/>
        <v/>
      </c>
      <c r="AW935" s="67" t="str">
        <f t="shared" si="130"/>
        <v/>
      </c>
      <c r="AX935" s="66" t="str">
        <f t="shared" si="131"/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 t="shared" si="132"/>
        <v/>
      </c>
      <c r="BB935" s="66" t="str">
        <f t="shared" si="133"/>
        <v/>
      </c>
      <c r="BC935" s="66">
        <f t="shared" si="134"/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69">
        <f t="shared" si="126"/>
        <v>0</v>
      </c>
      <c r="AT936" s="67" t="str">
        <f t="shared" si="127"/>
        <v/>
      </c>
      <c r="AU936" s="66" t="str">
        <f t="shared" si="128"/>
        <v/>
      </c>
      <c r="AV936" s="67" t="str">
        <f t="shared" si="129"/>
        <v/>
      </c>
      <c r="AW936" s="67" t="str">
        <f t="shared" si="130"/>
        <v/>
      </c>
      <c r="AX936" s="66" t="str">
        <f t="shared" si="131"/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 t="shared" si="132"/>
        <v/>
      </c>
      <c r="BB936" s="66" t="str">
        <f t="shared" si="133"/>
        <v/>
      </c>
      <c r="BC936" s="66">
        <f t="shared" si="134"/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69">
        <f t="shared" si="126"/>
        <v>0</v>
      </c>
      <c r="AT937" s="67" t="str">
        <f t="shared" si="127"/>
        <v/>
      </c>
      <c r="AU937" s="66" t="str">
        <f t="shared" si="128"/>
        <v/>
      </c>
      <c r="AV937" s="67" t="str">
        <f t="shared" si="129"/>
        <v/>
      </c>
      <c r="AW937" s="67" t="str">
        <f t="shared" si="130"/>
        <v/>
      </c>
      <c r="AX937" s="66" t="str">
        <f t="shared" si="131"/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 t="shared" si="132"/>
        <v/>
      </c>
      <c r="BB937" s="66" t="str">
        <f t="shared" si="133"/>
        <v/>
      </c>
      <c r="BC937" s="66">
        <f t="shared" si="134"/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69">
        <f t="shared" si="126"/>
        <v>0</v>
      </c>
      <c r="AT938" s="67" t="str">
        <f t="shared" si="127"/>
        <v/>
      </c>
      <c r="AU938" s="66" t="str">
        <f t="shared" si="128"/>
        <v/>
      </c>
      <c r="AV938" s="67" t="str">
        <f t="shared" si="129"/>
        <v/>
      </c>
      <c r="AW938" s="67" t="str">
        <f t="shared" si="130"/>
        <v/>
      </c>
      <c r="AX938" s="66" t="str">
        <f t="shared" si="131"/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 t="shared" si="132"/>
        <v/>
      </c>
      <c r="BB938" s="66" t="str">
        <f t="shared" si="133"/>
        <v/>
      </c>
      <c r="BC938" s="66">
        <f t="shared" si="134"/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69">
        <f t="shared" si="126"/>
        <v>0</v>
      </c>
      <c r="AT939" s="67" t="str">
        <f t="shared" si="127"/>
        <v/>
      </c>
      <c r="AU939" s="66" t="str">
        <f t="shared" si="128"/>
        <v/>
      </c>
      <c r="AV939" s="67" t="str">
        <f t="shared" si="129"/>
        <v/>
      </c>
      <c r="AW939" s="67" t="str">
        <f t="shared" si="130"/>
        <v/>
      </c>
      <c r="AX939" s="66" t="str">
        <f t="shared" si="131"/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 t="shared" si="132"/>
        <v/>
      </c>
      <c r="BB939" s="66" t="str">
        <f t="shared" si="133"/>
        <v/>
      </c>
      <c r="BC939" s="66">
        <f t="shared" si="134"/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69">
        <f t="shared" si="126"/>
        <v>0</v>
      </c>
      <c r="AT940" s="67" t="str">
        <f t="shared" si="127"/>
        <v/>
      </c>
      <c r="AU940" s="66" t="str">
        <f t="shared" si="128"/>
        <v/>
      </c>
      <c r="AV940" s="67" t="str">
        <f t="shared" si="129"/>
        <v/>
      </c>
      <c r="AW940" s="67" t="str">
        <f t="shared" si="130"/>
        <v/>
      </c>
      <c r="AX940" s="66" t="str">
        <f t="shared" si="131"/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 t="shared" si="132"/>
        <v/>
      </c>
      <c r="BB940" s="66" t="str">
        <f t="shared" si="133"/>
        <v/>
      </c>
      <c r="BC940" s="66">
        <f t="shared" si="134"/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69">
        <f t="shared" si="126"/>
        <v>0</v>
      </c>
      <c r="AT941" s="67" t="str">
        <f t="shared" si="127"/>
        <v/>
      </c>
      <c r="AU941" s="66" t="str">
        <f t="shared" si="128"/>
        <v/>
      </c>
      <c r="AV941" s="67" t="str">
        <f t="shared" si="129"/>
        <v/>
      </c>
      <c r="AW941" s="67" t="str">
        <f t="shared" si="130"/>
        <v/>
      </c>
      <c r="AX941" s="66" t="str">
        <f t="shared" si="131"/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 t="shared" si="132"/>
        <v/>
      </c>
      <c r="BB941" s="66" t="str">
        <f t="shared" si="133"/>
        <v/>
      </c>
      <c r="BC941" s="66">
        <f t="shared" si="134"/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69">
        <f t="shared" si="126"/>
        <v>0</v>
      </c>
      <c r="AT942" s="67" t="str">
        <f t="shared" si="127"/>
        <v/>
      </c>
      <c r="AU942" s="66" t="str">
        <f t="shared" si="128"/>
        <v/>
      </c>
      <c r="AV942" s="67" t="str">
        <f t="shared" si="129"/>
        <v/>
      </c>
      <c r="AW942" s="67" t="str">
        <f t="shared" si="130"/>
        <v/>
      </c>
      <c r="AX942" s="66" t="str">
        <f t="shared" si="131"/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 t="shared" si="132"/>
        <v/>
      </c>
      <c r="BB942" s="66" t="str">
        <f t="shared" si="133"/>
        <v/>
      </c>
      <c r="BC942" s="66">
        <f t="shared" si="134"/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69">
        <f t="shared" si="126"/>
        <v>0</v>
      </c>
      <c r="AT943" s="67" t="str">
        <f t="shared" si="127"/>
        <v/>
      </c>
      <c r="AU943" s="66" t="str">
        <f t="shared" si="128"/>
        <v/>
      </c>
      <c r="AV943" s="67" t="str">
        <f t="shared" si="129"/>
        <v/>
      </c>
      <c r="AW943" s="67" t="str">
        <f t="shared" si="130"/>
        <v/>
      </c>
      <c r="AX943" s="66" t="str">
        <f t="shared" si="131"/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 t="shared" si="132"/>
        <v/>
      </c>
      <c r="BB943" s="66" t="str">
        <f t="shared" si="133"/>
        <v/>
      </c>
      <c r="BC943" s="66">
        <f t="shared" si="134"/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69">
        <f t="shared" si="126"/>
        <v>0</v>
      </c>
      <c r="AT944" s="67" t="str">
        <f t="shared" si="127"/>
        <v/>
      </c>
      <c r="AU944" s="66" t="str">
        <f t="shared" si="128"/>
        <v/>
      </c>
      <c r="AV944" s="67" t="str">
        <f t="shared" si="129"/>
        <v/>
      </c>
      <c r="AW944" s="67" t="str">
        <f t="shared" si="130"/>
        <v/>
      </c>
      <c r="AX944" s="66" t="str">
        <f t="shared" si="131"/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 t="shared" si="132"/>
        <v/>
      </c>
      <c r="BB944" s="66" t="str">
        <f t="shared" si="133"/>
        <v/>
      </c>
      <c r="BC944" s="66">
        <f t="shared" si="134"/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69">
        <f t="shared" si="126"/>
        <v>0</v>
      </c>
      <c r="AT945" s="67" t="str">
        <f t="shared" si="127"/>
        <v/>
      </c>
      <c r="AU945" s="66" t="str">
        <f t="shared" si="128"/>
        <v/>
      </c>
      <c r="AV945" s="67" t="str">
        <f t="shared" si="129"/>
        <v/>
      </c>
      <c r="AW945" s="67" t="str">
        <f t="shared" si="130"/>
        <v/>
      </c>
      <c r="AX945" s="66" t="str">
        <f t="shared" si="131"/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 t="shared" si="132"/>
        <v/>
      </c>
      <c r="BB945" s="66" t="str">
        <f t="shared" si="133"/>
        <v/>
      </c>
      <c r="BC945" s="66">
        <f t="shared" si="134"/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69">
        <f t="shared" si="126"/>
        <v>0</v>
      </c>
      <c r="AT946" s="67" t="str">
        <f t="shared" si="127"/>
        <v/>
      </c>
      <c r="AU946" s="66" t="str">
        <f t="shared" si="128"/>
        <v/>
      </c>
      <c r="AV946" s="67" t="str">
        <f t="shared" si="129"/>
        <v/>
      </c>
      <c r="AW946" s="67" t="str">
        <f t="shared" si="130"/>
        <v/>
      </c>
      <c r="AX946" s="66" t="str">
        <f t="shared" si="131"/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 t="shared" si="132"/>
        <v/>
      </c>
      <c r="BB946" s="66" t="str">
        <f t="shared" si="133"/>
        <v/>
      </c>
      <c r="BC946" s="66">
        <f t="shared" si="134"/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69">
        <f t="shared" si="126"/>
        <v>0</v>
      </c>
      <c r="AT947" s="67" t="str">
        <f t="shared" si="127"/>
        <v/>
      </c>
      <c r="AU947" s="66" t="str">
        <f t="shared" si="128"/>
        <v/>
      </c>
      <c r="AV947" s="67" t="str">
        <f t="shared" si="129"/>
        <v/>
      </c>
      <c r="AW947" s="67" t="str">
        <f t="shared" si="130"/>
        <v/>
      </c>
      <c r="AX947" s="66" t="str">
        <f t="shared" si="131"/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 t="shared" si="132"/>
        <v/>
      </c>
      <c r="BB947" s="66" t="str">
        <f t="shared" si="133"/>
        <v/>
      </c>
      <c r="BC947" s="66">
        <f t="shared" si="134"/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69">
        <f t="shared" si="126"/>
        <v>0</v>
      </c>
      <c r="AT948" s="67" t="str">
        <f t="shared" si="127"/>
        <v/>
      </c>
      <c r="AU948" s="66" t="str">
        <f t="shared" si="128"/>
        <v/>
      </c>
      <c r="AV948" s="67" t="str">
        <f t="shared" si="129"/>
        <v/>
      </c>
      <c r="AW948" s="67" t="str">
        <f t="shared" si="130"/>
        <v/>
      </c>
      <c r="AX948" s="66" t="str">
        <f t="shared" si="131"/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 t="shared" si="132"/>
        <v/>
      </c>
      <c r="BB948" s="66" t="str">
        <f t="shared" si="133"/>
        <v/>
      </c>
      <c r="BC948" s="66">
        <f t="shared" si="134"/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69">
        <f t="shared" si="126"/>
        <v>0</v>
      </c>
      <c r="AT949" s="67" t="str">
        <f t="shared" si="127"/>
        <v/>
      </c>
      <c r="AU949" s="66" t="str">
        <f t="shared" si="128"/>
        <v/>
      </c>
      <c r="AV949" s="67" t="str">
        <f t="shared" si="129"/>
        <v/>
      </c>
      <c r="AW949" s="67" t="str">
        <f t="shared" si="130"/>
        <v/>
      </c>
      <c r="AX949" s="66" t="str">
        <f t="shared" si="131"/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 t="shared" si="132"/>
        <v/>
      </c>
      <c r="BB949" s="66" t="str">
        <f t="shared" si="133"/>
        <v/>
      </c>
      <c r="BC949" s="66">
        <f t="shared" si="134"/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69">
        <f t="shared" si="126"/>
        <v>0</v>
      </c>
      <c r="AT950" s="67" t="str">
        <f t="shared" si="127"/>
        <v/>
      </c>
      <c r="AU950" s="66" t="str">
        <f t="shared" si="128"/>
        <v/>
      </c>
      <c r="AV950" s="67" t="str">
        <f t="shared" si="129"/>
        <v/>
      </c>
      <c r="AW950" s="67" t="str">
        <f t="shared" si="130"/>
        <v/>
      </c>
      <c r="AX950" s="66" t="str">
        <f t="shared" si="131"/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 t="shared" si="132"/>
        <v/>
      </c>
      <c r="BB950" s="66" t="str">
        <f t="shared" si="133"/>
        <v/>
      </c>
      <c r="BC950" s="66">
        <f t="shared" si="134"/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69">
        <f t="shared" si="126"/>
        <v>0</v>
      </c>
      <c r="AT951" s="67" t="str">
        <f t="shared" si="127"/>
        <v/>
      </c>
      <c r="AU951" s="66" t="str">
        <f t="shared" si="128"/>
        <v/>
      </c>
      <c r="AV951" s="67" t="str">
        <f t="shared" si="129"/>
        <v/>
      </c>
      <c r="AW951" s="67" t="str">
        <f t="shared" si="130"/>
        <v/>
      </c>
      <c r="AX951" s="66" t="str">
        <f t="shared" si="131"/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 t="shared" si="132"/>
        <v/>
      </c>
      <c r="BB951" s="66" t="str">
        <f t="shared" si="133"/>
        <v/>
      </c>
      <c r="BC951" s="66">
        <f t="shared" si="134"/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69">
        <f t="shared" si="126"/>
        <v>0</v>
      </c>
      <c r="AT952" s="67" t="str">
        <f t="shared" si="127"/>
        <v/>
      </c>
      <c r="AU952" s="66" t="str">
        <f t="shared" si="128"/>
        <v/>
      </c>
      <c r="AV952" s="67" t="str">
        <f t="shared" si="129"/>
        <v/>
      </c>
      <c r="AW952" s="67" t="str">
        <f t="shared" si="130"/>
        <v/>
      </c>
      <c r="AX952" s="66" t="str">
        <f t="shared" si="131"/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 t="shared" si="132"/>
        <v/>
      </c>
      <c r="BB952" s="66" t="str">
        <f t="shared" si="133"/>
        <v/>
      </c>
      <c r="BC952" s="66">
        <f t="shared" si="134"/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69">
        <f t="shared" si="126"/>
        <v>0</v>
      </c>
      <c r="AT953" s="67" t="str">
        <f t="shared" si="127"/>
        <v/>
      </c>
      <c r="AU953" s="66" t="str">
        <f t="shared" si="128"/>
        <v/>
      </c>
      <c r="AV953" s="67" t="str">
        <f t="shared" si="129"/>
        <v/>
      </c>
      <c r="AW953" s="67" t="str">
        <f t="shared" si="130"/>
        <v/>
      </c>
      <c r="AX953" s="66" t="str">
        <f t="shared" si="131"/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 t="shared" si="132"/>
        <v/>
      </c>
      <c r="BB953" s="66" t="str">
        <f t="shared" si="133"/>
        <v/>
      </c>
      <c r="BC953" s="66">
        <f t="shared" si="134"/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69">
        <f t="shared" si="126"/>
        <v>0</v>
      </c>
      <c r="AT954" s="67" t="str">
        <f t="shared" si="127"/>
        <v/>
      </c>
      <c r="AU954" s="66" t="str">
        <f t="shared" si="128"/>
        <v/>
      </c>
      <c r="AV954" s="67" t="str">
        <f t="shared" si="129"/>
        <v/>
      </c>
      <c r="AW954" s="67" t="str">
        <f t="shared" si="130"/>
        <v/>
      </c>
      <c r="AX954" s="66" t="str">
        <f t="shared" si="131"/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 t="shared" si="132"/>
        <v/>
      </c>
      <c r="BB954" s="66" t="str">
        <f t="shared" si="133"/>
        <v/>
      </c>
      <c r="BC954" s="66">
        <f t="shared" si="134"/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69">
        <f t="shared" si="126"/>
        <v>0</v>
      </c>
      <c r="AT955" s="67" t="str">
        <f t="shared" si="127"/>
        <v/>
      </c>
      <c r="AU955" s="66" t="str">
        <f t="shared" si="128"/>
        <v/>
      </c>
      <c r="AV955" s="67" t="str">
        <f t="shared" si="129"/>
        <v/>
      </c>
      <c r="AW955" s="67" t="str">
        <f t="shared" si="130"/>
        <v/>
      </c>
      <c r="AX955" s="66" t="str">
        <f t="shared" si="131"/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 t="shared" si="132"/>
        <v/>
      </c>
      <c r="BB955" s="66" t="str">
        <f t="shared" si="133"/>
        <v/>
      </c>
      <c r="BC955" s="66">
        <f t="shared" si="134"/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69">
        <f t="shared" si="126"/>
        <v>0</v>
      </c>
      <c r="AT956" s="67" t="str">
        <f t="shared" si="127"/>
        <v/>
      </c>
      <c r="AU956" s="66" t="str">
        <f t="shared" si="128"/>
        <v/>
      </c>
      <c r="AV956" s="67" t="str">
        <f t="shared" si="129"/>
        <v/>
      </c>
      <c r="AW956" s="67" t="str">
        <f t="shared" si="130"/>
        <v/>
      </c>
      <c r="AX956" s="66" t="str">
        <f t="shared" si="131"/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 t="shared" si="132"/>
        <v/>
      </c>
      <c r="BB956" s="66" t="str">
        <f t="shared" si="133"/>
        <v/>
      </c>
      <c r="BC956" s="66">
        <f t="shared" si="134"/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69">
        <f t="shared" si="126"/>
        <v>0</v>
      </c>
      <c r="AT957" s="67" t="str">
        <f t="shared" si="127"/>
        <v/>
      </c>
      <c r="AU957" s="66" t="str">
        <f t="shared" si="128"/>
        <v/>
      </c>
      <c r="AV957" s="67" t="str">
        <f t="shared" si="129"/>
        <v/>
      </c>
      <c r="AW957" s="67" t="str">
        <f t="shared" si="130"/>
        <v/>
      </c>
      <c r="AX957" s="66" t="str">
        <f t="shared" si="131"/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 t="shared" si="132"/>
        <v/>
      </c>
      <c r="BB957" s="66" t="str">
        <f t="shared" si="133"/>
        <v/>
      </c>
      <c r="BC957" s="66">
        <f t="shared" si="134"/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69">
        <f t="shared" si="126"/>
        <v>0</v>
      </c>
      <c r="AT958" s="67" t="str">
        <f t="shared" si="127"/>
        <v/>
      </c>
      <c r="AU958" s="66" t="str">
        <f t="shared" si="128"/>
        <v/>
      </c>
      <c r="AV958" s="67" t="str">
        <f t="shared" si="129"/>
        <v/>
      </c>
      <c r="AW958" s="67" t="str">
        <f t="shared" si="130"/>
        <v/>
      </c>
      <c r="AX958" s="66" t="str">
        <f t="shared" si="131"/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 t="shared" si="132"/>
        <v/>
      </c>
      <c r="BB958" s="66" t="str">
        <f t="shared" si="133"/>
        <v/>
      </c>
      <c r="BC958" s="66">
        <f t="shared" si="134"/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69">
        <f t="shared" si="126"/>
        <v>0</v>
      </c>
      <c r="AT959" s="67" t="str">
        <f t="shared" si="127"/>
        <v/>
      </c>
      <c r="AU959" s="66" t="str">
        <f t="shared" si="128"/>
        <v/>
      </c>
      <c r="AV959" s="67" t="str">
        <f t="shared" si="129"/>
        <v/>
      </c>
      <c r="AW959" s="67" t="str">
        <f t="shared" si="130"/>
        <v/>
      </c>
      <c r="AX959" s="66" t="str">
        <f t="shared" si="131"/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 t="shared" si="132"/>
        <v/>
      </c>
      <c r="BB959" s="66" t="str">
        <f t="shared" si="133"/>
        <v/>
      </c>
      <c r="BC959" s="66">
        <f t="shared" si="134"/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69">
        <f t="shared" si="126"/>
        <v>0</v>
      </c>
      <c r="AT960" s="67" t="str">
        <f t="shared" si="127"/>
        <v/>
      </c>
      <c r="AU960" s="66" t="str">
        <f t="shared" si="128"/>
        <v/>
      </c>
      <c r="AV960" s="67" t="str">
        <f t="shared" si="129"/>
        <v/>
      </c>
      <c r="AW960" s="67" t="str">
        <f t="shared" si="130"/>
        <v/>
      </c>
      <c r="AX960" s="66" t="str">
        <f t="shared" si="131"/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 t="shared" si="132"/>
        <v/>
      </c>
      <c r="BB960" s="66" t="str">
        <f t="shared" si="133"/>
        <v/>
      </c>
      <c r="BC960" s="66">
        <f t="shared" si="134"/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69">
        <f t="shared" si="126"/>
        <v>0</v>
      </c>
      <c r="AT961" s="67" t="str">
        <f t="shared" si="127"/>
        <v/>
      </c>
      <c r="AU961" s="66" t="str">
        <f t="shared" si="128"/>
        <v/>
      </c>
      <c r="AV961" s="67" t="str">
        <f t="shared" si="129"/>
        <v/>
      </c>
      <c r="AW961" s="67" t="str">
        <f t="shared" si="130"/>
        <v/>
      </c>
      <c r="AX961" s="66" t="str">
        <f t="shared" si="131"/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 t="shared" si="132"/>
        <v/>
      </c>
      <c r="BB961" s="66" t="str">
        <f t="shared" si="133"/>
        <v/>
      </c>
      <c r="BC961" s="66">
        <f t="shared" si="134"/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69">
        <f t="shared" si="126"/>
        <v>0</v>
      </c>
      <c r="AT962" s="67" t="str">
        <f t="shared" si="127"/>
        <v/>
      </c>
      <c r="AU962" s="66" t="str">
        <f t="shared" si="128"/>
        <v/>
      </c>
      <c r="AV962" s="67" t="str">
        <f t="shared" si="129"/>
        <v/>
      </c>
      <c r="AW962" s="67" t="str">
        <f t="shared" si="130"/>
        <v/>
      </c>
      <c r="AX962" s="66" t="str">
        <f t="shared" si="131"/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 t="shared" si="132"/>
        <v/>
      </c>
      <c r="BB962" s="66" t="str">
        <f t="shared" si="133"/>
        <v/>
      </c>
      <c r="BC962" s="66">
        <f t="shared" si="134"/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69">
        <f t="shared" si="126"/>
        <v>0</v>
      </c>
      <c r="AT963" s="67" t="str">
        <f t="shared" si="127"/>
        <v/>
      </c>
      <c r="AU963" s="66" t="str">
        <f t="shared" si="128"/>
        <v/>
      </c>
      <c r="AV963" s="67" t="str">
        <f t="shared" si="129"/>
        <v/>
      </c>
      <c r="AW963" s="67" t="str">
        <f t="shared" si="130"/>
        <v/>
      </c>
      <c r="AX963" s="66" t="str">
        <f t="shared" si="131"/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 t="shared" si="132"/>
        <v/>
      </c>
      <c r="BB963" s="66" t="str">
        <f t="shared" si="133"/>
        <v/>
      </c>
      <c r="BC963" s="66">
        <f t="shared" si="134"/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69">
        <f t="shared" si="126"/>
        <v>0</v>
      </c>
      <c r="AT964" s="67" t="str">
        <f t="shared" si="127"/>
        <v/>
      </c>
      <c r="AU964" s="66" t="str">
        <f t="shared" si="128"/>
        <v/>
      </c>
      <c r="AV964" s="67" t="str">
        <f t="shared" si="129"/>
        <v/>
      </c>
      <c r="AW964" s="67" t="str">
        <f t="shared" si="130"/>
        <v/>
      </c>
      <c r="AX964" s="66" t="str">
        <f t="shared" si="131"/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 t="shared" si="132"/>
        <v/>
      </c>
      <c r="BB964" s="66" t="str">
        <f t="shared" si="133"/>
        <v/>
      </c>
      <c r="BC964" s="66">
        <f t="shared" si="134"/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69">
        <f t="shared" ref="AS965:AS1028" si="135">SUM(H965,J965,L965,N965,P965,R965,T965,V965,X965,Z965,AB965,AD965,AF965,AH965,AJ965,AL965,AN965)</f>
        <v>0</v>
      </c>
      <c r="AT965" s="67" t="str">
        <f t="shared" ref="AT965:AT1028" si="136">IF(C965="","",DATE(YEAR(C965),MONTH(C965),1))</f>
        <v/>
      </c>
      <c r="AU965" s="66" t="str">
        <f t="shared" ref="AU965:AU1028" si="137">IF(AT965="","",TEXT(AT965,"mmmm yyyy"))</f>
        <v/>
      </c>
      <c r="AV965" s="67" t="str">
        <f t="shared" ref="AV965:AV1028" si="138">IF(C965="","",C965-WEEKDAY(C965,2)+1)</f>
        <v/>
      </c>
      <c r="AW965" s="67" t="str">
        <f t="shared" ref="AW965:AW1028" si="139">IF(AV965="","",AV965+6)</f>
        <v/>
      </c>
      <c r="AX965" s="66" t="str">
        <f t="shared" ref="AX965:AX1028" si="140"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 t="shared" ref="BA965:BA1028" si="141">IF(B965="","",TEXT(AY965,"00")&amp;"|"&amp;B965&amp;"|"&amp;TEXT(AT965,"yyyymmdd"))</f>
        <v/>
      </c>
      <c r="BB965" s="66" t="str">
        <f t="shared" ref="BB965:BB1028" si="142">IF(B965="","",TEXT(AZ965,"00")&amp;"|"&amp;B965&amp;"|"&amp;TEXT(AV965,"yyyymmdd"))</f>
        <v/>
      </c>
      <c r="BC965" s="66">
        <f t="shared" ref="BC965:BC1028" si="143"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69">
        <f t="shared" si="135"/>
        <v>0</v>
      </c>
      <c r="AT966" s="67" t="str">
        <f t="shared" si="136"/>
        <v/>
      </c>
      <c r="AU966" s="66" t="str">
        <f t="shared" si="137"/>
        <v/>
      </c>
      <c r="AV966" s="67" t="str">
        <f t="shared" si="138"/>
        <v/>
      </c>
      <c r="AW966" s="67" t="str">
        <f t="shared" si="139"/>
        <v/>
      </c>
      <c r="AX966" s="66" t="str">
        <f t="shared" si="140"/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 t="shared" si="141"/>
        <v/>
      </c>
      <c r="BB966" s="66" t="str">
        <f t="shared" si="142"/>
        <v/>
      </c>
      <c r="BC966" s="66">
        <f t="shared" si="143"/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69">
        <f t="shared" si="135"/>
        <v>0</v>
      </c>
      <c r="AT967" s="67" t="str">
        <f t="shared" si="136"/>
        <v/>
      </c>
      <c r="AU967" s="66" t="str">
        <f t="shared" si="137"/>
        <v/>
      </c>
      <c r="AV967" s="67" t="str">
        <f t="shared" si="138"/>
        <v/>
      </c>
      <c r="AW967" s="67" t="str">
        <f t="shared" si="139"/>
        <v/>
      </c>
      <c r="AX967" s="66" t="str">
        <f t="shared" si="140"/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 t="shared" si="141"/>
        <v/>
      </c>
      <c r="BB967" s="66" t="str">
        <f t="shared" si="142"/>
        <v/>
      </c>
      <c r="BC967" s="66">
        <f t="shared" si="143"/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69">
        <f t="shared" si="135"/>
        <v>0</v>
      </c>
      <c r="AT968" s="67" t="str">
        <f t="shared" si="136"/>
        <v/>
      </c>
      <c r="AU968" s="66" t="str">
        <f t="shared" si="137"/>
        <v/>
      </c>
      <c r="AV968" s="67" t="str">
        <f t="shared" si="138"/>
        <v/>
      </c>
      <c r="AW968" s="67" t="str">
        <f t="shared" si="139"/>
        <v/>
      </c>
      <c r="AX968" s="66" t="str">
        <f t="shared" si="140"/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 t="shared" si="141"/>
        <v/>
      </c>
      <c r="BB968" s="66" t="str">
        <f t="shared" si="142"/>
        <v/>
      </c>
      <c r="BC968" s="66">
        <f t="shared" si="143"/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69">
        <f t="shared" si="135"/>
        <v>0</v>
      </c>
      <c r="AT969" s="67" t="str">
        <f t="shared" si="136"/>
        <v/>
      </c>
      <c r="AU969" s="66" t="str">
        <f t="shared" si="137"/>
        <v/>
      </c>
      <c r="AV969" s="67" t="str">
        <f t="shared" si="138"/>
        <v/>
      </c>
      <c r="AW969" s="67" t="str">
        <f t="shared" si="139"/>
        <v/>
      </c>
      <c r="AX969" s="66" t="str">
        <f t="shared" si="140"/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 t="shared" si="141"/>
        <v/>
      </c>
      <c r="BB969" s="66" t="str">
        <f t="shared" si="142"/>
        <v/>
      </c>
      <c r="BC969" s="66">
        <f t="shared" si="143"/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69">
        <f t="shared" si="135"/>
        <v>0</v>
      </c>
      <c r="AT970" s="67" t="str">
        <f t="shared" si="136"/>
        <v/>
      </c>
      <c r="AU970" s="66" t="str">
        <f t="shared" si="137"/>
        <v/>
      </c>
      <c r="AV970" s="67" t="str">
        <f t="shared" si="138"/>
        <v/>
      </c>
      <c r="AW970" s="67" t="str">
        <f t="shared" si="139"/>
        <v/>
      </c>
      <c r="AX970" s="66" t="str">
        <f t="shared" si="140"/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 t="shared" si="141"/>
        <v/>
      </c>
      <c r="BB970" s="66" t="str">
        <f t="shared" si="142"/>
        <v/>
      </c>
      <c r="BC970" s="66">
        <f t="shared" si="143"/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69">
        <f t="shared" si="135"/>
        <v>0</v>
      </c>
      <c r="AT971" s="67" t="str">
        <f t="shared" si="136"/>
        <v/>
      </c>
      <c r="AU971" s="66" t="str">
        <f t="shared" si="137"/>
        <v/>
      </c>
      <c r="AV971" s="67" t="str">
        <f t="shared" si="138"/>
        <v/>
      </c>
      <c r="AW971" s="67" t="str">
        <f t="shared" si="139"/>
        <v/>
      </c>
      <c r="AX971" s="66" t="str">
        <f t="shared" si="140"/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 t="shared" si="141"/>
        <v/>
      </c>
      <c r="BB971" s="66" t="str">
        <f t="shared" si="142"/>
        <v/>
      </c>
      <c r="BC971" s="66">
        <f t="shared" si="143"/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69">
        <f t="shared" si="135"/>
        <v>0</v>
      </c>
      <c r="AT972" s="67" t="str">
        <f t="shared" si="136"/>
        <v/>
      </c>
      <c r="AU972" s="66" t="str">
        <f t="shared" si="137"/>
        <v/>
      </c>
      <c r="AV972" s="67" t="str">
        <f t="shared" si="138"/>
        <v/>
      </c>
      <c r="AW972" s="67" t="str">
        <f t="shared" si="139"/>
        <v/>
      </c>
      <c r="AX972" s="66" t="str">
        <f t="shared" si="140"/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 t="shared" si="141"/>
        <v/>
      </c>
      <c r="BB972" s="66" t="str">
        <f t="shared" si="142"/>
        <v/>
      </c>
      <c r="BC972" s="66">
        <f t="shared" si="143"/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69">
        <f t="shared" si="135"/>
        <v>0</v>
      </c>
      <c r="AT973" s="67" t="str">
        <f t="shared" si="136"/>
        <v/>
      </c>
      <c r="AU973" s="66" t="str">
        <f t="shared" si="137"/>
        <v/>
      </c>
      <c r="AV973" s="67" t="str">
        <f t="shared" si="138"/>
        <v/>
      </c>
      <c r="AW973" s="67" t="str">
        <f t="shared" si="139"/>
        <v/>
      </c>
      <c r="AX973" s="66" t="str">
        <f t="shared" si="140"/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 t="shared" si="141"/>
        <v/>
      </c>
      <c r="BB973" s="66" t="str">
        <f t="shared" si="142"/>
        <v/>
      </c>
      <c r="BC973" s="66">
        <f t="shared" si="143"/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69">
        <f t="shared" si="135"/>
        <v>0</v>
      </c>
      <c r="AT974" s="67" t="str">
        <f t="shared" si="136"/>
        <v/>
      </c>
      <c r="AU974" s="66" t="str">
        <f t="shared" si="137"/>
        <v/>
      </c>
      <c r="AV974" s="67" t="str">
        <f t="shared" si="138"/>
        <v/>
      </c>
      <c r="AW974" s="67" t="str">
        <f t="shared" si="139"/>
        <v/>
      </c>
      <c r="AX974" s="66" t="str">
        <f t="shared" si="140"/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 t="shared" si="141"/>
        <v/>
      </c>
      <c r="BB974" s="66" t="str">
        <f t="shared" si="142"/>
        <v/>
      </c>
      <c r="BC974" s="66">
        <f t="shared" si="143"/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69">
        <f t="shared" si="135"/>
        <v>0</v>
      </c>
      <c r="AT975" s="67" t="str">
        <f t="shared" si="136"/>
        <v/>
      </c>
      <c r="AU975" s="66" t="str">
        <f t="shared" si="137"/>
        <v/>
      </c>
      <c r="AV975" s="67" t="str">
        <f t="shared" si="138"/>
        <v/>
      </c>
      <c r="AW975" s="67" t="str">
        <f t="shared" si="139"/>
        <v/>
      </c>
      <c r="AX975" s="66" t="str">
        <f t="shared" si="140"/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 t="shared" si="141"/>
        <v/>
      </c>
      <c r="BB975" s="66" t="str">
        <f t="shared" si="142"/>
        <v/>
      </c>
      <c r="BC975" s="66">
        <f t="shared" si="143"/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69">
        <f t="shared" si="135"/>
        <v>0</v>
      </c>
      <c r="AT976" s="67" t="str">
        <f t="shared" si="136"/>
        <v/>
      </c>
      <c r="AU976" s="66" t="str">
        <f t="shared" si="137"/>
        <v/>
      </c>
      <c r="AV976" s="67" t="str">
        <f t="shared" si="138"/>
        <v/>
      </c>
      <c r="AW976" s="67" t="str">
        <f t="shared" si="139"/>
        <v/>
      </c>
      <c r="AX976" s="66" t="str">
        <f t="shared" si="140"/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 t="shared" si="141"/>
        <v/>
      </c>
      <c r="BB976" s="66" t="str">
        <f t="shared" si="142"/>
        <v/>
      </c>
      <c r="BC976" s="66">
        <f t="shared" si="143"/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69">
        <f t="shared" si="135"/>
        <v>0</v>
      </c>
      <c r="AT977" s="67" t="str">
        <f t="shared" si="136"/>
        <v/>
      </c>
      <c r="AU977" s="66" t="str">
        <f t="shared" si="137"/>
        <v/>
      </c>
      <c r="AV977" s="67" t="str">
        <f t="shared" si="138"/>
        <v/>
      </c>
      <c r="AW977" s="67" t="str">
        <f t="shared" si="139"/>
        <v/>
      </c>
      <c r="AX977" s="66" t="str">
        <f t="shared" si="140"/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 t="shared" si="141"/>
        <v/>
      </c>
      <c r="BB977" s="66" t="str">
        <f t="shared" si="142"/>
        <v/>
      </c>
      <c r="BC977" s="66">
        <f t="shared" si="143"/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69">
        <f t="shared" si="135"/>
        <v>0</v>
      </c>
      <c r="AT978" s="67" t="str">
        <f t="shared" si="136"/>
        <v/>
      </c>
      <c r="AU978" s="66" t="str">
        <f t="shared" si="137"/>
        <v/>
      </c>
      <c r="AV978" s="67" t="str">
        <f t="shared" si="138"/>
        <v/>
      </c>
      <c r="AW978" s="67" t="str">
        <f t="shared" si="139"/>
        <v/>
      </c>
      <c r="AX978" s="66" t="str">
        <f t="shared" si="140"/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 t="shared" si="141"/>
        <v/>
      </c>
      <c r="BB978" s="66" t="str">
        <f t="shared" si="142"/>
        <v/>
      </c>
      <c r="BC978" s="66">
        <f t="shared" si="143"/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69">
        <f t="shared" si="135"/>
        <v>0</v>
      </c>
      <c r="AT979" s="67" t="str">
        <f t="shared" si="136"/>
        <v/>
      </c>
      <c r="AU979" s="66" t="str">
        <f t="shared" si="137"/>
        <v/>
      </c>
      <c r="AV979" s="67" t="str">
        <f t="shared" si="138"/>
        <v/>
      </c>
      <c r="AW979" s="67" t="str">
        <f t="shared" si="139"/>
        <v/>
      </c>
      <c r="AX979" s="66" t="str">
        <f t="shared" si="140"/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 t="shared" si="141"/>
        <v/>
      </c>
      <c r="BB979" s="66" t="str">
        <f t="shared" si="142"/>
        <v/>
      </c>
      <c r="BC979" s="66">
        <f t="shared" si="143"/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69">
        <f t="shared" si="135"/>
        <v>0</v>
      </c>
      <c r="AT980" s="67" t="str">
        <f t="shared" si="136"/>
        <v/>
      </c>
      <c r="AU980" s="66" t="str">
        <f t="shared" si="137"/>
        <v/>
      </c>
      <c r="AV980" s="67" t="str">
        <f t="shared" si="138"/>
        <v/>
      </c>
      <c r="AW980" s="67" t="str">
        <f t="shared" si="139"/>
        <v/>
      </c>
      <c r="AX980" s="66" t="str">
        <f t="shared" si="140"/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 t="shared" si="141"/>
        <v/>
      </c>
      <c r="BB980" s="66" t="str">
        <f t="shared" si="142"/>
        <v/>
      </c>
      <c r="BC980" s="66">
        <f t="shared" si="143"/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69">
        <f t="shared" si="135"/>
        <v>0</v>
      </c>
      <c r="AT981" s="67" t="str">
        <f t="shared" si="136"/>
        <v/>
      </c>
      <c r="AU981" s="66" t="str">
        <f t="shared" si="137"/>
        <v/>
      </c>
      <c r="AV981" s="67" t="str">
        <f t="shared" si="138"/>
        <v/>
      </c>
      <c r="AW981" s="67" t="str">
        <f t="shared" si="139"/>
        <v/>
      </c>
      <c r="AX981" s="66" t="str">
        <f t="shared" si="140"/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 t="shared" si="141"/>
        <v/>
      </c>
      <c r="BB981" s="66" t="str">
        <f t="shared" si="142"/>
        <v/>
      </c>
      <c r="BC981" s="66">
        <f t="shared" si="143"/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69">
        <f t="shared" si="135"/>
        <v>0</v>
      </c>
      <c r="AT982" s="67" t="str">
        <f t="shared" si="136"/>
        <v/>
      </c>
      <c r="AU982" s="66" t="str">
        <f t="shared" si="137"/>
        <v/>
      </c>
      <c r="AV982" s="67" t="str">
        <f t="shared" si="138"/>
        <v/>
      </c>
      <c r="AW982" s="67" t="str">
        <f t="shared" si="139"/>
        <v/>
      </c>
      <c r="AX982" s="66" t="str">
        <f t="shared" si="140"/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 t="shared" si="141"/>
        <v/>
      </c>
      <c r="BB982" s="66" t="str">
        <f t="shared" si="142"/>
        <v/>
      </c>
      <c r="BC982" s="66">
        <f t="shared" si="143"/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69">
        <f t="shared" si="135"/>
        <v>0</v>
      </c>
      <c r="AT983" s="67" t="str">
        <f t="shared" si="136"/>
        <v/>
      </c>
      <c r="AU983" s="66" t="str">
        <f t="shared" si="137"/>
        <v/>
      </c>
      <c r="AV983" s="67" t="str">
        <f t="shared" si="138"/>
        <v/>
      </c>
      <c r="AW983" s="67" t="str">
        <f t="shared" si="139"/>
        <v/>
      </c>
      <c r="AX983" s="66" t="str">
        <f t="shared" si="140"/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 t="shared" si="141"/>
        <v/>
      </c>
      <c r="BB983" s="66" t="str">
        <f t="shared" si="142"/>
        <v/>
      </c>
      <c r="BC983" s="66">
        <f t="shared" si="143"/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69">
        <f t="shared" si="135"/>
        <v>0</v>
      </c>
      <c r="AT984" s="67" t="str">
        <f t="shared" si="136"/>
        <v/>
      </c>
      <c r="AU984" s="66" t="str">
        <f t="shared" si="137"/>
        <v/>
      </c>
      <c r="AV984" s="67" t="str">
        <f t="shared" si="138"/>
        <v/>
      </c>
      <c r="AW984" s="67" t="str">
        <f t="shared" si="139"/>
        <v/>
      </c>
      <c r="AX984" s="66" t="str">
        <f t="shared" si="140"/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 t="shared" si="141"/>
        <v/>
      </c>
      <c r="BB984" s="66" t="str">
        <f t="shared" si="142"/>
        <v/>
      </c>
      <c r="BC984" s="66">
        <f t="shared" si="143"/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69">
        <f t="shared" si="135"/>
        <v>0</v>
      </c>
      <c r="AT985" s="67" t="str">
        <f t="shared" si="136"/>
        <v/>
      </c>
      <c r="AU985" s="66" t="str">
        <f t="shared" si="137"/>
        <v/>
      </c>
      <c r="AV985" s="67" t="str">
        <f t="shared" si="138"/>
        <v/>
      </c>
      <c r="AW985" s="67" t="str">
        <f t="shared" si="139"/>
        <v/>
      </c>
      <c r="AX985" s="66" t="str">
        <f t="shared" si="140"/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 t="shared" si="141"/>
        <v/>
      </c>
      <c r="BB985" s="66" t="str">
        <f t="shared" si="142"/>
        <v/>
      </c>
      <c r="BC985" s="66">
        <f t="shared" si="143"/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69">
        <f t="shared" si="135"/>
        <v>0</v>
      </c>
      <c r="AT986" s="67" t="str">
        <f t="shared" si="136"/>
        <v/>
      </c>
      <c r="AU986" s="66" t="str">
        <f t="shared" si="137"/>
        <v/>
      </c>
      <c r="AV986" s="67" t="str">
        <f t="shared" si="138"/>
        <v/>
      </c>
      <c r="AW986" s="67" t="str">
        <f t="shared" si="139"/>
        <v/>
      </c>
      <c r="AX986" s="66" t="str">
        <f t="shared" si="140"/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 t="shared" si="141"/>
        <v/>
      </c>
      <c r="BB986" s="66" t="str">
        <f t="shared" si="142"/>
        <v/>
      </c>
      <c r="BC986" s="66">
        <f t="shared" si="143"/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69">
        <f t="shared" si="135"/>
        <v>0</v>
      </c>
      <c r="AT987" s="67" t="str">
        <f t="shared" si="136"/>
        <v/>
      </c>
      <c r="AU987" s="66" t="str">
        <f t="shared" si="137"/>
        <v/>
      </c>
      <c r="AV987" s="67" t="str">
        <f t="shared" si="138"/>
        <v/>
      </c>
      <c r="AW987" s="67" t="str">
        <f t="shared" si="139"/>
        <v/>
      </c>
      <c r="AX987" s="66" t="str">
        <f t="shared" si="140"/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 t="shared" si="141"/>
        <v/>
      </c>
      <c r="BB987" s="66" t="str">
        <f t="shared" si="142"/>
        <v/>
      </c>
      <c r="BC987" s="66">
        <f t="shared" si="143"/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69">
        <f t="shared" si="135"/>
        <v>0</v>
      </c>
      <c r="AT988" s="67" t="str">
        <f t="shared" si="136"/>
        <v/>
      </c>
      <c r="AU988" s="66" t="str">
        <f t="shared" si="137"/>
        <v/>
      </c>
      <c r="AV988" s="67" t="str">
        <f t="shared" si="138"/>
        <v/>
      </c>
      <c r="AW988" s="67" t="str">
        <f t="shared" si="139"/>
        <v/>
      </c>
      <c r="AX988" s="66" t="str">
        <f t="shared" si="140"/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 t="shared" si="141"/>
        <v/>
      </c>
      <c r="BB988" s="66" t="str">
        <f t="shared" si="142"/>
        <v/>
      </c>
      <c r="BC988" s="66">
        <f t="shared" si="143"/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69">
        <f t="shared" si="135"/>
        <v>0</v>
      </c>
      <c r="AT989" s="67" t="str">
        <f t="shared" si="136"/>
        <v/>
      </c>
      <c r="AU989" s="66" t="str">
        <f t="shared" si="137"/>
        <v/>
      </c>
      <c r="AV989" s="67" t="str">
        <f t="shared" si="138"/>
        <v/>
      </c>
      <c r="AW989" s="67" t="str">
        <f t="shared" si="139"/>
        <v/>
      </c>
      <c r="AX989" s="66" t="str">
        <f t="shared" si="140"/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 t="shared" si="141"/>
        <v/>
      </c>
      <c r="BB989" s="66" t="str">
        <f t="shared" si="142"/>
        <v/>
      </c>
      <c r="BC989" s="66">
        <f t="shared" si="143"/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69">
        <f t="shared" si="135"/>
        <v>0</v>
      </c>
      <c r="AT990" s="67" t="str">
        <f t="shared" si="136"/>
        <v/>
      </c>
      <c r="AU990" s="66" t="str">
        <f t="shared" si="137"/>
        <v/>
      </c>
      <c r="AV990" s="67" t="str">
        <f t="shared" si="138"/>
        <v/>
      </c>
      <c r="AW990" s="67" t="str">
        <f t="shared" si="139"/>
        <v/>
      </c>
      <c r="AX990" s="66" t="str">
        <f t="shared" si="140"/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 t="shared" si="141"/>
        <v/>
      </c>
      <c r="BB990" s="66" t="str">
        <f t="shared" si="142"/>
        <v/>
      </c>
      <c r="BC990" s="66">
        <f t="shared" si="143"/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69">
        <f t="shared" si="135"/>
        <v>0</v>
      </c>
      <c r="AT991" s="67" t="str">
        <f t="shared" si="136"/>
        <v/>
      </c>
      <c r="AU991" s="66" t="str">
        <f t="shared" si="137"/>
        <v/>
      </c>
      <c r="AV991" s="67" t="str">
        <f t="shared" si="138"/>
        <v/>
      </c>
      <c r="AW991" s="67" t="str">
        <f t="shared" si="139"/>
        <v/>
      </c>
      <c r="AX991" s="66" t="str">
        <f t="shared" si="140"/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 t="shared" si="141"/>
        <v/>
      </c>
      <c r="BB991" s="66" t="str">
        <f t="shared" si="142"/>
        <v/>
      </c>
      <c r="BC991" s="66">
        <f t="shared" si="143"/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69">
        <f t="shared" si="135"/>
        <v>0</v>
      </c>
      <c r="AT992" s="67" t="str">
        <f t="shared" si="136"/>
        <v/>
      </c>
      <c r="AU992" s="66" t="str">
        <f t="shared" si="137"/>
        <v/>
      </c>
      <c r="AV992" s="67" t="str">
        <f t="shared" si="138"/>
        <v/>
      </c>
      <c r="AW992" s="67" t="str">
        <f t="shared" si="139"/>
        <v/>
      </c>
      <c r="AX992" s="66" t="str">
        <f t="shared" si="140"/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 t="shared" si="141"/>
        <v/>
      </c>
      <c r="BB992" s="66" t="str">
        <f t="shared" si="142"/>
        <v/>
      </c>
      <c r="BC992" s="66">
        <f t="shared" si="143"/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69">
        <f t="shared" si="135"/>
        <v>0</v>
      </c>
      <c r="AT993" s="67" t="str">
        <f t="shared" si="136"/>
        <v/>
      </c>
      <c r="AU993" s="66" t="str">
        <f t="shared" si="137"/>
        <v/>
      </c>
      <c r="AV993" s="67" t="str">
        <f t="shared" si="138"/>
        <v/>
      </c>
      <c r="AW993" s="67" t="str">
        <f t="shared" si="139"/>
        <v/>
      </c>
      <c r="AX993" s="66" t="str">
        <f t="shared" si="140"/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 t="shared" si="141"/>
        <v/>
      </c>
      <c r="BB993" s="66" t="str">
        <f t="shared" si="142"/>
        <v/>
      </c>
      <c r="BC993" s="66">
        <f t="shared" si="143"/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69">
        <f t="shared" si="135"/>
        <v>0</v>
      </c>
      <c r="AT994" s="67" t="str">
        <f t="shared" si="136"/>
        <v/>
      </c>
      <c r="AU994" s="66" t="str">
        <f t="shared" si="137"/>
        <v/>
      </c>
      <c r="AV994" s="67" t="str">
        <f t="shared" si="138"/>
        <v/>
      </c>
      <c r="AW994" s="67" t="str">
        <f t="shared" si="139"/>
        <v/>
      </c>
      <c r="AX994" s="66" t="str">
        <f t="shared" si="140"/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 t="shared" si="141"/>
        <v/>
      </c>
      <c r="BB994" s="66" t="str">
        <f t="shared" si="142"/>
        <v/>
      </c>
      <c r="BC994" s="66">
        <f t="shared" si="143"/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69">
        <f t="shared" si="135"/>
        <v>0</v>
      </c>
      <c r="AT995" s="67" t="str">
        <f t="shared" si="136"/>
        <v/>
      </c>
      <c r="AU995" s="66" t="str">
        <f t="shared" si="137"/>
        <v/>
      </c>
      <c r="AV995" s="67" t="str">
        <f t="shared" si="138"/>
        <v/>
      </c>
      <c r="AW995" s="67" t="str">
        <f t="shared" si="139"/>
        <v/>
      </c>
      <c r="AX995" s="66" t="str">
        <f t="shared" si="140"/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 t="shared" si="141"/>
        <v/>
      </c>
      <c r="BB995" s="66" t="str">
        <f t="shared" si="142"/>
        <v/>
      </c>
      <c r="BC995" s="66">
        <f t="shared" si="143"/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69">
        <f t="shared" si="135"/>
        <v>0</v>
      </c>
      <c r="AT996" s="67" t="str">
        <f t="shared" si="136"/>
        <v/>
      </c>
      <c r="AU996" s="66" t="str">
        <f t="shared" si="137"/>
        <v/>
      </c>
      <c r="AV996" s="67" t="str">
        <f t="shared" si="138"/>
        <v/>
      </c>
      <c r="AW996" s="67" t="str">
        <f t="shared" si="139"/>
        <v/>
      </c>
      <c r="AX996" s="66" t="str">
        <f t="shared" si="140"/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 t="shared" si="141"/>
        <v/>
      </c>
      <c r="BB996" s="66" t="str">
        <f t="shared" si="142"/>
        <v/>
      </c>
      <c r="BC996" s="66">
        <f t="shared" si="143"/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69">
        <f t="shared" si="135"/>
        <v>0</v>
      </c>
      <c r="AT997" s="67" t="str">
        <f t="shared" si="136"/>
        <v/>
      </c>
      <c r="AU997" s="66" t="str">
        <f t="shared" si="137"/>
        <v/>
      </c>
      <c r="AV997" s="67" t="str">
        <f t="shared" si="138"/>
        <v/>
      </c>
      <c r="AW997" s="67" t="str">
        <f t="shared" si="139"/>
        <v/>
      </c>
      <c r="AX997" s="66" t="str">
        <f t="shared" si="140"/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 t="shared" si="141"/>
        <v/>
      </c>
      <c r="BB997" s="66" t="str">
        <f t="shared" si="142"/>
        <v/>
      </c>
      <c r="BC997" s="66">
        <f t="shared" si="143"/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69">
        <f t="shared" si="135"/>
        <v>0</v>
      </c>
      <c r="AT998" s="67" t="str">
        <f t="shared" si="136"/>
        <v/>
      </c>
      <c r="AU998" s="66" t="str">
        <f t="shared" si="137"/>
        <v/>
      </c>
      <c r="AV998" s="67" t="str">
        <f t="shared" si="138"/>
        <v/>
      </c>
      <c r="AW998" s="67" t="str">
        <f t="shared" si="139"/>
        <v/>
      </c>
      <c r="AX998" s="66" t="str">
        <f t="shared" si="140"/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 t="shared" si="141"/>
        <v/>
      </c>
      <c r="BB998" s="66" t="str">
        <f t="shared" si="142"/>
        <v/>
      </c>
      <c r="BC998" s="66">
        <f t="shared" si="143"/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69">
        <f t="shared" si="135"/>
        <v>0</v>
      </c>
      <c r="AT999" s="67" t="str">
        <f t="shared" si="136"/>
        <v/>
      </c>
      <c r="AU999" s="66" t="str">
        <f t="shared" si="137"/>
        <v/>
      </c>
      <c r="AV999" s="67" t="str">
        <f t="shared" si="138"/>
        <v/>
      </c>
      <c r="AW999" s="67" t="str">
        <f t="shared" si="139"/>
        <v/>
      </c>
      <c r="AX999" s="66" t="str">
        <f t="shared" si="140"/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 t="shared" si="141"/>
        <v/>
      </c>
      <c r="BB999" s="66" t="str">
        <f t="shared" si="142"/>
        <v/>
      </c>
      <c r="BC999" s="66">
        <f t="shared" si="143"/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69">
        <f t="shared" si="135"/>
        <v>0</v>
      </c>
      <c r="AT1000" s="67" t="str">
        <f t="shared" si="136"/>
        <v/>
      </c>
      <c r="AU1000" s="66" t="str">
        <f t="shared" si="137"/>
        <v/>
      </c>
      <c r="AV1000" s="67" t="str">
        <f t="shared" si="138"/>
        <v/>
      </c>
      <c r="AW1000" s="67" t="str">
        <f t="shared" si="139"/>
        <v/>
      </c>
      <c r="AX1000" s="66" t="str">
        <f t="shared" si="140"/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 t="shared" si="141"/>
        <v/>
      </c>
      <c r="BB1000" s="66" t="str">
        <f t="shared" si="142"/>
        <v/>
      </c>
      <c r="BC1000" s="66">
        <f t="shared" si="143"/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69">
        <f t="shared" si="135"/>
        <v>0</v>
      </c>
      <c r="AT1001" s="67" t="str">
        <f t="shared" si="136"/>
        <v/>
      </c>
      <c r="AU1001" s="66" t="str">
        <f t="shared" si="137"/>
        <v/>
      </c>
      <c r="AV1001" s="67" t="str">
        <f t="shared" si="138"/>
        <v/>
      </c>
      <c r="AW1001" s="67" t="str">
        <f t="shared" si="139"/>
        <v/>
      </c>
      <c r="AX1001" s="66" t="str">
        <f t="shared" si="140"/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 t="shared" si="141"/>
        <v/>
      </c>
      <c r="BB1001" s="66" t="str">
        <f t="shared" si="142"/>
        <v/>
      </c>
      <c r="BC1001" s="66">
        <f t="shared" si="143"/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69">
        <f t="shared" si="135"/>
        <v>0</v>
      </c>
      <c r="AT1002" s="67" t="str">
        <f t="shared" si="136"/>
        <v/>
      </c>
      <c r="AU1002" s="66" t="str">
        <f t="shared" si="137"/>
        <v/>
      </c>
      <c r="AV1002" s="67" t="str">
        <f t="shared" si="138"/>
        <v/>
      </c>
      <c r="AW1002" s="67" t="str">
        <f t="shared" si="139"/>
        <v/>
      </c>
      <c r="AX1002" s="66" t="str">
        <f t="shared" si="140"/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 t="shared" si="141"/>
        <v/>
      </c>
      <c r="BB1002" s="66" t="str">
        <f t="shared" si="142"/>
        <v/>
      </c>
      <c r="BC1002" s="66">
        <f t="shared" si="143"/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69">
        <f t="shared" si="135"/>
        <v>0</v>
      </c>
      <c r="AT1003" s="67" t="str">
        <f t="shared" si="136"/>
        <v/>
      </c>
      <c r="AU1003" s="66" t="str">
        <f t="shared" si="137"/>
        <v/>
      </c>
      <c r="AV1003" s="67" t="str">
        <f t="shared" si="138"/>
        <v/>
      </c>
      <c r="AW1003" s="67" t="str">
        <f t="shared" si="139"/>
        <v/>
      </c>
      <c r="AX1003" s="66" t="str">
        <f t="shared" si="140"/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 t="shared" si="141"/>
        <v/>
      </c>
      <c r="BB1003" s="66" t="str">
        <f t="shared" si="142"/>
        <v/>
      </c>
      <c r="BC1003" s="66">
        <f t="shared" si="143"/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69">
        <f t="shared" si="135"/>
        <v>0</v>
      </c>
      <c r="AT1004" s="67" t="str">
        <f t="shared" si="136"/>
        <v/>
      </c>
      <c r="AU1004" s="66" t="str">
        <f t="shared" si="137"/>
        <v/>
      </c>
      <c r="AV1004" s="67" t="str">
        <f t="shared" si="138"/>
        <v/>
      </c>
      <c r="AW1004" s="67" t="str">
        <f t="shared" si="139"/>
        <v/>
      </c>
      <c r="AX1004" s="66" t="str">
        <f t="shared" si="140"/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 t="shared" si="141"/>
        <v/>
      </c>
      <c r="BB1004" s="66" t="str">
        <f t="shared" si="142"/>
        <v/>
      </c>
      <c r="BC1004" s="66">
        <f t="shared" si="143"/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69">
        <f t="shared" si="135"/>
        <v>0</v>
      </c>
      <c r="AT1005" s="67" t="str">
        <f t="shared" si="136"/>
        <v/>
      </c>
      <c r="AU1005" s="66" t="str">
        <f t="shared" si="137"/>
        <v/>
      </c>
      <c r="AV1005" s="67" t="str">
        <f t="shared" si="138"/>
        <v/>
      </c>
      <c r="AW1005" s="67" t="str">
        <f t="shared" si="139"/>
        <v/>
      </c>
      <c r="AX1005" s="66" t="str">
        <f t="shared" si="140"/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 t="shared" si="141"/>
        <v/>
      </c>
      <c r="BB1005" s="66" t="str">
        <f t="shared" si="142"/>
        <v/>
      </c>
      <c r="BC1005" s="66">
        <f t="shared" si="143"/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69">
        <f t="shared" si="135"/>
        <v>0</v>
      </c>
      <c r="AT1006" s="67" t="str">
        <f t="shared" si="136"/>
        <v/>
      </c>
      <c r="AU1006" s="66" t="str">
        <f t="shared" si="137"/>
        <v/>
      </c>
      <c r="AV1006" s="67" t="str">
        <f t="shared" si="138"/>
        <v/>
      </c>
      <c r="AW1006" s="67" t="str">
        <f t="shared" si="139"/>
        <v/>
      </c>
      <c r="AX1006" s="66" t="str">
        <f t="shared" si="140"/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 t="shared" si="141"/>
        <v/>
      </c>
      <c r="BB1006" s="66" t="str">
        <f t="shared" si="142"/>
        <v/>
      </c>
      <c r="BC1006" s="66">
        <f t="shared" si="143"/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69">
        <f t="shared" si="135"/>
        <v>0</v>
      </c>
      <c r="AT1007" s="67" t="str">
        <f t="shared" si="136"/>
        <v/>
      </c>
      <c r="AU1007" s="66" t="str">
        <f t="shared" si="137"/>
        <v/>
      </c>
      <c r="AV1007" s="67" t="str">
        <f t="shared" si="138"/>
        <v/>
      </c>
      <c r="AW1007" s="67" t="str">
        <f t="shared" si="139"/>
        <v/>
      </c>
      <c r="AX1007" s="66" t="str">
        <f t="shared" si="140"/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 t="shared" si="141"/>
        <v/>
      </c>
      <c r="BB1007" s="66" t="str">
        <f t="shared" si="142"/>
        <v/>
      </c>
      <c r="BC1007" s="66">
        <f t="shared" si="143"/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69">
        <f t="shared" si="135"/>
        <v>0</v>
      </c>
      <c r="AT1008" s="67" t="str">
        <f t="shared" si="136"/>
        <v/>
      </c>
      <c r="AU1008" s="66" t="str">
        <f t="shared" si="137"/>
        <v/>
      </c>
      <c r="AV1008" s="67" t="str">
        <f t="shared" si="138"/>
        <v/>
      </c>
      <c r="AW1008" s="67" t="str">
        <f t="shared" si="139"/>
        <v/>
      </c>
      <c r="AX1008" s="66" t="str">
        <f t="shared" si="140"/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 t="shared" si="141"/>
        <v/>
      </c>
      <c r="BB1008" s="66" t="str">
        <f t="shared" si="142"/>
        <v/>
      </c>
      <c r="BC1008" s="66">
        <f t="shared" si="143"/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69">
        <f t="shared" si="135"/>
        <v>0</v>
      </c>
      <c r="AT1009" s="67" t="str">
        <f t="shared" si="136"/>
        <v/>
      </c>
      <c r="AU1009" s="66" t="str">
        <f t="shared" si="137"/>
        <v/>
      </c>
      <c r="AV1009" s="67" t="str">
        <f t="shared" si="138"/>
        <v/>
      </c>
      <c r="AW1009" s="67" t="str">
        <f t="shared" si="139"/>
        <v/>
      </c>
      <c r="AX1009" s="66" t="str">
        <f t="shared" si="140"/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 t="shared" si="141"/>
        <v/>
      </c>
      <c r="BB1009" s="66" t="str">
        <f t="shared" si="142"/>
        <v/>
      </c>
      <c r="BC1009" s="66">
        <f t="shared" si="143"/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69">
        <f t="shared" si="135"/>
        <v>0</v>
      </c>
      <c r="AT1010" s="67" t="str">
        <f t="shared" si="136"/>
        <v/>
      </c>
      <c r="AU1010" s="66" t="str">
        <f t="shared" si="137"/>
        <v/>
      </c>
      <c r="AV1010" s="67" t="str">
        <f t="shared" si="138"/>
        <v/>
      </c>
      <c r="AW1010" s="67" t="str">
        <f t="shared" si="139"/>
        <v/>
      </c>
      <c r="AX1010" s="66" t="str">
        <f t="shared" si="140"/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 t="shared" si="141"/>
        <v/>
      </c>
      <c r="BB1010" s="66" t="str">
        <f t="shared" si="142"/>
        <v/>
      </c>
      <c r="BC1010" s="66">
        <f t="shared" si="143"/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69">
        <f t="shared" si="135"/>
        <v>0</v>
      </c>
      <c r="AT1011" s="67" t="str">
        <f t="shared" si="136"/>
        <v/>
      </c>
      <c r="AU1011" s="66" t="str">
        <f t="shared" si="137"/>
        <v/>
      </c>
      <c r="AV1011" s="67" t="str">
        <f t="shared" si="138"/>
        <v/>
      </c>
      <c r="AW1011" s="67" t="str">
        <f t="shared" si="139"/>
        <v/>
      </c>
      <c r="AX1011" s="66" t="str">
        <f t="shared" si="140"/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 t="shared" si="141"/>
        <v/>
      </c>
      <c r="BB1011" s="66" t="str">
        <f t="shared" si="142"/>
        <v/>
      </c>
      <c r="BC1011" s="66">
        <f t="shared" si="143"/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69">
        <f t="shared" si="135"/>
        <v>0</v>
      </c>
      <c r="AT1012" s="67" t="str">
        <f t="shared" si="136"/>
        <v/>
      </c>
      <c r="AU1012" s="66" t="str">
        <f t="shared" si="137"/>
        <v/>
      </c>
      <c r="AV1012" s="67" t="str">
        <f t="shared" si="138"/>
        <v/>
      </c>
      <c r="AW1012" s="67" t="str">
        <f t="shared" si="139"/>
        <v/>
      </c>
      <c r="AX1012" s="66" t="str">
        <f t="shared" si="140"/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 t="shared" si="141"/>
        <v/>
      </c>
      <c r="BB1012" s="66" t="str">
        <f t="shared" si="142"/>
        <v/>
      </c>
      <c r="BC1012" s="66">
        <f t="shared" si="143"/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69">
        <f t="shared" si="135"/>
        <v>0</v>
      </c>
      <c r="AT1013" s="67" t="str">
        <f t="shared" si="136"/>
        <v/>
      </c>
      <c r="AU1013" s="66" t="str">
        <f t="shared" si="137"/>
        <v/>
      </c>
      <c r="AV1013" s="67" t="str">
        <f t="shared" si="138"/>
        <v/>
      </c>
      <c r="AW1013" s="67" t="str">
        <f t="shared" si="139"/>
        <v/>
      </c>
      <c r="AX1013" s="66" t="str">
        <f t="shared" si="140"/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 t="shared" si="141"/>
        <v/>
      </c>
      <c r="BB1013" s="66" t="str">
        <f t="shared" si="142"/>
        <v/>
      </c>
      <c r="BC1013" s="66">
        <f t="shared" si="143"/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69">
        <f t="shared" si="135"/>
        <v>0</v>
      </c>
      <c r="AT1014" s="67" t="str">
        <f t="shared" si="136"/>
        <v/>
      </c>
      <c r="AU1014" s="66" t="str">
        <f t="shared" si="137"/>
        <v/>
      </c>
      <c r="AV1014" s="67" t="str">
        <f t="shared" si="138"/>
        <v/>
      </c>
      <c r="AW1014" s="67" t="str">
        <f t="shared" si="139"/>
        <v/>
      </c>
      <c r="AX1014" s="66" t="str">
        <f t="shared" si="140"/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 t="shared" si="141"/>
        <v/>
      </c>
      <c r="BB1014" s="66" t="str">
        <f t="shared" si="142"/>
        <v/>
      </c>
      <c r="BC1014" s="66">
        <f t="shared" si="143"/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69">
        <f t="shared" si="135"/>
        <v>0</v>
      </c>
      <c r="AT1015" s="67" t="str">
        <f t="shared" si="136"/>
        <v/>
      </c>
      <c r="AU1015" s="66" t="str">
        <f t="shared" si="137"/>
        <v/>
      </c>
      <c r="AV1015" s="67" t="str">
        <f t="shared" si="138"/>
        <v/>
      </c>
      <c r="AW1015" s="67" t="str">
        <f t="shared" si="139"/>
        <v/>
      </c>
      <c r="AX1015" s="66" t="str">
        <f t="shared" si="140"/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 t="shared" si="141"/>
        <v/>
      </c>
      <c r="BB1015" s="66" t="str">
        <f t="shared" si="142"/>
        <v/>
      </c>
      <c r="BC1015" s="66">
        <f t="shared" si="143"/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69">
        <f t="shared" si="135"/>
        <v>0</v>
      </c>
      <c r="AT1016" s="67" t="str">
        <f t="shared" si="136"/>
        <v/>
      </c>
      <c r="AU1016" s="66" t="str">
        <f t="shared" si="137"/>
        <v/>
      </c>
      <c r="AV1016" s="67" t="str">
        <f t="shared" si="138"/>
        <v/>
      </c>
      <c r="AW1016" s="67" t="str">
        <f t="shared" si="139"/>
        <v/>
      </c>
      <c r="AX1016" s="66" t="str">
        <f t="shared" si="140"/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 t="shared" si="141"/>
        <v/>
      </c>
      <c r="BB1016" s="66" t="str">
        <f t="shared" si="142"/>
        <v/>
      </c>
      <c r="BC1016" s="66">
        <f t="shared" si="143"/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69">
        <f t="shared" si="135"/>
        <v>0</v>
      </c>
      <c r="AT1017" s="67" t="str">
        <f t="shared" si="136"/>
        <v/>
      </c>
      <c r="AU1017" s="66" t="str">
        <f t="shared" si="137"/>
        <v/>
      </c>
      <c r="AV1017" s="67" t="str">
        <f t="shared" si="138"/>
        <v/>
      </c>
      <c r="AW1017" s="67" t="str">
        <f t="shared" si="139"/>
        <v/>
      </c>
      <c r="AX1017" s="66" t="str">
        <f t="shared" si="140"/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 t="shared" si="141"/>
        <v/>
      </c>
      <c r="BB1017" s="66" t="str">
        <f t="shared" si="142"/>
        <v/>
      </c>
      <c r="BC1017" s="66">
        <f t="shared" si="143"/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69">
        <f t="shared" si="135"/>
        <v>0</v>
      </c>
      <c r="AT1018" s="67" t="str">
        <f t="shared" si="136"/>
        <v/>
      </c>
      <c r="AU1018" s="66" t="str">
        <f t="shared" si="137"/>
        <v/>
      </c>
      <c r="AV1018" s="67" t="str">
        <f t="shared" si="138"/>
        <v/>
      </c>
      <c r="AW1018" s="67" t="str">
        <f t="shared" si="139"/>
        <v/>
      </c>
      <c r="AX1018" s="66" t="str">
        <f t="shared" si="140"/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 t="shared" si="141"/>
        <v/>
      </c>
      <c r="BB1018" s="66" t="str">
        <f t="shared" si="142"/>
        <v/>
      </c>
      <c r="BC1018" s="66">
        <f t="shared" si="143"/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69">
        <f t="shared" si="135"/>
        <v>0</v>
      </c>
      <c r="AT1019" s="67" t="str">
        <f t="shared" si="136"/>
        <v/>
      </c>
      <c r="AU1019" s="66" t="str">
        <f t="shared" si="137"/>
        <v/>
      </c>
      <c r="AV1019" s="67" t="str">
        <f t="shared" si="138"/>
        <v/>
      </c>
      <c r="AW1019" s="67" t="str">
        <f t="shared" si="139"/>
        <v/>
      </c>
      <c r="AX1019" s="66" t="str">
        <f t="shared" si="140"/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 t="shared" si="141"/>
        <v/>
      </c>
      <c r="BB1019" s="66" t="str">
        <f t="shared" si="142"/>
        <v/>
      </c>
      <c r="BC1019" s="66">
        <f t="shared" si="143"/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69">
        <f t="shared" si="135"/>
        <v>0</v>
      </c>
      <c r="AT1020" s="67" t="str">
        <f t="shared" si="136"/>
        <v/>
      </c>
      <c r="AU1020" s="66" t="str">
        <f t="shared" si="137"/>
        <v/>
      </c>
      <c r="AV1020" s="67" t="str">
        <f t="shared" si="138"/>
        <v/>
      </c>
      <c r="AW1020" s="67" t="str">
        <f t="shared" si="139"/>
        <v/>
      </c>
      <c r="AX1020" s="66" t="str">
        <f t="shared" si="140"/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 t="shared" si="141"/>
        <v/>
      </c>
      <c r="BB1020" s="66" t="str">
        <f t="shared" si="142"/>
        <v/>
      </c>
      <c r="BC1020" s="66">
        <f t="shared" si="143"/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69">
        <f t="shared" si="135"/>
        <v>0</v>
      </c>
      <c r="AT1021" s="67" t="str">
        <f t="shared" si="136"/>
        <v/>
      </c>
      <c r="AU1021" s="66" t="str">
        <f t="shared" si="137"/>
        <v/>
      </c>
      <c r="AV1021" s="67" t="str">
        <f t="shared" si="138"/>
        <v/>
      </c>
      <c r="AW1021" s="67" t="str">
        <f t="shared" si="139"/>
        <v/>
      </c>
      <c r="AX1021" s="66" t="str">
        <f t="shared" si="140"/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 t="shared" si="141"/>
        <v/>
      </c>
      <c r="BB1021" s="66" t="str">
        <f t="shared" si="142"/>
        <v/>
      </c>
      <c r="BC1021" s="66">
        <f t="shared" si="143"/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69">
        <f t="shared" si="135"/>
        <v>0</v>
      </c>
      <c r="AT1022" s="67" t="str">
        <f t="shared" si="136"/>
        <v/>
      </c>
      <c r="AU1022" s="66" t="str">
        <f t="shared" si="137"/>
        <v/>
      </c>
      <c r="AV1022" s="67" t="str">
        <f t="shared" si="138"/>
        <v/>
      </c>
      <c r="AW1022" s="67" t="str">
        <f t="shared" si="139"/>
        <v/>
      </c>
      <c r="AX1022" s="66" t="str">
        <f t="shared" si="140"/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 t="shared" si="141"/>
        <v/>
      </c>
      <c r="BB1022" s="66" t="str">
        <f t="shared" si="142"/>
        <v/>
      </c>
      <c r="BC1022" s="66">
        <f t="shared" si="143"/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69">
        <f t="shared" si="135"/>
        <v>0</v>
      </c>
      <c r="AT1023" s="67" t="str">
        <f t="shared" si="136"/>
        <v/>
      </c>
      <c r="AU1023" s="66" t="str">
        <f t="shared" si="137"/>
        <v/>
      </c>
      <c r="AV1023" s="67" t="str">
        <f t="shared" si="138"/>
        <v/>
      </c>
      <c r="AW1023" s="67" t="str">
        <f t="shared" si="139"/>
        <v/>
      </c>
      <c r="AX1023" s="66" t="str">
        <f t="shared" si="140"/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 t="shared" si="141"/>
        <v/>
      </c>
      <c r="BB1023" s="66" t="str">
        <f t="shared" si="142"/>
        <v/>
      </c>
      <c r="BC1023" s="66">
        <f t="shared" si="143"/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69">
        <f t="shared" si="135"/>
        <v>0</v>
      </c>
      <c r="AT1024" s="67" t="str">
        <f t="shared" si="136"/>
        <v/>
      </c>
      <c r="AU1024" s="66" t="str">
        <f t="shared" si="137"/>
        <v/>
      </c>
      <c r="AV1024" s="67" t="str">
        <f t="shared" si="138"/>
        <v/>
      </c>
      <c r="AW1024" s="67" t="str">
        <f t="shared" si="139"/>
        <v/>
      </c>
      <c r="AX1024" s="66" t="str">
        <f t="shared" si="140"/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 t="shared" si="141"/>
        <v/>
      </c>
      <c r="BB1024" s="66" t="str">
        <f t="shared" si="142"/>
        <v/>
      </c>
      <c r="BC1024" s="66">
        <f t="shared" si="143"/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69">
        <f t="shared" si="135"/>
        <v>0</v>
      </c>
      <c r="AT1025" s="67" t="str">
        <f t="shared" si="136"/>
        <v/>
      </c>
      <c r="AU1025" s="66" t="str">
        <f t="shared" si="137"/>
        <v/>
      </c>
      <c r="AV1025" s="67" t="str">
        <f t="shared" si="138"/>
        <v/>
      </c>
      <c r="AW1025" s="67" t="str">
        <f t="shared" si="139"/>
        <v/>
      </c>
      <c r="AX1025" s="66" t="str">
        <f t="shared" si="140"/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 t="shared" si="141"/>
        <v/>
      </c>
      <c r="BB1025" s="66" t="str">
        <f t="shared" si="142"/>
        <v/>
      </c>
      <c r="BC1025" s="66">
        <f t="shared" si="143"/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69">
        <f t="shared" si="135"/>
        <v>0</v>
      </c>
      <c r="AT1026" s="67" t="str">
        <f t="shared" si="136"/>
        <v/>
      </c>
      <c r="AU1026" s="66" t="str">
        <f t="shared" si="137"/>
        <v/>
      </c>
      <c r="AV1026" s="67" t="str">
        <f t="shared" si="138"/>
        <v/>
      </c>
      <c r="AW1026" s="67" t="str">
        <f t="shared" si="139"/>
        <v/>
      </c>
      <c r="AX1026" s="66" t="str">
        <f t="shared" si="140"/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 t="shared" si="141"/>
        <v/>
      </c>
      <c r="BB1026" s="66" t="str">
        <f t="shared" si="142"/>
        <v/>
      </c>
      <c r="BC1026" s="66">
        <f t="shared" si="143"/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69">
        <f t="shared" si="135"/>
        <v>0</v>
      </c>
      <c r="AT1027" s="67" t="str">
        <f t="shared" si="136"/>
        <v/>
      </c>
      <c r="AU1027" s="66" t="str">
        <f t="shared" si="137"/>
        <v/>
      </c>
      <c r="AV1027" s="67" t="str">
        <f t="shared" si="138"/>
        <v/>
      </c>
      <c r="AW1027" s="67" t="str">
        <f t="shared" si="139"/>
        <v/>
      </c>
      <c r="AX1027" s="66" t="str">
        <f t="shared" si="140"/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 t="shared" si="141"/>
        <v/>
      </c>
      <c r="BB1027" s="66" t="str">
        <f t="shared" si="142"/>
        <v/>
      </c>
      <c r="BC1027" s="66">
        <f t="shared" si="143"/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69">
        <f t="shared" si="135"/>
        <v>0</v>
      </c>
      <c r="AT1028" s="67" t="str">
        <f t="shared" si="136"/>
        <v/>
      </c>
      <c r="AU1028" s="66" t="str">
        <f t="shared" si="137"/>
        <v/>
      </c>
      <c r="AV1028" s="67" t="str">
        <f t="shared" si="138"/>
        <v/>
      </c>
      <c r="AW1028" s="67" t="str">
        <f t="shared" si="139"/>
        <v/>
      </c>
      <c r="AX1028" s="66" t="str">
        <f t="shared" si="140"/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 t="shared" si="141"/>
        <v/>
      </c>
      <c r="BB1028" s="66" t="str">
        <f t="shared" si="142"/>
        <v/>
      </c>
      <c r="BC1028" s="66">
        <f t="shared" si="143"/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69">
        <f t="shared" ref="AS1029:AS1069" si="144">SUM(H1029,J1029,L1029,N1029,P1029,R1029,T1029,V1029,X1029,Z1029,AB1029,AD1029,AF1029,AH1029,AJ1029,AL1029,AN1029)</f>
        <v>0</v>
      </c>
      <c r="AT1029" s="67" t="str">
        <f t="shared" ref="AT1029:AT1069" si="145">IF(C1029="","",DATE(YEAR(C1029),MONTH(C1029),1))</f>
        <v/>
      </c>
      <c r="AU1029" s="66" t="str">
        <f t="shared" ref="AU1029:AU1069" si="146">IF(AT1029="","",TEXT(AT1029,"mmmm yyyy"))</f>
        <v/>
      </c>
      <c r="AV1029" s="67" t="str">
        <f t="shared" ref="AV1029:AV1069" si="147">IF(C1029="","",C1029-WEEKDAY(C1029,2)+1)</f>
        <v/>
      </c>
      <c r="AW1029" s="67" t="str">
        <f t="shared" ref="AW1029:AW1069" si="148">IF(AV1029="","",AV1029+6)</f>
        <v/>
      </c>
      <c r="AX1029" s="66" t="str">
        <f t="shared" ref="AX1029:AX1069" si="149"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 t="shared" ref="BA1029:BA1069" si="150">IF(B1029="","",TEXT(AY1029,"00")&amp;"|"&amp;B1029&amp;"|"&amp;TEXT(AT1029,"yyyymmdd"))</f>
        <v/>
      </c>
      <c r="BB1029" s="66" t="str">
        <f t="shared" ref="BB1029:BB1069" si="151">IF(B1029="","",TEXT(AZ1029,"00")&amp;"|"&amp;B1029&amp;"|"&amp;TEXT(AV1029,"yyyymmdd"))</f>
        <v/>
      </c>
      <c r="BC1029" s="66">
        <f t="shared" ref="BC1029:BC1069" si="152"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69">
        <f t="shared" si="144"/>
        <v>0</v>
      </c>
      <c r="AT1030" s="67" t="str">
        <f t="shared" si="145"/>
        <v/>
      </c>
      <c r="AU1030" s="66" t="str">
        <f t="shared" si="146"/>
        <v/>
      </c>
      <c r="AV1030" s="67" t="str">
        <f t="shared" si="147"/>
        <v/>
      </c>
      <c r="AW1030" s="67" t="str">
        <f t="shared" si="148"/>
        <v/>
      </c>
      <c r="AX1030" s="66" t="str">
        <f t="shared" si="149"/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 t="shared" si="150"/>
        <v/>
      </c>
      <c r="BB1030" s="66" t="str">
        <f t="shared" si="151"/>
        <v/>
      </c>
      <c r="BC1030" s="66">
        <f t="shared" si="152"/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69">
        <f t="shared" si="144"/>
        <v>0</v>
      </c>
      <c r="AT1031" s="67" t="str">
        <f t="shared" si="145"/>
        <v/>
      </c>
      <c r="AU1031" s="66" t="str">
        <f t="shared" si="146"/>
        <v/>
      </c>
      <c r="AV1031" s="67" t="str">
        <f t="shared" si="147"/>
        <v/>
      </c>
      <c r="AW1031" s="67" t="str">
        <f t="shared" si="148"/>
        <v/>
      </c>
      <c r="AX1031" s="66" t="str">
        <f t="shared" si="149"/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 t="shared" si="150"/>
        <v/>
      </c>
      <c r="BB1031" s="66" t="str">
        <f t="shared" si="151"/>
        <v/>
      </c>
      <c r="BC1031" s="66">
        <f t="shared" si="152"/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69">
        <f t="shared" si="144"/>
        <v>0</v>
      </c>
      <c r="AT1032" s="67" t="str">
        <f t="shared" si="145"/>
        <v/>
      </c>
      <c r="AU1032" s="66" t="str">
        <f t="shared" si="146"/>
        <v/>
      </c>
      <c r="AV1032" s="67" t="str">
        <f t="shared" si="147"/>
        <v/>
      </c>
      <c r="AW1032" s="67" t="str">
        <f t="shared" si="148"/>
        <v/>
      </c>
      <c r="AX1032" s="66" t="str">
        <f t="shared" si="149"/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 t="shared" si="150"/>
        <v/>
      </c>
      <c r="BB1032" s="66" t="str">
        <f t="shared" si="151"/>
        <v/>
      </c>
      <c r="BC1032" s="66">
        <f t="shared" si="152"/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69">
        <f t="shared" si="144"/>
        <v>0</v>
      </c>
      <c r="AT1033" s="67" t="str">
        <f t="shared" si="145"/>
        <v/>
      </c>
      <c r="AU1033" s="66" t="str">
        <f t="shared" si="146"/>
        <v/>
      </c>
      <c r="AV1033" s="67" t="str">
        <f t="shared" si="147"/>
        <v/>
      </c>
      <c r="AW1033" s="67" t="str">
        <f t="shared" si="148"/>
        <v/>
      </c>
      <c r="AX1033" s="66" t="str">
        <f t="shared" si="149"/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 t="shared" si="150"/>
        <v/>
      </c>
      <c r="BB1033" s="66" t="str">
        <f t="shared" si="151"/>
        <v/>
      </c>
      <c r="BC1033" s="66">
        <f t="shared" si="152"/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69">
        <f t="shared" si="144"/>
        <v>0</v>
      </c>
      <c r="AT1034" s="67" t="str">
        <f t="shared" si="145"/>
        <v/>
      </c>
      <c r="AU1034" s="66" t="str">
        <f t="shared" si="146"/>
        <v/>
      </c>
      <c r="AV1034" s="67" t="str">
        <f t="shared" si="147"/>
        <v/>
      </c>
      <c r="AW1034" s="67" t="str">
        <f t="shared" si="148"/>
        <v/>
      </c>
      <c r="AX1034" s="66" t="str">
        <f t="shared" si="149"/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 t="shared" si="150"/>
        <v/>
      </c>
      <c r="BB1034" s="66" t="str">
        <f t="shared" si="151"/>
        <v/>
      </c>
      <c r="BC1034" s="66">
        <f t="shared" si="152"/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69">
        <f t="shared" si="144"/>
        <v>0</v>
      </c>
      <c r="AT1035" s="67" t="str">
        <f t="shared" si="145"/>
        <v/>
      </c>
      <c r="AU1035" s="66" t="str">
        <f t="shared" si="146"/>
        <v/>
      </c>
      <c r="AV1035" s="67" t="str">
        <f t="shared" si="147"/>
        <v/>
      </c>
      <c r="AW1035" s="67" t="str">
        <f t="shared" si="148"/>
        <v/>
      </c>
      <c r="AX1035" s="66" t="str">
        <f t="shared" si="149"/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 t="shared" si="150"/>
        <v/>
      </c>
      <c r="BB1035" s="66" t="str">
        <f t="shared" si="151"/>
        <v/>
      </c>
      <c r="BC1035" s="66">
        <f t="shared" si="152"/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69">
        <f t="shared" si="144"/>
        <v>0</v>
      </c>
      <c r="AT1036" s="67" t="str">
        <f t="shared" si="145"/>
        <v/>
      </c>
      <c r="AU1036" s="66" t="str">
        <f t="shared" si="146"/>
        <v/>
      </c>
      <c r="AV1036" s="67" t="str">
        <f t="shared" si="147"/>
        <v/>
      </c>
      <c r="AW1036" s="67" t="str">
        <f t="shared" si="148"/>
        <v/>
      </c>
      <c r="AX1036" s="66" t="str">
        <f t="shared" si="149"/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 t="shared" si="150"/>
        <v/>
      </c>
      <c r="BB1036" s="66" t="str">
        <f t="shared" si="151"/>
        <v/>
      </c>
      <c r="BC1036" s="66">
        <f t="shared" si="152"/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69">
        <f t="shared" si="144"/>
        <v>0</v>
      </c>
      <c r="AT1037" s="67" t="str">
        <f t="shared" si="145"/>
        <v/>
      </c>
      <c r="AU1037" s="66" t="str">
        <f t="shared" si="146"/>
        <v/>
      </c>
      <c r="AV1037" s="67" t="str">
        <f t="shared" si="147"/>
        <v/>
      </c>
      <c r="AW1037" s="67" t="str">
        <f t="shared" si="148"/>
        <v/>
      </c>
      <c r="AX1037" s="66" t="str">
        <f t="shared" si="149"/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 t="shared" si="150"/>
        <v/>
      </c>
      <c r="BB1037" s="66" t="str">
        <f t="shared" si="151"/>
        <v/>
      </c>
      <c r="BC1037" s="66">
        <f t="shared" si="152"/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69">
        <f t="shared" si="144"/>
        <v>0</v>
      </c>
      <c r="AT1038" s="67" t="str">
        <f t="shared" si="145"/>
        <v/>
      </c>
      <c r="AU1038" s="66" t="str">
        <f t="shared" si="146"/>
        <v/>
      </c>
      <c r="AV1038" s="67" t="str">
        <f t="shared" si="147"/>
        <v/>
      </c>
      <c r="AW1038" s="67" t="str">
        <f t="shared" si="148"/>
        <v/>
      </c>
      <c r="AX1038" s="66" t="str">
        <f t="shared" si="149"/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 t="shared" si="150"/>
        <v/>
      </c>
      <c r="BB1038" s="66" t="str">
        <f t="shared" si="151"/>
        <v/>
      </c>
      <c r="BC1038" s="66">
        <f t="shared" si="152"/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69">
        <f t="shared" si="144"/>
        <v>0</v>
      </c>
      <c r="AT1039" s="67" t="str">
        <f t="shared" si="145"/>
        <v/>
      </c>
      <c r="AU1039" s="66" t="str">
        <f t="shared" si="146"/>
        <v/>
      </c>
      <c r="AV1039" s="67" t="str">
        <f t="shared" si="147"/>
        <v/>
      </c>
      <c r="AW1039" s="67" t="str">
        <f t="shared" si="148"/>
        <v/>
      </c>
      <c r="AX1039" s="66" t="str">
        <f t="shared" si="149"/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 t="shared" si="150"/>
        <v/>
      </c>
      <c r="BB1039" s="66" t="str">
        <f t="shared" si="151"/>
        <v/>
      </c>
      <c r="BC1039" s="66">
        <f t="shared" si="152"/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69">
        <f t="shared" si="144"/>
        <v>0</v>
      </c>
      <c r="AT1040" s="67" t="str">
        <f t="shared" si="145"/>
        <v/>
      </c>
      <c r="AU1040" s="66" t="str">
        <f t="shared" si="146"/>
        <v/>
      </c>
      <c r="AV1040" s="67" t="str">
        <f t="shared" si="147"/>
        <v/>
      </c>
      <c r="AW1040" s="67" t="str">
        <f t="shared" si="148"/>
        <v/>
      </c>
      <c r="AX1040" s="66" t="str">
        <f t="shared" si="149"/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 t="shared" si="150"/>
        <v/>
      </c>
      <c r="BB1040" s="66" t="str">
        <f t="shared" si="151"/>
        <v/>
      </c>
      <c r="BC1040" s="66">
        <f t="shared" si="152"/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69">
        <f t="shared" si="144"/>
        <v>0</v>
      </c>
      <c r="AT1041" s="67" t="str">
        <f t="shared" si="145"/>
        <v/>
      </c>
      <c r="AU1041" s="66" t="str">
        <f t="shared" si="146"/>
        <v/>
      </c>
      <c r="AV1041" s="67" t="str">
        <f t="shared" si="147"/>
        <v/>
      </c>
      <c r="AW1041" s="67" t="str">
        <f t="shared" si="148"/>
        <v/>
      </c>
      <c r="AX1041" s="66" t="str">
        <f t="shared" si="149"/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 t="shared" si="150"/>
        <v/>
      </c>
      <c r="BB1041" s="66" t="str">
        <f t="shared" si="151"/>
        <v/>
      </c>
      <c r="BC1041" s="66">
        <f t="shared" si="152"/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69">
        <f t="shared" si="144"/>
        <v>0</v>
      </c>
      <c r="AT1042" s="67" t="str">
        <f t="shared" si="145"/>
        <v/>
      </c>
      <c r="AU1042" s="66" t="str">
        <f t="shared" si="146"/>
        <v/>
      </c>
      <c r="AV1042" s="67" t="str">
        <f t="shared" si="147"/>
        <v/>
      </c>
      <c r="AW1042" s="67" t="str">
        <f t="shared" si="148"/>
        <v/>
      </c>
      <c r="AX1042" s="66" t="str">
        <f t="shared" si="149"/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 t="shared" si="150"/>
        <v/>
      </c>
      <c r="BB1042" s="66" t="str">
        <f t="shared" si="151"/>
        <v/>
      </c>
      <c r="BC1042" s="66">
        <f t="shared" si="152"/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69">
        <f t="shared" si="144"/>
        <v>0</v>
      </c>
      <c r="AT1043" s="67" t="str">
        <f t="shared" si="145"/>
        <v/>
      </c>
      <c r="AU1043" s="66" t="str">
        <f t="shared" si="146"/>
        <v/>
      </c>
      <c r="AV1043" s="67" t="str">
        <f t="shared" si="147"/>
        <v/>
      </c>
      <c r="AW1043" s="67" t="str">
        <f t="shared" si="148"/>
        <v/>
      </c>
      <c r="AX1043" s="66" t="str">
        <f t="shared" si="149"/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 t="shared" si="150"/>
        <v/>
      </c>
      <c r="BB1043" s="66" t="str">
        <f t="shared" si="151"/>
        <v/>
      </c>
      <c r="BC1043" s="66">
        <f t="shared" si="152"/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69">
        <f t="shared" si="144"/>
        <v>0</v>
      </c>
      <c r="AT1044" s="67" t="str">
        <f t="shared" si="145"/>
        <v/>
      </c>
      <c r="AU1044" s="66" t="str">
        <f t="shared" si="146"/>
        <v/>
      </c>
      <c r="AV1044" s="67" t="str">
        <f t="shared" si="147"/>
        <v/>
      </c>
      <c r="AW1044" s="67" t="str">
        <f t="shared" si="148"/>
        <v/>
      </c>
      <c r="AX1044" s="66" t="str">
        <f t="shared" si="149"/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 t="shared" si="150"/>
        <v/>
      </c>
      <c r="BB1044" s="66" t="str">
        <f t="shared" si="151"/>
        <v/>
      </c>
      <c r="BC1044" s="66">
        <f t="shared" si="152"/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69">
        <f t="shared" si="144"/>
        <v>0</v>
      </c>
      <c r="AT1045" s="67" t="str">
        <f t="shared" si="145"/>
        <v/>
      </c>
      <c r="AU1045" s="66" t="str">
        <f t="shared" si="146"/>
        <v/>
      </c>
      <c r="AV1045" s="67" t="str">
        <f t="shared" si="147"/>
        <v/>
      </c>
      <c r="AW1045" s="67" t="str">
        <f t="shared" si="148"/>
        <v/>
      </c>
      <c r="AX1045" s="66" t="str">
        <f t="shared" si="149"/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 t="shared" si="150"/>
        <v/>
      </c>
      <c r="BB1045" s="66" t="str">
        <f t="shared" si="151"/>
        <v/>
      </c>
      <c r="BC1045" s="66">
        <f t="shared" si="152"/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69">
        <f t="shared" si="144"/>
        <v>0</v>
      </c>
      <c r="AT1046" s="67" t="str">
        <f t="shared" si="145"/>
        <v/>
      </c>
      <c r="AU1046" s="66" t="str">
        <f t="shared" si="146"/>
        <v/>
      </c>
      <c r="AV1046" s="67" t="str">
        <f t="shared" si="147"/>
        <v/>
      </c>
      <c r="AW1046" s="67" t="str">
        <f t="shared" si="148"/>
        <v/>
      </c>
      <c r="AX1046" s="66" t="str">
        <f t="shared" si="149"/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 t="shared" si="150"/>
        <v/>
      </c>
      <c r="BB1046" s="66" t="str">
        <f t="shared" si="151"/>
        <v/>
      </c>
      <c r="BC1046" s="66">
        <f t="shared" si="152"/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69">
        <f t="shared" si="144"/>
        <v>0</v>
      </c>
      <c r="AT1047" s="67" t="str">
        <f t="shared" si="145"/>
        <v/>
      </c>
      <c r="AU1047" s="66" t="str">
        <f t="shared" si="146"/>
        <v/>
      </c>
      <c r="AV1047" s="67" t="str">
        <f t="shared" si="147"/>
        <v/>
      </c>
      <c r="AW1047" s="67" t="str">
        <f t="shared" si="148"/>
        <v/>
      </c>
      <c r="AX1047" s="66" t="str">
        <f t="shared" si="149"/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 t="shared" si="150"/>
        <v/>
      </c>
      <c r="BB1047" s="66" t="str">
        <f t="shared" si="151"/>
        <v/>
      </c>
      <c r="BC1047" s="66">
        <f t="shared" si="152"/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69">
        <f t="shared" si="144"/>
        <v>0</v>
      </c>
      <c r="AT1048" s="67" t="str">
        <f t="shared" si="145"/>
        <v/>
      </c>
      <c r="AU1048" s="66" t="str">
        <f t="shared" si="146"/>
        <v/>
      </c>
      <c r="AV1048" s="67" t="str">
        <f t="shared" si="147"/>
        <v/>
      </c>
      <c r="AW1048" s="67" t="str">
        <f t="shared" si="148"/>
        <v/>
      </c>
      <c r="AX1048" s="66" t="str">
        <f t="shared" si="149"/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 t="shared" si="150"/>
        <v/>
      </c>
      <c r="BB1048" s="66" t="str">
        <f t="shared" si="151"/>
        <v/>
      </c>
      <c r="BC1048" s="66">
        <f t="shared" si="152"/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69">
        <f t="shared" si="144"/>
        <v>0</v>
      </c>
      <c r="AT1049" s="67" t="str">
        <f t="shared" si="145"/>
        <v/>
      </c>
      <c r="AU1049" s="66" t="str">
        <f t="shared" si="146"/>
        <v/>
      </c>
      <c r="AV1049" s="67" t="str">
        <f t="shared" si="147"/>
        <v/>
      </c>
      <c r="AW1049" s="67" t="str">
        <f t="shared" si="148"/>
        <v/>
      </c>
      <c r="AX1049" s="66" t="str">
        <f t="shared" si="149"/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 t="shared" si="150"/>
        <v/>
      </c>
      <c r="BB1049" s="66" t="str">
        <f t="shared" si="151"/>
        <v/>
      </c>
      <c r="BC1049" s="66">
        <f t="shared" si="152"/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69">
        <f t="shared" si="144"/>
        <v>0</v>
      </c>
      <c r="AT1050" s="67" t="str">
        <f t="shared" si="145"/>
        <v/>
      </c>
      <c r="AU1050" s="66" t="str">
        <f t="shared" si="146"/>
        <v/>
      </c>
      <c r="AV1050" s="67" t="str">
        <f t="shared" si="147"/>
        <v/>
      </c>
      <c r="AW1050" s="67" t="str">
        <f t="shared" si="148"/>
        <v/>
      </c>
      <c r="AX1050" s="66" t="str">
        <f t="shared" si="149"/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 t="shared" si="150"/>
        <v/>
      </c>
      <c r="BB1050" s="66" t="str">
        <f t="shared" si="151"/>
        <v/>
      </c>
      <c r="BC1050" s="66">
        <f t="shared" si="152"/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69">
        <f t="shared" si="144"/>
        <v>0</v>
      </c>
      <c r="AT1051" s="67" t="str">
        <f t="shared" si="145"/>
        <v/>
      </c>
      <c r="AU1051" s="66" t="str">
        <f t="shared" si="146"/>
        <v/>
      </c>
      <c r="AV1051" s="67" t="str">
        <f t="shared" si="147"/>
        <v/>
      </c>
      <c r="AW1051" s="67" t="str">
        <f t="shared" si="148"/>
        <v/>
      </c>
      <c r="AX1051" s="66" t="str">
        <f t="shared" si="149"/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 t="shared" si="150"/>
        <v/>
      </c>
      <c r="BB1051" s="66" t="str">
        <f t="shared" si="151"/>
        <v/>
      </c>
      <c r="BC1051" s="66">
        <f t="shared" si="152"/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69">
        <f t="shared" si="144"/>
        <v>0</v>
      </c>
      <c r="AT1052" s="67" t="str">
        <f t="shared" si="145"/>
        <v/>
      </c>
      <c r="AU1052" s="66" t="str">
        <f t="shared" si="146"/>
        <v/>
      </c>
      <c r="AV1052" s="67" t="str">
        <f t="shared" si="147"/>
        <v/>
      </c>
      <c r="AW1052" s="67" t="str">
        <f t="shared" si="148"/>
        <v/>
      </c>
      <c r="AX1052" s="66" t="str">
        <f t="shared" si="149"/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 t="shared" si="150"/>
        <v/>
      </c>
      <c r="BB1052" s="66" t="str">
        <f t="shared" si="151"/>
        <v/>
      </c>
      <c r="BC1052" s="66">
        <f t="shared" si="152"/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69">
        <f t="shared" si="144"/>
        <v>0</v>
      </c>
      <c r="AT1053" s="67" t="str">
        <f t="shared" si="145"/>
        <v/>
      </c>
      <c r="AU1053" s="66" t="str">
        <f t="shared" si="146"/>
        <v/>
      </c>
      <c r="AV1053" s="67" t="str">
        <f t="shared" si="147"/>
        <v/>
      </c>
      <c r="AW1053" s="67" t="str">
        <f t="shared" si="148"/>
        <v/>
      </c>
      <c r="AX1053" s="66" t="str">
        <f t="shared" si="149"/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 t="shared" si="150"/>
        <v/>
      </c>
      <c r="BB1053" s="66" t="str">
        <f t="shared" si="151"/>
        <v/>
      </c>
      <c r="BC1053" s="66">
        <f t="shared" si="152"/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69">
        <f t="shared" si="144"/>
        <v>0</v>
      </c>
      <c r="AT1054" s="67" t="str">
        <f t="shared" si="145"/>
        <v/>
      </c>
      <c r="AU1054" s="66" t="str">
        <f t="shared" si="146"/>
        <v/>
      </c>
      <c r="AV1054" s="67" t="str">
        <f t="shared" si="147"/>
        <v/>
      </c>
      <c r="AW1054" s="67" t="str">
        <f t="shared" si="148"/>
        <v/>
      </c>
      <c r="AX1054" s="66" t="str">
        <f t="shared" si="149"/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 t="shared" si="150"/>
        <v/>
      </c>
      <c r="BB1054" s="66" t="str">
        <f t="shared" si="151"/>
        <v/>
      </c>
      <c r="BC1054" s="66">
        <f t="shared" si="152"/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69">
        <f t="shared" si="144"/>
        <v>0</v>
      </c>
      <c r="AT1055" s="67" t="str">
        <f t="shared" si="145"/>
        <v/>
      </c>
      <c r="AU1055" s="66" t="str">
        <f t="shared" si="146"/>
        <v/>
      </c>
      <c r="AV1055" s="67" t="str">
        <f t="shared" si="147"/>
        <v/>
      </c>
      <c r="AW1055" s="67" t="str">
        <f t="shared" si="148"/>
        <v/>
      </c>
      <c r="AX1055" s="66" t="str">
        <f t="shared" si="149"/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 t="shared" si="150"/>
        <v/>
      </c>
      <c r="BB1055" s="66" t="str">
        <f t="shared" si="151"/>
        <v/>
      </c>
      <c r="BC1055" s="66">
        <f t="shared" si="152"/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69">
        <f t="shared" si="144"/>
        <v>0</v>
      </c>
      <c r="AT1056" s="67" t="str">
        <f t="shared" si="145"/>
        <v/>
      </c>
      <c r="AU1056" s="66" t="str">
        <f t="shared" si="146"/>
        <v/>
      </c>
      <c r="AV1056" s="67" t="str">
        <f t="shared" si="147"/>
        <v/>
      </c>
      <c r="AW1056" s="67" t="str">
        <f t="shared" si="148"/>
        <v/>
      </c>
      <c r="AX1056" s="66" t="str">
        <f t="shared" si="149"/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 t="shared" si="150"/>
        <v/>
      </c>
      <c r="BB1056" s="66" t="str">
        <f t="shared" si="151"/>
        <v/>
      </c>
      <c r="BC1056" s="66">
        <f t="shared" si="152"/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69">
        <f t="shared" si="144"/>
        <v>0</v>
      </c>
      <c r="AT1057" s="67" t="str">
        <f t="shared" si="145"/>
        <v/>
      </c>
      <c r="AU1057" s="66" t="str">
        <f t="shared" si="146"/>
        <v/>
      </c>
      <c r="AV1057" s="67" t="str">
        <f t="shared" si="147"/>
        <v/>
      </c>
      <c r="AW1057" s="67" t="str">
        <f t="shared" si="148"/>
        <v/>
      </c>
      <c r="AX1057" s="66" t="str">
        <f t="shared" si="149"/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 t="shared" si="150"/>
        <v/>
      </c>
      <c r="BB1057" s="66" t="str">
        <f t="shared" si="151"/>
        <v/>
      </c>
      <c r="BC1057" s="66">
        <f t="shared" si="152"/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69">
        <f t="shared" si="144"/>
        <v>0</v>
      </c>
      <c r="AT1058" s="67" t="str">
        <f t="shared" si="145"/>
        <v/>
      </c>
      <c r="AU1058" s="66" t="str">
        <f t="shared" si="146"/>
        <v/>
      </c>
      <c r="AV1058" s="67" t="str">
        <f t="shared" si="147"/>
        <v/>
      </c>
      <c r="AW1058" s="67" t="str">
        <f t="shared" si="148"/>
        <v/>
      </c>
      <c r="AX1058" s="66" t="str">
        <f t="shared" si="149"/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 t="shared" si="150"/>
        <v/>
      </c>
      <c r="BB1058" s="66" t="str">
        <f t="shared" si="151"/>
        <v/>
      </c>
      <c r="BC1058" s="66">
        <f t="shared" si="152"/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69">
        <f t="shared" si="144"/>
        <v>0</v>
      </c>
      <c r="AT1059" s="67" t="str">
        <f t="shared" si="145"/>
        <v/>
      </c>
      <c r="AU1059" s="66" t="str">
        <f t="shared" si="146"/>
        <v/>
      </c>
      <c r="AV1059" s="67" t="str">
        <f t="shared" si="147"/>
        <v/>
      </c>
      <c r="AW1059" s="67" t="str">
        <f t="shared" si="148"/>
        <v/>
      </c>
      <c r="AX1059" s="66" t="str">
        <f t="shared" si="149"/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 t="shared" si="150"/>
        <v/>
      </c>
      <c r="BB1059" s="66" t="str">
        <f t="shared" si="151"/>
        <v/>
      </c>
      <c r="BC1059" s="66">
        <f t="shared" si="152"/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69">
        <f t="shared" si="144"/>
        <v>0</v>
      </c>
      <c r="AT1060" s="67" t="str">
        <f t="shared" si="145"/>
        <v/>
      </c>
      <c r="AU1060" s="66" t="str">
        <f t="shared" si="146"/>
        <v/>
      </c>
      <c r="AV1060" s="67" t="str">
        <f t="shared" si="147"/>
        <v/>
      </c>
      <c r="AW1060" s="67" t="str">
        <f t="shared" si="148"/>
        <v/>
      </c>
      <c r="AX1060" s="66" t="str">
        <f t="shared" si="149"/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 t="shared" si="150"/>
        <v/>
      </c>
      <c r="BB1060" s="66" t="str">
        <f t="shared" si="151"/>
        <v/>
      </c>
      <c r="BC1060" s="66">
        <f t="shared" si="152"/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69">
        <f t="shared" si="144"/>
        <v>0</v>
      </c>
      <c r="AT1061" s="67" t="str">
        <f t="shared" si="145"/>
        <v/>
      </c>
      <c r="AU1061" s="66" t="str">
        <f t="shared" si="146"/>
        <v/>
      </c>
      <c r="AV1061" s="67" t="str">
        <f t="shared" si="147"/>
        <v/>
      </c>
      <c r="AW1061" s="67" t="str">
        <f t="shared" si="148"/>
        <v/>
      </c>
      <c r="AX1061" s="66" t="str">
        <f t="shared" si="149"/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 t="shared" si="150"/>
        <v/>
      </c>
      <c r="BB1061" s="66" t="str">
        <f t="shared" si="151"/>
        <v/>
      </c>
      <c r="BC1061" s="66">
        <f t="shared" si="152"/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69">
        <f t="shared" si="144"/>
        <v>0</v>
      </c>
      <c r="AT1062" s="67" t="str">
        <f t="shared" si="145"/>
        <v/>
      </c>
      <c r="AU1062" s="66" t="str">
        <f t="shared" si="146"/>
        <v/>
      </c>
      <c r="AV1062" s="67" t="str">
        <f t="shared" si="147"/>
        <v/>
      </c>
      <c r="AW1062" s="67" t="str">
        <f t="shared" si="148"/>
        <v/>
      </c>
      <c r="AX1062" s="66" t="str">
        <f t="shared" si="149"/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 t="shared" si="150"/>
        <v/>
      </c>
      <c r="BB1062" s="66" t="str">
        <f t="shared" si="151"/>
        <v/>
      </c>
      <c r="BC1062" s="66">
        <f t="shared" si="152"/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69">
        <f t="shared" si="144"/>
        <v>0</v>
      </c>
      <c r="AT1063" s="67" t="str">
        <f t="shared" si="145"/>
        <v/>
      </c>
      <c r="AU1063" s="66" t="str">
        <f t="shared" si="146"/>
        <v/>
      </c>
      <c r="AV1063" s="67" t="str">
        <f t="shared" si="147"/>
        <v/>
      </c>
      <c r="AW1063" s="67" t="str">
        <f t="shared" si="148"/>
        <v/>
      </c>
      <c r="AX1063" s="66" t="str">
        <f t="shared" si="149"/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 t="shared" si="150"/>
        <v/>
      </c>
      <c r="BB1063" s="66" t="str">
        <f t="shared" si="151"/>
        <v/>
      </c>
      <c r="BC1063" s="66">
        <f t="shared" si="152"/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69">
        <f t="shared" si="144"/>
        <v>0</v>
      </c>
      <c r="AT1064" s="67" t="str">
        <f t="shared" si="145"/>
        <v/>
      </c>
      <c r="AU1064" s="66" t="str">
        <f t="shared" si="146"/>
        <v/>
      </c>
      <c r="AV1064" s="67" t="str">
        <f t="shared" si="147"/>
        <v/>
      </c>
      <c r="AW1064" s="67" t="str">
        <f t="shared" si="148"/>
        <v/>
      </c>
      <c r="AX1064" s="66" t="str">
        <f t="shared" si="149"/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 t="shared" si="150"/>
        <v/>
      </c>
      <c r="BB1064" s="66" t="str">
        <f t="shared" si="151"/>
        <v/>
      </c>
      <c r="BC1064" s="66">
        <f t="shared" si="152"/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69">
        <f t="shared" si="144"/>
        <v>0</v>
      </c>
      <c r="AT1065" s="67" t="str">
        <f t="shared" si="145"/>
        <v/>
      </c>
      <c r="AU1065" s="66" t="str">
        <f t="shared" si="146"/>
        <v/>
      </c>
      <c r="AV1065" s="67" t="str">
        <f t="shared" si="147"/>
        <v/>
      </c>
      <c r="AW1065" s="67" t="str">
        <f t="shared" si="148"/>
        <v/>
      </c>
      <c r="AX1065" s="66" t="str">
        <f t="shared" si="149"/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 t="shared" si="150"/>
        <v/>
      </c>
      <c r="BB1065" s="66" t="str">
        <f t="shared" si="151"/>
        <v/>
      </c>
      <c r="BC1065" s="66">
        <f t="shared" si="152"/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69">
        <f t="shared" si="144"/>
        <v>0</v>
      </c>
      <c r="AT1066" s="67" t="str">
        <f t="shared" si="145"/>
        <v/>
      </c>
      <c r="AU1066" s="66" t="str">
        <f t="shared" si="146"/>
        <v/>
      </c>
      <c r="AV1066" s="67" t="str">
        <f t="shared" si="147"/>
        <v/>
      </c>
      <c r="AW1066" s="67" t="str">
        <f t="shared" si="148"/>
        <v/>
      </c>
      <c r="AX1066" s="66" t="str">
        <f t="shared" si="149"/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 t="shared" si="150"/>
        <v/>
      </c>
      <c r="BB1066" s="66" t="str">
        <f t="shared" si="151"/>
        <v/>
      </c>
      <c r="BC1066" s="66">
        <f t="shared" si="152"/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69">
        <f t="shared" si="144"/>
        <v>0</v>
      </c>
      <c r="AT1067" s="67" t="str">
        <f t="shared" si="145"/>
        <v/>
      </c>
      <c r="AU1067" s="66" t="str">
        <f t="shared" si="146"/>
        <v/>
      </c>
      <c r="AV1067" s="67" t="str">
        <f t="shared" si="147"/>
        <v/>
      </c>
      <c r="AW1067" s="67" t="str">
        <f t="shared" si="148"/>
        <v/>
      </c>
      <c r="AX1067" s="66" t="str">
        <f t="shared" si="149"/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 t="shared" si="150"/>
        <v/>
      </c>
      <c r="BB1067" s="66" t="str">
        <f t="shared" si="151"/>
        <v/>
      </c>
      <c r="BC1067" s="66">
        <f t="shared" si="152"/>
        <v>0</v>
      </c>
    </row>
    <row r="1068" spans="1:55" ht="15" customHeight="1">
      <c r="A1068" s="65"/>
      <c r="B1068" s="66"/>
      <c r="C1068" s="67"/>
      <c r="D1068" s="68"/>
      <c r="E1068" s="68"/>
      <c r="F1068" s="66"/>
      <c r="G1068" s="66"/>
      <c r="H1068" s="66"/>
      <c r="I1068" s="10"/>
      <c r="J1068" s="66"/>
      <c r="K1068" s="10"/>
      <c r="L1068" s="66"/>
      <c r="M1068" s="10"/>
      <c r="N1068" s="66"/>
      <c r="O1068" s="10"/>
      <c r="P1068" s="66"/>
      <c r="Q1068" s="18"/>
      <c r="R1068" s="66"/>
      <c r="S1068" s="18"/>
      <c r="T1068" s="66"/>
      <c r="U1068" s="10"/>
      <c r="V1068" s="66"/>
      <c r="W1068" s="10"/>
      <c r="X1068" s="66"/>
      <c r="Y1068" s="10"/>
      <c r="Z1068" s="66"/>
      <c r="AA1068" s="10"/>
      <c r="AB1068" s="66"/>
      <c r="AC1068" s="10"/>
      <c r="AD1068" s="66"/>
      <c r="AE1068" s="10"/>
      <c r="AF1068" s="66"/>
      <c r="AG1068" s="10"/>
      <c r="AH1068" s="66"/>
      <c r="AI1068" s="10"/>
      <c r="AJ1068" s="66"/>
      <c r="AK1068" s="10"/>
      <c r="AL1068" s="66"/>
      <c r="AM1068" s="10"/>
      <c r="AN1068" s="66"/>
      <c r="AO1068" s="10"/>
      <c r="AP1068" s="66"/>
      <c r="AQ1068" s="10"/>
      <c r="AR1068" s="66"/>
      <c r="AS1068" s="69">
        <f t="shared" si="144"/>
        <v>0</v>
      </c>
      <c r="AT1068" s="67" t="str">
        <f t="shared" si="145"/>
        <v/>
      </c>
      <c r="AU1068" s="66" t="str">
        <f t="shared" si="146"/>
        <v/>
      </c>
      <c r="AV1068" s="67" t="str">
        <f t="shared" si="147"/>
        <v/>
      </c>
      <c r="AW1068" s="67" t="str">
        <f t="shared" si="148"/>
        <v/>
      </c>
      <c r="AX1068" s="66" t="str">
        <f t="shared" si="149"/>
        <v/>
      </c>
      <c r="AY1068" s="66" t="str">
        <f>IF(B1068="","",COUNTIFS($B$5:B1068,B1068,$AT$5:AT1068,AT1068))</f>
        <v/>
      </c>
      <c r="AZ1068" s="66" t="str">
        <f>IF(B1068="","",COUNTIFS($B$5:B1068,B1068,$AV$5:AV1068,AV1068))</f>
        <v/>
      </c>
      <c r="BA1068" s="66" t="str">
        <f t="shared" si="150"/>
        <v/>
      </c>
      <c r="BB1068" s="66" t="str">
        <f t="shared" si="151"/>
        <v/>
      </c>
      <c r="BC1068" s="66">
        <f t="shared" si="152"/>
        <v>0</v>
      </c>
    </row>
    <row r="1069" spans="1:55" ht="15" customHeight="1">
      <c r="A1069" s="65"/>
      <c r="B1069" s="66"/>
      <c r="C1069" s="67"/>
      <c r="D1069" s="68"/>
      <c r="E1069" s="68"/>
      <c r="F1069" s="66"/>
      <c r="G1069" s="66"/>
      <c r="H1069" s="66"/>
      <c r="I1069" s="10"/>
      <c r="J1069" s="66"/>
      <c r="K1069" s="10"/>
      <c r="L1069" s="66"/>
      <c r="M1069" s="10"/>
      <c r="N1069" s="66"/>
      <c r="O1069" s="10"/>
      <c r="P1069" s="66"/>
      <c r="Q1069" s="18"/>
      <c r="R1069" s="66"/>
      <c r="S1069" s="18"/>
      <c r="T1069" s="66"/>
      <c r="U1069" s="10"/>
      <c r="V1069" s="66"/>
      <c r="W1069" s="10"/>
      <c r="X1069" s="66"/>
      <c r="Y1069" s="10"/>
      <c r="Z1069" s="66"/>
      <c r="AA1069" s="10"/>
      <c r="AB1069" s="66"/>
      <c r="AC1069" s="10"/>
      <c r="AD1069" s="66"/>
      <c r="AE1069" s="10"/>
      <c r="AF1069" s="66"/>
      <c r="AG1069" s="10"/>
      <c r="AH1069" s="66"/>
      <c r="AI1069" s="10"/>
      <c r="AJ1069" s="66"/>
      <c r="AK1069" s="10"/>
      <c r="AL1069" s="66"/>
      <c r="AM1069" s="10"/>
      <c r="AN1069" s="66"/>
      <c r="AO1069" s="10"/>
      <c r="AP1069" s="66"/>
      <c r="AQ1069" s="10"/>
      <c r="AR1069" s="66"/>
      <c r="AS1069" s="69">
        <f t="shared" si="144"/>
        <v>0</v>
      </c>
      <c r="AT1069" s="67" t="str">
        <f t="shared" si="145"/>
        <v/>
      </c>
      <c r="AU1069" s="66" t="str">
        <f t="shared" si="146"/>
        <v/>
      </c>
      <c r="AV1069" s="67" t="str">
        <f t="shared" si="147"/>
        <v/>
      </c>
      <c r="AW1069" s="67" t="str">
        <f t="shared" si="148"/>
        <v/>
      </c>
      <c r="AX1069" s="66" t="str">
        <f t="shared" si="149"/>
        <v/>
      </c>
      <c r="AY1069" s="66" t="str">
        <f>IF(B1069="","",COUNTIFS($B$5:B1069,B1069,$AT$5:AT1069,AT1069))</f>
        <v/>
      </c>
      <c r="AZ1069" s="66" t="str">
        <f>IF(B1069="","",COUNTIFS($B$5:B1069,B1069,$AV$5:AV1069,AV1069))</f>
        <v/>
      </c>
      <c r="BA1069" s="66" t="str">
        <f t="shared" si="150"/>
        <v/>
      </c>
      <c r="BB1069" s="66" t="str">
        <f t="shared" si="151"/>
        <v/>
      </c>
      <c r="BC1069" s="66">
        <f t="shared" si="152"/>
        <v>0</v>
      </c>
    </row>
  </sheetData>
  <autoFilter ref="A4:BF1069" xr:uid="{00000000-0001-0000-0400-000000000000}"/>
  <mergeCells count="2">
    <mergeCell ref="A1:BF1"/>
    <mergeCell ref="A2:BF2"/>
  </mergeCells>
  <hyperlinks>
    <hyperlink ref="G54" r:id="rId1" xr:uid="{39B920F9-19E2-46D4-92BC-EFC41D65C8CC}"/>
    <hyperlink ref="G58" r:id="rId2" xr:uid="{A5DB7665-40CD-4E50-B055-E4ED1F9C33CB}"/>
    <hyperlink ref="G100" r:id="rId3" xr:uid="{9155D27C-0EF9-4A79-A03A-37087D6E7908}"/>
    <hyperlink ref="BE137" r:id="rId4" xr:uid="{0FFE5A4B-7CCA-49FA-A578-E6A9B6B32470}"/>
    <hyperlink ref="BE142" r:id="rId5" xr:uid="{5A7287EC-E0CC-4D08-ABF6-5BA8BA42FD50}"/>
    <hyperlink ref="BE181" r:id="rId6" xr:uid="{4310FC9A-D2A6-4807-9FBF-D8ECB5143D6B}"/>
    <hyperlink ref="G126" r:id="rId7" xr:uid="{DEC5CC7D-A432-4D08-9EA6-8A6BF112C97F}"/>
  </hyperlinks>
  <pageMargins left="0.25" right="0.25" top="0.4" bottom="0.4" header="0.511811023622047" footer="0.511811023622047"/>
  <pageSetup paperSize="9" scale="12" fitToHeight="0" orientation="landscape" horizontalDpi="300" verticalDpi="3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cp:lastPrinted>2026-04-24T07:48:43Z</cp:lastPrinted>
  <dcterms:created xsi:type="dcterms:W3CDTF">2026-04-24T07:48:36Z</dcterms:created>
  <dcterms:modified xsi:type="dcterms:W3CDTF">2026-04-24T07:48:56Z</dcterms:modified>
</cp:coreProperties>
</file>