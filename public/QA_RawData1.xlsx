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231017E3-D1DD-4C8C-AF9D-02FF3AE2B8F6}" xr6:coauthVersionLast="47" xr6:coauthVersionMax="47" xr10:uidLastSave="{BF4502B1-F487-495D-B91A-B02A0F9035D8}"/>
  <bookViews>
    <workbookView xWindow="-110" yWindow="-110" windowWidth="19420" windowHeight="10420" xr2:uid="{1BAA54D6-F771-485D-943E-2084DCD2017F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U1066" i="1"/>
  <c r="AT1066" i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X1059" i="1"/>
  <c r="AV1059" i="1"/>
  <c r="AW1059" i="1" s="1"/>
  <c r="AT1059" i="1"/>
  <c r="AU1059" i="1" s="1"/>
  <c r="AS1059" i="1"/>
  <c r="BC1058" i="1"/>
  <c r="BB1058" i="1"/>
  <c r="BA1058" i="1"/>
  <c r="AZ1058" i="1"/>
  <c r="AY1058" i="1"/>
  <c r="AV1058" i="1"/>
  <c r="AX1058" i="1" s="1"/>
  <c r="AU1058" i="1"/>
  <c r="AT1058" i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X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W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W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V1037" i="1"/>
  <c r="AW1037" i="1" s="1"/>
  <c r="AU1037" i="1"/>
  <c r="AT1037" i="1"/>
  <c r="AS1037" i="1"/>
  <c r="BC1036" i="1"/>
  <c r="BB1036" i="1"/>
  <c r="BA1036" i="1"/>
  <c r="AZ1036" i="1"/>
  <c r="AY1036" i="1"/>
  <c r="AX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U1033" i="1"/>
  <c r="AT1033" i="1"/>
  <c r="AS1033" i="1"/>
  <c r="BC1032" i="1"/>
  <c r="BB1032" i="1"/>
  <c r="BA1032" i="1"/>
  <c r="AZ1032" i="1"/>
  <c r="AY1032" i="1"/>
  <c r="AX1032" i="1"/>
  <c r="AV1032" i="1"/>
  <c r="AW1032" i="1" s="1"/>
  <c r="AU1032" i="1"/>
  <c r="AT1032" i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W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W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W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X1010" i="1"/>
  <c r="AW1010" i="1"/>
  <c r="AV1010" i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V1005" i="1"/>
  <c r="AW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W995" i="1" s="1"/>
  <c r="AT995" i="1"/>
  <c r="AU995" i="1" s="1"/>
  <c r="AS995" i="1"/>
  <c r="BC994" i="1"/>
  <c r="BB994" i="1"/>
  <c r="BA994" i="1"/>
  <c r="AZ994" i="1"/>
  <c r="AY994" i="1"/>
  <c r="AV994" i="1"/>
  <c r="AX994" i="1" s="1"/>
  <c r="AU994" i="1"/>
  <c r="AT994" i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W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W984" i="1" s="1"/>
  <c r="AU984" i="1"/>
  <c r="AT984" i="1"/>
  <c r="AS984" i="1"/>
  <c r="BC983" i="1"/>
  <c r="BB983" i="1"/>
  <c r="BA983" i="1"/>
  <c r="AZ983" i="1"/>
  <c r="AY983" i="1"/>
  <c r="AX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V981" i="1"/>
  <c r="AW981" i="1" s="1"/>
  <c r="AU981" i="1"/>
  <c r="AT981" i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V973" i="1"/>
  <c r="AW973" i="1" s="1"/>
  <c r="AU973" i="1"/>
  <c r="AT973" i="1"/>
  <c r="AS973" i="1"/>
  <c r="BC972" i="1"/>
  <c r="BB972" i="1"/>
  <c r="BA972" i="1"/>
  <c r="AZ972" i="1"/>
  <c r="AY972" i="1"/>
  <c r="AX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X969" i="1" s="1"/>
  <c r="AU969" i="1"/>
  <c r="AT969" i="1"/>
  <c r="AS969" i="1"/>
  <c r="BC968" i="1"/>
  <c r="BB968" i="1"/>
  <c r="BA968" i="1"/>
  <c r="AZ968" i="1"/>
  <c r="AY968" i="1"/>
  <c r="AX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W960" i="1" s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W957" i="1" s="1"/>
  <c r="AU957" i="1"/>
  <c r="AT957" i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X946" i="1"/>
  <c r="AW946" i="1"/>
  <c r="AV946" i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W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X930" i="1" s="1"/>
  <c r="AU930" i="1"/>
  <c r="AT930" i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W923" i="1"/>
  <c r="AV923" i="1"/>
  <c r="AX923" i="1" s="1"/>
  <c r="AU923" i="1"/>
  <c r="AT923" i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X917" i="1" s="1"/>
  <c r="AU917" i="1"/>
  <c r="AT917" i="1"/>
  <c r="AS917" i="1"/>
  <c r="BC916" i="1"/>
  <c r="BB916" i="1"/>
  <c r="BA916" i="1"/>
  <c r="AZ916" i="1"/>
  <c r="AY916" i="1"/>
  <c r="AX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U913" i="1"/>
  <c r="AT913" i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T906" i="1"/>
  <c r="AU906" i="1" s="1"/>
  <c r="AS906" i="1"/>
  <c r="BC905" i="1"/>
  <c r="BB905" i="1"/>
  <c r="BA905" i="1"/>
  <c r="AZ905" i="1"/>
  <c r="AY905" i="1"/>
  <c r="AV905" i="1"/>
  <c r="AU905" i="1"/>
  <c r="AT905" i="1"/>
  <c r="AS905" i="1"/>
  <c r="BC904" i="1"/>
  <c r="BB904" i="1"/>
  <c r="BA904" i="1"/>
  <c r="AZ904" i="1"/>
  <c r="AY904" i="1"/>
  <c r="AX904" i="1"/>
  <c r="AV904" i="1"/>
  <c r="AW904" i="1" s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U898" i="1"/>
  <c r="AT898" i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T892" i="1"/>
  <c r="AU892" i="1" s="1"/>
  <c r="AS892" i="1"/>
  <c r="BC891" i="1"/>
  <c r="BB891" i="1"/>
  <c r="BA891" i="1"/>
  <c r="AZ891" i="1"/>
  <c r="AY891" i="1"/>
  <c r="AX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W888" i="1" s="1"/>
  <c r="AU888" i="1"/>
  <c r="AT888" i="1"/>
  <c r="AS888" i="1"/>
  <c r="BC887" i="1"/>
  <c r="BB887" i="1"/>
  <c r="BA887" i="1"/>
  <c r="AZ887" i="1"/>
  <c r="AY887" i="1"/>
  <c r="AX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W868" i="1" s="1"/>
  <c r="AT868" i="1"/>
  <c r="AU868" i="1" s="1"/>
  <c r="AS868" i="1"/>
  <c r="BC867" i="1"/>
  <c r="BB867" i="1"/>
  <c r="BA867" i="1"/>
  <c r="AZ867" i="1"/>
  <c r="AY867" i="1"/>
  <c r="AW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W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W856" i="1" s="1"/>
  <c r="AT856" i="1"/>
  <c r="AU856" i="1" s="1"/>
  <c r="AS856" i="1"/>
  <c r="BC855" i="1"/>
  <c r="BB855" i="1"/>
  <c r="BA855" i="1"/>
  <c r="AZ855" i="1"/>
  <c r="AY855" i="1"/>
  <c r="AV855" i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X848" i="1"/>
  <c r="AV848" i="1"/>
  <c r="AW848" i="1" s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T845" i="1"/>
  <c r="AU845" i="1" s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W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U809" i="1"/>
  <c r="AT809" i="1"/>
  <c r="AS809" i="1"/>
  <c r="BC808" i="1"/>
  <c r="BB808" i="1"/>
  <c r="BA808" i="1"/>
  <c r="AZ808" i="1"/>
  <c r="AY808" i="1"/>
  <c r="AV808" i="1"/>
  <c r="AT808" i="1"/>
  <c r="AU808" i="1" s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W806" i="1" s="1"/>
  <c r="AT806" i="1"/>
  <c r="AU806" i="1" s="1"/>
  <c r="AS806" i="1"/>
  <c r="BC805" i="1"/>
  <c r="BB805" i="1"/>
  <c r="BA805" i="1"/>
  <c r="AZ805" i="1"/>
  <c r="AY805" i="1"/>
  <c r="AV805" i="1"/>
  <c r="AX805" i="1" s="1"/>
  <c r="AU805" i="1"/>
  <c r="AT805" i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X797" i="1" s="1"/>
  <c r="AU797" i="1"/>
  <c r="AT797" i="1"/>
  <c r="AS797" i="1"/>
  <c r="BC796" i="1"/>
  <c r="BB796" i="1"/>
  <c r="BA796" i="1"/>
  <c r="AZ796" i="1"/>
  <c r="AY796" i="1"/>
  <c r="AX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U777" i="1"/>
  <c r="AT777" i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X755" i="1" s="1"/>
  <c r="AU755" i="1"/>
  <c r="AT755" i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W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W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W734" i="1" s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U731" i="1"/>
  <c r="AT731" i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T718" i="1"/>
  <c r="AU718" i="1" s="1"/>
  <c r="AS718" i="1"/>
  <c r="BC717" i="1"/>
  <c r="BB717" i="1"/>
  <c r="BA717" i="1"/>
  <c r="AZ717" i="1"/>
  <c r="AY717" i="1"/>
  <c r="AV717" i="1"/>
  <c r="AX717" i="1" s="1"/>
  <c r="AU717" i="1"/>
  <c r="AT717" i="1"/>
  <c r="AS717" i="1"/>
  <c r="BC716" i="1"/>
  <c r="BB716" i="1"/>
  <c r="BA716" i="1"/>
  <c r="AZ716" i="1"/>
  <c r="AY716" i="1"/>
  <c r="AX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X711" i="1"/>
  <c r="AW711" i="1"/>
  <c r="AV711" i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X709" i="1" s="1"/>
  <c r="AU709" i="1"/>
  <c r="AT709" i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W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W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W696" i="1" s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V694" i="1"/>
  <c r="AW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W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W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W680" i="1" s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U677" i="1"/>
  <c r="AT677" i="1"/>
  <c r="AS677" i="1"/>
  <c r="BC676" i="1"/>
  <c r="BB676" i="1"/>
  <c r="BA676" i="1"/>
  <c r="AZ676" i="1"/>
  <c r="AY676" i="1"/>
  <c r="AX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X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W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W651" i="1" s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T634" i="1"/>
  <c r="AU634" i="1" s="1"/>
  <c r="AS634" i="1"/>
  <c r="BC633" i="1"/>
  <c r="BB633" i="1"/>
  <c r="BA633" i="1"/>
  <c r="AZ633" i="1"/>
  <c r="AY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X629" i="1"/>
  <c r="AW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V626" i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X621" i="1" s="1"/>
  <c r="AU621" i="1"/>
  <c r="AT621" i="1"/>
  <c r="AS621" i="1"/>
  <c r="BC620" i="1"/>
  <c r="BB620" i="1"/>
  <c r="BA620" i="1"/>
  <c r="AZ620" i="1"/>
  <c r="AY620" i="1"/>
  <c r="AX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W619" i="1" s="1"/>
  <c r="AT619" i="1"/>
  <c r="AU619" i="1" s="1"/>
  <c r="AS619" i="1"/>
  <c r="BC618" i="1"/>
  <c r="BB618" i="1"/>
  <c r="BA618" i="1"/>
  <c r="AZ618" i="1"/>
  <c r="AY618" i="1"/>
  <c r="AV618" i="1"/>
  <c r="AT618" i="1"/>
  <c r="AU618" i="1" s="1"/>
  <c r="AS618" i="1"/>
  <c r="BC617" i="1"/>
  <c r="BB617" i="1"/>
  <c r="BA617" i="1"/>
  <c r="AZ617" i="1"/>
  <c r="AY617" i="1"/>
  <c r="AV617" i="1"/>
  <c r="AW617" i="1" s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U613" i="1"/>
  <c r="AT613" i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W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W604" i="1" s="1"/>
  <c r="AT604" i="1"/>
  <c r="AU604" i="1" s="1"/>
  <c r="AS604" i="1"/>
  <c r="BC603" i="1"/>
  <c r="BB603" i="1"/>
  <c r="BA603" i="1"/>
  <c r="AZ603" i="1"/>
  <c r="AY603" i="1"/>
  <c r="AX603" i="1"/>
  <c r="AV603" i="1"/>
  <c r="AW603" i="1" s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W601" i="1" s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W592" i="1" s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X589" i="1" s="1"/>
  <c r="AU589" i="1"/>
  <c r="AT589" i="1"/>
  <c r="AS589" i="1"/>
  <c r="BC588" i="1"/>
  <c r="BB588" i="1"/>
  <c r="BA588" i="1"/>
  <c r="AZ588" i="1"/>
  <c r="AY588" i="1"/>
  <c r="AX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W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U578" i="1"/>
  <c r="AT578" i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W576" i="1" s="1"/>
  <c r="AT576" i="1"/>
  <c r="AU576" i="1" s="1"/>
  <c r="AS576" i="1"/>
  <c r="BC575" i="1"/>
  <c r="BB575" i="1"/>
  <c r="BA575" i="1"/>
  <c r="AZ575" i="1"/>
  <c r="AY575" i="1"/>
  <c r="AW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W571" i="1" s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W568" i="1" s="1"/>
  <c r="AT568" i="1"/>
  <c r="AU568" i="1" s="1"/>
  <c r="AS568" i="1"/>
  <c r="BC567" i="1"/>
  <c r="BB567" i="1"/>
  <c r="BA567" i="1"/>
  <c r="AZ567" i="1"/>
  <c r="AY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U565" i="1"/>
  <c r="AT565" i="1"/>
  <c r="AS565" i="1"/>
  <c r="BC564" i="1"/>
  <c r="BB564" i="1"/>
  <c r="BA564" i="1"/>
  <c r="AZ564" i="1"/>
  <c r="AY564" i="1"/>
  <c r="AX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U562" i="1"/>
  <c r="AT562" i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W560" i="1" s="1"/>
  <c r="AT560" i="1"/>
  <c r="AU560" i="1" s="1"/>
  <c r="AS560" i="1"/>
  <c r="BC559" i="1"/>
  <c r="BB559" i="1"/>
  <c r="BA559" i="1"/>
  <c r="AZ559" i="1"/>
  <c r="AY559" i="1"/>
  <c r="AW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X556" i="1"/>
  <c r="AW556" i="1"/>
  <c r="AV556" i="1"/>
  <c r="AT556" i="1"/>
  <c r="AU556" i="1" s="1"/>
  <c r="AS556" i="1"/>
  <c r="BC555" i="1"/>
  <c r="BB555" i="1"/>
  <c r="BA555" i="1"/>
  <c r="AZ555" i="1"/>
  <c r="AY555" i="1"/>
  <c r="AV555" i="1"/>
  <c r="AX555" i="1" s="1"/>
  <c r="AU555" i="1"/>
  <c r="AT555" i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W552" i="1" s="1"/>
  <c r="AT552" i="1"/>
  <c r="AU552" i="1" s="1"/>
  <c r="AS552" i="1"/>
  <c r="BC551" i="1"/>
  <c r="BB551" i="1"/>
  <c r="BA551" i="1"/>
  <c r="AZ551" i="1"/>
  <c r="AY551" i="1"/>
  <c r="AW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W547" i="1" s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V545" i="1"/>
  <c r="AU545" i="1"/>
  <c r="AT545" i="1"/>
  <c r="AS545" i="1"/>
  <c r="BC544" i="1"/>
  <c r="BB544" i="1"/>
  <c r="BA544" i="1"/>
  <c r="AZ544" i="1"/>
  <c r="AY544" i="1"/>
  <c r="AX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X531" i="1" s="1"/>
  <c r="AU531" i="1"/>
  <c r="AT531" i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W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X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X523" i="1" s="1"/>
  <c r="AU523" i="1"/>
  <c r="AT523" i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V520" i="1"/>
  <c r="AW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X516" i="1"/>
  <c r="AW516" i="1"/>
  <c r="AV516" i="1"/>
  <c r="AU516" i="1"/>
  <c r="AT516" i="1"/>
  <c r="AS516" i="1"/>
  <c r="BC515" i="1"/>
  <c r="BB515" i="1"/>
  <c r="BA515" i="1"/>
  <c r="AZ515" i="1"/>
  <c r="AY515" i="1"/>
  <c r="AX515" i="1"/>
  <c r="AV515" i="1"/>
  <c r="AW515" i="1" s="1"/>
  <c r="AT515" i="1"/>
  <c r="AU515" i="1" s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W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W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W507" i="1" s="1"/>
  <c r="AU507" i="1"/>
  <c r="AT507" i="1"/>
  <c r="AS507" i="1"/>
  <c r="BC506" i="1"/>
  <c r="BB506" i="1"/>
  <c r="BA506" i="1"/>
  <c r="AZ506" i="1"/>
  <c r="AY506" i="1"/>
  <c r="AV506" i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W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X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W499" i="1" s="1"/>
  <c r="AT499" i="1"/>
  <c r="AU499" i="1" s="1"/>
  <c r="AS499" i="1"/>
  <c r="BC498" i="1"/>
  <c r="BB498" i="1"/>
  <c r="BA498" i="1"/>
  <c r="AZ498" i="1"/>
  <c r="AY498" i="1"/>
  <c r="AV498" i="1"/>
  <c r="AW498" i="1" s="1"/>
  <c r="AU498" i="1"/>
  <c r="AT498" i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W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W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X493" i="1" s="1"/>
  <c r="AU493" i="1"/>
  <c r="AT493" i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W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W475" i="1" s="1"/>
  <c r="AU475" i="1"/>
  <c r="AT475" i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U473" i="1"/>
  <c r="AT473" i="1"/>
  <c r="AS473" i="1"/>
  <c r="BC472" i="1"/>
  <c r="BB472" i="1"/>
  <c r="BA472" i="1"/>
  <c r="AZ472" i="1"/>
  <c r="AY472" i="1"/>
  <c r="AX472" i="1"/>
  <c r="AV472" i="1"/>
  <c r="AW472" i="1" s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W469" i="1" s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W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W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W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U438" i="1"/>
  <c r="AT438" i="1"/>
  <c r="AS438" i="1"/>
  <c r="BC437" i="1"/>
  <c r="BB437" i="1"/>
  <c r="BA437" i="1"/>
  <c r="AZ437" i="1"/>
  <c r="AY437" i="1"/>
  <c r="AX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X434" i="1" s="1"/>
  <c r="AU434" i="1"/>
  <c r="AT434" i="1"/>
  <c r="AS434" i="1"/>
  <c r="BC433" i="1"/>
  <c r="BB433" i="1"/>
  <c r="BA433" i="1"/>
  <c r="AZ433" i="1"/>
  <c r="AY433" i="1"/>
  <c r="AX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T421" i="1"/>
  <c r="AU421" i="1" s="1"/>
  <c r="AS421" i="1"/>
  <c r="BC420" i="1"/>
  <c r="BB420" i="1"/>
  <c r="BA420" i="1"/>
  <c r="AZ420" i="1"/>
  <c r="AY420" i="1"/>
  <c r="AW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W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W409" i="1" s="1"/>
  <c r="AU409" i="1"/>
  <c r="AT409" i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W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U403" i="1"/>
  <c r="AT403" i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W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X394" i="1" s="1"/>
  <c r="AU394" i="1"/>
  <c r="AT394" i="1"/>
  <c r="AS394" i="1"/>
  <c r="BC393" i="1"/>
  <c r="BB393" i="1"/>
  <c r="BA393" i="1"/>
  <c r="AZ393" i="1"/>
  <c r="AY393" i="1"/>
  <c r="AX393" i="1"/>
  <c r="AV393" i="1"/>
  <c r="AW393" i="1" s="1"/>
  <c r="AT393" i="1"/>
  <c r="AU393" i="1" s="1"/>
  <c r="AS393" i="1"/>
  <c r="BC392" i="1"/>
  <c r="BB392" i="1"/>
  <c r="BA392" i="1"/>
  <c r="AZ392" i="1"/>
  <c r="AY392" i="1"/>
  <c r="AX392" i="1"/>
  <c r="AW392" i="1"/>
  <c r="AV392" i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X388" i="1"/>
  <c r="AW388" i="1"/>
  <c r="AV388" i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W385" i="1" s="1"/>
  <c r="AU385" i="1"/>
  <c r="AT385" i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X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U378" i="1"/>
  <c r="AT378" i="1"/>
  <c r="AS378" i="1"/>
  <c r="BC377" i="1"/>
  <c r="BB377" i="1"/>
  <c r="BA377" i="1"/>
  <c r="AZ377" i="1"/>
  <c r="AY377" i="1"/>
  <c r="AX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X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X371" i="1" s="1"/>
  <c r="AU371" i="1"/>
  <c r="AT371" i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X368" i="1"/>
  <c r="AW368" i="1"/>
  <c r="AV368" i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X363" i="1" s="1"/>
  <c r="AU363" i="1"/>
  <c r="AT363" i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W349" i="1"/>
  <c r="AV349" i="1"/>
  <c r="AX349" i="1" s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W345" i="1" s="1"/>
  <c r="AU345" i="1"/>
  <c r="AT345" i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W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W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W322" i="1" s="1"/>
  <c r="AU322" i="1"/>
  <c r="AT322" i="1"/>
  <c r="AS322" i="1"/>
  <c r="BC321" i="1"/>
  <c r="BB321" i="1"/>
  <c r="BA321" i="1"/>
  <c r="AZ321" i="1"/>
  <c r="AY321" i="1"/>
  <c r="AX321" i="1"/>
  <c r="AV321" i="1"/>
  <c r="AW321" i="1" s="1"/>
  <c r="AU321" i="1"/>
  <c r="AT321" i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X309" i="1"/>
  <c r="AV309" i="1"/>
  <c r="AW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W306" i="1" s="1"/>
  <c r="AU306" i="1"/>
  <c r="AT306" i="1"/>
  <c r="AS306" i="1"/>
  <c r="BC305" i="1"/>
  <c r="BB305" i="1"/>
  <c r="BA305" i="1"/>
  <c r="AZ305" i="1"/>
  <c r="AY305" i="1"/>
  <c r="AX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T304" i="1"/>
  <c r="AU304" i="1" s="1"/>
  <c r="AS304" i="1"/>
  <c r="BC303" i="1"/>
  <c r="BB303" i="1"/>
  <c r="BA303" i="1"/>
  <c r="AZ303" i="1"/>
  <c r="AY303" i="1"/>
  <c r="AV303" i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X301" i="1"/>
  <c r="AW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W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X292" i="1" s="1"/>
  <c r="AT292" i="1"/>
  <c r="AU292" i="1" s="1"/>
  <c r="AS292" i="1"/>
  <c r="BC291" i="1"/>
  <c r="BB291" i="1"/>
  <c r="BA291" i="1"/>
  <c r="AZ291" i="1"/>
  <c r="AY291" i="1"/>
  <c r="AW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T287" i="1"/>
  <c r="AU287" i="1" s="1"/>
  <c r="AS287" i="1"/>
  <c r="BC286" i="1"/>
  <c r="BB286" i="1"/>
  <c r="BA286" i="1"/>
  <c r="AZ286" i="1"/>
  <c r="AY286" i="1"/>
  <c r="AV286" i="1"/>
  <c r="AU286" i="1"/>
  <c r="AT286" i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U283" i="1"/>
  <c r="AT283" i="1"/>
  <c r="AS283" i="1"/>
  <c r="BC282" i="1"/>
  <c r="BB282" i="1"/>
  <c r="BA282" i="1"/>
  <c r="AZ282" i="1"/>
  <c r="AY282" i="1"/>
  <c r="AX282" i="1"/>
  <c r="AV282" i="1"/>
  <c r="AW282" i="1" s="1"/>
  <c r="AU282" i="1"/>
  <c r="AT282" i="1"/>
  <c r="AS282" i="1"/>
  <c r="BC281" i="1"/>
  <c r="BB281" i="1"/>
  <c r="BA281" i="1"/>
  <c r="AZ281" i="1"/>
  <c r="AY281" i="1"/>
  <c r="AX281" i="1"/>
  <c r="AV281" i="1"/>
  <c r="AW281" i="1" s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W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U262" i="1"/>
  <c r="AT262" i="1"/>
  <c r="AS262" i="1"/>
  <c r="BC261" i="1"/>
  <c r="BB261" i="1"/>
  <c r="BA261" i="1"/>
  <c r="AZ261" i="1"/>
  <c r="AY261" i="1"/>
  <c r="AX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X257" i="1" s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U253" i="1"/>
  <c r="AT253" i="1"/>
  <c r="AS253" i="1"/>
  <c r="BC252" i="1"/>
  <c r="BB252" i="1"/>
  <c r="BA252" i="1"/>
  <c r="AZ252" i="1"/>
  <c r="AY252" i="1"/>
  <c r="AX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W250" i="1" s="1"/>
  <c r="AU250" i="1"/>
  <c r="AT250" i="1"/>
  <c r="AS250" i="1"/>
  <c r="BC249" i="1"/>
  <c r="BB249" i="1"/>
  <c r="BA249" i="1"/>
  <c r="AZ249" i="1"/>
  <c r="AY249" i="1"/>
  <c r="AX249" i="1"/>
  <c r="AV249" i="1"/>
  <c r="AW249" i="1" s="1"/>
  <c r="AT249" i="1"/>
  <c r="AU249" i="1" s="1"/>
  <c r="AS249" i="1"/>
  <c r="BC248" i="1"/>
  <c r="BB248" i="1"/>
  <c r="BA248" i="1"/>
  <c r="AZ248" i="1"/>
  <c r="AY248" i="1"/>
  <c r="AW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X246" i="1" s="1"/>
  <c r="AU246" i="1"/>
  <c r="AT246" i="1"/>
  <c r="AS246" i="1"/>
  <c r="BC245" i="1"/>
  <c r="BB245" i="1"/>
  <c r="BA245" i="1"/>
  <c r="AZ245" i="1"/>
  <c r="AY245" i="1"/>
  <c r="AX245" i="1"/>
  <c r="AV245" i="1"/>
  <c r="AW245" i="1" s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X242" i="1" s="1"/>
  <c r="AU242" i="1"/>
  <c r="AT242" i="1"/>
  <c r="AS242" i="1"/>
  <c r="BC241" i="1"/>
  <c r="BB241" i="1"/>
  <c r="BA241" i="1"/>
  <c r="AZ241" i="1"/>
  <c r="AY241" i="1"/>
  <c r="AX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T237" i="1"/>
  <c r="AU237" i="1" s="1"/>
  <c r="AS237" i="1"/>
  <c r="BC236" i="1"/>
  <c r="BB236" i="1"/>
  <c r="BA236" i="1"/>
  <c r="AZ236" i="1"/>
  <c r="AY236" i="1"/>
  <c r="AW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T231" i="1"/>
  <c r="AU231" i="1" s="1"/>
  <c r="AS231" i="1"/>
  <c r="BC230" i="1"/>
  <c r="BB230" i="1"/>
  <c r="BA230" i="1"/>
  <c r="AZ230" i="1"/>
  <c r="AY230" i="1"/>
  <c r="AV230" i="1"/>
  <c r="AX230" i="1" s="1"/>
  <c r="AU230" i="1"/>
  <c r="AT230" i="1"/>
  <c r="AS230" i="1"/>
  <c r="BC229" i="1"/>
  <c r="BB229" i="1"/>
  <c r="BA229" i="1"/>
  <c r="AZ229" i="1"/>
  <c r="AY229" i="1"/>
  <c r="AX229" i="1"/>
  <c r="AV229" i="1"/>
  <c r="AW229" i="1" s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W225" i="1" s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T221" i="1"/>
  <c r="AU221" i="1" s="1"/>
  <c r="AS221" i="1"/>
  <c r="BC220" i="1"/>
  <c r="BB220" i="1"/>
  <c r="BA220" i="1"/>
  <c r="AZ220" i="1"/>
  <c r="AY220" i="1"/>
  <c r="AX220" i="1"/>
  <c r="AW220" i="1"/>
  <c r="AV220" i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T213" i="1"/>
  <c r="AU213" i="1" s="1"/>
  <c r="AS213" i="1"/>
  <c r="BC212" i="1"/>
  <c r="AV212" i="1"/>
  <c r="AW212" i="1" s="1"/>
  <c r="AX212" i="1" s="1"/>
  <c r="AT212" i="1"/>
  <c r="AU212" i="1" s="1"/>
  <c r="AS212" i="1"/>
  <c r="BC201" i="1"/>
  <c r="AV201" i="1"/>
  <c r="AW201" i="1" s="1"/>
  <c r="AX201" i="1" s="1"/>
  <c r="AT201" i="1"/>
  <c r="AU201" i="1" s="1"/>
  <c r="AS201" i="1"/>
  <c r="BC193" i="1"/>
  <c r="AV193" i="1"/>
  <c r="AU193" i="1"/>
  <c r="AT193" i="1"/>
  <c r="AS193" i="1"/>
  <c r="BC211" i="1"/>
  <c r="AV211" i="1"/>
  <c r="AT211" i="1"/>
  <c r="AU211" i="1" s="1"/>
  <c r="AS211" i="1"/>
  <c r="BC210" i="1"/>
  <c r="AW210" i="1"/>
  <c r="AV210" i="1"/>
  <c r="AT210" i="1"/>
  <c r="AU210" i="1" s="1"/>
  <c r="AS210" i="1"/>
  <c r="BC204" i="1"/>
  <c r="AV204" i="1"/>
  <c r="AT204" i="1"/>
  <c r="AS204" i="1"/>
  <c r="BC192" i="1"/>
  <c r="AV192" i="1"/>
  <c r="AW192" i="1" s="1"/>
  <c r="AX192" i="1" s="1"/>
  <c r="AT192" i="1"/>
  <c r="AU192" i="1" s="1"/>
  <c r="AS192" i="1"/>
  <c r="BC200" i="1"/>
  <c r="AV200" i="1"/>
  <c r="AW200" i="1" s="1"/>
  <c r="AX200" i="1" s="1"/>
  <c r="AT200" i="1"/>
  <c r="AS200" i="1"/>
  <c r="BC199" i="1"/>
  <c r="AV199" i="1"/>
  <c r="AW199" i="1" s="1"/>
  <c r="AX199" i="1" s="1"/>
  <c r="AT199" i="1"/>
  <c r="AU199" i="1" s="1"/>
  <c r="AS199" i="1"/>
  <c r="BC198" i="1"/>
  <c r="AV198" i="1"/>
  <c r="AT198" i="1"/>
  <c r="AU198" i="1" s="1"/>
  <c r="AS198" i="1"/>
  <c r="BC191" i="1"/>
  <c r="AV191" i="1"/>
  <c r="AT191" i="1"/>
  <c r="AU191" i="1" s="1"/>
  <c r="AS191" i="1"/>
  <c r="BC197" i="1"/>
  <c r="AV197" i="1"/>
  <c r="AT197" i="1"/>
  <c r="AU197" i="1" s="1"/>
  <c r="AS197" i="1"/>
  <c r="BC209" i="1"/>
  <c r="AV209" i="1"/>
  <c r="AT209" i="1"/>
  <c r="AU209" i="1" s="1"/>
  <c r="AS209" i="1"/>
  <c r="BC196" i="1"/>
  <c r="AV196" i="1"/>
  <c r="AT196" i="1"/>
  <c r="AS196" i="1"/>
  <c r="BC208" i="1"/>
  <c r="AV208" i="1"/>
  <c r="AW208" i="1" s="1"/>
  <c r="AX208" i="1" s="1"/>
  <c r="AT208" i="1"/>
  <c r="AU208" i="1" s="1"/>
  <c r="AS208" i="1"/>
  <c r="BC190" i="1"/>
  <c r="AV190" i="1"/>
  <c r="AW190" i="1" s="1"/>
  <c r="AX190" i="1" s="1"/>
  <c r="AT190" i="1"/>
  <c r="AS190" i="1"/>
  <c r="BC195" i="1"/>
  <c r="AV195" i="1"/>
  <c r="AW195" i="1" s="1"/>
  <c r="AX195" i="1" s="1"/>
  <c r="AT195" i="1"/>
  <c r="AU195" i="1" s="1"/>
  <c r="AS195" i="1"/>
  <c r="BC189" i="1"/>
  <c r="AV189" i="1"/>
  <c r="AW189" i="1" s="1"/>
  <c r="AX189" i="1" s="1"/>
  <c r="AT189" i="1"/>
  <c r="AU189" i="1" s="1"/>
  <c r="AS189" i="1"/>
  <c r="BC207" i="1"/>
  <c r="AV207" i="1"/>
  <c r="AT207" i="1"/>
  <c r="AU207" i="1" s="1"/>
  <c r="AS207" i="1"/>
  <c r="BC206" i="1"/>
  <c r="AV206" i="1"/>
  <c r="AT206" i="1"/>
  <c r="AS206" i="1"/>
  <c r="BC203" i="1"/>
  <c r="AV203" i="1"/>
  <c r="AT203" i="1"/>
  <c r="AU203" i="1" s="1"/>
  <c r="AS203" i="1"/>
  <c r="BC202" i="1"/>
  <c r="AV202" i="1"/>
  <c r="AT202" i="1"/>
  <c r="AS202" i="1"/>
  <c r="BC205" i="1"/>
  <c r="AV205" i="1"/>
  <c r="AW205" i="1" s="1"/>
  <c r="AX205" i="1" s="1"/>
  <c r="AT205" i="1"/>
  <c r="AU205" i="1" s="1"/>
  <c r="AS205" i="1"/>
  <c r="BC194" i="1"/>
  <c r="AV194" i="1"/>
  <c r="AW194" i="1" s="1"/>
  <c r="AX194" i="1" s="1"/>
  <c r="AT194" i="1"/>
  <c r="AS194" i="1"/>
  <c r="BC183" i="1"/>
  <c r="AV183" i="1"/>
  <c r="AW183" i="1" s="1"/>
  <c r="AX183" i="1" s="1"/>
  <c r="AT183" i="1"/>
  <c r="AU183" i="1" s="1"/>
  <c r="AS183" i="1"/>
  <c r="BC178" i="1"/>
  <c r="AV178" i="1"/>
  <c r="AW178" i="1" s="1"/>
  <c r="AT178" i="1"/>
  <c r="AU178" i="1" s="1"/>
  <c r="AS178" i="1"/>
  <c r="BC152" i="1"/>
  <c r="AV152" i="1"/>
  <c r="AT152" i="1"/>
  <c r="AU152" i="1" s="1"/>
  <c r="AS152" i="1"/>
  <c r="BC188" i="1"/>
  <c r="AV188" i="1"/>
  <c r="AT188" i="1"/>
  <c r="AU188" i="1" s="1"/>
  <c r="AS188" i="1"/>
  <c r="BC160" i="1"/>
  <c r="AV160" i="1"/>
  <c r="AT160" i="1"/>
  <c r="AU160" i="1" s="1"/>
  <c r="AS160" i="1"/>
  <c r="BC151" i="1"/>
  <c r="AV151" i="1"/>
  <c r="AT151" i="1"/>
  <c r="AS151" i="1"/>
  <c r="BC150" i="1"/>
  <c r="AV150" i="1"/>
  <c r="AW150" i="1" s="1"/>
  <c r="AX150" i="1" s="1"/>
  <c r="AT150" i="1"/>
  <c r="AU150" i="1" s="1"/>
  <c r="AS150" i="1"/>
  <c r="BC159" i="1"/>
  <c r="AV159" i="1"/>
  <c r="AW159" i="1" s="1"/>
  <c r="AX159" i="1" s="1"/>
  <c r="AT159" i="1"/>
  <c r="AU159" i="1" s="1"/>
  <c r="AS159" i="1"/>
  <c r="BC173" i="1"/>
  <c r="AV173" i="1"/>
  <c r="AT173" i="1"/>
  <c r="AU173" i="1" s="1"/>
  <c r="AS173" i="1"/>
  <c r="BC172" i="1"/>
  <c r="AV172" i="1"/>
  <c r="AT172" i="1"/>
  <c r="AU172" i="1" s="1"/>
  <c r="AS172" i="1"/>
  <c r="BC158" i="1"/>
  <c r="AV158" i="1"/>
  <c r="AT158" i="1"/>
  <c r="AU158" i="1" s="1"/>
  <c r="AS158" i="1"/>
  <c r="BC166" i="1"/>
  <c r="AV166" i="1"/>
  <c r="AT166" i="1"/>
  <c r="AU166" i="1" s="1"/>
  <c r="AS166" i="1"/>
  <c r="BC157" i="1"/>
  <c r="AV157" i="1"/>
  <c r="AW157" i="1" s="1"/>
  <c r="AT157" i="1"/>
  <c r="AU157" i="1" s="1"/>
  <c r="AS157" i="1"/>
  <c r="BC156" i="1"/>
  <c r="AV156" i="1"/>
  <c r="AU156" i="1"/>
  <c r="AT156" i="1"/>
  <c r="AS156" i="1"/>
  <c r="BC149" i="1"/>
  <c r="AV149" i="1"/>
  <c r="AW149" i="1" s="1"/>
  <c r="AX149" i="1" s="1"/>
  <c r="AT149" i="1"/>
  <c r="AU149" i="1" s="1"/>
  <c r="AS149" i="1"/>
  <c r="BC187" i="1"/>
  <c r="AV187" i="1"/>
  <c r="AW187" i="1" s="1"/>
  <c r="AT187" i="1"/>
  <c r="AS187" i="1"/>
  <c r="BC186" i="1"/>
  <c r="AX186" i="1"/>
  <c r="AW186" i="1"/>
  <c r="AV186" i="1"/>
  <c r="AT186" i="1"/>
  <c r="AU186" i="1" s="1"/>
  <c r="AS186" i="1"/>
  <c r="BC182" i="1"/>
  <c r="AV182" i="1"/>
  <c r="AW182" i="1" s="1"/>
  <c r="AT182" i="1"/>
  <c r="AU182" i="1" s="1"/>
  <c r="AS182" i="1"/>
  <c r="BC165" i="1"/>
  <c r="AV165" i="1"/>
  <c r="AT165" i="1"/>
  <c r="AU165" i="1" s="1"/>
  <c r="AS165" i="1"/>
  <c r="BC164" i="1"/>
  <c r="AV164" i="1"/>
  <c r="AT164" i="1"/>
  <c r="AU164" i="1" s="1"/>
  <c r="AS164" i="1"/>
  <c r="BC155" i="1"/>
  <c r="AV155" i="1"/>
  <c r="AW155" i="1" s="1"/>
  <c r="AT155" i="1"/>
  <c r="AU155" i="1" s="1"/>
  <c r="AS155" i="1"/>
  <c r="BC185" i="1"/>
  <c r="AV185" i="1"/>
  <c r="AW185" i="1" s="1"/>
  <c r="AT185" i="1"/>
  <c r="AU185" i="1" s="1"/>
  <c r="AS185" i="1"/>
  <c r="BC171" i="1"/>
  <c r="AV171" i="1"/>
  <c r="AW171" i="1" s="1"/>
  <c r="AX171" i="1" s="1"/>
  <c r="AT171" i="1"/>
  <c r="AU171" i="1" s="1"/>
  <c r="AS171" i="1"/>
  <c r="BC148" i="1"/>
  <c r="AV148" i="1"/>
  <c r="AT148" i="1"/>
  <c r="AS148" i="1"/>
  <c r="BC147" i="1"/>
  <c r="AV147" i="1"/>
  <c r="AW147" i="1" s="1"/>
  <c r="AT147" i="1"/>
  <c r="AU147" i="1" s="1"/>
  <c r="AS147" i="1"/>
  <c r="BC170" i="1"/>
  <c r="AV170" i="1"/>
  <c r="AW170" i="1" s="1"/>
  <c r="AT170" i="1"/>
  <c r="AU170" i="1" s="1"/>
  <c r="AS170" i="1"/>
  <c r="BC163" i="1"/>
  <c r="AV163" i="1"/>
  <c r="AT163" i="1"/>
  <c r="AS163" i="1"/>
  <c r="BC162" i="1"/>
  <c r="AV162" i="1"/>
  <c r="AT162" i="1"/>
  <c r="AU162" i="1" s="1"/>
  <c r="AS162" i="1"/>
  <c r="BC184" i="1"/>
  <c r="AV184" i="1"/>
  <c r="AT184" i="1"/>
  <c r="AS184" i="1"/>
  <c r="BC154" i="1"/>
  <c r="AV154" i="1"/>
  <c r="AT154" i="1"/>
  <c r="AS154" i="1"/>
  <c r="BC153" i="1"/>
  <c r="AV153" i="1"/>
  <c r="AW153" i="1" s="1"/>
  <c r="AX153" i="1" s="1"/>
  <c r="AT153" i="1"/>
  <c r="AU153" i="1" s="1"/>
  <c r="AS153" i="1"/>
  <c r="BC169" i="1"/>
  <c r="AV169" i="1"/>
  <c r="AW169" i="1" s="1"/>
  <c r="AT169" i="1"/>
  <c r="AU169" i="1" s="1"/>
  <c r="AS169" i="1"/>
  <c r="BC168" i="1"/>
  <c r="AV168" i="1"/>
  <c r="AT168" i="1"/>
  <c r="AU168" i="1" s="1"/>
  <c r="AS168" i="1"/>
  <c r="BC161" i="1"/>
  <c r="AV161" i="1"/>
  <c r="AW161" i="1" s="1"/>
  <c r="AT161" i="1"/>
  <c r="AU161" i="1" s="1"/>
  <c r="AS161" i="1"/>
  <c r="BC167" i="1"/>
  <c r="AV167" i="1"/>
  <c r="AT167" i="1"/>
  <c r="AU167" i="1" s="1"/>
  <c r="AS167" i="1"/>
  <c r="BC177" i="1"/>
  <c r="AV177" i="1"/>
  <c r="AW177" i="1" s="1"/>
  <c r="AX177" i="1" s="1"/>
  <c r="AT177" i="1"/>
  <c r="AU177" i="1" s="1"/>
  <c r="AS177" i="1"/>
  <c r="BC176" i="1"/>
  <c r="AV176" i="1"/>
  <c r="AU176" i="1"/>
  <c r="AT176" i="1"/>
  <c r="AS176" i="1"/>
  <c r="BC175" i="1"/>
  <c r="AV175" i="1"/>
  <c r="AT175" i="1"/>
  <c r="AU175" i="1" s="1"/>
  <c r="AS175" i="1"/>
  <c r="BC174" i="1"/>
  <c r="AV174" i="1"/>
  <c r="AT174" i="1"/>
  <c r="AU174" i="1" s="1"/>
  <c r="AS174" i="1"/>
  <c r="BC146" i="1"/>
  <c r="AV146" i="1"/>
  <c r="AW146" i="1" s="1"/>
  <c r="AT146" i="1"/>
  <c r="AU146" i="1" s="1"/>
  <c r="AS146" i="1"/>
  <c r="BC181" i="1"/>
  <c r="AV181" i="1"/>
  <c r="AT181" i="1"/>
  <c r="AU181" i="1" s="1"/>
  <c r="AS181" i="1"/>
  <c r="BC180" i="1"/>
  <c r="AV180" i="1"/>
  <c r="AT180" i="1"/>
  <c r="AU180" i="1" s="1"/>
  <c r="AS180" i="1"/>
  <c r="BC179" i="1"/>
  <c r="AV179" i="1"/>
  <c r="AW179" i="1" s="1"/>
  <c r="AT179" i="1"/>
  <c r="AS179" i="1"/>
  <c r="BC145" i="1"/>
  <c r="AV145" i="1"/>
  <c r="AT145" i="1"/>
  <c r="AU145" i="1" s="1"/>
  <c r="AS145" i="1"/>
  <c r="BC144" i="1"/>
  <c r="AV144" i="1"/>
  <c r="AW144" i="1" s="1"/>
  <c r="AU144" i="1"/>
  <c r="AT144" i="1"/>
  <c r="AS144" i="1"/>
  <c r="BC143" i="1"/>
  <c r="AV143" i="1"/>
  <c r="AT143" i="1"/>
  <c r="AS143" i="1"/>
  <c r="BC135" i="1"/>
  <c r="AW135" i="1"/>
  <c r="AV135" i="1"/>
  <c r="AT135" i="1"/>
  <c r="AU135" i="1" s="1"/>
  <c r="AS135" i="1"/>
  <c r="BC131" i="1"/>
  <c r="AX131" i="1"/>
  <c r="AV131" i="1"/>
  <c r="AW131" i="1" s="1"/>
  <c r="AT131" i="1"/>
  <c r="AS131" i="1"/>
  <c r="BC142" i="1"/>
  <c r="AV142" i="1"/>
  <c r="AW142" i="1" s="1"/>
  <c r="AX142" i="1" s="1"/>
  <c r="AT142" i="1"/>
  <c r="AU142" i="1" s="1"/>
  <c r="AS142" i="1"/>
  <c r="BC141" i="1"/>
  <c r="AV141" i="1"/>
  <c r="AT141" i="1"/>
  <c r="AU141" i="1" s="1"/>
  <c r="AS141" i="1"/>
  <c r="BC140" i="1"/>
  <c r="AV140" i="1"/>
  <c r="AT140" i="1"/>
  <c r="AU140" i="1" s="1"/>
  <c r="AS140" i="1"/>
  <c r="BC139" i="1"/>
  <c r="AV139" i="1"/>
  <c r="AW139" i="1" s="1"/>
  <c r="AX139" i="1" s="1"/>
  <c r="AT139" i="1"/>
  <c r="AU139" i="1" s="1"/>
  <c r="AS139" i="1"/>
  <c r="BC138" i="1"/>
  <c r="AV138" i="1"/>
  <c r="AW138" i="1" s="1"/>
  <c r="AT138" i="1"/>
  <c r="AU138" i="1" s="1"/>
  <c r="AS138" i="1"/>
  <c r="BC137" i="1"/>
  <c r="AV137" i="1"/>
  <c r="AT137" i="1"/>
  <c r="AU137" i="1" s="1"/>
  <c r="AS137" i="1"/>
  <c r="BC130" i="1"/>
  <c r="AV130" i="1"/>
  <c r="AT130" i="1"/>
  <c r="AU130" i="1" s="1"/>
  <c r="AS130" i="1"/>
  <c r="BC129" i="1"/>
  <c r="AV129" i="1"/>
  <c r="AW129" i="1" s="1"/>
  <c r="AT129" i="1"/>
  <c r="AU129" i="1" s="1"/>
  <c r="AS129" i="1"/>
  <c r="BC136" i="1"/>
  <c r="AV136" i="1"/>
  <c r="AU136" i="1"/>
  <c r="AT136" i="1"/>
  <c r="AS136" i="1"/>
  <c r="BC134" i="1"/>
  <c r="AV134" i="1"/>
  <c r="AT134" i="1"/>
  <c r="AU134" i="1" s="1"/>
  <c r="AS134" i="1"/>
  <c r="BC128" i="1"/>
  <c r="AV128" i="1"/>
  <c r="AW128" i="1" s="1"/>
  <c r="AT128" i="1"/>
  <c r="AU128" i="1" s="1"/>
  <c r="AS128" i="1"/>
  <c r="BC127" i="1"/>
  <c r="AV127" i="1"/>
  <c r="AT127" i="1"/>
  <c r="AU127" i="1" s="1"/>
  <c r="AS127" i="1"/>
  <c r="BC133" i="1"/>
  <c r="AV133" i="1"/>
  <c r="AW133" i="1" s="1"/>
  <c r="AT133" i="1"/>
  <c r="AS133" i="1"/>
  <c r="BC132" i="1"/>
  <c r="AV132" i="1"/>
  <c r="AW132" i="1" s="1"/>
  <c r="AX132" i="1" s="1"/>
  <c r="AT132" i="1"/>
  <c r="AS132" i="1"/>
  <c r="BC126" i="1"/>
  <c r="AV126" i="1"/>
  <c r="AW126" i="1" s="1"/>
  <c r="AX126" i="1" s="1"/>
  <c r="AU126" i="1"/>
  <c r="AT126" i="1"/>
  <c r="AS126" i="1"/>
  <c r="BC125" i="1"/>
  <c r="AV125" i="1"/>
  <c r="AZ205" i="1" s="1"/>
  <c r="BB205" i="1" s="1"/>
  <c r="AT125" i="1"/>
  <c r="AY125" i="1" s="1"/>
  <c r="BA125" i="1" s="1"/>
  <c r="AS125" i="1"/>
  <c r="BC124" i="1"/>
  <c r="AV124" i="1"/>
  <c r="AT124" i="1"/>
  <c r="AU124" i="1" s="1"/>
  <c r="AS124" i="1"/>
  <c r="BC123" i="1"/>
  <c r="AX123" i="1"/>
  <c r="AV123" i="1"/>
  <c r="AW123" i="1" s="1"/>
  <c r="AT123" i="1"/>
  <c r="AS123" i="1"/>
  <c r="BC122" i="1"/>
  <c r="AV122" i="1"/>
  <c r="AT122" i="1"/>
  <c r="AU122" i="1" s="1"/>
  <c r="AS122" i="1"/>
  <c r="BC121" i="1"/>
  <c r="AW121" i="1"/>
  <c r="AX121" i="1" s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T119" i="1"/>
  <c r="AS119" i="1"/>
  <c r="BC118" i="1"/>
  <c r="AV118" i="1"/>
  <c r="AW118" i="1" s="1"/>
  <c r="AX118" i="1" s="1"/>
  <c r="AT118" i="1"/>
  <c r="AU118" i="1" s="1"/>
  <c r="AS118" i="1"/>
  <c r="BC117" i="1"/>
  <c r="AV117" i="1"/>
  <c r="AW117" i="1" s="1"/>
  <c r="AX117" i="1" s="1"/>
  <c r="AT117" i="1"/>
  <c r="AU117" i="1" s="1"/>
  <c r="AS117" i="1"/>
  <c r="BC116" i="1"/>
  <c r="AV116" i="1"/>
  <c r="AW116" i="1" s="1"/>
  <c r="AU116" i="1"/>
  <c r="AT116" i="1"/>
  <c r="AS116" i="1"/>
  <c r="BC115" i="1"/>
  <c r="AV115" i="1"/>
  <c r="AT115" i="1"/>
  <c r="AU115" i="1" s="1"/>
  <c r="AS115" i="1"/>
  <c r="BC114" i="1"/>
  <c r="AW114" i="1"/>
  <c r="AX114" i="1" s="1"/>
  <c r="AV114" i="1"/>
  <c r="AT114" i="1"/>
  <c r="AU114" i="1" s="1"/>
  <c r="AS114" i="1"/>
  <c r="BC113" i="1"/>
  <c r="AV113" i="1"/>
  <c r="AT113" i="1"/>
  <c r="AS113" i="1"/>
  <c r="BC112" i="1"/>
  <c r="AV112" i="1"/>
  <c r="AW112" i="1" s="1"/>
  <c r="AX112" i="1" s="1"/>
  <c r="AT112" i="1"/>
  <c r="AU112" i="1" s="1"/>
  <c r="AS112" i="1"/>
  <c r="BC111" i="1"/>
  <c r="AV111" i="1"/>
  <c r="AT111" i="1"/>
  <c r="AU111" i="1" s="1"/>
  <c r="AS111" i="1"/>
  <c r="BC110" i="1"/>
  <c r="AV110" i="1"/>
  <c r="AT110" i="1"/>
  <c r="AU110" i="1" s="1"/>
  <c r="AS110" i="1"/>
  <c r="BC109" i="1"/>
  <c r="AV109" i="1"/>
  <c r="AW109" i="1" s="1"/>
  <c r="AT109" i="1"/>
  <c r="AU109" i="1" s="1"/>
  <c r="AS109" i="1"/>
  <c r="BC108" i="1"/>
  <c r="AV108" i="1"/>
  <c r="AW108" i="1" s="1"/>
  <c r="AT108" i="1"/>
  <c r="AS108" i="1"/>
  <c r="BC107" i="1"/>
  <c r="AV107" i="1"/>
  <c r="AT107" i="1"/>
  <c r="AU107" i="1" s="1"/>
  <c r="AS107" i="1"/>
  <c r="BC106" i="1"/>
  <c r="AW106" i="1"/>
  <c r="AX106" i="1" s="1"/>
  <c r="AV106" i="1"/>
  <c r="AT106" i="1"/>
  <c r="AU106" i="1" s="1"/>
  <c r="AS106" i="1"/>
  <c r="BC105" i="1"/>
  <c r="AV105" i="1"/>
  <c r="AT105" i="1"/>
  <c r="AS105" i="1"/>
  <c r="BC104" i="1"/>
  <c r="AV104" i="1"/>
  <c r="AW104" i="1" s="1"/>
  <c r="AX104" i="1" s="1"/>
  <c r="AT104" i="1"/>
  <c r="AU104" i="1" s="1"/>
  <c r="AS104" i="1"/>
  <c r="BC103" i="1"/>
  <c r="AV103" i="1"/>
  <c r="AT103" i="1"/>
  <c r="AU103" i="1" s="1"/>
  <c r="AS103" i="1"/>
  <c r="BC102" i="1"/>
  <c r="AV102" i="1"/>
  <c r="AT102" i="1"/>
  <c r="AU102" i="1" s="1"/>
  <c r="AS102" i="1"/>
  <c r="BC101" i="1"/>
  <c r="AV101" i="1"/>
  <c r="AW101" i="1" s="1"/>
  <c r="AT101" i="1"/>
  <c r="AU101" i="1" s="1"/>
  <c r="AS101" i="1"/>
  <c r="BC100" i="1"/>
  <c r="AV100" i="1"/>
  <c r="AT100" i="1"/>
  <c r="AS100" i="1"/>
  <c r="BC99" i="1"/>
  <c r="AV99" i="1"/>
  <c r="AT99" i="1"/>
  <c r="AU99" i="1" s="1"/>
  <c r="AS99" i="1"/>
  <c r="BC98" i="1"/>
  <c r="AW98" i="1"/>
  <c r="AX98" i="1" s="1"/>
  <c r="AV98" i="1"/>
  <c r="AT98" i="1"/>
  <c r="AU98" i="1" s="1"/>
  <c r="AS98" i="1"/>
  <c r="BC97" i="1"/>
  <c r="AV97" i="1"/>
  <c r="AT97" i="1"/>
  <c r="AS97" i="1"/>
  <c r="BC96" i="1"/>
  <c r="AV96" i="1"/>
  <c r="AW96" i="1" s="1"/>
  <c r="AX96" i="1" s="1"/>
  <c r="AT96" i="1"/>
  <c r="AU96" i="1" s="1"/>
  <c r="AS96" i="1"/>
  <c r="BC95" i="1"/>
  <c r="AV95" i="1"/>
  <c r="AT95" i="1"/>
  <c r="AU95" i="1" s="1"/>
  <c r="AS95" i="1"/>
  <c r="BC94" i="1"/>
  <c r="AV94" i="1"/>
  <c r="AT94" i="1"/>
  <c r="AU94" i="1" s="1"/>
  <c r="AS94" i="1"/>
  <c r="BC93" i="1"/>
  <c r="AV93" i="1"/>
  <c r="AW93" i="1" s="1"/>
  <c r="AX93" i="1" s="1"/>
  <c r="AT93" i="1"/>
  <c r="AS93" i="1"/>
  <c r="BC92" i="1"/>
  <c r="AV92" i="1"/>
  <c r="AW92" i="1" s="1"/>
  <c r="AT92" i="1"/>
  <c r="AU92" i="1" s="1"/>
  <c r="AS92" i="1"/>
  <c r="BC91" i="1"/>
  <c r="AV91" i="1"/>
  <c r="AT91" i="1"/>
  <c r="AU91" i="1" s="1"/>
  <c r="AS91" i="1"/>
  <c r="BC90" i="1"/>
  <c r="AV90" i="1"/>
  <c r="AW90" i="1" s="1"/>
  <c r="AX90" i="1" s="1"/>
  <c r="AT90" i="1"/>
  <c r="AU90" i="1" s="1"/>
  <c r="AS90" i="1"/>
  <c r="BC89" i="1"/>
  <c r="AV89" i="1"/>
  <c r="AW89" i="1" s="1"/>
  <c r="AX89" i="1" s="1"/>
  <c r="AT89" i="1"/>
  <c r="AS89" i="1"/>
  <c r="BC88" i="1"/>
  <c r="AV88" i="1"/>
  <c r="AW88" i="1" s="1"/>
  <c r="AX88" i="1" s="1"/>
  <c r="AT88" i="1"/>
  <c r="AU88" i="1" s="1"/>
  <c r="AS88" i="1"/>
  <c r="BC87" i="1"/>
  <c r="AV87" i="1"/>
  <c r="AT87" i="1"/>
  <c r="AU87" i="1" s="1"/>
  <c r="AS87" i="1"/>
  <c r="BC86" i="1"/>
  <c r="AV86" i="1"/>
  <c r="AT86" i="1"/>
  <c r="AU86" i="1" s="1"/>
  <c r="AS86" i="1"/>
  <c r="BC85" i="1"/>
  <c r="AV85" i="1"/>
  <c r="AW85" i="1" s="1"/>
  <c r="AX85" i="1" s="1"/>
  <c r="AT85" i="1"/>
  <c r="AS85" i="1"/>
  <c r="BC84" i="1"/>
  <c r="AV84" i="1"/>
  <c r="AT84" i="1"/>
  <c r="AU84" i="1" s="1"/>
  <c r="AS84" i="1"/>
  <c r="BC83" i="1"/>
  <c r="AV83" i="1"/>
  <c r="AT83" i="1"/>
  <c r="AS83" i="1"/>
  <c r="BC82" i="1"/>
  <c r="AV82" i="1"/>
  <c r="AW82" i="1" s="1"/>
  <c r="AX82" i="1" s="1"/>
  <c r="AU82" i="1"/>
  <c r="AT82" i="1"/>
  <c r="AS82" i="1"/>
  <c r="BC81" i="1"/>
  <c r="AW81" i="1"/>
  <c r="AV81" i="1"/>
  <c r="AT81" i="1"/>
  <c r="AS81" i="1"/>
  <c r="BC80" i="1"/>
  <c r="AV80" i="1"/>
  <c r="AW80" i="1" s="1"/>
  <c r="AX80" i="1" s="1"/>
  <c r="AT80" i="1"/>
  <c r="AU80" i="1" s="1"/>
  <c r="AS80" i="1"/>
  <c r="BC79" i="1"/>
  <c r="AV79" i="1"/>
  <c r="AW79" i="1" s="1"/>
  <c r="AT79" i="1"/>
  <c r="AU79" i="1" s="1"/>
  <c r="AS79" i="1"/>
  <c r="BC78" i="1"/>
  <c r="AV78" i="1"/>
  <c r="AT78" i="1"/>
  <c r="AU78" i="1" s="1"/>
  <c r="AS78" i="1"/>
  <c r="BC77" i="1"/>
  <c r="AV77" i="1"/>
  <c r="AT77" i="1"/>
  <c r="AU77" i="1" s="1"/>
  <c r="AS77" i="1"/>
  <c r="BC76" i="1"/>
  <c r="AV76" i="1"/>
  <c r="AW76" i="1" s="1"/>
  <c r="AT76" i="1"/>
  <c r="AU76" i="1" s="1"/>
  <c r="AS76" i="1"/>
  <c r="BC75" i="1"/>
  <c r="AW75" i="1"/>
  <c r="AV75" i="1"/>
  <c r="AT75" i="1"/>
  <c r="AU75" i="1" s="1"/>
  <c r="AS75" i="1"/>
  <c r="BC74" i="1"/>
  <c r="AV74" i="1"/>
  <c r="AU74" i="1"/>
  <c r="AT74" i="1"/>
  <c r="AS74" i="1"/>
  <c r="BC73" i="1"/>
  <c r="AV73" i="1"/>
  <c r="AT73" i="1"/>
  <c r="AS73" i="1"/>
  <c r="BC72" i="1"/>
  <c r="AV72" i="1"/>
  <c r="AT72" i="1"/>
  <c r="AU72" i="1" s="1"/>
  <c r="AS72" i="1"/>
  <c r="BC71" i="1"/>
  <c r="AV71" i="1"/>
  <c r="AW71" i="1" s="1"/>
  <c r="AT71" i="1"/>
  <c r="AU71" i="1" s="1"/>
  <c r="AS71" i="1"/>
  <c r="BC70" i="1"/>
  <c r="AV70" i="1"/>
  <c r="AT70" i="1"/>
  <c r="AS70" i="1"/>
  <c r="BC69" i="1"/>
  <c r="AV69" i="1"/>
  <c r="AT69" i="1"/>
  <c r="AU69" i="1" s="1"/>
  <c r="AS69" i="1"/>
  <c r="BC68" i="1"/>
  <c r="AV68" i="1"/>
  <c r="AW68" i="1" s="1"/>
  <c r="AT68" i="1"/>
  <c r="AU68" i="1" s="1"/>
  <c r="AS68" i="1"/>
  <c r="BC67" i="1"/>
  <c r="AV67" i="1"/>
  <c r="AW67" i="1" s="1"/>
  <c r="AT67" i="1"/>
  <c r="AU67" i="1" s="1"/>
  <c r="AS67" i="1"/>
  <c r="BC66" i="1"/>
  <c r="AV66" i="1"/>
  <c r="AW66" i="1" s="1"/>
  <c r="AX66" i="1" s="1"/>
  <c r="AT66" i="1"/>
  <c r="AU66" i="1" s="1"/>
  <c r="AS66" i="1"/>
  <c r="BC65" i="1"/>
  <c r="AX65" i="1"/>
  <c r="AV65" i="1"/>
  <c r="AW65" i="1" s="1"/>
  <c r="AT65" i="1"/>
  <c r="AU65" i="1" s="1"/>
  <c r="AS65" i="1"/>
  <c r="BC64" i="1"/>
  <c r="AV64" i="1"/>
  <c r="AW64" i="1" s="1"/>
  <c r="AX64" i="1" s="1"/>
  <c r="AT64" i="1"/>
  <c r="AU64" i="1" s="1"/>
  <c r="AS64" i="1"/>
  <c r="BC63" i="1"/>
  <c r="AV63" i="1"/>
  <c r="AW63" i="1" s="1"/>
  <c r="AT63" i="1"/>
  <c r="AU63" i="1" s="1"/>
  <c r="AS63" i="1"/>
  <c r="BC62" i="1"/>
  <c r="AV62" i="1"/>
  <c r="AT62" i="1"/>
  <c r="AU62" i="1" s="1"/>
  <c r="AS62" i="1"/>
  <c r="BC61" i="1"/>
  <c r="AV61" i="1"/>
  <c r="AW61" i="1" s="1"/>
  <c r="AT61" i="1"/>
  <c r="AS61" i="1"/>
  <c r="BC60" i="1"/>
  <c r="AV60" i="1"/>
  <c r="AW60" i="1" s="1"/>
  <c r="AT60" i="1"/>
  <c r="AU60" i="1" s="1"/>
  <c r="AS60" i="1"/>
  <c r="BC59" i="1"/>
  <c r="AV59" i="1"/>
  <c r="AW59" i="1" s="1"/>
  <c r="AT59" i="1"/>
  <c r="AS59" i="1"/>
  <c r="BC58" i="1"/>
  <c r="AV58" i="1"/>
  <c r="AW58" i="1" s="1"/>
  <c r="AT58" i="1"/>
  <c r="AU58" i="1" s="1"/>
  <c r="AS58" i="1"/>
  <c r="BC57" i="1"/>
  <c r="AV57" i="1"/>
  <c r="AT57" i="1"/>
  <c r="AU57" i="1" s="1"/>
  <c r="AS57" i="1"/>
  <c r="BC56" i="1"/>
  <c r="AV56" i="1"/>
  <c r="AT56" i="1"/>
  <c r="AU56" i="1" s="1"/>
  <c r="AS56" i="1"/>
  <c r="BC55" i="1"/>
  <c r="AV55" i="1"/>
  <c r="AU55" i="1"/>
  <c r="AT55" i="1"/>
  <c r="AS55" i="1"/>
  <c r="BC54" i="1"/>
  <c r="AV54" i="1"/>
  <c r="AT54" i="1"/>
  <c r="AS54" i="1"/>
  <c r="BC53" i="1"/>
  <c r="AV53" i="1"/>
  <c r="AW53" i="1" s="1"/>
  <c r="AX53" i="1" s="1"/>
  <c r="AT53" i="1"/>
  <c r="AU53" i="1" s="1"/>
  <c r="AS53" i="1"/>
  <c r="BC52" i="1"/>
  <c r="AW52" i="1"/>
  <c r="AV52" i="1"/>
  <c r="AT52" i="1"/>
  <c r="AU52" i="1" s="1"/>
  <c r="AS52" i="1"/>
  <c r="BC51" i="1"/>
  <c r="AV51" i="1"/>
  <c r="AW51" i="1" s="1"/>
  <c r="AT51" i="1"/>
  <c r="AS51" i="1"/>
  <c r="BC50" i="1"/>
  <c r="AV50" i="1"/>
  <c r="AW50" i="1" s="1"/>
  <c r="AX50" i="1" s="1"/>
  <c r="AT50" i="1"/>
  <c r="AU50" i="1" s="1"/>
  <c r="AS50" i="1"/>
  <c r="BC49" i="1"/>
  <c r="AV49" i="1"/>
  <c r="AW49" i="1" s="1"/>
  <c r="AT49" i="1"/>
  <c r="AS49" i="1"/>
  <c r="BC48" i="1"/>
  <c r="AV48" i="1"/>
  <c r="AW48" i="1" s="1"/>
  <c r="AT48" i="1"/>
  <c r="AU48" i="1" s="1"/>
  <c r="AS48" i="1"/>
  <c r="BC47" i="1"/>
  <c r="AV47" i="1"/>
  <c r="AW47" i="1" s="1"/>
  <c r="AT47" i="1"/>
  <c r="AU47" i="1" s="1"/>
  <c r="AS47" i="1"/>
  <c r="BC46" i="1"/>
  <c r="AV46" i="1"/>
  <c r="AT46" i="1"/>
  <c r="AS46" i="1"/>
  <c r="BC45" i="1"/>
  <c r="AV45" i="1"/>
  <c r="AT45" i="1"/>
  <c r="AU45" i="1" s="1"/>
  <c r="AS45" i="1"/>
  <c r="BC44" i="1"/>
  <c r="AV44" i="1"/>
  <c r="AW44" i="1" s="1"/>
  <c r="AT44" i="1"/>
  <c r="AU44" i="1" s="1"/>
  <c r="AS44" i="1"/>
  <c r="BC43" i="1"/>
  <c r="AV43" i="1"/>
  <c r="AT43" i="1"/>
  <c r="AU43" i="1" s="1"/>
  <c r="AS43" i="1"/>
  <c r="BC42" i="1"/>
  <c r="AV42" i="1"/>
  <c r="AT42" i="1"/>
  <c r="AU42" i="1" s="1"/>
  <c r="AS42" i="1"/>
  <c r="BC41" i="1"/>
  <c r="AV41" i="1"/>
  <c r="AW41" i="1" s="1"/>
  <c r="AX41" i="1" s="1"/>
  <c r="AT41" i="1"/>
  <c r="AS41" i="1"/>
  <c r="BC40" i="1"/>
  <c r="AV40" i="1"/>
  <c r="AW40" i="1" s="1"/>
  <c r="AX40" i="1" s="1"/>
  <c r="AT40" i="1"/>
  <c r="AU40" i="1" s="1"/>
  <c r="AS40" i="1"/>
  <c r="BC39" i="1"/>
  <c r="AX39" i="1"/>
  <c r="AV39" i="1"/>
  <c r="AW39" i="1" s="1"/>
  <c r="AT39" i="1"/>
  <c r="AU39" i="1" s="1"/>
  <c r="AS39" i="1"/>
  <c r="BC38" i="1"/>
  <c r="AV38" i="1"/>
  <c r="AT38" i="1"/>
  <c r="AU38" i="1" s="1"/>
  <c r="AS38" i="1"/>
  <c r="BC37" i="1"/>
  <c r="AV37" i="1"/>
  <c r="AT37" i="1"/>
  <c r="AU37" i="1" s="1"/>
  <c r="AS37" i="1"/>
  <c r="BC36" i="1"/>
  <c r="AV36" i="1"/>
  <c r="AW36" i="1" s="1"/>
  <c r="AT36" i="1"/>
  <c r="AU36" i="1" s="1"/>
  <c r="AS36" i="1"/>
  <c r="BC35" i="1"/>
  <c r="AV35" i="1"/>
  <c r="AT35" i="1"/>
  <c r="AU35" i="1" s="1"/>
  <c r="AS35" i="1"/>
  <c r="BC34" i="1"/>
  <c r="AZ34" i="1"/>
  <c r="BB34" i="1" s="1"/>
  <c r="AV34" i="1"/>
  <c r="AW34" i="1" s="1"/>
  <c r="AX34" i="1" s="1"/>
  <c r="AU34" i="1"/>
  <c r="AT34" i="1"/>
  <c r="AS34" i="1"/>
  <c r="BC33" i="1"/>
  <c r="AV33" i="1"/>
  <c r="AT33" i="1"/>
  <c r="AU33" i="1" s="1"/>
  <c r="AS33" i="1"/>
  <c r="BC32" i="1"/>
  <c r="AV32" i="1"/>
  <c r="AT32" i="1"/>
  <c r="AU32" i="1" s="1"/>
  <c r="AS32" i="1"/>
  <c r="BC31" i="1"/>
  <c r="AV31" i="1"/>
  <c r="AW31" i="1" s="1"/>
  <c r="AT31" i="1"/>
  <c r="AU31" i="1" s="1"/>
  <c r="AS31" i="1"/>
  <c r="BC30" i="1"/>
  <c r="AV30" i="1"/>
  <c r="AT30" i="1"/>
  <c r="AS30" i="1"/>
  <c r="BC29" i="1"/>
  <c r="AV29" i="1"/>
  <c r="AW29" i="1" s="1"/>
  <c r="AT29" i="1"/>
  <c r="AU29" i="1" s="1"/>
  <c r="AS29" i="1"/>
  <c r="BC28" i="1"/>
  <c r="AY28" i="1"/>
  <c r="BA28" i="1" s="1"/>
  <c r="AV28" i="1"/>
  <c r="AT28" i="1"/>
  <c r="AS28" i="1"/>
  <c r="BC27" i="1"/>
  <c r="AW27" i="1"/>
  <c r="AV27" i="1"/>
  <c r="AT27" i="1"/>
  <c r="AU27" i="1" s="1"/>
  <c r="AS27" i="1"/>
  <c r="BC26" i="1"/>
  <c r="AV26" i="1"/>
  <c r="AT26" i="1"/>
  <c r="AU26" i="1" s="1"/>
  <c r="AS26" i="1"/>
  <c r="BC25" i="1"/>
  <c r="AV25" i="1"/>
  <c r="AZ25" i="1" s="1"/>
  <c r="BB25" i="1" s="1"/>
  <c r="AT25" i="1"/>
  <c r="AS25" i="1"/>
  <c r="BC24" i="1"/>
  <c r="AV24" i="1"/>
  <c r="AU24" i="1"/>
  <c r="AT24" i="1"/>
  <c r="AS24" i="1"/>
  <c r="BC23" i="1"/>
  <c r="AV23" i="1"/>
  <c r="AW23" i="1" s="1"/>
  <c r="AT23" i="1"/>
  <c r="AS23" i="1"/>
  <c r="BC22" i="1"/>
  <c r="AV22" i="1"/>
  <c r="AT22" i="1"/>
  <c r="AS22" i="1"/>
  <c r="BC21" i="1"/>
  <c r="AV21" i="1"/>
  <c r="AW21" i="1" s="1"/>
  <c r="AX21" i="1" s="1"/>
  <c r="AT21" i="1"/>
  <c r="AU21" i="1" s="1"/>
  <c r="AS21" i="1"/>
  <c r="BC20" i="1"/>
  <c r="AV20" i="1"/>
  <c r="AT20" i="1"/>
  <c r="AU20" i="1" s="1"/>
  <c r="AS20" i="1"/>
  <c r="BC19" i="1"/>
  <c r="AV19" i="1"/>
  <c r="AW19" i="1" s="1"/>
  <c r="AT19" i="1"/>
  <c r="AS19" i="1"/>
  <c r="BC18" i="1"/>
  <c r="AV18" i="1"/>
  <c r="AW18" i="1" s="1"/>
  <c r="AT18" i="1"/>
  <c r="AU18" i="1" s="1"/>
  <c r="AS18" i="1"/>
  <c r="BC17" i="1"/>
  <c r="AV17" i="1"/>
  <c r="AZ17" i="1" s="1"/>
  <c r="BB17" i="1" s="1"/>
  <c r="AT17" i="1"/>
  <c r="AU17" i="1" s="1"/>
  <c r="AS17" i="1"/>
  <c r="BC16" i="1"/>
  <c r="AW16" i="1"/>
  <c r="AV16" i="1"/>
  <c r="AT16" i="1"/>
  <c r="AU16" i="1" s="1"/>
  <c r="AS16" i="1"/>
  <c r="BC15" i="1"/>
  <c r="AV15" i="1"/>
  <c r="AZ15" i="1" s="1"/>
  <c r="BB15" i="1" s="1"/>
  <c r="AT15" i="1"/>
  <c r="AY15" i="1" s="1"/>
  <c r="BA15" i="1" s="1"/>
  <c r="AS15" i="1"/>
  <c r="BC14" i="1"/>
  <c r="AV14" i="1"/>
  <c r="AT14" i="1"/>
  <c r="AS14" i="1"/>
  <c r="BC13" i="1"/>
  <c r="AV13" i="1"/>
  <c r="AW13" i="1" s="1"/>
  <c r="AT13" i="1"/>
  <c r="AU13" i="1" s="1"/>
  <c r="AS13" i="1"/>
  <c r="BC12" i="1"/>
  <c r="AV12" i="1"/>
  <c r="AW12" i="1" s="1"/>
  <c r="AT12" i="1"/>
  <c r="AU12" i="1" s="1"/>
  <c r="AS12" i="1"/>
  <c r="BC11" i="1"/>
  <c r="AV11" i="1"/>
  <c r="AW11" i="1" s="1"/>
  <c r="AT11" i="1"/>
  <c r="AS11" i="1"/>
  <c r="BC10" i="1"/>
  <c r="AV10" i="1"/>
  <c r="AW10" i="1" s="1"/>
  <c r="AX10" i="1" s="1"/>
  <c r="AT10" i="1"/>
  <c r="AS10" i="1"/>
  <c r="BC9" i="1"/>
  <c r="AZ9" i="1"/>
  <c r="BB9" i="1" s="1"/>
  <c r="AV9" i="1"/>
  <c r="AT9" i="1"/>
  <c r="AS9" i="1"/>
  <c r="BC8" i="1"/>
  <c r="AV8" i="1"/>
  <c r="AZ8" i="1" s="1"/>
  <c r="BB8" i="1" s="1"/>
  <c r="AU8" i="1"/>
  <c r="AT8" i="1"/>
  <c r="AY8" i="1" s="1"/>
  <c r="BA8" i="1" s="1"/>
  <c r="AS8" i="1"/>
  <c r="BC7" i="1"/>
  <c r="AV7" i="1"/>
  <c r="AW7" i="1" s="1"/>
  <c r="AU7" i="1"/>
  <c r="AT7" i="1"/>
  <c r="AY7" i="1" s="1"/>
  <c r="BA7" i="1" s="1"/>
  <c r="AS7" i="1"/>
  <c r="BC6" i="1"/>
  <c r="AV6" i="1"/>
  <c r="AT6" i="1"/>
  <c r="AU6" i="1" s="1"/>
  <c r="AS6" i="1"/>
  <c r="BC5" i="1"/>
  <c r="AV5" i="1"/>
  <c r="AT5" i="1"/>
  <c r="AY5" i="1" s="1"/>
  <c r="BA5" i="1" s="1"/>
  <c r="AS5" i="1"/>
  <c r="AY41" i="1" l="1"/>
  <c r="BA41" i="1" s="1"/>
  <c r="AX322" i="1"/>
  <c r="AX336" i="1"/>
  <c r="AX369" i="1"/>
  <c r="AX409" i="1"/>
  <c r="AW476" i="1"/>
  <c r="AX521" i="1"/>
  <c r="AX536" i="1"/>
  <c r="AX581" i="1"/>
  <c r="AW615" i="1"/>
  <c r="AX101" i="1"/>
  <c r="AX169" i="1"/>
  <c r="AX225" i="1"/>
  <c r="AX272" i="1"/>
  <c r="AX298" i="1"/>
  <c r="AW312" i="1"/>
  <c r="AX325" i="1"/>
  <c r="AX338" i="1"/>
  <c r="AX353" i="1"/>
  <c r="AW412" i="1"/>
  <c r="AW432" i="1"/>
  <c r="AW444" i="1"/>
  <c r="AX460" i="1"/>
  <c r="AW539" i="1"/>
  <c r="AX690" i="1"/>
  <c r="AX710" i="1"/>
  <c r="AW717" i="1"/>
  <c r="AW777" i="1"/>
  <c r="AX852" i="1"/>
  <c r="AX963" i="1"/>
  <c r="AW980" i="1"/>
  <c r="AW1002" i="1"/>
  <c r="AY98" i="1"/>
  <c r="BA98" i="1" s="1"/>
  <c r="AW240" i="1"/>
  <c r="AW251" i="1"/>
  <c r="AW285" i="1"/>
  <c r="AW397" i="1"/>
  <c r="AX448" i="1"/>
  <c r="AW468" i="1"/>
  <c r="AW487" i="1"/>
  <c r="AX509" i="1"/>
  <c r="AX524" i="1"/>
  <c r="AW555" i="1"/>
  <c r="AW565" i="1"/>
  <c r="AW591" i="1"/>
  <c r="AW623" i="1"/>
  <c r="AW679" i="1"/>
  <c r="AW721" i="1"/>
  <c r="AX764" i="1"/>
  <c r="AW785" i="1"/>
  <c r="AW809" i="1"/>
  <c r="AW899" i="1"/>
  <c r="AW917" i="1"/>
  <c r="AW940" i="1"/>
  <c r="AW817" i="1"/>
  <c r="AW853" i="1"/>
  <c r="AW277" i="1"/>
  <c r="AX329" i="1"/>
  <c r="AW373" i="1"/>
  <c r="AX449" i="1"/>
  <c r="AW542" i="1"/>
  <c r="AX571" i="1"/>
  <c r="AW599" i="1"/>
  <c r="AX680" i="1"/>
  <c r="AX702" i="1"/>
  <c r="AW765" i="1"/>
  <c r="AW713" i="1"/>
  <c r="AX772" i="1"/>
  <c r="AW797" i="1"/>
  <c r="AX847" i="1"/>
  <c r="AX883" i="1"/>
  <c r="AW908" i="1"/>
  <c r="AW948" i="1"/>
  <c r="AW970" i="1"/>
  <c r="AW1012" i="1"/>
  <c r="AW1044" i="1"/>
  <c r="AX109" i="1"/>
  <c r="AX146" i="1"/>
  <c r="AX233" i="1"/>
  <c r="AX424" i="1"/>
  <c r="AX457" i="1"/>
  <c r="AX635" i="1"/>
  <c r="AW703" i="1"/>
  <c r="AW737" i="1"/>
  <c r="AX18" i="1"/>
  <c r="AX135" i="1"/>
  <c r="AW297" i="1"/>
  <c r="AX297" i="1"/>
  <c r="AX352" i="1"/>
  <c r="AW352" i="1"/>
  <c r="AX381" i="1"/>
  <c r="AW381" i="1"/>
  <c r="AW113" i="1"/>
  <c r="AX113" i="1"/>
  <c r="AW148" i="1"/>
  <c r="AX148" i="1"/>
  <c r="AY26" i="1"/>
  <c r="BA26" i="1" s="1"/>
  <c r="AW164" i="1"/>
  <c r="AX164" i="1" s="1"/>
  <c r="AW213" i="1"/>
  <c r="AX213" i="1"/>
  <c r="AX316" i="1"/>
  <c r="AW316" i="1"/>
  <c r="AX74" i="1"/>
  <c r="AX105" i="1"/>
  <c r="AX341" i="1"/>
  <c r="AW341" i="1"/>
  <c r="AX360" i="1"/>
  <c r="AW360" i="1"/>
  <c r="AU15" i="1"/>
  <c r="AY23" i="1"/>
  <c r="BA23" i="1" s="1"/>
  <c r="AZ33" i="1"/>
  <c r="BB33" i="1" s="1"/>
  <c r="AW74" i="1"/>
  <c r="AW105" i="1"/>
  <c r="AW217" i="1"/>
  <c r="AX217" i="1"/>
  <c r="AX253" i="1"/>
  <c r="AW253" i="1"/>
  <c r="AW290" i="1"/>
  <c r="AX290" i="1"/>
  <c r="AX304" i="1"/>
  <c r="AW304" i="1"/>
  <c r="AX376" i="1"/>
  <c r="AW376" i="1"/>
  <c r="AU23" i="1"/>
  <c r="AY114" i="1"/>
  <c r="BA114" i="1" s="1"/>
  <c r="AY82" i="1"/>
  <c r="BA82" i="1" s="1"/>
  <c r="AX79" i="1"/>
  <c r="AX81" i="1"/>
  <c r="AW180" i="1"/>
  <c r="AX180" i="1" s="1"/>
  <c r="AX333" i="1"/>
  <c r="AW333" i="1"/>
  <c r="AW230" i="1"/>
  <c r="AW257" i="1"/>
  <c r="AW299" i="1"/>
  <c r="AX306" i="1"/>
  <c r="AX313" i="1"/>
  <c r="AW364" i="1"/>
  <c r="AX385" i="1"/>
  <c r="AW408" i="1"/>
  <c r="AW413" i="1"/>
  <c r="AW428" i="1"/>
  <c r="AW435" i="1"/>
  <c r="AX469" i="1"/>
  <c r="AW477" i="1"/>
  <c r="AW485" i="1"/>
  <c r="AW493" i="1"/>
  <c r="AW508" i="1"/>
  <c r="AW531" i="1"/>
  <c r="AW589" i="1"/>
  <c r="AX604" i="1"/>
  <c r="AX619" i="1"/>
  <c r="AW631" i="1"/>
  <c r="AW649" i="1"/>
  <c r="AX662" i="1"/>
  <c r="AW687" i="1"/>
  <c r="AW723" i="1"/>
  <c r="AX732" i="1"/>
  <c r="AX742" i="1"/>
  <c r="AW755" i="1"/>
  <c r="AW769" i="1"/>
  <c r="AW781" i="1"/>
  <c r="AX812" i="1"/>
  <c r="AX828" i="1"/>
  <c r="AW858" i="1"/>
  <c r="AX871" i="1"/>
  <c r="AW882" i="1"/>
  <c r="AX903" i="1"/>
  <c r="AX914" i="1"/>
  <c r="AW943" i="1"/>
  <c r="AW978" i="1"/>
  <c r="AX987" i="1"/>
  <c r="AW1023" i="1"/>
  <c r="AX1047" i="1"/>
  <c r="AZ126" i="1"/>
  <c r="BB126" i="1" s="1"/>
  <c r="AW143" i="1"/>
  <c r="AX143" i="1" s="1"/>
  <c r="AW959" i="1"/>
  <c r="AX991" i="1"/>
  <c r="AX1066" i="1"/>
  <c r="AW244" i="1"/>
  <c r="AX289" i="1"/>
  <c r="AW307" i="1"/>
  <c r="AX314" i="1"/>
  <c r="AX356" i="1"/>
  <c r="AW365" i="1"/>
  <c r="AX401" i="1"/>
  <c r="AW429" i="1"/>
  <c r="AX480" i="1"/>
  <c r="AX533" i="1"/>
  <c r="AW607" i="1"/>
  <c r="AX653" i="1"/>
  <c r="AX726" i="1"/>
  <c r="AX734" i="1"/>
  <c r="AX748" i="1"/>
  <c r="AX759" i="1"/>
  <c r="AX788" i="1"/>
  <c r="AW801" i="1"/>
  <c r="AW813" i="1"/>
  <c r="AW829" i="1"/>
  <c r="AX859" i="1"/>
  <c r="AX872" i="1"/>
  <c r="AW893" i="1"/>
  <c r="AW1050" i="1"/>
  <c r="AW396" i="1"/>
  <c r="AX417" i="1"/>
  <c r="AX441" i="1"/>
  <c r="AW465" i="1"/>
  <c r="AX481" i="1"/>
  <c r="AW489" i="1"/>
  <c r="AW510" i="1"/>
  <c r="AX520" i="1"/>
  <c r="AW557" i="1"/>
  <c r="AW583" i="1"/>
  <c r="AW597" i="1"/>
  <c r="AW647" i="1"/>
  <c r="AW667" i="1"/>
  <c r="AX695" i="1"/>
  <c r="AX719" i="1"/>
  <c r="AX727" i="1"/>
  <c r="AW735" i="1"/>
  <c r="AX751" i="1"/>
  <c r="AW761" i="1"/>
  <c r="AX791" i="1"/>
  <c r="AX820" i="1"/>
  <c r="AX839" i="1"/>
  <c r="AW862" i="1"/>
  <c r="AX876" i="1"/>
  <c r="AX884" i="1"/>
  <c r="AW907" i="1"/>
  <c r="AX919" i="1"/>
  <c r="AW962" i="1"/>
  <c r="AX995" i="1"/>
  <c r="AW1027" i="1"/>
  <c r="AX1055" i="1"/>
  <c r="AW228" i="1"/>
  <c r="AW246" i="1"/>
  <c r="AX266" i="1"/>
  <c r="AW276" i="1"/>
  <c r="AW284" i="1"/>
  <c r="AW317" i="1"/>
  <c r="AW324" i="1"/>
  <c r="AW344" i="1"/>
  <c r="AW384" i="1"/>
  <c r="AW389" i="1"/>
  <c r="AW404" i="1"/>
  <c r="AX425" i="1"/>
  <c r="AW451" i="1"/>
  <c r="AX466" i="1"/>
  <c r="AX475" i="1"/>
  <c r="AX504" i="1"/>
  <c r="AX512" i="1"/>
  <c r="AX528" i="1"/>
  <c r="AW548" i="1"/>
  <c r="AX587" i="1"/>
  <c r="AW613" i="1"/>
  <c r="AW656" i="1"/>
  <c r="AX780" i="1"/>
  <c r="AW793" i="1"/>
  <c r="AX823" i="1"/>
  <c r="AX844" i="1"/>
  <c r="AX857" i="1"/>
  <c r="AX868" i="1"/>
  <c r="AW877" i="1"/>
  <c r="AW886" i="1"/>
  <c r="AX900" i="1"/>
  <c r="AY128" i="1"/>
  <c r="BA128" i="1" s="1"/>
  <c r="AU14" i="1"/>
  <c r="AZ19" i="1"/>
  <c r="BB19" i="1" s="1"/>
  <c r="AX49" i="1"/>
  <c r="AX221" i="1"/>
  <c r="AW221" i="1"/>
  <c r="AZ65" i="1"/>
  <c r="BB65" i="1" s="1"/>
  <c r="AW9" i="1"/>
  <c r="AX9" i="1" s="1"/>
  <c r="AX58" i="1"/>
  <c r="AY70" i="1"/>
  <c r="BA70" i="1" s="1"/>
  <c r="AU70" i="1"/>
  <c r="AX17" i="1"/>
  <c r="AZ42" i="1"/>
  <c r="BB42" i="1" s="1"/>
  <c r="AW42" i="1"/>
  <c r="AX42" i="1" s="1"/>
  <c r="AX160" i="1"/>
  <c r="AW160" i="1"/>
  <c r="AZ127" i="1"/>
  <c r="BB127" i="1" s="1"/>
  <c r="AZ74" i="1"/>
  <c r="BB74" i="1" s="1"/>
  <c r="AW17" i="1"/>
  <c r="AZ124" i="1"/>
  <c r="BB124" i="1" s="1"/>
  <c r="AZ20" i="1"/>
  <c r="BB20" i="1" s="1"/>
  <c r="AW20" i="1"/>
  <c r="AX20" i="1" s="1"/>
  <c r="AW55" i="1"/>
  <c r="AX55" i="1" s="1"/>
  <c r="AX57" i="1"/>
  <c r="AW57" i="1"/>
  <c r="AX7" i="1"/>
  <c r="AX23" i="1"/>
  <c r="AX84" i="1"/>
  <c r="AW84" i="1"/>
  <c r="AW130" i="1"/>
  <c r="AX130" i="1" s="1"/>
  <c r="AZ135" i="1"/>
  <c r="BB135" i="1" s="1"/>
  <c r="AX203" i="1"/>
  <c r="AW203" i="1"/>
  <c r="AX237" i="1"/>
  <c r="AW237" i="1"/>
  <c r="AZ7" i="1"/>
  <c r="BB7" i="1" s="1"/>
  <c r="AZ10" i="1"/>
  <c r="BB10" i="1" s="1"/>
  <c r="AY55" i="1"/>
  <c r="BA55" i="1" s="1"/>
  <c r="AU25" i="1"/>
  <c r="AX28" i="1"/>
  <c r="AW28" i="1"/>
  <c r="AZ44" i="1"/>
  <c r="BB44" i="1" s="1"/>
  <c r="AZ28" i="1"/>
  <c r="BB28" i="1" s="1"/>
  <c r="AZ52" i="1"/>
  <c r="BB52" i="1" s="1"/>
  <c r="AU54" i="1"/>
  <c r="AY54" i="1"/>
  <c r="BA54" i="1" s="1"/>
  <c r="AY76" i="1"/>
  <c r="BA76" i="1" s="1"/>
  <c r="AY61" i="1"/>
  <c r="BA61" i="1" s="1"/>
  <c r="AW168" i="1"/>
  <c r="AX168" i="1" s="1"/>
  <c r="AZ50" i="1"/>
  <c r="BB50" i="1" s="1"/>
  <c r="AY60" i="1"/>
  <c r="BA60" i="1" s="1"/>
  <c r="AY22" i="1"/>
  <c r="BA22" i="1" s="1"/>
  <c r="AW73" i="1"/>
  <c r="AX73" i="1" s="1"/>
  <c r="AW119" i="1"/>
  <c r="AX119" i="1" s="1"/>
  <c r="AW134" i="1"/>
  <c r="AX134" i="1" s="1"/>
  <c r="AW260" i="1"/>
  <c r="AW267" i="1"/>
  <c r="AW273" i="1"/>
  <c r="AW300" i="1"/>
  <c r="AW328" i="1"/>
  <c r="AW332" i="1"/>
  <c r="AX337" i="1"/>
  <c r="AW347" i="1"/>
  <c r="AW363" i="1"/>
  <c r="AW379" i="1"/>
  <c r="AW395" i="1"/>
  <c r="AW411" i="1"/>
  <c r="AW427" i="1"/>
  <c r="AW440" i="1"/>
  <c r="AX445" i="1"/>
  <c r="AW452" i="1"/>
  <c r="AW473" i="1"/>
  <c r="AW478" i="1"/>
  <c r="AW486" i="1"/>
  <c r="AW492" i="1"/>
  <c r="AX496" i="1"/>
  <c r="AW501" i="1"/>
  <c r="AX507" i="1"/>
  <c r="AW517" i="1"/>
  <c r="AW523" i="1"/>
  <c r="AW527" i="1"/>
  <c r="AX532" i="1"/>
  <c r="AX541" i="1"/>
  <c r="AX547" i="1"/>
  <c r="AW563" i="1"/>
  <c r="AX568" i="1"/>
  <c r="AW616" i="1"/>
  <c r="AX616" i="1"/>
  <c r="AX658" i="1"/>
  <c r="AW658" i="1"/>
  <c r="AW766" i="1"/>
  <c r="AX766" i="1"/>
  <c r="AX954" i="1"/>
  <c r="AW954" i="1"/>
  <c r="AX92" i="1"/>
  <c r="AZ125" i="1"/>
  <c r="BB125" i="1" s="1"/>
  <c r="AX579" i="1"/>
  <c r="AW579" i="1"/>
  <c r="AW632" i="1"/>
  <c r="AX632" i="1"/>
  <c r="AX705" i="1"/>
  <c r="AW705" i="1"/>
  <c r="AX771" i="1"/>
  <c r="AW771" i="1"/>
  <c r="AW782" i="1"/>
  <c r="AX782" i="1"/>
  <c r="AX915" i="1"/>
  <c r="AW915" i="1"/>
  <c r="AZ155" i="1"/>
  <c r="BB155" i="1" s="1"/>
  <c r="AY38" i="1"/>
  <c r="BA38" i="1" s="1"/>
  <c r="AZ194" i="1"/>
  <c r="BB194" i="1" s="1"/>
  <c r="AW232" i="1"/>
  <c r="AX453" i="1"/>
  <c r="AW503" i="1"/>
  <c r="AW519" i="1"/>
  <c r="AW543" i="1"/>
  <c r="AX787" i="1"/>
  <c r="AW787" i="1"/>
  <c r="AW798" i="1"/>
  <c r="AX798" i="1"/>
  <c r="AX892" i="1"/>
  <c r="AW892" i="1"/>
  <c r="AY86" i="1"/>
  <c r="BA86" i="1" s="1"/>
  <c r="AY19" i="1"/>
  <c r="BA19" i="1" s="1"/>
  <c r="AW25" i="1"/>
  <c r="AX25" i="1" s="1"/>
  <c r="AW26" i="1"/>
  <c r="AX26" i="1" s="1"/>
  <c r="AW33" i="1"/>
  <c r="AX33" i="1" s="1"/>
  <c r="AX44" i="1"/>
  <c r="AX47" i="1"/>
  <c r="AZ69" i="1"/>
  <c r="BB69" i="1" s="1"/>
  <c r="AW72" i="1"/>
  <c r="AX72" i="1" s="1"/>
  <c r="AW97" i="1"/>
  <c r="AX97" i="1" s="1"/>
  <c r="AW100" i="1"/>
  <c r="AX100" i="1" s="1"/>
  <c r="AW174" i="1"/>
  <c r="AX174" i="1" s="1"/>
  <c r="AX187" i="1"/>
  <c r="AX595" i="1"/>
  <c r="AW595" i="1"/>
  <c r="AX803" i="1"/>
  <c r="AW803" i="1"/>
  <c r="AW814" i="1"/>
  <c r="AX814" i="1"/>
  <c r="AW830" i="1"/>
  <c r="AX830" i="1"/>
  <c r="AW850" i="1"/>
  <c r="AX850" i="1"/>
  <c r="AY77" i="1"/>
  <c r="BA77" i="1" s="1"/>
  <c r="AZ37" i="1"/>
  <c r="BB37" i="1" s="1"/>
  <c r="AY63" i="1"/>
  <c r="BA63" i="1" s="1"/>
  <c r="AZ56" i="1"/>
  <c r="BB56" i="1" s="1"/>
  <c r="AX76" i="1"/>
  <c r="AX108" i="1"/>
  <c r="AY126" i="1"/>
  <c r="BA126" i="1" s="1"/>
  <c r="AX210" i="1"/>
  <c r="AW222" i="1"/>
  <c r="AW238" i="1"/>
  <c r="AW264" i="1"/>
  <c r="AX270" i="1"/>
  <c r="AW275" i="1"/>
  <c r="AW288" i="1"/>
  <c r="AW292" i="1"/>
  <c r="AW308" i="1"/>
  <c r="AW320" i="1"/>
  <c r="AW339" i="1"/>
  <c r="AW355" i="1"/>
  <c r="AW371" i="1"/>
  <c r="AW387" i="1"/>
  <c r="AW403" i="1"/>
  <c r="AW419" i="1"/>
  <c r="AW436" i="1"/>
  <c r="AW456" i="1"/>
  <c r="AX461" i="1"/>
  <c r="AX470" i="1"/>
  <c r="AX484" i="1"/>
  <c r="AX499" i="1"/>
  <c r="AW535" i="1"/>
  <c r="AW540" i="1"/>
  <c r="AW549" i="1"/>
  <c r="AX560" i="1"/>
  <c r="AW572" i="1"/>
  <c r="AX611" i="1"/>
  <c r="AW611" i="1"/>
  <c r="AX693" i="1"/>
  <c r="AW693" i="1"/>
  <c r="AW718" i="1"/>
  <c r="AX718" i="1"/>
  <c r="AX819" i="1"/>
  <c r="AW819" i="1"/>
  <c r="AX835" i="1"/>
  <c r="AW835" i="1"/>
  <c r="AW874" i="1"/>
  <c r="AX874" i="1"/>
  <c r="AX906" i="1"/>
  <c r="AW906" i="1"/>
  <c r="AZ32" i="1"/>
  <c r="BB32" i="1" s="1"/>
  <c r="AY34" i="1"/>
  <c r="BA34" i="1" s="1"/>
  <c r="AY75" i="1"/>
  <c r="BA75" i="1" s="1"/>
  <c r="AW255" i="1"/>
  <c r="AX330" i="1"/>
  <c r="AX345" i="1"/>
  <c r="AX361" i="1"/>
  <c r="AW584" i="1"/>
  <c r="AX584" i="1"/>
  <c r="AX627" i="1"/>
  <c r="AW627" i="1"/>
  <c r="AX699" i="1"/>
  <c r="AW699" i="1"/>
  <c r="AW865" i="1"/>
  <c r="AX865" i="1"/>
  <c r="AX933" i="1"/>
  <c r="AW933" i="1"/>
  <c r="AX855" i="1"/>
  <c r="AW855" i="1"/>
  <c r="AY13" i="1"/>
  <c r="BA13" i="1" s="1"/>
  <c r="AY157" i="1"/>
  <c r="BA157" i="1" s="1"/>
  <c r="AZ16" i="1"/>
  <c r="BB16" i="1" s="1"/>
  <c r="AZ103" i="1"/>
  <c r="BB103" i="1" s="1"/>
  <c r="AZ111" i="1"/>
  <c r="BB111" i="1" s="1"/>
  <c r="AY73" i="1"/>
  <c r="BA73" i="1" s="1"/>
  <c r="AX116" i="1"/>
  <c r="AW125" i="1"/>
  <c r="AX125" i="1" s="1"/>
  <c r="AW176" i="1"/>
  <c r="AX176" i="1" s="1"/>
  <c r="AW184" i="1"/>
  <c r="AX184" i="1" s="1"/>
  <c r="AX155" i="1"/>
  <c r="AX182" i="1"/>
  <c r="AW209" i="1"/>
  <c r="AX209" i="1" s="1"/>
  <c r="AX482" i="1"/>
  <c r="AW526" i="1"/>
  <c r="AX552" i="1"/>
  <c r="AW567" i="1"/>
  <c r="AW573" i="1"/>
  <c r="AW600" i="1"/>
  <c r="AX600" i="1"/>
  <c r="AW845" i="1"/>
  <c r="AX845" i="1"/>
  <c r="AX879" i="1"/>
  <c r="AW879" i="1"/>
  <c r="AX909" i="1"/>
  <c r="AW909" i="1"/>
  <c r="AW988" i="1"/>
  <c r="AW999" i="1"/>
  <c r="AW1003" i="1"/>
  <c r="AX1008" i="1"/>
  <c r="AW1018" i="1"/>
  <c r="AW1052" i="1"/>
  <c r="AW1063" i="1"/>
  <c r="AW1067" i="1"/>
  <c r="AW605" i="1"/>
  <c r="AW621" i="1"/>
  <c r="AW638" i="1"/>
  <c r="AX644" i="1"/>
  <c r="AX659" i="1"/>
  <c r="AW681" i="1"/>
  <c r="AW725" i="1"/>
  <c r="AW731" i="1"/>
  <c r="AW743" i="1"/>
  <c r="AW749" i="1"/>
  <c r="AW825" i="1"/>
  <c r="AX836" i="1"/>
  <c r="AX841" i="1"/>
  <c r="AX856" i="1"/>
  <c r="AW860" i="1"/>
  <c r="AW870" i="1"/>
  <c r="AW898" i="1"/>
  <c r="AW902" i="1"/>
  <c r="AW911" i="1"/>
  <c r="AX920" i="1"/>
  <c r="AW924" i="1"/>
  <c r="AW930" i="1"/>
  <c r="AW935" i="1"/>
  <c r="AW939" i="1"/>
  <c r="AW964" i="1"/>
  <c r="AW975" i="1"/>
  <c r="AW979" i="1"/>
  <c r="AX984" i="1"/>
  <c r="AW994" i="1"/>
  <c r="AW1028" i="1"/>
  <c r="AW1039" i="1"/>
  <c r="AW1043" i="1"/>
  <c r="AX1048" i="1"/>
  <c r="AW1058" i="1"/>
  <c r="AW580" i="1"/>
  <c r="AW596" i="1"/>
  <c r="AW612" i="1"/>
  <c r="AW628" i="1"/>
  <c r="AW655" i="1"/>
  <c r="AW665" i="1"/>
  <c r="AW689" i="1"/>
  <c r="AW701" i="1"/>
  <c r="AX750" i="1"/>
  <c r="AX762" i="1"/>
  <c r="AW767" i="1"/>
  <c r="AX778" i="1"/>
  <c r="AW783" i="1"/>
  <c r="AX794" i="1"/>
  <c r="AW799" i="1"/>
  <c r="AX810" i="1"/>
  <c r="AW815" i="1"/>
  <c r="AX826" i="1"/>
  <c r="AW831" i="1"/>
  <c r="AW846" i="1"/>
  <c r="AW851" i="1"/>
  <c r="AW866" i="1"/>
  <c r="AW875" i="1"/>
  <c r="AW951" i="1"/>
  <c r="AW955" i="1"/>
  <c r="AX960" i="1"/>
  <c r="AW1004" i="1"/>
  <c r="AW1015" i="1"/>
  <c r="AW1019" i="1"/>
  <c r="AX1024" i="1"/>
  <c r="AW1034" i="1"/>
  <c r="AW639" i="1"/>
  <c r="AX650" i="1"/>
  <c r="AW757" i="1"/>
  <c r="AW773" i="1"/>
  <c r="AW789" i="1"/>
  <c r="AW805" i="1"/>
  <c r="AW821" i="1"/>
  <c r="AW837" i="1"/>
  <c r="AW842" i="1"/>
  <c r="AW890" i="1"/>
  <c r="AW931" i="1"/>
  <c r="AX1000" i="1"/>
  <c r="AX1064" i="1"/>
  <c r="AX576" i="1"/>
  <c r="AX592" i="1"/>
  <c r="AX608" i="1"/>
  <c r="AX624" i="1"/>
  <c r="AW661" i="1"/>
  <c r="AX668" i="1"/>
  <c r="AX696" i="1"/>
  <c r="AW709" i="1"/>
  <c r="AW715" i="1"/>
  <c r="AW733" i="1"/>
  <c r="AW739" i="1"/>
  <c r="AW745" i="1"/>
  <c r="AX758" i="1"/>
  <c r="AW763" i="1"/>
  <c r="AX774" i="1"/>
  <c r="AW779" i="1"/>
  <c r="AX790" i="1"/>
  <c r="AW795" i="1"/>
  <c r="AX806" i="1"/>
  <c r="AW811" i="1"/>
  <c r="AX822" i="1"/>
  <c r="AW827" i="1"/>
  <c r="AX838" i="1"/>
  <c r="AX863" i="1"/>
  <c r="AW895" i="1"/>
  <c r="AW922" i="1"/>
  <c r="AW927" i="1"/>
  <c r="AW956" i="1"/>
  <c r="AW967" i="1"/>
  <c r="AW971" i="1"/>
  <c r="AX976" i="1"/>
  <c r="AW1020" i="1"/>
  <c r="AW1031" i="1"/>
  <c r="AW1035" i="1"/>
  <c r="AX1040" i="1"/>
  <c r="AW947" i="1"/>
  <c r="AX952" i="1"/>
  <c r="AW996" i="1"/>
  <c r="AW1007" i="1"/>
  <c r="AW1011" i="1"/>
  <c r="AX1016" i="1"/>
  <c r="AW1060" i="1"/>
  <c r="AX636" i="1"/>
  <c r="AW640" i="1"/>
  <c r="AW670" i="1"/>
  <c r="AX692" i="1"/>
  <c r="AW697" i="1"/>
  <c r="AW741" i="1"/>
  <c r="AW747" i="1"/>
  <c r="AX770" i="1"/>
  <c r="AX786" i="1"/>
  <c r="AX802" i="1"/>
  <c r="AX818" i="1"/>
  <c r="AX834" i="1"/>
  <c r="AX864" i="1"/>
  <c r="AX992" i="1"/>
  <c r="AX1056" i="1"/>
  <c r="AX83" i="1"/>
  <c r="AW83" i="1"/>
  <c r="AY79" i="1"/>
  <c r="BA79" i="1" s="1"/>
  <c r="AU5" i="1"/>
  <c r="AY203" i="1"/>
  <c r="BA203" i="1" s="1"/>
  <c r="AY94" i="1"/>
  <c r="BA94" i="1" s="1"/>
  <c r="AY174" i="1"/>
  <c r="BA174" i="1" s="1"/>
  <c r="AU10" i="1"/>
  <c r="AY14" i="1"/>
  <c r="BA14" i="1" s="1"/>
  <c r="AX27" i="1"/>
  <c r="AZ29" i="1"/>
  <c r="BB29" i="1" s="1"/>
  <c r="AU30" i="1"/>
  <c r="AY33" i="1"/>
  <c r="BA33" i="1" s="1"/>
  <c r="AY37" i="1"/>
  <c r="BA37" i="1" s="1"/>
  <c r="AY39" i="1"/>
  <c r="BA39" i="1" s="1"/>
  <c r="AY43" i="1"/>
  <c r="BA43" i="1" s="1"/>
  <c r="AY52" i="1"/>
  <c r="BA52" i="1" s="1"/>
  <c r="AZ54" i="1"/>
  <c r="BB54" i="1" s="1"/>
  <c r="AW54" i="1"/>
  <c r="AX54" i="1" s="1"/>
  <c r="AZ63" i="1"/>
  <c r="BB63" i="1" s="1"/>
  <c r="AX68" i="1"/>
  <c r="AY74" i="1"/>
  <c r="BA74" i="1" s="1"/>
  <c r="AZ75" i="1"/>
  <c r="BB75" i="1" s="1"/>
  <c r="AU83" i="1"/>
  <c r="AY83" i="1"/>
  <c r="BA83" i="1" s="1"/>
  <c r="AZ88" i="1"/>
  <c r="BB88" i="1" s="1"/>
  <c r="AY90" i="1"/>
  <c r="BA90" i="1" s="1"/>
  <c r="AZ115" i="1"/>
  <c r="BB115" i="1" s="1"/>
  <c r="AX115" i="1"/>
  <c r="AW115" i="1"/>
  <c r="AY134" i="1"/>
  <c r="BA134" i="1" s="1"/>
  <c r="AZ212" i="1"/>
  <c r="BB212" i="1" s="1"/>
  <c r="AX259" i="1"/>
  <c r="AW259" i="1"/>
  <c r="AZ145" i="1"/>
  <c r="BB145" i="1" s="1"/>
  <c r="AW145" i="1"/>
  <c r="AX145" i="1" s="1"/>
  <c r="AW5" i="1"/>
  <c r="AU11" i="1"/>
  <c r="AX16" i="1"/>
  <c r="AU19" i="1"/>
  <c r="AY209" i="1"/>
  <c r="BA209" i="1" s="1"/>
  <c r="AY138" i="1"/>
  <c r="BA138" i="1" s="1"/>
  <c r="AY103" i="1"/>
  <c r="BA103" i="1" s="1"/>
  <c r="AY170" i="1"/>
  <c r="BA170" i="1" s="1"/>
  <c r="AY104" i="1"/>
  <c r="BA104" i="1" s="1"/>
  <c r="AZ27" i="1"/>
  <c r="BB27" i="1" s="1"/>
  <c r="AX29" i="1"/>
  <c r="AY30" i="1"/>
  <c r="BA30" i="1" s="1"/>
  <c r="AX31" i="1"/>
  <c r="AZ41" i="1"/>
  <c r="BB41" i="1" s="1"/>
  <c r="AZ45" i="1"/>
  <c r="BB45" i="1" s="1"/>
  <c r="AU46" i="1"/>
  <c r="AY49" i="1"/>
  <c r="BA49" i="1" s="1"/>
  <c r="AY53" i="1"/>
  <c r="BA53" i="1" s="1"/>
  <c r="AW56" i="1"/>
  <c r="AY59" i="1"/>
  <c r="BA59" i="1" s="1"/>
  <c r="AY68" i="1"/>
  <c r="BA68" i="1" s="1"/>
  <c r="AW69" i="1"/>
  <c r="AZ70" i="1"/>
  <c r="BB70" i="1" s="1"/>
  <c r="AW70" i="1"/>
  <c r="AX70" i="1" s="1"/>
  <c r="AU73" i="1"/>
  <c r="AZ83" i="1"/>
  <c r="BB83" i="1" s="1"/>
  <c r="AW87" i="1"/>
  <c r="AX87" i="1" s="1"/>
  <c r="AZ107" i="1"/>
  <c r="BB107" i="1" s="1"/>
  <c r="AX107" i="1"/>
  <c r="AW107" i="1"/>
  <c r="AZ110" i="1"/>
  <c r="BB110" i="1" s="1"/>
  <c r="AZ122" i="1"/>
  <c r="BB122" i="1" s="1"/>
  <c r="AW122" i="1"/>
  <c r="AX122" i="1" s="1"/>
  <c r="AZ139" i="1"/>
  <c r="BB139" i="1" s="1"/>
  <c r="AU184" i="1"/>
  <c r="AY184" i="1"/>
  <c r="BA184" i="1" s="1"/>
  <c r="AZ182" i="1"/>
  <c r="BB182" i="1" s="1"/>
  <c r="AZ156" i="1"/>
  <c r="BB156" i="1" s="1"/>
  <c r="AW156" i="1"/>
  <c r="AX156" i="1" s="1"/>
  <c r="AU206" i="1"/>
  <c r="AY206" i="1"/>
  <c r="BA206" i="1" s="1"/>
  <c r="AZ211" i="1"/>
  <c r="BB211" i="1" s="1"/>
  <c r="AY195" i="1"/>
  <c r="BA195" i="1" s="1"/>
  <c r="AY189" i="1"/>
  <c r="BA189" i="1" s="1"/>
  <c r="AY161" i="1"/>
  <c r="BA161" i="1" s="1"/>
  <c r="AY102" i="1"/>
  <c r="BA102" i="1" s="1"/>
  <c r="AY136" i="1"/>
  <c r="BA136" i="1" s="1"/>
  <c r="AY64" i="1"/>
  <c r="BA64" i="1" s="1"/>
  <c r="AY56" i="1"/>
  <c r="BA56" i="1" s="1"/>
  <c r="AY168" i="1"/>
  <c r="BA168" i="1" s="1"/>
  <c r="AY210" i="1"/>
  <c r="BA210" i="1" s="1"/>
  <c r="AY92" i="1"/>
  <c r="BA92" i="1" s="1"/>
  <c r="AY150" i="1"/>
  <c r="BA150" i="1" s="1"/>
  <c r="AY188" i="1"/>
  <c r="BA188" i="1" s="1"/>
  <c r="AY160" i="1"/>
  <c r="BA160" i="1" s="1"/>
  <c r="AY144" i="1"/>
  <c r="BA144" i="1" s="1"/>
  <c r="AX67" i="1"/>
  <c r="AZ140" i="1"/>
  <c r="BB140" i="1" s="1"/>
  <c r="AW140" i="1"/>
  <c r="AX140" i="1" s="1"/>
  <c r="AZ188" i="1"/>
  <c r="BB188" i="1" s="1"/>
  <c r="AW188" i="1"/>
  <c r="AX188" i="1" s="1"/>
  <c r="AX5" i="1"/>
  <c r="AZ189" i="1"/>
  <c r="BB189" i="1" s="1"/>
  <c r="AZ6" i="1"/>
  <c r="BB6" i="1" s="1"/>
  <c r="AW6" i="1"/>
  <c r="AX6" i="1" s="1"/>
  <c r="AZ169" i="1"/>
  <c r="BB169" i="1" s="1"/>
  <c r="AZ134" i="1"/>
  <c r="BB134" i="1" s="1"/>
  <c r="AZ121" i="1"/>
  <c r="BB121" i="1" s="1"/>
  <c r="AY80" i="1"/>
  <c r="BA80" i="1" s="1"/>
  <c r="AZ210" i="1"/>
  <c r="BB210" i="1" s="1"/>
  <c r="AZ160" i="1"/>
  <c r="BB160" i="1" s="1"/>
  <c r="AZ100" i="1"/>
  <c r="BB100" i="1" s="1"/>
  <c r="AZ92" i="1"/>
  <c r="BB92" i="1" s="1"/>
  <c r="AZ150" i="1"/>
  <c r="BB150" i="1" s="1"/>
  <c r="AZ144" i="1"/>
  <c r="BB144" i="1" s="1"/>
  <c r="AX11" i="1"/>
  <c r="AZ143" i="1"/>
  <c r="BB143" i="1" s="1"/>
  <c r="AX12" i="1"/>
  <c r="AX19" i="1"/>
  <c r="AZ21" i="1"/>
  <c r="BB21" i="1" s="1"/>
  <c r="AU22" i="1"/>
  <c r="AY191" i="1"/>
  <c r="BA191" i="1" s="1"/>
  <c r="AY186" i="1"/>
  <c r="BA186" i="1" s="1"/>
  <c r="AY198" i="1"/>
  <c r="BA198" i="1" s="1"/>
  <c r="AY182" i="1"/>
  <c r="BA182" i="1" s="1"/>
  <c r="AY165" i="1"/>
  <c r="BA165" i="1" s="1"/>
  <c r="AY155" i="1"/>
  <c r="BA155" i="1" s="1"/>
  <c r="AY25" i="1"/>
  <c r="BA25" i="1" s="1"/>
  <c r="AY88" i="1"/>
  <c r="BA88" i="1" s="1"/>
  <c r="AY32" i="1"/>
  <c r="BA32" i="1" s="1"/>
  <c r="AZ26" i="1"/>
  <c r="BB26" i="1" s="1"/>
  <c r="AY29" i="1"/>
  <c r="BA29" i="1" s="1"/>
  <c r="AY31" i="1"/>
  <c r="BA31" i="1" s="1"/>
  <c r="AW32" i="1"/>
  <c r="AX32" i="1" s="1"/>
  <c r="AY35" i="1"/>
  <c r="BA35" i="1" s="1"/>
  <c r="AW43" i="1"/>
  <c r="AX43" i="1" s="1"/>
  <c r="AY44" i="1"/>
  <c r="BA44" i="1" s="1"/>
  <c r="AW45" i="1"/>
  <c r="AX45" i="1" s="1"/>
  <c r="AZ46" i="1"/>
  <c r="BB46" i="1" s="1"/>
  <c r="AW46" i="1"/>
  <c r="AX46" i="1" s="1"/>
  <c r="AU49" i="1"/>
  <c r="AZ55" i="1"/>
  <c r="BB55" i="1" s="1"/>
  <c r="AX56" i="1"/>
  <c r="AU59" i="1"/>
  <c r="AX60" i="1"/>
  <c r="AY208" i="1"/>
  <c r="BA208" i="1" s="1"/>
  <c r="AY111" i="1"/>
  <c r="BA111" i="1" s="1"/>
  <c r="AY84" i="1"/>
  <c r="BA84" i="1" s="1"/>
  <c r="AY130" i="1"/>
  <c r="BA130" i="1" s="1"/>
  <c r="AU61" i="1"/>
  <c r="AY153" i="1"/>
  <c r="BA153" i="1" s="1"/>
  <c r="AY118" i="1"/>
  <c r="BA118" i="1" s="1"/>
  <c r="AY96" i="1"/>
  <c r="BA96" i="1" s="1"/>
  <c r="AY66" i="1"/>
  <c r="BA66" i="1" s="1"/>
  <c r="AZ67" i="1"/>
  <c r="BB67" i="1" s="1"/>
  <c r="AZ68" i="1"/>
  <c r="BB68" i="1" s="1"/>
  <c r="AX69" i="1"/>
  <c r="AX71" i="1"/>
  <c r="AZ72" i="1"/>
  <c r="BB72" i="1" s="1"/>
  <c r="AZ87" i="1"/>
  <c r="BB87" i="1" s="1"/>
  <c r="AY105" i="1"/>
  <c r="BA105" i="1" s="1"/>
  <c r="AU105" i="1"/>
  <c r="AY163" i="1"/>
  <c r="BA163" i="1" s="1"/>
  <c r="AZ171" i="1"/>
  <c r="BB171" i="1" s="1"/>
  <c r="AZ166" i="1"/>
  <c r="BB166" i="1" s="1"/>
  <c r="AW166" i="1"/>
  <c r="AX166" i="1" s="1"/>
  <c r="AZ178" i="1"/>
  <c r="BB178" i="1" s="1"/>
  <c r="AZ30" i="1"/>
  <c r="BB30" i="1" s="1"/>
  <c r="AW30" i="1"/>
  <c r="AX30" i="1" s="1"/>
  <c r="AY50" i="1"/>
  <c r="BA50" i="1" s="1"/>
  <c r="AY10" i="1"/>
  <c r="BA10" i="1" s="1"/>
  <c r="AZ13" i="1"/>
  <c r="BB13" i="1" s="1"/>
  <c r="AY95" i="1"/>
  <c r="BA95" i="1" s="1"/>
  <c r="AY116" i="1"/>
  <c r="BA116" i="1" s="1"/>
  <c r="AY20" i="1"/>
  <c r="BA20" i="1" s="1"/>
  <c r="AZ209" i="1"/>
  <c r="BB209" i="1" s="1"/>
  <c r="AZ22" i="1"/>
  <c r="BB22" i="1" s="1"/>
  <c r="AW22" i="1"/>
  <c r="AX22" i="1" s="1"/>
  <c r="AZ98" i="1"/>
  <c r="BB98" i="1" s="1"/>
  <c r="AZ31" i="1"/>
  <c r="BB31" i="1" s="1"/>
  <c r="AX36" i="1"/>
  <c r="AY42" i="1"/>
  <c r="BA42" i="1" s="1"/>
  <c r="AZ43" i="1"/>
  <c r="BB43" i="1" s="1"/>
  <c r="AY46" i="1"/>
  <c r="BA46" i="1" s="1"/>
  <c r="AZ48" i="1"/>
  <c r="BB48" i="1" s="1"/>
  <c r="AZ57" i="1"/>
  <c r="BB57" i="1" s="1"/>
  <c r="AX59" i="1"/>
  <c r="AZ190" i="1"/>
  <c r="BB190" i="1" s="1"/>
  <c r="AZ208" i="1"/>
  <c r="BB208" i="1" s="1"/>
  <c r="AZ84" i="1"/>
  <c r="BB84" i="1" s="1"/>
  <c r="AZ76" i="1"/>
  <c r="BB76" i="1" s="1"/>
  <c r="AZ130" i="1"/>
  <c r="BB130" i="1" s="1"/>
  <c r="AZ97" i="1"/>
  <c r="BB97" i="1" s="1"/>
  <c r="AZ184" i="1"/>
  <c r="BB184" i="1" s="1"/>
  <c r="AZ154" i="1"/>
  <c r="BB154" i="1" s="1"/>
  <c r="AZ153" i="1"/>
  <c r="BB153" i="1" s="1"/>
  <c r="AZ118" i="1"/>
  <c r="BB118" i="1" s="1"/>
  <c r="AZ61" i="1"/>
  <c r="BB61" i="1" s="1"/>
  <c r="AZ82" i="1"/>
  <c r="BB82" i="1" s="1"/>
  <c r="AY65" i="1"/>
  <c r="BA65" i="1" s="1"/>
  <c r="AZ66" i="1"/>
  <c r="BB66" i="1" s="1"/>
  <c r="AY69" i="1"/>
  <c r="BA69" i="1" s="1"/>
  <c r="AY71" i="1"/>
  <c r="BA71" i="1" s="1"/>
  <c r="AZ80" i="1"/>
  <c r="BB80" i="1" s="1"/>
  <c r="AU85" i="1"/>
  <c r="AY85" i="1"/>
  <c r="BA85" i="1" s="1"/>
  <c r="AZ86" i="1"/>
  <c r="BB86" i="1" s="1"/>
  <c r="AW91" i="1"/>
  <c r="AX91" i="1" s="1"/>
  <c r="AZ95" i="1"/>
  <c r="BB95" i="1" s="1"/>
  <c r="AZ99" i="1"/>
  <c r="BB99" i="1" s="1"/>
  <c r="AW99" i="1"/>
  <c r="AX99" i="1" s="1"/>
  <c r="AZ102" i="1"/>
  <c r="BB102" i="1" s="1"/>
  <c r="AY133" i="1"/>
  <c r="BA133" i="1" s="1"/>
  <c r="AY179" i="1"/>
  <c r="BA179" i="1" s="1"/>
  <c r="AU179" i="1"/>
  <c r="AZ175" i="1"/>
  <c r="BB175" i="1" s="1"/>
  <c r="AW175" i="1"/>
  <c r="AX175" i="1" s="1"/>
  <c r="AW172" i="1"/>
  <c r="AX172" i="1" s="1"/>
  <c r="AZ172" i="1"/>
  <c r="BB172" i="1" s="1"/>
  <c r="AY45" i="1"/>
  <c r="BA45" i="1" s="1"/>
  <c r="AY47" i="1"/>
  <c r="BA47" i="1" s="1"/>
  <c r="AY51" i="1"/>
  <c r="BA51" i="1" s="1"/>
  <c r="AZ62" i="1"/>
  <c r="BB62" i="1" s="1"/>
  <c r="AW62" i="1"/>
  <c r="AX62" i="1" s="1"/>
  <c r="AZ71" i="1"/>
  <c r="BB71" i="1" s="1"/>
  <c r="AW77" i="1"/>
  <c r="AZ77" i="1"/>
  <c r="BB77" i="1" s="1"/>
  <c r="AZ78" i="1"/>
  <c r="BB78" i="1" s="1"/>
  <c r="AW78" i="1"/>
  <c r="AX78" i="1" s="1"/>
  <c r="AZ81" i="1"/>
  <c r="BB81" i="1" s="1"/>
  <c r="AY89" i="1"/>
  <c r="BA89" i="1" s="1"/>
  <c r="AU89" i="1"/>
  <c r="AZ91" i="1"/>
  <c r="BB91" i="1" s="1"/>
  <c r="AY97" i="1"/>
  <c r="BA97" i="1" s="1"/>
  <c r="AU97" i="1"/>
  <c r="AY108" i="1"/>
  <c r="BA108" i="1" s="1"/>
  <c r="AZ112" i="1"/>
  <c r="BB112" i="1" s="1"/>
  <c r="AY123" i="1"/>
  <c r="BA123" i="1" s="1"/>
  <c r="AU123" i="1"/>
  <c r="AZ136" i="1"/>
  <c r="BB136" i="1" s="1"/>
  <c r="AW136" i="1"/>
  <c r="AX136" i="1" s="1"/>
  <c r="AW141" i="1"/>
  <c r="AZ141" i="1"/>
  <c r="BB141" i="1" s="1"/>
  <c r="AX141" i="1"/>
  <c r="AZ198" i="1"/>
  <c r="BB198" i="1" s="1"/>
  <c r="AZ203" i="1"/>
  <c r="BB203" i="1" s="1"/>
  <c r="AZ146" i="1"/>
  <c r="BB146" i="1" s="1"/>
  <c r="AZ133" i="1"/>
  <c r="BB133" i="1" s="1"/>
  <c r="AZ174" i="1"/>
  <c r="BB174" i="1" s="1"/>
  <c r="AZ5" i="1"/>
  <c r="BB5" i="1" s="1"/>
  <c r="AZ39" i="1"/>
  <c r="BB39" i="1" s="1"/>
  <c r="AY6" i="1"/>
  <c r="BA6" i="1" s="1"/>
  <c r="AZ116" i="1"/>
  <c r="BB116" i="1" s="1"/>
  <c r="AZ177" i="1"/>
  <c r="BB177" i="1" s="1"/>
  <c r="AZ176" i="1"/>
  <c r="BB176" i="1" s="1"/>
  <c r="AY212" i="1"/>
  <c r="BA212" i="1" s="1"/>
  <c r="AY147" i="1"/>
  <c r="BA147" i="1" s="1"/>
  <c r="AY171" i="1"/>
  <c r="BA171" i="1" s="1"/>
  <c r="AY120" i="1"/>
  <c r="BA120" i="1" s="1"/>
  <c r="AY9" i="1"/>
  <c r="BA9" i="1" s="1"/>
  <c r="AY112" i="1"/>
  <c r="BA112" i="1" s="1"/>
  <c r="AY16" i="1"/>
  <c r="BA16" i="1" s="1"/>
  <c r="AY139" i="1"/>
  <c r="BA139" i="1" s="1"/>
  <c r="AY11" i="1"/>
  <c r="BA11" i="1" s="1"/>
  <c r="AY12" i="1"/>
  <c r="BA12" i="1" s="1"/>
  <c r="AY18" i="1"/>
  <c r="BA18" i="1" s="1"/>
  <c r="AZ24" i="1"/>
  <c r="BB24" i="1" s="1"/>
  <c r="AZ90" i="1"/>
  <c r="BB90" i="1" s="1"/>
  <c r="AW8" i="1"/>
  <c r="AX8" i="1" s="1"/>
  <c r="AU9" i="1"/>
  <c r="AZ11" i="1"/>
  <c r="BB11" i="1" s="1"/>
  <c r="AZ12" i="1"/>
  <c r="BB12" i="1" s="1"/>
  <c r="AX13" i="1"/>
  <c r="AZ14" i="1"/>
  <c r="BB14" i="1" s="1"/>
  <c r="AW14" i="1"/>
  <c r="AX14" i="1" s="1"/>
  <c r="AY173" i="1"/>
  <c r="BA173" i="1" s="1"/>
  <c r="AY135" i="1"/>
  <c r="BA135" i="1" s="1"/>
  <c r="AY124" i="1"/>
  <c r="BA124" i="1" s="1"/>
  <c r="AY17" i="1"/>
  <c r="BA17" i="1" s="1"/>
  <c r="AY192" i="1"/>
  <c r="BA192" i="1" s="1"/>
  <c r="AY172" i="1"/>
  <c r="BA172" i="1" s="1"/>
  <c r="AY158" i="1"/>
  <c r="BA158" i="1" s="1"/>
  <c r="AY72" i="1"/>
  <c r="BA72" i="1" s="1"/>
  <c r="AY48" i="1"/>
  <c r="BA48" i="1" s="1"/>
  <c r="AY40" i="1"/>
  <c r="BA40" i="1" s="1"/>
  <c r="AY24" i="1"/>
  <c r="BA24" i="1" s="1"/>
  <c r="AZ18" i="1"/>
  <c r="BB18" i="1" s="1"/>
  <c r="AY21" i="1"/>
  <c r="BA21" i="1" s="1"/>
  <c r="AW24" i="1"/>
  <c r="AX24" i="1" s="1"/>
  <c r="AY27" i="1"/>
  <c r="BA27" i="1" s="1"/>
  <c r="AY193" i="1"/>
  <c r="BA193" i="1" s="1"/>
  <c r="AY183" i="1"/>
  <c r="BA183" i="1" s="1"/>
  <c r="AY178" i="1"/>
  <c r="BA178" i="1" s="1"/>
  <c r="AY87" i="1"/>
  <c r="BA87" i="1" s="1"/>
  <c r="AY110" i="1"/>
  <c r="BA110" i="1" s="1"/>
  <c r="AU28" i="1"/>
  <c r="AY152" i="1"/>
  <c r="BA152" i="1" s="1"/>
  <c r="AW35" i="1"/>
  <c r="AX35" i="1" s="1"/>
  <c r="AY36" i="1"/>
  <c r="BA36" i="1" s="1"/>
  <c r="AW37" i="1"/>
  <c r="AX37" i="1" s="1"/>
  <c r="AZ38" i="1"/>
  <c r="BB38" i="1" s="1"/>
  <c r="AW38" i="1"/>
  <c r="AX38" i="1" s="1"/>
  <c r="AU41" i="1"/>
  <c r="AZ47" i="1"/>
  <c r="BB47" i="1" s="1"/>
  <c r="AX48" i="1"/>
  <c r="AU51" i="1"/>
  <c r="AX52" i="1"/>
  <c r="AY58" i="1"/>
  <c r="BA58" i="1" s="1"/>
  <c r="AZ59" i="1"/>
  <c r="BB59" i="1" s="1"/>
  <c r="AZ60" i="1"/>
  <c r="BB60" i="1" s="1"/>
  <c r="AX61" i="1"/>
  <c r="AY62" i="1"/>
  <c r="BA62" i="1" s="1"/>
  <c r="AX63" i="1"/>
  <c r="AZ64" i="1"/>
  <c r="BB64" i="1" s="1"/>
  <c r="AZ73" i="1"/>
  <c r="BB73" i="1" s="1"/>
  <c r="AX75" i="1"/>
  <c r="AX77" i="1"/>
  <c r="AY78" i="1"/>
  <c r="BA78" i="1" s="1"/>
  <c r="AZ79" i="1"/>
  <c r="BB79" i="1" s="1"/>
  <c r="AU93" i="1"/>
  <c r="AY93" i="1"/>
  <c r="BA93" i="1" s="1"/>
  <c r="AZ94" i="1"/>
  <c r="BB94" i="1" s="1"/>
  <c r="AY106" i="1"/>
  <c r="BA106" i="1" s="1"/>
  <c r="AZ117" i="1"/>
  <c r="BB117" i="1" s="1"/>
  <c r="AY121" i="1"/>
  <c r="BA121" i="1" s="1"/>
  <c r="AY132" i="1"/>
  <c r="BA132" i="1" s="1"/>
  <c r="AU132" i="1"/>
  <c r="AZ137" i="1"/>
  <c r="BB137" i="1" s="1"/>
  <c r="AZ138" i="1"/>
  <c r="BB138" i="1" s="1"/>
  <c r="AY154" i="1"/>
  <c r="BA154" i="1" s="1"/>
  <c r="AU154" i="1"/>
  <c r="AZ152" i="1"/>
  <c r="BB152" i="1" s="1"/>
  <c r="AW152" i="1"/>
  <c r="AX152" i="1" s="1"/>
  <c r="AY205" i="1"/>
  <c r="BA205" i="1" s="1"/>
  <c r="AZ51" i="1"/>
  <c r="BB51" i="1" s="1"/>
  <c r="AY81" i="1"/>
  <c r="BA81" i="1" s="1"/>
  <c r="AU81" i="1"/>
  <c r="AZ96" i="1"/>
  <c r="BB96" i="1" s="1"/>
  <c r="AY113" i="1"/>
  <c r="BA113" i="1" s="1"/>
  <c r="AU113" i="1"/>
  <c r="AZ185" i="1"/>
  <c r="BB185" i="1" s="1"/>
  <c r="AZ200" i="1"/>
  <c r="BB200" i="1" s="1"/>
  <c r="AZ105" i="1"/>
  <c r="BB105" i="1" s="1"/>
  <c r="AZ89" i="1"/>
  <c r="BB89" i="1" s="1"/>
  <c r="AW15" i="1"/>
  <c r="AX15" i="1" s="1"/>
  <c r="AZ149" i="1"/>
  <c r="BB149" i="1" s="1"/>
  <c r="AZ157" i="1"/>
  <c r="BB157" i="1" s="1"/>
  <c r="AZ23" i="1"/>
  <c r="BB23" i="1" s="1"/>
  <c r="AZ35" i="1"/>
  <c r="BB35" i="1" s="1"/>
  <c r="AZ36" i="1"/>
  <c r="BB36" i="1" s="1"/>
  <c r="AZ40" i="1"/>
  <c r="BB40" i="1" s="1"/>
  <c r="AZ49" i="1"/>
  <c r="BB49" i="1" s="1"/>
  <c r="AX51" i="1"/>
  <c r="AZ53" i="1"/>
  <c r="BB53" i="1" s="1"/>
  <c r="AY57" i="1"/>
  <c r="BA57" i="1" s="1"/>
  <c r="AZ58" i="1"/>
  <c r="BB58" i="1" s="1"/>
  <c r="AY67" i="1"/>
  <c r="BA67" i="1" s="1"/>
  <c r="AY100" i="1"/>
  <c r="BA100" i="1" s="1"/>
  <c r="AZ104" i="1"/>
  <c r="BB104" i="1" s="1"/>
  <c r="AY119" i="1"/>
  <c r="BA119" i="1" s="1"/>
  <c r="AU119" i="1"/>
  <c r="AZ132" i="1"/>
  <c r="BB132" i="1" s="1"/>
  <c r="AY140" i="1"/>
  <c r="BA140" i="1" s="1"/>
  <c r="AY176" i="1"/>
  <c r="BA176" i="1" s="1"/>
  <c r="AY164" i="1"/>
  <c r="BA164" i="1" s="1"/>
  <c r="AZ187" i="1"/>
  <c r="BB187" i="1" s="1"/>
  <c r="AY151" i="1"/>
  <c r="BA151" i="1" s="1"/>
  <c r="AU151" i="1"/>
  <c r="AY101" i="1"/>
  <c r="BA101" i="1" s="1"/>
  <c r="AZ106" i="1"/>
  <c r="BB106" i="1" s="1"/>
  <c r="AY109" i="1"/>
  <c r="BA109" i="1" s="1"/>
  <c r="AZ114" i="1"/>
  <c r="BB114" i="1" s="1"/>
  <c r="AY131" i="1"/>
  <c r="BA131" i="1" s="1"/>
  <c r="AY148" i="1"/>
  <c r="BA148" i="1" s="1"/>
  <c r="AZ158" i="1"/>
  <c r="BB158" i="1" s="1"/>
  <c r="AW158" i="1"/>
  <c r="AX158" i="1" s="1"/>
  <c r="AZ173" i="1"/>
  <c r="BB173" i="1" s="1"/>
  <c r="AZ206" i="1"/>
  <c r="BB206" i="1" s="1"/>
  <c r="AW206" i="1"/>
  <c r="AY200" i="1"/>
  <c r="BA200" i="1" s="1"/>
  <c r="AU200" i="1"/>
  <c r="AW553" i="1"/>
  <c r="AX553" i="1"/>
  <c r="AX910" i="1"/>
  <c r="AW910" i="1"/>
  <c r="AW944" i="1"/>
  <c r="AX944" i="1"/>
  <c r="AY199" i="1"/>
  <c r="BA199" i="1" s="1"/>
  <c r="AZ192" i="1"/>
  <c r="BB192" i="1" s="1"/>
  <c r="AZ85" i="1"/>
  <c r="BB85" i="1" s="1"/>
  <c r="AW86" i="1"/>
  <c r="AX86" i="1" s="1"/>
  <c r="AZ93" i="1"/>
  <c r="BB93" i="1" s="1"/>
  <c r="AW94" i="1"/>
  <c r="AX94" i="1" s="1"/>
  <c r="AU100" i="1"/>
  <c r="AZ101" i="1"/>
  <c r="BB101" i="1" s="1"/>
  <c r="AW102" i="1"/>
  <c r="AX102" i="1" s="1"/>
  <c r="AU108" i="1"/>
  <c r="AZ109" i="1"/>
  <c r="BB109" i="1" s="1"/>
  <c r="AW110" i="1"/>
  <c r="AU133" i="1"/>
  <c r="AX129" i="1"/>
  <c r="AY137" i="1"/>
  <c r="BA137" i="1" s="1"/>
  <c r="AY141" i="1"/>
  <c r="BA141" i="1" s="1"/>
  <c r="AZ142" i="1"/>
  <c r="BB142" i="1" s="1"/>
  <c r="AU131" i="1"/>
  <c r="AZ179" i="1"/>
  <c r="BB179" i="1" s="1"/>
  <c r="AX179" i="1"/>
  <c r="AZ162" i="1"/>
  <c r="BB162" i="1" s="1"/>
  <c r="AU163" i="1"/>
  <c r="AU148" i="1"/>
  <c r="AY149" i="1"/>
  <c r="BA149" i="1" s="1"/>
  <c r="AW173" i="1"/>
  <c r="AX173" i="1" s="1"/>
  <c r="AW151" i="1"/>
  <c r="AX151" i="1" s="1"/>
  <c r="AX206" i="1"/>
  <c r="AZ195" i="1"/>
  <c r="BB195" i="1" s="1"/>
  <c r="AY196" i="1"/>
  <c r="BA196" i="1" s="1"/>
  <c r="AX215" i="1"/>
  <c r="AW215" i="1"/>
  <c r="AX231" i="1"/>
  <c r="AW231" i="1"/>
  <c r="AX247" i="1"/>
  <c r="AW247" i="1"/>
  <c r="AX268" i="1"/>
  <c r="AW268" i="1"/>
  <c r="AY91" i="1"/>
  <c r="BA91" i="1" s="1"/>
  <c r="AY99" i="1"/>
  <c r="BA99" i="1" s="1"/>
  <c r="AY107" i="1"/>
  <c r="BA107" i="1" s="1"/>
  <c r="AX110" i="1"/>
  <c r="AY115" i="1"/>
  <c r="BA115" i="1" s="1"/>
  <c r="AY117" i="1"/>
  <c r="BA117" i="1" s="1"/>
  <c r="AY122" i="1"/>
  <c r="BA122" i="1" s="1"/>
  <c r="AX133" i="1"/>
  <c r="AZ129" i="1"/>
  <c r="BB129" i="1" s="1"/>
  <c r="AY145" i="1"/>
  <c r="BA145" i="1" s="1"/>
  <c r="AY146" i="1"/>
  <c r="BA146" i="1" s="1"/>
  <c r="AW154" i="1"/>
  <c r="AX154" i="1" s="1"/>
  <c r="AW162" i="1"/>
  <c r="AX162" i="1" s="1"/>
  <c r="AZ163" i="1"/>
  <c r="BB163" i="1" s="1"/>
  <c r="AW163" i="1"/>
  <c r="AX163" i="1" s="1"/>
  <c r="AX170" i="1"/>
  <c r="AZ147" i="1"/>
  <c r="BB147" i="1" s="1"/>
  <c r="AY185" i="1"/>
  <c r="BA185" i="1" s="1"/>
  <c r="AY166" i="1"/>
  <c r="BA166" i="1" s="1"/>
  <c r="AZ159" i="1"/>
  <c r="BB159" i="1" s="1"/>
  <c r="AZ151" i="1"/>
  <c r="BB151" i="1" s="1"/>
  <c r="AY202" i="1"/>
  <c r="BA202" i="1" s="1"/>
  <c r="AU202" i="1"/>
  <c r="AZ196" i="1"/>
  <c r="BB196" i="1" s="1"/>
  <c r="AW196" i="1"/>
  <c r="AX196" i="1" s="1"/>
  <c r="AZ191" i="1"/>
  <c r="BB191" i="1" s="1"/>
  <c r="AZ201" i="1"/>
  <c r="BB201" i="1" s="1"/>
  <c r="AW274" i="1"/>
  <c r="AX274" i="1"/>
  <c r="AY143" i="1"/>
  <c r="BA143" i="1" s="1"/>
  <c r="AY180" i="1"/>
  <c r="BA180" i="1" s="1"/>
  <c r="AZ181" i="1"/>
  <c r="BB181" i="1" s="1"/>
  <c r="AZ167" i="1"/>
  <c r="BB167" i="1" s="1"/>
  <c r="AY187" i="1"/>
  <c r="BA187" i="1" s="1"/>
  <c r="AY194" i="1"/>
  <c r="BA194" i="1" s="1"/>
  <c r="AW202" i="1"/>
  <c r="AX202" i="1" s="1"/>
  <c r="AY207" i="1"/>
  <c r="BA207" i="1" s="1"/>
  <c r="AW95" i="1"/>
  <c r="AX95" i="1" s="1"/>
  <c r="AW103" i="1"/>
  <c r="AX103" i="1" s="1"/>
  <c r="AW111" i="1"/>
  <c r="AX111" i="1" s="1"/>
  <c r="AW120" i="1"/>
  <c r="AX120" i="1" s="1"/>
  <c r="AZ123" i="1"/>
  <c r="BB123" i="1" s="1"/>
  <c r="AW124" i="1"/>
  <c r="AX124" i="1" s="1"/>
  <c r="AU125" i="1"/>
  <c r="AW127" i="1"/>
  <c r="AX127" i="1" s="1"/>
  <c r="AW137" i="1"/>
  <c r="AX138" i="1"/>
  <c r="AY142" i="1"/>
  <c r="BA142" i="1" s="1"/>
  <c r="AZ131" i="1"/>
  <c r="BB131" i="1" s="1"/>
  <c r="AU143" i="1"/>
  <c r="AZ180" i="1"/>
  <c r="BB180" i="1" s="1"/>
  <c r="AW181" i="1"/>
  <c r="AX181" i="1" s="1"/>
  <c r="AY177" i="1"/>
  <c r="BA177" i="1" s="1"/>
  <c r="AW167" i="1"/>
  <c r="AX167" i="1" s="1"/>
  <c r="AX161" i="1"/>
  <c r="AY169" i="1"/>
  <c r="BA169" i="1" s="1"/>
  <c r="AY162" i="1"/>
  <c r="BA162" i="1" s="1"/>
  <c r="AZ170" i="1"/>
  <c r="BB170" i="1" s="1"/>
  <c r="AX147" i="1"/>
  <c r="AZ148" i="1"/>
  <c r="BB148" i="1" s="1"/>
  <c r="AX185" i="1"/>
  <c r="AZ164" i="1"/>
  <c r="BB164" i="1" s="1"/>
  <c r="AU187" i="1"/>
  <c r="AU194" i="1"/>
  <c r="AZ202" i="1"/>
  <c r="BB202" i="1" s="1"/>
  <c r="AZ197" i="1"/>
  <c r="BB197" i="1" s="1"/>
  <c r="AZ199" i="1"/>
  <c r="BB199" i="1" s="1"/>
  <c r="AY204" i="1"/>
  <c r="BA204" i="1" s="1"/>
  <c r="AX302" i="1"/>
  <c r="AW302" i="1"/>
  <c r="AX303" i="1"/>
  <c r="AW303" i="1"/>
  <c r="AZ113" i="1"/>
  <c r="BB113" i="1" s="1"/>
  <c r="AZ119" i="1"/>
  <c r="BB119" i="1" s="1"/>
  <c r="AZ128" i="1"/>
  <c r="BB128" i="1" s="1"/>
  <c r="AX128" i="1"/>
  <c r="AX137" i="1"/>
  <c r="AY175" i="1"/>
  <c r="BA175" i="1" s="1"/>
  <c r="AY167" i="1"/>
  <c r="BA167" i="1" s="1"/>
  <c r="AZ168" i="1"/>
  <c r="BB168" i="1" s="1"/>
  <c r="AZ165" i="1"/>
  <c r="BB165" i="1" s="1"/>
  <c r="AW165" i="1"/>
  <c r="AX165" i="1" s="1"/>
  <c r="AZ186" i="1"/>
  <c r="BB186" i="1" s="1"/>
  <c r="AY156" i="1"/>
  <c r="BA156" i="1" s="1"/>
  <c r="AZ183" i="1"/>
  <c r="BB183" i="1" s="1"/>
  <c r="AY190" i="1"/>
  <c r="BA190" i="1" s="1"/>
  <c r="AU190" i="1"/>
  <c r="AZ204" i="1"/>
  <c r="BB204" i="1" s="1"/>
  <c r="AW204" i="1"/>
  <c r="AX204" i="1" s="1"/>
  <c r="AZ193" i="1"/>
  <c r="BB193" i="1" s="1"/>
  <c r="AX223" i="1"/>
  <c r="AW223" i="1"/>
  <c r="AX239" i="1"/>
  <c r="AW239" i="1"/>
  <c r="AX256" i="1"/>
  <c r="AW256" i="1"/>
  <c r="AX265" i="1"/>
  <c r="AW265" i="1"/>
  <c r="AZ108" i="1"/>
  <c r="BB108" i="1" s="1"/>
  <c r="AZ120" i="1"/>
  <c r="BB120" i="1" s="1"/>
  <c r="AY127" i="1"/>
  <c r="BA127" i="1" s="1"/>
  <c r="AY129" i="1"/>
  <c r="BA129" i="1" s="1"/>
  <c r="AX144" i="1"/>
  <c r="AY181" i="1"/>
  <c r="BA181" i="1" s="1"/>
  <c r="AZ161" i="1"/>
  <c r="BB161" i="1" s="1"/>
  <c r="AX157" i="1"/>
  <c r="AY159" i="1"/>
  <c r="BA159" i="1" s="1"/>
  <c r="AX178" i="1"/>
  <c r="AZ207" i="1"/>
  <c r="BB207" i="1" s="1"/>
  <c r="AX283" i="1"/>
  <c r="AW283" i="1"/>
  <c r="AU196" i="1"/>
  <c r="AW197" i="1"/>
  <c r="AX197" i="1" s="1"/>
  <c r="AU204" i="1"/>
  <c r="AW211" i="1"/>
  <c r="AX211" i="1" s="1"/>
  <c r="AY201" i="1"/>
  <c r="BA201" i="1" s="1"/>
  <c r="AX258" i="1"/>
  <c r="AX326" i="1"/>
  <c r="AW326" i="1"/>
  <c r="AX438" i="1"/>
  <c r="AW438" i="1"/>
  <c r="AW513" i="1"/>
  <c r="AX513" i="1"/>
  <c r="AY197" i="1"/>
  <c r="BA197" i="1" s="1"/>
  <c r="AY211" i="1"/>
  <c r="BA211" i="1" s="1"/>
  <c r="AX278" i="1"/>
  <c r="AW278" i="1"/>
  <c r="AX279" i="1"/>
  <c r="AW279" i="1"/>
  <c r="AX342" i="1"/>
  <c r="AW342" i="1"/>
  <c r="AX358" i="1"/>
  <c r="AW358" i="1"/>
  <c r="AX374" i="1"/>
  <c r="AW374" i="1"/>
  <c r="AX390" i="1"/>
  <c r="AW390" i="1"/>
  <c r="AX406" i="1"/>
  <c r="AW406" i="1"/>
  <c r="AX422" i="1"/>
  <c r="AW422" i="1"/>
  <c r="AX446" i="1"/>
  <c r="AW446" i="1"/>
  <c r="AW207" i="1"/>
  <c r="AX207" i="1" s="1"/>
  <c r="AW191" i="1"/>
  <c r="AX191" i="1" s="1"/>
  <c r="AW193" i="1"/>
  <c r="AX193" i="1" s="1"/>
  <c r="AW218" i="1"/>
  <c r="AW226" i="1"/>
  <c r="AW234" i="1"/>
  <c r="AW242" i="1"/>
  <c r="AX250" i="1"/>
  <c r="AW262" i="1"/>
  <c r="AW271" i="1"/>
  <c r="AW280" i="1"/>
  <c r="AX318" i="1"/>
  <c r="AW318" i="1"/>
  <c r="AW323" i="1"/>
  <c r="AX294" i="1"/>
  <c r="AW294" i="1"/>
  <c r="AX295" i="1"/>
  <c r="AW295" i="1"/>
  <c r="AX454" i="1"/>
  <c r="AW454" i="1"/>
  <c r="AX534" i="1"/>
  <c r="AW534" i="1"/>
  <c r="AX334" i="1"/>
  <c r="AW334" i="1"/>
  <c r="AW198" i="1"/>
  <c r="AX198" i="1" s="1"/>
  <c r="AW219" i="1"/>
  <c r="AW227" i="1"/>
  <c r="AW235" i="1"/>
  <c r="AW243" i="1"/>
  <c r="AW254" i="1"/>
  <c r="AW263" i="1"/>
  <c r="AX310" i="1"/>
  <c r="AW310" i="1"/>
  <c r="AW315" i="1"/>
  <c r="AX350" i="1"/>
  <c r="AW350" i="1"/>
  <c r="AX366" i="1"/>
  <c r="AW366" i="1"/>
  <c r="AX382" i="1"/>
  <c r="AW382" i="1"/>
  <c r="AX398" i="1"/>
  <c r="AW398" i="1"/>
  <c r="AX414" i="1"/>
  <c r="AW414" i="1"/>
  <c r="AX430" i="1"/>
  <c r="AW430" i="1"/>
  <c r="AX462" i="1"/>
  <c r="AW462" i="1"/>
  <c r="AX471" i="1"/>
  <c r="AW471" i="1"/>
  <c r="AX286" i="1"/>
  <c r="AW286" i="1"/>
  <c r="AX287" i="1"/>
  <c r="AW287" i="1"/>
  <c r="AX530" i="1"/>
  <c r="AW530" i="1"/>
  <c r="AX637" i="1"/>
  <c r="AW637" i="1"/>
  <c r="AX643" i="1"/>
  <c r="AW643" i="1"/>
  <c r="AW724" i="1"/>
  <c r="AX724" i="1"/>
  <c r="AX522" i="1"/>
  <c r="AW522" i="1"/>
  <c r="AX554" i="1"/>
  <c r="AW554" i="1"/>
  <c r="AX664" i="1"/>
  <c r="AW664" i="1"/>
  <c r="AW756" i="1"/>
  <c r="AX756" i="1"/>
  <c r="AX490" i="1"/>
  <c r="AX497" i="1"/>
  <c r="AX505" i="1"/>
  <c r="AX514" i="1"/>
  <c r="AW514" i="1"/>
  <c r="AW545" i="1"/>
  <c r="AX545" i="1"/>
  <c r="AX558" i="1"/>
  <c r="AW558" i="1"/>
  <c r="AX570" i="1"/>
  <c r="AW570" i="1"/>
  <c r="AX586" i="1"/>
  <c r="AW586" i="1"/>
  <c r="AX602" i="1"/>
  <c r="AW602" i="1"/>
  <c r="AX618" i="1"/>
  <c r="AW618" i="1"/>
  <c r="AX634" i="1"/>
  <c r="AW634" i="1"/>
  <c r="AX673" i="1"/>
  <c r="AW673" i="1"/>
  <c r="AW708" i="1"/>
  <c r="AX708" i="1"/>
  <c r="AX506" i="1"/>
  <c r="AW506" i="1"/>
  <c r="AX546" i="1"/>
  <c r="AW546" i="1"/>
  <c r="AX646" i="1"/>
  <c r="AW646" i="1"/>
  <c r="AW311" i="1"/>
  <c r="AW319" i="1"/>
  <c r="AW327" i="1"/>
  <c r="AW335" i="1"/>
  <c r="AW343" i="1"/>
  <c r="AW351" i="1"/>
  <c r="AW359" i="1"/>
  <c r="AW367" i="1"/>
  <c r="AW375" i="1"/>
  <c r="AW383" i="1"/>
  <c r="AW391" i="1"/>
  <c r="AW399" i="1"/>
  <c r="AW407" i="1"/>
  <c r="AW415" i="1"/>
  <c r="AW423" i="1"/>
  <c r="AW431" i="1"/>
  <c r="AW439" i="1"/>
  <c r="AW447" i="1"/>
  <c r="AW455" i="1"/>
  <c r="AW463" i="1"/>
  <c r="AW488" i="1"/>
  <c r="AW491" i="1"/>
  <c r="AX498" i="1"/>
  <c r="AW518" i="1"/>
  <c r="AW537" i="1"/>
  <c r="AX537" i="1"/>
  <c r="AW740" i="1"/>
  <c r="AX740" i="1"/>
  <c r="AW346" i="1"/>
  <c r="AW354" i="1"/>
  <c r="AW362" i="1"/>
  <c r="AW370" i="1"/>
  <c r="AW378" i="1"/>
  <c r="AW386" i="1"/>
  <c r="AW394" i="1"/>
  <c r="AW402" i="1"/>
  <c r="AW410" i="1"/>
  <c r="AW418" i="1"/>
  <c r="AW426" i="1"/>
  <c r="AW434" i="1"/>
  <c r="AW442" i="1"/>
  <c r="AW450" i="1"/>
  <c r="AW458" i="1"/>
  <c r="AW464" i="1"/>
  <c r="AW467" i="1"/>
  <c r="AX538" i="1"/>
  <c r="AW538" i="1"/>
  <c r="AW550" i="1"/>
  <c r="AW652" i="1"/>
  <c r="AX652" i="1"/>
  <c r="AW479" i="1"/>
  <c r="AW495" i="1"/>
  <c r="AW502" i="1"/>
  <c r="AW511" i="1"/>
  <c r="AW529" i="1"/>
  <c r="AX529" i="1"/>
  <c r="AX562" i="1"/>
  <c r="AW562" i="1"/>
  <c r="AX566" i="1"/>
  <c r="AW566" i="1"/>
  <c r="AX578" i="1"/>
  <c r="AW578" i="1"/>
  <c r="AX594" i="1"/>
  <c r="AW594" i="1"/>
  <c r="AX610" i="1"/>
  <c r="AW610" i="1"/>
  <c r="AX626" i="1"/>
  <c r="AW626" i="1"/>
  <c r="AX561" i="1"/>
  <c r="AX569" i="1"/>
  <c r="AX577" i="1"/>
  <c r="AX585" i="1"/>
  <c r="AX593" i="1"/>
  <c r="AX601" i="1"/>
  <c r="AX609" i="1"/>
  <c r="AX617" i="1"/>
  <c r="AX625" i="1"/>
  <c r="AX633" i="1"/>
  <c r="AX642" i="1"/>
  <c r="AX645" i="1"/>
  <c r="AX651" i="1"/>
  <c r="AX654" i="1"/>
  <c r="AX672" i="1"/>
  <c r="AX712" i="1"/>
  <c r="AW712" i="1"/>
  <c r="AX728" i="1"/>
  <c r="AW728" i="1"/>
  <c r="AX744" i="1"/>
  <c r="AW744" i="1"/>
  <c r="AX760" i="1"/>
  <c r="AW760" i="1"/>
  <c r="AX776" i="1"/>
  <c r="AW776" i="1"/>
  <c r="AX792" i="1"/>
  <c r="AW792" i="1"/>
  <c r="AX808" i="1"/>
  <c r="AW808" i="1"/>
  <c r="AX824" i="1"/>
  <c r="AW824" i="1"/>
  <c r="AX840" i="1"/>
  <c r="AW840" i="1"/>
  <c r="AX998" i="1"/>
  <c r="AW998" i="1"/>
  <c r="AX1062" i="1"/>
  <c r="AW1062" i="1"/>
  <c r="AW674" i="1"/>
  <c r="AW677" i="1"/>
  <c r="AW683" i="1"/>
  <c r="AX688" i="1"/>
  <c r="AX698" i="1"/>
  <c r="AX714" i="1"/>
  <c r="AX730" i="1"/>
  <c r="AX746" i="1"/>
  <c r="AX861" i="1"/>
  <c r="AW861" i="1"/>
  <c r="AW880" i="1"/>
  <c r="AX880" i="1"/>
  <c r="AX684" i="1"/>
  <c r="AX694" i="1"/>
  <c r="AX704" i="1"/>
  <c r="AW704" i="1"/>
  <c r="AX720" i="1"/>
  <c r="AW720" i="1"/>
  <c r="AX736" i="1"/>
  <c r="AW736" i="1"/>
  <c r="AX752" i="1"/>
  <c r="AW752" i="1"/>
  <c r="AX768" i="1"/>
  <c r="AW768" i="1"/>
  <c r="AX784" i="1"/>
  <c r="AW784" i="1"/>
  <c r="AX800" i="1"/>
  <c r="AW800" i="1"/>
  <c r="AX816" i="1"/>
  <c r="AW816" i="1"/>
  <c r="AX832" i="1"/>
  <c r="AW832" i="1"/>
  <c r="AX843" i="1"/>
  <c r="AW843" i="1"/>
  <c r="AW574" i="1"/>
  <c r="AW582" i="1"/>
  <c r="AW590" i="1"/>
  <c r="AW598" i="1"/>
  <c r="AW606" i="1"/>
  <c r="AW614" i="1"/>
  <c r="AW622" i="1"/>
  <c r="AW630" i="1"/>
  <c r="AW641" i="1"/>
  <c r="AW666" i="1"/>
  <c r="AW669" i="1"/>
  <c r="AW675" i="1"/>
  <c r="AW678" i="1"/>
  <c r="AW685" i="1"/>
  <c r="AX700" i="1"/>
  <c r="AX918" i="1"/>
  <c r="AW918" i="1"/>
  <c r="AX660" i="1"/>
  <c r="AX686" i="1"/>
  <c r="AX706" i="1"/>
  <c r="AX722" i="1"/>
  <c r="AX738" i="1"/>
  <c r="AX754" i="1"/>
  <c r="AW849" i="1"/>
  <c r="AX849" i="1"/>
  <c r="AX873" i="1"/>
  <c r="AW873" i="1"/>
  <c r="AX974" i="1"/>
  <c r="AW974" i="1"/>
  <c r="AX1038" i="1"/>
  <c r="AW1038" i="1"/>
  <c r="AX881" i="1"/>
  <c r="AW881" i="1"/>
  <c r="AX888" i="1"/>
  <c r="AX936" i="1"/>
  <c r="AW949" i="1"/>
  <c r="AX949" i="1"/>
  <c r="AX950" i="1"/>
  <c r="AW950" i="1"/>
  <c r="AX1014" i="1"/>
  <c r="AW1014" i="1"/>
  <c r="AW869" i="1"/>
  <c r="AX889" i="1"/>
  <c r="AW889" i="1"/>
  <c r="AX896" i="1"/>
  <c r="AX928" i="1"/>
  <c r="AX990" i="1"/>
  <c r="AW990" i="1"/>
  <c r="AX1054" i="1"/>
  <c r="AW1054" i="1"/>
  <c r="AX897" i="1"/>
  <c r="AW897" i="1"/>
  <c r="AX966" i="1"/>
  <c r="AW966" i="1"/>
  <c r="AX1030" i="1"/>
  <c r="AW1030" i="1"/>
  <c r="AW878" i="1"/>
  <c r="AW885" i="1"/>
  <c r="AX905" i="1"/>
  <c r="AW905" i="1"/>
  <c r="AX912" i="1"/>
  <c r="AW941" i="1"/>
  <c r="AX942" i="1"/>
  <c r="AW942" i="1"/>
  <c r="AX1006" i="1"/>
  <c r="AW1006" i="1"/>
  <c r="AX913" i="1"/>
  <c r="AW913" i="1"/>
  <c r="AX934" i="1"/>
  <c r="AW934" i="1"/>
  <c r="AX982" i="1"/>
  <c r="AW982" i="1"/>
  <c r="AX1046" i="1"/>
  <c r="AW1046" i="1"/>
  <c r="AW854" i="1"/>
  <c r="AW894" i="1"/>
  <c r="AW901" i="1"/>
  <c r="AW925" i="1"/>
  <c r="AX926" i="1"/>
  <c r="AW926" i="1"/>
  <c r="AX958" i="1"/>
  <c r="AW958" i="1"/>
  <c r="AX1022" i="1"/>
  <c r="AW1022" i="1"/>
  <c r="AX957" i="1"/>
  <c r="AX965" i="1"/>
  <c r="AX973" i="1"/>
  <c r="AX981" i="1"/>
  <c r="AX989" i="1"/>
  <c r="AX997" i="1"/>
  <c r="AX1005" i="1"/>
  <c r="AX1013" i="1"/>
  <c r="AX1021" i="1"/>
  <c r="AX1029" i="1"/>
  <c r="AX1037" i="1"/>
  <c r="AX1045" i="1"/>
  <c r="AX1053" i="1"/>
  <c r="AX1061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<sst xmlns="http://schemas.openxmlformats.org/spreadsheetml/2006/main" count="4372" uniqueCount="3635">
  <si>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</si>
  <si>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</si>
  <si>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</si>
  <si>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</si>
  <si>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</si>
  <si>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</si>
  <si>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</si>
  <si>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</si>
  <si>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</si>
  <si>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</si>
  <si>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</si>
  <si>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</si>
  <si>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</si>
  <si>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</si>
  <si>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</si>
  <si>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</si>
  <si>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</si>
  <si>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</si>
  <si>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</si>
  <si>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</si>
  <si>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</si>
  <si>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</si>
  <si>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</si>
  <si>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</si>
  <si>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</si>
  <si>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</si>
  <si>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</si>
  <si>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</si>
  <si>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</si>
  <si>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</si>
  <si>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</si>
  <si>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</si>
  <si>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</si>
  <si>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</si>
  <si>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</si>
  <si>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</si>
  <si>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</si>
  <si>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</si>
  <si>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</si>
  <si>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</si>
  <si>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</si>
  <si>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</si>
  <si>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</si>
  <si>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</si>
  <si>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</si>
  <si>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</si>
  <si>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</si>
  <si>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</si>
  <si>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</si>
  <si>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</si>
  <si>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</si>
  <si>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</si>
  <si>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</si>
  <si>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</si>
  <si>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</si>
  <si>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</si>
  <si>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</si>
  <si>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</si>
  <si>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</si>
  <si>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</si>
  <si>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</si>
  <si>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</si>
  <si>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</si>
  <si>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</si>
  <si>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</si>
  <si>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</si>
  <si>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</si>
  <si>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</si>
  <si>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</si>
  <si>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</si>
  <si>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</si>
  <si>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</si>
  <si>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</si>
  <si>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</si>
  <si>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</si>
  <si>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</si>
  <si>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</si>
  <si>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</si>
  <si>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</si>
  <si>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</si>
  <si>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</si>
  <si>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</si>
  <si>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</si>
  <si>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</si>
  <si>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</si>
  <si>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</si>
  <si>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</si>
  <si>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</si>
  <si>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</si>
  <si>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</si>
  <si>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</si>
  <si>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</si>
  <si>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</si>
  <si>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</si>
  <si>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</si>
  <si>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</si>
  <si>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</si>
  <si>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</si>
  <si>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</si>
  <si>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</si>
  <si>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</si>
  <si>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</si>
  <si>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</si>
  <si>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</si>
  <si>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</si>
  <si>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</si>
  <si>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</si>
  <si>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</si>
  <si>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</si>
  <si>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</si>
  <si>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</si>
  <si>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</si>
  <si>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</si>
  <si>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</si>
  <si>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</si>
  <si>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</si>
  <si>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</si>
  <si>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</si>
  <si>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</si>
  <si>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</si>
  <si>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</si>
  <si>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</si>
  <si>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</si>
  <si>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</si>
  <si>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</si>
  <si>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</si>
  <si>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</si>
  <si>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</si>
  <si>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</si>
  <si>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</si>
  <si>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</si>
  <si>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</si>
  <si>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</si>
  <si>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</si>
  <si>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</si>
  <si>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</si>
  <si>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</si>
  <si>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</si>
  <si>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</si>
  <si>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</si>
  <si>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</si>
  <si>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</si>
  <si>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</si>
  <si>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</si>
  <si>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</si>
  <si>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</si>
  <si>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</si>
  <si>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</si>
  <si>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</si>
  <si>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</si>
  <si>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</si>
  <si>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</si>
  <si>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</si>
  <si>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</si>
  <si>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</si>
  <si>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</si>
  <si>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</si>
  <si>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</si>
  <si>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</si>
  <si>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</si>
  <si>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</si>
  <si>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</si>
  <si>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</si>
  <si>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</si>
  <si>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</si>
  <si>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</si>
  <si>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</si>
  <si>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</si>
  <si>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</si>
  <si>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</si>
  <si>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</si>
  <si>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</si>
  <si>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</si>
  <si>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</si>
  <si>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</si>
  <si>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</si>
  <si>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</si>
  <si>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</si>
  <si>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</si>
  <si>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</si>
  <si>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</si>
  <si>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</si>
  <si>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</si>
  <si>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</si>
  <si>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</si>
  <si>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</si>
  <si>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</si>
  <si>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</si>
  <si>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</si>
  <si>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</si>
  <si>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</si>
  <si>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</si>
  <si>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</si>
  <si>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</si>
  <si>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</si>
  <si>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</si>
  <si>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</si>
  <si>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</si>
  <si>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</si>
  <si>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</si>
  <si>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</si>
  <si>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</si>
  <si>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</si>
  <si>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</si>
  <si>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</si>
  <si>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</si>
  <si>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</si>
  <si>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</si>
  <si>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</si>
  <si>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</si>
  <si>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</si>
  <si>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</si>
  <si>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</si>
  <si>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</si>
  <si>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</si>
  <si>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</si>
  <si>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</si>
  <si>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</si>
  <si>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</si>
  <si>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</si>
  <si>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</si>
  <si>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</si>
  <si>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</si>
  <si>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</si>
  <si>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</si>
  <si>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</si>
  <si>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</si>
  <si>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</si>
  <si>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</si>
  <si>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</si>
  <si>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</si>
  <si>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</si>
  <si>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</si>
  <si>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</si>
  <si>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</si>
  <si>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</si>
  <si>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</si>
  <si>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</si>
  <si>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</si>
  <si>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</si>
  <si>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</si>
  <si>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</si>
  <si>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</si>
  <si>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</si>
  <si>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</si>
  <si>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</si>
  <si>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</si>
  <si>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</si>
  <si>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</si>
  <si>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</si>
  <si>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</si>
  <si>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</si>
  <si>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</si>
  <si>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</si>
  <si>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</si>
  <si>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</si>
  <si>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</si>
  <si>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</si>
  <si>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</si>
  <si>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</si>
  <si>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</si>
  <si>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</si>
  <si>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</si>
  <si>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</si>
  <si>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</si>
  <si>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</si>
  <si>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</si>
  <si>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</si>
  <si>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</si>
  <si>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</si>
  <si>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</si>
  <si>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</si>
  <si>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</si>
  <si>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</si>
  <si>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</si>
  <si>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</si>
  <si>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</si>
  <si>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</si>
  <si>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</si>
  <si>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</si>
  <si>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</si>
  <si>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</si>
  <si>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</si>
  <si>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</si>
  <si>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</si>
  <si>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</si>
  <si>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</si>
  <si>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</si>
  <si>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</si>
  <si>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</si>
  <si>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</si>
  <si>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</si>
  <si>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</si>
  <si>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</si>
  <si>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</si>
  <si>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</si>
  <si>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</si>
  <si>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</si>
  <si>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</si>
  <si>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</si>
  <si>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</si>
  <si>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</si>
  <si>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</si>
  <si>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</si>
  <si>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</si>
  <si>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</si>
  <si>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</si>
  <si>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</si>
  <si>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</si>
  <si>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</si>
  <si>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</si>
  <si>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</si>
  <si>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</si>
  <si>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</si>
  <si>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</si>
  <si>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</si>
  <si>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</si>
  <si>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</si>
  <si>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</si>
  <si>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</si>
  <si>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</si>
  <si>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</si>
  <si>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</si>
  <si>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</si>
  <si>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</si>
  <si>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</si>
  <si>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</si>
  <si>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</si>
  <si>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</si>
  <si>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</si>
  <si>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</si>
  <si>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</si>
  <si>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</si>
  <si>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</si>
  <si>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</si>
  <si>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</si>
  <si>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</si>
  <si>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</si>
  <si>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</si>
  <si>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</si>
  <si>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</si>
  <si>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</si>
  <si>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</si>
  <si>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</si>
  <si>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</si>
  <si>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</si>
  <si>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</si>
  <si>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</si>
  <si>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</si>
  <si>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</si>
  <si>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</si>
  <si>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</si>
  <si>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</si>
  <si>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</si>
  <si>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</si>
  <si>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</si>
  <si>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</si>
  <si>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</si>
  <si>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</si>
  <si>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</si>
  <si>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</si>
  <si>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</si>
  <si>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</si>
  <si>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</si>
  <si>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</si>
  <si>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</si>
  <si>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</si>
  <si>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</si>
  <si>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</si>
  <si>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</si>
  <si>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</si>
  <si>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</si>
  <si>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</si>
  <si>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</si>
  <si>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</si>
  <si>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</si>
  <si>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</si>
  <si>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</si>
  <si>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</si>
  <si>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</si>
  <si>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</si>
  <si>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</si>
  <si>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</si>
  <si>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</si>
  <si>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</si>
  <si>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</si>
  <si>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</si>
  <si>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</si>
  <si>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</si>
  <si>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</si>
  <si>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</si>
  <si>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</si>
  <si>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</si>
  <si>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</si>
  <si>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</si>
  <si>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</si>
  <si>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</si>
  <si>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</si>
  <si>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</si>
  <si>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</si>
  <si>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</si>
  <si>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</si>
  <si>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</si>
  <si>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</si>
  <si>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</si>
  <si>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</si>
  <si>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</si>
  <si>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</si>
  <si>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</si>
  <si>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</si>
  <si>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</si>
  <si>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</si>
  <si>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</si>
  <si>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</si>
  <si>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</si>
  <si>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</si>
  <si>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</si>
  <si>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</si>
  <si>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</si>
  <si>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</si>
  <si>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</si>
  <si>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</si>
  <si>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</si>
  <si>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</si>
  <si>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</si>
  <si>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</si>
  <si>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</si>
  <si>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</si>
  <si>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</si>
  <si>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</si>
  <si>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</si>
  <si>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</si>
  <si>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</si>
  <si>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</si>
  <si>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</si>
  <si>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</si>
  <si>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</si>
  <si>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</si>
  <si>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</si>
  <si>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</si>
  <si>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</si>
  <si>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</si>
  <si>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</si>
  <si>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</si>
  <si>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</si>
  <si>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</si>
  <si>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</si>
  <si>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</si>
  <si>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</si>
  <si>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</si>
  <si>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</si>
  <si>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</si>
  <si>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</si>
  <si>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</si>
  <si>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</si>
  <si>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</si>
  <si>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</si>
  <si>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</si>
  <si>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</si>
  <si>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</si>
  <si>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</si>
  <si>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</si>
  <si>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</si>
  <si>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</si>
  <si>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</si>
  <si>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</si>
  <si>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</si>
  <si>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</si>
  <si>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</si>
  <si>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</si>
  <si>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</si>
  <si>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</si>
  <si>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</si>
  <si>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</si>
  <si>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</si>
  <si>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</si>
  <si>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</si>
  <si>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</si>
  <si>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</si>
  <si>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</si>
  <si>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</si>
  <si>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</si>
  <si>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</si>
  <si>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</si>
  <si>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</si>
  <si>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</si>
  <si>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</si>
  <si>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</si>
  <si>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</si>
  <si>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</si>
  <si>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</si>
  <si>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</si>
  <si>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</si>
  <si>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</si>
  <si>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</si>
  <si>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</si>
  <si>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</si>
  <si>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</si>
  <si>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</si>
  <si>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</si>
  <si>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</si>
  <si>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</si>
  <si>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</si>
  <si>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</si>
  <si>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</si>
  <si>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</si>
  <si>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</si>
  <si>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</si>
  <si>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</si>
  <si>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</si>
  <si>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</si>
  <si>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</si>
  <si>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</si>
  <si>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</si>
  <si>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</si>
  <si>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</si>
  <si>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</si>
  <si>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</si>
  <si>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</si>
  <si>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</si>
  <si>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</si>
  <si>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</si>
  <si>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</si>
  <si>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</si>
  <si>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</si>
  <si>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</si>
  <si>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</si>
  <si>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</si>
  <si>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</si>
  <si>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</si>
  <si>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</si>
  <si>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</si>
  <si>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</si>
  <si>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</si>
  <si>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</si>
  <si>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</si>
  <si>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</si>
  <si>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</si>
  <si>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</si>
  <si>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</si>
  <si>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</si>
  <si>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</si>
  <si>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</si>
  <si>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</si>
  <si>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</si>
  <si>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</si>
  <si>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</si>
  <si>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</si>
  <si>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</si>
  <si>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</si>
  <si>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</si>
  <si>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</si>
  <si>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</si>
  <si>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</si>
  <si>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</si>
  <si>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</si>
  <si>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</si>
  <si>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</si>
  <si>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</si>
  <si>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</si>
  <si>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</si>
  <si>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</si>
  <si>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</si>
  <si>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</si>
  <si>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</si>
  <si>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</si>
  <si>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</si>
  <si>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</si>
  <si>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</si>
  <si>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</si>
  <si>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</si>
  <si>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</si>
  <si>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</si>
  <si>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</si>
  <si>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</si>
  <si>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</si>
  <si>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</si>
  <si>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</si>
  <si>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</si>
  <si>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</si>
  <si>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</si>
  <si>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</si>
  <si>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</si>
  <si>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</si>
  <si>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</si>
  <si>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</si>
  <si>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</si>
  <si>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</si>
  <si>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</si>
  <si>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</si>
  <si>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</si>
  <si>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</si>
  <si>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</si>
  <si>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</si>
  <si>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</si>
  <si>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</si>
  <si>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</si>
  <si>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</si>
  <si>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</si>
  <si>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</si>
  <si>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</si>
  <si>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</si>
  <si>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</si>
  <si>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</si>
  <si>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</si>
  <si>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</si>
  <si>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</si>
  <si>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</si>
  <si>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</si>
  <si>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</si>
  <si>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</si>
  <si>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</si>
  <si>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</si>
  <si>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</si>
  <si>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</si>
  <si>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</si>
  <si>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</si>
  <si>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</si>
  <si>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</si>
  <si>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</si>
  <si>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</si>
  <si>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</si>
  <si>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</si>
  <si>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</si>
  <si>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</si>
  <si>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</si>
  <si>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</si>
  <si>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</si>
  <si>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</si>
  <si>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</si>
  <si>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</si>
  <si>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</si>
  <si>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</si>
  <si>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</si>
  <si>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</si>
  <si>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</si>
  <si>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</si>
  <si>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</si>
  <si>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</si>
  <si>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</si>
  <si>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</si>
  <si>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</si>
  <si>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</si>
  <si>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</si>
  <si>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</si>
  <si>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</si>
  <si>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</si>
  <si>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</si>
  <si>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</si>
  <si>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</si>
  <si>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</si>
  <si>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</si>
  <si>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</si>
  <si>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</si>
  <si>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</si>
  <si>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</si>
  <si>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</si>
  <si>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</si>
  <si>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</si>
  <si>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</si>
  <si>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</si>
  <si>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</si>
  <si>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</si>
  <si>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</si>
  <si>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</si>
  <si>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</si>
  <si>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</si>
  <si>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</si>
  <si>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</si>
  <si>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</si>
  <si>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</si>
  <si>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</si>
  <si>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</si>
  <si>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</si>
  <si>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</si>
  <si>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</si>
  <si>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</si>
  <si>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</si>
  <si>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</si>
  <si>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</si>
  <si>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</si>
  <si>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</si>
  <si>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</si>
  <si>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</si>
  <si>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</si>
  <si>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</si>
  <si>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</si>
  <si>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</si>
  <si>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</si>
  <si>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</si>
  <si>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</si>
  <si>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</si>
  <si>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</si>
  <si>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</si>
  <si>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</si>
  <si>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</si>
  <si>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</si>
  <si>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</si>
  <si>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</si>
  <si>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</si>
  <si>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</si>
  <si>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</si>
  <si>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</si>
  <si>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</si>
  <si>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</si>
  <si>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</si>
  <si>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</si>
  <si>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</si>
  <si>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</si>
  <si>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</si>
  <si>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</si>
  <si>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</si>
  <si>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</si>
  <si>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</si>
  <si>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</si>
  <si>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</si>
  <si>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</si>
  <si>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</si>
  <si>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</si>
  <si>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</si>
  <si>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</si>
  <si>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</si>
  <si>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</si>
  <si>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</si>
  <si>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</si>
  <si>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</si>
  <si>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</si>
  <si>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</si>
  <si>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</si>
  <si>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</si>
  <si>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</si>
  <si>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</si>
  <si>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</si>
  <si>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</si>
  <si>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</si>
  <si>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</si>
  <si>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</si>
  <si>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</si>
  <si>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</si>
  <si>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</si>
  <si>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</si>
  <si>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</si>
  <si>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</si>
  <si>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</si>
  <si>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</si>
  <si>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</si>
  <si>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</si>
  <si>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</si>
  <si>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</si>
  <si>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</si>
  <si>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</si>
  <si>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</si>
  <si>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</si>
  <si>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</si>
  <si>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</si>
  <si>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</si>
  <si>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</si>
  <si>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</si>
  <si>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</si>
  <si>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</si>
  <si>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</si>
  <si>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</si>
  <si>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</si>
  <si>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</si>
  <si>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</si>
  <si>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</si>
  <si>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</si>
  <si>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</si>
  <si>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</si>
  <si>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</si>
  <si>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</si>
  <si>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</si>
  <si>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</si>
  <si>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</si>
  <si>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</si>
  <si>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</si>
  <si>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</si>
  <si>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</si>
  <si>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</si>
  <si>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</si>
  <si>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</si>
  <si>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</si>
  <si>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</si>
  <si>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</si>
  <si>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</si>
  <si>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</si>
  <si>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</si>
  <si>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</si>
  <si>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</si>
  <si>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</si>
  <si>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</si>
  <si>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</si>
  <si>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</si>
  <si>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</si>
  <si>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</si>
  <si>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</si>
  <si>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</si>
  <si>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</si>
  <si>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</si>
  <si>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</si>
  <si>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</si>
  <si>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</si>
  <si>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</si>
  <si>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</si>
  <si>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</si>
  <si>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</si>
  <si>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</si>
  <si>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</si>
  <si>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</si>
  <si>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</si>
  <si>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</si>
  <si>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</si>
  <si>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</si>
  <si>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</si>
  <si>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</si>
  <si>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</si>
  <si>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</si>
  <si>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</si>
  <si>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</si>
  <si>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</si>
  <si>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</si>
  <si>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</si>
  <si>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</si>
  <si>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</si>
  <si>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</si>
  <si>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</si>
  <si>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</si>
  <si>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</si>
  <si>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</si>
  <si>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</si>
  <si>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</si>
  <si>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</si>
  <si>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</si>
  <si>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</si>
  <si>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</si>
  <si>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</si>
  <si>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</si>
  <si>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</si>
  <si>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</si>
  <si>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</si>
  <si>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</si>
  <si>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</si>
  <si>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</si>
  <si>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</si>
  <si>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</si>
  <si>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</si>
  <si>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</si>
  <si>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</si>
  <si>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</si>
  <si>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</si>
  <si>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</si>
  <si>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</si>
  <si>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</si>
  <si>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</si>
  <si>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</si>
  <si>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</si>
  <si>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</si>
  <si>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</si>
  <si>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</si>
  <si>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</si>
  <si>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</si>
  <si>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</si>
  <si>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</si>
  <si>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</si>
  <si>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</si>
  <si>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</si>
  <si>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</si>
  <si>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</si>
  <si>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</si>
  <si>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</si>
  <si>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</si>
  <si>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</si>
  <si>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</si>
  <si>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</si>
  <si>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</si>
  <si>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</si>
  <si>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</si>
  <si>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</si>
  <si>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</si>
  <si>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</si>
  <si>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</si>
  <si>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</si>
  <si>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</si>
  <si>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</si>
  <si>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</si>
  <si>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</si>
  <si>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</si>
  <si>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</si>
  <si>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</si>
  <si>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</si>
  <si>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</si>
  <si>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</si>
  <si>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</si>
  <si>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</si>
  <si>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</si>
  <si>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</si>
  <si>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</si>
  <si>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</si>
  <si>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</si>
  <si>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</si>
  <si>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</si>
  <si>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</si>
  <si>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</si>
  <si>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</si>
  <si>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</si>
  <si>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</si>
  <si>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</si>
  <si>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</si>
  <si>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</si>
  <si>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</si>
  <si>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</si>
  <si>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</si>
  <si>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</si>
  <si>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</si>
  <si>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</si>
  <si>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</si>
  <si>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</si>
  <si>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</si>
  <si>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</si>
  <si>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</si>
  <si>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</si>
  <si>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</si>
  <si>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</si>
  <si>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</si>
  <si>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</si>
  <si>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</si>
  <si>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</si>
  <si>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</si>
  <si>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</si>
  <si>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</si>
  <si>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</si>
  <si>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</si>
  <si>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</si>
  <si>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</si>
  <si>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</si>
  <si>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</si>
  <si>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</si>
  <si>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</si>
  <si>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</si>
  <si>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</si>
  <si>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</si>
  <si>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</si>
  <si>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</si>
  <si>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</si>
  <si>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</si>
  <si>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</si>
  <si>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</si>
  <si>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</si>
  <si>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</si>
  <si>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</si>
  <si>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</si>
  <si>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</si>
  <si>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</si>
  <si>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</si>
  <si>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</si>
  <si>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</si>
  <si>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</si>
  <si>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</si>
  <si>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</si>
  <si>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</si>
  <si>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</si>
  <si>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</si>
  <si>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</si>
  <si>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</si>
  <si>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</si>
  <si>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</si>
  <si>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</si>
  <si>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</si>
  <si>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</si>
  <si>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</si>
  <si>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</si>
  <si>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</si>
  <si>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</si>
  <si>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</si>
  <si>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</si>
  <si>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</si>
  <si>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</si>
  <si>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</si>
  <si>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</si>
  <si>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</si>
  <si>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</si>
  <si>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</si>
  <si>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</si>
  <si>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</si>
  <si>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</si>
  <si>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</si>
  <si>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</si>
  <si>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</si>
  <si>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</si>
  <si>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</si>
  <si>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</si>
  <si>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</si>
  <si>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</si>
  <si>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</si>
  <si>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</si>
  <si>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</si>
  <si>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</si>
  <si>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</si>
  <si>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</si>
  <si>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</si>
  <si>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</si>
  <si>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</si>
  <si>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</si>
  <si>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</si>
  <si>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</si>
  <si>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</si>
  <si>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</si>
  <si>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</si>
  <si>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</si>
  <si>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</si>
  <si>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</si>
  <si>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</si>
  <si>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</si>
  <si>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</si>
  <si>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</si>
  <si>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</si>
  <si>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</si>
  <si>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</si>
  <si>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</si>
  <si>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</si>
  <si>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</si>
  <si>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</si>
  <si>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</si>
  <si>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</si>
  <si>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</si>
  <si>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</si>
  <si>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</si>
  <si>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</si>
  <si>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</si>
  <si>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</si>
  <si>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</si>
  <si>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</si>
  <si>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</si>
  <si>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</si>
  <si>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</si>
  <si>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</si>
  <si>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</si>
  <si>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</si>
  <si>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</si>
  <si>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</si>
  <si>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</si>
  <si>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</si>
  <si>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</si>
  <si>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</si>
  <si>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</si>
  <si>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</si>
  <si>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</si>
  <si>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</si>
  <si>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</si>
  <si>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</si>
  <si>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</si>
  <si>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</si>
  <si>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</si>
  <si>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</si>
  <si>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</si>
  <si>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</si>
  <si>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</si>
  <si>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</si>
  <si>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</si>
  <si>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</si>
  <si>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</si>
  <si>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</si>
  <si>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</si>
  <si>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</si>
  <si>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</si>
  <si>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</si>
  <si>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</si>
  <si>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</si>
  <si>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</si>
  <si>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</si>
  <si>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</si>
  <si>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</si>
  <si>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</si>
  <si>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</si>
  <si>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</si>
  <si>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</si>
  <si>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</si>
  <si>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</si>
  <si>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</si>
  <si>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</si>
  <si>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</si>
  <si>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</si>
  <si>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</si>
  <si>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</si>
  <si>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</si>
  <si>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</si>
  <si>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</si>
  <si>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</si>
  <si>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</si>
  <si>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</si>
  <si>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</si>
  <si>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</si>
  <si>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</si>
  <si>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</si>
  <si>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</si>
  <si>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</si>
  <si>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</si>
  <si>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</si>
  <si>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</si>
  <si>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</si>
  <si>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</si>
  <si>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</si>
  <si>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</si>
  <si>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</si>
  <si>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</si>
  <si>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</si>
  <si>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</si>
  <si>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</si>
  <si>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</si>
  <si>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</si>
  <si>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</si>
  <si>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</si>
  <si>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</si>
  <si>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</si>
  <si>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</si>
  <si>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</si>
  <si>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</si>
  <si>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</si>
  <si>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</si>
  <si>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</si>
  <si>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</si>
  <si>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</si>
  <si>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</si>
  <si>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</si>
  <si>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</si>
  <si>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</si>
  <si>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</si>
  <si>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</si>
  <si>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</si>
  <si>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</si>
  <si>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</si>
  <si>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</si>
  <si>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</si>
  <si>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</si>
  <si>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</si>
  <si>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</si>
  <si>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</si>
  <si>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</si>
  <si>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</si>
  <si>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</si>
  <si>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</si>
  <si>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</si>
  <si>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</si>
  <si>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</si>
  <si>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</si>
  <si>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</si>
  <si>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</si>
  <si>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</si>
  <si>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</si>
  <si>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</si>
  <si>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</si>
  <si>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</si>
  <si>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</si>
  <si>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</si>
  <si>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</si>
  <si>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</si>
  <si>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</si>
  <si>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</si>
  <si>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</si>
  <si>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</si>
  <si>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</si>
  <si>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</si>
  <si>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</si>
  <si>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</si>
  <si>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</si>
  <si>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</si>
  <si>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</si>
  <si>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</si>
  <si>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</si>
  <si>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</si>
  <si>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</si>
  <si>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</si>
  <si>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</si>
  <si>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</si>
  <si>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</si>
  <si>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</si>
  <si>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</si>
  <si>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</si>
  <si>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</si>
  <si>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</si>
  <si>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</si>
  <si>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</si>
  <si>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</si>
  <si>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</si>
  <si>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</si>
  <si>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</si>
  <si>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</si>
  <si>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</si>
  <si>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</si>
  <si>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</si>
  <si>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</si>
  <si>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</si>
  <si>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</si>
  <si>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</si>
  <si>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</si>
  <si>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</si>
  <si>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</si>
  <si>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</si>
  <si>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</si>
  <si>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</si>
  <si>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</si>
  <si>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</si>
  <si>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</si>
  <si>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</si>
  <si>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</si>
  <si>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</si>
  <si>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</si>
  <si>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</si>
  <si>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</si>
  <si>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</si>
  <si>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</si>
  <si>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</si>
  <si>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</si>
  <si>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</si>
  <si>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</si>
  <si>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</si>
  <si>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</si>
  <si>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</si>
  <si>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</si>
  <si>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</si>
  <si>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</si>
  <si>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</si>
  <si>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</si>
  <si>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</si>
  <si>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</si>
  <si>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</si>
  <si>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</si>
  <si>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</si>
  <si>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</si>
  <si>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</si>
  <si>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</si>
  <si>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</si>
  <si>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</si>
  <si>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</si>
  <si>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</si>
  <si>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</si>
  <si>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</si>
  <si>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</si>
  <si>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</si>
  <si>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</si>
  <si>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</si>
  <si>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</si>
  <si>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</si>
  <si>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</si>
  <si>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</si>
  <si>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</si>
  <si>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</si>
  <si>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</si>
  <si>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</si>
  <si>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</si>
  <si>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</si>
  <si>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</si>
  <si>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</si>
  <si>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</si>
  <si>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</si>
  <si>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</si>
  <si>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</si>
  <si>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</si>
  <si>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</si>
  <si>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</si>
  <si>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</si>
  <si>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</si>
  <si>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</si>
  <si>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</si>
  <si>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</si>
  <si>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</si>
  <si>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</si>
  <si>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</si>
  <si>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</si>
  <si>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</si>
  <si>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</si>
  <si>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</si>
  <si>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</si>
  <si>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</si>
  <si>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</si>
  <si>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</si>
  <si>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</si>
  <si>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</si>
  <si>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</si>
  <si>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</si>
  <si>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</si>
  <si>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</si>
  <si>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</si>
  <si>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</si>
  <si>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</si>
  <si>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</si>
  <si>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</si>
  <si>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</si>
  <si>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</si>
  <si>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</si>
  <si>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</si>
  <si>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</si>
  <si>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</si>
  <si>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</si>
  <si>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</si>
  <si>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</si>
  <si>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</si>
  <si>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</si>
  <si>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</si>
  <si>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</si>
  <si>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</si>
  <si>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</si>
  <si>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</si>
  <si>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</si>
  <si>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</si>
  <si>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</si>
  <si>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</si>
  <si>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</si>
  <si>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</si>
  <si>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</si>
  <si>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</si>
  <si>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</si>
  <si>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</si>
  <si>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</si>
  <si>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</si>
  <si>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</si>
  <si>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</si>
  <si>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</si>
  <si>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</si>
  <si>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</si>
  <si>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</si>
  <si>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</si>
  <si>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</si>
  <si>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</si>
  <si>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</si>
  <si>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</si>
  <si>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</si>
  <si>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</si>
  <si>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</si>
  <si>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</si>
  <si>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</si>
  <si>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</si>
  <si>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</si>
  <si>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</si>
  <si>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</si>
  <si>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</si>
  <si>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</si>
  <si>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</si>
  <si>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</si>
  <si>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</si>
  <si>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</si>
  <si>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</si>
  <si>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</si>
  <si>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</si>
  <si>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</si>
  <si>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</si>
  <si>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</si>
  <si>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</si>
  <si>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</si>
  <si>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</si>
  <si>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</si>
  <si>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</si>
  <si>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</si>
  <si>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</si>
  <si>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</si>
  <si>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</si>
  <si>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</si>
  <si>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</si>
  <si>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</si>
  <si>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</si>
  <si>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</si>
  <si>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</si>
  <si>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</si>
  <si>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</si>
  <si>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</si>
  <si>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</si>
  <si>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</si>
  <si>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</si>
  <si>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</si>
  <si>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</si>
  <si>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</si>
  <si>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</si>
  <si>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</si>
  <si>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</si>
  <si>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</si>
  <si>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</si>
  <si>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</si>
  <si>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</si>
  <si>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</si>
  <si>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</si>
  <si>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</si>
  <si>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</si>
  <si>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</si>
  <si>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</si>
  <si>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</si>
  <si>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</si>
  <si>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</si>
  <si>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</si>
  <si>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</si>
  <si>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</si>
  <si>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</si>
  <si>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</si>
  <si>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</si>
  <si>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</si>
  <si>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</si>
  <si>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</si>
  <si>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</si>
  <si>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</si>
  <si>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</si>
  <si>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</si>
  <si>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</si>
  <si>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</si>
  <si>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</si>
  <si>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</si>
  <si>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</si>
  <si>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</si>
  <si>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</si>
  <si>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</si>
  <si>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</si>
  <si>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</si>
  <si>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</si>
  <si>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</si>
  <si>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</si>
  <si>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</si>
  <si>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</si>
  <si>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</si>
  <si>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</si>
  <si>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</si>
  <si>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</si>
  <si>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</si>
  <si>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</si>
  <si>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</si>
  <si>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</si>
  <si>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</si>
  <si>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</si>
  <si>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</si>
  <si>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</si>
  <si>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</si>
  <si>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</si>
  <si>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</si>
  <si>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</si>
  <si>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</si>
  <si>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</si>
  <si>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</si>
  <si>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</si>
  <si>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</si>
  <si>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</si>
  <si>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</si>
  <si>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</si>
  <si>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</si>
  <si>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</si>
  <si>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</si>
  <si>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</si>
  <si>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</si>
  <si>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</si>
  <si>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</si>
  <si>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</si>
  <si>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</si>
  <si>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</si>
  <si>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</si>
  <si>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</si>
  <si>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</si>
  <si>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</si>
  <si>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</si>
  <si>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</si>
  <si>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</si>
  <si>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</si>
  <si>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</si>
  <si>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</si>
  <si>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</si>
  <si>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</si>
  <si>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</si>
  <si>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</si>
  <si>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</si>
  <si>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</si>
  <si>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</si>
  <si>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</si>
  <si>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</si>
  <si>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</si>
  <si>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</si>
  <si>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</si>
  <si>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</si>
  <si>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</si>
  <si>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</si>
  <si>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</si>
  <si>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</si>
  <si>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</si>
  <si>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</si>
  <si>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</si>
  <si>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</si>
  <si>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</si>
  <si>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</si>
  <si>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</si>
  <si>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</si>
  <si>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</si>
  <si>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</si>
  <si>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</si>
  <si>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</si>
  <si>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</si>
  <si>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</si>
  <si>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</si>
  <si>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</si>
  <si>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</si>
  <si>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</si>
  <si>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</si>
  <si>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</si>
  <si>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</si>
  <si>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</si>
  <si>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</si>
  <si>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</si>
  <si>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</si>
  <si>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</si>
  <si>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</si>
  <si>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</si>
  <si>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</si>
  <si>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</si>
  <si>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</si>
  <si>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</si>
  <si>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</si>
  <si>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</si>
  <si>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</si>
  <si>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</si>
  <si>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</si>
  <si>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</si>
  <si>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</si>
  <si>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</si>
  <si>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</si>
  <si>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</si>
  <si>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</si>
  <si>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</si>
  <si>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</si>
  <si>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</si>
  <si>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</si>
  <si>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</si>
  <si>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</si>
  <si>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</si>
  <si>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</si>
  <si>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</si>
  <si>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</si>
  <si>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</si>
  <si>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</si>
  <si>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</si>
  <si>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</si>
  <si>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</si>
  <si>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</si>
  <si>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</si>
  <si>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</si>
  <si>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</si>
  <si>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</si>
  <si>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</si>
  <si>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</si>
  <si>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</si>
  <si>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</si>
  <si>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</si>
  <si>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</si>
  <si>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</si>
  <si>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</si>
  <si>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</si>
  <si>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</si>
  <si>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</si>
  <si>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</si>
  <si>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</si>
  <si>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</si>
  <si>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</si>
  <si>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</si>
  <si>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</si>
  <si>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</si>
  <si>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</si>
  <si>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</si>
  <si>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</si>
  <si>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</si>
  <si>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</si>
  <si>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</si>
  <si>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</si>
  <si>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</si>
  <si>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</si>
  <si>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</si>
  <si>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</si>
  <si>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</si>
  <si>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</si>
  <si>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</si>
  <si>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</si>
  <si>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</si>
  <si>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</si>
  <si>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</si>
  <si>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</si>
  <si>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</si>
  <si>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</si>
  <si>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</si>
  <si>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</si>
  <si>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</si>
  <si>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</si>
  <si>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</si>
  <si>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</si>
  <si>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</si>
  <si>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</si>
  <si>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</si>
  <si>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</si>
  <si>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</si>
  <si>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</si>
  <si>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</si>
  <si>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</si>
  <si>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</si>
  <si>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</si>
  <si>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</si>
  <si>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</si>
  <si>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</si>
  <si>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</si>
  <si>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</si>
  <si>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</si>
  <si>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</si>
  <si>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</si>
  <si>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</si>
  <si>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</si>
  <si>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</si>
  <si>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</si>
  <si>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</si>
  <si>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</si>
  <si>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</si>
  <si>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</si>
  <si>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</si>
  <si>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</si>
  <si>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</si>
  <si>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</si>
  <si>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</si>
  <si>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</si>
  <si>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</si>
  <si>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</si>
  <si>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</si>
  <si>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</si>
  <si>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</si>
  <si>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</si>
  <si>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</si>
  <si>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</si>
  <si>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</si>
  <si>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</si>
  <si>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</si>
  <si>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</si>
  <si>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</si>
  <si>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</si>
  <si>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</si>
  <si>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</si>
  <si>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</si>
  <si>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</si>
  <si>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</si>
  <si>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</si>
  <si>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</si>
  <si>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</si>
  <si>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</si>
  <si>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</si>
  <si>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</si>
  <si>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</si>
  <si>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</si>
  <si>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</si>
  <si>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</si>
  <si>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</si>
  <si>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</si>
  <si>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</si>
  <si>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</si>
  <si>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</si>
  <si>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</si>
  <si>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</si>
  <si>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</si>
  <si>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</si>
  <si>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</si>
  <si>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</si>
  <si>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</si>
  <si>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</si>
  <si>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</si>
  <si>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</si>
  <si>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</si>
  <si>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</si>
  <si>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</si>
  <si>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</si>
  <si>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</si>
  <si>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</si>
  <si>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</si>
  <si>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</si>
  <si>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</si>
  <si>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</si>
  <si>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</si>
  <si>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</si>
  <si>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</si>
  <si>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</si>
  <si>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</si>
  <si>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</si>
  <si>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</si>
  <si>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</si>
  <si>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</si>
  <si>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</si>
  <si>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</si>
  <si>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</si>
  <si>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</si>
  <si>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</si>
  <si>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</si>
  <si>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</si>
  <si>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</si>
  <si>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</si>
  <si>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</si>
  <si>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</si>
  <si>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</si>
  <si>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</si>
  <si>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</si>
  <si>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</si>
  <si>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</si>
  <si>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</si>
  <si>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</si>
  <si>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</si>
  <si>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</si>
  <si>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</si>
  <si>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</si>
  <si>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</si>
  <si>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</si>
  <si>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</si>
  <si>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</si>
  <si>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</si>
  <si>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</si>
  <si>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</si>
  <si>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</si>
  <si>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</si>
  <si>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</si>
  <si>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</si>
  <si>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</si>
  <si>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</si>
  <si>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</si>
  <si>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</si>
  <si>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</si>
  <si>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</si>
  <si>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</si>
  <si>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</si>
  <si>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</si>
  <si>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</si>
  <si>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</si>
  <si>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</si>
  <si>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</si>
  <si>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</si>
  <si>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</si>
  <si>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</si>
  <si>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</si>
  <si>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</si>
  <si>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</si>
  <si>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</si>
  <si>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</si>
  <si>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</si>
  <si>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</si>
  <si>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</si>
  <si>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</si>
  <si>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</si>
  <si>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</si>
  <si>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</si>
  <si>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</si>
  <si>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</si>
  <si>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</si>
  <si>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</si>
  <si>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</si>
  <si>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</si>
  <si>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</si>
  <si>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</si>
  <si>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</si>
  <si>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</si>
  <si>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</si>
  <si>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</si>
  <si>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</si>
  <si>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</si>
  <si>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</si>
  <si>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</si>
  <si>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</si>
  <si>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</si>
  <si>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</si>
  <si>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</si>
  <si>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</si>
  <si>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</si>
  <si>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</si>
  <si>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</si>
  <si>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</si>
  <si>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</si>
  <si>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</si>
  <si>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</si>
  <si>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</si>
  <si>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</si>
  <si>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</si>
  <si>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</si>
  <si>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</si>
  <si>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</si>
  <si>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</si>
  <si>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</si>
  <si>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</si>
  <si>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</si>
  <si>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</si>
  <si>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</si>
  <si>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</si>
  <si>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</si>
  <si>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</si>
  <si>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</si>
  <si>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</si>
  <si>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</si>
  <si>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</si>
  <si>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</si>
  <si>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</si>
  <si>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</si>
  <si>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</si>
  <si>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</si>
  <si>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</si>
  <si>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</si>
  <si>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</si>
  <si>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</si>
  <si>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</si>
  <si>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</si>
  <si>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</si>
  <si>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</si>
  <si>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</si>
  <si>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</si>
  <si>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</si>
  <si>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</si>
  <si>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</si>
  <si>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</si>
  <si>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</si>
  <si>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</si>
  <si>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</si>
  <si>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</si>
  <si>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</si>
  <si>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</si>
  <si>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</si>
  <si>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</si>
  <si>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</si>
  <si>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</si>
  <si>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</si>
  <si>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</si>
  <si>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</si>
  <si>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</si>
  <si>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</si>
  <si>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</si>
  <si>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</si>
  <si>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</si>
  <si>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</si>
  <si>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</si>
  <si>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</si>
  <si>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</si>
  <si>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</si>
  <si>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</si>
  <si>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</si>
  <si>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</si>
  <si>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</si>
  <si>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</si>
  <si>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</si>
  <si>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</si>
  <si>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</si>
  <si>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</si>
  <si>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</si>
  <si>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</si>
  <si>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</si>
  <si>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</si>
  <si>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</si>
  <si>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</si>
  <si>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</si>
  <si>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</si>
  <si>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</si>
  <si>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</si>
  <si>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</si>
  <si>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</si>
  <si>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</si>
  <si>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</si>
  <si>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</si>
  <si>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</si>
  <si>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</si>
  <si>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</si>
  <si>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</si>
  <si>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</si>
  <si>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</si>
  <si>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</si>
  <si>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</si>
  <si>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</si>
  <si>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</si>
  <si>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</si>
  <si>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</si>
  <si>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</si>
  <si>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</si>
  <si>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</si>
  <si>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</si>
  <si>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</si>
  <si>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</si>
  <si>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</si>
  <si>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</si>
  <si>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</si>
  <si>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</si>
  <si>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</si>
  <si>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</si>
  <si>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</si>
  <si>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</si>
  <si>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</si>
  <si>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</si>
  <si>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</si>
  <si>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</si>
  <si>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</si>
  <si>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</si>
  <si>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</si>
  <si>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</si>
  <si>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</si>
  <si>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</si>
  <si>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</si>
  <si>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</si>
  <si>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</si>
  <si>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</si>
  <si>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</si>
  <si>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</si>
  <si>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</si>
  <si>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</si>
  <si>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</si>
  <si>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</si>
  <si>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</si>
  <si>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</si>
  <si>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</si>
  <si>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</si>
  <si>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</si>
  <si>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</si>
  <si>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</si>
  <si>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</si>
  <si>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</si>
  <si>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</si>
  <si>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</si>
  <si>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</si>
  <si>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</si>
  <si>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</si>
  <si>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</si>
  <si>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</si>
  <si>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</si>
  <si>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</si>
  <si>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</si>
  <si>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</si>
  <si>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</si>
  <si>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</si>
  <si>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</si>
  <si>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</si>
  <si>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</si>
  <si>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</si>
  <si>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</si>
  <si>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</si>
  <si>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</si>
  <si>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</si>
  <si>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</si>
  <si>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</si>
  <si>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</si>
  <si>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</si>
  <si>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</si>
  <si>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</si>
  <si>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</si>
  <si>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</si>
  <si>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</si>
  <si>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</si>
  <si>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</si>
  <si>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</si>
  <si>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</si>
  <si>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</si>
  <si>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</si>
  <si>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</si>
  <si>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</si>
  <si>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</si>
  <si>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</si>
  <si>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</si>
  <si>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</si>
  <si>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</si>
  <si>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</si>
  <si>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</si>
  <si>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</si>
  <si>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</si>
  <si>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</si>
  <si>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</si>
  <si>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</si>
  <si>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</si>
  <si>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</si>
  <si>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</si>
  <si>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</si>
  <si>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</si>
  <si>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</si>
  <si>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</si>
  <si>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</si>
  <si>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</si>
  <si>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</si>
  <si>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</si>
  <si>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</si>
  <si>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</si>
  <si>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</si>
  <si>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</si>
  <si>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</si>
  <si>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</si>
  <si>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</si>
  <si>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</si>
  <si>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</si>
  <si>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</si>
  <si>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</si>
  <si>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</si>
  <si>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</si>
  <si>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</si>
  <si>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</si>
  <si>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</si>
  <si>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</si>
  <si>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</si>
  <si>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</si>
  <si>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</si>
  <si>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</si>
  <si>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</si>
  <si>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</si>
  <si>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</si>
  <si>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</si>
  <si>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</si>
  <si>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</si>
  <si>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</si>
  <si>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</si>
  <si>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</si>
  <si>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</si>
  <si>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</si>
  <si>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</si>
  <si>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</si>
  <si>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</si>
  <si>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</si>
  <si>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</si>
  <si>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</si>
  <si>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</si>
  <si>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</si>
  <si>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</si>
  <si>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</si>
  <si>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</si>
  <si>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</si>
  <si>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</si>
  <si>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</si>
  <si>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</si>
  <si>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</si>
  <si>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</si>
  <si>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</si>
  <si>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</si>
  <si>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</si>
  <si>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</si>
  <si>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</si>
  <si>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</si>
  <si>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</si>
  <si>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</si>
  <si>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</si>
  <si>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</si>
  <si>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</si>
  <si>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</si>
  <si>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</si>
  <si>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</si>
  <si>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</si>
  <si>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</si>
  <si>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</si>
  <si>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</si>
  <si>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</si>
  <si>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</si>
  <si>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</si>
  <si>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</si>
  <si>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</si>
  <si>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</si>
  <si>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</si>
  <si>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</si>
  <si>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</si>
  <si>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</si>
  <si>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</si>
  <si>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</si>
  <si>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</si>
  <si>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</si>
  <si>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</si>
  <si>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</si>
  <si>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</si>
  <si>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</si>
  <si>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</si>
  <si>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</si>
  <si>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</si>
  <si>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</si>
  <si>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</si>
  <si>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</si>
  <si>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</si>
  <si>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</si>
  <si>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</si>
  <si>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</si>
  <si>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</si>
  <si>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</si>
  <si>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</si>
  <si>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</si>
  <si>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</si>
  <si>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</si>
  <si>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</si>
  <si>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</si>
  <si>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</si>
  <si>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</si>
  <si>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</si>
  <si>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</si>
  <si>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</si>
  <si>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</si>
  <si>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</si>
  <si>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</si>
  <si>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</si>
  <si>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</si>
  <si>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</si>
  <si>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</si>
  <si>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</si>
  <si>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</si>
  <si>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</si>
  <si>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</si>
  <si>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</si>
  <si>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</si>
  <si>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</si>
  <si>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</si>
  <si>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</si>
  <si>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</si>
  <si>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</si>
  <si>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</si>
  <si>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</si>
  <si>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</si>
  <si>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</si>
  <si>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</si>
  <si>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</si>
  <si>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</si>
  <si>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</si>
  <si>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</si>
  <si>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</si>
  <si>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</si>
  <si>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</si>
  <si>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</si>
  <si>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</si>
  <si>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</si>
  <si>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</si>
  <si>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</si>
  <si>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</si>
  <si>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</si>
  <si>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</si>
  <si>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</si>
  <si>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</si>
  <si>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</si>
  <si>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</si>
  <si>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</si>
  <si>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</si>
  <si>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</si>
  <si>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</si>
  <si>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</si>
  <si>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</si>
  <si>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</si>
  <si>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</si>
  <si>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</si>
  <si>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</si>
  <si>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</si>
  <si>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</si>
  <si>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</si>
  <si>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</si>
  <si>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</si>
  <si>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</si>
  <si>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</si>
  <si>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</si>
  <si>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</si>
  <si>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</si>
  <si>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</si>
  <si>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</si>
  <si>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</si>
  <si>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</si>
  <si>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</si>
  <si>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</si>
  <si>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</si>
  <si>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</si>
  <si>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</si>
  <si>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</si>
  <si>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</si>
  <si>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</si>
  <si>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</si>
  <si>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</si>
  <si>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</si>
  <si>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</si>
  <si>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</si>
  <si>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</si>
  <si>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</si>
  <si>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</si>
  <si>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</si>
  <si>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</si>
  <si>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</si>
  <si>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</si>
  <si>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</si>
  <si>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</si>
  <si>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</si>
  <si>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</si>
  <si>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</si>
  <si>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</si>
  <si>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</si>
  <si>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</si>
  <si>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</si>
  <si>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</si>
  <si>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</si>
  <si>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</si>
  <si>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</si>
  <si>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</si>
  <si>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</si>
  <si>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</si>
  <si>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</si>
  <si>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</si>
  <si>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</si>
  <si>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</si>
  <si>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</si>
  <si>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</si>
  <si>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</si>
  <si>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</si>
  <si>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</si>
  <si>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</si>
  <si>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</si>
  <si>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</si>
  <si>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</si>
  <si>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</si>
  <si>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</si>
  <si>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</si>
  <si>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</si>
  <si>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</si>
  <si>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</si>
  <si>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</si>
  <si>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</si>
  <si>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</si>
  <si>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</si>
  <si>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</si>
  <si>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</si>
  <si>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</si>
  <si>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</si>
  <si>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</si>
  <si>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</si>
  <si>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</si>
  <si>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</si>
  <si>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</si>
  <si>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</si>
  <si>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</si>
  <si>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</si>
  <si>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</si>
  <si>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</si>
  <si>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</si>
  <si>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</si>
  <si>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</si>
  <si>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</si>
  <si>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</si>
  <si>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</si>
  <si>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</si>
  <si>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</si>
  <si>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</si>
  <si>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</si>
  <si>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</si>
  <si>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</si>
  <si>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</si>
  <si>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</si>
  <si>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</si>
  <si>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</si>
  <si>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</si>
  <si>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</si>
  <si>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</si>
  <si>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</si>
  <si>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</si>
  <si>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</si>
  <si>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</si>
  <si>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</si>
  <si>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</si>
  <si>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</si>
  <si>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</si>
  <si>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</si>
  <si>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</si>
  <si>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</si>
  <si>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</si>
  <si>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</si>
  <si>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</si>
  <si>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</si>
  <si>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</si>
  <si>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</si>
  <si>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</si>
  <si>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</si>
  <si>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</si>
  <si>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</si>
  <si>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</si>
  <si>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</si>
  <si>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</si>
  <si>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</si>
  <si>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</si>
  <si>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</si>
  <si>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</si>
  <si>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</si>
  <si>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</si>
  <si>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</si>
  <si>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</si>
  <si>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</si>
  <si>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</si>
  <si>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</si>
  <si>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</si>
  <si>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</si>
  <si>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</si>
  <si>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</si>
  <si>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</si>
  <si>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</si>
  <si>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</si>
  <si>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</si>
  <si>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</si>
  <si>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</si>
  <si>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</si>
  <si>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</si>
  <si>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</si>
  <si>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</si>
  <si>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</si>
  <si>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</si>
  <si>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</si>
  <si>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</si>
  <si>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</si>
  <si>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</si>
  <si>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</si>
  <si>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</si>
  <si>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</si>
  <si>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</si>
  <si>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</si>
  <si>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</si>
  <si>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</si>
  <si>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</si>
  <si>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</si>
  <si>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</si>
  <si>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</si>
  <si>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</si>
  <si>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</si>
  <si>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</si>
  <si>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</si>
  <si>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</si>
  <si>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</si>
  <si>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</si>
  <si>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</si>
  <si>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</si>
  <si>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</si>
  <si>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</si>
  <si>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</si>
  <si>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</si>
  <si>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</si>
  <si>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</si>
  <si>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</si>
  <si>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</si>
  <si>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</si>
  <si>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</si>
  <si>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</si>
  <si>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</si>
  <si>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</si>
  <si>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</si>
  <si>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</si>
  <si>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</si>
  <si>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</si>
  <si>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</si>
  <si>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</si>
  <si>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</si>
  <si>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</si>
  <si>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</si>
  <si>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</si>
  <si>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</si>
  <si>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</si>
  <si>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</si>
  <si>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</si>
  <si>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</si>
  <si>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</si>
  <si>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</si>
  <si>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</si>
  <si>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</si>
  <si>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</si>
  <si>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</si>
  <si>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</si>
  <si>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</si>
  <si>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</si>
  <si>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</si>
  <si>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</si>
  <si>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</si>
  <si>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</si>
  <si>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</si>
  <si>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</si>
  <si>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</si>
  <si>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</si>
  <si>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</si>
  <si>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</si>
  <si>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</si>
  <si>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</si>
  <si>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</si>
  <si>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</si>
  <si>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</si>
  <si>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</si>
  <si>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</si>
  <si>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</si>
  <si>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</si>
  <si>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</si>
  <si>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</si>
  <si>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</si>
  <si>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</si>
  <si>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</si>
  <si>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</si>
  <si>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</si>
  <si>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</si>
  <si>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</si>
  <si>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</si>
  <si>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</si>
  <si>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</si>
  <si>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</si>
  <si>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</si>
  <si>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</si>
  <si>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</si>
  <si>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</si>
  <si>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</si>
  <si>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</si>
  <si>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</si>
  <si>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</si>
  <si>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</si>
  <si>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</si>
  <si>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</si>
  <si>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</si>
  <si>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</si>
  <si>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</si>
  <si>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</si>
  <si>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</si>
  <si>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</si>
  <si>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</si>
  <si>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</si>
  <si>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</si>
  <si>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</si>
  <si>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</si>
  <si>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</si>
  <si>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</si>
  <si>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</si>
  <si>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</si>
  <si>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</si>
  <si>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</si>
  <si>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</si>
  <si>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</si>
  <si>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</si>
  <si>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</si>
  <si>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</si>
  <si>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</si>
  <si>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</si>
  <si>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</si>
  <si>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</si>
  <si>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</si>
  <si>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</si>
  <si>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</si>
  <si>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</si>
  <si>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</si>
  <si>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</si>
  <si>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</si>
  <si>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</si>
  <si>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</si>
  <si>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</si>
  <si>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</si>
  <si>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</si>
  <si>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</si>
  <si>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</si>
  <si>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</si>
  <si>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</si>
  <si>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</si>
  <si>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</si>
  <si>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</si>
  <si>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</si>
  <si>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</si>
  <si>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</si>
  <si>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</si>
  <si>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</si>
  <si>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</si>
  <si>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</si>
  <si>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</si>
  <si>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</si>
  <si>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</si>
  <si>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</si>
  <si>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</si>
  <si>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</si>
  <si>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</si>
  <si>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</si>
  <si>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</si>
  <si>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</si>
  <si>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</si>
  <si>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</si>
  <si>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</si>
  <si>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</si>
  <si>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</si>
  <si>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</si>
  <si>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</si>
  <si>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</si>
  <si>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</si>
  <si>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</si>
  <si>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</si>
  <si>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</si>
  <si>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</si>
  <si>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</si>
  <si>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</si>
  <si>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</si>
  <si>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</si>
  <si>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</si>
  <si>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</si>
  <si>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</si>
  <si>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</si>
  <si>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</si>
  <si>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</si>
  <si>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</si>
  <si>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</si>
  <si>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</si>
  <si>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</si>
  <si>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</si>
  <si>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</si>
  <si>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</si>
  <si>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</si>
  <si>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</si>
  <si>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</si>
  <si>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</si>
  <si>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</si>
  <si>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</si>
  <si>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</si>
  <si>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</si>
  <si>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</si>
  <si>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</si>
  <si>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</si>
  <si>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</si>
  <si>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</si>
  <si>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</si>
  <si>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</si>
  <si>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</si>
  <si>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</si>
  <si>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</si>
  <si>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</si>
  <si>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</si>
  <si>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</si>
  <si>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</si>
  <si>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</si>
  <si>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</si>
  <si>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</si>
  <si>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</si>
  <si>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</si>
  <si>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</si>
  <si>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</si>
  <si>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</si>
  <si>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</si>
  <si>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</si>
  <si>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</si>
  <si>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</si>
  <si>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</si>
  <si>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</si>
  <si>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</si>
  <si>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</si>
  <si>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</si>
  <si>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</si>
  <si>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</si>
  <si>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</si>
  <si>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</si>
  <si>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</si>
  <si>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</si>
  <si>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</si>
  <si>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</si>
  <si>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</si>
  <si>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</si>
  <si>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</si>
  <si>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</si>
  <si>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</si>
  <si>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</si>
  <si>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</si>
  <si>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</si>
  <si>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</si>
  <si>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</si>
  <si>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</si>
  <si>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</si>
  <si>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</si>
  <si>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</si>
  <si>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</si>
  <si>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</si>
  <si>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</si>
  <si>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</si>
  <si>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</si>
  <si>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</si>
  <si>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</si>
  <si>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</si>
  <si>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</si>
  <si>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</si>
  <si>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</si>
  <si>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</si>
  <si>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</si>
  <si>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</si>
  <si>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</si>
  <si>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</si>
  <si>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</si>
  <si>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</si>
  <si>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</si>
  <si>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</si>
  <si>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</si>
  <si>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</si>
  <si>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</si>
  <si>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</si>
  <si>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</si>
  <si>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</si>
  <si>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</si>
  <si>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</si>
  <si>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</si>
  <si>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</si>
  <si>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</si>
  <si>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</si>
  <si>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</si>
  <si>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</si>
  <si>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</si>
  <si>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</si>
  <si>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</si>
  <si>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</si>
  <si>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</si>
  <si>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</si>
  <si>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</si>
  <si>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</si>
  <si>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</si>
  <si>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</si>
  <si>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</si>
  <si>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</si>
  <si>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</si>
  <si>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</si>
  <si>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</si>
  <si>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</si>
  <si>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</si>
  <si>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</si>
  <si>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</si>
  <si>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</si>
  <si>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</si>
  <si>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</si>
  <si>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</si>
  <si>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</si>
  <si>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</si>
  <si>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</si>
  <si>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</si>
  <si>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</si>
  <si>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</si>
  <si>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</si>
  <si>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</si>
  <si>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</si>
  <si>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</si>
  <si>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</si>
  <si>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</si>
  <si>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</si>
  <si>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</si>
  <si>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</si>
  <si>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</si>
  <si>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</si>
  <si>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</si>
  <si>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</si>
  <si>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</si>
  <si>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</si>
  <si>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</si>
  <si>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</si>
  <si>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</si>
  <si>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</si>
  <si>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</si>
  <si>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</si>
  <si>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</si>
  <si>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</si>
  <si>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</si>
  <si>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</si>
  <si>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</si>
  <si>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</si>
  <si>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</si>
  <si>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</si>
  <si>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</si>
  <si>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</si>
  <si>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</si>
  <si>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</si>
  <si>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</si>
  <si>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</si>
  <si>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</si>
  <si>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</si>
  <si>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</si>
  <si>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</si>
  <si>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</si>
  <si>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</si>
  <si>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</si>
  <si>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</si>
  <si>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</si>
  <si>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</si>
  <si>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</si>
  <si>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</si>
  <si>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</si>
  <si>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</si>
  <si>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</si>
  <si>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</si>
  <si>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</si>
  <si>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</si>
  <si>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</si>
  <si>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</si>
  <si>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</si>
  <si>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</si>
  <si>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</si>
  <si>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</si>
  <si>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</si>
  <si>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</si>
  <si>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</si>
  <si>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</si>
  <si>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</si>
  <si>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</si>
  <si>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</si>
  <si>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</si>
  <si>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</si>
  <si>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</si>
  <si>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</si>
  <si>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</si>
  <si>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</si>
  <si>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</si>
  <si>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</si>
  <si>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</si>
  <si>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</si>
  <si>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</si>
  <si>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</si>
  <si>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</si>
  <si>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</si>
  <si>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</si>
  <si>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</si>
  <si>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</si>
  <si>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</si>
  <si>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</si>
  <si>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</si>
  <si>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</si>
  <si>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</si>
  <si>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</si>
  <si>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</si>
  <si>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</si>
  <si>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</si>
  <si>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</si>
  <si>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</si>
  <si>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</si>
  <si>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</si>
  <si>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</si>
  <si>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</si>
  <si>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</si>
  <si>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</si>
  <si>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</si>
  <si>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</si>
  <si>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</si>
  <si>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</si>
  <si>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</si>
  <si>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</si>
  <si>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</si>
  <si>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</si>
  <si>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</si>
  <si>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</si>
  <si>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</si>
  <si>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</si>
  <si>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</si>
  <si>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</si>
  <si>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</si>
  <si>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</si>
  <si>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</si>
  <si>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</si>
  <si>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</si>
  <si>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</si>
  <si>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</si>
  <si>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</si>
  <si>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</si>
  <si>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</si>
  <si>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</si>
  <si>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</si>
  <si>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</si>
  <si>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</si>
  <si>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</si>
  <si>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</si>
  <si>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</si>
  <si>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</si>
  <si>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</si>
  <si>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</si>
  <si>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</si>
  <si>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</si>
  <si>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</si>
  <si>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</si>
  <si>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</si>
  <si>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</si>
  <si>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</si>
  <si>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</si>
  <si>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</si>
  <si>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</si>
  <si>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</si>
  <si>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</si>
  <si>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</si>
  <si>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</si>
  <si>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</si>
  <si>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</si>
  <si>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</si>
  <si>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</si>
  <si>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</si>
  <si>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</si>
  <si>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</si>
  <si>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</si>
  <si>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</si>
  <si>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</si>
  <si>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</si>
  <si>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</si>
  <si>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</si>
  <si>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</si>
  <si>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</si>
  <si>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</si>
  <si>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</si>
  <si>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</si>
  <si>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</si>
  <si>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</si>
  <si>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</si>
  <si>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</si>
  <si>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</si>
  <si>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</si>
  <si>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</si>
  <si>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</si>
  <si>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</si>
  <si>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</si>
  <si>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</si>
  <si>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</si>
  <si>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</si>
  <si>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</si>
  <si>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</si>
  <si>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</si>
  <si>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</si>
  <si>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</si>
  <si>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</si>
  <si>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</si>
  <si>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</si>
  <si>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</si>
  <si>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</si>
  <si>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</si>
  <si>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</si>
  <si>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</si>
  <si>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</si>
  <si>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</si>
  <si>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</si>
  <si>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</si>
  <si>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</si>
  <si>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</si>
  <si>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</si>
  <si>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</si>
  <si>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</si>
  <si>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</si>
  <si>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</si>
  <si>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</si>
  <si>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</si>
  <si>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</si>
  <si>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</si>
  <si>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</si>
  <si>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</si>
  <si>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</si>
  <si>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</si>
  <si>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</si>
  <si>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</si>
  <si>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</si>
  <si>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</si>
  <si>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</si>
  <si>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</si>
  <si>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</si>
  <si>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</si>
  <si>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</si>
  <si>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</si>
  <si>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</si>
  <si>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</si>
  <si>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</si>
  <si>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</si>
  <si>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</si>
  <si>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</si>
  <si>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</si>
  <si>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</si>
  <si>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</si>
  <si>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</si>
  <si>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</si>
  <si>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</si>
  <si>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</si>
  <si>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</si>
  <si>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</si>
  <si>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</si>
  <si>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</si>
  <si>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</si>
  <si>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</si>
  <si>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</si>
  <si>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</si>
  <si>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</si>
  <si>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</si>
  <si>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</si>
  <si>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</si>
  <si>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</si>
  <si>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</si>
  <si>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</si>
  <si>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</si>
  <si>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</si>
  <si>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</si>
  <si>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</si>
  <si>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</si>
  <si>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</si>
  <si>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</si>
  <si>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</si>
  <si>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</si>
  <si>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</si>
  <si>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</si>
  <si>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</si>
  <si>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</si>
  <si>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</si>
  <si>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</si>
  <si>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</si>
  <si>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</si>
  <si>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</si>
  <si>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</si>
  <si>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</si>
  <si>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</si>
  <si>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</si>
  <si>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</si>
  <si>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</si>
  <si>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</si>
  <si>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</si>
  <si>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</si>
  <si>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</si>
  <si>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</si>
  <si>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</si>
  <si>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</si>
  <si>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</si>
  <si>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</si>
  <si>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</si>
  <si>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</si>
  <si>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</si>
  <si>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</si>
  <si>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</si>
  <si>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</si>
  <si>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</si>
  <si>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</si>
  <si>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</si>
  <si>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</si>
  <si>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</si>
  <si>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</si>
  <si>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</si>
  <si>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</si>
  <si>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</si>
  <si>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</si>
  <si>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</si>
  <si>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</si>
  <si>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</si>
  <si>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</si>
  <si>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</si>
  <si>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</si>
  <si>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</si>
  <si>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</si>
  <si>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</si>
  <si>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</si>
  <si>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</si>
  <si>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</si>
  <si>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</si>
  <si>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</si>
  <si>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</si>
  <si>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</si>
  <si>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</si>
  <si>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</si>
  <si>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</si>
  <si>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</si>
  <si>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</si>
  <si>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</si>
  <si>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</si>
  <si>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</si>
  <si>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</si>
  <si>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</si>
  <si>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</si>
  <si>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</si>
  <si>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</si>
  <si>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</si>
  <si>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</si>
  <si>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</si>
  <si>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</si>
  <si>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</si>
  <si>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</si>
  <si>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</si>
  <si>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</si>
  <si>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</si>
  <si>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</si>
  <si>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</si>
  <si>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</si>
  <si>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</si>
  <si>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</si>
  <si>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</si>
  <si>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</si>
  <si>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</si>
  <si>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</si>
  <si>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</si>
  <si>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</si>
  <si>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</si>
  <si>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</si>
  <si>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</si>
  <si>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</si>
  <si>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</si>
  <si>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</si>
  <si>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</si>
  <si>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</si>
  <si>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</si>
  <si>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</si>
  <si>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</si>
  <si>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</si>
  <si>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</si>
  <si>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</si>
  <si>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</si>
  <si>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</si>
  <si>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</si>
  <si>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</si>
  <si>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</si>
  <si>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</si>
  <si>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</si>
  <si>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</si>
  <si>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</si>
  <si>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</si>
  <si>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</si>
  <si>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</si>
  <si>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</si>
  <si>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</si>
  <si>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</si>
  <si>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</si>
  <si>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</si>
  <si>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</si>
  <si>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</si>
  <si>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</si>
  <si>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</si>
  <si>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</si>
  <si>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</si>
  <si>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</si>
  <si>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</si>
  <si>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</si>
  <si>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</si>
  <si>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</si>
  <si>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</si>
  <si>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</si>
  <si>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</si>
  <si>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</si>
  <si>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</si>
  <si>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</si>
  <si>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</si>
  <si>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</si>
  <si>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</si>
  <si>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</si>
  <si>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</si>
  <si>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</si>
  <si>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</si>
  <si>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</si>
  <si>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</si>
  <si>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</si>
  <si>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</si>
  <si>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</si>
  <si>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</si>
  <si>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</si>
  <si>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</si>
  <si>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</si>
  <si>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</si>
  <si>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</si>
  <si>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</si>
  <si>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</si>
  <si>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</si>
  <si>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</si>
  <si>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</si>
  <si>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</si>
  <si>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</si>
  <si>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</si>
  <si>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</si>
  <si>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</si>
  <si>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</si>
  <si>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</si>
  <si>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</si>
  <si>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</si>
  <si>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</si>
  <si>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</si>
  <si>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</si>
  <si>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</si>
  <si>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</si>
  <si>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</si>
  <si>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</si>
  <si>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</si>
  <si>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</si>
  <si>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</si>
  <si>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</si>
  <si>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</si>
  <si>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</si>
  <si>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</si>
  <si>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</si>
  <si>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</si>
  <si>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</si>
  <si>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</si>
  <si>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</si>
  <si>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</si>
  <si>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</si>
  <si>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</si>
  <si>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</si>
  <si>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</si>
  <si>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</si>
  <si>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</si>
  <si>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</si>
  <si>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</si>
  <si>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</si>
  <si>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</si>
  <si>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</si>
  <si>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</si>
  <si>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</si>
  <si>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</si>
  <si>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</si>
  <si>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</si>
  <si>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</si>
  <si>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</si>
  <si>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</si>
  <si>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</si>
  <si>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</si>
  <si>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</si>
  <si>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</si>
  <si>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</si>
  <si>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</si>
  <si>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</si>
  <si>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</si>
  <si>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</si>
  <si>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</si>
  <si>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</si>
  <si>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</si>
  <si>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</si>
  <si>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</si>
  <si>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</si>
  <si>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</si>
  <si>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</si>
  <si>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</si>
  <si>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</si>
  <si>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</si>
  <si>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</si>
  <si>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</si>
  <si>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</si>
  <si>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</si>
  <si>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</si>
  <si>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</si>
  <si>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</si>
  <si>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</si>
  <si>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</si>
  <si>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</si>
  <si>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</si>
  <si>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</si>
  <si>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</si>
  <si>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</si>
  <si>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</si>
  <si>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</si>
  <si>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</si>
  <si>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</si>
  <si>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</si>
  <si>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</si>
  <si>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</si>
  <si>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</si>
  <si>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</si>
  <si>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</si>
  <si>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</si>
  <si>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</si>
  <si>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</si>
  <si>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</si>
  <si>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</si>
  <si>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</si>
  <si>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</si>
  <si>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</si>
  <si>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</si>
  <si>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</si>
  <si>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</si>
  <si>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</si>
  <si>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</si>
  <si>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</si>
  <si>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</si>
  <si>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</si>
  <si>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</si>
  <si>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</si>
  <si>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</si>
  <si>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</si>
  <si>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</si>
  <si>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</si>
  <si>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</si>
  <si>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</si>
  <si>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</si>
  <si>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</si>
  <si>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</si>
  <si>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</si>
  <si>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</si>
  <si>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</si>
  <si>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</si>
  <si>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</si>
  <si>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</si>
  <si>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</si>
  <si>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</si>
  <si>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</si>
  <si>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</si>
  <si>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</si>
  <si>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</si>
  <si>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</si>
  <si>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</si>
  <si>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</si>
  <si>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</si>
  <si>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</si>
  <si>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</si>
  <si>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</si>
  <si>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</si>
  <si>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</si>
  <si>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</si>
  <si>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</si>
  <si>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</si>
  <si>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</si>
  <si>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</si>
  <si>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</si>
  <si>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</si>
  <si>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</si>
  <si>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</si>
  <si>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</si>
  <si>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</si>
  <si>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</si>
  <si>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</si>
  <si>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</si>
  <si>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</si>
  <si>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</si>
  <si>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</si>
  <si>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</si>
  <si>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</si>
  <si>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</si>
  <si>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</si>
  <si>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</si>
  <si>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</si>
  <si>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</si>
  <si>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</si>
  <si>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</si>
  <si>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</si>
  <si>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</si>
  <si>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</si>
  <si>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</si>
  <si>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</si>
  <si>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</si>
  <si>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</si>
  <si>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</si>
  <si>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</si>
  <si>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</si>
  <si>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</si>
  <si>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</si>
  <si>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</si>
  <si>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</si>
  <si>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</si>
  <si>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</si>
  <si>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</si>
  <si>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</si>
  <si>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</si>
  <si>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</si>
  <si>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</si>
  <si>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</si>
  <si>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</si>
  <si>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</si>
  <si>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</si>
  <si>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</si>
  <si>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</si>
  <si>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</si>
  <si>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</si>
  <si>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</si>
  <si>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</si>
  <si>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</si>
  <si>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</si>
  <si>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</si>
  <si>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</si>
  <si>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</si>
  <si>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</si>
  <si>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</si>
  <si>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</si>
  <si>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</si>
  <si>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</si>
  <si>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</si>
  <si>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</si>
  <si>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</si>
  <si>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</si>
  <si>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</si>
  <si>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</si>
  <si>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</si>
  <si>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</si>
  <si>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</si>
  <si>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</si>
  <si>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</si>
  <si>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</si>
  <si>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</si>
  <si>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</si>
  <si>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</si>
  <si>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</si>
  <si>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</si>
  <si>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</si>
  <si>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</si>
  <si>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</si>
  <si>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</si>
  <si>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</si>
  <si>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</si>
  <si>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</si>
  <si>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</si>
  <si>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</si>
  <si>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</si>
  <si>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</si>
  <si>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</si>
  <si>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</si>
  <si>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</si>
  <si>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</si>
  <si>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</si>
  <si>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</si>
  <si>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</si>
  <si>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</si>
  <si>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</si>
  <si>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</si>
  <si>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</si>
  <si>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</si>
  <si>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</si>
  <si>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</si>
  <si>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</si>
  <si>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</si>
  <si>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</si>
  <si>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</si>
  <si>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</si>
  <si>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</si>
  <si>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</si>
  <si>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</si>
  <si>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</si>
  <si>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</si>
  <si>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</si>
  <si>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</si>
  <si>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</si>
  <si>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</si>
  <si>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</si>
  <si>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</si>
  <si>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</si>
  <si>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</si>
  <si>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</si>
  <si>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</si>
  <si>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</si>
  <si>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</si>
  <si>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</si>
  <si>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</si>
  <si>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</si>
  <si>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</si>
  <si>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</si>
  <si>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</si>
  <si>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</si>
  <si>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</si>
  <si>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</si>
  <si>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</si>
  <si>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</si>
  <si>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</si>
  <si>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</si>
  <si>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</si>
  <si>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</si>
  <si>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</si>
  <si>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</si>
  <si>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</si>
  <si>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</si>
  <si>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</si>
  <si>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</si>
  <si>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</si>
  <si>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</si>
  <si>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</si>
  <si>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</si>
  <si>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</si>
  <si>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</si>
  <si>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</si>
  <si>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</si>
  <si>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</si>
  <si>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</si>
  <si>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</si>
  <si>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</si>
  <si>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</si>
  <si>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</si>
  <si>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</si>
  <si>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</si>
  <si>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</si>
  <si>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</si>
  <si>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</si>
  <si>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</si>
  <si>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</si>
  <si>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</si>
  <si>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</si>
  <si>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</si>
  <si>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</si>
  <si>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</si>
  <si>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</si>
  <si>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</si>
  <si>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</si>
  <si>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</si>
  <si>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</si>
  <si>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</si>
  <si>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</si>
  <si>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</si>
  <si>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</si>
  <si>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</si>
  <si>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</si>
  <si>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</si>
  <si>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</si>
  <si>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</si>
  <si>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</si>
  <si>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</si>
  <si>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</si>
  <si>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</si>
  <si>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</si>
  <si>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</si>
  <si>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</si>
  <si>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</si>
  <si>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</si>
  <si>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</si>
  <si>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</si>
  <si>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</si>
  <si>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</si>
  <si>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</si>
  <si>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</si>
  <si>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</si>
  <si>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</si>
  <si>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</si>
  <si>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</si>
  <si>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</si>
  <si>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</si>
  <si>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</si>
  <si>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</si>
  <si>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</si>
  <si>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</si>
  <si>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</si>
  <si>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</si>
  <si>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</si>
  <si>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</si>
  <si>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</si>
  <si>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</si>
  <si>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</si>
  <si>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</si>
  <si>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</si>
  <si>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</si>
  <si>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</si>
  <si>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</si>
  <si>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</si>
  <si>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</si>
  <si>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</si>
  <si>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</si>
  <si>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</si>
  <si>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</si>
  <si>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</si>
  <si>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</si>
  <si>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</si>
  <si>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</si>
  <si>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</si>
  <si>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</si>
  <si>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</si>
  <si>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</si>
  <si>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</si>
  <si>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</si>
  <si>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</si>
  <si>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</si>
  <si>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</si>
  <si>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</si>
  <si>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</si>
  <si>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</si>
  <si>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</si>
  <si>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</si>
  <si>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</si>
  <si>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</si>
  <si>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</si>
  <si>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</si>
  <si>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</si>
  <si>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</si>
  <si>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</si>
  <si>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</si>
  <si>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</si>
  <si>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</si>
  <si>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</si>
  <si>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</si>
  <si>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</si>
  <si>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</si>
  <si>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</si>
  <si>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</si>
  <si>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</si>
  <si>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</si>
  <si>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</si>
  <si>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</si>
  <si>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</si>
  <si>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</si>
  <si>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</si>
  <si>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</si>
  <si>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</si>
  <si>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</si>
  <si>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</si>
  <si>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</si>
  <si>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</si>
  <si>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</si>
  <si>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</si>
  <si>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</si>
  <si>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</si>
  <si>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</si>
  <si>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</si>
  <si>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</si>
  <si>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</si>
  <si>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</si>
  <si>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</si>
  <si>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</si>
  <si>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</si>
  <si>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</si>
  <si>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</si>
  <si>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</si>
  <si>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</si>
  <si>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</si>
  <si>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</si>
  <si>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</si>
  <si>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</si>
  <si>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</si>
  <si>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</si>
  <si>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</si>
  <si>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</si>
  <si>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</si>
  <si>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</si>
  <si>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</si>
  <si>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</si>
  <si>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</si>
  <si>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</si>
  <si>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</si>
  <si>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</si>
  <si>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</si>
  <si>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</si>
  <si>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</si>
  <si>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</si>
  <si>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</si>
  <si>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</si>
  <si>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</si>
  <si>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</si>
  <si>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</si>
  <si>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</si>
  <si>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</si>
  <si>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</si>
  <si>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</si>
  <si>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</si>
  <si>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</si>
  <si>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</si>
  <si>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</si>
  <si>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</si>
  <si>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</si>
  <si>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</si>
  <si>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</si>
  <si>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</si>
  <si>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</si>
  <si>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</si>
  <si>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</si>
  <si>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</si>
  <si>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</si>
  <si>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</si>
  <si>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</si>
  <si>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</si>
  <si>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</si>
  <si>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</si>
  <si>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</si>
  <si>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</si>
  <si>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</si>
  <si>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</si>
  <si>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</si>
  <si>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</si>
  <si>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</si>
  <si>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</si>
  <si>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</si>
  <si>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</si>
  <si>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</si>
  <si>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</si>
  <si>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</si>
  <si>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</si>
  <si>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</si>
  <si>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</si>
  <si>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</si>
  <si>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</si>
  <si>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</si>
  <si>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</si>
  <si>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</si>
  <si>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</si>
  <si>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</si>
  <si>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</si>
  <si>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</si>
  <si>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</si>
  <si>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</si>
  <si>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</si>
  <si>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</si>
  <si>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</si>
  <si>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</si>
  <si>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</si>
  <si>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</si>
  <si>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</si>
  <si>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</si>
  <si>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</si>
  <si>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</si>
  <si>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</si>
  <si>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</si>
  <si>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</si>
  <si>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</si>
  <si>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</si>
  <si>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</si>
  <si>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</si>
  <si>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</si>
  <si>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</si>
  <si>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</si>
  <si>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</si>
  <si>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</si>
  <si>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</si>
  <si>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</si>
  <si>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</si>
  <si>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</si>
  <si>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</si>
  <si>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</si>
  <si>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</si>
  <si>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</si>
  <si>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</si>
  <si>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</si>
  <si>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</si>
  <si>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</si>
  <si>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</si>
  <si>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</si>
  <si>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</si>
  <si>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</si>
  <si>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</si>
  <si>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</si>
  <si>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</si>
  <si>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</si>
  <si>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</si>
  <si>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</si>
  <si>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</si>
  <si>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</si>
  <si>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</si>
  <si>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</si>
  <si>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</si>
  <si>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</si>
  <si>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</si>
  <si>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</si>
  <si>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</si>
  <si>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</si>
  <si>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</si>
  <si>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</si>
  <si>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</si>
  <si>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</si>
  <si>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</si>
  <si>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</si>
  <si>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</si>
  <si>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</si>
  <si>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</si>
  <si>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</si>
  <si>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</si>
  <si>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</si>
  <si>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</si>
  <si>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</si>
  <si>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</si>
  <si>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</si>
  <si>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</si>
  <si>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</si>
  <si>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</si>
  <si>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</si>
  <si>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</si>
  <si>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</si>
  <si>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</si>
  <si>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</si>
  <si>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</si>
  <si>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</si>
  <si>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</si>
  <si>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</si>
  <si>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</si>
  <si>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</si>
  <si>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</si>
  <si>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</si>
  <si>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</si>
  <si>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</si>
  <si>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“พี่สามารถกดที่คูปองเพื่อดูรายละเอียดได้ครับ หากเป็นคูปองที่กดรับได้ ระบบจะแสดงปุ่มให้กดรับหรือใช้งาน หากพบข้อความแจ้งเตือนหรือใช้งานไม่ได้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</si>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</sst>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9BCD6-B2CD-4138-85FB-1EB8C08372F8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C9" sqref="C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>SUM(H5,J5,L5,N5,P5,R5,T5,V5,X5,Z5,AB5,AD5,AF5,AH5,AJ5,AL5,AN5)</f>
        <v>81</v>
      </c>
      <c r="AT5" s="11">
        <f>IF(C5="","",DATE(YEAR(C5),MONTH(C5),1))</f>
        <v>46082</v>
      </c>
      <c r="AU5" s="13" t="str">
        <f>IF(AT5="","",TEXT(AT5,"mmmm yyyy"))</f>
        <v>March 2026</v>
      </c>
      <c r="AV5" s="11">
        <f>IF(C5="","",C5-WEEKDAY(C5,2)+1)</f>
        <v>46090</v>
      </c>
      <c r="AW5" s="11">
        <f>IF(AV5="","",AV5+6)</f>
        <v>46096</v>
      </c>
      <c r="AX5" s="13" t="str">
        <f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>IF(B5="","",TEXT(AY5,"00")&amp;"|"&amp;B5&amp;"|"&amp;TEXT(AT5,"yyyymmdd"))</f>
        <v>01|Chatkonnaphat Bhusomya|20260301</v>
      </c>
      <c r="BB5" s="13" t="str">
        <f>IF(B5="","",TEXT(AZ5,"00")&amp;"|"&amp;B5&amp;"|"&amp;TEXT(AV5,"yyyymmdd"))</f>
        <v>01|Chatkonnaphat Bhusomya|20260309</v>
      </c>
      <c r="BC5" s="13">
        <f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>SUM(H6,J6,L6,N6,P6,R6,T6,V6,X6,Z6,AB6,AD6,AF6,AH6,AJ6,AL6,AN6)</f>
        <v>92</v>
      </c>
      <c r="AT6" s="11">
        <f>IF(C6="","",DATE(YEAR(C6),MONTH(C6),1))</f>
        <v>46082</v>
      </c>
      <c r="AU6" s="13" t="str">
        <f>IF(AT6="","",TEXT(AT6,"mmmm yyyy"))</f>
        <v>March 2026</v>
      </c>
      <c r="AV6" s="11">
        <f>IF(C6="","",C6-WEEKDAY(C6,2)+1)</f>
        <v>46090</v>
      </c>
      <c r="AW6" s="11">
        <f>IF(AV6="","",AV6+6)</f>
        <v>46096</v>
      </c>
      <c r="AX6" s="13" t="str">
        <f>IF(AV6="","",TEXT(AV6,"dd/mm/yyyy")&amp;" - "&amp;TEXT(AW6,"dd/mm/yyyy"))</f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>IF(B6="","",TEXT(AY6,"00")&amp;"|"&amp;B6&amp;"|"&amp;TEXT(AT6,"yyyymmdd"))</f>
        <v>01|Jureeporn Piddum|20260301</v>
      </c>
      <c r="BB6" s="13" t="str">
        <f>IF(B6="","",TEXT(AZ6,"00")&amp;"|"&amp;B6&amp;"|"&amp;TEXT(AV6,"yyyymmdd"))</f>
        <v>01|Jureeporn Piddum|20260309</v>
      </c>
      <c r="BC6" s="13">
        <f>IF(OR(AQ6="YES",AQ6="Yes",AQ6="Y",AQ6=1),1,0)</f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>SUM(H7,J7,L7,N7,P7,R7,T7,V7,X7,Z7,AB7,AD7,AF7,AH7,AJ7,AL7,AN7)</f>
        <v>71</v>
      </c>
      <c r="AT7" s="11">
        <f>IF(C7="","",DATE(YEAR(C7),MONTH(C7),1))</f>
        <v>46082</v>
      </c>
      <c r="AU7" s="13" t="str">
        <f>IF(AT7="","",TEXT(AT7,"mmmm yyyy"))</f>
        <v>March 2026</v>
      </c>
      <c r="AV7" s="11">
        <f>IF(C7="","",C7-WEEKDAY(C7,2)+1)</f>
        <v>46090</v>
      </c>
      <c r="AW7" s="11">
        <f>IF(AV7="","",AV7+6)</f>
        <v>46096</v>
      </c>
      <c r="AX7" s="13" t="str">
        <f>IF(AV7="","",TEXT(AV7,"dd/mm/yyyy")&amp;" - "&amp;TEXT(AW7,"dd/mm/yyyy"))</f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>IF(B7="","",TEXT(AY7,"00")&amp;"|"&amp;B7&amp;"|"&amp;TEXT(AT7,"yyyymmdd"))</f>
        <v>01|Arisa aiemrit|20260301</v>
      </c>
      <c r="BB7" s="13" t="str">
        <f>IF(B7="","",TEXT(AZ7,"00")&amp;"|"&amp;B7&amp;"|"&amp;TEXT(AV7,"yyyymmdd"))</f>
        <v>01|Arisa aiemrit|20260309</v>
      </c>
      <c r="BC7" s="13">
        <f>IF(OR(AQ7="YES",AQ7="Yes",AQ7="Y",AQ7=1),1,0)</f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>SUM(H8,J8,L8,N8,P8,R8,T8,V8,X8,Z8,AB8,AD8,AF8,AH8,AJ8,AL8,AN8)</f>
        <v>96</v>
      </c>
      <c r="AT8" s="11">
        <f>IF(C8="","",DATE(YEAR(C8),MONTH(C8),1))</f>
        <v>46082</v>
      </c>
      <c r="AU8" s="13" t="str">
        <f>IF(AT8="","",TEXT(AT8,"mmmm yyyy"))</f>
        <v>March 2026</v>
      </c>
      <c r="AV8" s="11">
        <f>IF(C8="","",C8-WEEKDAY(C8,2)+1)</f>
        <v>46090</v>
      </c>
      <c r="AW8" s="11">
        <f>IF(AV8="","",AV8+6)</f>
        <v>46096</v>
      </c>
      <c r="AX8" s="13" t="str">
        <f>IF(AV8="","",TEXT(AV8,"dd/mm/yyyy")&amp;" - "&amp;TEXT(AW8,"dd/mm/yyyy"))</f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>IF(B8="","",TEXT(AY8,"00")&amp;"|"&amp;B8&amp;"|"&amp;TEXT(AT8,"yyyymmdd"))</f>
        <v>01|Jariyawadee Taboodda|20260301</v>
      </c>
      <c r="BB8" s="13" t="str">
        <f>IF(B8="","",TEXT(AZ8,"00")&amp;"|"&amp;B8&amp;"|"&amp;TEXT(AV8,"yyyymmdd"))</f>
        <v>01|Jariyawadee Taboodda|20260309</v>
      </c>
      <c r="BC8" s="13">
        <f>IF(OR(AQ8="YES",AQ8="Yes",AQ8="Y",AQ8=1),1,0)</f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>SUM(H9,J9,L9,N9,P9,R9,T9,V9,X9,Z9,AB9,AD9,AF9,AH9,AJ9,AL9,AN9)</f>
        <v>96</v>
      </c>
      <c r="AT9" s="11">
        <f>IF(C9="","",DATE(YEAR(C9),MONTH(C9),1))</f>
        <v>46082</v>
      </c>
      <c r="AU9" s="13" t="str">
        <f>IF(AT9="","",TEXT(AT9,"mmmm yyyy"))</f>
        <v>March 2026</v>
      </c>
      <c r="AV9" s="11">
        <f>IF(C9="","",C9-WEEKDAY(C9,2)+1)</f>
        <v>46090</v>
      </c>
      <c r="AW9" s="11">
        <f>IF(AV9="","",AV9+6)</f>
        <v>46096</v>
      </c>
      <c r="AX9" s="13" t="str">
        <f>IF(AV9="","",TEXT(AV9,"dd/mm/yyyy")&amp;" - "&amp;TEXT(AW9,"dd/mm/yyyy"))</f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>IF(B9="","",TEXT(AY9,"00")&amp;"|"&amp;B9&amp;"|"&amp;TEXT(AT9,"yyyymmdd"))</f>
        <v>01|Nattapol Suprom|20260301</v>
      </c>
      <c r="BB9" s="13" t="str">
        <f>IF(B9="","",TEXT(AZ9,"00")&amp;"|"&amp;B9&amp;"|"&amp;TEXT(AV9,"yyyymmdd"))</f>
        <v>01|Nattapol Suprom|20260309</v>
      </c>
      <c r="BC9" s="13">
        <f>IF(OR(AQ9="YES",AQ9="Yes",AQ9="Y",AQ9=1),1,0)</f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>SUM(H10,J10,L10,N10,P10,R10,T10,V10,X10,Z10,AB10,AD10,AF10,AH10,AJ10,AL10,AN10)</f>
        <v>72</v>
      </c>
      <c r="AT10" s="11">
        <f>IF(C10="","",DATE(YEAR(C10),MONTH(C10),1))</f>
        <v>46082</v>
      </c>
      <c r="AU10" s="13" t="str">
        <f>IF(AT10="","",TEXT(AT10,"mmmm yyyy"))</f>
        <v>March 2026</v>
      </c>
      <c r="AV10" s="11">
        <f>IF(C10="","",C10-WEEKDAY(C10,2)+1)</f>
        <v>46090</v>
      </c>
      <c r="AW10" s="11">
        <f>IF(AV10="","",AV10+6)</f>
        <v>46096</v>
      </c>
      <c r="AX10" s="13" t="str">
        <f>IF(AV10="","",TEXT(AV10,"dd/mm/yyyy")&amp;" - "&amp;TEXT(AW10,"dd/mm/yyyy"))</f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>IF(B10="","",TEXT(AY10,"00")&amp;"|"&amp;B10&amp;"|"&amp;TEXT(AT10,"yyyymmdd"))</f>
        <v>02|Arisa aiemrit|20260301</v>
      </c>
      <c r="BB10" s="13" t="str">
        <f>IF(B10="","",TEXT(AZ10,"00")&amp;"|"&amp;B10&amp;"|"&amp;TEXT(AV10,"yyyymmdd"))</f>
        <v>02|Arisa aiemrit|20260309</v>
      </c>
      <c r="BC10" s="13">
        <f>IF(OR(AQ10="YES",AQ10="Yes",AQ10="Y",AQ10=1),1,0)</f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>SUM(H11,J11,L11,N11,P11,R11,T11,V11,X11,Z11,AB11,AD11,AF11,AH11,AJ11,AL11,AN11)</f>
        <v>78</v>
      </c>
      <c r="AT11" s="11">
        <f>IF(C11="","",DATE(YEAR(C11),MONTH(C11),1))</f>
        <v>46082</v>
      </c>
      <c r="AU11" s="13" t="str">
        <f>IF(AT11="","",TEXT(AT11,"mmmm yyyy"))</f>
        <v>March 2026</v>
      </c>
      <c r="AV11" s="11">
        <f>IF(C11="","",C11-WEEKDAY(C11,2)+1)</f>
        <v>46090</v>
      </c>
      <c r="AW11" s="11">
        <f>IF(AV11="","",AV11+6)</f>
        <v>46096</v>
      </c>
      <c r="AX11" s="13" t="str">
        <f>IF(AV11="","",TEXT(AV11,"dd/mm/yyyy")&amp;" - "&amp;TEXT(AW11,"dd/mm/yyyy"))</f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>IF(B11="","",TEXT(AY11,"00")&amp;"|"&amp;B11&amp;"|"&amp;TEXT(AT11,"yyyymmdd"))</f>
        <v>01|Wachiraporn chailittichai|20260301</v>
      </c>
      <c r="BB11" s="13" t="str">
        <f>IF(B11="","",TEXT(AZ11,"00")&amp;"|"&amp;B11&amp;"|"&amp;TEXT(AV11,"yyyymmdd"))</f>
        <v>01|Wachiraporn chailittichai|20260309</v>
      </c>
      <c r="BC11" s="13">
        <f>IF(OR(AQ11="YES",AQ11="Yes",AQ11="Y",AQ11=1),1,0)</f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>SUM(H12,J12,L12,N12,P12,R12,T12,V12,X12,Z12,AB12,AD12,AF12,AH12,AJ12,AL12,AN12)</f>
        <v>64</v>
      </c>
      <c r="AT12" s="11">
        <f>IF(C12="","",DATE(YEAR(C12),MONTH(C12),1))</f>
        <v>46082</v>
      </c>
      <c r="AU12" s="13" t="str">
        <f>IF(AT12="","",TEXT(AT12,"mmmm yyyy"))</f>
        <v>March 2026</v>
      </c>
      <c r="AV12" s="11">
        <f>IF(C12="","",C12-WEEKDAY(C12,2)+1)</f>
        <v>46090</v>
      </c>
      <c r="AW12" s="11">
        <f>IF(AV12="","",AV12+6)</f>
        <v>46096</v>
      </c>
      <c r="AX12" s="13" t="str">
        <f>IF(AV12="","",TEXT(AV12,"dd/mm/yyyy")&amp;" - "&amp;TEXT(AW12,"dd/mm/yyyy"))</f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>IF(B12="","",TEXT(AY12,"00")&amp;"|"&amp;B12&amp;"|"&amp;TEXT(AT12,"yyyymmdd"))</f>
        <v>02|Jureeporn Piddum|20260301</v>
      </c>
      <c r="BB12" s="13" t="str">
        <f>IF(B12="","",TEXT(AZ12,"00")&amp;"|"&amp;B12&amp;"|"&amp;TEXT(AV12,"yyyymmdd"))</f>
        <v>02|Jureeporn Piddum|20260309</v>
      </c>
      <c r="BC12" s="13">
        <f>IF(OR(AQ12="YES",AQ12="Yes",AQ12="Y",AQ12=1),1,0)</f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>SUM(H13,J13,L13,N13,P13,R13,T13,V13,X13,Z13,AB13,AD13,AF13,AH13,AJ13,AL13,AN13)</f>
        <v>89</v>
      </c>
      <c r="AT13" s="11">
        <f>IF(C13="","",DATE(YEAR(C13),MONTH(C13),1))</f>
        <v>46082</v>
      </c>
      <c r="AU13" s="13" t="str">
        <f>IF(AT13="","",TEXT(AT13,"mmmm yyyy"))</f>
        <v>March 2026</v>
      </c>
      <c r="AV13" s="11">
        <f>IF(C13="","",C13-WEEKDAY(C13,2)+1)</f>
        <v>46090</v>
      </c>
      <c r="AW13" s="11">
        <f>IF(AV13="","",AV13+6)</f>
        <v>46096</v>
      </c>
      <c r="AX13" s="13" t="str">
        <f>IF(AV13="","",TEXT(AV13,"dd/mm/yyyy")&amp;" - "&amp;TEXT(AW13,"dd/mm/yyyy"))</f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>IF(B13="","",TEXT(AY13,"00")&amp;"|"&amp;B13&amp;"|"&amp;TEXT(AT13,"yyyymmdd"))</f>
        <v>02|Chatkonnaphat Bhusomya|20260301</v>
      </c>
      <c r="BB13" s="13" t="str">
        <f>IF(B13="","",TEXT(AZ13,"00")&amp;"|"&amp;B13&amp;"|"&amp;TEXT(AV13,"yyyymmdd"))</f>
        <v>02|Chatkonnaphat Bhusomya|20260309</v>
      </c>
      <c r="BC13" s="13">
        <f>IF(OR(AQ13="YES",AQ13="Yes",AQ13="Y",AQ13=1),1,0)</f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>SUM(H14,J14,L14,N14,P14,R14,T14,V14,X14,Z14,AB14,AD14,AF14,AH14,AJ14,AL14,AN14)</f>
        <v>92</v>
      </c>
      <c r="AT14" s="11">
        <f>IF(C14="","",DATE(YEAR(C14),MONTH(C14),1))</f>
        <v>46082</v>
      </c>
      <c r="AU14" s="13" t="str">
        <f>IF(AT14="","",TEXT(AT14,"mmmm yyyy"))</f>
        <v>March 2026</v>
      </c>
      <c r="AV14" s="11">
        <f>IF(C14="","",C14-WEEKDAY(C14,2)+1)</f>
        <v>46090</v>
      </c>
      <c r="AW14" s="11">
        <f>IF(AV14="","",AV14+6)</f>
        <v>46096</v>
      </c>
      <c r="AX14" s="13" t="str">
        <f>IF(AV14="","",TEXT(AV14,"dd/mm/yyyy")&amp;" - "&amp;TEXT(AW14,"dd/mm/yyyy"))</f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>IF(B14="","",TEXT(AY14,"00")&amp;"|"&amp;B14&amp;"|"&amp;TEXT(AT14,"yyyymmdd"))</f>
        <v>02|Jariyawadee Taboodda|20260301</v>
      </c>
      <c r="BB14" s="13" t="str">
        <f>IF(B14="","",TEXT(AZ14,"00")&amp;"|"&amp;B14&amp;"|"&amp;TEXT(AV14,"yyyymmdd"))</f>
        <v>02|Jariyawadee Taboodda|20260309</v>
      </c>
      <c r="BC14" s="13">
        <f>IF(OR(AQ14="YES",AQ14="Yes",AQ14="Y",AQ14=1),1,0)</f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>SUM(H15,J15,L15,N15,P15,R15,T15,V15,X15,Z15,AB15,AD15,AF15,AH15,AJ15,AL15,AN15)</f>
        <v>89</v>
      </c>
      <c r="AT15" s="11">
        <f>IF(C15="","",DATE(YEAR(C15),MONTH(C15),1))</f>
        <v>46082</v>
      </c>
      <c r="AU15" s="13" t="str">
        <f>IF(AT15="","",TEXT(AT15,"mmmm yyyy"))</f>
        <v>March 2026</v>
      </c>
      <c r="AV15" s="11">
        <f>IF(C15="","",C15-WEEKDAY(C15,2)+1)</f>
        <v>46090</v>
      </c>
      <c r="AW15" s="11">
        <f>IF(AV15="","",AV15+6)</f>
        <v>46096</v>
      </c>
      <c r="AX15" s="13" t="str">
        <f>IF(AV15="","",TEXT(AV15,"dd/mm/yyyy")&amp;" - "&amp;TEXT(AW15,"dd/mm/yyyy"))</f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>IF(B15="","",TEXT(AY15,"00")&amp;"|"&amp;B15&amp;"|"&amp;TEXT(AT15,"yyyymmdd"))</f>
        <v>01|Supakrit Promkhamnoi|20260301</v>
      </c>
      <c r="BB15" s="13" t="str">
        <f>IF(B15="","",TEXT(AZ15,"00")&amp;"|"&amp;B15&amp;"|"&amp;TEXT(AV15,"yyyymmdd"))</f>
        <v>01|Supakrit Promkhamnoi|20260309</v>
      </c>
      <c r="BC15" s="13">
        <f>IF(OR(AQ15="YES",AQ15="Yes",AQ15="Y",AQ15=1),1,0)</f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>SUM(H16,J16,L16,N16,P16,R16,T16,V16,X16,Z16,AB16,AD16,AF16,AH16,AJ16,AL16,AN16)</f>
        <v>84</v>
      </c>
      <c r="AT16" s="11">
        <f>IF(C16="","",DATE(YEAR(C16),MONTH(C16),1))</f>
        <v>46082</v>
      </c>
      <c r="AU16" s="13" t="str">
        <f>IF(AT16="","",TEXT(AT16,"mmmm yyyy"))</f>
        <v>March 2026</v>
      </c>
      <c r="AV16" s="11">
        <f>IF(C16="","",C16-WEEKDAY(C16,2)+1)</f>
        <v>46090</v>
      </c>
      <c r="AW16" s="11">
        <f>IF(AV16="","",AV16+6)</f>
        <v>46096</v>
      </c>
      <c r="AX16" s="13" t="str">
        <f>IF(AV16="","",TEXT(AV16,"dd/mm/yyyy")&amp;" - "&amp;TEXT(AW16,"dd/mm/yyyy"))</f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>IF(B16="","",TEXT(AY16,"00")&amp;"|"&amp;B16&amp;"|"&amp;TEXT(AT16,"yyyymmdd"))</f>
        <v>02|Nattapol Suprom|20260301</v>
      </c>
      <c r="BB16" s="13" t="str">
        <f>IF(B16="","",TEXT(AZ16,"00")&amp;"|"&amp;B16&amp;"|"&amp;TEXT(AV16,"yyyymmdd"))</f>
        <v>02|Nattapol Suprom|20260309</v>
      </c>
      <c r="BC16" s="13">
        <f>IF(OR(AQ16="YES",AQ16="Yes",AQ16="Y",AQ16=1),1,0)</f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>SUM(H17,J17,L17,N17,P17,R17,T17,V17,X17,Z17,AB17,AD17,AF17,AH17,AJ17,AL17,AN17)</f>
        <v>67</v>
      </c>
      <c r="AT17" s="11">
        <f>IF(C17="","",DATE(YEAR(C17),MONTH(C17),1))</f>
        <v>46082</v>
      </c>
      <c r="AU17" s="13" t="str">
        <f>IF(AT17="","",TEXT(AT17,"mmmm yyyy"))</f>
        <v>March 2026</v>
      </c>
      <c r="AV17" s="11">
        <f>IF(C17="","",C17-WEEKDAY(C17,2)+1)</f>
        <v>46090</v>
      </c>
      <c r="AW17" s="11">
        <f>IF(AV17="","",AV17+6)</f>
        <v>46096</v>
      </c>
      <c r="AX17" s="13" t="str">
        <f>IF(AV17="","",TEXT(AV17,"dd/mm/yyyy")&amp;" - "&amp;TEXT(AW17,"dd/mm/yyyy"))</f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>IF(B17="","",TEXT(AY17,"00")&amp;"|"&amp;B17&amp;"|"&amp;TEXT(AT17,"yyyymmdd"))</f>
        <v>01|Suphitcha Keawliam|20260301</v>
      </c>
      <c r="BB17" s="13" t="str">
        <f>IF(B17="","",TEXT(AZ17,"00")&amp;"|"&amp;B17&amp;"|"&amp;TEXT(AV17,"yyyymmdd"))</f>
        <v>01|Suphitcha Keawliam|20260309</v>
      </c>
      <c r="BC17" s="13">
        <f>IF(OR(AQ17="YES",AQ17="Yes",AQ17="Y",AQ17=1),1,0)</f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>SUM(H18,J18,L18,N18,P18,R18,T18,V18,X18,Z18,AB18,AD18,AF18,AH18,AJ18,AL18,AN18)</f>
        <v>91</v>
      </c>
      <c r="AT18" s="11">
        <f>IF(C18="","",DATE(YEAR(C18),MONTH(C18),1))</f>
        <v>46082</v>
      </c>
      <c r="AU18" s="13" t="str">
        <f>IF(AT18="","",TEXT(AT18,"mmmm yyyy"))</f>
        <v>March 2026</v>
      </c>
      <c r="AV18" s="11">
        <f>IF(C18="","",C18-WEEKDAY(C18,2)+1)</f>
        <v>46090</v>
      </c>
      <c r="AW18" s="11">
        <f>IF(AV18="","",AV18+6)</f>
        <v>46096</v>
      </c>
      <c r="AX18" s="13" t="str">
        <f>IF(AV18="","",TEXT(AV18,"dd/mm/yyyy")&amp;" - "&amp;TEXT(AW18,"dd/mm/yyyy"))</f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>IF(B18="","",TEXT(AY18,"00")&amp;"|"&amp;B18&amp;"|"&amp;TEXT(AT18,"yyyymmdd"))</f>
        <v>02|Wachiraporn chailittichai|20260301</v>
      </c>
      <c r="BB18" s="13" t="str">
        <f>IF(B18="","",TEXT(AZ18,"00")&amp;"|"&amp;B18&amp;"|"&amp;TEXT(AV18,"yyyymmdd"))</f>
        <v>02|Wachiraporn chailittichai|20260309</v>
      </c>
      <c r="BC18" s="13">
        <f>IF(OR(AQ18="YES",AQ18="Yes",AQ18="Y",AQ18=1),1,0)</f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>SUM(H19,J19,L19,N19,P19,R19,T19,V19,X19,Z19,AB19,AD19,AF19,AH19,AJ19,AL19,AN19)</f>
        <v>93</v>
      </c>
      <c r="AT19" s="11">
        <f>IF(C19="","",DATE(YEAR(C19),MONTH(C19),1))</f>
        <v>46082</v>
      </c>
      <c r="AU19" s="13" t="str">
        <f>IF(AT19="","",TEXT(AT19,"mmmm yyyy"))</f>
        <v>March 2026</v>
      </c>
      <c r="AV19" s="11">
        <f>IF(C19="","",C19-WEEKDAY(C19,2)+1)</f>
        <v>46090</v>
      </c>
      <c r="AW19" s="11">
        <f>IF(AV19="","",AV19+6)</f>
        <v>46096</v>
      </c>
      <c r="AX19" s="13" t="str">
        <f>IF(AV19="","",TEXT(AV19,"dd/mm/yyyy")&amp;" - "&amp;TEXT(AW19,"dd/mm/yyyy"))</f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>IF(B19="","",TEXT(AY19,"00")&amp;"|"&amp;B19&amp;"|"&amp;TEXT(AT19,"yyyymmdd"))</f>
        <v>03|Arisa aiemrit|20260301</v>
      </c>
      <c r="BB19" s="13" t="str">
        <f>IF(B19="","",TEXT(AZ19,"00")&amp;"|"&amp;B19&amp;"|"&amp;TEXT(AV19,"yyyymmdd"))</f>
        <v>03|Arisa aiemrit|20260309</v>
      </c>
      <c r="BC19" s="13">
        <f>IF(OR(AQ19="YES",AQ19="Yes",AQ19="Y",AQ19=1),1,0)</f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>SUM(H20,J20,L20,N20,P20,R20,T20,V20,X20,Z20,AB20,AD20,AF20,AH20,AJ20,AL20,AN20)</f>
        <v>99</v>
      </c>
      <c r="AT20" s="11">
        <f>IF(C20="","",DATE(YEAR(C20),MONTH(C20),1))</f>
        <v>46082</v>
      </c>
      <c r="AU20" s="13" t="str">
        <f>IF(AT20="","",TEXT(AT20,"mmmm yyyy"))</f>
        <v>March 2026</v>
      </c>
      <c r="AV20" s="11">
        <f>IF(C20="","",C20-WEEKDAY(C20,2)+1)</f>
        <v>46090</v>
      </c>
      <c r="AW20" s="11">
        <f>IF(AV20="","",AV20+6)</f>
        <v>46096</v>
      </c>
      <c r="AX20" s="13" t="str">
        <f>IF(AV20="","",TEXT(AV20,"dd/mm/yyyy")&amp;" - "&amp;TEXT(AW20,"dd/mm/yyyy"))</f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>IF(B20="","",TEXT(AY20,"00")&amp;"|"&amp;B20&amp;"|"&amp;TEXT(AT20,"yyyymmdd"))</f>
        <v>03|Jureeporn Piddum|20260301</v>
      </c>
      <c r="BB20" s="13" t="str">
        <f>IF(B20="","",TEXT(AZ20,"00")&amp;"|"&amp;B20&amp;"|"&amp;TEXT(AV20,"yyyymmdd"))</f>
        <v>03|Jureeporn Piddum|20260309</v>
      </c>
      <c r="BC20" s="13">
        <f>IF(OR(AQ20="YES",AQ20="Yes",AQ20="Y",AQ20=1),1,0)</f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>SUM(H21,J21,L21,N21,P21,R21,T21,V21,X21,Z21,AB21,AD21,AF21,AH21,AJ21,AL21,AN21)</f>
        <v>94</v>
      </c>
      <c r="AT21" s="11">
        <f>IF(C21="","",DATE(YEAR(C21),MONTH(C21),1))</f>
        <v>46082</v>
      </c>
      <c r="AU21" s="13" t="str">
        <f>IF(AT21="","",TEXT(AT21,"mmmm yyyy"))</f>
        <v>March 2026</v>
      </c>
      <c r="AV21" s="11">
        <f>IF(C21="","",C21-WEEKDAY(C21,2)+1)</f>
        <v>46090</v>
      </c>
      <c r="AW21" s="11">
        <f>IF(AV21="","",AV21+6)</f>
        <v>46096</v>
      </c>
      <c r="AX21" s="13" t="str">
        <f>IF(AV21="","",TEXT(AV21,"dd/mm/yyyy")&amp;" - "&amp;TEXT(AW21,"dd/mm/yyyy"))</f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>IF(B21="","",TEXT(AY21,"00")&amp;"|"&amp;B21&amp;"|"&amp;TEXT(AT21,"yyyymmdd"))</f>
        <v>03|Chatkonnaphat Bhusomya|20260301</v>
      </c>
      <c r="BB21" s="13" t="str">
        <f>IF(B21="","",TEXT(AZ21,"00")&amp;"|"&amp;B21&amp;"|"&amp;TEXT(AV21,"yyyymmdd"))</f>
        <v>03|Chatkonnaphat Bhusomya|20260309</v>
      </c>
      <c r="BC21" s="13">
        <f>IF(OR(AQ21="YES",AQ21="Yes",AQ21="Y",AQ21=1),1,0)</f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>SUM(H22,J22,L22,N22,P22,R22,T22,V22,X22,Z22,AB22,AD22,AF22,AH22,AJ22,AL22,AN22)</f>
        <v>98</v>
      </c>
      <c r="AT22" s="11">
        <f>IF(C22="","",DATE(YEAR(C22),MONTH(C22),1))</f>
        <v>46082</v>
      </c>
      <c r="AU22" s="13" t="str">
        <f>IF(AT22="","",TEXT(AT22,"mmmm yyyy"))</f>
        <v>March 2026</v>
      </c>
      <c r="AV22" s="11">
        <f>IF(C22="","",C22-WEEKDAY(C22,2)+1)</f>
        <v>46090</v>
      </c>
      <c r="AW22" s="11">
        <f>IF(AV22="","",AV22+6)</f>
        <v>46096</v>
      </c>
      <c r="AX22" s="13" t="str">
        <f>IF(AV22="","",TEXT(AV22,"dd/mm/yyyy")&amp;" - "&amp;TEXT(AW22,"dd/mm/yyyy"))</f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>IF(B22="","",TEXT(AY22,"00")&amp;"|"&amp;B22&amp;"|"&amp;TEXT(AT22,"yyyymmdd"))</f>
        <v>01|Natcha Chai-in|20260301</v>
      </c>
      <c r="BB22" s="13" t="str">
        <f>IF(B22="","",TEXT(AZ22,"00")&amp;"|"&amp;B22&amp;"|"&amp;TEXT(AV22,"yyyymmdd"))</f>
        <v>01|Natcha Chai-in|20260309</v>
      </c>
      <c r="BC22" s="13">
        <f>IF(OR(AQ22="YES",AQ22="Yes",AQ22="Y",AQ22=1),1,0)</f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>SUM(H23,J23,L23,N23,P23,R23,T23,V23,X23,Z23,AB23,AD23,AF23,AH23,AJ23,AL23,AN23)</f>
        <v>96</v>
      </c>
      <c r="AT23" s="11">
        <f>IF(C23="","",DATE(YEAR(C23),MONTH(C23),1))</f>
        <v>46082</v>
      </c>
      <c r="AU23" s="13" t="str">
        <f>IF(AT23="","",TEXT(AT23,"mmmm yyyy"))</f>
        <v>March 2026</v>
      </c>
      <c r="AV23" s="11">
        <f>IF(C23="","",C23-WEEKDAY(C23,2)+1)</f>
        <v>46090</v>
      </c>
      <c r="AW23" s="11">
        <f>IF(AV23="","",AV23+6)</f>
        <v>46096</v>
      </c>
      <c r="AX23" s="13" t="str">
        <f>IF(AV23="","",TEXT(AV23,"dd/mm/yyyy")&amp;" - "&amp;TEXT(AW23,"dd/mm/yyyy"))</f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>IF(B23="","",TEXT(AY23,"00")&amp;"|"&amp;B23&amp;"|"&amp;TEXT(AT23,"yyyymmdd"))</f>
        <v>02|Supakrit Promkhamnoi|20260301</v>
      </c>
      <c r="BB23" s="13" t="str">
        <f>IF(B23="","",TEXT(AZ23,"00")&amp;"|"&amp;B23&amp;"|"&amp;TEXT(AV23,"yyyymmdd"))</f>
        <v>02|Supakrit Promkhamnoi|20260309</v>
      </c>
      <c r="BC23" s="13">
        <f>IF(OR(AQ23="YES",AQ23="Yes",AQ23="Y",AQ23=1),1,0)</f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>SUM(H24,J24,L24,N24,P24,R24,T24,V24,X24,Z24,AB24,AD24,AF24,AH24,AJ24,AL24,AN24)</f>
        <v>66</v>
      </c>
      <c r="AT24" s="11">
        <f>IF(C24="","",DATE(YEAR(C24),MONTH(C24),1))</f>
        <v>46082</v>
      </c>
      <c r="AU24" s="13" t="str">
        <f>IF(AT24="","",TEXT(AT24,"mmmm yyyy"))</f>
        <v>March 2026</v>
      </c>
      <c r="AV24" s="11">
        <f>IF(C24="","",C24-WEEKDAY(C24,2)+1)</f>
        <v>46090</v>
      </c>
      <c r="AW24" s="11">
        <f>IF(AV24="","",AV24+6)</f>
        <v>46096</v>
      </c>
      <c r="AX24" s="13" t="str">
        <f>IF(AV24="","",TEXT(AV24,"dd/mm/yyyy")&amp;" - "&amp;TEXT(AW24,"dd/mm/yyyy"))</f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>IF(B24="","",TEXT(AY24,"00")&amp;"|"&amp;B24&amp;"|"&amp;TEXT(AT24,"yyyymmdd"))</f>
        <v>02|Suphitcha Keawliam|20260301</v>
      </c>
      <c r="BB24" s="13" t="str">
        <f>IF(B24="","",TEXT(AZ24,"00")&amp;"|"&amp;B24&amp;"|"&amp;TEXT(AV24,"yyyymmdd"))</f>
        <v>02|Suphitcha Keawliam|20260309</v>
      </c>
      <c r="BC24" s="13">
        <f>IF(OR(AQ24="YES",AQ24="Yes",AQ24="Y",AQ24=1),1,0)</f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>SUM(H25,J25,L25,N25,P25,R25,T25,V25,X25,Z25,AB25,AD25,AF25,AH25,AJ25,AL25,AN25)</f>
        <v>70</v>
      </c>
      <c r="AT25" s="11">
        <f>IF(C25="","",DATE(YEAR(C25),MONTH(C25),1))</f>
        <v>46082</v>
      </c>
      <c r="AU25" s="13" t="str">
        <f>IF(AT25="","",TEXT(AT25,"mmmm yyyy"))</f>
        <v>March 2026</v>
      </c>
      <c r="AV25" s="11">
        <f>IF(C25="","",C25-WEEKDAY(C25,2)+1)</f>
        <v>46090</v>
      </c>
      <c r="AW25" s="11">
        <f>IF(AV25="","",AV25+6)</f>
        <v>46096</v>
      </c>
      <c r="AX25" s="13" t="str">
        <f>IF(AV25="","",TEXT(AV25,"dd/mm/yyyy")&amp;" - "&amp;TEXT(AW25,"dd/mm/yyyy"))</f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>IF(B25="","",TEXT(AY25,"00")&amp;"|"&amp;B25&amp;"|"&amp;TEXT(AT25,"yyyymmdd"))</f>
        <v>01|Sunijtra Siritip|20260301</v>
      </c>
      <c r="BB25" s="13" t="str">
        <f>IF(B25="","",TEXT(AZ25,"00")&amp;"|"&amp;B25&amp;"|"&amp;TEXT(AV25,"yyyymmdd"))</f>
        <v>01|Sunijtra Siritip|20260309</v>
      </c>
      <c r="BC25" s="13">
        <f>IF(OR(AQ25="YES",AQ25="Yes",AQ25="Y",AQ25=1),1,0)</f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>SUM(H26,J26,L26,N26,P26,R26,T26,V26,X26,Z26,AB26,AD26,AF26,AH26,AJ26,AL26,AN26)</f>
        <v>65</v>
      </c>
      <c r="AT26" s="11">
        <f>IF(C26="","",DATE(YEAR(C26),MONTH(C26),1))</f>
        <v>46082</v>
      </c>
      <c r="AU26" s="13" t="str">
        <f>IF(AT26="","",TEXT(AT26,"mmmm yyyy"))</f>
        <v>March 2026</v>
      </c>
      <c r="AV26" s="11">
        <f>IF(C26="","",C26-WEEKDAY(C26,2)+1)</f>
        <v>46090</v>
      </c>
      <c r="AW26" s="11">
        <f>IF(AV26="","",AV26+6)</f>
        <v>46096</v>
      </c>
      <c r="AX26" s="13" t="str">
        <f>IF(AV26="","",TEXT(AV26,"dd/mm/yyyy")&amp;" - "&amp;TEXT(AW26,"dd/mm/yyyy"))</f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>IF(B26="","",TEXT(AY26,"00")&amp;"|"&amp;B26&amp;"|"&amp;TEXT(AT26,"yyyymmdd"))</f>
        <v>03|Wachiraporn chailittichai|20260301</v>
      </c>
      <c r="BB26" s="13" t="str">
        <f>IF(B26="","",TEXT(AZ26,"00")&amp;"|"&amp;B26&amp;"|"&amp;TEXT(AV26,"yyyymmdd"))</f>
        <v>03|Wachiraporn chailittichai|20260309</v>
      </c>
      <c r="BC26" s="13">
        <f>IF(OR(AQ26="YES",AQ26="Yes",AQ26="Y",AQ26=1),1,0)</f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>SUM(H27,J27,L27,N27,P27,R27,T27,V27,X27,Z27,AB27,AD27,AF27,AH27,AJ27,AL27,AN27)</f>
        <v>82</v>
      </c>
      <c r="AT27" s="11">
        <f>IF(C27="","",DATE(YEAR(C27),MONTH(C27),1))</f>
        <v>46082</v>
      </c>
      <c r="AU27" s="13" t="str">
        <f>IF(AT27="","",TEXT(AT27,"mmmm yyyy"))</f>
        <v>March 2026</v>
      </c>
      <c r="AV27" s="11">
        <f>IF(C27="","",C27-WEEKDAY(C27,2)+1)</f>
        <v>46090</v>
      </c>
      <c r="AW27" s="11">
        <f>IF(AV27="","",AV27+6)</f>
        <v>46096</v>
      </c>
      <c r="AX27" s="13" t="str">
        <f>IF(AV27="","",TEXT(AV27,"dd/mm/yyyy")&amp;" - "&amp;TEXT(AW27,"dd/mm/yyyy"))</f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>IF(B27="","",TEXT(AY27,"00")&amp;"|"&amp;B27&amp;"|"&amp;TEXT(AT27,"yyyymmdd"))</f>
        <v>04|Arisa aiemrit|20260301</v>
      </c>
      <c r="BB27" s="13" t="str">
        <f>IF(B27="","",TEXT(AZ27,"00")&amp;"|"&amp;B27&amp;"|"&amp;TEXT(AV27,"yyyymmdd"))</f>
        <v>04|Arisa aiemrit|20260309</v>
      </c>
      <c r="BC27" s="13">
        <f>IF(OR(AQ27="YES",AQ27="Yes",AQ27="Y",AQ27=1),1,0)</f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>SUM(H28,J28,L28,N28,P28,R28,T28,V28,X28,Z28,AB28,AD28,AF28,AH28,AJ28,AL28,AN28)</f>
        <v>73</v>
      </c>
      <c r="AT28" s="11">
        <f>IF(C28="","",DATE(YEAR(C28),MONTH(C28),1))</f>
        <v>46082</v>
      </c>
      <c r="AU28" s="13" t="str">
        <f>IF(AT28="","",TEXT(AT28,"mmmm yyyy"))</f>
        <v>March 2026</v>
      </c>
      <c r="AV28" s="11">
        <f>IF(C28="","",C28-WEEKDAY(C28,2)+1)</f>
        <v>46090</v>
      </c>
      <c r="AW28" s="11">
        <f>IF(AV28="","",AV28+6)</f>
        <v>46096</v>
      </c>
      <c r="AX28" s="13" t="str">
        <f>IF(AV28="","",TEXT(AV28,"dd/mm/yyyy")&amp;" - "&amp;TEXT(AW28,"dd/mm/yyyy"))</f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>IF(B28="","",TEXT(AY28,"00")&amp;"|"&amp;B28&amp;"|"&amp;TEXT(AT28,"yyyymmdd"))</f>
        <v>01|Wassana Phothong|20260301</v>
      </c>
      <c r="BB28" s="13" t="str">
        <f>IF(B28="","",TEXT(AZ28,"00")&amp;"|"&amp;B28&amp;"|"&amp;TEXT(AV28,"yyyymmdd"))</f>
        <v>01|Wassana Phothong|20260309</v>
      </c>
      <c r="BC28" s="13">
        <f>IF(OR(AQ28="YES",AQ28="Yes",AQ28="Y",AQ28=1),1,0)</f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>SUM(H29,J29,L29,N29,P29,R29,T29,V29,X29,Z29,AB29,AD29,AF29,AH29,AJ29,AL29,AN29)</f>
        <v>78</v>
      </c>
      <c r="AT29" s="11">
        <f>IF(C29="","",DATE(YEAR(C29),MONTH(C29),1))</f>
        <v>46082</v>
      </c>
      <c r="AU29" s="13" t="str">
        <f>IF(AT29="","",TEXT(AT29,"mmmm yyyy"))</f>
        <v>March 2026</v>
      </c>
      <c r="AV29" s="11">
        <f>IF(C29="","",C29-WEEKDAY(C29,2)+1)</f>
        <v>46090</v>
      </c>
      <c r="AW29" s="11">
        <f>IF(AV29="","",AV29+6)</f>
        <v>46096</v>
      </c>
      <c r="AX29" s="13" t="str">
        <f>IF(AV29="","",TEXT(AV29,"dd/mm/yyyy")&amp;" - "&amp;TEXT(AW29,"dd/mm/yyyy"))</f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>IF(B29="","",TEXT(AY29,"00")&amp;"|"&amp;B29&amp;"|"&amp;TEXT(AT29,"yyyymmdd"))</f>
        <v>02|Natcha Chai-in|20260301</v>
      </c>
      <c r="BB29" s="13" t="str">
        <f>IF(B29="","",TEXT(AZ29,"00")&amp;"|"&amp;B29&amp;"|"&amp;TEXT(AV29,"yyyymmdd"))</f>
        <v>02|Natcha Chai-in|20260309</v>
      </c>
      <c r="BC29" s="13">
        <f>IF(OR(AQ29="YES",AQ29="Yes",AQ29="Y",AQ29=1),1,0)</f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>SUM(H30,J30,L30,N30,P30,R30,T30,V30,X30,Z30,AB30,AD30,AF30,AH30,AJ30,AL30,AN30)</f>
        <v>94</v>
      </c>
      <c r="AT30" s="11">
        <f>IF(C30="","",DATE(YEAR(C30),MONTH(C30),1))</f>
        <v>46082</v>
      </c>
      <c r="AU30" s="13" t="str">
        <f>IF(AT30="","",TEXT(AT30,"mmmm yyyy"))</f>
        <v>March 2026</v>
      </c>
      <c r="AV30" s="11">
        <f>IF(C30="","",C30-WEEKDAY(C30,2)+1)</f>
        <v>46090</v>
      </c>
      <c r="AW30" s="11">
        <f>IF(AV30="","",AV30+6)</f>
        <v>46096</v>
      </c>
      <c r="AX30" s="13" t="str">
        <f>IF(AV30="","",TEXT(AV30,"dd/mm/yyyy")&amp;" - "&amp;TEXT(AW30,"dd/mm/yyyy"))</f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>IF(B30="","",TEXT(AY30,"00")&amp;"|"&amp;B30&amp;"|"&amp;TEXT(AT30,"yyyymmdd"))</f>
        <v>03|Supakrit Promkhamnoi|20260301</v>
      </c>
      <c r="BB30" s="13" t="str">
        <f>IF(B30="","",TEXT(AZ30,"00")&amp;"|"&amp;B30&amp;"|"&amp;TEXT(AV30,"yyyymmdd"))</f>
        <v>03|Supakrit Promkhamnoi|20260309</v>
      </c>
      <c r="BC30" s="13">
        <f>IF(OR(AQ30="YES",AQ30="Yes",AQ30="Y",AQ30=1),1,0)</f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>SUM(H31,J31,L31,N31,P31,R31,T31,V31,X31,Z31,AB31,AD31,AF31,AH31,AJ31,AL31,AN31)</f>
        <v>71</v>
      </c>
      <c r="AT31" s="11">
        <f>IF(C31="","",DATE(YEAR(C31),MONTH(C31),1))</f>
        <v>46082</v>
      </c>
      <c r="AU31" s="13" t="str">
        <f>IF(AT31="","",TEXT(AT31,"mmmm yyyy"))</f>
        <v>March 2026</v>
      </c>
      <c r="AV31" s="11">
        <f>IF(C31="","",C31-WEEKDAY(C31,2)+1)</f>
        <v>46090</v>
      </c>
      <c r="AW31" s="11">
        <f>IF(AV31="","",AV31+6)</f>
        <v>46096</v>
      </c>
      <c r="AX31" s="13" t="str">
        <f>IF(AV31="","",TEXT(AV31,"dd/mm/yyyy")&amp;" - "&amp;TEXT(AW31,"dd/mm/yyyy"))</f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>IF(B31="","",TEXT(AY31,"00")&amp;"|"&amp;B31&amp;"|"&amp;TEXT(AT31,"yyyymmdd"))</f>
        <v>03|Nattapol Suprom|20260301</v>
      </c>
      <c r="BB31" s="13" t="str">
        <f>IF(B31="","",TEXT(AZ31,"00")&amp;"|"&amp;B31&amp;"|"&amp;TEXT(AV31,"yyyymmdd"))</f>
        <v>03|Nattapol Suprom|20260309</v>
      </c>
      <c r="BC31" s="13">
        <f>IF(OR(AQ31="YES",AQ31="Yes",AQ31="Y",AQ31=1),1,0)</f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>SUM(H32,J32,L32,N32,P32,R32,T32,V32,X32,Z32,AB32,AD32,AF32,AH32,AJ32,AL32,AN32)</f>
        <v>86</v>
      </c>
      <c r="AT32" s="11">
        <f>IF(C32="","",DATE(YEAR(C32),MONTH(C32),1))</f>
        <v>46082</v>
      </c>
      <c r="AU32" s="13" t="str">
        <f>IF(AT32="","",TEXT(AT32,"mmmm yyyy"))</f>
        <v>March 2026</v>
      </c>
      <c r="AV32" s="11">
        <f>IF(C32="","",C32-WEEKDAY(C32,2)+1)</f>
        <v>46090</v>
      </c>
      <c r="AW32" s="11">
        <f>IF(AV32="","",AV32+6)</f>
        <v>46096</v>
      </c>
      <c r="AX32" s="13" t="str">
        <f>IF(AV32="","",TEXT(AV32,"dd/mm/yyyy")&amp;" - "&amp;TEXT(AW32,"dd/mm/yyyy"))</f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>IF(B32="","",TEXT(AY32,"00")&amp;"|"&amp;B32&amp;"|"&amp;TEXT(AT32,"yyyymmdd"))</f>
        <v>02|Sunijtra Siritip|20260301</v>
      </c>
      <c r="BB32" s="13" t="str">
        <f>IF(B32="","",TEXT(AZ32,"00")&amp;"|"&amp;B32&amp;"|"&amp;TEXT(AV32,"yyyymmdd"))</f>
        <v>02|Sunijtra Siritip|20260309</v>
      </c>
      <c r="BC32" s="13">
        <f>IF(OR(AQ32="YES",AQ32="Yes",AQ32="Y",AQ32=1),1,0)</f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>SUM(H33,J33,L33,N33,P33,R33,T33,V33,X33,Z33,AB33,AD33,AF33,AH33,AJ33,AL33,AN33)</f>
        <v>78</v>
      </c>
      <c r="AT33" s="11">
        <f>IF(C33="","",DATE(YEAR(C33),MONTH(C33),1))</f>
        <v>46082</v>
      </c>
      <c r="AU33" s="13" t="str">
        <f>IF(AT33="","",TEXT(AT33,"mmmm yyyy"))</f>
        <v>March 2026</v>
      </c>
      <c r="AV33" s="11">
        <f>IF(C33="","",C33-WEEKDAY(C33,2)+1)</f>
        <v>46090</v>
      </c>
      <c r="AW33" s="11">
        <f>IF(AV33="","",AV33+6)</f>
        <v>46096</v>
      </c>
      <c r="AX33" s="13" t="str">
        <f>IF(AV33="","",TEXT(AV33,"dd/mm/yyyy")&amp;" - "&amp;TEXT(AW33,"dd/mm/yyyy"))</f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>IF(B33="","",TEXT(AY33,"00")&amp;"|"&amp;B33&amp;"|"&amp;TEXT(AT33,"yyyymmdd"))</f>
        <v>04|Wachiraporn chailittichai|20260301</v>
      </c>
      <c r="BB33" s="13" t="str">
        <f>IF(B33="","",TEXT(AZ33,"00")&amp;"|"&amp;B33&amp;"|"&amp;TEXT(AV33,"yyyymmdd"))</f>
        <v>04|Wachiraporn chailittichai|20260309</v>
      </c>
      <c r="BC33" s="13">
        <f>IF(OR(AQ33="YES",AQ33="Yes",AQ33="Y",AQ33=1),1,0)</f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>SUM(H34,J34,L34,N34,P34,R34,T34,V34,X34,Z34,AB34,AD34,AF34,AH34,AJ34,AL34,AN34)</f>
        <v>92</v>
      </c>
      <c r="AT34" s="11">
        <f>IF(C34="","",DATE(YEAR(C34),MONTH(C34),1))</f>
        <v>46082</v>
      </c>
      <c r="AU34" s="13" t="str">
        <f>IF(AT34="","",TEXT(AT34,"mmmm yyyy"))</f>
        <v>March 2026</v>
      </c>
      <c r="AV34" s="11">
        <f>IF(C34="","",C34-WEEKDAY(C34,2)+1)</f>
        <v>46090</v>
      </c>
      <c r="AW34" s="11">
        <f>IF(AV34="","",AV34+6)</f>
        <v>46096</v>
      </c>
      <c r="AX34" s="13" t="str">
        <f>IF(AV34="","",TEXT(AV34,"dd/mm/yyyy")&amp;" - "&amp;TEXT(AW34,"dd/mm/yyyy"))</f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>IF(B34="","",TEXT(AY34,"00")&amp;"|"&amp;B34&amp;"|"&amp;TEXT(AT34,"yyyymmdd"))</f>
        <v>02|Wassana Phothong|20260301</v>
      </c>
      <c r="BB34" s="13" t="str">
        <f>IF(B34="","",TEXT(AZ34,"00")&amp;"|"&amp;B34&amp;"|"&amp;TEXT(AV34,"yyyymmdd"))</f>
        <v>02|Wassana Phothong|20260309</v>
      </c>
      <c r="BC34" s="13">
        <f>IF(OR(AQ34="YES",AQ34="Yes",AQ34="Y",AQ34=1),1,0)</f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>SUM(H35,J35,L35,N35,P35,R35,T35,V35,X35,Z35,AB35,AD35,AF35,AH35,AJ35,AL35,AN35)</f>
        <v>76</v>
      </c>
      <c r="AT35" s="11">
        <f>IF(C35="","",DATE(YEAR(C35),MONTH(C35),1))</f>
        <v>46082</v>
      </c>
      <c r="AU35" s="13" t="str">
        <f>IF(AT35="","",TEXT(AT35,"mmmm yyyy"))</f>
        <v>March 2026</v>
      </c>
      <c r="AV35" s="11">
        <f>IF(C35="","",C35-WEEKDAY(C35,2)+1)</f>
        <v>46090</v>
      </c>
      <c r="AW35" s="11">
        <f>IF(AV35="","",AV35+6)</f>
        <v>46096</v>
      </c>
      <c r="AX35" s="13" t="str">
        <f>IF(AV35="","",TEXT(AV35,"dd/mm/yyyy")&amp;" - "&amp;TEXT(AW35,"dd/mm/yyyy"))</f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>IF(B35="","",TEXT(AY35,"00")&amp;"|"&amp;B35&amp;"|"&amp;TEXT(AT35,"yyyymmdd"))</f>
        <v>04|Chatkonnaphat Bhusomya|20260301</v>
      </c>
      <c r="BB35" s="13" t="str">
        <f>IF(B35="","",TEXT(AZ35,"00")&amp;"|"&amp;B35&amp;"|"&amp;TEXT(AV35,"yyyymmdd"))</f>
        <v>04|Chatkonnaphat Bhusomya|20260309</v>
      </c>
      <c r="BC35" s="13">
        <f>IF(OR(AQ35="YES",AQ35="Yes",AQ35="Y",AQ35=1),1,0)</f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>SUM(H36,J36,L36,N36,P36,R36,T36,V36,X36,Z36,AB36,AD36,AF36,AH36,AJ36,AL36,AN36)</f>
        <v>76</v>
      </c>
      <c r="AT36" s="11">
        <f>IF(C36="","",DATE(YEAR(C36),MONTH(C36),1))</f>
        <v>46082</v>
      </c>
      <c r="AU36" s="13" t="str">
        <f>IF(AT36="","",TEXT(AT36,"mmmm yyyy"))</f>
        <v>March 2026</v>
      </c>
      <c r="AV36" s="11">
        <f>IF(C36="","",C36-WEEKDAY(C36,2)+1)</f>
        <v>46090</v>
      </c>
      <c r="AW36" s="11">
        <f>IF(AV36="","",AV36+6)</f>
        <v>46096</v>
      </c>
      <c r="AX36" s="13" t="str">
        <f>IF(AV36="","",TEXT(AV36,"dd/mm/yyyy")&amp;" - "&amp;TEXT(AW36,"dd/mm/yyyy"))</f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>IF(B36="","",TEXT(AY36,"00")&amp;"|"&amp;B36&amp;"|"&amp;TEXT(AT36,"yyyymmdd"))</f>
        <v>03|Jariyawadee Taboodda|20260301</v>
      </c>
      <c r="BB36" s="13" t="str">
        <f>IF(B36="","",TEXT(AZ36,"00")&amp;"|"&amp;B36&amp;"|"&amp;TEXT(AV36,"yyyymmdd"))</f>
        <v>03|Jariyawadee Taboodda|20260309</v>
      </c>
      <c r="BC36" s="13">
        <f>IF(OR(AQ36="YES",AQ36="Yes",AQ36="Y",AQ36=1),1,0)</f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>SUM(H37,J37,L37,N37,P37,R37,T37,V37,X37,Z37,AB37,AD37,AF37,AH37,AJ37,AL37,AN37)</f>
        <v>85</v>
      </c>
      <c r="AT37" s="11">
        <f>IF(C37="","",DATE(YEAR(C37),MONTH(C37),1))</f>
        <v>46082</v>
      </c>
      <c r="AU37" s="13" t="str">
        <f>IF(AT37="","",TEXT(AT37,"mmmm yyyy"))</f>
        <v>March 2026</v>
      </c>
      <c r="AV37" s="11">
        <f>IF(C37="","",C37-WEEKDAY(C37,2)+1)</f>
        <v>46090</v>
      </c>
      <c r="AW37" s="11">
        <f>IF(AV37="","",AV37+6)</f>
        <v>46096</v>
      </c>
      <c r="AX37" s="13" t="str">
        <f>IF(AV37="","",TEXT(AV37,"dd/mm/yyyy")&amp;" - "&amp;TEXT(AW37,"dd/mm/yyyy"))</f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>IF(B37="","",TEXT(AY37,"00")&amp;"|"&amp;B37&amp;"|"&amp;TEXT(AT37,"yyyymmdd"))</f>
        <v>03|Natcha Chai-in|20260301</v>
      </c>
      <c r="BB37" s="13" t="str">
        <f>IF(B37="","",TEXT(AZ37,"00")&amp;"|"&amp;B37&amp;"|"&amp;TEXT(AV37,"yyyymmdd"))</f>
        <v>03|Natcha Chai-in|20260309</v>
      </c>
      <c r="BC37" s="13">
        <f>IF(OR(AQ37="YES",AQ37="Yes",AQ37="Y",AQ37=1),1,0)</f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>SUM(H38,J38,L38,N38,P38,R38,T38,V38,X38,Z38,AB38,AD38,AF38,AH38,AJ38,AL38,AN38)</f>
        <v>88</v>
      </c>
      <c r="AT38" s="11">
        <f>IF(C38="","",DATE(YEAR(C38),MONTH(C38),1))</f>
        <v>46082</v>
      </c>
      <c r="AU38" s="13" t="str">
        <f>IF(AT38="","",TEXT(AT38,"mmmm yyyy"))</f>
        <v>March 2026</v>
      </c>
      <c r="AV38" s="11">
        <f>IF(C38="","",C38-WEEKDAY(C38,2)+1)</f>
        <v>46090</v>
      </c>
      <c r="AW38" s="11">
        <f>IF(AV38="","",AV38+6)</f>
        <v>46096</v>
      </c>
      <c r="AX38" s="13" t="str">
        <f>IF(AV38="","",TEXT(AV38,"dd/mm/yyyy")&amp;" - "&amp;TEXT(AW38,"dd/mm/yyyy"))</f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>IF(B38="","",TEXT(AY38,"00")&amp;"|"&amp;B38&amp;"|"&amp;TEXT(AT38,"yyyymmdd"))</f>
        <v>04|Supakrit Promkhamnoi|20260301</v>
      </c>
      <c r="BB38" s="13" t="str">
        <f>IF(B38="","",TEXT(AZ38,"00")&amp;"|"&amp;B38&amp;"|"&amp;TEXT(AV38,"yyyymmdd"))</f>
        <v>04|Supakrit Promkhamnoi|20260309</v>
      </c>
      <c r="BC38" s="13">
        <f>IF(OR(AQ38="YES",AQ38="Yes",AQ38="Y",AQ38=1),1,0)</f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>SUM(H39,J39,L39,N39,P39,R39,T39,V39,X39,Z39,AB39,AD39,AF39,AH39,AJ39,AL39,AN39)</f>
        <v>91</v>
      </c>
      <c r="AT39" s="11">
        <f>IF(C39="","",DATE(YEAR(C39),MONTH(C39),1))</f>
        <v>46082</v>
      </c>
      <c r="AU39" s="13" t="str">
        <f>IF(AT39="","",TEXT(AT39,"mmmm yyyy"))</f>
        <v>March 2026</v>
      </c>
      <c r="AV39" s="11">
        <f>IF(C39="","",C39-WEEKDAY(C39,2)+1)</f>
        <v>46090</v>
      </c>
      <c r="AW39" s="11">
        <f>IF(AV39="","",AV39+6)</f>
        <v>46096</v>
      </c>
      <c r="AX39" s="13" t="str">
        <f>IF(AV39="","",TEXT(AV39,"dd/mm/yyyy")&amp;" - "&amp;TEXT(AW39,"dd/mm/yyyy"))</f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>IF(B39="","",TEXT(AY39,"00")&amp;"|"&amp;B39&amp;"|"&amp;TEXT(AT39,"yyyymmdd"))</f>
        <v>04|Nattapol Suprom|20260301</v>
      </c>
      <c r="BB39" s="13" t="str">
        <f>IF(B39="","",TEXT(AZ39,"00")&amp;"|"&amp;B39&amp;"|"&amp;TEXT(AV39,"yyyymmdd"))</f>
        <v>04|Nattapol Suprom|20260309</v>
      </c>
      <c r="BC39" s="13">
        <f>IF(OR(AQ39="YES",AQ39="Yes",AQ39="Y",AQ39=1),1,0)</f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>SUM(H40,J40,L40,N40,P40,R40,T40,V40,X40,Z40,AB40,AD40,AF40,AH40,AJ40,AL40,AN40)</f>
        <v>97</v>
      </c>
      <c r="AT40" s="11">
        <f>IF(C40="","",DATE(YEAR(C40),MONTH(C40),1))</f>
        <v>46082</v>
      </c>
      <c r="AU40" s="13" t="str">
        <f>IF(AT40="","",TEXT(AT40,"mmmm yyyy"))</f>
        <v>March 2026</v>
      </c>
      <c r="AV40" s="11">
        <f>IF(C40="","",C40-WEEKDAY(C40,2)+1)</f>
        <v>46097</v>
      </c>
      <c r="AW40" s="11">
        <f>IF(AV40="","",AV40+6)</f>
        <v>46103</v>
      </c>
      <c r="AX40" s="13" t="str">
        <f>IF(AV40="","",TEXT(AV40,"dd/mm/yyyy")&amp;" - "&amp;TEXT(AW40,"dd/mm/yyyy"))</f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>IF(B40="","",TEXT(AY40,"00")&amp;"|"&amp;B40&amp;"|"&amp;TEXT(AT40,"yyyymmdd"))</f>
        <v>03|Suphitcha Keawliam|20260301</v>
      </c>
      <c r="BB40" s="13" t="str">
        <f>IF(B40="","",TEXT(AZ40,"00")&amp;"|"&amp;B40&amp;"|"&amp;TEXT(AV40,"yyyymmdd"))</f>
        <v>01|Suphitcha Keawliam|20260316</v>
      </c>
      <c r="BC40" s="13">
        <f>IF(OR(AQ40="YES",AQ40="Yes",AQ40="Y",AQ40=1),1,0)</f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>SUM(H41,J41,L41,N41,P41,R41,T41,V41,X41,Z41,AB41,AD41,AF41,AH41,AJ41,AL41,AN41)</f>
        <v>53</v>
      </c>
      <c r="AT41" s="11">
        <f>IF(C41="","",DATE(YEAR(C41),MONTH(C41),1))</f>
        <v>46082</v>
      </c>
      <c r="AU41" s="13" t="str">
        <f>IF(AT41="","",TEXT(AT41,"mmmm yyyy"))</f>
        <v>March 2026</v>
      </c>
      <c r="AV41" s="11">
        <f>IF(C41="","",C41-WEEKDAY(C41,2)+1)</f>
        <v>46097</v>
      </c>
      <c r="AW41" s="11">
        <f>IF(AV41="","",AV41+6)</f>
        <v>46103</v>
      </c>
      <c r="AX41" s="13" t="str">
        <f>IF(AV41="","",TEXT(AV41,"dd/mm/yyyy")&amp;" - "&amp;TEXT(AW41,"dd/mm/yyyy"))</f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>IF(B41="","",TEXT(AY41,"00")&amp;"|"&amp;B41&amp;"|"&amp;TEXT(AT41,"yyyymmdd"))</f>
        <v>03|Sunijtra Siritip|20260301</v>
      </c>
      <c r="BB41" s="13" t="str">
        <f>IF(B41="","",TEXT(AZ41,"00")&amp;"|"&amp;B41&amp;"|"&amp;TEXT(AV41,"yyyymmdd"))</f>
        <v>01|Sunijtra Siritip|20260316</v>
      </c>
      <c r="BC41" s="13">
        <f>IF(OR(AQ41="YES",AQ41="Yes",AQ41="Y",AQ41=1),1,0)</f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>SUM(H42,J42,L42,N42,P42,R42,T42,V42,X42,Z42,AB42,AD42,AF42,AH42,AJ42,AL42,AN42)</f>
        <v>73</v>
      </c>
      <c r="AT42" s="11">
        <f>IF(C42="","",DATE(YEAR(C42),MONTH(C42),1))</f>
        <v>46082</v>
      </c>
      <c r="AU42" s="13" t="str">
        <f>IF(AT42="","",TEXT(AT42,"mmmm yyyy"))</f>
        <v>March 2026</v>
      </c>
      <c r="AV42" s="11">
        <f>IF(C42="","",C42-WEEKDAY(C42,2)+1)</f>
        <v>46097</v>
      </c>
      <c r="AW42" s="11">
        <f>IF(AV42="","",AV42+6)</f>
        <v>46103</v>
      </c>
      <c r="AX42" s="13" t="str">
        <f>IF(AV42="","",TEXT(AV42,"dd/mm/yyyy")&amp;" - "&amp;TEXT(AW42,"dd/mm/yyyy"))</f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>IF(B42="","",TEXT(AY42,"00")&amp;"|"&amp;B42&amp;"|"&amp;TEXT(AT42,"yyyymmdd"))</f>
        <v>05|Wachiraporn chailittichai|20260301</v>
      </c>
      <c r="BB42" s="13" t="str">
        <f>IF(B42="","",TEXT(AZ42,"00")&amp;"|"&amp;B42&amp;"|"&amp;TEXT(AV42,"yyyymmdd"))</f>
        <v>01|Wachiraporn chailittichai|20260316</v>
      </c>
      <c r="BC42" s="13">
        <f>IF(OR(AQ42="YES",AQ42="Yes",AQ42="Y",AQ42=1),1,0)</f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>SUM(H43,J43,L43,N43,P43,R43,T43,V43,X43,Z43,AB43,AD43,AF43,AH43,AJ43,AL43,AN43)</f>
        <v>81</v>
      </c>
      <c r="AT43" s="11">
        <f>IF(C43="","",DATE(YEAR(C43),MONTH(C43),1))</f>
        <v>46082</v>
      </c>
      <c r="AU43" s="13" t="str">
        <f>IF(AT43="","",TEXT(AT43,"mmmm yyyy"))</f>
        <v>March 2026</v>
      </c>
      <c r="AV43" s="11">
        <f>IF(C43="","",C43-WEEKDAY(C43,2)+1)</f>
        <v>46097</v>
      </c>
      <c r="AW43" s="11">
        <f>IF(AV43="","",AV43+6)</f>
        <v>46103</v>
      </c>
      <c r="AX43" s="13" t="str">
        <f>IF(AV43="","",TEXT(AV43,"dd/mm/yyyy")&amp;" - "&amp;TEXT(AW43,"dd/mm/yyyy"))</f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>IF(B43="","",TEXT(AY43,"00")&amp;"|"&amp;B43&amp;"|"&amp;TEXT(AT43,"yyyymmdd"))</f>
        <v>05|Arisa aiemrit|20260301</v>
      </c>
      <c r="BB43" s="13" t="str">
        <f>IF(B43="","",TEXT(AZ43,"00")&amp;"|"&amp;B43&amp;"|"&amp;TEXT(AV43,"yyyymmdd"))</f>
        <v>01|Arisa aiemrit|20260316</v>
      </c>
      <c r="BC43" s="13">
        <f>IF(OR(AQ43="YES",AQ43="Yes",AQ43="Y",AQ43=1),1,0)</f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>SUM(H44,J44,L44,N44,P44,R44,T44,V44,X44,Z44,AB44,AD44,AF44,AH44,AJ44,AL44,AN44)</f>
        <v>13</v>
      </c>
      <c r="AT44" s="11">
        <f>IF(C44="","",DATE(YEAR(C44),MONTH(C44),1))</f>
        <v>46082</v>
      </c>
      <c r="AU44" s="13" t="str">
        <f>IF(AT44="","",TEXT(AT44,"mmmm yyyy"))</f>
        <v>March 2026</v>
      </c>
      <c r="AV44" s="11">
        <f>IF(C44="","",C44-WEEKDAY(C44,2)+1)</f>
        <v>46097</v>
      </c>
      <c r="AW44" s="11">
        <f>IF(AV44="","",AV44+6)</f>
        <v>46103</v>
      </c>
      <c r="AX44" s="13" t="str">
        <f>IF(AV44="","",TEXT(AV44,"dd/mm/yyyy")&amp;" - "&amp;TEXT(AW44,"dd/mm/yyyy"))</f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>IF(B44="","",TEXT(AY44,"00")&amp;"|"&amp;B44&amp;"|"&amp;TEXT(AT44,"yyyymmdd"))</f>
        <v>03|Wassana Phothong|20260301</v>
      </c>
      <c r="BB44" s="13" t="str">
        <f>IF(B44="","",TEXT(AZ44,"00")&amp;"|"&amp;B44&amp;"|"&amp;TEXT(AV44,"yyyymmdd"))</f>
        <v>01|Wassana Phothong|20260316</v>
      </c>
      <c r="BC44" s="13">
        <f>IF(OR(AQ44="YES",AQ44="Yes",AQ44="Y",AQ44=1),1,0)</f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>SUM(H45,J45,L45,N45,P45,R45,T45,V45,X45,Z45,AB45,AD45,AF45,AH45,AJ45,AL45,AN45)</f>
        <v>63</v>
      </c>
      <c r="AT45" s="11">
        <f>IF(C45="","",DATE(YEAR(C45),MONTH(C45),1))</f>
        <v>46082</v>
      </c>
      <c r="AU45" s="13" t="str">
        <f>IF(AT45="","",TEXT(AT45,"mmmm yyyy"))</f>
        <v>March 2026</v>
      </c>
      <c r="AV45" s="11">
        <f>IF(C45="","",C45-WEEKDAY(C45,2)+1)</f>
        <v>46097</v>
      </c>
      <c r="AW45" s="11">
        <f>IF(AV45="","",AV45+6)</f>
        <v>46103</v>
      </c>
      <c r="AX45" s="13" t="str">
        <f>IF(AV45="","",TEXT(AV45,"dd/mm/yyyy")&amp;" - "&amp;TEXT(AW45,"dd/mm/yyyy"))</f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>IF(B45="","",TEXT(AY45,"00")&amp;"|"&amp;B45&amp;"|"&amp;TEXT(AT45,"yyyymmdd"))</f>
        <v>06|Arisa aiemrit|20260301</v>
      </c>
      <c r="BB45" s="13" t="str">
        <f>IF(B45="","",TEXT(AZ45,"00")&amp;"|"&amp;B45&amp;"|"&amp;TEXT(AV45,"yyyymmdd"))</f>
        <v>02|Arisa aiemrit|20260316</v>
      </c>
      <c r="BC45" s="13">
        <f>IF(OR(AQ45="YES",AQ45="Yes",AQ45="Y",AQ45=1),1,0)</f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>SUM(H46,J46,L46,N46,P46,R46,T46,V46,X46,Z46,AB46,AD46,AF46,AH46,AJ46,AL46,AN46)</f>
        <v>88</v>
      </c>
      <c r="AT46" s="11">
        <f>IF(C46="","",DATE(YEAR(C46),MONTH(C46),1))</f>
        <v>46082</v>
      </c>
      <c r="AU46" s="13" t="str">
        <f>IF(AT46="","",TEXT(AT46,"mmmm yyyy"))</f>
        <v>March 2026</v>
      </c>
      <c r="AV46" s="11">
        <f>IF(C46="","",C46-WEEKDAY(C46,2)+1)</f>
        <v>46097</v>
      </c>
      <c r="AW46" s="11">
        <f>IF(AV46="","",AV46+6)</f>
        <v>46103</v>
      </c>
      <c r="AX46" s="13" t="str">
        <f>IF(AV46="","",TEXT(AV46,"dd/mm/yyyy")&amp;" - "&amp;TEXT(AW46,"dd/mm/yyyy"))</f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>IF(B46="","",TEXT(AY46,"00")&amp;"|"&amp;B46&amp;"|"&amp;TEXT(AT46,"yyyymmdd"))</f>
        <v>04|Wassana Phothong|20260301</v>
      </c>
      <c r="BB46" s="13" t="str">
        <f>IF(B46="","",TEXT(AZ46,"00")&amp;"|"&amp;B46&amp;"|"&amp;TEXT(AV46,"yyyymmdd"))</f>
        <v>02|Wassana Phothong|20260316</v>
      </c>
      <c r="BC46" s="13">
        <f>IF(OR(AQ46="YES",AQ46="Yes",AQ46="Y",AQ46=1),1,0)</f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>SUM(H47,J47,L47,N47,P47,R47,T47,V47,X47,Z47,AB47,AD47,AF47,AH47,AJ47,AL47,AN47)</f>
        <v>68</v>
      </c>
      <c r="AT47" s="11">
        <f>IF(C47="","",DATE(YEAR(C47),MONTH(C47),1))</f>
        <v>46082</v>
      </c>
      <c r="AU47" s="13" t="str">
        <f>IF(AT47="","",TEXT(AT47,"mmmm yyyy"))</f>
        <v>March 2026</v>
      </c>
      <c r="AV47" s="11">
        <f>IF(C47="","",C47-WEEKDAY(C47,2)+1)</f>
        <v>46097</v>
      </c>
      <c r="AW47" s="11">
        <f>IF(AV47="","",AV47+6)</f>
        <v>46103</v>
      </c>
      <c r="AX47" s="13" t="str">
        <f>IF(AV47="","",TEXT(AV47,"dd/mm/yyyy")&amp;" - "&amp;TEXT(AW47,"dd/mm/yyyy"))</f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>IF(B47="","",TEXT(AY47,"00")&amp;"|"&amp;B47&amp;"|"&amp;TEXT(AT47,"yyyymmdd"))</f>
        <v>05|Nattapol Suprom|20260301</v>
      </c>
      <c r="BB47" s="13" t="str">
        <f>IF(B47="","",TEXT(AZ47,"00")&amp;"|"&amp;B47&amp;"|"&amp;TEXT(AV47,"yyyymmdd"))</f>
        <v>01|Nattapol Suprom|20260316</v>
      </c>
      <c r="BC47" s="13">
        <f>IF(OR(AQ47="YES",AQ47="Yes",AQ47="Y",AQ47=1),1,0)</f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>SUM(H48,J48,L48,N48,P48,R48,T48,V48,X48,Z48,AB48,AD48,AF48,AH48,AJ48,AL48,AN48)</f>
        <v>87</v>
      </c>
      <c r="AT48" s="11">
        <f>IF(C48="","",DATE(YEAR(C48),MONTH(C48),1))</f>
        <v>46082</v>
      </c>
      <c r="AU48" s="13" t="str">
        <f>IF(AT48="","",TEXT(AT48,"mmmm yyyy"))</f>
        <v>March 2026</v>
      </c>
      <c r="AV48" s="11">
        <f>IF(C48="","",C48-WEEKDAY(C48,2)+1)</f>
        <v>46097</v>
      </c>
      <c r="AW48" s="11">
        <f>IF(AV48="","",AV48+6)</f>
        <v>46103</v>
      </c>
      <c r="AX48" s="13" t="str">
        <f>IF(AV48="","",TEXT(AV48,"dd/mm/yyyy")&amp;" - "&amp;TEXT(AW48,"dd/mm/yyyy"))</f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>IF(B48="","",TEXT(AY48,"00")&amp;"|"&amp;B48&amp;"|"&amp;TEXT(AT48,"yyyymmdd"))</f>
        <v>04|Suphitcha Keawliam|20260301</v>
      </c>
      <c r="BB48" s="13" t="str">
        <f>IF(B48="","",TEXT(AZ48,"00")&amp;"|"&amp;B48&amp;"|"&amp;TEXT(AV48,"yyyymmdd"))</f>
        <v>02|Suphitcha Keawliam|20260316</v>
      </c>
      <c r="BC48" s="13">
        <f>IF(OR(AQ48="YES",AQ48="Yes",AQ48="Y",AQ48=1),1,0)</f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>SUM(H49,J49,L49,N49,P49,R49,T49,V49,X49,Z49,AB49,AD49,AF49,AH49,AJ49,AL49,AN49)</f>
        <v>87</v>
      </c>
      <c r="AT49" s="11">
        <f>IF(C49="","",DATE(YEAR(C49),MONTH(C49),1))</f>
        <v>46082</v>
      </c>
      <c r="AU49" s="13" t="str">
        <f>IF(AT49="","",TEXT(AT49,"mmmm yyyy"))</f>
        <v>March 2026</v>
      </c>
      <c r="AV49" s="11">
        <f>IF(C49="","",C49-WEEKDAY(C49,2)+1)</f>
        <v>46097</v>
      </c>
      <c r="AW49" s="11">
        <f>IF(AV49="","",AV49+6)</f>
        <v>46103</v>
      </c>
      <c r="AX49" s="13" t="str">
        <f>IF(AV49="","",TEXT(AV49,"dd/mm/yyyy")&amp;" - "&amp;TEXT(AW49,"dd/mm/yyyy"))</f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>IF(B49="","",TEXT(AY49,"00")&amp;"|"&amp;B49&amp;"|"&amp;TEXT(AT49,"yyyymmdd"))</f>
        <v>07|Arisa aiemrit|20260301</v>
      </c>
      <c r="BB49" s="13" t="str">
        <f>IF(B49="","",TEXT(AZ49,"00")&amp;"|"&amp;B49&amp;"|"&amp;TEXT(AV49,"yyyymmdd"))</f>
        <v>03|Arisa aiemrit|20260316</v>
      </c>
      <c r="BC49" s="13">
        <f>IF(OR(AQ49="YES",AQ49="Yes",AQ49="Y",AQ49=1),1,0)</f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>SUM(H50,J50,L50,N50,P50,R50,T50,V50,X50,Z50,AB50,AD50,AF50,AH50,AJ50,AL50,AN50)</f>
        <v>93</v>
      </c>
      <c r="AT50" s="11">
        <f>IF(C50="","",DATE(YEAR(C50),MONTH(C50),1))</f>
        <v>46082</v>
      </c>
      <c r="AU50" s="13" t="str">
        <f>IF(AT50="","",TEXT(AT50,"mmmm yyyy"))</f>
        <v>March 2026</v>
      </c>
      <c r="AV50" s="11">
        <f>IF(C50="","",C50-WEEKDAY(C50,2)+1)</f>
        <v>46097</v>
      </c>
      <c r="AW50" s="11">
        <f>IF(AV50="","",AV50+6)</f>
        <v>46103</v>
      </c>
      <c r="AX50" s="13" t="str">
        <f>IF(AV50="","",TEXT(AV50,"dd/mm/yyyy")&amp;" - "&amp;TEXT(AW50,"dd/mm/yyyy"))</f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>IF(B50="","",TEXT(AY50,"00")&amp;"|"&amp;B50&amp;"|"&amp;TEXT(AT50,"yyyymmdd"))</f>
        <v>04|Jureeporn Piddum|20260301</v>
      </c>
      <c r="BB50" s="13" t="str">
        <f>IF(B50="","",TEXT(AZ50,"00")&amp;"|"&amp;B50&amp;"|"&amp;TEXT(AV50,"yyyymmdd"))</f>
        <v>01|Jureeporn Piddum|20260316</v>
      </c>
      <c r="BC50" s="13">
        <f>IF(OR(AQ50="YES",AQ50="Yes",AQ50="Y",AQ50=1),1,0)</f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>SUM(H51,J51,L51,N51,P51,R51,T51,V51,X51,Z51,AB51,AD51,AF51,AH51,AJ51,AL51,AN51)</f>
        <v>79</v>
      </c>
      <c r="AT51" s="11">
        <f>IF(C51="","",DATE(YEAR(C51),MONTH(C51),1))</f>
        <v>46082</v>
      </c>
      <c r="AU51" s="13" t="str">
        <f>IF(AT51="","",TEXT(AT51,"mmmm yyyy"))</f>
        <v>March 2026</v>
      </c>
      <c r="AV51" s="11">
        <f>IF(C51="","",C51-WEEKDAY(C51,2)+1)</f>
        <v>46097</v>
      </c>
      <c r="AW51" s="11">
        <f>IF(AV51="","",AV51+6)</f>
        <v>46103</v>
      </c>
      <c r="AX51" s="13" t="str">
        <f>IF(AV51="","",TEXT(AV51,"dd/mm/yyyy")&amp;" - "&amp;TEXT(AW51,"dd/mm/yyyy"))</f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>IF(B51="","",TEXT(AY51,"00")&amp;"|"&amp;B51&amp;"|"&amp;TEXT(AT51,"yyyymmdd"))</f>
        <v>05|Chatkonnaphat Bhusomya|20260301</v>
      </c>
      <c r="BB51" s="13" t="str">
        <f>IF(B51="","",TEXT(AZ51,"00")&amp;"|"&amp;B51&amp;"|"&amp;TEXT(AV51,"yyyymmdd"))</f>
        <v>01|Chatkonnaphat Bhusomya|20260316</v>
      </c>
      <c r="BC51" s="13">
        <f>IF(OR(AQ51="YES",AQ51="Yes",AQ51="Y",AQ51=1),1,0)</f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>SUM(H52,J52,L52,N52,P52,R52,T52,V52,X52,Z52,AB52,AD52,AF52,AH52,AJ52,AL52,AN52)</f>
        <v>89</v>
      </c>
      <c r="AT52" s="11">
        <f>IF(C52="","",DATE(YEAR(C52),MONTH(C52),1))</f>
        <v>46082</v>
      </c>
      <c r="AU52" s="13" t="str">
        <f>IF(AT52="","",TEXT(AT52,"mmmm yyyy"))</f>
        <v>March 2026</v>
      </c>
      <c r="AV52" s="11">
        <f>IF(C52="","",C52-WEEKDAY(C52,2)+1)</f>
        <v>46097</v>
      </c>
      <c r="AW52" s="11">
        <f>IF(AV52="","",AV52+6)</f>
        <v>46103</v>
      </c>
      <c r="AX52" s="13" t="str">
        <f>IF(AV52="","",TEXT(AV52,"dd/mm/yyyy")&amp;" - "&amp;TEXT(AW52,"dd/mm/yyyy"))</f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>IF(B52="","",TEXT(AY52,"00")&amp;"|"&amp;B52&amp;"|"&amp;TEXT(AT52,"yyyymmdd"))</f>
        <v>04|Natcha Chai-in|20260301</v>
      </c>
      <c r="BB52" s="13" t="str">
        <f>IF(B52="","",TEXT(AZ52,"00")&amp;"|"&amp;B52&amp;"|"&amp;TEXT(AV52,"yyyymmdd"))</f>
        <v>01|Natcha Chai-in|20260316</v>
      </c>
      <c r="BC52" s="13">
        <f>IF(OR(AQ52="YES",AQ52="Yes",AQ52="Y",AQ52=1),1,0)</f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>SUM(H53,J53,L53,N53,P53,R53,T53,V53,X53,Z53,AB53,AD53,AF53,AH53,AJ53,AL53,AN53)</f>
        <v>89</v>
      </c>
      <c r="AT53" s="11">
        <f>IF(C53="","",DATE(YEAR(C53),MONTH(C53),1))</f>
        <v>46082</v>
      </c>
      <c r="AU53" s="13" t="str">
        <f>IF(AT53="","",TEXT(AT53,"mmmm yyyy"))</f>
        <v>March 2026</v>
      </c>
      <c r="AV53" s="11">
        <f>IF(C53="","",C53-WEEKDAY(C53,2)+1)</f>
        <v>46097</v>
      </c>
      <c r="AW53" s="11">
        <f>IF(AV53="","",AV53+6)</f>
        <v>46103</v>
      </c>
      <c r="AX53" s="13" t="str">
        <f>IF(AV53="","",TEXT(AV53,"dd/mm/yyyy")&amp;" - "&amp;TEXT(AW53,"dd/mm/yyyy"))</f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>IF(B53="","",TEXT(AY53,"00")&amp;"|"&amp;B53&amp;"|"&amp;TEXT(AT53,"yyyymmdd"))</f>
        <v>05|Supakrit Promkhamnoi|20260301</v>
      </c>
      <c r="BB53" s="13" t="str">
        <f>IF(B53="","",TEXT(AZ53,"00")&amp;"|"&amp;B53&amp;"|"&amp;TEXT(AV53,"yyyymmdd"))</f>
        <v>01|Supakrit Promkhamnoi|20260316</v>
      </c>
      <c r="BC53" s="13">
        <f>IF(OR(AQ53="YES",AQ53="Yes",AQ53="Y",AQ53=1),1,0)</f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>SUM(H54,J54,L54,N54,P54,R54,T54,V54,X54,Z54,AB54,AD54,AF54,AH54,AJ54,AL54,AN54)</f>
        <v>87</v>
      </c>
      <c r="AT54" s="11">
        <f>IF(C54="","",DATE(YEAR(C54),MONTH(C54),1))</f>
        <v>46082</v>
      </c>
      <c r="AU54" s="13" t="str">
        <f>IF(AT54="","",TEXT(AT54,"mmmm yyyy"))</f>
        <v>March 2026</v>
      </c>
      <c r="AV54" s="11">
        <f>IF(C54="","",C54-WEEKDAY(C54,2)+1)</f>
        <v>46097</v>
      </c>
      <c r="AW54" s="11">
        <f>IF(AV54="","",AV54+6)</f>
        <v>46103</v>
      </c>
      <c r="AX54" s="13" t="str">
        <f>IF(AV54="","",TEXT(AV54,"dd/mm/yyyy")&amp;" - "&amp;TEXT(AW54,"dd/mm/yyyy"))</f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>IF(B54="","",TEXT(AY54,"00")&amp;"|"&amp;B54&amp;"|"&amp;TEXT(AT54,"yyyymmdd"))</f>
        <v>06|Nattapol Suprom|20260301</v>
      </c>
      <c r="BB54" s="13" t="str">
        <f>IF(B54="","",TEXT(AZ54,"00")&amp;"|"&amp;B54&amp;"|"&amp;TEXT(AV54,"yyyymmdd"))</f>
        <v>02|Nattapol Suprom|20260316</v>
      </c>
      <c r="BC54" s="13">
        <f>IF(OR(AQ54="YES",AQ54="Yes",AQ54="Y",AQ54=1),1,0)</f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>SUM(H55,J55,L55,N55,P55,R55,T55,V55,X55,Z55,AB55,AD55,AF55,AH55,AJ55,AL55,AN55)</f>
        <v>72</v>
      </c>
      <c r="AT55" s="11">
        <f>IF(C55="","",DATE(YEAR(C55),MONTH(C55),1))</f>
        <v>46082</v>
      </c>
      <c r="AU55" s="13" t="str">
        <f>IF(AT55="","",TEXT(AT55,"mmmm yyyy"))</f>
        <v>March 2026</v>
      </c>
      <c r="AV55" s="11">
        <f>IF(C55="","",C55-WEEKDAY(C55,2)+1)</f>
        <v>46097</v>
      </c>
      <c r="AW55" s="11">
        <f>IF(AV55="","",AV55+6)</f>
        <v>46103</v>
      </c>
      <c r="AX55" s="13" t="str">
        <f>IF(AV55="","",TEXT(AV55,"dd/mm/yyyy")&amp;" - "&amp;TEXT(AW55,"dd/mm/yyyy"))</f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>IF(B55="","",TEXT(AY55,"00")&amp;"|"&amp;B55&amp;"|"&amp;TEXT(AT55,"yyyymmdd"))</f>
        <v>04|Sunijtra Siritip|20260301</v>
      </c>
      <c r="BB55" s="13" t="str">
        <f>IF(B55="","",TEXT(AZ55,"00")&amp;"|"&amp;B55&amp;"|"&amp;TEXT(AV55,"yyyymmdd"))</f>
        <v>02|Sunijtra Siritip|20260316</v>
      </c>
      <c r="BC55" s="13">
        <f>IF(OR(AQ55="YES",AQ55="Yes",AQ55="Y",AQ55=1),1,0)</f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>SUM(H56,J56,L56,N56,P56,R56,T56,V56,X56,Z56,AB56,AD56,AF56,AH56,AJ56,AL56,AN56)</f>
        <v>89</v>
      </c>
      <c r="AT56" s="11">
        <f>IF(C56="","",DATE(YEAR(C56),MONTH(C56),1))</f>
        <v>46082</v>
      </c>
      <c r="AU56" s="13" t="str">
        <f>IF(AT56="","",TEXT(AT56,"mmmm yyyy"))</f>
        <v>March 2026</v>
      </c>
      <c r="AV56" s="11">
        <f>IF(C56="","",C56-WEEKDAY(C56,2)+1)</f>
        <v>46097</v>
      </c>
      <c r="AW56" s="11">
        <f>IF(AV56="","",AV56+6)</f>
        <v>46103</v>
      </c>
      <c r="AX56" s="13" t="str">
        <f>IF(AV56="","",TEXT(AV56,"dd/mm/yyyy")&amp;" - "&amp;TEXT(AW56,"dd/mm/yyyy"))</f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>IF(B56="","",TEXT(AY56,"00")&amp;"|"&amp;B56&amp;"|"&amp;TEXT(AT56,"yyyymmdd"))</f>
        <v>05|Jureeporn Piddum|20260301</v>
      </c>
      <c r="BB56" s="13" t="str">
        <f>IF(B56="","",TEXT(AZ56,"00")&amp;"|"&amp;B56&amp;"|"&amp;TEXT(AV56,"yyyymmdd"))</f>
        <v>02|Jureeporn Piddum|20260316</v>
      </c>
      <c r="BC56" s="13">
        <f>IF(OR(AQ56="YES",AQ56="Yes",AQ56="Y",AQ56=1),1,0)</f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>SUM(H57,J57,L57,N57,P57,R57,T57,V57,X57,Z57,AB57,AD57,AF57,AH57,AJ57,AL57,AN57)</f>
        <v>85</v>
      </c>
      <c r="AT57" s="11">
        <f>IF(C57="","",DATE(YEAR(C57),MONTH(C57),1))</f>
        <v>46082</v>
      </c>
      <c r="AU57" s="13" t="str">
        <f>IF(AT57="","",TEXT(AT57,"mmmm yyyy"))</f>
        <v>March 2026</v>
      </c>
      <c r="AV57" s="11">
        <f>IF(C57="","",C57-WEEKDAY(C57,2)+1)</f>
        <v>46097</v>
      </c>
      <c r="AW57" s="11">
        <f>IF(AV57="","",AV57+6)</f>
        <v>46103</v>
      </c>
      <c r="AX57" s="13" t="str">
        <f>IF(AV57="","",TEXT(AV57,"dd/mm/yyyy")&amp;" - "&amp;TEXT(AW57,"dd/mm/yyyy"))</f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>IF(B57="","",TEXT(AY57,"00")&amp;"|"&amp;B57&amp;"|"&amp;TEXT(AT57,"yyyymmdd"))</f>
        <v>06|Chatkonnaphat Bhusomya|20260301</v>
      </c>
      <c r="BB57" s="13" t="str">
        <f>IF(B57="","",TEXT(AZ57,"00")&amp;"|"&amp;B57&amp;"|"&amp;TEXT(AV57,"yyyymmdd"))</f>
        <v>02|Chatkonnaphat Bhusomya|20260316</v>
      </c>
      <c r="BC57" s="13">
        <f>IF(OR(AQ57="YES",AQ57="Yes",AQ57="Y",AQ57=1),1,0)</f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>SUM(H58,J58,L58,N58,P58,R58,T58,V58,X58,Z58,AB58,AD58,AF58,AH58,AJ58,AL58,AN58)</f>
        <v>79</v>
      </c>
      <c r="AT58" s="11">
        <f>IF(C58="","",DATE(YEAR(C58),MONTH(C58),1))</f>
        <v>46082</v>
      </c>
      <c r="AU58" s="13" t="str">
        <f>IF(AT58="","",TEXT(AT58,"mmmm yyyy"))</f>
        <v>March 2026</v>
      </c>
      <c r="AV58" s="11">
        <f>IF(C58="","",C58-WEEKDAY(C58,2)+1)</f>
        <v>46097</v>
      </c>
      <c r="AW58" s="11">
        <f>IF(AV58="","",AV58+6)</f>
        <v>46103</v>
      </c>
      <c r="AX58" s="13" t="str">
        <f>IF(AV58="","",TEXT(AV58,"dd/mm/yyyy")&amp;" - "&amp;TEXT(AW58,"dd/mm/yyyy"))</f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>IF(B58="","",TEXT(AY58,"00")&amp;"|"&amp;B58&amp;"|"&amp;TEXT(AT58,"yyyymmdd"))</f>
        <v>04|Jariyawadee Taboodda|20260301</v>
      </c>
      <c r="BB58" s="13" t="str">
        <f>IF(B58="","",TEXT(AZ58,"00")&amp;"|"&amp;B58&amp;"|"&amp;TEXT(AV58,"yyyymmdd"))</f>
        <v>01|Jariyawadee Taboodda|20260316</v>
      </c>
      <c r="BC58" s="13">
        <f>IF(OR(AQ58="YES",AQ58="Yes",AQ58="Y",AQ58=1),1,0)</f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>SUM(H59,J59,L59,N59,P59,R59,T59,V59,X59,Z59,AB59,AD59,AF59,AH59,AJ59,AL59,AN59)</f>
        <v>62</v>
      </c>
      <c r="AT59" s="11">
        <f>IF(C59="","",DATE(YEAR(C59),MONTH(C59),1))</f>
        <v>46082</v>
      </c>
      <c r="AU59" s="13" t="str">
        <f>IF(AT59="","",TEXT(AT59,"mmmm yyyy"))</f>
        <v>March 2026</v>
      </c>
      <c r="AV59" s="11">
        <f>IF(C59="","",C59-WEEKDAY(C59,2)+1)</f>
        <v>46097</v>
      </c>
      <c r="AW59" s="11">
        <f>IF(AV59="","",AV59+6)</f>
        <v>46103</v>
      </c>
      <c r="AX59" s="13" t="str">
        <f>IF(AV59="","",TEXT(AV59,"dd/mm/yyyy")&amp;" - "&amp;TEXT(AW59,"dd/mm/yyyy"))</f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>IF(B59="","",TEXT(AY59,"00")&amp;"|"&amp;B59&amp;"|"&amp;TEXT(AT59,"yyyymmdd"))</f>
        <v>06|Supakrit Promkhamnoi|20260301</v>
      </c>
      <c r="BB59" s="13" t="str">
        <f>IF(B59="","",TEXT(AZ59,"00")&amp;"|"&amp;B59&amp;"|"&amp;TEXT(AV59,"yyyymmdd"))</f>
        <v>02|Supakrit Promkhamnoi|20260316</v>
      </c>
      <c r="BC59" s="13">
        <f>IF(OR(AQ59="YES",AQ59="Yes",AQ59="Y",AQ59=1),1,0)</f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>SUM(H60,J60,L60,N60,P60,R60,T60,V60,X60,Z60,AB60,AD60,AF60,AH60,AJ60,AL60,AN60)</f>
        <v>81</v>
      </c>
      <c r="AT60" s="11">
        <f>IF(C60="","",DATE(YEAR(C60),MONTH(C60),1))</f>
        <v>46082</v>
      </c>
      <c r="AU60" s="13" t="str">
        <f>IF(AT60="","",TEXT(AT60,"mmmm yyyy"))</f>
        <v>March 2026</v>
      </c>
      <c r="AV60" s="11">
        <f>IF(C60="","",C60-WEEKDAY(C60,2)+1)</f>
        <v>46097</v>
      </c>
      <c r="AW60" s="11">
        <f>IF(AV60="","",AV60+6)</f>
        <v>46103</v>
      </c>
      <c r="AX60" s="13" t="str">
        <f>IF(AV60="","",TEXT(AV60,"dd/mm/yyyy")&amp;" - "&amp;TEXT(AW60,"dd/mm/yyyy"))</f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>IF(B60="","",TEXT(AY60,"00")&amp;"|"&amp;B60&amp;"|"&amp;TEXT(AT60,"yyyymmdd"))</f>
        <v>07|Nattapol Suprom|20260301</v>
      </c>
      <c r="BB60" s="13" t="str">
        <f>IF(B60="","",TEXT(AZ60,"00")&amp;"|"&amp;B60&amp;"|"&amp;TEXT(AV60,"yyyymmdd"))</f>
        <v>03|Nattapol Suprom|20260316</v>
      </c>
      <c r="BC60" s="13">
        <f>IF(OR(AQ60="YES",AQ60="Yes",AQ60="Y",AQ60=1),1,0)</f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>SUM(H61,J61,L61,N61,P61,R61,T61,V61,X61,Z61,AB61,AD61,AF61,AH61,AJ61,AL61,AN61)</f>
        <v>88</v>
      </c>
      <c r="AT61" s="11">
        <f>IF(C61="","",DATE(YEAR(C61),MONTH(C61),1))</f>
        <v>46082</v>
      </c>
      <c r="AU61" s="13" t="str">
        <f>IF(AT61="","",TEXT(AT61,"mmmm yyyy"))</f>
        <v>March 2026</v>
      </c>
      <c r="AV61" s="11">
        <f>IF(C61="","",C61-WEEKDAY(C61,2)+1)</f>
        <v>46097</v>
      </c>
      <c r="AW61" s="11">
        <f>IF(AV61="","",AV61+6)</f>
        <v>46103</v>
      </c>
      <c r="AX61" s="13" t="str">
        <f>IF(AV61="","",TEXT(AV61,"dd/mm/yyyy")&amp;" - "&amp;TEXT(AW61,"dd/mm/yyyy"))</f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>IF(B61="","",TEXT(AY61,"00")&amp;"|"&amp;B61&amp;"|"&amp;TEXT(AT61,"yyyymmdd"))</f>
        <v>01|Krivut Vongkampan|20260301</v>
      </c>
      <c r="BB61" s="13" t="str">
        <f>IF(B61="","",TEXT(AZ61,"00")&amp;"|"&amp;B61&amp;"|"&amp;TEXT(AV61,"yyyymmdd"))</f>
        <v>01|Krivut Vongkampan|20260316</v>
      </c>
      <c r="BC61" s="13">
        <f>IF(OR(AQ61="YES",AQ61="Yes",AQ61="Y",AQ61=1),1,0)</f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>SUM(H62,J62,L62,N62,P62,R62,T62,V62,X62,Z62,AB62,AD62,AF62,AH62,AJ62,AL62,AN62)</f>
        <v>82</v>
      </c>
      <c r="AT62" s="11">
        <f>IF(C62="","",DATE(YEAR(C62),MONTH(C62),1))</f>
        <v>46082</v>
      </c>
      <c r="AU62" s="13" t="str">
        <f>IF(AT62="","",TEXT(AT62,"mmmm yyyy"))</f>
        <v>March 2026</v>
      </c>
      <c r="AV62" s="11">
        <f>IF(C62="","",C62-WEEKDAY(C62,2)+1)</f>
        <v>46097</v>
      </c>
      <c r="AW62" s="11">
        <f>IF(AV62="","",AV62+6)</f>
        <v>46103</v>
      </c>
      <c r="AX62" s="13" t="str">
        <f>IF(AV62="","",TEXT(AV62,"dd/mm/yyyy")&amp;" - "&amp;TEXT(AW62,"dd/mm/yyyy"))</f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>IF(B62="","",TEXT(AY62,"00")&amp;"|"&amp;B62&amp;"|"&amp;TEXT(AT62,"yyyymmdd"))</f>
        <v>05|Sunijtra Siritip|20260301</v>
      </c>
      <c r="BB62" s="13" t="str">
        <f>IF(B62="","",TEXT(AZ62,"00")&amp;"|"&amp;B62&amp;"|"&amp;TEXT(AV62,"yyyymmdd"))</f>
        <v>03|Sunijtra Siritip|20260316</v>
      </c>
      <c r="BC62" s="13">
        <f>IF(OR(AQ62="YES",AQ62="Yes",AQ62="Y",AQ62=1),1,0)</f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>SUM(H63,J63,L63,N63,P63,R63,T63,V63,X63,Z63,AB63,AD63,AF63,AH63,AJ63,AL63,AN63)</f>
        <v>77</v>
      </c>
      <c r="AT63" s="11">
        <f>IF(C63="","",DATE(YEAR(C63),MONTH(C63),1))</f>
        <v>46082</v>
      </c>
      <c r="AU63" s="13" t="str">
        <f>IF(AT63="","",TEXT(AT63,"mmmm yyyy"))</f>
        <v>March 2026</v>
      </c>
      <c r="AV63" s="11">
        <f>IF(C63="","",C63-WEEKDAY(C63,2)+1)</f>
        <v>46097</v>
      </c>
      <c r="AW63" s="11">
        <f>IF(AV63="","",AV63+6)</f>
        <v>46103</v>
      </c>
      <c r="AX63" s="13" t="str">
        <f>IF(AV63="","",TEXT(AV63,"dd/mm/yyyy")&amp;" - "&amp;TEXT(AW63,"dd/mm/yyyy"))</f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>IF(B63="","",TEXT(AY63,"00")&amp;"|"&amp;B63&amp;"|"&amp;TEXT(AT63,"yyyymmdd"))</f>
        <v>05|Wassana Phothong|20260301</v>
      </c>
      <c r="BB63" s="13" t="str">
        <f>IF(B63="","",TEXT(AZ63,"00")&amp;"|"&amp;B63&amp;"|"&amp;TEXT(AV63,"yyyymmdd"))</f>
        <v>03|Wassana Phothong|20260316</v>
      </c>
      <c r="BC63" s="13">
        <f>IF(OR(AQ63="YES",AQ63="Yes",AQ63="Y",AQ63=1),1,0)</f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>SUM(H64,J64,L64,N64,P64,R64,T64,V64,X64,Z64,AB64,AD64,AF64,AH64,AJ64,AL64,AN64)</f>
        <v>75</v>
      </c>
      <c r="AT64" s="11">
        <f>IF(C64="","",DATE(YEAR(C64),MONTH(C64),1))</f>
        <v>46082</v>
      </c>
      <c r="AU64" s="13" t="str">
        <f>IF(AT64="","",TEXT(AT64,"mmmm yyyy"))</f>
        <v>March 2026</v>
      </c>
      <c r="AV64" s="11">
        <f>IF(C64="","",C64-WEEKDAY(C64,2)+1)</f>
        <v>46097</v>
      </c>
      <c r="AW64" s="11">
        <f>IF(AV64="","",AV64+6)</f>
        <v>46103</v>
      </c>
      <c r="AX64" s="13" t="str">
        <f>IF(AV64="","",TEXT(AV64,"dd/mm/yyyy")&amp;" - "&amp;TEXT(AW64,"dd/mm/yyyy"))</f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>IF(B64="","",TEXT(AY64,"00")&amp;"|"&amp;B64&amp;"|"&amp;TEXT(AT64,"yyyymmdd"))</f>
        <v>06|Jureeporn Piddum|20260301</v>
      </c>
      <c r="BB64" s="13" t="str">
        <f>IF(B64="","",TEXT(AZ64,"00")&amp;"|"&amp;B64&amp;"|"&amp;TEXT(AV64,"yyyymmdd"))</f>
        <v>03|Jureeporn Piddum|20260316</v>
      </c>
      <c r="BC64" s="13">
        <f>IF(OR(AQ64="YES",AQ64="Yes",AQ64="Y",AQ64=1),1,0)</f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>SUM(H65,J65,L65,N65,P65,R65,T65,V65,X65,Z65,AB65,AD65,AF65,AH65,AJ65,AL65,AN65)</f>
        <v>82</v>
      </c>
      <c r="AT65" s="11">
        <f>IF(C65="","",DATE(YEAR(C65),MONTH(C65),1))</f>
        <v>46082</v>
      </c>
      <c r="AU65" s="13" t="str">
        <f>IF(AT65="","",TEXT(AT65,"mmmm yyyy"))</f>
        <v>March 2026</v>
      </c>
      <c r="AV65" s="11">
        <f>IF(C65="","",C65-WEEKDAY(C65,2)+1)</f>
        <v>46097</v>
      </c>
      <c r="AW65" s="11">
        <f>IF(AV65="","",AV65+6)</f>
        <v>46103</v>
      </c>
      <c r="AX65" s="13" t="str">
        <f>IF(AV65="","",TEXT(AV65,"dd/mm/yyyy")&amp;" - "&amp;TEXT(AW65,"dd/mm/yyyy"))</f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>IF(B65="","",TEXT(AY65,"00")&amp;"|"&amp;B65&amp;"|"&amp;TEXT(AT65,"yyyymmdd"))</f>
        <v>07|Chatkonnaphat Bhusomya|20260301</v>
      </c>
      <c r="BB65" s="13" t="str">
        <f>IF(B65="","",TEXT(AZ65,"00")&amp;"|"&amp;B65&amp;"|"&amp;TEXT(AV65,"yyyymmdd"))</f>
        <v>03|Chatkonnaphat Bhusomya|20260316</v>
      </c>
      <c r="BC65" s="13">
        <f>IF(OR(AQ65="YES",AQ65="Yes",AQ65="Y",AQ65=1),1,0)</f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>SUM(H66,J66,L66,N66,P66,R66,T66,V66,X66,Z66,AB66,AD66,AF66,AH66,AJ66,AL66,AN66)</f>
        <v>75</v>
      </c>
      <c r="AT66" s="11">
        <f>IF(C66="","",DATE(YEAR(C66),MONTH(C66),1))</f>
        <v>46082</v>
      </c>
      <c r="AU66" s="13" t="str">
        <f>IF(AT66="","",TEXT(AT66,"mmmm yyyy"))</f>
        <v>March 2026</v>
      </c>
      <c r="AV66" s="11">
        <f>IF(C66="","",C66-WEEKDAY(C66,2)+1)</f>
        <v>46097</v>
      </c>
      <c r="AW66" s="11">
        <f>IF(AV66="","",AV66+6)</f>
        <v>46103</v>
      </c>
      <c r="AX66" s="13" t="str">
        <f>IF(AV66="","",TEXT(AV66,"dd/mm/yyyy")&amp;" - "&amp;TEXT(AW66,"dd/mm/yyyy"))</f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>IF(B66="","",TEXT(AY66,"00")&amp;"|"&amp;B66&amp;"|"&amp;TEXT(AT66,"yyyymmdd"))</f>
        <v>05|Natcha Chai-in|20260301</v>
      </c>
      <c r="BB66" s="13" t="str">
        <f>IF(B66="","",TEXT(AZ66,"00")&amp;"|"&amp;B66&amp;"|"&amp;TEXT(AV66,"yyyymmdd"))</f>
        <v>02|Natcha Chai-in|20260316</v>
      </c>
      <c r="BC66" s="13">
        <f>IF(OR(AQ66="YES",AQ66="Yes",AQ66="Y",AQ66=1),1,0)</f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>SUM(H67,J67,L67,N67,P67,R67,T67,V67,X67,Z67,AB67,AD67,AF67,AH67,AJ67,AL67,AN67)</f>
        <v>74</v>
      </c>
      <c r="AT67" s="11">
        <f>IF(C67="","",DATE(YEAR(C67),MONTH(C67),1))</f>
        <v>46082</v>
      </c>
      <c r="AU67" s="13" t="str">
        <f>IF(AT67="","",TEXT(AT67,"mmmm yyyy"))</f>
        <v>March 2026</v>
      </c>
      <c r="AV67" s="11">
        <f>IF(C67="","",C67-WEEKDAY(C67,2)+1)</f>
        <v>46097</v>
      </c>
      <c r="AW67" s="11">
        <f>IF(AV67="","",AV67+6)</f>
        <v>46103</v>
      </c>
      <c r="AX67" s="13" t="str">
        <f>IF(AV67="","",TEXT(AV67,"dd/mm/yyyy")&amp;" - "&amp;TEXT(AW67,"dd/mm/yyyy"))</f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>IF(B67="","",TEXT(AY67,"00")&amp;"|"&amp;B67&amp;"|"&amp;TEXT(AT67,"yyyymmdd"))</f>
        <v>07|Supakrit Promkhamnoi|20260301</v>
      </c>
      <c r="BB67" s="13" t="str">
        <f>IF(B67="","",TEXT(AZ67,"00")&amp;"|"&amp;B67&amp;"|"&amp;TEXT(AV67,"yyyymmdd"))</f>
        <v>03|Supakrit Promkhamnoi|20260316</v>
      </c>
      <c r="BC67" s="13">
        <f>IF(OR(AQ67="YES",AQ67="Yes",AQ67="Y",AQ67=1),1,0)</f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>SUM(H68,J68,L68,N68,P68,R68,T68,V68,X68,Z68,AB68,AD68,AF68,AH68,AJ68,AL68,AN68)</f>
        <v>78</v>
      </c>
      <c r="AT68" s="11">
        <f>IF(C68="","",DATE(YEAR(C68),MONTH(C68),1))</f>
        <v>46082</v>
      </c>
      <c r="AU68" s="13" t="str">
        <f>IF(AT68="","",TEXT(AT68,"mmmm yyyy"))</f>
        <v>March 2026</v>
      </c>
      <c r="AV68" s="11">
        <f>IF(C68="","",C68-WEEKDAY(C68,2)+1)</f>
        <v>46097</v>
      </c>
      <c r="AW68" s="11">
        <f>IF(AV68="","",AV68+6)</f>
        <v>46103</v>
      </c>
      <c r="AX68" s="13" t="str">
        <f>IF(AV68="","",TEXT(AV68,"dd/mm/yyyy")&amp;" - "&amp;TEXT(AW68,"dd/mm/yyyy"))</f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>IF(B68="","",TEXT(AY68,"00")&amp;"|"&amp;B68&amp;"|"&amp;TEXT(AT68,"yyyymmdd"))</f>
        <v>05|Jariyawadee Taboodda|20260301</v>
      </c>
      <c r="BB68" s="13" t="str">
        <f>IF(B68="","",TEXT(AZ68,"00")&amp;"|"&amp;B68&amp;"|"&amp;TEXT(AV68,"yyyymmdd"))</f>
        <v>02|Jariyawadee Taboodda|20260316</v>
      </c>
      <c r="BC68" s="13">
        <f>IF(OR(AQ68="YES",AQ68="Yes",AQ68="Y",AQ68=1),1,0)</f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>SUM(H69,J69,L69,N69,P69,R69,T69,V69,X69,Z69,AB69,AD69,AF69,AH69,AJ69,AL69,AN69)</f>
        <v>61</v>
      </c>
      <c r="AT69" s="11">
        <f>IF(C69="","",DATE(YEAR(C69),MONTH(C69),1))</f>
        <v>46082</v>
      </c>
      <c r="AU69" s="13" t="str">
        <f>IF(AT69="","",TEXT(AT69,"mmmm yyyy"))</f>
        <v>March 2026</v>
      </c>
      <c r="AV69" s="11">
        <f>IF(C69="","",C69-WEEKDAY(C69,2)+1)</f>
        <v>46097</v>
      </c>
      <c r="AW69" s="11">
        <f>IF(AV69="","",AV69+6)</f>
        <v>46103</v>
      </c>
      <c r="AX69" s="13" t="str">
        <f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>IF(B69="","",TEXT(AY69,"00")&amp;"|"&amp;B69&amp;"|"&amp;TEXT(AT69,"yyyymmdd"))</f>
        <v>06|Wachiraporn chailittichai|20260301</v>
      </c>
      <c r="BB69" s="13" t="str">
        <f>IF(B69="","",TEXT(AZ69,"00")&amp;"|"&amp;B69&amp;"|"&amp;TEXT(AV69,"yyyymmdd"))</f>
        <v>02|Wachiraporn chailittichai|20260316</v>
      </c>
      <c r="BC69" s="13">
        <f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>SUM(H70,J70,L70,N70,P70,R70,T70,V70,X70,Z70,AB70,AD70,AF70,AH70,AJ70,AL70,AN70)</f>
        <v>80</v>
      </c>
      <c r="AT70" s="11">
        <f>IF(C70="","",DATE(YEAR(C70),MONTH(C70),1))</f>
        <v>46082</v>
      </c>
      <c r="AU70" s="13" t="str">
        <f>IF(AT70="","",TEXT(AT70,"mmmm yyyy"))</f>
        <v>March 2026</v>
      </c>
      <c r="AV70" s="11">
        <f>IF(C70="","",C70-WEEKDAY(C70,2)+1)</f>
        <v>46097</v>
      </c>
      <c r="AW70" s="11">
        <f>IF(AV70="","",AV70+6)</f>
        <v>46103</v>
      </c>
      <c r="AX70" s="13" t="str">
        <f>IF(AV70="","",TEXT(AV70,"dd/mm/yyyy")&amp;" - "&amp;TEXT(AW70,"dd/mm/yyyy"))</f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>IF(B70="","",TEXT(AY70,"00")&amp;"|"&amp;B70&amp;"|"&amp;TEXT(AT70,"yyyymmdd"))</f>
        <v>06|Jariyawadee Taboodda|20260301</v>
      </c>
      <c r="BB70" s="13" t="str">
        <f>IF(B70="","",TEXT(AZ70,"00")&amp;"|"&amp;B70&amp;"|"&amp;TEXT(AV70,"yyyymmdd"))</f>
        <v>03|Jariyawadee Taboodda|20260316</v>
      </c>
      <c r="BC70" s="13">
        <f>IF(OR(AQ70="YES",AQ70="Yes",AQ70="Y",AQ70=1),1,0)</f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>SUM(H71,J71,L71,N71,P71,R71,T71,V71,X71,Z71,AB71,AD71,AF71,AH71,AJ71,AL71,AN71)</f>
        <v>85</v>
      </c>
      <c r="AT71" s="11">
        <f>IF(C71="","",DATE(YEAR(C71),MONTH(C71),1))</f>
        <v>46082</v>
      </c>
      <c r="AU71" s="13" t="str">
        <f>IF(AT71="","",TEXT(AT71,"mmmm yyyy"))</f>
        <v>March 2026</v>
      </c>
      <c r="AV71" s="11">
        <f>IF(C71="","",C71-WEEKDAY(C71,2)+1)</f>
        <v>46097</v>
      </c>
      <c r="AW71" s="11">
        <f>IF(AV71="","",AV71+6)</f>
        <v>46103</v>
      </c>
      <c r="AX71" s="13" t="str">
        <f>IF(AV71="","",TEXT(AV71,"dd/mm/yyyy")&amp;" - "&amp;TEXT(AW71,"dd/mm/yyyy"))</f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>IF(B71="","",TEXT(AY71,"00")&amp;"|"&amp;B71&amp;"|"&amp;TEXT(AT71,"yyyymmdd"))</f>
        <v>06|Natcha Chai-in|20260301</v>
      </c>
      <c r="BB71" s="13" t="str">
        <f>IF(B71="","",TEXT(AZ71,"00")&amp;"|"&amp;B71&amp;"|"&amp;TEXT(AV71,"yyyymmdd"))</f>
        <v>03|Natcha Chai-in|20260316</v>
      </c>
      <c r="BC71" s="13">
        <f>IF(OR(AQ71="YES",AQ71="Yes",AQ71="Y",AQ71=1),1,0)</f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>SUM(H72,J72,L72,N72,P72,R72,T72,V72,X72,Z72,AB72,AD72,AF72,AH72,AJ72,AL72,AN72)</f>
        <v>93</v>
      </c>
      <c r="AT72" s="11">
        <f>IF(C72="","",DATE(YEAR(C72),MONTH(C72),1))</f>
        <v>46082</v>
      </c>
      <c r="AU72" s="13" t="str">
        <f>IF(AT72="","",TEXT(AT72,"mmmm yyyy"))</f>
        <v>March 2026</v>
      </c>
      <c r="AV72" s="11">
        <f>IF(C72="","",C72-WEEKDAY(C72,2)+1)</f>
        <v>46097</v>
      </c>
      <c r="AW72" s="11">
        <f>IF(AV72="","",AV72+6)</f>
        <v>46103</v>
      </c>
      <c r="AX72" s="13" t="str">
        <f>IF(AV72="","",TEXT(AV72,"dd/mm/yyyy")&amp;" - "&amp;TEXT(AW72,"dd/mm/yyyy"))</f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>IF(B72="","",TEXT(AY72,"00")&amp;"|"&amp;B72&amp;"|"&amp;TEXT(AT72,"yyyymmdd"))</f>
        <v>05|Suphitcha Keawliam|20260301</v>
      </c>
      <c r="BB72" s="13" t="str">
        <f>IF(B72="","",TEXT(AZ72,"00")&amp;"|"&amp;B72&amp;"|"&amp;TEXT(AV72,"yyyymmdd"))</f>
        <v>03|Suphitcha Keawliam|20260316</v>
      </c>
      <c r="BC72" s="13">
        <f>IF(OR(AQ72="YES",AQ72="Yes",AQ72="Y",AQ72=1),1,0)</f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>SUM(H73,J73,L73,N73,P73,R73,T73,V73,X73,Z73,AB73,AD73,AF73,AH73,AJ73,AL73,AN73)</f>
        <v>70</v>
      </c>
      <c r="AT73" s="11">
        <f>IF(C73="","",DATE(YEAR(C73),MONTH(C73),1))</f>
        <v>46082</v>
      </c>
      <c r="AU73" s="13" t="str">
        <f>IF(AT73="","",TEXT(AT73,"mmmm yyyy"))</f>
        <v>March 2026</v>
      </c>
      <c r="AV73" s="11">
        <f>IF(C73="","",C73-WEEKDAY(C73,2)+1)</f>
        <v>46097</v>
      </c>
      <c r="AW73" s="11">
        <f>IF(AV73="","",AV73+6)</f>
        <v>46103</v>
      </c>
      <c r="AX73" s="13" t="str">
        <f>IF(AV73="","",TEXT(AV73,"dd/mm/yyyy")&amp;" - "&amp;TEXT(AW73,"dd/mm/yyyy"))</f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>IF(B73="","",TEXT(AY73,"00")&amp;"|"&amp;B73&amp;"|"&amp;TEXT(AT73,"yyyymmdd"))</f>
        <v>06|Sunijtra Siritip|20260301</v>
      </c>
      <c r="BB73" s="13" t="str">
        <f>IF(B73="","",TEXT(AZ73,"00")&amp;"|"&amp;B73&amp;"|"&amp;TEXT(AV73,"yyyymmdd"))</f>
        <v>04|Sunijtra Siritip|20260316</v>
      </c>
      <c r="BC73" s="13">
        <f>IF(OR(AQ73="YES",AQ73="Yes",AQ73="Y",AQ73=1),1,0)</f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>SUM(H74,J74,L74,N74,P74,R74,T74,V74,X74,Z74,AB74,AD74,AF74,AH74,AJ74,AL74,AN74)</f>
        <v>81</v>
      </c>
      <c r="AT74" s="11">
        <f>IF(C74="","",DATE(YEAR(C74),MONTH(C74),1))</f>
        <v>46082</v>
      </c>
      <c r="AU74" s="13" t="str">
        <f>IF(AT74="","",TEXT(AT74,"mmmm yyyy"))</f>
        <v>March 2026</v>
      </c>
      <c r="AV74" s="11">
        <f>IF(C74="","",C74-WEEKDAY(C74,2)+1)</f>
        <v>46097</v>
      </c>
      <c r="AW74" s="11">
        <f>IF(AV74="","",AV74+6)</f>
        <v>46103</v>
      </c>
      <c r="AX74" s="13" t="str">
        <f>IF(AV74="","",TEXT(AV74,"dd/mm/yyyy")&amp;" - "&amp;TEXT(AW74,"dd/mm/yyyy"))</f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>IF(B74="","",TEXT(AY74,"00")&amp;"|"&amp;B74&amp;"|"&amp;TEXT(AT74,"yyyymmdd"))</f>
        <v>07|Jariyawadee Taboodda|20260301</v>
      </c>
      <c r="BB74" s="13" t="str">
        <f>IF(B74="","",TEXT(AZ74,"00")&amp;"|"&amp;B74&amp;"|"&amp;TEXT(AV74,"yyyymmdd"))</f>
        <v>04|Jariyawadee Taboodda|20260316</v>
      </c>
      <c r="BC74" s="13">
        <f>IF(OR(AQ74="YES",AQ74="Yes",AQ74="Y",AQ74=1),1,0)</f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>SUM(H75,J75,L75,N75,P75,R75,T75,V75,X75,Z75,AB75,AD75,AF75,AH75,AJ75,AL75,AN75)</f>
        <v>89</v>
      </c>
      <c r="AT75" s="11">
        <f>IF(C75="","",DATE(YEAR(C75),MONTH(C75),1))</f>
        <v>46082</v>
      </c>
      <c r="AU75" s="13" t="str">
        <f>IF(AT75="","",TEXT(AT75,"mmmm yyyy"))</f>
        <v>March 2026</v>
      </c>
      <c r="AV75" s="11">
        <f>IF(C75="","",C75-WEEKDAY(C75,2)+1)</f>
        <v>46104</v>
      </c>
      <c r="AW75" s="11">
        <f>IF(AV75="","",AV75+6)</f>
        <v>46110</v>
      </c>
      <c r="AX75" s="13" t="str">
        <f>IF(AV75="","",TEXT(AV75,"dd/mm/yyyy")&amp;" - "&amp;TEXT(AW75,"dd/mm/yyyy"))</f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>IF(B75="","",TEXT(AY75,"00")&amp;"|"&amp;B75&amp;"|"&amp;TEXT(AT75,"yyyymmdd"))</f>
        <v>02|Krivut Vongkampan|20260301</v>
      </c>
      <c r="BB75" s="13" t="str">
        <f>IF(B75="","",TEXT(AZ75,"00")&amp;"|"&amp;B75&amp;"|"&amp;TEXT(AV75,"yyyymmdd"))</f>
        <v>01|Krivut Vongkampan|20260323</v>
      </c>
      <c r="BC75" s="13">
        <f>IF(OR(AQ75="YES",AQ75="Yes",AQ75="Y",AQ75=1),1,0)</f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>SUM(H76,J76,L76,N76,P76,R76,T76,V76,X76,Z76,AB76,AD76,AF76,AH76,AJ76,AL76,AN76)</f>
        <v>95</v>
      </c>
      <c r="AT76" s="11">
        <f>IF(C76="","",DATE(YEAR(C76),MONTH(C76),1))</f>
        <v>46082</v>
      </c>
      <c r="AU76" s="13" t="str">
        <f>IF(AT76="","",TEXT(AT76,"mmmm yyyy"))</f>
        <v>March 2026</v>
      </c>
      <c r="AV76" s="11">
        <f>IF(C76="","",C76-WEEKDAY(C76,2)+1)</f>
        <v>46104</v>
      </c>
      <c r="AW76" s="11">
        <f>IF(AV76="","",AV76+6)</f>
        <v>46110</v>
      </c>
      <c r="AX76" s="13" t="str">
        <f>IF(AV76="","",TEXT(AV76,"dd/mm/yyyy")&amp;" - "&amp;TEXT(AW76,"dd/mm/yyyy"))</f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>IF(B76="","",TEXT(AY76,"00")&amp;"|"&amp;B76&amp;"|"&amp;TEXT(AT76,"yyyymmdd"))</f>
        <v>03|Krivut Vongkampan|20260301</v>
      </c>
      <c r="BB76" s="13" t="str">
        <f>IF(B76="","",TEXT(AZ76,"00")&amp;"|"&amp;B76&amp;"|"&amp;TEXT(AV76,"yyyymmdd"))</f>
        <v>02|Krivut Vongkampan|20260323</v>
      </c>
      <c r="BC76" s="13">
        <f>IF(OR(AQ76="YES",AQ76="Yes",AQ76="Y",AQ76=1),1,0)</f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>SUM(H77,J77,L77,N77,P77,R77,T77,V77,X77,Z77,AB77,AD77,AF77,AH77,AJ77,AL77,AN77)</f>
        <v>56</v>
      </c>
      <c r="AT77" s="11">
        <f>IF(C77="","",DATE(YEAR(C77),MONTH(C77),1))</f>
        <v>46082</v>
      </c>
      <c r="AU77" s="13" t="str">
        <f>IF(AT77="","",TEXT(AT77,"mmmm yyyy"))</f>
        <v>March 2026</v>
      </c>
      <c r="AV77" s="11">
        <f>IF(C77="","",C77-WEEKDAY(C77,2)+1)</f>
        <v>46104</v>
      </c>
      <c r="AW77" s="11">
        <f>IF(AV77="","",AV77+6)</f>
        <v>46110</v>
      </c>
      <c r="AX77" s="13" t="str">
        <f>IF(AV77="","",TEXT(AV77,"dd/mm/yyyy")&amp;" - "&amp;TEXT(AW77,"dd/mm/yyyy"))</f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>IF(B77="","",TEXT(AY77,"00")&amp;"|"&amp;B77&amp;"|"&amp;TEXT(AT77,"yyyymmdd"))</f>
        <v>08|Arisa aiemrit|20260301</v>
      </c>
      <c r="BB77" s="13" t="str">
        <f>IF(B77="","",TEXT(AZ77,"00")&amp;"|"&amp;B77&amp;"|"&amp;TEXT(AV77,"yyyymmdd"))</f>
        <v>01|Arisa aiemrit|20260323</v>
      </c>
      <c r="BC77" s="13">
        <f>IF(OR(AQ77="YES",AQ77="Yes",AQ77="Y",AQ77=1),1,0)</f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>SUM(H78,J78,L78,N78,P78,R78,T78,V78,X78,Z78,AB78,AD78,AF78,AH78,AJ78,AL78,AN78)</f>
        <v>85</v>
      </c>
      <c r="AT78" s="11">
        <f>IF(C78="","",DATE(YEAR(C78),MONTH(C78),1))</f>
        <v>46082</v>
      </c>
      <c r="AU78" s="13" t="str">
        <f>IF(AT78="","",TEXT(AT78,"mmmm yyyy"))</f>
        <v>March 2026</v>
      </c>
      <c r="AV78" s="11">
        <f>IF(C78="","",C78-WEEKDAY(C78,2)+1)</f>
        <v>46104</v>
      </c>
      <c r="AW78" s="11">
        <f>IF(AV78="","",AV78+6)</f>
        <v>46110</v>
      </c>
      <c r="AX78" s="13" t="str">
        <f>IF(AV78="","",TEXT(AV78,"dd/mm/yyyy")&amp;" - "&amp;TEXT(AW78,"dd/mm/yyyy"))</f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>IF(B78="","",TEXT(AY78,"00")&amp;"|"&amp;B78&amp;"|"&amp;TEXT(AT78,"yyyymmdd"))</f>
        <v>09|Arisa aiemrit|20260301</v>
      </c>
      <c r="BB78" s="13" t="str">
        <f>IF(B78="","",TEXT(AZ78,"00")&amp;"|"&amp;B78&amp;"|"&amp;TEXT(AV78,"yyyymmdd"))</f>
        <v>02|Arisa aiemrit|20260323</v>
      </c>
      <c r="BC78" s="13">
        <f>IF(OR(AQ78="YES",AQ78="Yes",AQ78="Y",AQ78=1),1,0)</f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>SUM(H79,J79,L79,N79,P79,R79,T79,V79,X79,Z79,AB79,AD79,AF79,AH79,AJ79,AL79,AN79)</f>
        <v>95</v>
      </c>
      <c r="AT79" s="11">
        <f>IF(C79="","",DATE(YEAR(C79),MONTH(C79),1))</f>
        <v>46082</v>
      </c>
      <c r="AU79" s="13" t="str">
        <f>IF(AT79="","",TEXT(AT79,"mmmm yyyy"))</f>
        <v>March 2026</v>
      </c>
      <c r="AV79" s="11">
        <f>IF(C79="","",C79-WEEKDAY(C79,2)+1)</f>
        <v>46104</v>
      </c>
      <c r="AW79" s="11">
        <f>IF(AV79="","",AV79+6)</f>
        <v>46110</v>
      </c>
      <c r="AX79" s="13" t="str">
        <f>IF(AV79="","",TEXT(AV79,"dd/mm/yyyy")&amp;" - "&amp;TEXT(AW79,"dd/mm/yyyy"))</f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>IF(B79="","",TEXT(AY79,"00")&amp;"|"&amp;B79&amp;"|"&amp;TEXT(AT79,"yyyymmdd"))</f>
        <v>08|Chatkonnaphat Bhusomya|20260301</v>
      </c>
      <c r="BB79" s="13" t="str">
        <f>IF(B79="","",TEXT(AZ79,"00")&amp;"|"&amp;B79&amp;"|"&amp;TEXT(AV79,"yyyymmdd"))</f>
        <v>01|Chatkonnaphat Bhusomya|20260323</v>
      </c>
      <c r="BC79" s="13">
        <f>IF(OR(AQ79="YES",AQ79="Yes",AQ79="Y",AQ79=1),1,0)</f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>SUM(H80,J80,L80,N80,P80,R80,T80,V80,X80,Z80,AB80,AD80,AF80,AH80,AJ80,AL80,AN80)</f>
        <v>90</v>
      </c>
      <c r="AT80" s="11">
        <f>IF(C80="","",DATE(YEAR(C80),MONTH(C80),1))</f>
        <v>46082</v>
      </c>
      <c r="AU80" s="13" t="str">
        <f>IF(AT80="","",TEXT(AT80,"mmmm yyyy"))</f>
        <v>March 2026</v>
      </c>
      <c r="AV80" s="11">
        <f>IF(C80="","",C80-WEEKDAY(C80,2)+1)</f>
        <v>46104</v>
      </c>
      <c r="AW80" s="11">
        <f>IF(AV80="","",AV80+6)</f>
        <v>46110</v>
      </c>
      <c r="AX80" s="13" t="str">
        <f>IF(AV80="","",TEXT(AV80,"dd/mm/yyyy")&amp;" - "&amp;TEXT(AW80,"dd/mm/yyyy"))</f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>IF(B80="","",TEXT(AY80,"00")&amp;"|"&amp;B80&amp;"|"&amp;TEXT(AT80,"yyyymmdd"))</f>
        <v>08|Jariyawadee Taboodda|20260301</v>
      </c>
      <c r="BB80" s="13" t="str">
        <f>IF(B80="","",TEXT(AZ80,"00")&amp;"|"&amp;B80&amp;"|"&amp;TEXT(AV80,"yyyymmdd"))</f>
        <v>01|Jariyawadee Taboodda|20260323</v>
      </c>
      <c r="BC80" s="13">
        <f>IF(OR(AQ80="YES",AQ80="Yes",AQ80="Y",AQ80=1),1,0)</f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>SUM(H81,J81,L81,N81,P81,R81,T81,V81,X81,Z81,AB81,AD81,AF81,AH81,AJ81,AL81,AN81)</f>
        <v>77</v>
      </c>
      <c r="AT81" s="11">
        <f>IF(C81="","",DATE(YEAR(C81),MONTH(C81),1))</f>
        <v>46082</v>
      </c>
      <c r="AU81" s="13" t="str">
        <f>IF(AT81="","",TEXT(AT81,"mmmm yyyy"))</f>
        <v>March 2026</v>
      </c>
      <c r="AV81" s="11">
        <f>IF(C81="","",C81-WEEKDAY(C81,2)+1)</f>
        <v>46104</v>
      </c>
      <c r="AW81" s="11">
        <f>IF(AV81="","",AV81+6)</f>
        <v>46110</v>
      </c>
      <c r="AX81" s="13" t="str">
        <f>IF(AV81="","",TEXT(AV81,"dd/mm/yyyy")&amp;" - "&amp;TEXT(AW81,"dd/mm/yyyy"))</f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>IF(B81="","",TEXT(AY81,"00")&amp;"|"&amp;B81&amp;"|"&amp;TEXT(AT81,"yyyymmdd"))</f>
        <v>07|Wachiraporn chailittichai|20260301</v>
      </c>
      <c r="BB81" s="13" t="str">
        <f>IF(B81="","",TEXT(AZ81,"00")&amp;"|"&amp;B81&amp;"|"&amp;TEXT(AV81,"yyyymmdd"))</f>
        <v>01|Wachiraporn chailittichai|20260323</v>
      </c>
      <c r="BC81" s="13">
        <f>IF(OR(AQ81="YES",AQ81="Yes",AQ81="Y",AQ81=1),1,0)</f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>SUM(H82,J82,L82,N82,P82,R82,T82,V82,X82,Z82,AB82,AD82,AF82,AH82,AJ82,AL82,AN82)</f>
        <v>91</v>
      </c>
      <c r="AT82" s="11">
        <f>IF(C82="","",DATE(YEAR(C82),MONTH(C82),1))</f>
        <v>46082</v>
      </c>
      <c r="AU82" s="13" t="str">
        <f>IF(AT82="","",TEXT(AT82,"mmmm yyyy"))</f>
        <v>March 2026</v>
      </c>
      <c r="AV82" s="11">
        <f>IF(C82="","",C82-WEEKDAY(C82,2)+1)</f>
        <v>46104</v>
      </c>
      <c r="AW82" s="11">
        <f>IF(AV82="","",AV82+6)</f>
        <v>46110</v>
      </c>
      <c r="AX82" s="13" t="str">
        <f>IF(AV82="","",TEXT(AV82,"dd/mm/yyyy")&amp;" - "&amp;TEXT(AW82,"dd/mm/yyyy"))</f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>IF(B82="","",TEXT(AY82,"00")&amp;"|"&amp;B82&amp;"|"&amp;TEXT(AT82,"yyyymmdd"))</f>
        <v>04|Krivut Vongkampan|20260301</v>
      </c>
      <c r="BB82" s="13" t="str">
        <f>IF(B82="","",TEXT(AZ82,"00")&amp;"|"&amp;B82&amp;"|"&amp;TEXT(AV82,"yyyymmdd"))</f>
        <v>03|Krivut Vongkampan|20260323</v>
      </c>
      <c r="BC82" s="13">
        <f>IF(OR(AQ82="YES",AQ82="Yes",AQ82="Y",AQ82=1),1,0)</f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>SUM(H83,J83,L83,N83,P83,R83,T83,V83,X83,Z83,AB83,AD83,AF83,AH83,AJ83,AL83,AN83)</f>
        <v>70</v>
      </c>
      <c r="AT83" s="27">
        <f>IF(C83="","",DATE(YEAR(C83),MONTH(C83),1))</f>
        <v>46082</v>
      </c>
      <c r="AU83" s="29" t="str">
        <f>IF(AT83="","",TEXT(AT83,"mmmm yyyy"))</f>
        <v>March 2026</v>
      </c>
      <c r="AV83" s="27">
        <f>IF(C83="","",C83-WEEKDAY(C83,2)+1)</f>
        <v>46104</v>
      </c>
      <c r="AW83" s="27">
        <f>IF(AV83="","",AV83+6)</f>
        <v>46110</v>
      </c>
      <c r="AX83" s="29" t="str">
        <f>IF(AV83="","",TEXT(AV83,"dd/mm/yyyy")&amp;" - "&amp;TEXT(AW83,"dd/mm/yyyy"))</f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>IF(B83="","",TEXT(AY83,"00")&amp;"|"&amp;B83&amp;"|"&amp;TEXT(AT83,"yyyymmdd"))</f>
        <v>05|Krivut Vongkampan|20260301</v>
      </c>
      <c r="BB83" s="29" t="str">
        <f>IF(B83="","",TEXT(AZ83,"00")&amp;"|"&amp;B83&amp;"|"&amp;TEXT(AV83,"yyyymmdd"))</f>
        <v>04|Krivut Vongkampan|20260323</v>
      </c>
      <c r="BC83" s="29">
        <f>IF(OR(AQ83="YES",AQ83="Yes",AQ83="Y",AQ83=1),1,0)</f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>SUM(H84,J84,L84,N84,P84,R84,T84,V84,X84,Z84,AB84,AD84,AF84,AH84,AJ84,AL84,AN84)</f>
        <v>89</v>
      </c>
      <c r="AT84" s="11">
        <f>IF(C84="","",DATE(YEAR(C84),MONTH(C84),1))</f>
        <v>46082</v>
      </c>
      <c r="AU84" s="13" t="str">
        <f>IF(AT84="","",TEXT(AT84,"mmmm yyyy"))</f>
        <v>March 2026</v>
      </c>
      <c r="AV84" s="11">
        <f>IF(C84="","",C84-WEEKDAY(C84,2)+1)</f>
        <v>46104</v>
      </c>
      <c r="AW84" s="11">
        <f>IF(AV84="","",AV84+6)</f>
        <v>46110</v>
      </c>
      <c r="AX84" s="13" t="str">
        <f>IF(AV84="","",TEXT(AV84,"dd/mm/yyyy")&amp;" - "&amp;TEXT(AW84,"dd/mm/yyyy"))</f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>IF(B84="","",TEXT(AY84,"00")&amp;"|"&amp;B84&amp;"|"&amp;TEXT(AT84,"yyyymmdd"))</f>
        <v>06|Krivut Vongkampan|20260301</v>
      </c>
      <c r="BB84" s="13" t="str">
        <f>IF(B84="","",TEXT(AZ84,"00")&amp;"|"&amp;B84&amp;"|"&amp;TEXT(AV84,"yyyymmdd"))</f>
        <v>05|Krivut Vongkampan|20260323</v>
      </c>
      <c r="BC84" s="13">
        <f>IF(OR(AQ84="YES",AQ84="Yes",AQ84="Y",AQ84=1),1,0)</f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>SUM(H85,J85,L85,N85,P85,R85,T85,V85,X85,Z85,AB85,AD85,AF85,AH85,AJ85,AL85,AN85)</f>
        <v>86</v>
      </c>
      <c r="AT85" s="11">
        <f>IF(C85="","",DATE(YEAR(C85),MONTH(C85),1))</f>
        <v>46082</v>
      </c>
      <c r="AU85" s="13" t="str">
        <f>IF(AT85="","",TEXT(AT85,"mmmm yyyy"))</f>
        <v>March 2026</v>
      </c>
      <c r="AV85" s="11">
        <f>IF(C85="","",C85-WEEKDAY(C85,2)+1)</f>
        <v>46104</v>
      </c>
      <c r="AW85" s="11">
        <f>IF(AV85="","",AV85+6)</f>
        <v>46110</v>
      </c>
      <c r="AX85" s="13" t="str">
        <f>IF(AV85="","",TEXT(AV85,"dd/mm/yyyy")&amp;" - "&amp;TEXT(AW85,"dd/mm/yyyy"))</f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>IF(B85="","",TEXT(AY85,"00")&amp;"|"&amp;B85&amp;"|"&amp;TEXT(AT85,"yyyymmdd"))</f>
        <v>10|Arisa aiemrit|20260301</v>
      </c>
      <c r="BB85" s="13" t="str">
        <f>IF(B85="","",TEXT(AZ85,"00")&amp;"|"&amp;B85&amp;"|"&amp;TEXT(AV85,"yyyymmdd"))</f>
        <v>03|Arisa aiemrit|20260323</v>
      </c>
      <c r="BC85" s="13">
        <f>IF(OR(AQ85="YES",AQ85="Yes",AQ85="Y",AQ85=1),1,0)</f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>SUM(H86,J86,L86,N86,P86,R86,T86,V86,X86,Z86,AB86,AD86,AF86,AH86,AJ86,AL86,AN86)</f>
        <v>90</v>
      </c>
      <c r="AT86" s="11">
        <f>IF(C86="","",DATE(YEAR(C86),MONTH(C86),1))</f>
        <v>46082</v>
      </c>
      <c r="AU86" s="13" t="str">
        <f>IF(AT86="","",TEXT(AT86,"mmmm yyyy"))</f>
        <v>March 2026</v>
      </c>
      <c r="AV86" s="11">
        <f>IF(C86="","",C86-WEEKDAY(C86,2)+1)</f>
        <v>46104</v>
      </c>
      <c r="AW86" s="11">
        <f>IF(AV86="","",AV86+6)</f>
        <v>46110</v>
      </c>
      <c r="AX86" s="13" t="str">
        <f>IF(AV86="","",TEXT(AV86,"dd/mm/yyyy")&amp;" - "&amp;TEXT(AW86,"dd/mm/yyyy"))</f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>IF(B86="","",TEXT(AY86,"00")&amp;"|"&amp;B86&amp;"|"&amp;TEXT(AT86,"yyyymmdd"))</f>
        <v>06|Suphitcha Keawliam|20260301</v>
      </c>
      <c r="BB86" s="13" t="str">
        <f>IF(B86="","",TEXT(AZ86,"00")&amp;"|"&amp;B86&amp;"|"&amp;TEXT(AV86,"yyyymmdd"))</f>
        <v>01|Suphitcha Keawliam|20260323</v>
      </c>
      <c r="BC86" s="13">
        <f>IF(OR(AQ86="YES",AQ86="Yes",AQ86="Y",AQ86=1),1,0)</f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>SUM(H87,J87,L87,N87,P87,R87,T87,V87,X87,Z87,AB87,AD87,AF87,AH87,AJ87,AL87,AN87)</f>
        <v>71</v>
      </c>
      <c r="AT87" s="11">
        <f>IF(C87="","",DATE(YEAR(C87),MONTH(C87),1))</f>
        <v>46082</v>
      </c>
      <c r="AU87" s="13" t="str">
        <f>IF(AT87="","",TEXT(AT87,"mmmm yyyy"))</f>
        <v>March 2026</v>
      </c>
      <c r="AV87" s="11">
        <f>IF(C87="","",C87-WEEKDAY(C87,2)+1)</f>
        <v>46104</v>
      </c>
      <c r="AW87" s="11">
        <f>IF(AV87="","",AV87+6)</f>
        <v>46110</v>
      </c>
      <c r="AX87" s="13" t="str">
        <f>IF(AV87="","",TEXT(AV87,"dd/mm/yyyy")&amp;" - "&amp;TEXT(AW87,"dd/mm/yyyy"))</f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>IF(B87="","",TEXT(AY87,"00")&amp;"|"&amp;B87&amp;"|"&amp;TEXT(AT87,"yyyymmdd"))</f>
        <v>06|Wassana Phothong|20260301</v>
      </c>
      <c r="BB87" s="13" t="str">
        <f>IF(B87="","",TEXT(AZ87,"00")&amp;"|"&amp;B87&amp;"|"&amp;TEXT(AV87,"yyyymmdd"))</f>
        <v>01|Wassana Phothong|20260323</v>
      </c>
      <c r="BC87" s="13">
        <f>IF(OR(AQ87="YES",AQ87="Yes",AQ87="Y",AQ87=1),1,0)</f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>SUM(H88,J88,L88,N88,P88,R88,T88,V88,X88,Z88,AB88,AD88,AF88,AH88,AJ88,AL88,AN88)</f>
        <v>95</v>
      </c>
      <c r="AT88" s="11">
        <f>IF(C88="","",DATE(YEAR(C88),MONTH(C88),1))</f>
        <v>46082</v>
      </c>
      <c r="AU88" s="13" t="str">
        <f>IF(AT88="","",TEXT(AT88,"mmmm yyyy"))</f>
        <v>March 2026</v>
      </c>
      <c r="AV88" s="11">
        <f>IF(C88="","",C88-WEEKDAY(C88,2)+1)</f>
        <v>46104</v>
      </c>
      <c r="AW88" s="11">
        <f>IF(AV88="","",AV88+6)</f>
        <v>46110</v>
      </c>
      <c r="AX88" s="13" t="str">
        <f>IF(AV88="","",TEXT(AV88,"dd/mm/yyyy")&amp;" - "&amp;TEXT(AW88,"dd/mm/yyyy"))</f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>IF(B88="","",TEXT(AY88,"00")&amp;"|"&amp;B88&amp;"|"&amp;TEXT(AT88,"yyyymmdd"))</f>
        <v>07|Sunijtra Siritip|20260301</v>
      </c>
      <c r="BB88" s="13" t="str">
        <f>IF(B88="","",TEXT(AZ88,"00")&amp;"|"&amp;B88&amp;"|"&amp;TEXT(AV88,"yyyymmdd"))</f>
        <v>01|Sunijtra Siritip|20260323</v>
      </c>
      <c r="BC88" s="13">
        <f>IF(OR(AQ88="YES",AQ88="Yes",AQ88="Y",AQ88=1),1,0)</f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>SUM(H89,J89,L89,N89,P89,R89,T89,V89,X89,Z89,AB89,AD89,AF89,AH89,AJ89,AL89,AN89)</f>
        <v>91</v>
      </c>
      <c r="AT89" s="11">
        <f>IF(C89="","",DATE(YEAR(C89),MONTH(C89),1))</f>
        <v>46082</v>
      </c>
      <c r="AU89" s="13" t="str">
        <f>IF(AT89="","",TEXT(AT89,"mmmm yyyy"))</f>
        <v>March 2026</v>
      </c>
      <c r="AV89" s="11">
        <f>IF(C89="","",C89-WEEKDAY(C89,2)+1)</f>
        <v>46104</v>
      </c>
      <c r="AW89" s="11">
        <f>IF(AV89="","",AV89+6)</f>
        <v>46110</v>
      </c>
      <c r="AX89" s="13" t="str">
        <f>IF(AV89="","",TEXT(AV89,"dd/mm/yyyy")&amp;" - "&amp;TEXT(AW89,"dd/mm/yyyy"))</f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>IF(B89="","",TEXT(AY89,"00")&amp;"|"&amp;B89&amp;"|"&amp;TEXT(AT89,"yyyymmdd"))</f>
        <v>08|Supakrit Promkhamnoi|20260301</v>
      </c>
      <c r="BB89" s="13" t="str">
        <f>IF(B89="","",TEXT(AZ89,"00")&amp;"|"&amp;B89&amp;"|"&amp;TEXT(AV89,"yyyymmdd"))</f>
        <v>01|Supakrit Promkhamnoi|20260323</v>
      </c>
      <c r="BC89" s="13">
        <f>IF(OR(AQ89="YES",AQ89="Yes",AQ89="Y",AQ89=1),1,0)</f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>SUM(H90,J90,L90,N90,P90,R90,T90,V90,X90,Z90,AB90,AD90,AF90,AH90,AJ90,AL90,AN90)</f>
        <v>98</v>
      </c>
      <c r="AT90" s="11">
        <f>IF(C90="","",DATE(YEAR(C90),MONTH(C90),1))</f>
        <v>46082</v>
      </c>
      <c r="AU90" s="13" t="str">
        <f>IF(AT90="","",TEXT(AT90,"mmmm yyyy"))</f>
        <v>March 2026</v>
      </c>
      <c r="AV90" s="11">
        <f>IF(C90="","",C90-WEEKDAY(C90,2)+1)</f>
        <v>46104</v>
      </c>
      <c r="AW90" s="11">
        <f>IF(AV90="","",AV90+6)</f>
        <v>46110</v>
      </c>
      <c r="AX90" s="13" t="str">
        <f>IF(AV90="","",TEXT(AV90,"dd/mm/yyyy")&amp;" - "&amp;TEXT(AW90,"dd/mm/yyyy"))</f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>IF(B90="","",TEXT(AY90,"00")&amp;"|"&amp;B90&amp;"|"&amp;TEXT(AT90,"yyyymmdd"))</f>
        <v>07|Suphitcha Keawliam|20260301</v>
      </c>
      <c r="BB90" s="13" t="str">
        <f>IF(B90="","",TEXT(AZ90,"00")&amp;"|"&amp;B90&amp;"|"&amp;TEXT(AV90,"yyyymmdd"))</f>
        <v>02|Suphitcha Keawliam|20260323</v>
      </c>
      <c r="BC90" s="13">
        <f>IF(OR(AQ90="YES",AQ90="Yes",AQ90="Y",AQ90=1),1,0)</f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>SUM(H91,J91,L91,N91,P91,R91,T91,V91,X91,Z91,AB91,AD91,AF91,AH91,AJ91,AL91,AN91)</f>
        <v>63</v>
      </c>
      <c r="AT91" s="11">
        <f>IF(C91="","",DATE(YEAR(C91),MONTH(C91),1))</f>
        <v>46082</v>
      </c>
      <c r="AU91" s="13" t="str">
        <f>IF(AT91="","",TEXT(AT91,"mmmm yyyy"))</f>
        <v>March 2026</v>
      </c>
      <c r="AV91" s="11">
        <f>IF(C91="","",C91-WEEKDAY(C91,2)+1)</f>
        <v>46104</v>
      </c>
      <c r="AW91" s="11">
        <f>IF(AV91="","",AV91+6)</f>
        <v>46110</v>
      </c>
      <c r="AX91" s="13" t="str">
        <f>IF(AV91="","",TEXT(AV91,"dd/mm/yyyy")&amp;" - "&amp;TEXT(AW91,"dd/mm/yyyy"))</f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>IF(B91="","",TEXT(AY91,"00")&amp;"|"&amp;B91&amp;"|"&amp;TEXT(AT91,"yyyymmdd"))</f>
        <v>08|Suphitcha Keawliam|20260301</v>
      </c>
      <c r="BB91" s="13" t="str">
        <f>IF(B91="","",TEXT(AZ91,"00")&amp;"|"&amp;B91&amp;"|"&amp;TEXT(AV91,"yyyymmdd"))</f>
        <v>03|Suphitcha Keawliam|20260323</v>
      </c>
      <c r="BC91" s="13">
        <f>IF(OR(AQ91="YES",AQ91="Yes",AQ91="Y",AQ91=1),1,0)</f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>SUM(H92,J92,L92,N92,P92,R92,T92,V92,X92,Z92,AB92,AD92,AF92,AH92,AJ92,AL92,AN92)</f>
        <v>79</v>
      </c>
      <c r="AT92" s="11">
        <f>IF(C92="","",DATE(YEAR(C92),MONTH(C92),1))</f>
        <v>46082</v>
      </c>
      <c r="AU92" s="13" t="str">
        <f>IF(AT92="","",TEXT(AT92,"mmmm yyyy"))</f>
        <v>March 2026</v>
      </c>
      <c r="AV92" s="11">
        <f>IF(C92="","",C92-WEEKDAY(C92,2)+1)</f>
        <v>46104</v>
      </c>
      <c r="AW92" s="11">
        <f>IF(AV92="","",AV92+6)</f>
        <v>46110</v>
      </c>
      <c r="AX92" s="13" t="str">
        <f>IF(AV92="","",TEXT(AV92,"dd/mm/yyyy")&amp;" - "&amp;TEXT(AW92,"dd/mm/yyyy"))</f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>IF(B92="","",TEXT(AY92,"00")&amp;"|"&amp;B92&amp;"|"&amp;TEXT(AT92,"yyyymmdd"))</f>
        <v>08|Wachiraporn chailittichai|20260301</v>
      </c>
      <c r="BB92" s="13" t="str">
        <f>IF(B92="","",TEXT(AZ92,"00")&amp;"|"&amp;B92&amp;"|"&amp;TEXT(AV92,"yyyymmdd"))</f>
        <v>02|Wachiraporn chailittichai|20260323</v>
      </c>
      <c r="BC92" s="13">
        <f>IF(OR(AQ92="YES",AQ92="Yes",AQ92="Y",AQ92=1),1,0)</f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>SUM(H93,J93,L93,N93,P93,R93,T93,V93,X93,Z93,AB93,AD93,AF93,AH93,AJ93,AL93,AN93)</f>
        <v>62</v>
      </c>
      <c r="AT93" s="11">
        <f>IF(C93="","",DATE(YEAR(C93),MONTH(C93),1))</f>
        <v>46082</v>
      </c>
      <c r="AU93" s="13" t="str">
        <f>IF(AT93="","",TEXT(AT93,"mmmm yyyy"))</f>
        <v>March 2026</v>
      </c>
      <c r="AV93" s="11">
        <f>IF(C93="","",C93-WEEKDAY(C93,2)+1)</f>
        <v>46104</v>
      </c>
      <c r="AW93" s="11">
        <f>IF(AV93="","",AV93+6)</f>
        <v>46110</v>
      </c>
      <c r="AX93" s="13" t="str">
        <f>IF(AV93="","",TEXT(AV93,"dd/mm/yyyy")&amp;" - "&amp;TEXT(AW93,"dd/mm/yyyy"))</f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>IF(B93="","",TEXT(AY93,"00")&amp;"|"&amp;B93&amp;"|"&amp;TEXT(AT93,"yyyymmdd"))</f>
        <v>07|Wassana Phothong|20260301</v>
      </c>
      <c r="BB93" s="13" t="str">
        <f>IF(B93="","",TEXT(AZ93,"00")&amp;"|"&amp;B93&amp;"|"&amp;TEXT(AV93,"yyyymmdd"))</f>
        <v>02|Wassana Phothong|20260323</v>
      </c>
      <c r="BC93" s="13">
        <f>IF(OR(AQ93="YES",AQ93="Yes",AQ93="Y",AQ93=1),1,0)</f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>SUM(H94,J94,L94,N94,P94,R94,T94,V94,X94,Z94,AB94,AD94,AF94,AH94,AJ94,AL94,AN94)</f>
        <v>90</v>
      </c>
      <c r="AT94" s="11">
        <f>IF(C94="","",DATE(YEAR(C94),MONTH(C94),1))</f>
        <v>46082</v>
      </c>
      <c r="AU94" s="13" t="str">
        <f>IF(AT94="","",TEXT(AT94,"mmmm yyyy"))</f>
        <v>March 2026</v>
      </c>
      <c r="AV94" s="11">
        <f>IF(C94="","",C94-WEEKDAY(C94,2)+1)</f>
        <v>46104</v>
      </c>
      <c r="AW94" s="11">
        <f>IF(AV94="","",AV94+6)</f>
        <v>46110</v>
      </c>
      <c r="AX94" s="13" t="str">
        <f>IF(AV94="","",TEXT(AV94,"dd/mm/yyyy")&amp;" - "&amp;TEXT(AW94,"dd/mm/yyyy"))</f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>IF(B94="","",TEXT(AY94,"00")&amp;"|"&amp;B94&amp;"|"&amp;TEXT(AT94,"yyyymmdd"))</f>
        <v>09|Chatkonnaphat Bhusomya|20260301</v>
      </c>
      <c r="BB94" s="13" t="str">
        <f>IF(B94="","",TEXT(AZ94,"00")&amp;"|"&amp;B94&amp;"|"&amp;TEXT(AV94,"yyyymmdd"))</f>
        <v>02|Chatkonnaphat Bhusomya|20260323</v>
      </c>
      <c r="BC94" s="13">
        <f>IF(OR(AQ94="YES",AQ94="Yes",AQ94="Y",AQ94=1),1,0)</f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>SUM(H95,J95,L95,N95,P95,R95,T95,V95,X95,Z95,AB95,AD95,AF95,AH95,AJ95,AL95,AN95)</f>
        <v>97</v>
      </c>
      <c r="AT95" s="11">
        <f>IF(C95="","",DATE(YEAR(C95),MONTH(C95),1))</f>
        <v>46082</v>
      </c>
      <c r="AU95" s="13" t="str">
        <f>IF(AT95="","",TEXT(AT95,"mmmm yyyy"))</f>
        <v>March 2026</v>
      </c>
      <c r="AV95" s="11">
        <f>IF(C95="","",C95-WEEKDAY(C95,2)+1)</f>
        <v>46104</v>
      </c>
      <c r="AW95" s="11">
        <f>IF(AV95="","",AV95+6)</f>
        <v>46110</v>
      </c>
      <c r="AX95" s="13" t="str">
        <f>IF(AV95="","",TEXT(AV95,"dd/mm/yyyy")&amp;" - "&amp;TEXT(AW95,"dd/mm/yyyy"))</f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>IF(B95="","",TEXT(AY95,"00")&amp;"|"&amp;B95&amp;"|"&amp;TEXT(AT95,"yyyymmdd"))</f>
        <v>09|Jariyawadee Taboodda|20260301</v>
      </c>
      <c r="BB95" s="13" t="str">
        <f>IF(B95="","",TEXT(AZ95,"00")&amp;"|"&amp;B95&amp;"|"&amp;TEXT(AV95,"yyyymmdd"))</f>
        <v>02|Jariyawadee Taboodda|20260323</v>
      </c>
      <c r="BC95" s="13">
        <f>IF(OR(AQ95="YES",AQ95="Yes",AQ95="Y",AQ95=1),1,0)</f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>SUM(H96,J96,L96,N96,P96,R96,T96,V96,X96,Z96,AB96,AD96,AF96,AH96,AJ96,AL96,AN96)</f>
        <v>93</v>
      </c>
      <c r="AT96" s="11">
        <f>IF(C96="","",DATE(YEAR(C96),MONTH(C96),1))</f>
        <v>46082</v>
      </c>
      <c r="AU96" s="13" t="str">
        <f>IF(AT96="","",TEXT(AT96,"mmmm yyyy"))</f>
        <v>March 2026</v>
      </c>
      <c r="AV96" s="11">
        <f>IF(C96="","",C96-WEEKDAY(C96,2)+1)</f>
        <v>46104</v>
      </c>
      <c r="AW96" s="11">
        <f>IF(AV96="","",AV96+6)</f>
        <v>46110</v>
      </c>
      <c r="AX96" s="13" t="str">
        <f>IF(AV96="","",TEXT(AV96,"dd/mm/yyyy")&amp;" - "&amp;TEXT(AW96,"dd/mm/yyyy"))</f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>IF(B96="","",TEXT(AY96,"00")&amp;"|"&amp;B96&amp;"|"&amp;TEXT(AT96,"yyyymmdd"))</f>
        <v>07|Krivut Vongkampan|20260301</v>
      </c>
      <c r="BB96" s="13" t="str">
        <f>IF(B96="","",TEXT(AZ96,"00")&amp;"|"&amp;B96&amp;"|"&amp;TEXT(AV96,"yyyymmdd"))</f>
        <v>06|Krivut Vongkampan|20260323</v>
      </c>
      <c r="BC96" s="13">
        <f>IF(OR(AQ96="YES",AQ96="Yes",AQ96="Y",AQ96=1),1,0)</f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>SUM(H97,J97,L97,N97,P97,R97,T97,V97,X97,Z97,AB97,AD97,AF97,AH97,AJ97,AL97,AN97)</f>
        <v>98</v>
      </c>
      <c r="AT97" s="11">
        <f>IF(C97="","",DATE(YEAR(C97),MONTH(C97),1))</f>
        <v>46082</v>
      </c>
      <c r="AU97" s="13" t="str">
        <f>IF(AT97="","",TEXT(AT97,"mmmm yyyy"))</f>
        <v>March 2026</v>
      </c>
      <c r="AV97" s="11">
        <f>IF(C97="","",C97-WEEKDAY(C97,2)+1)</f>
        <v>46104</v>
      </c>
      <c r="AW97" s="11">
        <f>IF(AV97="","",AV97+6)</f>
        <v>46110</v>
      </c>
      <c r="AX97" s="13" t="str">
        <f>IF(AV97="","",TEXT(AV97,"dd/mm/yyyy")&amp;" - "&amp;TEXT(AW97,"dd/mm/yyyy"))</f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>IF(B97="","",TEXT(AY97,"00")&amp;"|"&amp;B97&amp;"|"&amp;TEXT(AT97,"yyyymmdd"))</f>
        <v>08|Krivut Vongkampan|20260301</v>
      </c>
      <c r="BB97" s="13" t="str">
        <f>IF(B97="","",TEXT(AZ97,"00")&amp;"|"&amp;B97&amp;"|"&amp;TEXT(AV97,"yyyymmdd"))</f>
        <v>07|Krivut Vongkampan|20260323</v>
      </c>
      <c r="BC97" s="13">
        <f>IF(OR(AQ97="YES",AQ97="Yes",AQ97="Y",AQ97=1),1,0)</f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>SUM(H98,J98,L98,N98,P98,R98,T98,V98,X98,Z98,AB98,AD98,AF98,AH98,AJ98,AL98,AN98)</f>
        <v>94</v>
      </c>
      <c r="AT98" s="11">
        <f>IF(C98="","",DATE(YEAR(C98),MONTH(C98),1))</f>
        <v>46082</v>
      </c>
      <c r="AU98" s="13" t="str">
        <f>IF(AT98="","",TEXT(AT98,"mmmm yyyy"))</f>
        <v>March 2026</v>
      </c>
      <c r="AV98" s="11">
        <f>IF(C98="","",C98-WEEKDAY(C98,2)+1)</f>
        <v>46104</v>
      </c>
      <c r="AW98" s="11">
        <f>IF(AV98="","",AV98+6)</f>
        <v>46110</v>
      </c>
      <c r="AX98" s="13" t="str">
        <f>IF(AV98="","",TEXT(AV98,"dd/mm/yyyy")&amp;" - "&amp;TEXT(AW98,"dd/mm/yyyy"))</f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>IF(B98="","",TEXT(AY98,"00")&amp;"|"&amp;B98&amp;"|"&amp;TEXT(AT98,"yyyymmdd"))</f>
        <v>07|Natcha Chai-in|20260301</v>
      </c>
      <c r="BB98" s="13" t="str">
        <f>IF(B98="","",TEXT(AZ98,"00")&amp;"|"&amp;B98&amp;"|"&amp;TEXT(AV98,"yyyymmdd"))</f>
        <v>01|Natcha Chai-in|20260323</v>
      </c>
      <c r="BC98" s="13">
        <f>IF(OR(AQ98="YES",AQ98="Yes",AQ98="Y",AQ98=1),1,0)</f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>SUM(H99,J99,L99,N99,P99,R99,T99,V99,X99,Z99,AB99,AD99,AF99,AH99,AJ99,AL99,AN99)</f>
        <v>93</v>
      </c>
      <c r="AT99" s="11">
        <f>IF(C99="","",DATE(YEAR(C99),MONTH(C99),1))</f>
        <v>46082</v>
      </c>
      <c r="AU99" s="13" t="str">
        <f>IF(AT99="","",TEXT(AT99,"mmmm yyyy"))</f>
        <v>March 2026</v>
      </c>
      <c r="AV99" s="11">
        <f>IF(C99="","",C99-WEEKDAY(C99,2)+1)</f>
        <v>46104</v>
      </c>
      <c r="AW99" s="11">
        <f>IF(AV99="","",AV99+6)</f>
        <v>46110</v>
      </c>
      <c r="AX99" s="13" t="str">
        <f>IF(AV99="","",TEXT(AV99,"dd/mm/yyyy")&amp;" - "&amp;TEXT(AW99,"dd/mm/yyyy"))</f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>IF(B99="","",TEXT(AY99,"00")&amp;"|"&amp;B99&amp;"|"&amp;TEXT(AT99,"yyyymmdd"))</f>
        <v>09|Wachiraporn chailittichai|20260301</v>
      </c>
      <c r="BB99" s="13" t="str">
        <f>IF(B99="","",TEXT(AZ99,"00")&amp;"|"&amp;B99&amp;"|"&amp;TEXT(AV99,"yyyymmdd"))</f>
        <v>03|Wachiraporn chailittichai|20260323</v>
      </c>
      <c r="BC99" s="13">
        <f>IF(OR(AQ99="YES",AQ99="Yes",AQ99="Y",AQ99=1),1,0)</f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>SUM(H100,J100,L100,N100,P100,R100,T100,V100,X100,Z100,AB100,AD100,AF100,AH100,AJ100,AL100,AN100)</f>
        <v>67</v>
      </c>
      <c r="AT100" s="11">
        <f>IF(C100="","",DATE(YEAR(C100),MONTH(C100),1))</f>
        <v>46082</v>
      </c>
      <c r="AU100" s="13" t="str">
        <f>IF(AT100="","",TEXT(AT100,"mmmm yyyy"))</f>
        <v>March 2026</v>
      </c>
      <c r="AV100" s="11">
        <f>IF(C100="","",C100-WEEKDAY(C100,2)+1)</f>
        <v>46104</v>
      </c>
      <c r="AW100" s="11">
        <f>IF(AV100="","",AV100+6)</f>
        <v>46110</v>
      </c>
      <c r="AX100" s="13" t="str">
        <f>IF(AV100="","",TEXT(AV100,"dd/mm/yyyy")&amp;" - "&amp;TEXT(AW100,"dd/mm/yyyy"))</f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>IF(B100="","",TEXT(AY100,"00")&amp;"|"&amp;B100&amp;"|"&amp;TEXT(AT100,"yyyymmdd"))</f>
        <v>10|Wachiraporn chailittichai|20260301</v>
      </c>
      <c r="BB100" s="13" t="str">
        <f>IF(B100="","",TEXT(AZ100,"00")&amp;"|"&amp;B100&amp;"|"&amp;TEXT(AV100,"yyyymmdd"))</f>
        <v>04|Wachiraporn chailittichai|20260323</v>
      </c>
      <c r="BC100" s="13">
        <f>IF(OR(AQ100="YES",AQ100="Yes",AQ100="Y",AQ100=1),1,0)</f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>SUM(H101,J101,L101,N101,P101,R101,T101,V101,X101,Z101,AB101,AD101,AF101,AH101,AJ101,AL101,AN101)</f>
        <v>94</v>
      </c>
      <c r="AT101" s="11">
        <f>IF(C101="","",DATE(YEAR(C101),MONTH(C101),1))</f>
        <v>46082</v>
      </c>
      <c r="AU101" s="13" t="str">
        <f>IF(AT101="","",TEXT(AT101,"mmmm yyyy"))</f>
        <v>March 2026</v>
      </c>
      <c r="AV101" s="11">
        <f>IF(C101="","",C101-WEEKDAY(C101,2)+1)</f>
        <v>46104</v>
      </c>
      <c r="AW101" s="11">
        <f>IF(AV101="","",AV101+6)</f>
        <v>46110</v>
      </c>
      <c r="AX101" s="13" t="str">
        <f>IF(AV101="","",TEXT(AV101,"dd/mm/yyyy")&amp;" - "&amp;TEXT(AW101,"dd/mm/yyyy"))</f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>IF(B101="","",TEXT(AY101,"00")&amp;"|"&amp;B101&amp;"|"&amp;TEXT(AT101,"yyyymmdd"))</f>
        <v>07|Jureeporn Piddum|20260301</v>
      </c>
      <c r="BB101" s="13" t="str">
        <f>IF(B101="","",TEXT(AZ101,"00")&amp;"|"&amp;B101&amp;"|"&amp;TEXT(AV101,"yyyymmdd"))</f>
        <v>01|Jureeporn Piddum|20260323</v>
      </c>
      <c r="BC101" s="13">
        <f>IF(OR(AQ101="YES",AQ101="Yes",AQ101="Y",AQ101=1),1,0)</f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>SUM(H102,J102,L102,N102,P102,R102,T102,V102,X102,Z102,AB102,AD102,AF102,AH102,AJ102,AL102,AN102)</f>
        <v>95</v>
      </c>
      <c r="AT102" s="11">
        <f>IF(C102="","",DATE(YEAR(C102),MONTH(C102),1))</f>
        <v>46082</v>
      </c>
      <c r="AU102" s="13" t="str">
        <f>IF(AT102="","",TEXT(AT102,"mmmm yyyy"))</f>
        <v>March 2026</v>
      </c>
      <c r="AV102" s="11">
        <f>IF(C102="","",C102-WEEKDAY(C102,2)+1)</f>
        <v>46104</v>
      </c>
      <c r="AW102" s="11">
        <f>IF(AV102="","",AV102+6)</f>
        <v>46110</v>
      </c>
      <c r="AX102" s="13" t="str">
        <f>IF(AV102="","",TEXT(AV102,"dd/mm/yyyy")&amp;" - "&amp;TEXT(AW102,"dd/mm/yyyy"))</f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>IF(B102="","",TEXT(AY102,"00")&amp;"|"&amp;B102&amp;"|"&amp;TEXT(AT102,"yyyymmdd"))</f>
        <v>08|Jureeporn Piddum|20260301</v>
      </c>
      <c r="BB102" s="13" t="str">
        <f>IF(B102="","",TEXT(AZ102,"00")&amp;"|"&amp;B102&amp;"|"&amp;TEXT(AV102,"yyyymmdd"))</f>
        <v>02|Jureeporn Piddum|20260323</v>
      </c>
      <c r="BC102" s="13">
        <f>IF(OR(AQ102="YES",AQ102="Yes",AQ102="Y",AQ102=1),1,0)</f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>SUM(H103,J103,L103,N103,P103,R103,T103,V103,X103,Z103,AB103,AD103,AF103,AH103,AJ103,AL103,AN103)</f>
        <v>97</v>
      </c>
      <c r="AT103" s="11">
        <f>IF(C103="","",DATE(YEAR(C103),MONTH(C103),1))</f>
        <v>46082</v>
      </c>
      <c r="AU103" s="13" t="str">
        <f>IF(AT103="","",TEXT(AT103,"mmmm yyyy"))</f>
        <v>March 2026</v>
      </c>
      <c r="AV103" s="11">
        <f>IF(C103="","",C103-WEEKDAY(C103,2)+1)</f>
        <v>46104</v>
      </c>
      <c r="AW103" s="11">
        <f>IF(AV103="","",AV103+6)</f>
        <v>46110</v>
      </c>
      <c r="AX103" s="13" t="str">
        <f>IF(AV103="","",TEXT(AV103,"dd/mm/yyyy")&amp;" - "&amp;TEXT(AW103,"dd/mm/yyyy"))</f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>IF(B103="","",TEXT(AY103,"00")&amp;"|"&amp;B103&amp;"|"&amp;TEXT(AT103,"yyyymmdd"))</f>
        <v>08|Natcha Chai-in|20260301</v>
      </c>
      <c r="BB103" s="13" t="str">
        <f>IF(B103="","",TEXT(AZ103,"00")&amp;"|"&amp;B103&amp;"|"&amp;TEXT(AV103,"yyyymmdd"))</f>
        <v>02|Natcha Chai-in|20260323</v>
      </c>
      <c r="BC103" s="13">
        <f>IF(OR(AQ103="YES",AQ103="Yes",AQ103="Y",AQ103=1),1,0)</f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>SUM(H104,J104,L104,N104,P104,R104,T104,V104,X104,Z104,AB104,AD104,AF104,AH104,AJ104,AL104,AN104)</f>
        <v>93</v>
      </c>
      <c r="AT104" s="11">
        <f>IF(C104="","",DATE(YEAR(C104),MONTH(C104),1))</f>
        <v>46082</v>
      </c>
      <c r="AU104" s="13" t="str">
        <f>IF(AT104="","",TEXT(AT104,"mmmm yyyy"))</f>
        <v>March 2026</v>
      </c>
      <c r="AV104" s="11">
        <f>IF(C104="","",C104-WEEKDAY(C104,2)+1)</f>
        <v>46104</v>
      </c>
      <c r="AW104" s="11">
        <f>IF(AV104="","",AV104+6)</f>
        <v>46110</v>
      </c>
      <c r="AX104" s="13" t="str">
        <f>IF(AV104="","",TEXT(AV104,"dd/mm/yyyy")&amp;" - "&amp;TEXT(AW104,"dd/mm/yyyy"))</f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>IF(B104="","",TEXT(AY104,"00")&amp;"|"&amp;B104&amp;"|"&amp;TEXT(AT104,"yyyymmdd"))</f>
        <v>09|Natcha Chai-in|20260301</v>
      </c>
      <c r="BB104" s="13" t="str">
        <f>IF(B104="","",TEXT(AZ104,"00")&amp;"|"&amp;B104&amp;"|"&amp;TEXT(AV104,"yyyymmdd"))</f>
        <v>03|Natcha Chai-in|20260323</v>
      </c>
      <c r="BC104" s="13">
        <f>IF(OR(AQ104="YES",AQ104="Yes",AQ104="Y",AQ104=1),1,0)</f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>SUM(H105,J105,L105,N105,P105,R105,T105,V105,X105,Z105,AB105,AD105,AF105,AH105,AJ105,AL105,AN105)</f>
        <v>94</v>
      </c>
      <c r="AT105" s="11">
        <f>IF(C105="","",DATE(YEAR(C105),MONTH(C105),1))</f>
        <v>46082</v>
      </c>
      <c r="AU105" s="13" t="str">
        <f>IF(AT105="","",TEXT(AT105,"mmmm yyyy"))</f>
        <v>March 2026</v>
      </c>
      <c r="AV105" s="11">
        <f>IF(C105="","",C105-WEEKDAY(C105,2)+1)</f>
        <v>46104</v>
      </c>
      <c r="AW105" s="11">
        <f>IF(AV105="","",AV105+6)</f>
        <v>46110</v>
      </c>
      <c r="AX105" s="13" t="str">
        <f>IF(AV105="","",TEXT(AV105,"dd/mm/yyyy")&amp;" - "&amp;TEXT(AW105,"dd/mm/yyyy"))</f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>IF(B105="","",TEXT(AY105,"00")&amp;"|"&amp;B105&amp;"|"&amp;TEXT(AT105,"yyyymmdd"))</f>
        <v>09|Supakrit Promkhamnoi|20260301</v>
      </c>
      <c r="BB105" s="13" t="str">
        <f>IF(B105="","",TEXT(AZ105,"00")&amp;"|"&amp;B105&amp;"|"&amp;TEXT(AV105,"yyyymmdd"))</f>
        <v>02|Supakrit Promkhamnoi|20260323</v>
      </c>
      <c r="BC105" s="13">
        <f>IF(OR(AQ105="YES",AQ105="Yes",AQ105="Y",AQ105=1),1,0)</f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>SUM(H106,J106,L106,N106,P106,R106,T106,V106,X106,Z106,AB106,AD106,AF106,AH106,AJ106,AL106,AN106)</f>
        <v>77</v>
      </c>
      <c r="AT106" s="11">
        <f>IF(C106="","",DATE(YEAR(C106),MONTH(C106),1))</f>
        <v>46082</v>
      </c>
      <c r="AU106" s="13" t="str">
        <f>IF(AT106="","",TEXT(AT106,"mmmm yyyy"))</f>
        <v>March 2026</v>
      </c>
      <c r="AV106" s="11">
        <f>IF(C106="","",C106-WEEKDAY(C106,2)+1)</f>
        <v>46104</v>
      </c>
      <c r="AW106" s="11">
        <f>IF(AV106="","",AV106+6)</f>
        <v>46110</v>
      </c>
      <c r="AX106" s="13" t="str">
        <f>IF(AV106="","",TEXT(AV106,"dd/mm/yyyy")&amp;" - "&amp;TEXT(AW106,"dd/mm/yyyy"))</f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>IF(B106="","",TEXT(AY106,"00")&amp;"|"&amp;B106&amp;"|"&amp;TEXT(AT106,"yyyymmdd"))</f>
        <v>08|Wassana Phothong|20260301</v>
      </c>
      <c r="BB106" s="13" t="str">
        <f>IF(B106="","",TEXT(AZ106,"00")&amp;"|"&amp;B106&amp;"|"&amp;TEXT(AV106,"yyyymmdd"))</f>
        <v>03|Wassana Phothong|20260323</v>
      </c>
      <c r="BC106" s="13">
        <f>IF(OR(AQ106="YES",AQ106="Yes",AQ106="Y",AQ106=1),1,0)</f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>SUM(H107,J107,L107,N107,P107,R107,T107,V107,X107,Z107,AB107,AD107,AF107,AH107,AJ107,AL107,AN107)</f>
        <v>99</v>
      </c>
      <c r="AT107" s="11">
        <f>IF(C107="","",DATE(YEAR(C107),MONTH(C107),1))</f>
        <v>46082</v>
      </c>
      <c r="AU107" s="13" t="str">
        <f>IF(AT107="","",TEXT(AT107,"mmmm yyyy"))</f>
        <v>March 2026</v>
      </c>
      <c r="AV107" s="11">
        <f>IF(C107="","",C107-WEEKDAY(C107,2)+1)</f>
        <v>46104</v>
      </c>
      <c r="AW107" s="11">
        <f>IF(AV107="","",AV107+6)</f>
        <v>46110</v>
      </c>
      <c r="AX107" s="13" t="str">
        <f>IF(AV107="","",TEXT(AV107,"dd/mm/yyyy")&amp;" - "&amp;TEXT(AW107,"dd/mm/yyyy"))</f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>IF(B107="","",TEXT(AY107,"00")&amp;"|"&amp;B107&amp;"|"&amp;TEXT(AT107,"yyyymmdd"))</f>
        <v>10|Natcha Chai-in|20260301</v>
      </c>
      <c r="BB107" s="13" t="str">
        <f>IF(B107="","",TEXT(AZ107,"00")&amp;"|"&amp;B107&amp;"|"&amp;TEXT(AV107,"yyyymmdd"))</f>
        <v>04|Natcha Chai-in|20260323</v>
      </c>
      <c r="BC107" s="13">
        <f>IF(OR(AQ107="YES",AQ107="Yes",AQ107="Y",AQ107=1),1,0)</f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>SUM(H108,J108,L108,N108,P108,R108,T108,V108,X108,Z108,AB108,AD108,AF108,AH108,AJ108,AL108,AN108)</f>
        <v>73</v>
      </c>
      <c r="AT108" s="11">
        <f>IF(C108="","",DATE(YEAR(C108),MONTH(C108),1))</f>
        <v>46082</v>
      </c>
      <c r="AU108" s="13" t="str">
        <f>IF(AT108="","",TEXT(AT108,"mmmm yyyy"))</f>
        <v>March 2026</v>
      </c>
      <c r="AV108" s="11">
        <f>IF(C108="","",C108-WEEKDAY(C108,2)+1)</f>
        <v>46104</v>
      </c>
      <c r="AW108" s="11">
        <f>IF(AV108="","",AV108+6)</f>
        <v>46110</v>
      </c>
      <c r="AX108" s="13" t="str">
        <f>IF(AV108="","",TEXT(AV108,"dd/mm/yyyy")&amp;" - "&amp;TEXT(AW108,"dd/mm/yyyy"))</f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>IF(B108="","",TEXT(AY108,"00")&amp;"|"&amp;B108&amp;"|"&amp;TEXT(AT108,"yyyymmdd"))</f>
        <v>08|Sunijtra Siritip|20260301</v>
      </c>
      <c r="BB108" s="13" t="str">
        <f>IF(B108="","",TEXT(AZ108,"00")&amp;"|"&amp;B108&amp;"|"&amp;TEXT(AV108,"yyyymmdd"))</f>
        <v>02|Sunijtra Siritip|20260323</v>
      </c>
      <c r="BC108" s="13">
        <f>IF(OR(AQ108="YES",AQ108="Yes",AQ108="Y",AQ108=1),1,0)</f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>SUM(H109,J109,L109,N109,P109,R109,T109,V109,X109,Z109,AB109,AD109,AF109,AH109,AJ109,AL109,AN109)</f>
        <v>83</v>
      </c>
      <c r="AT109" s="11">
        <f>IF(C109="","",DATE(YEAR(C109),MONTH(C109),1))</f>
        <v>46082</v>
      </c>
      <c r="AU109" s="13" t="str">
        <f>IF(AT109="","",TEXT(AT109,"mmmm yyyy"))</f>
        <v>March 2026</v>
      </c>
      <c r="AV109" s="11">
        <f>IF(C109="","",C109-WEEKDAY(C109,2)+1)</f>
        <v>46104</v>
      </c>
      <c r="AW109" s="11">
        <f>IF(AV109="","",AV109+6)</f>
        <v>46110</v>
      </c>
      <c r="AX109" s="13" t="str">
        <f>IF(AV109="","",TEXT(AV109,"dd/mm/yyyy")&amp;" - "&amp;TEXT(AW109,"dd/mm/yyyy"))</f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>IF(B109="","",TEXT(AY109,"00")&amp;"|"&amp;B109&amp;"|"&amp;TEXT(AT109,"yyyymmdd"))</f>
        <v>09|Sunijtra Siritip|20260301</v>
      </c>
      <c r="BB109" s="13" t="str">
        <f>IF(B109="","",TEXT(AZ109,"00")&amp;"|"&amp;B109&amp;"|"&amp;TEXT(AV109,"yyyymmdd"))</f>
        <v>03|Sunijtra Siritip|20260323</v>
      </c>
      <c r="BC109" s="13">
        <f>IF(OR(AQ109="YES",AQ109="Yes",AQ109="Y",AQ109=1),1,0)</f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>SUM(H110,J110,L110,N110,P110,R110,T110,V110,X110,Z110,AB110,AD110,AF110,AH110,AJ110,AL110,AN110)</f>
        <v>79</v>
      </c>
      <c r="AT110" s="11">
        <f>IF(C110="","",DATE(YEAR(C110),MONTH(C110),1))</f>
        <v>46082</v>
      </c>
      <c r="AU110" s="13" t="str">
        <f>IF(AT110="","",TEXT(AT110,"mmmm yyyy"))</f>
        <v>March 2026</v>
      </c>
      <c r="AV110" s="11">
        <f>IF(C110="","",C110-WEEKDAY(C110,2)+1)</f>
        <v>46104</v>
      </c>
      <c r="AW110" s="11">
        <f>IF(AV110="","",AV110+6)</f>
        <v>46110</v>
      </c>
      <c r="AX110" s="13" t="str">
        <f>IF(AV110="","",TEXT(AV110,"dd/mm/yyyy")&amp;" - "&amp;TEXT(AW110,"dd/mm/yyyy"))</f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>IF(B110="","",TEXT(AY110,"00")&amp;"|"&amp;B110&amp;"|"&amp;TEXT(AT110,"yyyymmdd"))</f>
        <v>09|Wassana Phothong|20260301</v>
      </c>
      <c r="BB110" s="13" t="str">
        <f>IF(B110="","",TEXT(AZ110,"00")&amp;"|"&amp;B110&amp;"|"&amp;TEXT(AV110,"yyyymmdd"))</f>
        <v>04|Wassana Phothong|20260323</v>
      </c>
      <c r="BC110" s="13">
        <f>IF(OR(AQ110="YES",AQ110="Yes",AQ110="Y",AQ110=1),1,0)</f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>SUM(H111,J111,L111,N111,P111,R111,T111,V111,X111,Z111,AB111,AD111,AF111,AH111,AJ111,AL111,AN111)</f>
        <v>96</v>
      </c>
      <c r="AT111" s="11">
        <f>IF(C111="","",DATE(YEAR(C111),MONTH(C111),1))</f>
        <v>46082</v>
      </c>
      <c r="AU111" s="13" t="str">
        <f>IF(AT111="","",TEXT(AT111,"mmmm yyyy"))</f>
        <v>March 2026</v>
      </c>
      <c r="AV111" s="11">
        <f>IF(C111="","",C111-WEEKDAY(C111,2)+1)</f>
        <v>46111</v>
      </c>
      <c r="AW111" s="11">
        <f>IF(AV111="","",AV111+6)</f>
        <v>46117</v>
      </c>
      <c r="AX111" s="13" t="str">
        <f>IF(AV111="","",TEXT(AV111,"dd/mm/yyyy")&amp;" - "&amp;TEXT(AW111,"dd/mm/yyyy"))</f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>IF(B111="","",TEXT(AY111,"00")&amp;"|"&amp;B111&amp;"|"&amp;TEXT(AT111,"yyyymmdd"))</f>
        <v>09|Krivut Vongkampan|20260301</v>
      </c>
      <c r="BB111" s="13" t="str">
        <f>IF(B111="","",TEXT(AZ111,"00")&amp;"|"&amp;B111&amp;"|"&amp;TEXT(AV111,"yyyymmdd"))</f>
        <v>01|Krivut Vongkampan|20260330</v>
      </c>
      <c r="BC111" s="13">
        <f>IF(OR(AQ111="YES",AQ111="Yes",AQ111="Y",AQ111=1),1,0)</f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>SUM(H112,J112,L112,N112,P112,R112,T112,V112,X112,Z112,AB112,AD112,AF112,AH112,AJ112,AL112,AN112)</f>
        <v>70</v>
      </c>
      <c r="AT112" s="11">
        <f>IF(C112="","",DATE(YEAR(C112),MONTH(C112),1))</f>
        <v>46082</v>
      </c>
      <c r="AU112" s="13" t="str">
        <f>IF(AT112="","",TEXT(AT112,"mmmm yyyy"))</f>
        <v>March 2026</v>
      </c>
      <c r="AV112" s="11">
        <f>IF(C112="","",C112-WEEKDAY(C112,2)+1)</f>
        <v>46111</v>
      </c>
      <c r="AW112" s="11">
        <f>IF(AV112="","",AV112+6)</f>
        <v>46117</v>
      </c>
      <c r="AX112" s="13" t="str">
        <f>IF(AV112="","",TEXT(AV112,"dd/mm/yyyy")&amp;" - "&amp;TEXT(AW112,"dd/mm/yyyy"))</f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>IF(B112="","",TEXT(AY112,"00")&amp;"|"&amp;B112&amp;"|"&amp;TEXT(AT112,"yyyymmdd"))</f>
        <v>08|Nattapol Suprom|20260301</v>
      </c>
      <c r="BB112" s="13" t="str">
        <f>IF(B112="","",TEXT(AZ112,"00")&amp;"|"&amp;B112&amp;"|"&amp;TEXT(AV112,"yyyymmdd"))</f>
        <v>01|Nattapol Suprom|20260330</v>
      </c>
      <c r="BC112" s="13">
        <f>IF(OR(AQ112="YES",AQ112="Yes",AQ112="Y",AQ112=1),1,0)</f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>SUM(H113,J113,L113,N113,P113,R113,T113,V113,X113,Z113,AB113,AD113,AF113,AH113,AJ113,AL113,AN113)</f>
        <v>87</v>
      </c>
      <c r="AT113" s="11">
        <f>IF(C113="","",DATE(YEAR(C113),MONTH(C113),1))</f>
        <v>46082</v>
      </c>
      <c r="AU113" s="13" t="str">
        <f>IF(AT113="","",TEXT(AT113,"mmmm yyyy"))</f>
        <v>March 2026</v>
      </c>
      <c r="AV113" s="11">
        <f>IF(C113="","",C113-WEEKDAY(C113,2)+1)</f>
        <v>46111</v>
      </c>
      <c r="AW113" s="11">
        <f>IF(AV113="","",AV113+6)</f>
        <v>46117</v>
      </c>
      <c r="AX113" s="13" t="str">
        <f>IF(AV113="","",TEXT(AV113,"dd/mm/yyyy")&amp;" - "&amp;TEXT(AW113,"dd/mm/yyyy"))</f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>IF(B113="","",TEXT(AY113,"00")&amp;"|"&amp;B113&amp;"|"&amp;TEXT(AT113,"yyyymmdd"))</f>
        <v>10|Sunijtra Siritip|20260301</v>
      </c>
      <c r="BB113" s="13" t="str">
        <f>IF(B113="","",TEXT(AZ113,"00")&amp;"|"&amp;B113&amp;"|"&amp;TEXT(AV113,"yyyymmdd"))</f>
        <v>01|Sunijtra Siritip|20260330</v>
      </c>
      <c r="BC113" s="13">
        <f>IF(OR(AQ113="YES",AQ113="Yes",AQ113="Y",AQ113=1),1,0)</f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>SUM(H114,J114,L114,N114,P114,R114,T114,V114,X114,Z114,AB114,AD114,AF114,AH114,AJ114,AL114,AN114)</f>
        <v>60</v>
      </c>
      <c r="AT114" s="11">
        <f>IF(C114="","",DATE(YEAR(C114),MONTH(C114),1))</f>
        <v>46082</v>
      </c>
      <c r="AU114" s="13" t="str">
        <f>IF(AT114="","",TEXT(AT114,"mmmm yyyy"))</f>
        <v>March 2026</v>
      </c>
      <c r="AV114" s="11">
        <f>IF(C114="","",C114-WEEKDAY(C114,2)+1)</f>
        <v>46111</v>
      </c>
      <c r="AW114" s="11">
        <f>IF(AV114="","",AV114+6)</f>
        <v>46117</v>
      </c>
      <c r="AX114" s="13" t="str">
        <f>IF(AV114="","",TEXT(AV114,"dd/mm/yyyy")&amp;" - "&amp;TEXT(AW114,"dd/mm/yyyy"))</f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>IF(B114="","",TEXT(AY114,"00")&amp;"|"&amp;B114&amp;"|"&amp;TEXT(AT114,"yyyymmdd"))</f>
        <v>10|Wassana Phothong|20260301</v>
      </c>
      <c r="BB114" s="13" t="str">
        <f>IF(B114="","",TEXT(AZ114,"00")&amp;"|"&amp;B114&amp;"|"&amp;TEXT(AV114,"yyyymmdd"))</f>
        <v>01|Wassana Phothong|20260330</v>
      </c>
      <c r="BC114" s="13">
        <f>IF(OR(AQ114="YES",AQ114="Yes",AQ114="Y",AQ114=1),1,0)</f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>SUM(H115,J115,L115,N115,P115,R115,T115,V115,X115,Z115,AB115,AD115,AF115,AH115,AJ115,AL115,AN115)</f>
        <v>85</v>
      </c>
      <c r="AT115" s="11">
        <f>IF(C115="","",DATE(YEAR(C115),MONTH(C115),1))</f>
        <v>46082</v>
      </c>
      <c r="AU115" s="13" t="str">
        <f>IF(AT115="","",TEXT(AT115,"mmmm yyyy"))</f>
        <v>March 2026</v>
      </c>
      <c r="AV115" s="11">
        <f>IF(C115="","",C115-WEEKDAY(C115,2)+1)</f>
        <v>46111</v>
      </c>
      <c r="AW115" s="11">
        <f>IF(AV115="","",AV115+6)</f>
        <v>46117</v>
      </c>
      <c r="AX115" s="13" t="str">
        <f>IF(AV115="","",TEXT(AV115,"dd/mm/yyyy")&amp;" - "&amp;TEXT(AW115,"dd/mm/yyyy"))</f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>IF(B115="","",TEXT(AY115,"00")&amp;"|"&amp;B115&amp;"|"&amp;TEXT(AT115,"yyyymmdd"))</f>
        <v>10|Chatkonnaphat Bhusomya|20260301</v>
      </c>
      <c r="BB115" s="13" t="str">
        <f>IF(B115="","",TEXT(AZ115,"00")&amp;"|"&amp;B115&amp;"|"&amp;TEXT(AV115,"yyyymmdd"))</f>
        <v>01|Chatkonnaphat Bhusomya|20260330</v>
      </c>
      <c r="BC115" s="13">
        <f>IF(OR(AQ115="YES",AQ115="Yes",AQ115="Y",AQ115=1),1,0)</f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>SUM(H116,J116,L116,N116,P116,R116,T116,V116,X116,Z116,AB116,AD116,AF116,AH116,AJ116,AL116,AN116)</f>
        <v>93</v>
      </c>
      <c r="AT116" s="11">
        <f>IF(C116="","",DATE(YEAR(C116),MONTH(C116),1))</f>
        <v>46082</v>
      </c>
      <c r="AU116" s="13" t="str">
        <f>IF(AT116="","",TEXT(AT116,"mmmm yyyy"))</f>
        <v>March 2026</v>
      </c>
      <c r="AV116" s="11">
        <f>IF(C116="","",C116-WEEKDAY(C116,2)+1)</f>
        <v>46111</v>
      </c>
      <c r="AW116" s="11">
        <f>IF(AV116="","",AV116+6)</f>
        <v>46117</v>
      </c>
      <c r="AX116" s="13" t="str">
        <f>IF(AV116="","",TEXT(AV116,"dd/mm/yyyy")&amp;" - "&amp;TEXT(AW116,"dd/mm/yyyy"))</f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>IF(B116="","",TEXT(AY116,"00")&amp;"|"&amp;B116&amp;"|"&amp;TEXT(AT116,"yyyymmdd"))</f>
        <v>10|Jariyawadee Taboodda|20260301</v>
      </c>
      <c r="BB116" s="13" t="str">
        <f>IF(B116="","",TEXT(AZ116,"00")&amp;"|"&amp;B116&amp;"|"&amp;TEXT(AV116,"yyyymmdd"))</f>
        <v>01|Jariyawadee Taboodda|20260330</v>
      </c>
      <c r="BC116" s="13">
        <f>IF(OR(AQ116="YES",AQ116="Yes",AQ116="Y",AQ116=1),1,0)</f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>SUM(H117,J117,L117,N117,P117,R117,T117,V117,X117,Z117,AB117,AD117,AF117,AH117,AJ117,AL117,AN117)</f>
        <v>99</v>
      </c>
      <c r="AT117" s="11">
        <f>IF(C117="","",DATE(YEAR(C117),MONTH(C117),1))</f>
        <v>46082</v>
      </c>
      <c r="AU117" s="13" t="str">
        <f>IF(AT117="","",TEXT(AT117,"mmmm yyyy"))</f>
        <v>March 2026</v>
      </c>
      <c r="AV117" s="11">
        <f>IF(C117="","",C117-WEEKDAY(C117,2)+1)</f>
        <v>46111</v>
      </c>
      <c r="AW117" s="11">
        <f>IF(AV117="","",AV117+6)</f>
        <v>46117</v>
      </c>
      <c r="AX117" s="13" t="str">
        <f>IF(AV117="","",TEXT(AV117,"dd/mm/yyyy")&amp;" - "&amp;TEXT(AW117,"dd/mm/yyyy"))</f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>IF(B117="","",TEXT(AY117,"00")&amp;"|"&amp;B117&amp;"|"&amp;TEXT(AT117,"yyyymmdd"))</f>
        <v>09|Jureeporn Piddum|20260301</v>
      </c>
      <c r="BB117" s="13" t="str">
        <f>IF(B117="","",TEXT(AZ117,"00")&amp;"|"&amp;B117&amp;"|"&amp;TEXT(AV117,"yyyymmdd"))</f>
        <v>01|Jureeporn Piddum|20260330</v>
      </c>
      <c r="BC117" s="13">
        <f>IF(OR(AQ117="YES",AQ117="Yes",AQ117="Y",AQ117=1),1,0)</f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>SUM(H118,J118,L118,N118,P118,R118,T118,V118,X118,Z118,AB118,AD118,AF118,AH118,AJ118,AL118,AN118)</f>
        <v>83</v>
      </c>
      <c r="AT118" s="11">
        <f>IF(C118="","",DATE(YEAR(C118),MONTH(C118),1))</f>
        <v>46082</v>
      </c>
      <c r="AU118" s="13" t="str">
        <f>IF(AT118="","",TEXT(AT118,"mmmm yyyy"))</f>
        <v>March 2026</v>
      </c>
      <c r="AV118" s="11">
        <f>IF(C118="","",C118-WEEKDAY(C118,2)+1)</f>
        <v>46111</v>
      </c>
      <c r="AW118" s="11">
        <f>IF(AV118="","",AV118+6)</f>
        <v>46117</v>
      </c>
      <c r="AX118" s="13" t="str">
        <f>IF(AV118="","",TEXT(AV118,"dd/mm/yyyy")&amp;" - "&amp;TEXT(AW118,"dd/mm/yyyy"))</f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>IF(B118="","",TEXT(AY118,"00")&amp;"|"&amp;B118&amp;"|"&amp;TEXT(AT118,"yyyymmdd"))</f>
        <v>10|Krivut Vongkampan|20260301</v>
      </c>
      <c r="BB118" s="13" t="str">
        <f>IF(B118="","",TEXT(AZ118,"00")&amp;"|"&amp;B118&amp;"|"&amp;TEXT(AV118,"yyyymmdd"))</f>
        <v>02|Krivut Vongkampan|20260330</v>
      </c>
      <c r="BC118" s="13">
        <f>IF(OR(AQ118="YES",AQ118="Yes",AQ118="Y",AQ118=1),1,0)</f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>SUM(H119,J119,L119,N119,P119,R119,T119,V119,X119,Z119,AB119,AD119,AF119,AH119,AJ119,AL119,AN119)</f>
        <v>96</v>
      </c>
      <c r="AT119" s="11">
        <f>IF(C119="","",DATE(YEAR(C119),MONTH(C119),1))</f>
        <v>46082</v>
      </c>
      <c r="AU119" s="13" t="str">
        <f>IF(AT119="","",TEXT(AT119,"mmmm yyyy"))</f>
        <v>March 2026</v>
      </c>
      <c r="AV119" s="11">
        <f>IF(C119="","",C119-WEEKDAY(C119,2)+1)</f>
        <v>46111</v>
      </c>
      <c r="AW119" s="11">
        <f>IF(AV119="","",AV119+6)</f>
        <v>46117</v>
      </c>
      <c r="AX119" s="13" t="str">
        <f>IF(AV119="","",TEXT(AV119,"dd/mm/yyyy")&amp;" - "&amp;TEXT(AW119,"dd/mm/yyyy"))</f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>IF(B119="","",TEXT(AY119,"00")&amp;"|"&amp;B119&amp;"|"&amp;TEXT(AT119,"yyyymmdd"))</f>
        <v>09|Nattapol Suprom|20260301</v>
      </c>
      <c r="BB119" s="13" t="str">
        <f>IF(B119="","",TEXT(AZ119,"00")&amp;"|"&amp;B119&amp;"|"&amp;TEXT(AV119,"yyyymmdd"))</f>
        <v>02|Nattapol Suprom|20260330</v>
      </c>
      <c r="BC119" s="13">
        <f>IF(OR(AQ119="YES",AQ119="Yes",AQ119="Y",AQ119=1),1,0)</f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>SUM(H120,J120,L120,N120,P120,R120,T120,V120,X120,Z120,AB120,AD120,AF120,AH120,AJ120,AL120,AN120)</f>
        <v>96</v>
      </c>
      <c r="AT120" s="11">
        <f>IF(C120="","",DATE(YEAR(C120),MONTH(C120),1))</f>
        <v>46082</v>
      </c>
      <c r="AU120" s="13" t="str">
        <f>IF(AT120="","",TEXT(AT120,"mmmm yyyy"))</f>
        <v>March 2026</v>
      </c>
      <c r="AV120" s="11">
        <f>IF(C120="","",C120-WEEKDAY(C120,2)+1)</f>
        <v>46111</v>
      </c>
      <c r="AW120" s="11">
        <f>IF(AV120="","",AV120+6)</f>
        <v>46117</v>
      </c>
      <c r="AX120" s="13" t="str">
        <f>IF(AV120="","",TEXT(AV120,"dd/mm/yyyy")&amp;" - "&amp;TEXT(AW120,"dd/mm/yyyy"))</f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>IF(B120="","",TEXT(AY120,"00")&amp;"|"&amp;B120&amp;"|"&amp;TEXT(AT120,"yyyymmdd"))</f>
        <v>10|Nattapol Suprom|20260301</v>
      </c>
      <c r="BB120" s="13" t="str">
        <f>IF(B120="","",TEXT(AZ120,"00")&amp;"|"&amp;B120&amp;"|"&amp;TEXT(AV120,"yyyymmdd"))</f>
        <v>03|Nattapol Suprom|20260330</v>
      </c>
      <c r="BC120" s="13">
        <f>IF(OR(AQ120="YES",AQ120="Yes",AQ120="Y",AQ120=1),1,0)</f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>SUM(H121,J121,L121,N121,P121,R121,T121,V121,X121,Z121,AB121,AD121,AF121,AH121,AJ121,AL121,AN121)</f>
        <v>78</v>
      </c>
      <c r="AT121" s="11">
        <f>IF(C121="","",DATE(YEAR(C121),MONTH(C121),1))</f>
        <v>46082</v>
      </c>
      <c r="AU121" s="13" t="str">
        <f>IF(AT121="","",TEXT(AT121,"mmmm yyyy"))</f>
        <v>March 2026</v>
      </c>
      <c r="AV121" s="11">
        <f>IF(C121="","",C121-WEEKDAY(C121,2)+1)</f>
        <v>46111</v>
      </c>
      <c r="AW121" s="11">
        <f>IF(AV121="","",AV121+6)</f>
        <v>46117</v>
      </c>
      <c r="AX121" s="13" t="str">
        <f>IF(AV121="","",TEXT(AV121,"dd/mm/yyyy")&amp;" - "&amp;TEXT(AW121,"dd/mm/yyyy"))</f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>IF(B121="","",TEXT(AY121,"00")&amp;"|"&amp;B121&amp;"|"&amp;TEXT(AT121,"yyyymmdd"))</f>
        <v>10|Jureeporn Piddum|20260301</v>
      </c>
      <c r="BB121" s="13" t="str">
        <f>IF(B121="","",TEXT(AZ121,"00")&amp;"|"&amp;B121&amp;"|"&amp;TEXT(AV121,"yyyymmdd"))</f>
        <v>02|Jureeporn Piddum|20260330</v>
      </c>
      <c r="BC121" s="13">
        <f>IF(OR(AQ121="YES",AQ121="Yes",AQ121="Y",AQ121=1),1,0)</f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>SUM(H122,J122,L122,N122,P122,R122,T122,V122,X122,Z122,AB122,AD122,AF122,AH122,AJ122,AL122,AN122)</f>
        <v>82</v>
      </c>
      <c r="AT122" s="11">
        <f>IF(C122="","",DATE(YEAR(C122),MONTH(C122),1))</f>
        <v>46082</v>
      </c>
      <c r="AU122" s="13" t="str">
        <f>IF(AT122="","",TEXT(AT122,"mmmm yyyy"))</f>
        <v>March 2026</v>
      </c>
      <c r="AV122" s="11">
        <f>IF(C122="","",C122-WEEKDAY(C122,2)+1)</f>
        <v>46111</v>
      </c>
      <c r="AW122" s="11">
        <f>IF(AV122="","",AV122+6)</f>
        <v>46117</v>
      </c>
      <c r="AX122" s="13" t="str">
        <f>IF(AV122="","",TEXT(AV122,"dd/mm/yyyy")&amp;" - "&amp;TEXT(AW122,"dd/mm/yyyy"))</f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>IF(B122="","",TEXT(AY122,"00")&amp;"|"&amp;B122&amp;"|"&amp;TEXT(AT122,"yyyymmdd"))</f>
        <v>10|Supakrit Promkhamnoi|20260301</v>
      </c>
      <c r="BB122" s="13" t="str">
        <f>IF(B122="","",TEXT(AZ122,"00")&amp;"|"&amp;B122&amp;"|"&amp;TEXT(AV122,"yyyymmdd"))</f>
        <v>01|Supakrit Promkhamnoi|20260330</v>
      </c>
      <c r="BC122" s="13">
        <f>IF(OR(AQ122="YES",AQ122="Yes",AQ122="Y",AQ122=1),1,0)</f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>SUM(H123,J123,L123,N123,P123,R123,T123,V123,X123,Z123,AB123,AD123,AF123,AH123,AJ123,AL123,AN123)</f>
        <v>88</v>
      </c>
      <c r="AT123" s="11">
        <f>IF(C123="","",DATE(YEAR(C123),MONTH(C123),1))</f>
        <v>46082</v>
      </c>
      <c r="AU123" s="13" t="str">
        <f>IF(AT123="","",TEXT(AT123,"mmmm yyyy"))</f>
        <v>March 2026</v>
      </c>
      <c r="AV123" s="11">
        <f>IF(C123="","",C123-WEEKDAY(C123,2)+1)</f>
        <v>46111</v>
      </c>
      <c r="AW123" s="11">
        <f>IF(AV123="","",AV123+6)</f>
        <v>46117</v>
      </c>
      <c r="AX123" s="13" t="str">
        <f>IF(AV123="","",TEXT(AV123,"dd/mm/yyyy")&amp;" - "&amp;TEXT(AW123,"dd/mm/yyyy"))</f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>IF(B123="","",TEXT(AY123,"00")&amp;"|"&amp;B123&amp;"|"&amp;TEXT(AT123,"yyyymmdd"))</f>
        <v>09|Suphitcha Keawliam|20260301</v>
      </c>
      <c r="BB123" s="13" t="str">
        <f>IF(B123="","",TEXT(AZ123,"00")&amp;"|"&amp;B123&amp;"|"&amp;TEXT(AV123,"yyyymmdd"))</f>
        <v>01|Suphitcha Keawliam|20260330</v>
      </c>
      <c r="BC123" s="13">
        <f>IF(OR(AQ123="YES",AQ123="Yes",AQ123="Y",AQ123=1),1,0)</f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>SUM(H124,J124,L124,N124,P124,R124,T124,V124,X124,Z124,AB124,AD124,AF124,AH124,AJ124,AL124,AN124)</f>
        <v>72</v>
      </c>
      <c r="AT124" s="11">
        <f>IF(C124="","",DATE(YEAR(C124),MONTH(C124),1))</f>
        <v>46082</v>
      </c>
      <c r="AU124" s="13" t="str">
        <f>IF(AT124="","",TEXT(AT124,"mmmm yyyy"))</f>
        <v>March 2026</v>
      </c>
      <c r="AV124" s="11">
        <f>IF(C124="","",C124-WEEKDAY(C124,2)+1)</f>
        <v>46111</v>
      </c>
      <c r="AW124" s="11">
        <f>IF(AV124="","",AV124+6)</f>
        <v>46117</v>
      </c>
      <c r="AX124" s="13" t="str">
        <f>IF(AV124="","",TEXT(AV124,"dd/mm/yyyy")&amp;" - "&amp;TEXT(AW124,"dd/mm/yyyy"))</f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>IF(B124="","",TEXT(AY124,"00")&amp;"|"&amp;B124&amp;"|"&amp;TEXT(AT124,"yyyymmdd"))</f>
        <v>10|Suphitcha Keawliam|20260301</v>
      </c>
      <c r="BB124" s="13" t="str">
        <f>IF(B124="","",TEXT(AZ124,"00")&amp;"|"&amp;B124&amp;"|"&amp;TEXT(AV124,"yyyymmdd"))</f>
        <v>02|Suphitcha Keawliam|20260330</v>
      </c>
      <c r="BC124" s="13">
        <f>IF(OR(AQ124="YES",AQ124="Yes",AQ124="Y",AQ124=1),1,0)</f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>SUM(H125,J125,L125,N125,P125,R125,T125,V125,X125,Z125,AB125,AD125,AF125,AH125,AJ125,AL125,AN125)</f>
        <v>81</v>
      </c>
      <c r="AT125" s="38">
        <f>IF(C125="","",DATE(YEAR(C125),MONTH(C125),1))</f>
        <v>46113</v>
      </c>
      <c r="AU125" s="40" t="str">
        <f>IF(AT125="","",TEXT(AT125,"mmmm yyyy"))</f>
        <v>April 2026</v>
      </c>
      <c r="AV125" s="38">
        <f>IF(C125="","",C125-WEEKDAY(C125,2)+1)</f>
        <v>46111</v>
      </c>
      <c r="AW125" s="38">
        <f>IF(AV125="","",AV125+6)</f>
        <v>46117</v>
      </c>
      <c r="AX125" s="40" t="str">
        <f>IF(AV125="","",TEXT(AV125,"dd/mm/yyyy")&amp;" - "&amp;TEXT(AW125,"dd/mm/yyyy"))</f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>IF(B125="","",TEXT(AY125,"00")&amp;"|"&amp;B125&amp;"|"&amp;TEXT(AT125,"yyyymmdd"))</f>
        <v>01|Anucha Makundin|20260401</v>
      </c>
      <c r="BB125" s="40" t="str">
        <f>IF(B125="","",TEXT(AZ125,"00")&amp;"|"&amp;B125&amp;"|"&amp;TEXT(AV125,"yyyymmdd"))</f>
        <v>01|Anucha Makundin|20260330</v>
      </c>
      <c r="BC125" s="40">
        <f>IF(OR(AQ125="YES",AQ125="Yes",AQ125="Y",AQ125=1),1,0)</f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>SUM(H126,J126,L126,N126,P126,R126,T126,V126,X126,Z126,AB126,AD126,AF126,AH126,AJ126,AL126,AN126)</f>
        <v>57</v>
      </c>
      <c r="AT126" s="11">
        <f>IF(C126="","",DATE(YEAR(C126),MONTH(C126),1))</f>
        <v>46113</v>
      </c>
      <c r="AU126" s="13" t="str">
        <f>IF(AT126="","",TEXT(AT126,"mmmm yyyy"))</f>
        <v>April 2026</v>
      </c>
      <c r="AV126" s="11">
        <f>IF(C126="","",C126-WEEKDAY(C126,2)+1)</f>
        <v>46111</v>
      </c>
      <c r="AW126" s="11">
        <f>IF(AV126="","",AV126+6)</f>
        <v>46117</v>
      </c>
      <c r="AX126" s="13" t="str">
        <f>IF(AV126="","",TEXT(AV126,"dd/mm/yyyy")&amp;" - "&amp;TEXT(AW126,"dd/mm/yyyy"))</f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>IF(B126="","",TEXT(AY126,"00")&amp;"|"&amp;B126&amp;"|"&amp;TEXT(AT126,"yyyymmdd"))</f>
        <v>02|Anucha Makundin|20260401</v>
      </c>
      <c r="BB126" s="13" t="str">
        <f>IF(B126="","",TEXT(AZ126,"00")&amp;"|"&amp;B126&amp;"|"&amp;TEXT(AV126,"yyyymmdd"))</f>
        <v>02|Anucha Makundin|20260330</v>
      </c>
      <c r="BC126" s="13">
        <f>IF(OR(AQ126="YES",AQ126="Yes",AQ126="Y",AQ126=1),1,0)</f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46119.907322430547</v>
      </c>
      <c r="B127" s="10" t="s">
        <v>123</v>
      </c>
      <c r="C127" s="11">
        <v>46115</v>
      </c>
      <c r="D127" s="12">
        <v>0.88263888888888886</v>
      </c>
      <c r="E127" s="12">
        <v>0.88611111111111107</v>
      </c>
      <c r="F127" s="13" t="s">
        <v>2387</v>
      </c>
      <c r="G127" s="14" t="s">
        <v>2388</v>
      </c>
      <c r="H127" s="13">
        <v>10</v>
      </c>
      <c r="I127" s="15" t="s">
        <v>2389</v>
      </c>
      <c r="J127" s="13">
        <v>10</v>
      </c>
      <c r="K127" s="15" t="s">
        <v>2390</v>
      </c>
      <c r="L127" s="13">
        <v>8</v>
      </c>
      <c r="M127" s="15" t="s">
        <v>2391</v>
      </c>
      <c r="N127" s="13">
        <v>6</v>
      </c>
      <c r="O127" s="19" t="s">
        <v>2392</v>
      </c>
      <c r="P127" s="13">
        <v>6</v>
      </c>
      <c r="Q127" s="20" t="s">
        <v>2393</v>
      </c>
      <c r="R127" s="13">
        <v>4</v>
      </c>
      <c r="S127" s="20" t="s">
        <v>2394</v>
      </c>
      <c r="T127" s="13"/>
      <c r="U127" s="15"/>
      <c r="V127" s="13">
        <v>9</v>
      </c>
      <c r="W127" s="19" t="s">
        <v>2395</v>
      </c>
      <c r="X127" s="13">
        <v>9</v>
      </c>
      <c r="Y127" s="19" t="s">
        <v>2396</v>
      </c>
      <c r="Z127" s="13"/>
      <c r="AA127" s="15"/>
      <c r="AB127" s="13">
        <v>5</v>
      </c>
      <c r="AC127" s="15" t="s">
        <v>2397</v>
      </c>
      <c r="AD127" s="13">
        <v>5</v>
      </c>
      <c r="AE127" s="15" t="s">
        <v>2398</v>
      </c>
      <c r="AF127" s="13">
        <v>10</v>
      </c>
      <c r="AG127" s="15" t="s">
        <v>2399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2400</v>
      </c>
      <c r="AR127" s="13"/>
      <c r="AS127" s="17">
        <f>SUM(H127,J127,L127,N127,P127,R127,T127,V127,X127,Z127,AB127,AD127,AF127,AH127,AJ127,AL127,AN127)</f>
        <v>82</v>
      </c>
      <c r="AT127" s="11">
        <f>IF(C127="","",DATE(YEAR(C127),MONTH(C127),1))</f>
        <v>46113</v>
      </c>
      <c r="AU127" s="13" t="str">
        <f>IF(AT127="","",TEXT(AT127,"mmmm yyyy"))</f>
        <v>April 2026</v>
      </c>
      <c r="AV127" s="11">
        <f>IF(C127="","",C127-WEEKDAY(C127,2)+1)</f>
        <v>46111</v>
      </c>
      <c r="AW127" s="11">
        <f>IF(AV127="","",AV127+6)</f>
        <v>46117</v>
      </c>
      <c r="AX127" s="13" t="str">
        <f>IF(AV127="","",TEXT(AV127,"dd/mm/yyyy")&amp;" - "&amp;TEXT(AW127,"dd/mm/yyyy"))</f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>IF(B127="","",TEXT(AY127,"00")&amp;"|"&amp;B127&amp;"|"&amp;TEXT(AT127,"yyyymmdd"))</f>
        <v>01|Jariyawadee Taboodda|20260401</v>
      </c>
      <c r="BB127" s="13" t="str">
        <f>IF(B127="","",TEXT(AZ127,"00")&amp;"|"&amp;B127&amp;"|"&amp;TEXT(AV127,"yyyymmdd"))</f>
        <v>02|Jariyawadee Taboodda|20260330</v>
      </c>
      <c r="BC127" s="13">
        <f>IF(OR(AQ127="YES",AQ127="Yes",AQ127="Y",AQ127=1),1,0)</f>
        <v>0</v>
      </c>
      <c r="BD127" s="50" t="s">
        <v>2401</v>
      </c>
      <c r="BE127" t="s">
        <v>2402</v>
      </c>
      <c r="BF127" t="s">
        <v>2338</v>
      </c>
    </row>
    <row r="128" spans="1:58" ht="15" customHeight="1">
      <c r="A128" s="9">
        <v>46119.913929594913</v>
      </c>
      <c r="B128" s="10" t="s">
        <v>123</v>
      </c>
      <c r="C128" s="11">
        <v>46115</v>
      </c>
      <c r="D128" s="12">
        <v>0.65138888888888891</v>
      </c>
      <c r="E128" s="12">
        <v>0.65972222222222221</v>
      </c>
      <c r="F128" s="13" t="s">
        <v>2403</v>
      </c>
      <c r="G128" s="14" t="s">
        <v>2404</v>
      </c>
      <c r="H128" s="13">
        <v>10</v>
      </c>
      <c r="I128" s="15" t="s">
        <v>2389</v>
      </c>
      <c r="J128" s="13">
        <v>10</v>
      </c>
      <c r="K128" s="15" t="s">
        <v>2390</v>
      </c>
      <c r="L128" s="13">
        <v>10</v>
      </c>
      <c r="M128" s="15" t="s">
        <v>2405</v>
      </c>
      <c r="N128" s="13">
        <v>9</v>
      </c>
      <c r="O128" s="19" t="s">
        <v>2406</v>
      </c>
      <c r="P128" s="13">
        <v>9</v>
      </c>
      <c r="Q128" s="20" t="s">
        <v>2407</v>
      </c>
      <c r="R128" s="13">
        <v>5</v>
      </c>
      <c r="S128" s="16" t="s">
        <v>2408</v>
      </c>
      <c r="T128" s="13"/>
      <c r="U128" s="15"/>
      <c r="V128" s="13">
        <v>13</v>
      </c>
      <c r="W128" s="19" t="s">
        <v>2409</v>
      </c>
      <c r="X128" s="13">
        <v>10</v>
      </c>
      <c r="Y128" s="15" t="s">
        <v>2410</v>
      </c>
      <c r="Z128" s="13"/>
      <c r="AA128" s="15"/>
      <c r="AB128" s="13">
        <v>5</v>
      </c>
      <c r="AC128" s="15" t="s">
        <v>2411</v>
      </c>
      <c r="AD128" s="13">
        <v>5</v>
      </c>
      <c r="AE128" s="15" t="s">
        <v>2412</v>
      </c>
      <c r="AF128" s="13">
        <v>10</v>
      </c>
      <c r="AG128" s="15" t="s">
        <v>2399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2413</v>
      </c>
      <c r="AR128" s="13"/>
      <c r="AS128" s="17">
        <f>SUM(H128,J128,L128,N128,P128,R128,T128,V128,X128,Z128,AB128,AD128,AF128,AH128,AJ128,AL128,AN128)</f>
        <v>96</v>
      </c>
      <c r="AT128" s="11">
        <f>IF(C128="","",DATE(YEAR(C128),MONTH(C128),1))</f>
        <v>46113</v>
      </c>
      <c r="AU128" s="13" t="str">
        <f>IF(AT128="","",TEXT(AT128,"mmmm yyyy"))</f>
        <v>April 2026</v>
      </c>
      <c r="AV128" s="11">
        <f>IF(C128="","",C128-WEEKDAY(C128,2)+1)</f>
        <v>46111</v>
      </c>
      <c r="AW128" s="11">
        <f>IF(AV128="","",AV128+6)</f>
        <v>46117</v>
      </c>
      <c r="AX128" s="13" t="str">
        <f>IF(AV128="","",TEXT(AV128,"dd/mm/yyyy")&amp;" - "&amp;TEXT(AW128,"dd/mm/yyyy"))</f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>IF(B128="","",TEXT(AY128,"00")&amp;"|"&amp;B128&amp;"|"&amp;TEXT(AT128,"yyyymmdd"))</f>
        <v>02|Jariyawadee Taboodda|20260401</v>
      </c>
      <c r="BB128" s="13" t="str">
        <f>IF(B128="","",TEXT(AZ128,"00")&amp;"|"&amp;B128&amp;"|"&amp;TEXT(AV128,"yyyymmdd"))</f>
        <v>03|Jariyawadee Taboodda|20260330</v>
      </c>
      <c r="BC128" s="13">
        <f>IF(OR(AQ128="YES",AQ128="Yes",AQ128="Y",AQ128=1),1,0)</f>
        <v>0</v>
      </c>
      <c r="BD128" s="50" t="s">
        <v>2414</v>
      </c>
      <c r="BE128" t="s">
        <v>2415</v>
      </c>
      <c r="BF128" t="s">
        <v>2338</v>
      </c>
    </row>
    <row r="129" spans="1:58" ht="15" customHeight="1">
      <c r="A129" s="9">
        <v>46119.938766979169</v>
      </c>
      <c r="B129" s="10" t="s">
        <v>1130</v>
      </c>
      <c r="C129" s="11">
        <v>46115</v>
      </c>
      <c r="D129" s="12">
        <v>0.48472222222222222</v>
      </c>
      <c r="E129" s="12">
        <v>0.48819444444444438</v>
      </c>
      <c r="F129" s="13" t="s">
        <v>2444</v>
      </c>
      <c r="G129" s="14" t="s">
        <v>2445</v>
      </c>
      <c r="H129" s="13">
        <v>10</v>
      </c>
      <c r="I129" s="19" t="s">
        <v>2446</v>
      </c>
      <c r="J129" s="13">
        <v>10</v>
      </c>
      <c r="K129" s="19" t="s">
        <v>2447</v>
      </c>
      <c r="L129" s="13">
        <v>10</v>
      </c>
      <c r="M129" s="19" t="s">
        <v>2447</v>
      </c>
      <c r="N129" s="13">
        <v>9</v>
      </c>
      <c r="O129" s="19" t="s">
        <v>2448</v>
      </c>
      <c r="P129" s="13">
        <v>9</v>
      </c>
      <c r="Q129" s="20" t="s">
        <v>2449</v>
      </c>
      <c r="R129" s="13">
        <v>5</v>
      </c>
      <c r="S129" s="20" t="s">
        <v>2450</v>
      </c>
      <c r="T129" s="13"/>
      <c r="U129" s="15"/>
      <c r="V129" s="13">
        <v>15</v>
      </c>
      <c r="W129" s="19" t="s">
        <v>2451</v>
      </c>
      <c r="X129" s="13">
        <v>10</v>
      </c>
      <c r="Y129" s="19" t="s">
        <v>2452</v>
      </c>
      <c r="Z129" s="13"/>
      <c r="AA129" s="15"/>
      <c r="AB129" s="13">
        <v>5</v>
      </c>
      <c r="AC129" s="19" t="s">
        <v>2453</v>
      </c>
      <c r="AD129" s="13">
        <v>5</v>
      </c>
      <c r="AE129" s="15" t="s">
        <v>2454</v>
      </c>
      <c r="AF129" s="13">
        <v>10</v>
      </c>
      <c r="AG129" s="19" t="s">
        <v>2455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2456</v>
      </c>
      <c r="AR129" s="13"/>
      <c r="AS129" s="17">
        <f>SUM(H129,J129,L129,N129,P129,R129,T129,V129,X129,Z129,AB129,AD129,AF129,AH129,AJ129,AL129,AN129)</f>
        <v>98</v>
      </c>
      <c r="AT129" s="11">
        <f>IF(C129="","",DATE(YEAR(C129),MONTH(C129),1))</f>
        <v>46113</v>
      </c>
      <c r="AU129" s="13" t="str">
        <f>IF(AT129="","",TEXT(AT129,"mmmm yyyy"))</f>
        <v>April 2026</v>
      </c>
      <c r="AV129" s="11">
        <f>IF(C129="","",C129-WEEKDAY(C129,2)+1)</f>
        <v>46111</v>
      </c>
      <c r="AW129" s="11">
        <f>IF(AV129="","",AV129+6)</f>
        <v>46117</v>
      </c>
      <c r="AX129" s="13" t="str">
        <f>IF(AV129="","",TEXT(AV129,"dd/mm/yyyy")&amp;" - "&amp;TEXT(AW129,"dd/mm/yyyy"))</f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3</v>
      </c>
      <c r="BA129" s="13" t="str">
        <f>IF(B129="","",TEXT(AY129,"00")&amp;"|"&amp;B129&amp;"|"&amp;TEXT(AT129,"yyyymmdd"))</f>
        <v>01|Krivut Vongkampan|20260401</v>
      </c>
      <c r="BB129" s="13" t="str">
        <f>IF(B129="","",TEXT(AZ129,"00")&amp;"|"&amp;B129&amp;"|"&amp;TEXT(AV129,"yyyymmdd"))</f>
        <v>03|Krivut Vongkampan|20260330</v>
      </c>
      <c r="BC129" s="13">
        <f>IF(OR(AQ129="YES",AQ129="Yes",AQ129="Y",AQ129=1),1,0)</f>
        <v>0</v>
      </c>
      <c r="BD129" s="50" t="s">
        <v>2457</v>
      </c>
      <c r="BE129" t="s">
        <v>2458</v>
      </c>
      <c r="BF129" t="s">
        <v>2338</v>
      </c>
    </row>
    <row r="130" spans="1:58" ht="15" customHeight="1">
      <c r="A130" s="9">
        <v>46119.943607893518</v>
      </c>
      <c r="B130" s="10" t="s">
        <v>1130</v>
      </c>
      <c r="C130" s="11">
        <v>46115</v>
      </c>
      <c r="D130" s="12">
        <v>0.48749999999999999</v>
      </c>
      <c r="E130" s="12">
        <v>0.49722222222222218</v>
      </c>
      <c r="F130" s="13" t="s">
        <v>2459</v>
      </c>
      <c r="G130" s="14" t="s">
        <v>2460</v>
      </c>
      <c r="H130" s="13">
        <v>10</v>
      </c>
      <c r="I130" s="15" t="s">
        <v>2461</v>
      </c>
      <c r="J130" s="13">
        <v>10</v>
      </c>
      <c r="K130" s="15" t="s">
        <v>2462</v>
      </c>
      <c r="L130" s="13">
        <v>7</v>
      </c>
      <c r="M130" s="15" t="s">
        <v>2463</v>
      </c>
      <c r="N130" s="13">
        <v>10</v>
      </c>
      <c r="O130" s="15" t="s">
        <v>2464</v>
      </c>
      <c r="P130" s="13">
        <v>9</v>
      </c>
      <c r="Q130" s="20" t="s">
        <v>2465</v>
      </c>
      <c r="R130" s="13">
        <v>4</v>
      </c>
      <c r="S130" s="20" t="s">
        <v>2466</v>
      </c>
      <c r="T130" s="13"/>
      <c r="U130" s="15"/>
      <c r="V130" s="13">
        <v>14</v>
      </c>
      <c r="W130" s="19" t="s">
        <v>2467</v>
      </c>
      <c r="X130" s="13">
        <v>9</v>
      </c>
      <c r="Y130" s="19" t="s">
        <v>2468</v>
      </c>
      <c r="Z130" s="13"/>
      <c r="AA130" s="15"/>
      <c r="AB130" s="13">
        <v>5</v>
      </c>
      <c r="AC130" s="15" t="s">
        <v>2469</v>
      </c>
      <c r="AD130" s="13">
        <v>5</v>
      </c>
      <c r="AE130" s="15" t="s">
        <v>2470</v>
      </c>
      <c r="AF130" s="13">
        <v>10</v>
      </c>
      <c r="AG130" s="15" t="s">
        <v>2427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2471</v>
      </c>
      <c r="AR130" s="13"/>
      <c r="AS130" s="17">
        <f>SUM(H130,J130,L130,N130,P130,R130,T130,V130,X130,Z130,AB130,AD130,AF130,AH130,AJ130,AL130,AN130)</f>
        <v>93</v>
      </c>
      <c r="AT130" s="11">
        <f>IF(C130="","",DATE(YEAR(C130),MONTH(C130),1))</f>
        <v>46113</v>
      </c>
      <c r="AU130" s="13" t="str">
        <f>IF(AT130="","",TEXT(AT130,"mmmm yyyy"))</f>
        <v>April 2026</v>
      </c>
      <c r="AV130" s="11">
        <f>IF(C130="","",C130-WEEKDAY(C130,2)+1)</f>
        <v>46111</v>
      </c>
      <c r="AW130" s="11">
        <f>IF(AV130="","",AV130+6)</f>
        <v>46117</v>
      </c>
      <c r="AX130" s="13" t="str">
        <f>IF(AV130="","",TEXT(AV130,"dd/mm/yyyy")&amp;" - "&amp;TEXT(AW130,"dd/mm/yyyy"))</f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4</v>
      </c>
      <c r="BA130" s="13" t="str">
        <f>IF(B130="","",TEXT(AY130,"00")&amp;"|"&amp;B130&amp;"|"&amp;TEXT(AT130,"yyyymmdd"))</f>
        <v>02|Krivut Vongkampan|20260401</v>
      </c>
      <c r="BB130" s="13" t="str">
        <f>IF(B130="","",TEXT(AZ130,"00")&amp;"|"&amp;B130&amp;"|"&amp;TEXT(AV130,"yyyymmdd"))</f>
        <v>04|Krivut Vongkampan|20260330</v>
      </c>
      <c r="BC130" s="13">
        <f>IF(OR(AQ130="YES",AQ130="Yes",AQ130="Y",AQ130=1),1,0)</f>
        <v>0</v>
      </c>
      <c r="BD130" s="50" t="s">
        <v>2472</v>
      </c>
      <c r="BE130" t="s">
        <v>2473</v>
      </c>
      <c r="BF130" t="s">
        <v>2338</v>
      </c>
    </row>
    <row r="131" spans="1:58" ht="15" customHeight="1">
      <c r="A131" s="9">
        <v>46120.439169548612</v>
      </c>
      <c r="B131" s="10" t="s">
        <v>290</v>
      </c>
      <c r="C131" s="11">
        <v>46115</v>
      </c>
      <c r="D131" s="12">
        <v>0.83402777777777781</v>
      </c>
      <c r="E131" s="12">
        <v>0.84375</v>
      </c>
      <c r="F131" s="13" t="s">
        <v>2560</v>
      </c>
      <c r="G131" s="14" t="s">
        <v>2561</v>
      </c>
      <c r="H131" s="13">
        <v>7</v>
      </c>
      <c r="I131" s="19" t="s">
        <v>2562</v>
      </c>
      <c r="J131" s="13">
        <v>10</v>
      </c>
      <c r="K131" s="15" t="s">
        <v>2563</v>
      </c>
      <c r="L131" s="13">
        <v>10</v>
      </c>
      <c r="M131" s="19" t="s">
        <v>2564</v>
      </c>
      <c r="N131" s="13">
        <v>9</v>
      </c>
      <c r="O131" s="19" t="s">
        <v>2565</v>
      </c>
      <c r="P131" s="13">
        <v>9</v>
      </c>
      <c r="Q131" s="20" t="s">
        <v>2566</v>
      </c>
      <c r="R131" s="13">
        <v>4</v>
      </c>
      <c r="S131" s="20" t="s">
        <v>2567</v>
      </c>
      <c r="T131" s="13"/>
      <c r="U131" s="15"/>
      <c r="V131" s="13">
        <v>15</v>
      </c>
      <c r="W131" s="15" t="s">
        <v>2568</v>
      </c>
      <c r="X131" s="13">
        <v>9</v>
      </c>
      <c r="Y131" s="19" t="s">
        <v>2569</v>
      </c>
      <c r="Z131" s="13"/>
      <c r="AA131" s="15"/>
      <c r="AB131" s="13">
        <v>5</v>
      </c>
      <c r="AC131" s="15" t="s">
        <v>2570</v>
      </c>
      <c r="AD131" s="13">
        <v>5</v>
      </c>
      <c r="AE131" s="15" t="s">
        <v>2571</v>
      </c>
      <c r="AF131" s="13">
        <v>10</v>
      </c>
      <c r="AG131" s="15" t="s">
        <v>2572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2573</v>
      </c>
      <c r="AR131" s="13"/>
      <c r="AS131" s="17">
        <f>SUM(H131,J131,L131,N131,P131,R131,T131,V131,X131,Z131,AB131,AD131,AF131,AH131,AJ131,AL131,AN131)</f>
        <v>93</v>
      </c>
      <c r="AT131" s="11">
        <f>IF(C131="","",DATE(YEAR(C131),MONTH(C131),1))</f>
        <v>46113</v>
      </c>
      <c r="AU131" s="13" t="str">
        <f>IF(AT131="","",TEXT(AT131,"mmmm yyyy"))</f>
        <v>April 2026</v>
      </c>
      <c r="AV131" s="11">
        <f>IF(C131="","",C131-WEEKDAY(C131,2)+1)</f>
        <v>46111</v>
      </c>
      <c r="AW131" s="11">
        <f>IF(AV131="","",AV131+6)</f>
        <v>46117</v>
      </c>
      <c r="AX131" s="13" t="str">
        <f>IF(AV131="","",TEXT(AV131,"dd/mm/yyyy")&amp;" - "&amp;TEXT(AW131,"dd/mm/yyyy"))</f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>IF(B131="","",TEXT(AY131,"00")&amp;"|"&amp;B131&amp;"|"&amp;TEXT(AT131,"yyyymmdd"))</f>
        <v>01|Suphitcha Keawliam|20260401</v>
      </c>
      <c r="BB131" s="13" t="str">
        <f>IF(B131="","",TEXT(AZ131,"00")&amp;"|"&amp;B131&amp;"|"&amp;TEXT(AV131,"yyyymmdd"))</f>
        <v>03|Suphitcha Keawliam|20260330</v>
      </c>
      <c r="BC131" s="13">
        <f>IF(OR(AQ131="YES",AQ131="Yes",AQ131="Y",AQ131=1),1,0)</f>
        <v>0</v>
      </c>
      <c r="BD131" s="50" t="s">
        <v>2574</v>
      </c>
      <c r="BE131" t="s">
        <v>2575</v>
      </c>
      <c r="BF131" t="s">
        <v>2338</v>
      </c>
    </row>
    <row r="132" spans="1:58" ht="15" customHeight="1">
      <c r="A132" s="9">
        <v>46119.892674537034</v>
      </c>
      <c r="B132" s="10" t="s">
        <v>59</v>
      </c>
      <c r="C132" s="11">
        <v>46116</v>
      </c>
      <c r="D132" s="12">
        <v>0.85902777777777772</v>
      </c>
      <c r="E132" s="12">
        <v>0.86319444444444449</v>
      </c>
      <c r="F132" s="13" t="s">
        <v>2355</v>
      </c>
      <c r="G132" s="14" t="s">
        <v>2356</v>
      </c>
      <c r="H132" s="13">
        <v>10</v>
      </c>
      <c r="I132" s="15" t="s">
        <v>2357</v>
      </c>
      <c r="J132" s="13">
        <v>10</v>
      </c>
      <c r="K132" s="15" t="s">
        <v>2358</v>
      </c>
      <c r="L132" s="13">
        <v>10</v>
      </c>
      <c r="M132" s="15" t="s">
        <v>2359</v>
      </c>
      <c r="N132" s="13">
        <v>10</v>
      </c>
      <c r="O132" s="15" t="s">
        <v>2360</v>
      </c>
      <c r="P132" s="13">
        <v>9</v>
      </c>
      <c r="Q132" s="20" t="s">
        <v>2361</v>
      </c>
      <c r="R132" s="13">
        <v>4</v>
      </c>
      <c r="S132" s="20" t="s">
        <v>2362</v>
      </c>
      <c r="T132" s="13"/>
      <c r="U132" s="15"/>
      <c r="V132" s="13">
        <v>14</v>
      </c>
      <c r="W132" s="19" t="s">
        <v>2363</v>
      </c>
      <c r="X132" s="13">
        <v>9</v>
      </c>
      <c r="Y132" s="19" t="s">
        <v>2364</v>
      </c>
      <c r="Z132" s="13"/>
      <c r="AA132" s="15"/>
      <c r="AB132" s="13">
        <v>4</v>
      </c>
      <c r="AC132" s="19" t="s">
        <v>2365</v>
      </c>
      <c r="AD132" s="13">
        <v>5</v>
      </c>
      <c r="AE132" s="15" t="s">
        <v>2366</v>
      </c>
      <c r="AF132" s="13">
        <v>10</v>
      </c>
      <c r="AG132" s="15" t="s">
        <v>2367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2368</v>
      </c>
      <c r="AR132" s="13"/>
      <c r="AS132" s="17">
        <f>SUM(H132,J132,L132,N132,P132,R132,T132,V132,X132,Z132,AB132,AD132,AF132,AH132,AJ132,AL132,AN132)</f>
        <v>95</v>
      </c>
      <c r="AT132" s="11">
        <f>IF(C132="","",DATE(YEAR(C132),MONTH(C132),1))</f>
        <v>46113</v>
      </c>
      <c r="AU132" s="13" t="str">
        <f>IF(AT132="","",TEXT(AT132,"mmmm yyyy"))</f>
        <v>April 2026</v>
      </c>
      <c r="AV132" s="11">
        <f>IF(C132="","",C132-WEEKDAY(C132,2)+1)</f>
        <v>46111</v>
      </c>
      <c r="AW132" s="11">
        <f>IF(AV132="","",AV132+6)</f>
        <v>46117</v>
      </c>
      <c r="AX132" s="13" t="str">
        <f>IF(AV132="","",TEXT(AV132,"dd/mm/yyyy")&amp;" - "&amp;TEXT(AW132,"dd/mm/yyyy"))</f>
        <v>30/03/2026 - 05/04/2026</v>
      </c>
      <c r="AY132" s="13">
        <f>IF(B132="","",COUNTIFS($B$5:B132,B132,$AT$5:AT132,AT132))</f>
        <v>1</v>
      </c>
      <c r="AZ132" s="13">
        <f>IF(B132="","",COUNTIFS($B$5:B132,B132,$AV$5:AV132,AV132))</f>
        <v>2</v>
      </c>
      <c r="BA132" s="13" t="str">
        <f>IF(B132="","",TEXT(AY132,"00")&amp;"|"&amp;B132&amp;"|"&amp;TEXT(AT132,"yyyymmdd"))</f>
        <v>01|Chatkonnaphat Bhusomya|20260401</v>
      </c>
      <c r="BB132" s="13" t="str">
        <f>IF(B132="","",TEXT(AZ132,"00")&amp;"|"&amp;B132&amp;"|"&amp;TEXT(AV132,"yyyymmdd"))</f>
        <v>02|Chatkonnaphat Bhusomya|20260330</v>
      </c>
      <c r="BC132" s="13">
        <f>IF(OR(AQ132="YES",AQ132="Yes",AQ132="Y",AQ132=1),1,0)</f>
        <v>0</v>
      </c>
      <c r="BD132" s="50" t="s">
        <v>2369</v>
      </c>
      <c r="BE132" t="s">
        <v>2370</v>
      </c>
      <c r="BF132" t="s">
        <v>2338</v>
      </c>
    </row>
    <row r="133" spans="1:58" ht="15" customHeight="1">
      <c r="A133" s="9">
        <v>46119.898460636578</v>
      </c>
      <c r="B133" s="10" t="s">
        <v>59</v>
      </c>
      <c r="C133" s="11">
        <v>46116</v>
      </c>
      <c r="D133" s="12">
        <v>0.8354166666666667</v>
      </c>
      <c r="E133" s="12">
        <v>0.83819444444444446</v>
      </c>
      <c r="F133" s="13" t="s">
        <v>2371</v>
      </c>
      <c r="G133" s="14" t="s">
        <v>2372</v>
      </c>
      <c r="H133" s="13">
        <v>10</v>
      </c>
      <c r="I133" s="15" t="s">
        <v>2373</v>
      </c>
      <c r="J133" s="13">
        <v>10</v>
      </c>
      <c r="K133" s="15" t="s">
        <v>2374</v>
      </c>
      <c r="L133" s="13">
        <v>8</v>
      </c>
      <c r="M133" s="15" t="s">
        <v>2375</v>
      </c>
      <c r="N133" s="13">
        <v>10</v>
      </c>
      <c r="O133" s="15" t="s">
        <v>2376</v>
      </c>
      <c r="P133" s="13">
        <v>9</v>
      </c>
      <c r="Q133" s="20" t="s">
        <v>2377</v>
      </c>
      <c r="R133" s="13">
        <v>5</v>
      </c>
      <c r="S133" s="16" t="s">
        <v>2378</v>
      </c>
      <c r="T133" s="13"/>
      <c r="U133" s="15"/>
      <c r="V133" s="13">
        <v>14</v>
      </c>
      <c r="W133" s="19" t="s">
        <v>2379</v>
      </c>
      <c r="X133" s="13">
        <v>10</v>
      </c>
      <c r="Y133" s="15" t="s">
        <v>2380</v>
      </c>
      <c r="Z133" s="13"/>
      <c r="AA133" s="15"/>
      <c r="AB133" s="13">
        <v>5</v>
      </c>
      <c r="AC133" s="15" t="s">
        <v>2381</v>
      </c>
      <c r="AD133" s="13">
        <v>5</v>
      </c>
      <c r="AE133" s="15" t="s">
        <v>2382</v>
      </c>
      <c r="AF133" s="13">
        <v>10</v>
      </c>
      <c r="AG133" s="15" t="s">
        <v>2383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2384</v>
      </c>
      <c r="AR133" s="13"/>
      <c r="AS133" s="17">
        <f>SUM(H133,J133,L133,N133,P133,R133,T133,V133,X133,Z133,AB133,AD133,AF133,AH133,AJ133,AL133,AN133)</f>
        <v>96</v>
      </c>
      <c r="AT133" s="11">
        <f>IF(C133="","",DATE(YEAR(C133),MONTH(C133),1))</f>
        <v>46113</v>
      </c>
      <c r="AU133" s="13" t="str">
        <f>IF(AT133="","",TEXT(AT133,"mmmm yyyy"))</f>
        <v>April 2026</v>
      </c>
      <c r="AV133" s="11">
        <f>IF(C133="","",C133-WEEKDAY(C133,2)+1)</f>
        <v>46111</v>
      </c>
      <c r="AW133" s="11">
        <f>IF(AV133="","",AV133+6)</f>
        <v>46117</v>
      </c>
      <c r="AX133" s="13" t="str">
        <f>IF(AV133="","",TEXT(AV133,"dd/mm/yyyy")&amp;" - "&amp;TEXT(AW133,"dd/mm/yyyy"))</f>
        <v>30/03/2026 - 05/04/2026</v>
      </c>
      <c r="AY133" s="13">
        <f>IF(B133="","",COUNTIFS($B$5:B133,B133,$AT$5:AT133,AT133))</f>
        <v>2</v>
      </c>
      <c r="AZ133" s="13">
        <f>IF(B133="","",COUNTIFS($B$5:B133,B133,$AV$5:AV133,AV133))</f>
        <v>3</v>
      </c>
      <c r="BA133" s="13" t="str">
        <f>IF(B133="","",TEXT(AY133,"00")&amp;"|"&amp;B133&amp;"|"&amp;TEXT(AT133,"yyyymmdd"))</f>
        <v>02|Chatkonnaphat Bhusomya|20260401</v>
      </c>
      <c r="BB133" s="13" t="str">
        <f>IF(B133="","",TEXT(AZ133,"00")&amp;"|"&amp;B133&amp;"|"&amp;TEXT(AV133,"yyyymmdd"))</f>
        <v>03|Chatkonnaphat Bhusomya|20260330</v>
      </c>
      <c r="BC133" s="13">
        <f>IF(OR(AQ133="YES",AQ133="Yes",AQ133="Y",AQ133=1),1,0)</f>
        <v>0</v>
      </c>
      <c r="BD133" s="50" t="s">
        <v>2385</v>
      </c>
      <c r="BE133" t="s">
        <v>2386</v>
      </c>
      <c r="BF133" t="s">
        <v>2338</v>
      </c>
    </row>
    <row r="134" spans="1:58" ht="15" customHeight="1">
      <c r="A134" s="9">
        <v>46119.922994155088</v>
      </c>
      <c r="B134" s="10" t="s">
        <v>81</v>
      </c>
      <c r="C134" s="11">
        <v>46116</v>
      </c>
      <c r="D134" s="12">
        <v>0.69930555555555551</v>
      </c>
      <c r="E134" s="12">
        <v>0.73888888888888893</v>
      </c>
      <c r="F134" s="13" t="s">
        <v>2416</v>
      </c>
      <c r="G134" s="14" t="s">
        <v>2417</v>
      </c>
      <c r="H134" s="13">
        <v>10</v>
      </c>
      <c r="I134" s="15" t="s">
        <v>2389</v>
      </c>
      <c r="J134" s="13">
        <v>10</v>
      </c>
      <c r="K134" s="15" t="s">
        <v>2418</v>
      </c>
      <c r="L134" s="13">
        <v>10</v>
      </c>
      <c r="M134" s="15" t="s">
        <v>2419</v>
      </c>
      <c r="N134" s="13">
        <v>8</v>
      </c>
      <c r="O134" s="19" t="s">
        <v>2420</v>
      </c>
      <c r="P134" s="13">
        <v>8</v>
      </c>
      <c r="Q134" s="20" t="s">
        <v>2421</v>
      </c>
      <c r="R134" s="13">
        <v>4</v>
      </c>
      <c r="S134" s="20" t="s">
        <v>2422</v>
      </c>
      <c r="T134" s="13"/>
      <c r="U134" s="15"/>
      <c r="V134" s="13">
        <v>12</v>
      </c>
      <c r="W134" s="19" t="s">
        <v>2423</v>
      </c>
      <c r="X134" s="13">
        <v>9</v>
      </c>
      <c r="Y134" s="19" t="s">
        <v>2424</v>
      </c>
      <c r="Z134" s="13"/>
      <c r="AA134" s="15"/>
      <c r="AB134" s="13">
        <v>5</v>
      </c>
      <c r="AC134" s="15" t="s">
        <v>2425</v>
      </c>
      <c r="AD134" s="13">
        <v>5</v>
      </c>
      <c r="AE134" s="15" t="s">
        <v>2426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2428</v>
      </c>
      <c r="AR134" s="13"/>
      <c r="AS134" s="17">
        <f>SUM(H134,J134,L134,N134,P134,R134,T134,V134,X134,Z134,AB134,AD134,AF134,AH134,AJ134,AL134,AN134)</f>
        <v>91</v>
      </c>
      <c r="AT134" s="11">
        <f>IF(C134="","",DATE(YEAR(C134),MONTH(C134),1))</f>
        <v>46113</v>
      </c>
      <c r="AU134" s="13" t="str">
        <f>IF(AT134="","",TEXT(AT134,"mmmm yyyy"))</f>
        <v>April 2026</v>
      </c>
      <c r="AV134" s="11">
        <f>IF(C134="","",C134-WEEKDAY(C134,2)+1)</f>
        <v>46111</v>
      </c>
      <c r="AW134" s="11">
        <f>IF(AV134="","",AV134+6)</f>
        <v>46117</v>
      </c>
      <c r="AX134" s="13" t="str">
        <f>IF(AV134="","",TEXT(AV134,"dd/mm/yyyy")&amp;" - "&amp;TEXT(AW134,"dd/mm/yyyy"))</f>
        <v>30/03/2026 - 05/04/2026</v>
      </c>
      <c r="AY134" s="13">
        <f>IF(B134="","",COUNTIFS($B$5:B134,B134,$AT$5:AT134,AT134))</f>
        <v>1</v>
      </c>
      <c r="AZ134" s="13">
        <f>IF(B134="","",COUNTIFS($B$5:B134,B134,$AV$5:AV134,AV134))</f>
        <v>3</v>
      </c>
      <c r="BA134" s="13" t="str">
        <f>IF(B134="","",TEXT(AY134,"00")&amp;"|"&amp;B134&amp;"|"&amp;TEXT(AT134,"yyyymmdd"))</f>
        <v>01|Jureeporn Piddum|20260401</v>
      </c>
      <c r="BB134" s="13" t="str">
        <f>IF(B134="","",TEXT(AZ134,"00")&amp;"|"&amp;B134&amp;"|"&amp;TEXT(AV134,"yyyymmdd"))</f>
        <v>03|Jureeporn Piddum|20260330</v>
      </c>
      <c r="BC134" s="13">
        <f>IF(OR(AQ134="YES",AQ134="Yes",AQ134="Y",AQ134=1),1,0)</f>
        <v>0</v>
      </c>
      <c r="BD134" s="50" t="s">
        <v>2429</v>
      </c>
      <c r="BE134" t="s">
        <v>2430</v>
      </c>
      <c r="BF134" t="s">
        <v>2338</v>
      </c>
    </row>
    <row r="135" spans="1:58" ht="15" customHeight="1">
      <c r="A135" s="9">
        <v>46120.480376631953</v>
      </c>
      <c r="B135" s="10" t="s">
        <v>290</v>
      </c>
      <c r="C135" s="11">
        <v>46116</v>
      </c>
      <c r="D135" s="12">
        <v>0.79166666666666663</v>
      </c>
      <c r="E135" s="12">
        <v>0.80138888888888893</v>
      </c>
      <c r="F135" s="13" t="s">
        <v>2576</v>
      </c>
      <c r="G135" s="14" t="s">
        <v>2577</v>
      </c>
      <c r="H135" s="13">
        <v>10</v>
      </c>
      <c r="I135" s="15" t="s">
        <v>2578</v>
      </c>
      <c r="J135" s="13">
        <v>10</v>
      </c>
      <c r="K135" s="15" t="s">
        <v>2579</v>
      </c>
      <c r="L135" s="13">
        <v>10</v>
      </c>
      <c r="M135" s="15" t="s">
        <v>2580</v>
      </c>
      <c r="N135" s="13">
        <v>9</v>
      </c>
      <c r="O135" s="19" t="s">
        <v>2581</v>
      </c>
      <c r="P135" s="13">
        <v>9</v>
      </c>
      <c r="Q135" s="20" t="s">
        <v>2582</v>
      </c>
      <c r="R135" s="13">
        <v>5</v>
      </c>
      <c r="S135" s="20" t="s">
        <v>2583</v>
      </c>
      <c r="T135" s="13"/>
      <c r="U135" s="15"/>
      <c r="V135" s="13">
        <v>14</v>
      </c>
      <c r="W135" s="19" t="s">
        <v>2584</v>
      </c>
      <c r="X135" s="13">
        <v>10</v>
      </c>
      <c r="Y135" s="15" t="s">
        <v>2585</v>
      </c>
      <c r="Z135" s="13"/>
      <c r="AA135" s="15"/>
      <c r="AB135" s="13">
        <v>5</v>
      </c>
      <c r="AC135" s="15" t="s">
        <v>2586</v>
      </c>
      <c r="AD135" s="13">
        <v>5</v>
      </c>
      <c r="AE135" s="15" t="s">
        <v>2587</v>
      </c>
      <c r="AF135" s="13">
        <v>10</v>
      </c>
      <c r="AG135" s="15" t="s">
        <v>2588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2589</v>
      </c>
      <c r="AR135" s="13"/>
      <c r="AS135" s="17">
        <f>SUM(H135,J135,L135,N135,P135,R135,T135,V135,X135,Z135,AB135,AD135,AF135,AH135,AJ135,AL135,AN135)</f>
        <v>97</v>
      </c>
      <c r="AT135" s="11">
        <f>IF(C135="","",DATE(YEAR(C135),MONTH(C135),1))</f>
        <v>46113</v>
      </c>
      <c r="AU135" s="13" t="str">
        <f>IF(AT135="","",TEXT(AT135,"mmmm yyyy"))</f>
        <v>April 2026</v>
      </c>
      <c r="AV135" s="11">
        <f>IF(C135="","",C135-WEEKDAY(C135,2)+1)</f>
        <v>46111</v>
      </c>
      <c r="AW135" s="11">
        <f>IF(AV135="","",AV135+6)</f>
        <v>46117</v>
      </c>
      <c r="AX135" s="13" t="str">
        <f>IF(AV135="","",TEXT(AV135,"dd/mm/yyyy")&amp;" - "&amp;TEXT(AW135,"dd/mm/yyyy"))</f>
        <v>30/03/2026 - 05/04/2026</v>
      </c>
      <c r="AY135" s="13">
        <f>IF(B135="","",COUNTIFS($B$5:B135,B135,$AT$5:AT135,AT135))</f>
        <v>2</v>
      </c>
      <c r="AZ135" s="13">
        <f>IF(B135="","",COUNTIFS($B$5:B135,B135,$AV$5:AV135,AV135))</f>
        <v>4</v>
      </c>
      <c r="BA135" s="13" t="str">
        <f>IF(B135="","",TEXT(AY135,"00")&amp;"|"&amp;B135&amp;"|"&amp;TEXT(AT135,"yyyymmdd"))</f>
        <v>02|Suphitcha Keawliam|20260401</v>
      </c>
      <c r="BB135" s="13" t="str">
        <f>IF(B135="","",TEXT(AZ135,"00")&amp;"|"&amp;B135&amp;"|"&amp;TEXT(AV135,"yyyymmdd"))</f>
        <v>04|Suphitcha Keawliam|20260330</v>
      </c>
      <c r="BC135" s="13">
        <f>IF(OR(AQ135="YES",AQ135="Yes",AQ135="Y",AQ135=1),1,0)</f>
        <v>0</v>
      </c>
      <c r="BD135" s="50" t="s">
        <v>2590</v>
      </c>
      <c r="BE135" t="s">
        <v>2591</v>
      </c>
      <c r="BF135" t="s">
        <v>2338</v>
      </c>
    </row>
    <row r="136" spans="1:58" ht="15" customHeight="1">
      <c r="A136" s="9">
        <v>46119.9294041088</v>
      </c>
      <c r="B136" s="10" t="s">
        <v>81</v>
      </c>
      <c r="C136" s="11">
        <v>46117</v>
      </c>
      <c r="D136" s="12">
        <v>0.52569444444444446</v>
      </c>
      <c r="E136" s="12">
        <v>0.52916666666666667</v>
      </c>
      <c r="F136" s="13" t="s">
        <v>2431</v>
      </c>
      <c r="G136" s="14" t="s">
        <v>2432</v>
      </c>
      <c r="H136" s="13">
        <v>10</v>
      </c>
      <c r="I136" s="15" t="s">
        <v>2389</v>
      </c>
      <c r="J136" s="13">
        <v>10</v>
      </c>
      <c r="K136" s="15" t="s">
        <v>2390</v>
      </c>
      <c r="L136" s="13">
        <v>10</v>
      </c>
      <c r="M136" s="15" t="s">
        <v>2433</v>
      </c>
      <c r="N136" s="13">
        <v>10</v>
      </c>
      <c r="O136" s="15" t="s">
        <v>2434</v>
      </c>
      <c r="P136" s="13">
        <v>9</v>
      </c>
      <c r="Q136" s="20" t="s">
        <v>2435</v>
      </c>
      <c r="R136" s="13">
        <v>5</v>
      </c>
      <c r="S136" s="20" t="s">
        <v>2436</v>
      </c>
      <c r="T136" s="13"/>
      <c r="U136" s="15"/>
      <c r="V136" s="13">
        <v>13</v>
      </c>
      <c r="W136" s="19" t="s">
        <v>2437</v>
      </c>
      <c r="X136" s="13">
        <v>10</v>
      </c>
      <c r="Y136" s="15" t="s">
        <v>2438</v>
      </c>
      <c r="Z136" s="13"/>
      <c r="AA136" s="15"/>
      <c r="AB136" s="13">
        <v>5</v>
      </c>
      <c r="AC136" s="15" t="s">
        <v>2439</v>
      </c>
      <c r="AD136" s="13">
        <v>5</v>
      </c>
      <c r="AE136" s="15" t="s">
        <v>2440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2441</v>
      </c>
      <c r="AR136" s="13"/>
      <c r="AS136" s="17">
        <f>SUM(H136,J136,L136,N136,P136,R136,T136,V136,X136,Z136,AB136,AD136,AF136,AH136,AJ136,AL136,AN136)</f>
        <v>97</v>
      </c>
      <c r="AT136" s="11">
        <f>IF(C136="","",DATE(YEAR(C136),MONTH(C136),1))</f>
        <v>46113</v>
      </c>
      <c r="AU136" s="13" t="str">
        <f>IF(AT136="","",TEXT(AT136,"mmmm yyyy"))</f>
        <v>April 2026</v>
      </c>
      <c r="AV136" s="11">
        <f>IF(C136="","",C136-WEEKDAY(C136,2)+1)</f>
        <v>46111</v>
      </c>
      <c r="AW136" s="11">
        <f>IF(AV136="","",AV136+6)</f>
        <v>46117</v>
      </c>
      <c r="AX136" s="13" t="str">
        <f>IF(AV136="","",TEXT(AV136,"dd/mm/yyyy")&amp;" - "&amp;TEXT(AW136,"dd/mm/yyyy"))</f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4</v>
      </c>
      <c r="BA136" s="13" t="str">
        <f>IF(B136="","",TEXT(AY136,"00")&amp;"|"&amp;B136&amp;"|"&amp;TEXT(AT136,"yyyymmdd"))</f>
        <v>02|Jureeporn Piddum|20260401</v>
      </c>
      <c r="BB136" s="13" t="str">
        <f>IF(B136="","",TEXT(AZ136,"00")&amp;"|"&amp;B136&amp;"|"&amp;TEXT(AV136,"yyyymmdd"))</f>
        <v>04|Jureeporn Piddum|20260330</v>
      </c>
      <c r="BC136" s="13">
        <f>IF(OR(AQ136="YES",AQ136="Yes",AQ136="Y",AQ136=1),1,0)</f>
        <v>0</v>
      </c>
      <c r="BD136" s="50" t="s">
        <v>2442</v>
      </c>
      <c r="BE136" t="s">
        <v>2443</v>
      </c>
      <c r="BF136" t="s">
        <v>2338</v>
      </c>
    </row>
    <row r="137" spans="1:58" ht="15" customHeight="1">
      <c r="A137" s="9">
        <v>46119.991933888887</v>
      </c>
      <c r="B137" s="10" t="s">
        <v>385</v>
      </c>
      <c r="C137" s="11">
        <v>46117</v>
      </c>
      <c r="D137" s="12">
        <v>0.70208333333333328</v>
      </c>
      <c r="E137" s="12">
        <v>0.70763888888888893</v>
      </c>
      <c r="F137" s="13" t="s">
        <v>2474</v>
      </c>
      <c r="G137" s="14" t="s">
        <v>1585</v>
      </c>
      <c r="H137" s="13">
        <v>10</v>
      </c>
      <c r="I137" s="15" t="s">
        <v>2475</v>
      </c>
      <c r="J137" s="13">
        <v>10</v>
      </c>
      <c r="K137" s="15" t="s">
        <v>2476</v>
      </c>
      <c r="L137" s="13">
        <v>10</v>
      </c>
      <c r="M137" s="15" t="s">
        <v>2477</v>
      </c>
      <c r="N137" s="13">
        <v>8</v>
      </c>
      <c r="O137" s="19" t="s">
        <v>2478</v>
      </c>
      <c r="P137" s="13">
        <v>9</v>
      </c>
      <c r="Q137" s="20" t="s">
        <v>2479</v>
      </c>
      <c r="R137" s="13">
        <v>4</v>
      </c>
      <c r="S137" s="20" t="s">
        <v>2480</v>
      </c>
      <c r="T137" s="13"/>
      <c r="U137" s="15"/>
      <c r="V137" s="13">
        <v>14</v>
      </c>
      <c r="W137" s="19" t="s">
        <v>2481</v>
      </c>
      <c r="X137" s="13">
        <v>9</v>
      </c>
      <c r="Y137" s="19" t="s">
        <v>2482</v>
      </c>
      <c r="Z137" s="13"/>
      <c r="AA137" s="15"/>
      <c r="AB137" s="13">
        <v>4</v>
      </c>
      <c r="AC137" s="19" t="s">
        <v>2483</v>
      </c>
      <c r="AD137" s="13">
        <v>4</v>
      </c>
      <c r="AE137" s="19" t="s">
        <v>2484</v>
      </c>
      <c r="AF137" s="13">
        <v>10</v>
      </c>
      <c r="AG137" s="15" t="s">
        <v>2427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557</v>
      </c>
      <c r="AR137" s="13"/>
      <c r="AS137" s="17">
        <f>SUM(H137,J137,L137,N137,P137,R137,T137,V137,X137,Z137,AB137,AD137,AF137,AH137,AJ137,AL137,AN137)</f>
        <v>92</v>
      </c>
      <c r="AT137" s="11">
        <f>IF(C137="","",DATE(YEAR(C137),MONTH(C137),1))</f>
        <v>46113</v>
      </c>
      <c r="AU137" s="13" t="str">
        <f>IF(AT137="","",TEXT(AT137,"mmmm yyyy"))</f>
        <v>April 2026</v>
      </c>
      <c r="AV137" s="11">
        <f>IF(C137="","",C137-WEEKDAY(C137,2)+1)</f>
        <v>46111</v>
      </c>
      <c r="AW137" s="11">
        <f>IF(AV137="","",AV137+6)</f>
        <v>46117</v>
      </c>
      <c r="AX137" s="13" t="str">
        <f>IF(AV137="","",TEXT(AV137,"dd/mm/yyyy")&amp;" - "&amp;TEXT(AW137,"dd/mm/yyyy"))</f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1</v>
      </c>
      <c r="BA137" s="13" t="str">
        <f>IF(B137="","",TEXT(AY137,"00")&amp;"|"&amp;B137&amp;"|"&amp;TEXT(AT137,"yyyymmdd"))</f>
        <v>01|Natcha Chai-in|20260401</v>
      </c>
      <c r="BB137" s="13" t="str">
        <f>IF(B137="","",TEXT(AZ137,"00")&amp;"|"&amp;B137&amp;"|"&amp;TEXT(AV137,"yyyymmdd"))</f>
        <v>01|Natcha Chai-in|20260330</v>
      </c>
      <c r="BC137" s="13">
        <f>IF(OR(AQ137="YES",AQ137="Yes",AQ137="Y",AQ137=1),1,0)</f>
        <v>0</v>
      </c>
      <c r="BD137" s="50" t="s">
        <v>2485</v>
      </c>
      <c r="BE137" t="s">
        <v>2486</v>
      </c>
      <c r="BF137" t="s">
        <v>2338</v>
      </c>
    </row>
    <row r="138" spans="1:58" ht="15" customHeight="1">
      <c r="A138" s="9">
        <v>46120.389303738433</v>
      </c>
      <c r="B138" s="10" t="s">
        <v>385</v>
      </c>
      <c r="C138" s="11">
        <v>46117</v>
      </c>
      <c r="D138" s="12">
        <v>0.6069444444444444</v>
      </c>
      <c r="E138" s="12">
        <v>0.60972222222222228</v>
      </c>
      <c r="F138" s="13" t="s">
        <v>2487</v>
      </c>
      <c r="G138" s="14" t="s">
        <v>1303</v>
      </c>
      <c r="H138" s="13">
        <v>10</v>
      </c>
      <c r="I138" s="15" t="s">
        <v>2488</v>
      </c>
      <c r="J138" s="13">
        <v>10</v>
      </c>
      <c r="K138" s="15" t="s">
        <v>2489</v>
      </c>
      <c r="L138" s="13">
        <v>10</v>
      </c>
      <c r="M138" s="15" t="s">
        <v>2490</v>
      </c>
      <c r="N138" s="13">
        <v>9</v>
      </c>
      <c r="O138" s="19" t="s">
        <v>2491</v>
      </c>
      <c r="P138" s="13">
        <v>9</v>
      </c>
      <c r="Q138" s="20" t="s">
        <v>2492</v>
      </c>
      <c r="R138" s="13">
        <v>4</v>
      </c>
      <c r="S138" s="20" t="s">
        <v>2493</v>
      </c>
      <c r="T138" s="13"/>
      <c r="U138" s="15"/>
      <c r="V138" s="13">
        <v>14</v>
      </c>
      <c r="W138" s="19" t="s">
        <v>2494</v>
      </c>
      <c r="X138" s="13">
        <v>8</v>
      </c>
      <c r="Y138" s="19" t="s">
        <v>2495</v>
      </c>
      <c r="Z138" s="13"/>
      <c r="AA138" s="15"/>
      <c r="AB138" s="13">
        <v>4</v>
      </c>
      <c r="AC138" s="19" t="s">
        <v>2496</v>
      </c>
      <c r="AD138" s="13">
        <v>4</v>
      </c>
      <c r="AE138" s="19" t="s">
        <v>2497</v>
      </c>
      <c r="AF138" s="13">
        <v>10</v>
      </c>
      <c r="AG138" s="15" t="s">
        <v>2427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2498</v>
      </c>
      <c r="AR138" s="13"/>
      <c r="AS138" s="17">
        <f>SUM(H138,J138,L138,N138,P138,R138,T138,V138,X138,Z138,AB138,AD138,AF138,AH138,AJ138,AL138,AN138)</f>
        <v>92</v>
      </c>
      <c r="AT138" s="11">
        <f>IF(C138="","",DATE(YEAR(C138),MONTH(C138),1))</f>
        <v>46113</v>
      </c>
      <c r="AU138" s="13" t="str">
        <f>IF(AT138="","",TEXT(AT138,"mmmm yyyy"))</f>
        <v>April 2026</v>
      </c>
      <c r="AV138" s="11">
        <f>IF(C138="","",C138-WEEKDAY(C138,2)+1)</f>
        <v>46111</v>
      </c>
      <c r="AW138" s="11">
        <f>IF(AV138="","",AV138+6)</f>
        <v>46117</v>
      </c>
      <c r="AX138" s="13" t="str">
        <f>IF(AV138="","",TEXT(AV138,"dd/mm/yyyy")&amp;" - "&amp;TEXT(AW138,"dd/mm/yyyy"))</f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2</v>
      </c>
      <c r="BA138" s="13" t="str">
        <f>IF(B138="","",TEXT(AY138,"00")&amp;"|"&amp;B138&amp;"|"&amp;TEXT(AT138,"yyyymmdd"))</f>
        <v>02|Natcha Chai-in|20260401</v>
      </c>
      <c r="BB138" s="13" t="str">
        <f>IF(B138="","",TEXT(AZ138,"00")&amp;"|"&amp;B138&amp;"|"&amp;TEXT(AV138,"yyyymmdd"))</f>
        <v>02|Natcha Chai-in|20260330</v>
      </c>
      <c r="BC138" s="13">
        <f>IF(OR(AQ138="YES",AQ138="Yes",AQ138="Y",AQ138=1),1,0)</f>
        <v>0</v>
      </c>
      <c r="BD138" s="50" t="s">
        <v>2499</v>
      </c>
      <c r="BE138" t="s">
        <v>2500</v>
      </c>
      <c r="BF138" t="s">
        <v>2338</v>
      </c>
    </row>
    <row r="139" spans="1:58" ht="15" customHeight="1">
      <c r="A139" s="9">
        <v>46120.399809872688</v>
      </c>
      <c r="B139" s="10" t="s">
        <v>143</v>
      </c>
      <c r="C139" s="11">
        <v>46117</v>
      </c>
      <c r="D139" s="12">
        <v>0.88402777777777775</v>
      </c>
      <c r="E139" s="12">
        <v>0.88680555555555551</v>
      </c>
      <c r="F139" s="13" t="s">
        <v>2501</v>
      </c>
      <c r="G139" s="14" t="s">
        <v>2502</v>
      </c>
      <c r="H139" s="13">
        <v>10</v>
      </c>
      <c r="I139" s="15" t="s">
        <v>2503</v>
      </c>
      <c r="J139" s="13">
        <v>10</v>
      </c>
      <c r="K139" s="15" t="s">
        <v>2504</v>
      </c>
      <c r="L139" s="13">
        <v>10</v>
      </c>
      <c r="M139" s="15" t="s">
        <v>2505</v>
      </c>
      <c r="N139" s="13">
        <v>10</v>
      </c>
      <c r="O139" s="15" t="s">
        <v>2506</v>
      </c>
      <c r="P139" s="13">
        <v>9</v>
      </c>
      <c r="Q139" s="20" t="s">
        <v>2507</v>
      </c>
      <c r="R139" s="13">
        <v>4</v>
      </c>
      <c r="S139" s="20" t="s">
        <v>2508</v>
      </c>
      <c r="T139" s="13"/>
      <c r="U139" s="15"/>
      <c r="V139" s="13">
        <v>15</v>
      </c>
      <c r="W139" s="15" t="s">
        <v>2509</v>
      </c>
      <c r="X139" s="13">
        <v>10</v>
      </c>
      <c r="Y139" s="15" t="s">
        <v>2510</v>
      </c>
      <c r="Z139" s="13"/>
      <c r="AA139" s="15"/>
      <c r="AB139" s="13">
        <v>5</v>
      </c>
      <c r="AC139" s="15" t="s">
        <v>2511</v>
      </c>
      <c r="AD139" s="13">
        <v>5</v>
      </c>
      <c r="AE139" s="15" t="s">
        <v>2512</v>
      </c>
      <c r="AF139" s="13">
        <v>10</v>
      </c>
      <c r="AG139" s="15" t="s">
        <v>2513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2514</v>
      </c>
      <c r="AR139" s="13"/>
      <c r="AS139" s="17">
        <f>SUM(H139,J139,L139,N139,P139,R139,T139,V139,X139,Z139,AB139,AD139,AF139,AH139,AJ139,AL139,AN139)</f>
        <v>98</v>
      </c>
      <c r="AT139" s="11">
        <f>IF(C139="","",DATE(YEAR(C139),MONTH(C139),1))</f>
        <v>46113</v>
      </c>
      <c r="AU139" s="13" t="str">
        <f>IF(AT139="","",TEXT(AT139,"mmmm yyyy"))</f>
        <v>April 2026</v>
      </c>
      <c r="AV139" s="11">
        <f>IF(C139="","",C139-WEEKDAY(C139,2)+1)</f>
        <v>46111</v>
      </c>
      <c r="AW139" s="11">
        <f>IF(AV139="","",AV139+6)</f>
        <v>46117</v>
      </c>
      <c r="AX139" s="13" t="str">
        <f>IF(AV139="","",TEXT(AV139,"dd/mm/yyyy")&amp;" - "&amp;TEXT(AW139,"dd/mm/yyyy"))</f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4</v>
      </c>
      <c r="BA139" s="13" t="str">
        <f>IF(B139="","",TEXT(AY139,"00")&amp;"|"&amp;B139&amp;"|"&amp;TEXT(AT139,"yyyymmdd"))</f>
        <v>01|Nattapol Suprom|20260401</v>
      </c>
      <c r="BB139" s="13" t="str">
        <f>IF(B139="","",TEXT(AZ139,"00")&amp;"|"&amp;B139&amp;"|"&amp;TEXT(AV139,"yyyymmdd"))</f>
        <v>04|Nattapol Suprom|20260330</v>
      </c>
      <c r="BC139" s="13">
        <f>IF(OR(AQ139="YES",AQ139="Yes",AQ139="Y",AQ139=1),1,0)</f>
        <v>0</v>
      </c>
      <c r="BD139" s="50" t="s">
        <v>2515</v>
      </c>
      <c r="BE139" t="s">
        <v>2516</v>
      </c>
      <c r="BF139" t="s">
        <v>2338</v>
      </c>
    </row>
    <row r="140" spans="1:58" ht="15" customHeight="1">
      <c r="A140" s="9">
        <v>46120.408727002323</v>
      </c>
      <c r="B140" s="10" t="s">
        <v>143</v>
      </c>
      <c r="C140" s="11">
        <v>46117</v>
      </c>
      <c r="D140" s="12">
        <v>0.84305555555555556</v>
      </c>
      <c r="E140" s="12">
        <v>0.85</v>
      </c>
      <c r="F140" s="13" t="s">
        <v>2517</v>
      </c>
      <c r="G140" s="14" t="s">
        <v>2388</v>
      </c>
      <c r="H140" s="13">
        <v>10</v>
      </c>
      <c r="I140" s="15" t="s">
        <v>2518</v>
      </c>
      <c r="J140" s="13">
        <v>10</v>
      </c>
      <c r="K140" s="15" t="s">
        <v>2519</v>
      </c>
      <c r="L140" s="13">
        <v>10</v>
      </c>
      <c r="M140" s="15" t="s">
        <v>2520</v>
      </c>
      <c r="N140" s="13">
        <v>9</v>
      </c>
      <c r="O140" s="19" t="s">
        <v>2521</v>
      </c>
      <c r="P140" s="13">
        <v>9</v>
      </c>
      <c r="Q140" s="20" t="s">
        <v>2522</v>
      </c>
      <c r="R140" s="13">
        <v>5</v>
      </c>
      <c r="S140" s="20" t="s">
        <v>2523</v>
      </c>
      <c r="T140" s="13"/>
      <c r="U140" s="15"/>
      <c r="V140" s="13">
        <v>14</v>
      </c>
      <c r="W140" s="19" t="s">
        <v>2524</v>
      </c>
      <c r="X140" s="13">
        <v>10</v>
      </c>
      <c r="Y140" s="19" t="s">
        <v>2525</v>
      </c>
      <c r="Z140" s="13"/>
      <c r="AA140" s="15"/>
      <c r="AB140" s="13">
        <v>5</v>
      </c>
      <c r="AC140" s="15" t="s">
        <v>2526</v>
      </c>
      <c r="AD140" s="13">
        <v>5</v>
      </c>
      <c r="AE140" s="15" t="s">
        <v>2527</v>
      </c>
      <c r="AF140" s="13">
        <v>10</v>
      </c>
      <c r="AG140" s="15" t="s">
        <v>2528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2529</v>
      </c>
      <c r="AR140" s="13"/>
      <c r="AS140" s="17">
        <f>SUM(H140,J140,L140,N140,P140,R140,T140,V140,X140,Z140,AB140,AD140,AF140,AH140,AJ140,AL140,AN140)</f>
        <v>97</v>
      </c>
      <c r="AT140" s="11">
        <f>IF(C140="","",DATE(YEAR(C140),MONTH(C140),1))</f>
        <v>46113</v>
      </c>
      <c r="AU140" s="13" t="str">
        <f>IF(AT140="","",TEXT(AT140,"mmmm yyyy"))</f>
        <v>April 2026</v>
      </c>
      <c r="AV140" s="11">
        <f>IF(C140="","",C140-WEEKDAY(C140,2)+1)</f>
        <v>46111</v>
      </c>
      <c r="AW140" s="11">
        <f>IF(AV140="","",AV140+6)</f>
        <v>46117</v>
      </c>
      <c r="AX140" s="13" t="str">
        <f>IF(AV140="","",TEXT(AV140,"dd/mm/yyyy")&amp;" - "&amp;TEXT(AW140,"dd/mm/yyyy"))</f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5</v>
      </c>
      <c r="BA140" s="13" t="str">
        <f>IF(B140="","",TEXT(AY140,"00")&amp;"|"&amp;B140&amp;"|"&amp;TEXT(AT140,"yyyymmdd"))</f>
        <v>02|Nattapol Suprom|20260401</v>
      </c>
      <c r="BB140" s="13" t="str">
        <f>IF(B140="","",TEXT(AZ140,"00")&amp;"|"&amp;B140&amp;"|"&amp;TEXT(AV140,"yyyymmdd"))</f>
        <v>05|Nattapol Suprom|20260330</v>
      </c>
      <c r="BC140" s="13">
        <f>IF(OR(AQ140="YES",AQ140="Yes",AQ140="Y",AQ140=1),1,0)</f>
        <v>0</v>
      </c>
      <c r="BD140" s="50" t="s">
        <v>2530</v>
      </c>
      <c r="BE140" t="s">
        <v>2531</v>
      </c>
      <c r="BF140" t="s">
        <v>2338</v>
      </c>
    </row>
    <row r="141" spans="1:58" ht="15" customHeight="1">
      <c r="A141" s="9">
        <v>46120.420717476853</v>
      </c>
      <c r="B141" s="10" t="s">
        <v>256</v>
      </c>
      <c r="C141" s="11">
        <v>46117</v>
      </c>
      <c r="D141" s="12">
        <v>0.62638888888888888</v>
      </c>
      <c r="E141" s="12">
        <v>0.62986111111111109</v>
      </c>
      <c r="F141" s="13" t="s">
        <v>2532</v>
      </c>
      <c r="G141" s="14" t="s">
        <v>2533</v>
      </c>
      <c r="H141" s="13">
        <v>10</v>
      </c>
      <c r="I141" s="15" t="s">
        <v>2488</v>
      </c>
      <c r="J141" s="13">
        <v>10</v>
      </c>
      <c r="K141" s="15" t="s">
        <v>2534</v>
      </c>
      <c r="L141" s="13">
        <v>10</v>
      </c>
      <c r="M141" s="19" t="s">
        <v>2535</v>
      </c>
      <c r="N141" s="13">
        <v>9</v>
      </c>
      <c r="O141" s="19" t="s">
        <v>2536</v>
      </c>
      <c r="P141" s="13">
        <v>9</v>
      </c>
      <c r="Q141" s="20" t="s">
        <v>2537</v>
      </c>
      <c r="R141" s="13">
        <v>4</v>
      </c>
      <c r="S141" s="20" t="s">
        <v>2538</v>
      </c>
      <c r="T141" s="13"/>
      <c r="U141" s="15"/>
      <c r="V141" s="13">
        <v>15</v>
      </c>
      <c r="W141" s="19" t="s">
        <v>2539</v>
      </c>
      <c r="X141" s="13">
        <v>10</v>
      </c>
      <c r="Y141" s="15" t="s">
        <v>2540</v>
      </c>
      <c r="Z141" s="13"/>
      <c r="AA141" s="15"/>
      <c r="AB141" s="13">
        <v>5</v>
      </c>
      <c r="AC141" s="15" t="s">
        <v>2541</v>
      </c>
      <c r="AD141" s="13">
        <v>5</v>
      </c>
      <c r="AE141" s="15" t="s">
        <v>2454</v>
      </c>
      <c r="AF141" s="13">
        <v>10</v>
      </c>
      <c r="AG141" s="15" t="s">
        <v>2427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2542</v>
      </c>
      <c r="AR141" s="13"/>
      <c r="AS141" s="17">
        <f>SUM(H141,J141,L141,N141,P141,R141,T141,V141,X141,Z141,AB141,AD141,AF141,AH141,AJ141,AL141,AN141)</f>
        <v>97</v>
      </c>
      <c r="AT141" s="11">
        <f>IF(C141="","",DATE(YEAR(C141),MONTH(C141),1))</f>
        <v>46113</v>
      </c>
      <c r="AU141" s="13" t="str">
        <f>IF(AT141="","",TEXT(AT141,"mmmm yyyy"))</f>
        <v>April 2026</v>
      </c>
      <c r="AV141" s="11">
        <f>IF(C141="","",C141-WEEKDAY(C141,2)+1)</f>
        <v>46111</v>
      </c>
      <c r="AW141" s="11">
        <f>IF(AV141="","",AV141+6)</f>
        <v>46117</v>
      </c>
      <c r="AX141" s="13" t="str">
        <f>IF(AV141="","",TEXT(AV141,"dd/mm/yyyy")&amp;" - "&amp;TEXT(AW141,"dd/mm/yyyy"))</f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2</v>
      </c>
      <c r="BA141" s="13" t="str">
        <f>IF(B141="","",TEXT(AY141,"00")&amp;"|"&amp;B141&amp;"|"&amp;TEXT(AT141,"yyyymmdd"))</f>
        <v>01|Supakrit Promkhamnoi|20260401</v>
      </c>
      <c r="BB141" s="13" t="str">
        <f>IF(B141="","",TEXT(AZ141,"00")&amp;"|"&amp;B141&amp;"|"&amp;TEXT(AV141,"yyyymmdd"))</f>
        <v>02|Supakrit Promkhamnoi|20260330</v>
      </c>
      <c r="BC141" s="13">
        <f>IF(OR(AQ141="YES",AQ141="Yes",AQ141="Y",AQ141=1),1,0)</f>
        <v>0</v>
      </c>
      <c r="BD141" s="50" t="s">
        <v>2543</v>
      </c>
      <c r="BE141" t="s">
        <v>2544</v>
      </c>
      <c r="BF141" t="s">
        <v>2338</v>
      </c>
    </row>
    <row r="142" spans="1:58" ht="15" customHeight="1">
      <c r="A142" s="9">
        <v>46120.427113136568</v>
      </c>
      <c r="B142" s="10" t="s">
        <v>256</v>
      </c>
      <c r="C142" s="11">
        <v>46117</v>
      </c>
      <c r="D142" s="12">
        <v>0.46875</v>
      </c>
      <c r="E142" s="12">
        <v>0.47986111111111113</v>
      </c>
      <c r="F142" s="13" t="s">
        <v>2545</v>
      </c>
      <c r="G142" s="14" t="s">
        <v>2546</v>
      </c>
      <c r="H142" s="13">
        <v>10</v>
      </c>
      <c r="I142" s="15" t="s">
        <v>2547</v>
      </c>
      <c r="J142" s="13">
        <v>10</v>
      </c>
      <c r="K142" s="15" t="s">
        <v>2548</v>
      </c>
      <c r="L142" s="13">
        <v>7</v>
      </c>
      <c r="M142" s="15" t="s">
        <v>2549</v>
      </c>
      <c r="N142" s="13">
        <v>10</v>
      </c>
      <c r="O142" s="19" t="s">
        <v>2550</v>
      </c>
      <c r="P142" s="13">
        <v>10</v>
      </c>
      <c r="Q142" s="20" t="s">
        <v>2551</v>
      </c>
      <c r="R142" s="13">
        <v>5</v>
      </c>
      <c r="S142" s="16" t="s">
        <v>2552</v>
      </c>
      <c r="T142" s="13"/>
      <c r="U142" s="15"/>
      <c r="V142" s="13">
        <v>15</v>
      </c>
      <c r="W142" s="15" t="s">
        <v>2553</v>
      </c>
      <c r="X142" s="13">
        <v>10</v>
      </c>
      <c r="Y142" s="15" t="s">
        <v>2554</v>
      </c>
      <c r="Z142" s="13"/>
      <c r="AA142" s="15"/>
      <c r="AB142" s="13">
        <v>5</v>
      </c>
      <c r="AC142" s="15" t="s">
        <v>2555</v>
      </c>
      <c r="AD142" s="13">
        <v>5</v>
      </c>
      <c r="AE142" s="15" t="s">
        <v>2454</v>
      </c>
      <c r="AF142" s="13">
        <v>10</v>
      </c>
      <c r="AG142" s="15" t="s">
        <v>2556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2557</v>
      </c>
      <c r="AR142" s="13"/>
      <c r="AS142" s="17">
        <f>SUM(H142,J142,L142,N142,P142,R142,T142,V142,X142,Z142,AB142,AD142,AF142,AH142,AJ142,AL142,AN142)</f>
        <v>97</v>
      </c>
      <c r="AT142" s="11">
        <f>IF(C142="","",DATE(YEAR(C142),MONTH(C142),1))</f>
        <v>46113</v>
      </c>
      <c r="AU142" s="13" t="str">
        <f>IF(AT142="","",TEXT(AT142,"mmmm yyyy"))</f>
        <v>April 2026</v>
      </c>
      <c r="AV142" s="11">
        <f>IF(C142="","",C142-WEEKDAY(C142,2)+1)</f>
        <v>46111</v>
      </c>
      <c r="AW142" s="11">
        <f>IF(AV142="","",AV142+6)</f>
        <v>46117</v>
      </c>
      <c r="AX142" s="13" t="str">
        <f>IF(AV142="","",TEXT(AV142,"dd/mm/yyyy")&amp;" - "&amp;TEXT(AW142,"dd/mm/yyyy"))</f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3</v>
      </c>
      <c r="BA142" s="13" t="str">
        <f>IF(B142="","",TEXT(AY142,"00")&amp;"|"&amp;B142&amp;"|"&amp;TEXT(AT142,"yyyymmdd"))</f>
        <v>02|Supakrit Promkhamnoi|20260401</v>
      </c>
      <c r="BB142" s="13" t="str">
        <f>IF(B142="","",TEXT(AZ142,"00")&amp;"|"&amp;B142&amp;"|"&amp;TEXT(AV142,"yyyymmdd"))</f>
        <v>03|Supakrit Promkhamnoi|20260330</v>
      </c>
      <c r="BC142" s="13">
        <f>IF(OR(AQ142="YES",AQ142="Yes",AQ142="Y",AQ142=1),1,0)</f>
        <v>0</v>
      </c>
      <c r="BD142" s="50" t="s">
        <v>2558</v>
      </c>
      <c r="BE142" t="s">
        <v>2559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>SUM(H143,J143,L143,N143,P143,R143,T143,V143,X143,Z143,AB143,AD143,AF143,AH143,AJ143,AL143,AN143)</f>
        <v>87</v>
      </c>
      <c r="AT143" s="11">
        <f>IF(C143="","",DATE(YEAR(C143),MONTH(C143),1))</f>
        <v>46113</v>
      </c>
      <c r="AU143" s="13" t="str">
        <f>IF(AT143="","",TEXT(AT143,"mmmm yyyy"))</f>
        <v>April 2026</v>
      </c>
      <c r="AV143" s="11">
        <f>IF(C143="","",C143-WEEKDAY(C143,2)+1)</f>
        <v>46111</v>
      </c>
      <c r="AW143" s="11">
        <f>IF(AV143="","",AV143+6)</f>
        <v>46117</v>
      </c>
      <c r="AX143" s="13" t="str">
        <f>IF(AV143="","",TEXT(AV143,"dd/mm/yyyy")&amp;" - "&amp;TEXT(AW143,"dd/mm/yyyy"))</f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>IF(B143="","",TEXT(AY143,"00")&amp;"|"&amp;B143&amp;"|"&amp;TEXT(AT143,"yyyymmdd"))</f>
        <v>01|Wachiraporn chailittichai|20260401</v>
      </c>
      <c r="BB143" s="13" t="str">
        <f>IF(B143="","",TEXT(AZ143,"00")&amp;"|"&amp;B143&amp;"|"&amp;TEXT(AV143,"yyyymmdd"))</f>
        <v>01|Wachiraporn chailittichai|20260330</v>
      </c>
      <c r="BC143" s="13">
        <f>IF(OR(AQ143="YES",AQ143="Yes",AQ143="Y",AQ143=1),1,0)</f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>SUM(H144,J144,L144,N144,P144,R144,T144,V144,X144,Z144,AB144,AD144,AF144,AH144,AJ144,AL144,AN144)</f>
        <v>92</v>
      </c>
      <c r="AT144" s="11">
        <f>IF(C144="","",DATE(YEAR(C144),MONTH(C144),1))</f>
        <v>46113</v>
      </c>
      <c r="AU144" s="13" t="str">
        <f>IF(AT144="","",TEXT(AT144,"mmmm yyyy"))</f>
        <v>April 2026</v>
      </c>
      <c r="AV144" s="11">
        <f>IF(C144="","",C144-WEEKDAY(C144,2)+1)</f>
        <v>46111</v>
      </c>
      <c r="AW144" s="11">
        <f>IF(AV144="","",AV144+6)</f>
        <v>46117</v>
      </c>
      <c r="AX144" s="13" t="str">
        <f>IF(AV144="","",TEXT(AV144,"dd/mm/yyyy")&amp;" - "&amp;TEXT(AW144,"dd/mm/yyyy"))</f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>IF(B144="","",TEXT(AY144,"00")&amp;"|"&amp;B144&amp;"|"&amp;TEXT(AT144,"yyyymmdd"))</f>
        <v>02|Wachiraporn chailittichai|20260401</v>
      </c>
      <c r="BB144" s="13" t="str">
        <f>IF(B144="","",TEXT(AZ144,"00")&amp;"|"&amp;B144&amp;"|"&amp;TEXT(AV144,"yyyymmdd"))</f>
        <v>02|Wachiraporn chailittichai|20260330</v>
      </c>
      <c r="BC144" s="13">
        <f>IF(OR(AQ144="YES",AQ144="Yes",AQ144="Y",AQ144=1),1,0)</f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>SUM(H145,J145,L145,N145,P145,R145,T145,V145,X145,Z145,AB145,AD145,AF145,AH145,AJ145,AL145,AN145)</f>
        <v>83</v>
      </c>
      <c r="AT145" s="11">
        <f>IF(C145="","",DATE(YEAR(C145),MONTH(C145),1))</f>
        <v>46113</v>
      </c>
      <c r="AU145" s="13" t="str">
        <f>IF(AT145="","",TEXT(AT145,"mmmm yyyy"))</f>
        <v>April 2026</v>
      </c>
      <c r="AV145" s="11">
        <f>IF(C145="","",C145-WEEKDAY(C145,2)+1)</f>
        <v>46111</v>
      </c>
      <c r="AW145" s="11">
        <f>IF(AV145="","",AV145+6)</f>
        <v>46117</v>
      </c>
      <c r="AX145" s="13" t="str">
        <f>IF(AV145="","",TEXT(AV145,"dd/mm/yyyy")&amp;" - "&amp;TEXT(AW145,"dd/mm/yyyy"))</f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>IF(B145="","",TEXT(AY145,"00")&amp;"|"&amp;B145&amp;"|"&amp;TEXT(AT145,"yyyymmdd"))</f>
        <v>01|Wassana Phothong|20260401</v>
      </c>
      <c r="BB145" s="13" t="str">
        <f>IF(B145="","",TEXT(AZ145,"00")&amp;"|"&amp;B145&amp;"|"&amp;TEXT(AV145,"yyyymmdd"))</f>
        <v>02|Wassana Phothong|20260330</v>
      </c>
      <c r="BC145" s="13">
        <f>IF(OR(AQ145="YES",AQ145="Yes",AQ145="Y",AQ145=1),1,0)</f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46128.891416516199</v>
      </c>
      <c r="B146" s="10" t="s">
        <v>59</v>
      </c>
      <c r="C146" s="11">
        <v>46118</v>
      </c>
      <c r="D146" s="12">
        <v>0.56666666666569654</v>
      </c>
      <c r="E146" s="12">
        <v>0.57708333333721384</v>
      </c>
      <c r="F146" s="13" t="s">
        <v>2687</v>
      </c>
      <c r="G146" s="14" t="s">
        <v>2688</v>
      </c>
      <c r="H146" s="13">
        <v>10</v>
      </c>
      <c r="I146" s="19" t="s">
        <v>2689</v>
      </c>
      <c r="J146" s="13">
        <v>10</v>
      </c>
      <c r="K146" s="19" t="s">
        <v>2690</v>
      </c>
      <c r="L146" s="13">
        <v>7</v>
      </c>
      <c r="M146" s="19" t="s">
        <v>2691</v>
      </c>
      <c r="N146" s="13">
        <v>8</v>
      </c>
      <c r="O146" s="19" t="s">
        <v>2692</v>
      </c>
      <c r="P146" s="13">
        <v>7</v>
      </c>
      <c r="Q146" s="20" t="s">
        <v>2693</v>
      </c>
      <c r="R146" s="13">
        <v>4</v>
      </c>
      <c r="S146" s="20" t="s">
        <v>2694</v>
      </c>
      <c r="T146" s="13"/>
      <c r="U146" s="15"/>
      <c r="V146" s="13">
        <v>11</v>
      </c>
      <c r="W146" s="19" t="s">
        <v>2695</v>
      </c>
      <c r="X146" s="13">
        <v>7</v>
      </c>
      <c r="Y146" s="19" t="s">
        <v>2696</v>
      </c>
      <c r="Z146" s="13"/>
      <c r="AA146" s="15"/>
      <c r="AB146" s="13">
        <v>5</v>
      </c>
      <c r="AC146" s="19" t="s">
        <v>2697</v>
      </c>
      <c r="AD146" s="13">
        <v>5</v>
      </c>
      <c r="AE146" s="19" t="s">
        <v>2698</v>
      </c>
      <c r="AF146" s="13">
        <v>10</v>
      </c>
      <c r="AG146" s="19" t="s">
        <v>2699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2700</v>
      </c>
      <c r="AR146" s="13"/>
      <c r="AS146" s="17">
        <f>SUM(H146,J146,L146,N146,P146,R146,T146,V146,X146,Z146,AB146,AD146,AF146,AH146,AJ146,AL146,AN146)</f>
        <v>84</v>
      </c>
      <c r="AT146" s="11">
        <f>IF(C146="","",DATE(YEAR(C146),MONTH(C146),1))</f>
        <v>46113</v>
      </c>
      <c r="AU146" s="13" t="str">
        <f>IF(AT146="","",TEXT(AT146,"mmmm yyyy"))</f>
        <v>April 2026</v>
      </c>
      <c r="AV146" s="11">
        <f>IF(C146="","",C146-WEEKDAY(C146,2)+1)</f>
        <v>46118</v>
      </c>
      <c r="AW146" s="11">
        <f>IF(AV146="","",AV146+6)</f>
        <v>46124</v>
      </c>
      <c r="AX146" s="13" t="str">
        <f>IF(AV146="","",TEXT(AV146,"dd/mm/yyyy")&amp;" - "&amp;TEXT(AW146,"dd/mm/yyyy"))</f>
        <v>06/04/2026 - 12/04/2026</v>
      </c>
      <c r="AY146" s="13">
        <f>IF(B146="","",COUNTIFS($B$5:B146,B146,$AT$5:AT146,AT146))</f>
        <v>3</v>
      </c>
      <c r="AZ146" s="13">
        <f>IF(B146="","",COUNTIFS($B$5:B146,B146,$AV$5:AV146,AV146))</f>
        <v>1</v>
      </c>
      <c r="BA146" s="13" t="str">
        <f>IF(B146="","",TEXT(AY146,"00")&amp;"|"&amp;B146&amp;"|"&amp;TEXT(AT146,"yyyymmdd"))</f>
        <v>03|Chatkonnaphat Bhusomya|20260401</v>
      </c>
      <c r="BB146" s="13" t="str">
        <f>IF(B146="","",TEXT(AZ146,"00")&amp;"|"&amp;B146&amp;"|"&amp;TEXT(AV146,"yyyymmdd"))</f>
        <v>01|Chatkonnaphat Bhusomya|20260406</v>
      </c>
      <c r="BC146" s="13">
        <f>IF(OR(AQ146="YES",AQ146="Yes",AQ146="Y",AQ146=1),1,0)</f>
        <v>0</v>
      </c>
      <c r="BD146" s="50" t="s">
        <v>2701</v>
      </c>
      <c r="BE146" t="s">
        <v>2702</v>
      </c>
      <c r="BF146" t="s">
        <v>2338</v>
      </c>
    </row>
    <row r="147" spans="1:58" s="62" customFormat="1" ht="15" customHeight="1">
      <c r="A147" s="9">
        <v>46129.81633898148</v>
      </c>
      <c r="B147" s="10" t="s">
        <v>143</v>
      </c>
      <c r="C147" s="11">
        <v>46118</v>
      </c>
      <c r="D147" s="12">
        <v>0.83750000000145519</v>
      </c>
      <c r="E147" s="12">
        <v>0.83888888888759539</v>
      </c>
      <c r="F147" s="13" t="s">
        <v>2898</v>
      </c>
      <c r="G147" s="14" t="s">
        <v>2899</v>
      </c>
      <c r="H147" s="13">
        <v>10</v>
      </c>
      <c r="I147" s="19" t="s">
        <v>2887</v>
      </c>
      <c r="J147" s="13">
        <v>10</v>
      </c>
      <c r="K147" s="15" t="s">
        <v>2900</v>
      </c>
      <c r="L147" s="13">
        <v>10</v>
      </c>
      <c r="M147" s="15" t="s">
        <v>2901</v>
      </c>
      <c r="N147" s="13">
        <v>9</v>
      </c>
      <c r="O147" s="19" t="s">
        <v>2902</v>
      </c>
      <c r="P147" s="13">
        <v>8</v>
      </c>
      <c r="Q147" s="20" t="s">
        <v>2903</v>
      </c>
      <c r="R147" s="13">
        <v>5</v>
      </c>
      <c r="S147" s="20" t="s">
        <v>2904</v>
      </c>
      <c r="T147" s="13"/>
      <c r="U147" s="15"/>
      <c r="V147" s="13">
        <v>12</v>
      </c>
      <c r="W147" s="19" t="s">
        <v>2905</v>
      </c>
      <c r="X147" s="13">
        <v>9</v>
      </c>
      <c r="Y147" s="19" t="s">
        <v>2906</v>
      </c>
      <c r="Z147" s="13"/>
      <c r="AA147" s="15"/>
      <c r="AB147" s="13">
        <v>5</v>
      </c>
      <c r="AC147" s="15" t="s">
        <v>2726</v>
      </c>
      <c r="AD147" s="13">
        <v>5</v>
      </c>
      <c r="AE147" s="15" t="s">
        <v>2755</v>
      </c>
      <c r="AF147" s="13">
        <v>10</v>
      </c>
      <c r="AG147" s="15" t="s">
        <v>2907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2908</v>
      </c>
      <c r="AR147" s="13"/>
      <c r="AS147" s="17">
        <f>SUM(H147,J147,L147,N147,P147,R147,T147,V147,X147,Z147,AB147,AD147,AF147,AH147,AJ147,AL147,AN147)</f>
        <v>93</v>
      </c>
      <c r="AT147" s="11">
        <f>IF(C147="","",DATE(YEAR(C147),MONTH(C147),1))</f>
        <v>46113</v>
      </c>
      <c r="AU147" s="13" t="str">
        <f>IF(AT147="","",TEXT(AT147,"mmmm yyyy"))</f>
        <v>April 2026</v>
      </c>
      <c r="AV147" s="11">
        <f>IF(C147="","",C147-WEEKDAY(C147,2)+1)</f>
        <v>46118</v>
      </c>
      <c r="AW147" s="11">
        <f>IF(AV147="","",AV147+6)</f>
        <v>46124</v>
      </c>
      <c r="AX147" s="13" t="str">
        <f>IF(AV147="","",TEXT(AV147,"dd/mm/yyyy")&amp;" - "&amp;TEXT(AW147,"dd/mm/yyyy"))</f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>IF(B147="","",TEXT(AY147,"00")&amp;"|"&amp;B147&amp;"|"&amp;TEXT(AT147,"yyyymmdd"))</f>
        <v>03|Nattapol Suprom|20260401</v>
      </c>
      <c r="BB147" s="13" t="str">
        <f>IF(B147="","",TEXT(AZ147,"00")&amp;"|"&amp;B147&amp;"|"&amp;TEXT(AV147,"yyyymmdd"))</f>
        <v>01|Nattapol Suprom|20260406</v>
      </c>
      <c r="BC147" s="13">
        <f>IF(OR(AQ147="YES",AQ147="Yes",AQ147="Y",AQ147=1),1,0)</f>
        <v>0</v>
      </c>
      <c r="BD147" s="50" t="s">
        <v>2909</v>
      </c>
      <c r="BE147" t="s">
        <v>2910</v>
      </c>
      <c r="BF147" t="s">
        <v>2338</v>
      </c>
    </row>
    <row r="148" spans="1:58" ht="15" customHeight="1">
      <c r="A148" s="9">
        <v>46129.82168429398</v>
      </c>
      <c r="B148" s="10" t="s">
        <v>143</v>
      </c>
      <c r="C148" s="11">
        <v>46118</v>
      </c>
      <c r="D148" s="12">
        <v>0.81944444444525288</v>
      </c>
      <c r="E148" s="12">
        <v>0.82222222222480923</v>
      </c>
      <c r="F148" s="13" t="s">
        <v>2911</v>
      </c>
      <c r="G148" s="14" t="s">
        <v>2912</v>
      </c>
      <c r="H148" s="13">
        <v>10</v>
      </c>
      <c r="I148" s="19" t="s">
        <v>2887</v>
      </c>
      <c r="J148" s="13">
        <v>10</v>
      </c>
      <c r="K148" s="15" t="s">
        <v>2900</v>
      </c>
      <c r="L148" s="13">
        <v>10</v>
      </c>
      <c r="M148" s="15" t="s">
        <v>2913</v>
      </c>
      <c r="N148" s="13">
        <v>9</v>
      </c>
      <c r="O148" s="19" t="s">
        <v>2914</v>
      </c>
      <c r="P148" s="13">
        <v>8</v>
      </c>
      <c r="Q148" s="20" t="s">
        <v>2915</v>
      </c>
      <c r="R148" s="13">
        <v>5</v>
      </c>
      <c r="S148" s="20" t="s">
        <v>2916</v>
      </c>
      <c r="T148" s="13"/>
      <c r="U148" s="15"/>
      <c r="V148" s="13">
        <v>12</v>
      </c>
      <c r="W148" s="19" t="s">
        <v>2905</v>
      </c>
      <c r="X148" s="13">
        <v>9</v>
      </c>
      <c r="Y148" s="19" t="s">
        <v>2906</v>
      </c>
      <c r="Z148" s="13"/>
      <c r="AA148" s="15"/>
      <c r="AB148" s="13">
        <v>5</v>
      </c>
      <c r="AC148" s="15" t="s">
        <v>2726</v>
      </c>
      <c r="AD148" s="13">
        <v>5</v>
      </c>
      <c r="AE148" s="15" t="s">
        <v>2755</v>
      </c>
      <c r="AF148" s="13">
        <v>10</v>
      </c>
      <c r="AG148" s="15" t="s">
        <v>2907</v>
      </c>
      <c r="AH148" s="13"/>
      <c r="AI148" s="15"/>
      <c r="AJ148" s="13"/>
      <c r="AK148" s="15"/>
      <c r="AL148" s="13"/>
      <c r="AM148" s="15"/>
      <c r="AN148" s="13"/>
      <c r="AO148" s="15"/>
      <c r="AP148" s="13" t="s">
        <v>79</v>
      </c>
      <c r="AQ148" s="15" t="s">
        <v>2908</v>
      </c>
      <c r="AR148" s="13"/>
      <c r="AS148" s="17">
        <f>SUM(H148,J148,L148,N148,P148,R148,T148,V148,X148,Z148,AB148,AD148,AF148,AH148,AJ148,AL148,AN148)</f>
        <v>93</v>
      </c>
      <c r="AT148" s="11">
        <f>IF(C148="","",DATE(YEAR(C148),MONTH(C148),1))</f>
        <v>46113</v>
      </c>
      <c r="AU148" s="13" t="str">
        <f>IF(AT148="","",TEXT(AT148,"mmmm yyyy"))</f>
        <v>April 2026</v>
      </c>
      <c r="AV148" s="11">
        <f>IF(C148="","",C148-WEEKDAY(C148,2)+1)</f>
        <v>46118</v>
      </c>
      <c r="AW148" s="11">
        <f>IF(AV148="","",AV148+6)</f>
        <v>46124</v>
      </c>
      <c r="AX148" s="13" t="str">
        <f>IF(AV148="","",TEXT(AV148,"dd/mm/yyyy")&amp;" - "&amp;TEXT(AW148,"dd/mm/yyyy"))</f>
        <v>06/04/2026 - 12/04/2026</v>
      </c>
      <c r="AY148" s="13">
        <f>IF(B148="","",COUNTIFS($B$5:B148,B148,$AT$5:AT148,AT148))</f>
        <v>4</v>
      </c>
      <c r="AZ148" s="13">
        <f>IF(B148="","",COUNTIFS($B$5:B148,B148,$AV$5:AV148,AV148))</f>
        <v>2</v>
      </c>
      <c r="BA148" s="13" t="str">
        <f>IF(B148="","",TEXT(AY148,"00")&amp;"|"&amp;B148&amp;"|"&amp;TEXT(AT148,"yyyymmdd"))</f>
        <v>04|Nattapol Suprom|20260401</v>
      </c>
      <c r="BB148" s="13" t="str">
        <f>IF(B148="","",TEXT(AZ148,"00")&amp;"|"&amp;B148&amp;"|"&amp;TEXT(AV148,"yyyymmdd"))</f>
        <v>02|Nattapol Suprom|20260406</v>
      </c>
      <c r="BC148" s="13">
        <f>IF(OR(AQ148="YES",AQ148="Yes",AQ148="Y",AQ148=1),1,0)</f>
        <v>0</v>
      </c>
      <c r="BD148" s="50" t="s">
        <v>2917</v>
      </c>
      <c r="BE148" t="s">
        <v>2918</v>
      </c>
      <c r="BF148" t="s">
        <v>2338</v>
      </c>
    </row>
    <row r="149" spans="1:58" ht="15" customHeight="1">
      <c r="A149" s="9">
        <v>46129.953709583337</v>
      </c>
      <c r="B149" s="10" t="s">
        <v>256</v>
      </c>
      <c r="C149" s="11">
        <v>46118</v>
      </c>
      <c r="D149" s="12">
        <v>0.648611111115315</v>
      </c>
      <c r="E149" s="12">
        <v>0.65694444444670808</v>
      </c>
      <c r="F149" s="13" t="s">
        <v>3035</v>
      </c>
      <c r="G149" s="14" t="s">
        <v>3036</v>
      </c>
      <c r="H149" s="13">
        <v>10</v>
      </c>
      <c r="I149" s="19" t="s">
        <v>3037</v>
      </c>
      <c r="J149" s="13">
        <v>10</v>
      </c>
      <c r="K149" s="15" t="s">
        <v>3038</v>
      </c>
      <c r="L149" s="13">
        <v>6</v>
      </c>
      <c r="M149" s="15" t="s">
        <v>3039</v>
      </c>
      <c r="N149" s="13">
        <v>9</v>
      </c>
      <c r="O149" s="19" t="s">
        <v>3040</v>
      </c>
      <c r="P149" s="13">
        <v>8</v>
      </c>
      <c r="Q149" s="20" t="s">
        <v>3041</v>
      </c>
      <c r="R149" s="13">
        <v>5</v>
      </c>
      <c r="S149" s="20" t="s">
        <v>3042</v>
      </c>
      <c r="T149" s="13"/>
      <c r="U149" s="15"/>
      <c r="V149" s="13">
        <v>12</v>
      </c>
      <c r="W149" s="19" t="s">
        <v>3043</v>
      </c>
      <c r="X149" s="13">
        <v>8</v>
      </c>
      <c r="Y149" s="19" t="s">
        <v>3044</v>
      </c>
      <c r="Z149" s="13"/>
      <c r="AA149" s="15"/>
      <c r="AB149" s="13">
        <v>5</v>
      </c>
      <c r="AC149" s="15" t="s">
        <v>3045</v>
      </c>
      <c r="AD149" s="13">
        <v>4</v>
      </c>
      <c r="AE149" s="15" t="s">
        <v>3046</v>
      </c>
      <c r="AF149" s="13">
        <v>10</v>
      </c>
      <c r="AG149" s="15" t="s">
        <v>3047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3048</v>
      </c>
      <c r="AR149" s="13"/>
      <c r="AS149" s="17">
        <f>SUM(H149,J149,L149,N149,P149,R149,T149,V149,X149,Z149,AB149,AD149,AF149,AH149,AJ149,AL149,AN149)</f>
        <v>87</v>
      </c>
      <c r="AT149" s="11">
        <f>IF(C149="","",DATE(YEAR(C149),MONTH(C149),1))</f>
        <v>46113</v>
      </c>
      <c r="AU149" s="13" t="str">
        <f>IF(AT149="","",TEXT(AT149,"mmmm yyyy"))</f>
        <v>April 2026</v>
      </c>
      <c r="AV149" s="11">
        <f>IF(C149="","",C149-WEEKDAY(C149,2)+1)</f>
        <v>46118</v>
      </c>
      <c r="AW149" s="11">
        <f>IF(AV149="","",AV149+6)</f>
        <v>46124</v>
      </c>
      <c r="AX149" s="13" t="str">
        <f>IF(AV149="","",TEXT(AV149,"dd/mm/yyyy")&amp;" - "&amp;TEXT(AW149,"dd/mm/yyyy"))</f>
        <v>06/04/2026 - 12/04/2026</v>
      </c>
      <c r="AY149" s="13">
        <f>IF(B149="","",COUNTIFS($B$5:B149,B149,$AT$5:AT149,AT149))</f>
        <v>3</v>
      </c>
      <c r="AZ149" s="13">
        <f>IF(B149="","",COUNTIFS($B$5:B149,B149,$AV$5:AV149,AV149))</f>
        <v>1</v>
      </c>
      <c r="BA149" s="13" t="str">
        <f>IF(B149="","",TEXT(AY149,"00")&amp;"|"&amp;B149&amp;"|"&amp;TEXT(AT149,"yyyymmdd"))</f>
        <v>03|Supakrit Promkhamnoi|20260401</v>
      </c>
      <c r="BB149" s="13" t="str">
        <f>IF(B149="","",TEXT(AZ149,"00")&amp;"|"&amp;B149&amp;"|"&amp;TEXT(AV149,"yyyymmdd"))</f>
        <v>01|Supakrit Promkhamnoi|20260406</v>
      </c>
      <c r="BC149" s="13">
        <f>IF(OR(AQ149="YES",AQ149="Yes",AQ149="Y",AQ149=1),1,0)</f>
        <v>0</v>
      </c>
      <c r="BD149" s="50" t="s">
        <v>3049</v>
      </c>
      <c r="BE149" t="s">
        <v>3050</v>
      </c>
      <c r="BF149" t="s">
        <v>2338</v>
      </c>
    </row>
    <row r="150" spans="1:58" ht="15" customHeight="1">
      <c r="A150" s="9">
        <v>46130.455565046301</v>
      </c>
      <c r="B150" s="10" t="s">
        <v>184</v>
      </c>
      <c r="C150" s="11">
        <v>46118</v>
      </c>
      <c r="D150" s="12">
        <v>0.75069444444670808</v>
      </c>
      <c r="E150" s="12">
        <v>0.75624999999854481</v>
      </c>
      <c r="F150" s="13" t="s">
        <v>3158</v>
      </c>
      <c r="G150" s="14" t="s">
        <v>3159</v>
      </c>
      <c r="H150" s="13">
        <v>9</v>
      </c>
      <c r="I150" s="19" t="s">
        <v>3160</v>
      </c>
      <c r="J150" s="13">
        <v>10</v>
      </c>
      <c r="K150" s="15" t="s">
        <v>3161</v>
      </c>
      <c r="L150" s="13">
        <v>8</v>
      </c>
      <c r="M150" s="15" t="s">
        <v>3162</v>
      </c>
      <c r="N150" s="13">
        <v>10</v>
      </c>
      <c r="O150" s="19" t="s">
        <v>3163</v>
      </c>
      <c r="P150" s="13">
        <v>9</v>
      </c>
      <c r="Q150" s="20" t="s">
        <v>3164</v>
      </c>
      <c r="R150" s="13">
        <v>5</v>
      </c>
      <c r="S150" s="20" t="s">
        <v>3165</v>
      </c>
      <c r="T150" s="13"/>
      <c r="U150" s="15"/>
      <c r="V150" s="13">
        <v>13</v>
      </c>
      <c r="W150" s="19" t="s">
        <v>3166</v>
      </c>
      <c r="X150" s="13">
        <v>9</v>
      </c>
      <c r="Y150" s="19" t="s">
        <v>3167</v>
      </c>
      <c r="Z150" s="13"/>
      <c r="AA150" s="15"/>
      <c r="AB150" s="13">
        <v>5</v>
      </c>
      <c r="AC150" s="15" t="s">
        <v>3168</v>
      </c>
      <c r="AD150" s="13">
        <v>5</v>
      </c>
      <c r="AE150" s="15" t="s">
        <v>3169</v>
      </c>
      <c r="AF150" s="13">
        <v>10</v>
      </c>
      <c r="AG150" s="15" t="s">
        <v>3170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3171</v>
      </c>
      <c r="AR150" s="13"/>
      <c r="AS150" s="17">
        <f>SUM(H150,J150,L150,N150,P150,R150,T150,V150,X150,Z150,AB150,AD150,AF150,AH150,AJ150,AL150,AN150)</f>
        <v>93</v>
      </c>
      <c r="AT150" s="11">
        <f>IF(C150="","",DATE(YEAR(C150),MONTH(C150),1))</f>
        <v>46113</v>
      </c>
      <c r="AU150" s="13" t="str">
        <f>IF(AT150="","",TEXT(AT150,"mmmm yyyy"))</f>
        <v>April 2026</v>
      </c>
      <c r="AV150" s="11">
        <f>IF(C150="","",C150-WEEKDAY(C150,2)+1)</f>
        <v>46118</v>
      </c>
      <c r="AW150" s="11">
        <f>IF(AV150="","",AV150+6)</f>
        <v>46124</v>
      </c>
      <c r="AX150" s="13" t="str">
        <f>IF(AV150="","",TEXT(AV150,"dd/mm/yyyy")&amp;" - "&amp;TEXT(AW150,"dd/mm/yyyy"))</f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>IF(B150="","",TEXT(AY150,"00")&amp;"|"&amp;B150&amp;"|"&amp;TEXT(AT150,"yyyymmdd"))</f>
        <v>03|Wachiraporn chailittichai|20260401</v>
      </c>
      <c r="BB150" s="13" t="str">
        <f>IF(B150="","",TEXT(AZ150,"00")&amp;"|"&amp;B150&amp;"|"&amp;TEXT(AV150,"yyyymmdd"))</f>
        <v>01|Wachiraporn chailittichai|20260406</v>
      </c>
      <c r="BC150" s="13">
        <f>IF(OR(AQ150="YES",AQ150="Yes",AQ150="Y",AQ150=1),1,0)</f>
        <v>0</v>
      </c>
      <c r="BD150" s="50" t="s">
        <v>3172</v>
      </c>
      <c r="BE150" t="s">
        <v>3173</v>
      </c>
      <c r="BF150" t="s">
        <v>2338</v>
      </c>
    </row>
    <row r="151" spans="1:58" ht="15" customHeight="1">
      <c r="A151" s="9">
        <v>46130.465391817124</v>
      </c>
      <c r="B151" s="10" t="s">
        <v>184</v>
      </c>
      <c r="C151" s="11">
        <v>46118</v>
      </c>
      <c r="D151" s="12">
        <v>0.64930555555474712</v>
      </c>
      <c r="E151" s="12">
        <v>0.65347222222044365</v>
      </c>
      <c r="F151" s="13" t="s">
        <v>3174</v>
      </c>
      <c r="G151" s="14" t="s">
        <v>3175</v>
      </c>
      <c r="H151" s="13">
        <v>9</v>
      </c>
      <c r="I151" s="19" t="s">
        <v>3176</v>
      </c>
      <c r="J151" s="13">
        <v>10</v>
      </c>
      <c r="K151" s="15" t="s">
        <v>3177</v>
      </c>
      <c r="L151" s="13">
        <v>5</v>
      </c>
      <c r="M151" s="15" t="s">
        <v>3178</v>
      </c>
      <c r="N151" s="13">
        <v>4</v>
      </c>
      <c r="O151" s="19" t="s">
        <v>3179</v>
      </c>
      <c r="P151" s="13">
        <v>4</v>
      </c>
      <c r="Q151" s="20" t="s">
        <v>3180</v>
      </c>
      <c r="R151" s="13">
        <v>2</v>
      </c>
      <c r="S151" s="20" t="s">
        <v>3181</v>
      </c>
      <c r="T151" s="13"/>
      <c r="U151" s="15"/>
      <c r="V151" s="13">
        <v>6</v>
      </c>
      <c r="W151" s="19" t="s">
        <v>3182</v>
      </c>
      <c r="X151" s="13">
        <v>5</v>
      </c>
      <c r="Y151" s="19" t="s">
        <v>3183</v>
      </c>
      <c r="Z151" s="13"/>
      <c r="AA151" s="15"/>
      <c r="AB151" s="13">
        <v>5</v>
      </c>
      <c r="AC151" s="15" t="s">
        <v>3184</v>
      </c>
      <c r="AD151" s="13">
        <v>5</v>
      </c>
      <c r="AE151" s="15" t="s">
        <v>3184</v>
      </c>
      <c r="AF151" s="13">
        <v>8</v>
      </c>
      <c r="AG151" s="15" t="s">
        <v>3185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3186</v>
      </c>
      <c r="AR151" s="13"/>
      <c r="AS151" s="17">
        <f>SUM(H151,J151,L151,N151,P151,R151,T151,V151,X151,Z151,AB151,AD151,AF151,AH151,AJ151,AL151,AN151)</f>
        <v>63</v>
      </c>
      <c r="AT151" s="11">
        <f>IF(C151="","",DATE(YEAR(C151),MONTH(C151),1))</f>
        <v>46113</v>
      </c>
      <c r="AU151" s="13" t="str">
        <f>IF(AT151="","",TEXT(AT151,"mmmm yyyy"))</f>
        <v>April 2026</v>
      </c>
      <c r="AV151" s="11">
        <f>IF(C151="","",C151-WEEKDAY(C151,2)+1)</f>
        <v>46118</v>
      </c>
      <c r="AW151" s="11">
        <f>IF(AV151="","",AV151+6)</f>
        <v>46124</v>
      </c>
      <c r="AX151" s="13" t="str">
        <f>IF(AV151="","",TEXT(AV151,"dd/mm/yyyy")&amp;" - "&amp;TEXT(AW151,"dd/mm/yyyy"))</f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>IF(B151="","",TEXT(AY151,"00")&amp;"|"&amp;B151&amp;"|"&amp;TEXT(AT151,"yyyymmdd"))</f>
        <v>04|Wachiraporn chailittichai|20260401</v>
      </c>
      <c r="BB151" s="13" t="str">
        <f>IF(B151="","",TEXT(AZ151,"00")&amp;"|"&amp;B151&amp;"|"&amp;TEXT(AV151,"yyyymmdd"))</f>
        <v>02|Wachiraporn chailittichai|20260406</v>
      </c>
      <c r="BC151" s="13">
        <f>IF(OR(AQ151="YES",AQ151="Yes",AQ151="Y",AQ151=1),1,0)</f>
        <v>0</v>
      </c>
      <c r="BD151" s="50" t="s">
        <v>3187</v>
      </c>
      <c r="BE151" t="s">
        <v>3188</v>
      </c>
      <c r="BF151" t="s">
        <v>2338</v>
      </c>
    </row>
    <row r="152" spans="1:58" ht="15" customHeight="1">
      <c r="A152" s="9">
        <v>46130.490170763893</v>
      </c>
      <c r="B152" s="10" t="s">
        <v>503</v>
      </c>
      <c r="C152" s="11">
        <v>46118</v>
      </c>
      <c r="D152" s="12">
        <v>0.50833333333139308</v>
      </c>
      <c r="E152" s="12">
        <v>0.51597222222335404</v>
      </c>
      <c r="F152" s="13" t="s">
        <v>3221</v>
      </c>
      <c r="G152" s="14" t="s">
        <v>2801</v>
      </c>
      <c r="H152" s="13">
        <v>9</v>
      </c>
      <c r="I152" s="19" t="s">
        <v>3222</v>
      </c>
      <c r="J152" s="13">
        <v>10</v>
      </c>
      <c r="K152" s="15" t="s">
        <v>3223</v>
      </c>
      <c r="L152" s="13">
        <v>6</v>
      </c>
      <c r="M152" s="15" t="s">
        <v>3224</v>
      </c>
      <c r="N152" s="13">
        <v>8</v>
      </c>
      <c r="O152" s="19" t="s">
        <v>3225</v>
      </c>
      <c r="P152" s="13">
        <v>5</v>
      </c>
      <c r="Q152" s="20" t="s">
        <v>3226</v>
      </c>
      <c r="R152" s="13">
        <v>3</v>
      </c>
      <c r="S152" s="20" t="s">
        <v>3227</v>
      </c>
      <c r="T152" s="13"/>
      <c r="U152" s="15"/>
      <c r="V152" s="13">
        <v>7</v>
      </c>
      <c r="W152" s="19" t="s">
        <v>3228</v>
      </c>
      <c r="X152" s="13">
        <v>5</v>
      </c>
      <c r="Y152" s="19" t="s">
        <v>3229</v>
      </c>
      <c r="Z152" s="13"/>
      <c r="AA152" s="15"/>
      <c r="AB152" s="13">
        <v>5</v>
      </c>
      <c r="AC152" s="15" t="s">
        <v>3230</v>
      </c>
      <c r="AD152" s="13">
        <v>5</v>
      </c>
      <c r="AE152" s="15" t="s">
        <v>3231</v>
      </c>
      <c r="AF152" s="13">
        <v>8</v>
      </c>
      <c r="AG152" s="15" t="s">
        <v>3232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3233</v>
      </c>
      <c r="AR152" s="13"/>
      <c r="AS152" s="17">
        <f>SUM(H152,J152,L152,N152,P152,R152,T152,V152,X152,Z152,AB152,AD152,AF152,AH152,AJ152,AL152,AN152)</f>
        <v>71</v>
      </c>
      <c r="AT152" s="11">
        <f>IF(C152="","",DATE(YEAR(C152),MONTH(C152),1))</f>
        <v>46113</v>
      </c>
      <c r="AU152" s="13" t="str">
        <f>IF(AT152="","",TEXT(AT152,"mmmm yyyy"))</f>
        <v>April 2026</v>
      </c>
      <c r="AV152" s="11">
        <f>IF(C152="","",C152-WEEKDAY(C152,2)+1)</f>
        <v>46118</v>
      </c>
      <c r="AW152" s="11">
        <f>IF(AV152="","",AV152+6)</f>
        <v>46124</v>
      </c>
      <c r="AX152" s="13" t="str">
        <f>IF(AV152="","",TEXT(AV152,"dd/mm/yyyy")&amp;" - "&amp;TEXT(AW152,"dd/mm/yyyy"))</f>
        <v>06/04/2026 - 12/04/2026</v>
      </c>
      <c r="AY152" s="13">
        <f>IF(B152="","",COUNTIFS($B$5:B152,B152,$AT$5:AT152,AT152))</f>
        <v>2</v>
      </c>
      <c r="AZ152" s="13">
        <f>IF(B152="","",COUNTIFS($B$5:B152,B152,$AV$5:AV152,AV152))</f>
        <v>1</v>
      </c>
      <c r="BA152" s="13" t="str">
        <f>IF(B152="","",TEXT(AY152,"00")&amp;"|"&amp;B152&amp;"|"&amp;TEXT(AT152,"yyyymmdd"))</f>
        <v>02|Wassana Phothong|20260401</v>
      </c>
      <c r="BB152" s="13" t="str">
        <f>IF(B152="","",TEXT(AZ152,"00")&amp;"|"&amp;B152&amp;"|"&amp;TEXT(AV152,"yyyymmdd"))</f>
        <v>01|Wassana Phothong|20260406</v>
      </c>
      <c r="BC152" s="13">
        <f>IF(OR(AQ152="YES",AQ152="Yes",AQ152="Y",AQ152=1),1,0)</f>
        <v>0</v>
      </c>
      <c r="BD152" s="50" t="s">
        <v>3234</v>
      </c>
      <c r="BE152" t="s">
        <v>3235</v>
      </c>
      <c r="BF152" t="s">
        <v>2338</v>
      </c>
    </row>
    <row r="153" spans="1:58" ht="15" customHeight="1">
      <c r="A153" s="9">
        <v>46129.747488263893</v>
      </c>
      <c r="B153" s="10" t="s">
        <v>1130</v>
      </c>
      <c r="C153" s="11">
        <v>46119</v>
      </c>
      <c r="D153" s="12">
        <v>0.70416666666278616</v>
      </c>
      <c r="E153" s="12">
        <v>0.71041666666860692</v>
      </c>
      <c r="F153" s="13" t="s">
        <v>2812</v>
      </c>
      <c r="G153" s="14" t="s">
        <v>2813</v>
      </c>
      <c r="H153" s="13">
        <v>10</v>
      </c>
      <c r="I153" s="19" t="s">
        <v>2718</v>
      </c>
      <c r="J153" s="13">
        <v>10</v>
      </c>
      <c r="K153" s="15" t="s">
        <v>2814</v>
      </c>
      <c r="L153" s="13">
        <v>10</v>
      </c>
      <c r="M153" s="15" t="s">
        <v>2815</v>
      </c>
      <c r="N153" s="13">
        <v>10</v>
      </c>
      <c r="O153" s="19" t="s">
        <v>2816</v>
      </c>
      <c r="P153" s="13">
        <v>10</v>
      </c>
      <c r="Q153" s="20" t="s">
        <v>2817</v>
      </c>
      <c r="R153" s="13">
        <v>5</v>
      </c>
      <c r="S153" s="20" t="s">
        <v>2818</v>
      </c>
      <c r="T153" s="13"/>
      <c r="U153" s="15"/>
      <c r="V153" s="13">
        <v>15</v>
      </c>
      <c r="W153" s="19" t="s">
        <v>2819</v>
      </c>
      <c r="X153" s="13">
        <v>10</v>
      </c>
      <c r="Y153" s="19" t="s">
        <v>2820</v>
      </c>
      <c r="Z153" s="13"/>
      <c r="AA153" s="15"/>
      <c r="AB153" s="13">
        <v>5</v>
      </c>
      <c r="AC153" s="15" t="s">
        <v>2821</v>
      </c>
      <c r="AD153" s="13">
        <v>5</v>
      </c>
      <c r="AE153" s="15" t="s">
        <v>2822</v>
      </c>
      <c r="AF153" s="13">
        <v>10</v>
      </c>
      <c r="AG153" s="15" t="s">
        <v>2728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2823</v>
      </c>
      <c r="AR153" s="13"/>
      <c r="AS153" s="17">
        <f>SUM(H153,J153,L153,N153,P153,R153,T153,V153,X153,Z153,AB153,AD153,AF153,AH153,AJ153,AL153,AN153)</f>
        <v>100</v>
      </c>
      <c r="AT153" s="11">
        <f>IF(C153="","",DATE(YEAR(C153),MONTH(C153),1))</f>
        <v>46113</v>
      </c>
      <c r="AU153" s="13" t="str">
        <f>IF(AT153="","",TEXT(AT153,"mmmm yyyy"))</f>
        <v>April 2026</v>
      </c>
      <c r="AV153" s="11">
        <f>IF(C153="","",C153-WEEKDAY(C153,2)+1)</f>
        <v>46118</v>
      </c>
      <c r="AW153" s="11">
        <f>IF(AV153="","",AV153+6)</f>
        <v>46124</v>
      </c>
      <c r="AX153" s="13" t="str">
        <f>IF(AV153="","",TEXT(AV153,"dd/mm/yyyy")&amp;" - "&amp;TEXT(AW153,"dd/mm/yyyy"))</f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>IF(B153="","",TEXT(AY153,"00")&amp;"|"&amp;B153&amp;"|"&amp;TEXT(AT153,"yyyymmdd"))</f>
        <v>03|Krivut Vongkampan|20260401</v>
      </c>
      <c r="BB153" s="13" t="str">
        <f>IF(B153="","",TEXT(AZ153,"00")&amp;"|"&amp;B153&amp;"|"&amp;TEXT(AV153,"yyyymmdd"))</f>
        <v>01|Krivut Vongkampan|20260406</v>
      </c>
      <c r="BC153" s="13">
        <f>IF(OR(AQ153="YES",AQ153="Yes",AQ153="Y",AQ153=1),1,0)</f>
        <v>0</v>
      </c>
      <c r="BD153" s="50" t="s">
        <v>2824</v>
      </c>
      <c r="BE153" t="s">
        <v>2825</v>
      </c>
      <c r="BF153" t="s">
        <v>2338</v>
      </c>
    </row>
    <row r="154" spans="1:58" ht="15" customHeight="1">
      <c r="A154" s="9">
        <v>46129.757063229168</v>
      </c>
      <c r="B154" s="10" t="s">
        <v>1130</v>
      </c>
      <c r="C154" s="11">
        <v>46119</v>
      </c>
      <c r="D154" s="12">
        <v>0.51527777777664596</v>
      </c>
      <c r="E154" s="12">
        <v>0.54861111110949423</v>
      </c>
      <c r="F154" s="13" t="s">
        <v>2826</v>
      </c>
      <c r="G154" s="14" t="s">
        <v>2827</v>
      </c>
      <c r="H154" s="13">
        <v>10</v>
      </c>
      <c r="I154" s="19" t="s">
        <v>2828</v>
      </c>
      <c r="J154" s="13">
        <v>10</v>
      </c>
      <c r="K154" s="15" t="s">
        <v>2829</v>
      </c>
      <c r="L154" s="13">
        <v>7</v>
      </c>
      <c r="M154" s="15" t="s">
        <v>2830</v>
      </c>
      <c r="N154" s="13">
        <v>8</v>
      </c>
      <c r="O154" s="19" t="s">
        <v>2831</v>
      </c>
      <c r="P154" s="13">
        <v>7</v>
      </c>
      <c r="Q154" s="20" t="s">
        <v>2832</v>
      </c>
      <c r="R154" s="13">
        <v>3</v>
      </c>
      <c r="S154" s="20" t="s">
        <v>2833</v>
      </c>
      <c r="T154" s="13"/>
      <c r="U154" s="15"/>
      <c r="V154" s="13">
        <v>9</v>
      </c>
      <c r="W154" s="19" t="s">
        <v>2834</v>
      </c>
      <c r="X154" s="13">
        <v>7</v>
      </c>
      <c r="Y154" s="19" t="s">
        <v>2835</v>
      </c>
      <c r="Z154" s="13"/>
      <c r="AA154" s="15"/>
      <c r="AB154" s="13">
        <v>5</v>
      </c>
      <c r="AC154" s="15" t="s">
        <v>2726</v>
      </c>
      <c r="AD154" s="13">
        <v>5</v>
      </c>
      <c r="AE154" s="15" t="s">
        <v>2755</v>
      </c>
      <c r="AF154" s="13">
        <v>10</v>
      </c>
      <c r="AG154" s="15" t="s">
        <v>2836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2837</v>
      </c>
      <c r="AR154" s="13"/>
      <c r="AS154" s="17">
        <f>SUM(H154,J154,L154,N154,P154,R154,T154,V154,X154,Z154,AB154,AD154,AF154,AH154,AJ154,AL154,AN154)</f>
        <v>81</v>
      </c>
      <c r="AT154" s="11">
        <f>IF(C154="","",DATE(YEAR(C154),MONTH(C154),1))</f>
        <v>46113</v>
      </c>
      <c r="AU154" s="13" t="str">
        <f>IF(AT154="","",TEXT(AT154,"mmmm yyyy"))</f>
        <v>April 2026</v>
      </c>
      <c r="AV154" s="11">
        <f>IF(C154="","",C154-WEEKDAY(C154,2)+1)</f>
        <v>46118</v>
      </c>
      <c r="AW154" s="11">
        <f>IF(AV154="","",AV154+6)</f>
        <v>46124</v>
      </c>
      <c r="AX154" s="13" t="str">
        <f>IF(AV154="","",TEXT(AV154,"dd/mm/yyyy")&amp;" - "&amp;TEXT(AW154,"dd/mm/yyyy"))</f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>IF(B154="","",TEXT(AY154,"00")&amp;"|"&amp;B154&amp;"|"&amp;TEXT(AT154,"yyyymmdd"))</f>
        <v>04|Krivut Vongkampan|20260401</v>
      </c>
      <c r="BB154" s="13" t="str">
        <f>IF(B154="","",TEXT(AZ154,"00")&amp;"|"&amp;B154&amp;"|"&amp;TEXT(AV154,"yyyymmdd"))</f>
        <v>02|Krivut Vongkampan|20260406</v>
      </c>
      <c r="BC154" s="13">
        <f>IF(OR(AQ154="YES",AQ154="Yes",AQ154="Y",AQ154=1),1,0)</f>
        <v>0</v>
      </c>
      <c r="BD154" s="50" t="s">
        <v>2838</v>
      </c>
      <c r="BE154" t="s">
        <v>2839</v>
      </c>
      <c r="BF154" t="s">
        <v>2338</v>
      </c>
    </row>
    <row r="155" spans="1:58" ht="15" customHeight="1">
      <c r="A155" s="9">
        <v>46129.84521594907</v>
      </c>
      <c r="B155" s="10" t="s">
        <v>443</v>
      </c>
      <c r="C155" s="11">
        <v>46119</v>
      </c>
      <c r="D155" s="12">
        <v>0.50486111111240461</v>
      </c>
      <c r="E155" s="12">
        <v>0.52222222222189885</v>
      </c>
      <c r="F155" s="13" t="s">
        <v>2945</v>
      </c>
      <c r="G155" s="14" t="s">
        <v>2946</v>
      </c>
      <c r="H155" s="13">
        <v>10</v>
      </c>
      <c r="I155" s="19" t="s">
        <v>2947</v>
      </c>
      <c r="J155" s="13">
        <v>10</v>
      </c>
      <c r="K155" s="15" t="s">
        <v>2948</v>
      </c>
      <c r="L155" s="13">
        <v>6</v>
      </c>
      <c r="M155" s="15" t="s">
        <v>2949</v>
      </c>
      <c r="N155" s="13">
        <v>10</v>
      </c>
      <c r="O155" s="19" t="s">
        <v>2950</v>
      </c>
      <c r="P155" s="13">
        <v>9</v>
      </c>
      <c r="Q155" s="20" t="s">
        <v>2951</v>
      </c>
      <c r="R155" s="13">
        <v>5</v>
      </c>
      <c r="S155" s="20" t="s">
        <v>2952</v>
      </c>
      <c r="T155" s="13"/>
      <c r="U155" s="15"/>
      <c r="V155" s="13">
        <v>14</v>
      </c>
      <c r="W155" s="19" t="s">
        <v>2953</v>
      </c>
      <c r="X155" s="13">
        <v>9</v>
      </c>
      <c r="Y155" s="19" t="s">
        <v>2954</v>
      </c>
      <c r="Z155" s="13"/>
      <c r="AA155" s="15"/>
      <c r="AB155" s="13">
        <v>5</v>
      </c>
      <c r="AC155" s="15" t="s">
        <v>2726</v>
      </c>
      <c r="AD155" s="13">
        <v>5</v>
      </c>
      <c r="AE155" s="15" t="s">
        <v>2955</v>
      </c>
      <c r="AF155" s="13">
        <v>10</v>
      </c>
      <c r="AG155" s="15" t="s">
        <v>2956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2957</v>
      </c>
      <c r="AR155" s="13"/>
      <c r="AS155" s="17">
        <f>SUM(H155,J155,L155,N155,P155,R155,T155,V155,X155,Z155,AB155,AD155,AF155,AH155,AJ155,AL155,AN155)</f>
        <v>93</v>
      </c>
      <c r="AT155" s="11">
        <f>IF(C155="","",DATE(YEAR(C155),MONTH(C155),1))</f>
        <v>46113</v>
      </c>
      <c r="AU155" s="13" t="str">
        <f>IF(AT155="","",TEXT(AT155,"mmmm yyyy"))</f>
        <v>April 2026</v>
      </c>
      <c r="AV155" s="11">
        <f>IF(C155="","",C155-WEEKDAY(C155,2)+1)</f>
        <v>46118</v>
      </c>
      <c r="AW155" s="11">
        <f>IF(AV155="","",AV155+6)</f>
        <v>46124</v>
      </c>
      <c r="AX155" s="13" t="str">
        <f>IF(AV155="","",TEXT(AV155,"dd/mm/yyyy")&amp;" - "&amp;TEXT(AW155,"dd/mm/yyyy"))</f>
        <v>06/04/2026 - 12/04/2026</v>
      </c>
      <c r="AY155" s="13">
        <f>IF(B155="","",COUNTIFS($B$5:B155,B155,$AT$5:AT155,AT155))</f>
        <v>1</v>
      </c>
      <c r="AZ155" s="13">
        <f>IF(B155="","",COUNTIFS($B$5:B155,B155,$AV$5:AV155,AV155))</f>
        <v>1</v>
      </c>
      <c r="BA155" s="13" t="str">
        <f>IF(B155="","",TEXT(AY155,"00")&amp;"|"&amp;B155&amp;"|"&amp;TEXT(AT155,"yyyymmdd"))</f>
        <v>01|Sunijtra Siritip|20260401</v>
      </c>
      <c r="BB155" s="13" t="str">
        <f>IF(B155="","",TEXT(AZ155,"00")&amp;"|"&amp;B155&amp;"|"&amp;TEXT(AV155,"yyyymmdd"))</f>
        <v>01|Sunijtra Siritip|20260406</v>
      </c>
      <c r="BC155" s="13">
        <f>IF(OR(AQ155="YES",AQ155="Yes",AQ155="Y",AQ155=1),1,0)</f>
        <v>0</v>
      </c>
      <c r="BD155" s="50" t="s">
        <v>2958</v>
      </c>
      <c r="BE155" t="s">
        <v>2959</v>
      </c>
      <c r="BF155" t="s">
        <v>2338</v>
      </c>
    </row>
    <row r="156" spans="1:58" ht="15" customHeight="1">
      <c r="A156" s="9">
        <v>46129.973535219906</v>
      </c>
      <c r="B156" s="10" t="s">
        <v>256</v>
      </c>
      <c r="C156" s="11">
        <v>46119</v>
      </c>
      <c r="D156" s="12">
        <v>0.57708333333721384</v>
      </c>
      <c r="E156" s="12">
        <v>0.5819444444423425</v>
      </c>
      <c r="F156" s="13" t="s">
        <v>3051</v>
      </c>
      <c r="G156" s="14" t="s">
        <v>3052</v>
      </c>
      <c r="H156" s="13">
        <v>10</v>
      </c>
      <c r="I156" s="19" t="s">
        <v>3053</v>
      </c>
      <c r="J156" s="13">
        <v>10</v>
      </c>
      <c r="K156" s="15" t="s">
        <v>3054</v>
      </c>
      <c r="L156" s="13">
        <v>9</v>
      </c>
      <c r="M156" s="15" t="s">
        <v>3055</v>
      </c>
      <c r="N156" s="13">
        <v>10</v>
      </c>
      <c r="O156" s="19" t="s">
        <v>3056</v>
      </c>
      <c r="P156" s="13">
        <v>9</v>
      </c>
      <c r="Q156" s="20" t="s">
        <v>3057</v>
      </c>
      <c r="R156" s="13">
        <v>5</v>
      </c>
      <c r="S156" s="20" t="s">
        <v>3058</v>
      </c>
      <c r="T156" s="13"/>
      <c r="U156" s="15"/>
      <c r="V156" s="13">
        <v>13</v>
      </c>
      <c r="W156" s="19" t="s">
        <v>3059</v>
      </c>
      <c r="X156" s="13">
        <v>9</v>
      </c>
      <c r="Y156" s="19" t="s">
        <v>3060</v>
      </c>
      <c r="Z156" s="13"/>
      <c r="AA156" s="15"/>
      <c r="AB156" s="13">
        <v>5</v>
      </c>
      <c r="AC156" s="15" t="s">
        <v>3061</v>
      </c>
      <c r="AD156" s="13">
        <v>5</v>
      </c>
      <c r="AE156" s="15" t="s">
        <v>3062</v>
      </c>
      <c r="AF156" s="13">
        <v>10</v>
      </c>
      <c r="AG156" s="15" t="s">
        <v>3063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3064</v>
      </c>
      <c r="AR156" s="13"/>
      <c r="AS156" s="17">
        <f>SUM(H156,J156,L156,N156,P156,R156,T156,V156,X156,Z156,AB156,AD156,AF156,AH156,AJ156,AL156,AN156)</f>
        <v>95</v>
      </c>
      <c r="AT156" s="11">
        <f>IF(C156="","",DATE(YEAR(C156),MONTH(C156),1))</f>
        <v>46113</v>
      </c>
      <c r="AU156" s="13" t="str">
        <f>IF(AT156="","",TEXT(AT156,"mmmm yyyy"))</f>
        <v>April 2026</v>
      </c>
      <c r="AV156" s="11">
        <f>IF(C156="","",C156-WEEKDAY(C156,2)+1)</f>
        <v>46118</v>
      </c>
      <c r="AW156" s="11">
        <f>IF(AV156="","",AV156+6)</f>
        <v>46124</v>
      </c>
      <c r="AX156" s="13" t="str">
        <f>IF(AV156="","",TEXT(AV156,"dd/mm/yyyy")&amp;" - "&amp;TEXT(AW156,"dd/mm/yyyy"))</f>
        <v>06/04/2026 - 12/04/2026</v>
      </c>
      <c r="AY156" s="13">
        <f>IF(B156="","",COUNTIFS($B$5:B156,B156,$AT$5:AT156,AT156))</f>
        <v>4</v>
      </c>
      <c r="AZ156" s="13">
        <f>IF(B156="","",COUNTIFS($B$5:B156,B156,$AV$5:AV156,AV156))</f>
        <v>2</v>
      </c>
      <c r="BA156" s="13" t="str">
        <f>IF(B156="","",TEXT(AY156,"00")&amp;"|"&amp;B156&amp;"|"&amp;TEXT(AT156,"yyyymmdd"))</f>
        <v>04|Supakrit Promkhamnoi|20260401</v>
      </c>
      <c r="BB156" s="13" t="str">
        <f>IF(B156="","",TEXT(AZ156,"00")&amp;"|"&amp;B156&amp;"|"&amp;TEXT(AV156,"yyyymmdd"))</f>
        <v>02|Supakrit Promkhamnoi|20260406</v>
      </c>
      <c r="BC156" s="13">
        <f>IF(OR(AQ156="YES",AQ156="Yes",AQ156="Y",AQ156=1),1,0)</f>
        <v>0</v>
      </c>
      <c r="BD156" s="50" t="s">
        <v>3065</v>
      </c>
      <c r="BE156" t="s">
        <v>3066</v>
      </c>
      <c r="BF156" t="s">
        <v>2338</v>
      </c>
    </row>
    <row r="157" spans="1:58" ht="15" customHeight="1">
      <c r="A157" s="9">
        <v>46129.979375520837</v>
      </c>
      <c r="B157" s="10" t="s">
        <v>256</v>
      </c>
      <c r="C157" s="11">
        <v>46119</v>
      </c>
      <c r="D157" s="12">
        <v>0.523611111115315</v>
      </c>
      <c r="E157" s="12">
        <v>0.52847222222044365</v>
      </c>
      <c r="F157" s="13" t="s">
        <v>3067</v>
      </c>
      <c r="G157" s="14" t="s">
        <v>3068</v>
      </c>
      <c r="H157" s="13">
        <v>10</v>
      </c>
      <c r="I157" s="19" t="s">
        <v>3069</v>
      </c>
      <c r="J157" s="13">
        <v>10</v>
      </c>
      <c r="K157" s="15" t="s">
        <v>3070</v>
      </c>
      <c r="L157" s="13">
        <v>9</v>
      </c>
      <c r="M157" s="15" t="s">
        <v>3071</v>
      </c>
      <c r="N157" s="13">
        <v>10</v>
      </c>
      <c r="O157" s="19" t="s">
        <v>3072</v>
      </c>
      <c r="P157" s="13">
        <v>9</v>
      </c>
      <c r="Q157" s="20" t="s">
        <v>3073</v>
      </c>
      <c r="R157" s="13">
        <v>5</v>
      </c>
      <c r="S157" s="20" t="s">
        <v>3074</v>
      </c>
      <c r="T157" s="13"/>
      <c r="U157" s="15"/>
      <c r="V157" s="13">
        <v>13</v>
      </c>
      <c r="W157" s="19" t="s">
        <v>3075</v>
      </c>
      <c r="X157" s="13">
        <v>9</v>
      </c>
      <c r="Y157" s="19" t="s">
        <v>3076</v>
      </c>
      <c r="Z157" s="13"/>
      <c r="AA157" s="15"/>
      <c r="AB157" s="13">
        <v>5</v>
      </c>
      <c r="AC157" s="15" t="s">
        <v>3061</v>
      </c>
      <c r="AD157" s="13">
        <v>5</v>
      </c>
      <c r="AE157" s="15" t="s">
        <v>3077</v>
      </c>
      <c r="AF157" s="13">
        <v>10</v>
      </c>
      <c r="AG157" s="15" t="s">
        <v>3078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3079</v>
      </c>
      <c r="AR157" s="13"/>
      <c r="AS157" s="17">
        <f>SUM(H157,J157,L157,N157,P157,R157,T157,V157,X157,Z157,AB157,AD157,AF157,AH157,AJ157,AL157,AN157)</f>
        <v>95</v>
      </c>
      <c r="AT157" s="11">
        <f>IF(C157="","",DATE(YEAR(C157),MONTH(C157),1))</f>
        <v>46113</v>
      </c>
      <c r="AU157" s="13" t="str">
        <f>IF(AT157="","",TEXT(AT157,"mmmm yyyy"))</f>
        <v>April 2026</v>
      </c>
      <c r="AV157" s="11">
        <f>IF(C157="","",C157-WEEKDAY(C157,2)+1)</f>
        <v>46118</v>
      </c>
      <c r="AW157" s="11">
        <f>IF(AV157="","",AV157+6)</f>
        <v>46124</v>
      </c>
      <c r="AX157" s="13" t="str">
        <f>IF(AV157="","",TEXT(AV157,"dd/mm/yyyy")&amp;" - "&amp;TEXT(AW157,"dd/mm/yyyy"))</f>
        <v>06/04/2026 - 12/04/2026</v>
      </c>
      <c r="AY157" s="13">
        <f>IF(B157="","",COUNTIFS($B$5:B157,B157,$AT$5:AT157,AT157))</f>
        <v>5</v>
      </c>
      <c r="AZ157" s="13">
        <f>IF(B157="","",COUNTIFS($B$5:B157,B157,$AV$5:AV157,AV157))</f>
        <v>3</v>
      </c>
      <c r="BA157" s="13" t="str">
        <f>IF(B157="","",TEXT(AY157,"00")&amp;"|"&amp;B157&amp;"|"&amp;TEXT(AT157,"yyyymmdd"))</f>
        <v>05|Supakrit Promkhamnoi|20260401</v>
      </c>
      <c r="BB157" s="13" t="str">
        <f>IF(B157="","",TEXT(AZ157,"00")&amp;"|"&amp;B157&amp;"|"&amp;TEXT(AV157,"yyyymmdd"))</f>
        <v>03|Supakrit Promkhamnoi|20260406</v>
      </c>
      <c r="BC157" s="13">
        <f>IF(OR(AQ157="YES",AQ157="Yes",AQ157="Y",AQ157=1),1,0)</f>
        <v>0</v>
      </c>
      <c r="BD157" s="50" t="s">
        <v>3080</v>
      </c>
      <c r="BE157" t="s">
        <v>3081</v>
      </c>
      <c r="BF157" t="s">
        <v>2338</v>
      </c>
    </row>
    <row r="158" spans="1:58" ht="15" customHeight="1">
      <c r="A158" s="9">
        <v>46129.990847407404</v>
      </c>
      <c r="B158" s="10" t="s">
        <v>290</v>
      </c>
      <c r="C158" s="11">
        <v>46119</v>
      </c>
      <c r="D158" s="12">
        <v>0.47083333333284827</v>
      </c>
      <c r="E158" s="12">
        <v>0.47847222222480923</v>
      </c>
      <c r="F158" s="13" t="s">
        <v>3096</v>
      </c>
      <c r="G158" s="14" t="s">
        <v>3097</v>
      </c>
      <c r="H158" s="13">
        <v>10</v>
      </c>
      <c r="I158" s="19" t="s">
        <v>3098</v>
      </c>
      <c r="J158" s="13">
        <v>10</v>
      </c>
      <c r="K158" s="15" t="s">
        <v>3099</v>
      </c>
      <c r="L158" s="13">
        <v>10</v>
      </c>
      <c r="M158" s="15" t="s">
        <v>3100</v>
      </c>
      <c r="N158" s="13">
        <v>10</v>
      </c>
      <c r="O158" s="19" t="s">
        <v>3101</v>
      </c>
      <c r="P158" s="13">
        <v>8</v>
      </c>
      <c r="Q158" s="20" t="s">
        <v>3102</v>
      </c>
      <c r="R158" s="13">
        <v>5</v>
      </c>
      <c r="S158" s="20" t="s">
        <v>3103</v>
      </c>
      <c r="T158" s="13"/>
      <c r="U158" s="15"/>
      <c r="V158" s="13">
        <v>14</v>
      </c>
      <c r="W158" s="19" t="s">
        <v>3104</v>
      </c>
      <c r="X158" s="13">
        <v>8</v>
      </c>
      <c r="Y158" s="19" t="s">
        <v>3105</v>
      </c>
      <c r="Z158" s="13"/>
      <c r="AA158" s="15"/>
      <c r="AB158" s="13">
        <v>5</v>
      </c>
      <c r="AC158" s="15" t="s">
        <v>3106</v>
      </c>
      <c r="AD158" s="13">
        <v>5</v>
      </c>
      <c r="AE158" s="15" t="s">
        <v>3107</v>
      </c>
      <c r="AF158" s="13">
        <v>9</v>
      </c>
      <c r="AG158" s="15" t="s">
        <v>3108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3109</v>
      </c>
      <c r="AR158" s="13"/>
      <c r="AS158" s="17">
        <f>SUM(H158,J158,L158,N158,P158,R158,T158,V158,X158,Z158,AB158,AD158,AF158,AH158,AJ158,AL158,AN158)</f>
        <v>94</v>
      </c>
      <c r="AT158" s="11">
        <f>IF(C158="","",DATE(YEAR(C158),MONTH(C158),1))</f>
        <v>46113</v>
      </c>
      <c r="AU158" s="13" t="str">
        <f>IF(AT158="","",TEXT(AT158,"mmmm yyyy"))</f>
        <v>April 2026</v>
      </c>
      <c r="AV158" s="11">
        <f>IF(C158="","",C158-WEEKDAY(C158,2)+1)</f>
        <v>46118</v>
      </c>
      <c r="AW158" s="11">
        <f>IF(AV158="","",AV158+6)</f>
        <v>46124</v>
      </c>
      <c r="AX158" s="13" t="str">
        <f>IF(AV158="","",TEXT(AV158,"dd/mm/yyyy")&amp;" - "&amp;TEXT(AW158,"dd/mm/yyyy"))</f>
        <v>06/04/2026 - 12/04/2026</v>
      </c>
      <c r="AY158" s="13">
        <f>IF(B158="","",COUNTIFS($B$5:B158,B158,$AT$5:AT158,AT158))</f>
        <v>3</v>
      </c>
      <c r="AZ158" s="13">
        <f>IF(B158="","",COUNTIFS($B$5:B158,B158,$AV$5:AV158,AV158))</f>
        <v>1</v>
      </c>
      <c r="BA158" s="13" t="str">
        <f>IF(B158="","",TEXT(AY158,"00")&amp;"|"&amp;B158&amp;"|"&amp;TEXT(AT158,"yyyymmdd"))</f>
        <v>03|Suphitcha Keawliam|20260401</v>
      </c>
      <c r="BB158" s="13" t="str">
        <f>IF(B158="","",TEXT(AZ158,"00")&amp;"|"&amp;B158&amp;"|"&amp;TEXT(AV158,"yyyymmdd"))</f>
        <v>01|Suphitcha Keawliam|20260406</v>
      </c>
      <c r="BC158" s="13">
        <f>IF(OR(AQ158="YES",AQ158="Yes",AQ158="Y",AQ158=1),1,0)</f>
        <v>0</v>
      </c>
      <c r="BD158" s="50" t="s">
        <v>3110</v>
      </c>
      <c r="BE158" t="s">
        <v>3111</v>
      </c>
      <c r="BF158" t="s">
        <v>2338</v>
      </c>
    </row>
    <row r="159" spans="1:58" ht="15" customHeight="1">
      <c r="A159" s="9">
        <v>46130.449516851848</v>
      </c>
      <c r="B159" s="10" t="s">
        <v>290</v>
      </c>
      <c r="C159" s="11">
        <v>46119</v>
      </c>
      <c r="D159" s="12">
        <v>0.56874999999854481</v>
      </c>
      <c r="E159" s="12">
        <v>0.59166666666715173</v>
      </c>
      <c r="F159" s="13" t="s">
        <v>3143</v>
      </c>
      <c r="G159" s="14" t="s">
        <v>3144</v>
      </c>
      <c r="H159" s="13">
        <v>10</v>
      </c>
      <c r="I159" s="19" t="s">
        <v>3145</v>
      </c>
      <c r="J159" s="13">
        <v>10</v>
      </c>
      <c r="K159" s="15" t="s">
        <v>3146</v>
      </c>
      <c r="L159" s="13">
        <v>3</v>
      </c>
      <c r="M159" s="15" t="s">
        <v>3147</v>
      </c>
      <c r="N159" s="13">
        <v>9</v>
      </c>
      <c r="O159" s="19" t="s">
        <v>3148</v>
      </c>
      <c r="P159" s="13">
        <v>9</v>
      </c>
      <c r="Q159" s="20" t="s">
        <v>3149</v>
      </c>
      <c r="R159" s="13">
        <v>5</v>
      </c>
      <c r="S159" s="20" t="s">
        <v>3150</v>
      </c>
      <c r="T159" s="13"/>
      <c r="U159" s="15"/>
      <c r="V159" s="13">
        <v>12</v>
      </c>
      <c r="W159" s="19" t="s">
        <v>3151</v>
      </c>
      <c r="X159" s="13">
        <v>9</v>
      </c>
      <c r="Y159" s="19" t="s">
        <v>3152</v>
      </c>
      <c r="Z159" s="13"/>
      <c r="AA159" s="15"/>
      <c r="AB159" s="13">
        <v>5</v>
      </c>
      <c r="AC159" s="15" t="s">
        <v>3153</v>
      </c>
      <c r="AD159" s="13">
        <v>5</v>
      </c>
      <c r="AE159" s="15" t="s">
        <v>3123</v>
      </c>
      <c r="AF159" s="13">
        <v>8</v>
      </c>
      <c r="AG159" s="15" t="s">
        <v>3154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3155</v>
      </c>
      <c r="AR159" s="13"/>
      <c r="AS159" s="17">
        <f>SUM(H159,J159,L159,N159,P159,R159,T159,V159,X159,Z159,AB159,AD159,AF159,AH159,AJ159,AL159,AN159)</f>
        <v>85</v>
      </c>
      <c r="AT159" s="11">
        <f>IF(C159="","",DATE(YEAR(C159),MONTH(C159),1))</f>
        <v>46113</v>
      </c>
      <c r="AU159" s="13" t="str">
        <f>IF(AT159="","",TEXT(AT159,"mmmm yyyy"))</f>
        <v>April 2026</v>
      </c>
      <c r="AV159" s="11">
        <f>IF(C159="","",C159-WEEKDAY(C159,2)+1)</f>
        <v>46118</v>
      </c>
      <c r="AW159" s="11">
        <f>IF(AV159="","",AV159+6)</f>
        <v>46124</v>
      </c>
      <c r="AX159" s="13" t="str">
        <f>IF(AV159="","",TEXT(AV159,"dd/mm/yyyy")&amp;" - "&amp;TEXT(AW159,"dd/mm/yyyy"))</f>
        <v>06/04/2026 - 12/04/2026</v>
      </c>
      <c r="AY159" s="13">
        <f>IF(B159="","",COUNTIFS($B$5:B159,B159,$AT$5:AT159,AT159))</f>
        <v>4</v>
      </c>
      <c r="AZ159" s="13">
        <f>IF(B159="","",COUNTIFS($B$5:B159,B159,$AV$5:AV159,AV159))</f>
        <v>2</v>
      </c>
      <c r="BA159" s="13" t="str">
        <f>IF(B159="","",TEXT(AY159,"00")&amp;"|"&amp;B159&amp;"|"&amp;TEXT(AT159,"yyyymmdd"))</f>
        <v>04|Suphitcha Keawliam|20260401</v>
      </c>
      <c r="BB159" s="13" t="str">
        <f>IF(B159="","",TEXT(AZ159,"00")&amp;"|"&amp;B159&amp;"|"&amp;TEXT(AV159,"yyyymmdd"))</f>
        <v>02|Suphitcha Keawliam|20260406</v>
      </c>
      <c r="BC159" s="13">
        <f>IF(OR(AQ159="YES",AQ159="Yes",AQ159="Y",AQ159=1),1,0)</f>
        <v>0</v>
      </c>
      <c r="BD159" s="50" t="s">
        <v>3156</v>
      </c>
      <c r="BE159" t="s">
        <v>3157</v>
      </c>
      <c r="BF159" t="s">
        <v>2338</v>
      </c>
    </row>
    <row r="160" spans="1:58" ht="15" customHeight="1">
      <c r="A160" s="9">
        <v>46130.475100509255</v>
      </c>
      <c r="B160" s="10" t="s">
        <v>184</v>
      </c>
      <c r="C160" s="11">
        <v>46119</v>
      </c>
      <c r="D160" s="12">
        <v>0.67430555555620231</v>
      </c>
      <c r="E160" s="12">
        <v>0.679861111115315</v>
      </c>
      <c r="F160" s="13" t="s">
        <v>3189</v>
      </c>
      <c r="G160" s="14" t="s">
        <v>3190</v>
      </c>
      <c r="H160" s="13">
        <v>10</v>
      </c>
      <c r="I160" s="19" t="s">
        <v>3191</v>
      </c>
      <c r="J160" s="13">
        <v>10</v>
      </c>
      <c r="K160" s="15" t="s">
        <v>3192</v>
      </c>
      <c r="L160" s="13">
        <v>8</v>
      </c>
      <c r="M160" s="15" t="s">
        <v>3193</v>
      </c>
      <c r="N160" s="13">
        <v>10</v>
      </c>
      <c r="O160" s="19" t="s">
        <v>3194</v>
      </c>
      <c r="P160" s="13">
        <v>9</v>
      </c>
      <c r="Q160" s="20" t="s">
        <v>3195</v>
      </c>
      <c r="R160" s="13">
        <v>5</v>
      </c>
      <c r="S160" s="20" t="s">
        <v>3196</v>
      </c>
      <c r="T160" s="13"/>
      <c r="U160" s="15"/>
      <c r="V160" s="13">
        <v>15</v>
      </c>
      <c r="W160" s="19" t="s">
        <v>3197</v>
      </c>
      <c r="X160" s="13">
        <v>10</v>
      </c>
      <c r="Y160" s="19" t="s">
        <v>3198</v>
      </c>
      <c r="Z160" s="13"/>
      <c r="AA160" s="15"/>
      <c r="AB160" s="13">
        <v>5</v>
      </c>
      <c r="AC160" s="15" t="s">
        <v>3199</v>
      </c>
      <c r="AD160" s="13">
        <v>5</v>
      </c>
      <c r="AE160" s="15" t="s">
        <v>3200</v>
      </c>
      <c r="AF160" s="13">
        <v>10</v>
      </c>
      <c r="AG160" s="15" t="s">
        <v>3201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3202</v>
      </c>
      <c r="AR160" s="13"/>
      <c r="AS160" s="17">
        <f>SUM(H160,J160,L160,N160,P160,R160,T160,V160,X160,Z160,AB160,AD160,AF160,AH160,AJ160,AL160,AN160)</f>
        <v>97</v>
      </c>
      <c r="AT160" s="11">
        <f>IF(C160="","",DATE(YEAR(C160),MONTH(C160),1))</f>
        <v>46113</v>
      </c>
      <c r="AU160" s="13" t="str">
        <f>IF(AT160="","",TEXT(AT160,"mmmm yyyy"))</f>
        <v>April 2026</v>
      </c>
      <c r="AV160" s="11">
        <f>IF(C160="","",C160-WEEKDAY(C160,2)+1)</f>
        <v>46118</v>
      </c>
      <c r="AW160" s="11">
        <f>IF(AV160="","",AV160+6)</f>
        <v>46124</v>
      </c>
      <c r="AX160" s="13" t="str">
        <f>IF(AV160="","",TEXT(AV160,"dd/mm/yyyy")&amp;" - "&amp;TEXT(AW160,"dd/mm/yyyy"))</f>
        <v>06/04/2026 - 12/04/2026</v>
      </c>
      <c r="AY160" s="13">
        <f>IF(B160="","",COUNTIFS($B$5:B160,B160,$AT$5:AT160,AT160))</f>
        <v>5</v>
      </c>
      <c r="AZ160" s="13">
        <f>IF(B160="","",COUNTIFS($B$5:B160,B160,$AV$5:AV160,AV160))</f>
        <v>3</v>
      </c>
      <c r="BA160" s="13" t="str">
        <f>IF(B160="","",TEXT(AY160,"00")&amp;"|"&amp;B160&amp;"|"&amp;TEXT(AT160,"yyyymmdd"))</f>
        <v>05|Wachiraporn chailittichai|20260401</v>
      </c>
      <c r="BB160" s="13" t="str">
        <f>IF(B160="","",TEXT(AZ160,"00")&amp;"|"&amp;B160&amp;"|"&amp;TEXT(AV160,"yyyymmdd"))</f>
        <v>03|Wachiraporn chailittichai|20260406</v>
      </c>
      <c r="BC160" s="13">
        <f>IF(OR(AQ160="YES",AQ160="Yes",AQ160="Y",AQ160=1),1,0)</f>
        <v>0</v>
      </c>
      <c r="BD160" s="50" t="s">
        <v>3203</v>
      </c>
      <c r="BE160" t="s">
        <v>3204</v>
      </c>
      <c r="BF160" t="s">
        <v>2338</v>
      </c>
    </row>
    <row r="161" spans="1:58" ht="15" customHeight="1">
      <c r="A161" s="9">
        <v>46129.719881296296</v>
      </c>
      <c r="B161" s="10" t="s">
        <v>81</v>
      </c>
      <c r="C161" s="11">
        <v>46120</v>
      </c>
      <c r="D161" s="12">
        <v>0.40694444444670808</v>
      </c>
      <c r="E161" s="12">
        <v>0.41249999999854481</v>
      </c>
      <c r="F161" s="13" t="s">
        <v>2775</v>
      </c>
      <c r="G161" s="14" t="s">
        <v>2776</v>
      </c>
      <c r="H161" s="13">
        <v>10</v>
      </c>
      <c r="I161" s="19" t="s">
        <v>2718</v>
      </c>
      <c r="J161" s="13">
        <v>10</v>
      </c>
      <c r="K161" s="15" t="s">
        <v>2777</v>
      </c>
      <c r="L161" s="13">
        <v>10</v>
      </c>
      <c r="M161" s="15" t="s">
        <v>2778</v>
      </c>
      <c r="N161" s="13">
        <v>10</v>
      </c>
      <c r="O161" s="19" t="s">
        <v>2779</v>
      </c>
      <c r="P161" s="13">
        <v>9</v>
      </c>
      <c r="Q161" s="20" t="s">
        <v>2780</v>
      </c>
      <c r="R161" s="13">
        <v>5</v>
      </c>
      <c r="S161" s="20" t="s">
        <v>2781</v>
      </c>
      <c r="T161" s="13"/>
      <c r="U161" s="15"/>
      <c r="V161" s="13">
        <v>14</v>
      </c>
      <c r="W161" s="19" t="s">
        <v>2782</v>
      </c>
      <c r="X161" s="13">
        <v>10</v>
      </c>
      <c r="Y161" s="19" t="s">
        <v>2783</v>
      </c>
      <c r="Z161" s="13"/>
      <c r="AA161" s="15"/>
      <c r="AB161" s="13">
        <v>5</v>
      </c>
      <c r="AC161" s="15" t="s">
        <v>2784</v>
      </c>
      <c r="AD161" s="13">
        <v>5</v>
      </c>
      <c r="AE161" s="15" t="s">
        <v>2755</v>
      </c>
      <c r="AF161" s="13">
        <v>10</v>
      </c>
      <c r="AG161" s="15" t="s">
        <v>2728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2785</v>
      </c>
      <c r="AR161" s="13"/>
      <c r="AS161" s="17">
        <f>SUM(H161,J161,L161,N161,P161,R161,T161,V161,X161,Z161,AB161,AD161,AF161,AH161,AJ161,AL161,AN161)</f>
        <v>98</v>
      </c>
      <c r="AT161" s="11">
        <f>IF(C161="","",DATE(YEAR(C161),MONTH(C161),1))</f>
        <v>46113</v>
      </c>
      <c r="AU161" s="13" t="str">
        <f>IF(AT161="","",TEXT(AT161,"mmmm yyyy"))</f>
        <v>April 2026</v>
      </c>
      <c r="AV161" s="11">
        <f>IF(C161="","",C161-WEEKDAY(C161,2)+1)</f>
        <v>46118</v>
      </c>
      <c r="AW161" s="11">
        <f>IF(AV161="","",AV161+6)</f>
        <v>46124</v>
      </c>
      <c r="AX161" s="13" t="str">
        <f>IF(AV161="","",TEXT(AV161,"dd/mm/yyyy")&amp;" - "&amp;TEXT(AW161,"dd/mm/yyyy"))</f>
        <v>06/04/2026 - 12/04/2026</v>
      </c>
      <c r="AY161" s="13">
        <f>IF(B161="","",COUNTIFS($B$5:B161,B161,$AT$5:AT161,AT161))</f>
        <v>3</v>
      </c>
      <c r="AZ161" s="13">
        <f>IF(B161="","",COUNTIFS($B$5:B161,B161,$AV$5:AV161,AV161))</f>
        <v>1</v>
      </c>
      <c r="BA161" s="13" t="str">
        <f>IF(B161="","",TEXT(AY161,"00")&amp;"|"&amp;B161&amp;"|"&amp;TEXT(AT161,"yyyymmdd"))</f>
        <v>03|Jureeporn Piddum|20260401</v>
      </c>
      <c r="BB161" s="13" t="str">
        <f>IF(B161="","",TEXT(AZ161,"00")&amp;"|"&amp;B161&amp;"|"&amp;TEXT(AV161,"yyyymmdd"))</f>
        <v>01|Jureeporn Piddum|20260406</v>
      </c>
      <c r="BC161" s="13">
        <f>IF(OR(AQ161="YES",AQ161="Yes",AQ161="Y",AQ161=1),1,0)</f>
        <v>0</v>
      </c>
      <c r="BD161" s="50" t="s">
        <v>2786</v>
      </c>
      <c r="BE161" t="s">
        <v>2787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2853</v>
      </c>
      <c r="G162" s="14" t="s">
        <v>2854</v>
      </c>
      <c r="H162" s="13">
        <v>10</v>
      </c>
      <c r="I162" s="19" t="s">
        <v>2855</v>
      </c>
      <c r="J162" s="13">
        <v>10</v>
      </c>
      <c r="K162" s="15" t="s">
        <v>2856</v>
      </c>
      <c r="L162" s="13">
        <v>7</v>
      </c>
      <c r="M162" s="15" t="s">
        <v>2857</v>
      </c>
      <c r="N162" s="13">
        <v>7</v>
      </c>
      <c r="O162" s="19" t="s">
        <v>2858</v>
      </c>
      <c r="P162" s="13">
        <v>7</v>
      </c>
      <c r="Q162" s="20" t="s">
        <v>2859</v>
      </c>
      <c r="R162" s="13">
        <v>4</v>
      </c>
      <c r="S162" s="20" t="s">
        <v>2860</v>
      </c>
      <c r="T162" s="13"/>
      <c r="U162" s="15"/>
      <c r="V162" s="13">
        <v>10</v>
      </c>
      <c r="W162" s="19" t="s">
        <v>2861</v>
      </c>
      <c r="X162" s="13">
        <v>8</v>
      </c>
      <c r="Y162" s="19" t="s">
        <v>2862</v>
      </c>
      <c r="Z162" s="13"/>
      <c r="AA162" s="15"/>
      <c r="AB162" s="13">
        <v>5</v>
      </c>
      <c r="AC162" s="15" t="s">
        <v>2863</v>
      </c>
      <c r="AD162" s="13">
        <v>5</v>
      </c>
      <c r="AE162" s="15" t="s">
        <v>2864</v>
      </c>
      <c r="AF162" s="13">
        <v>10</v>
      </c>
      <c r="AG162" s="15" t="s">
        <v>2865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2866</v>
      </c>
      <c r="AR162" s="13"/>
      <c r="AS162" s="17">
        <f>SUM(H162,J162,L162,N162,P162,R162,T162,V162,X162,Z162,AB162,AD162,AF162,AH162,AJ162,AL162,AN162)</f>
        <v>83</v>
      </c>
      <c r="AT162" s="11">
        <f>IF(C162="","",DATE(YEAR(C162),MONTH(C162),1))</f>
        <v>46113</v>
      </c>
      <c r="AU162" s="13" t="str">
        <f>IF(AT162="","",TEXT(AT162,"mmmm yyyy"))</f>
        <v>April 2026</v>
      </c>
      <c r="AV162" s="11">
        <f>IF(C162="","",C162-WEEKDAY(C162,2)+1)</f>
        <v>46118</v>
      </c>
      <c r="AW162" s="11">
        <f>IF(AV162="","",AV162+6)</f>
        <v>46124</v>
      </c>
      <c r="AX162" s="13" t="str">
        <f>IF(AV162="","",TEXT(AV162,"dd/mm/yyyy")&amp;" - "&amp;TEXT(AW162,"dd/mm/yyyy"))</f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>IF(B162="","",TEXT(AY162,"00")&amp;"|"&amp;B162&amp;"|"&amp;TEXT(AT162,"yyyymmdd"))</f>
        <v>03|Natcha Chai-in|20260401</v>
      </c>
      <c r="BB162" s="13" t="str">
        <f>IF(B162="","",TEXT(AZ162,"00")&amp;"|"&amp;B162&amp;"|"&amp;TEXT(AV162,"yyyymmdd"))</f>
        <v>01|Natcha Chai-in|20260406</v>
      </c>
      <c r="BC162" s="13">
        <f>IF(OR(AQ162="YES",AQ162="Yes",AQ162="Y",AQ162=1),1,0)</f>
        <v>0</v>
      </c>
      <c r="BD162" s="50" t="s">
        <v>2867</v>
      </c>
      <c r="BE162" t="s">
        <v>2868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2869</v>
      </c>
      <c r="G163" s="14" t="s">
        <v>2870</v>
      </c>
      <c r="H163" s="13">
        <v>8</v>
      </c>
      <c r="I163" s="19" t="s">
        <v>2871</v>
      </c>
      <c r="J163" s="13">
        <v>10</v>
      </c>
      <c r="K163" s="15" t="s">
        <v>2872</v>
      </c>
      <c r="L163" s="13">
        <v>8</v>
      </c>
      <c r="M163" s="15" t="s">
        <v>2873</v>
      </c>
      <c r="N163" s="13">
        <v>8</v>
      </c>
      <c r="O163" s="19" t="s">
        <v>2874</v>
      </c>
      <c r="P163" s="13">
        <v>6</v>
      </c>
      <c r="Q163" s="20" t="s">
        <v>2875</v>
      </c>
      <c r="R163" s="13">
        <v>3</v>
      </c>
      <c r="S163" s="20" t="s">
        <v>2876</v>
      </c>
      <c r="T163" s="13"/>
      <c r="U163" s="15"/>
      <c r="V163" s="13">
        <v>7</v>
      </c>
      <c r="W163" s="19" t="s">
        <v>2877</v>
      </c>
      <c r="X163" s="13">
        <v>6</v>
      </c>
      <c r="Y163" s="19" t="s">
        <v>2878</v>
      </c>
      <c r="Z163" s="13"/>
      <c r="AA163" s="15"/>
      <c r="AB163" s="13">
        <v>5</v>
      </c>
      <c r="AC163" s="15" t="s">
        <v>2879</v>
      </c>
      <c r="AD163" s="13">
        <v>5</v>
      </c>
      <c r="AE163" s="15" t="s">
        <v>2880</v>
      </c>
      <c r="AF163" s="13">
        <v>10</v>
      </c>
      <c r="AG163" s="15" t="s">
        <v>2881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2882</v>
      </c>
      <c r="AR163" s="13"/>
      <c r="AS163" s="17">
        <f>SUM(H163,J163,L163,N163,P163,R163,T163,V163,X163,Z163,AB163,AD163,AF163,AH163,AJ163,AL163,AN163)</f>
        <v>76</v>
      </c>
      <c r="AT163" s="11">
        <f>IF(C163="","",DATE(YEAR(C163),MONTH(C163),1))</f>
        <v>46113</v>
      </c>
      <c r="AU163" s="13" t="str">
        <f>IF(AT163="","",TEXT(AT163,"mmmm yyyy"))</f>
        <v>April 2026</v>
      </c>
      <c r="AV163" s="11">
        <f>IF(C163="","",C163-WEEKDAY(C163,2)+1)</f>
        <v>46118</v>
      </c>
      <c r="AW163" s="11">
        <f>IF(AV163="","",AV163+6)</f>
        <v>46124</v>
      </c>
      <c r="AX163" s="13" t="str">
        <f>IF(AV163="","",TEXT(AV163,"dd/mm/yyyy")&amp;" - "&amp;TEXT(AW163,"dd/mm/yyyy"))</f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>IF(B163="","",TEXT(AY163,"00")&amp;"|"&amp;B163&amp;"|"&amp;TEXT(AT163,"yyyymmdd"))</f>
        <v>04|Natcha Chai-in|20260401</v>
      </c>
      <c r="BB163" s="13" t="str">
        <f>IF(B163="","",TEXT(AZ163,"00")&amp;"|"&amp;B163&amp;"|"&amp;TEXT(AV163,"yyyymmdd"))</f>
        <v>02|Natcha Chai-in|20260406</v>
      </c>
      <c r="BC163" s="13">
        <f>IF(OR(AQ163="YES",AQ163="Yes",AQ163="Y",AQ163=1),1,0)</f>
        <v>0</v>
      </c>
      <c r="BD163" s="50" t="s">
        <v>2883</v>
      </c>
      <c r="BE163" t="s">
        <v>2884</v>
      </c>
      <c r="BF163" t="s">
        <v>2338</v>
      </c>
    </row>
    <row r="164" spans="1:58" ht="15" customHeight="1">
      <c r="A164" s="9">
        <v>46129.920537916667</v>
      </c>
      <c r="B164" s="10" t="s">
        <v>443</v>
      </c>
      <c r="C164" s="11">
        <v>46120</v>
      </c>
      <c r="D164" s="12">
        <v>0.36944444444088731</v>
      </c>
      <c r="E164" s="12">
        <v>0.37430555555329192</v>
      </c>
      <c r="F164" s="13" t="s">
        <v>2960</v>
      </c>
      <c r="G164" s="14" t="s">
        <v>2961</v>
      </c>
      <c r="H164" s="13">
        <v>10</v>
      </c>
      <c r="I164" s="19" t="s">
        <v>2887</v>
      </c>
      <c r="J164" s="13">
        <v>10</v>
      </c>
      <c r="K164" s="15" t="s">
        <v>2962</v>
      </c>
      <c r="L164" s="13">
        <v>10</v>
      </c>
      <c r="M164" s="15" t="s">
        <v>2963</v>
      </c>
      <c r="N164" s="13">
        <v>9</v>
      </c>
      <c r="O164" s="19" t="s">
        <v>2964</v>
      </c>
      <c r="P164" s="13">
        <v>8</v>
      </c>
      <c r="Q164" s="20" t="s">
        <v>2965</v>
      </c>
      <c r="R164" s="13">
        <v>5</v>
      </c>
      <c r="S164" s="20" t="s">
        <v>2966</v>
      </c>
      <c r="T164" s="13"/>
      <c r="U164" s="15"/>
      <c r="V164" s="13">
        <v>12</v>
      </c>
      <c r="W164" s="19" t="s">
        <v>2967</v>
      </c>
      <c r="X164" s="13">
        <v>9</v>
      </c>
      <c r="Y164" s="19" t="s">
        <v>2968</v>
      </c>
      <c r="Z164" s="13"/>
      <c r="AA164" s="15"/>
      <c r="AB164" s="13">
        <v>5</v>
      </c>
      <c r="AC164" s="15" t="s">
        <v>2726</v>
      </c>
      <c r="AD164" s="13">
        <v>5</v>
      </c>
      <c r="AE164" s="15" t="s">
        <v>2755</v>
      </c>
      <c r="AF164" s="13">
        <v>8</v>
      </c>
      <c r="AG164" s="15" t="s">
        <v>2969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2970</v>
      </c>
      <c r="AR164" s="13"/>
      <c r="AS164" s="17">
        <f>SUM(H164,J164,L164,N164,P164,R164,T164,V164,X164,Z164,AB164,AD164,AF164,AH164,AJ164,AL164,AN164)</f>
        <v>91</v>
      </c>
      <c r="AT164" s="11">
        <f>IF(C164="","",DATE(YEAR(C164),MONTH(C164),1))</f>
        <v>46113</v>
      </c>
      <c r="AU164" s="13" t="str">
        <f>IF(AT164="","",TEXT(AT164,"mmmm yyyy"))</f>
        <v>April 2026</v>
      </c>
      <c r="AV164" s="11">
        <f>IF(C164="","",C164-WEEKDAY(C164,2)+1)</f>
        <v>46118</v>
      </c>
      <c r="AW164" s="11">
        <f>IF(AV164="","",AV164+6)</f>
        <v>46124</v>
      </c>
      <c r="AX164" s="13" t="str">
        <f>IF(AV164="","",TEXT(AV164,"dd/mm/yyyy")&amp;" - "&amp;TEXT(AW164,"dd/mm/yyyy"))</f>
        <v>06/04/2026 - 12/04/2026</v>
      </c>
      <c r="AY164" s="13">
        <f>IF(B164="","",COUNTIFS($B$5:B164,B164,$AT$5:AT164,AT164))</f>
        <v>2</v>
      </c>
      <c r="AZ164" s="13">
        <f>IF(B164="","",COUNTIFS($B$5:B164,B164,$AV$5:AV164,AV164))</f>
        <v>2</v>
      </c>
      <c r="BA164" s="13" t="str">
        <f>IF(B164="","",TEXT(AY164,"00")&amp;"|"&amp;B164&amp;"|"&amp;TEXT(AT164,"yyyymmdd"))</f>
        <v>02|Sunijtra Siritip|20260401</v>
      </c>
      <c r="BB164" s="13" t="str">
        <f>IF(B164="","",TEXT(AZ164,"00")&amp;"|"&amp;B164&amp;"|"&amp;TEXT(AV164,"yyyymmdd"))</f>
        <v>02|Sunijtra Siritip|20260406</v>
      </c>
      <c r="BC164" s="13">
        <f>IF(OR(AQ164="YES",AQ164="Yes",AQ164="Y",AQ164=1),1,0)</f>
        <v>0</v>
      </c>
      <c r="BD164" s="50" t="s">
        <v>2971</v>
      </c>
      <c r="BE164" t="s">
        <v>2972</v>
      </c>
      <c r="BF164" t="s">
        <v>2338</v>
      </c>
    </row>
    <row r="165" spans="1:58" ht="15" customHeight="1">
      <c r="A165" s="9">
        <v>46129.927513113427</v>
      </c>
      <c r="B165" s="10" t="s">
        <v>443</v>
      </c>
      <c r="C165" s="11">
        <v>46120</v>
      </c>
      <c r="D165" s="12">
        <v>0.3868055555576575</v>
      </c>
      <c r="E165" s="12">
        <v>0.3944444444423425</v>
      </c>
      <c r="F165" s="13" t="s">
        <v>2973</v>
      </c>
      <c r="G165" s="14" t="s">
        <v>2974</v>
      </c>
      <c r="H165" s="13">
        <v>10</v>
      </c>
      <c r="I165" s="19" t="s">
        <v>2975</v>
      </c>
      <c r="J165" s="13">
        <v>10</v>
      </c>
      <c r="K165" s="15" t="s">
        <v>2976</v>
      </c>
      <c r="L165" s="13">
        <v>9</v>
      </c>
      <c r="M165" s="15" t="s">
        <v>2977</v>
      </c>
      <c r="N165" s="13">
        <v>7</v>
      </c>
      <c r="O165" s="19" t="s">
        <v>2978</v>
      </c>
      <c r="P165" s="13">
        <v>8</v>
      </c>
      <c r="Q165" s="20" t="s">
        <v>2979</v>
      </c>
      <c r="R165" s="13">
        <v>5</v>
      </c>
      <c r="S165" s="20" t="s">
        <v>2980</v>
      </c>
      <c r="T165" s="13"/>
      <c r="U165" s="15"/>
      <c r="V165" s="13">
        <v>11</v>
      </c>
      <c r="W165" s="19" t="s">
        <v>2981</v>
      </c>
      <c r="X165" s="13">
        <v>9</v>
      </c>
      <c r="Y165" s="19" t="s">
        <v>2982</v>
      </c>
      <c r="Z165" s="13"/>
      <c r="AA165" s="15"/>
      <c r="AB165" s="13">
        <v>5</v>
      </c>
      <c r="AC165" s="15" t="s">
        <v>2726</v>
      </c>
      <c r="AD165" s="13">
        <v>5</v>
      </c>
      <c r="AE165" s="15" t="s">
        <v>2983</v>
      </c>
      <c r="AF165" s="13">
        <v>10</v>
      </c>
      <c r="AG165" s="15" t="s">
        <v>2984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2985</v>
      </c>
      <c r="AR165" s="13"/>
      <c r="AS165" s="17">
        <f>SUM(H165,J165,L165,N165,P165,R165,T165,V165,X165,Z165,AB165,AD165,AF165,AH165,AJ165,AL165,AN165)</f>
        <v>89</v>
      </c>
      <c r="AT165" s="11">
        <f>IF(C165="","",DATE(YEAR(C165),MONTH(C165),1))</f>
        <v>46113</v>
      </c>
      <c r="AU165" s="13" t="str">
        <f>IF(AT165="","",TEXT(AT165,"mmmm yyyy"))</f>
        <v>April 2026</v>
      </c>
      <c r="AV165" s="11">
        <f>IF(C165="","",C165-WEEKDAY(C165,2)+1)</f>
        <v>46118</v>
      </c>
      <c r="AW165" s="11">
        <f>IF(AV165="","",AV165+6)</f>
        <v>46124</v>
      </c>
      <c r="AX165" s="13" t="str">
        <f>IF(AV165="","",TEXT(AV165,"dd/mm/yyyy")&amp;" - "&amp;TEXT(AW165,"dd/mm/yyyy"))</f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3</v>
      </c>
      <c r="BA165" s="13" t="str">
        <f>IF(B165="","",TEXT(AY165,"00")&amp;"|"&amp;B165&amp;"|"&amp;TEXT(AT165,"yyyymmdd"))</f>
        <v>03|Sunijtra Siritip|20260401</v>
      </c>
      <c r="BB165" s="13" t="str">
        <f>IF(B165="","",TEXT(AZ165,"00")&amp;"|"&amp;B165&amp;"|"&amp;TEXT(AV165,"yyyymmdd"))</f>
        <v>03|Sunijtra Siritip|20260406</v>
      </c>
      <c r="BC165" s="13">
        <f>IF(OR(AQ165="YES",AQ165="Yes",AQ165="Y",AQ165=1),1,0)</f>
        <v>0</v>
      </c>
      <c r="BD165" s="50" t="s">
        <v>2986</v>
      </c>
      <c r="BE165" t="s">
        <v>2987</v>
      </c>
      <c r="BF165" t="s">
        <v>2338</v>
      </c>
    </row>
    <row r="166" spans="1:58" ht="15" customHeight="1">
      <c r="A166" s="9">
        <v>46129.984799502316</v>
      </c>
      <c r="B166" s="10" t="s">
        <v>256</v>
      </c>
      <c r="C166" s="11">
        <v>46120</v>
      </c>
      <c r="D166" s="12">
        <v>0.84166666666715173</v>
      </c>
      <c r="E166" s="12">
        <v>0.84722222221898846</v>
      </c>
      <c r="F166" s="13" t="s">
        <v>3082</v>
      </c>
      <c r="G166" s="14" t="s">
        <v>3083</v>
      </c>
      <c r="H166" s="13">
        <v>10</v>
      </c>
      <c r="I166" s="19" t="s">
        <v>3069</v>
      </c>
      <c r="J166" s="13">
        <v>10</v>
      </c>
      <c r="K166" s="15" t="s">
        <v>3084</v>
      </c>
      <c r="L166" s="13">
        <v>8</v>
      </c>
      <c r="M166" s="15" t="s">
        <v>3085</v>
      </c>
      <c r="N166" s="13">
        <v>9</v>
      </c>
      <c r="O166" s="19" t="s">
        <v>3086</v>
      </c>
      <c r="P166" s="13">
        <v>7</v>
      </c>
      <c r="Q166" s="20" t="s">
        <v>3087</v>
      </c>
      <c r="R166" s="13">
        <v>4</v>
      </c>
      <c r="S166" s="20" t="s">
        <v>3088</v>
      </c>
      <c r="T166" s="13"/>
      <c r="U166" s="15"/>
      <c r="V166" s="13">
        <v>10</v>
      </c>
      <c r="W166" s="19" t="s">
        <v>3089</v>
      </c>
      <c r="X166" s="13">
        <v>9</v>
      </c>
      <c r="Y166" s="19" t="s">
        <v>3090</v>
      </c>
      <c r="Z166" s="13"/>
      <c r="AA166" s="15"/>
      <c r="AB166" s="13">
        <v>5</v>
      </c>
      <c r="AC166" s="15" t="s">
        <v>3061</v>
      </c>
      <c r="AD166" s="13">
        <v>5</v>
      </c>
      <c r="AE166" s="15" t="s">
        <v>3091</v>
      </c>
      <c r="AF166" s="13">
        <v>10</v>
      </c>
      <c r="AG166" s="15" t="s">
        <v>3092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3093</v>
      </c>
      <c r="AR166" s="13"/>
      <c r="AS166" s="17">
        <f>SUM(H166,J166,L166,N166,P166,R166,T166,V166,X166,Z166,AB166,AD166,AF166,AH166,AJ166,AL166,AN166)</f>
        <v>87</v>
      </c>
      <c r="AT166" s="11">
        <f>IF(C166="","",DATE(YEAR(C166),MONTH(C166),1))</f>
        <v>46113</v>
      </c>
      <c r="AU166" s="13" t="str">
        <f>IF(AT166="","",TEXT(AT166,"mmmm yyyy"))</f>
        <v>April 2026</v>
      </c>
      <c r="AV166" s="11">
        <f>IF(C166="","",C166-WEEKDAY(C166,2)+1)</f>
        <v>46118</v>
      </c>
      <c r="AW166" s="11">
        <f>IF(AV166="","",AV166+6)</f>
        <v>46124</v>
      </c>
      <c r="AX166" s="13" t="str">
        <f>IF(AV166="","",TEXT(AV166,"dd/mm/yyyy")&amp;" - "&amp;TEXT(AW166,"dd/mm/yyyy"))</f>
        <v>06/04/2026 - 12/04/2026</v>
      </c>
      <c r="AY166" s="13">
        <f>IF(B166="","",COUNTIFS($B$5:B166,B166,$AT$5:AT166,AT166))</f>
        <v>6</v>
      </c>
      <c r="AZ166" s="13">
        <f>IF(B166="","",COUNTIFS($B$5:B166,B166,$AV$5:AV166,AV166))</f>
        <v>4</v>
      </c>
      <c r="BA166" s="13" t="str">
        <f>IF(B166="","",TEXT(AY166,"00")&amp;"|"&amp;B166&amp;"|"&amp;TEXT(AT166,"yyyymmdd"))</f>
        <v>06|Supakrit Promkhamnoi|20260401</v>
      </c>
      <c r="BB166" s="13" t="str">
        <f>IF(B166="","",TEXT(AZ166,"00")&amp;"|"&amp;B166&amp;"|"&amp;TEXT(AV166,"yyyymmdd"))</f>
        <v>04|Supakrit Promkhamnoi|20260406</v>
      </c>
      <c r="BC166" s="13">
        <f>IF(OR(AQ166="YES",AQ166="Yes",AQ166="Y",AQ166=1),1,0)</f>
        <v>0</v>
      </c>
      <c r="BD166" s="50" t="s">
        <v>3094</v>
      </c>
      <c r="BE166" t="s">
        <v>3095</v>
      </c>
      <c r="BF166" t="s">
        <v>2338</v>
      </c>
    </row>
    <row r="167" spans="1:58" ht="15" customHeight="1">
      <c r="A167" s="9">
        <v>46129.654448321759</v>
      </c>
      <c r="B167" s="10" t="s">
        <v>123</v>
      </c>
      <c r="C167" s="11">
        <v>46121</v>
      </c>
      <c r="D167" s="12">
        <v>0.87777777777955635</v>
      </c>
      <c r="E167" s="12">
        <v>0.88888888889050577</v>
      </c>
      <c r="F167" s="13" t="s">
        <v>2760</v>
      </c>
      <c r="G167" s="14" t="s">
        <v>2761</v>
      </c>
      <c r="H167" s="13">
        <v>10</v>
      </c>
      <c r="I167" s="19" t="s">
        <v>2762</v>
      </c>
      <c r="J167" s="13">
        <v>10</v>
      </c>
      <c r="K167" s="15" t="s">
        <v>2763</v>
      </c>
      <c r="L167" s="13">
        <v>10</v>
      </c>
      <c r="M167" s="15" t="s">
        <v>2764</v>
      </c>
      <c r="N167" s="13">
        <v>10</v>
      </c>
      <c r="O167" s="19" t="s">
        <v>2765</v>
      </c>
      <c r="P167" s="13">
        <v>8</v>
      </c>
      <c r="Q167" s="20" t="s">
        <v>2766</v>
      </c>
      <c r="R167" s="13">
        <v>5</v>
      </c>
      <c r="S167" s="20" t="s">
        <v>2767</v>
      </c>
      <c r="T167" s="13"/>
      <c r="U167" s="15"/>
      <c r="V167" s="13">
        <v>14</v>
      </c>
      <c r="W167" s="19" t="s">
        <v>2768</v>
      </c>
      <c r="X167" s="13">
        <v>9</v>
      </c>
      <c r="Y167" s="19" t="s">
        <v>2769</v>
      </c>
      <c r="Z167" s="13"/>
      <c r="AA167" s="15"/>
      <c r="AB167" s="13">
        <v>5</v>
      </c>
      <c r="AC167" s="15" t="s">
        <v>2770</v>
      </c>
      <c r="AD167" s="13">
        <v>5</v>
      </c>
      <c r="AE167" s="15" t="s">
        <v>2771</v>
      </c>
      <c r="AF167" s="13">
        <v>10</v>
      </c>
      <c r="AG167" s="15" t="s">
        <v>2728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2772</v>
      </c>
      <c r="AR167" s="13"/>
      <c r="AS167" s="17">
        <f>SUM(H167,J167,L167,N167,P167,R167,T167,V167,X167,Z167,AB167,AD167,AF167,AH167,AJ167,AL167,AN167)</f>
        <v>96</v>
      </c>
      <c r="AT167" s="11">
        <f>IF(C167="","",DATE(YEAR(C167),MONTH(C167),1))</f>
        <v>46113</v>
      </c>
      <c r="AU167" s="13" t="str">
        <f>IF(AT167="","",TEXT(AT167,"mmmm yyyy"))</f>
        <v>April 2026</v>
      </c>
      <c r="AV167" s="11">
        <f>IF(C167="","",C167-WEEKDAY(C167,2)+1)</f>
        <v>46118</v>
      </c>
      <c r="AW167" s="11">
        <f>IF(AV167="","",AV167+6)</f>
        <v>46124</v>
      </c>
      <c r="AX167" s="13" t="str">
        <f>IF(AV167="","",TEXT(AV167,"dd/mm/yyyy")&amp;" - "&amp;TEXT(AW167,"dd/mm/yyyy"))</f>
        <v>06/04/2026 - 12/04/2026</v>
      </c>
      <c r="AY167" s="13">
        <f>IF(B167="","",COUNTIFS($B$5:B167,B167,$AT$5:AT167,AT167))</f>
        <v>3</v>
      </c>
      <c r="AZ167" s="13">
        <f>IF(B167="","",COUNTIFS($B$5:B167,B167,$AV$5:AV167,AV167))</f>
        <v>1</v>
      </c>
      <c r="BA167" s="13" t="str">
        <f>IF(B167="","",TEXT(AY167,"00")&amp;"|"&amp;B167&amp;"|"&amp;TEXT(AT167,"yyyymmdd"))</f>
        <v>03|Jariyawadee Taboodda|20260401</v>
      </c>
      <c r="BB167" s="13" t="str">
        <f>IF(B167="","",TEXT(AZ167,"00")&amp;"|"&amp;B167&amp;"|"&amp;TEXT(AV167,"yyyymmdd"))</f>
        <v>01|Jariyawadee Taboodda|20260406</v>
      </c>
      <c r="BC167" s="13">
        <f>IF(OR(AQ167="YES",AQ167="Yes",AQ167="Y",AQ167=1),1,0)</f>
        <v>0</v>
      </c>
      <c r="BD167" s="50" t="s">
        <v>2773</v>
      </c>
      <c r="BE167" t="s">
        <v>2774</v>
      </c>
      <c r="BF167" t="s">
        <v>2338</v>
      </c>
    </row>
    <row r="168" spans="1:58" ht="15" customHeight="1">
      <c r="A168" s="9">
        <v>46129.727499004628</v>
      </c>
      <c r="B168" s="10" t="s">
        <v>81</v>
      </c>
      <c r="C168" s="11">
        <v>46121</v>
      </c>
      <c r="D168" s="12">
        <v>0.39583333333575865</v>
      </c>
      <c r="E168" s="12">
        <v>0.41041666666569654</v>
      </c>
      <c r="F168" s="13" t="s">
        <v>2788</v>
      </c>
      <c r="G168" s="14" t="s">
        <v>2789</v>
      </c>
      <c r="H168" s="13">
        <v>10</v>
      </c>
      <c r="I168" s="19" t="s">
        <v>2762</v>
      </c>
      <c r="J168" s="13">
        <v>10</v>
      </c>
      <c r="K168" s="15" t="s">
        <v>2790</v>
      </c>
      <c r="L168" s="13">
        <v>7</v>
      </c>
      <c r="M168" s="15" t="s">
        <v>2791</v>
      </c>
      <c r="N168" s="13">
        <v>8</v>
      </c>
      <c r="O168" s="19" t="s">
        <v>2792</v>
      </c>
      <c r="P168" s="13">
        <v>7</v>
      </c>
      <c r="Q168" s="20" t="s">
        <v>2793</v>
      </c>
      <c r="R168" s="13">
        <v>4</v>
      </c>
      <c r="S168" s="20" t="s">
        <v>2794</v>
      </c>
      <c r="T168" s="13"/>
      <c r="U168" s="15"/>
      <c r="V168" s="13">
        <v>11</v>
      </c>
      <c r="W168" s="19" t="s">
        <v>2795</v>
      </c>
      <c r="X168" s="13">
        <v>8</v>
      </c>
      <c r="Y168" s="19" t="s">
        <v>2796</v>
      </c>
      <c r="Z168" s="13"/>
      <c r="AA168" s="15"/>
      <c r="AB168" s="13">
        <v>5</v>
      </c>
      <c r="AC168" s="15" t="s">
        <v>2796</v>
      </c>
      <c r="AD168" s="13">
        <v>5</v>
      </c>
      <c r="AE168" s="15" t="s">
        <v>2755</v>
      </c>
      <c r="AF168" s="13">
        <v>10</v>
      </c>
      <c r="AG168" s="15" t="s">
        <v>2728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2797</v>
      </c>
      <c r="AR168" s="13"/>
      <c r="AS168" s="17">
        <f>SUM(H168,J168,L168,N168,P168,R168,T168,V168,X168,Z168,AB168,AD168,AF168,AH168,AJ168,AL168,AN168)</f>
        <v>85</v>
      </c>
      <c r="AT168" s="11">
        <f>IF(C168="","",DATE(YEAR(C168),MONTH(C168),1))</f>
        <v>46113</v>
      </c>
      <c r="AU168" s="13" t="str">
        <f>IF(AT168="","",TEXT(AT168,"mmmm yyyy"))</f>
        <v>April 2026</v>
      </c>
      <c r="AV168" s="11">
        <f>IF(C168="","",C168-WEEKDAY(C168,2)+1)</f>
        <v>46118</v>
      </c>
      <c r="AW168" s="11">
        <f>IF(AV168="","",AV168+6)</f>
        <v>46124</v>
      </c>
      <c r="AX168" s="13" t="str">
        <f>IF(AV168="","",TEXT(AV168,"dd/mm/yyyy")&amp;" - "&amp;TEXT(AW168,"dd/mm/yyyy"))</f>
        <v>06/04/2026 - 12/04/2026</v>
      </c>
      <c r="AY168" s="13">
        <f>IF(B168="","",COUNTIFS($B$5:B168,B168,$AT$5:AT168,AT168))</f>
        <v>4</v>
      </c>
      <c r="AZ168" s="13">
        <f>IF(B168="","",COUNTIFS($B$5:B168,B168,$AV$5:AV168,AV168))</f>
        <v>2</v>
      </c>
      <c r="BA168" s="13" t="str">
        <f>IF(B168="","",TEXT(AY168,"00")&amp;"|"&amp;B168&amp;"|"&amp;TEXT(AT168,"yyyymmdd"))</f>
        <v>04|Jureeporn Piddum|20260401</v>
      </c>
      <c r="BB168" s="13" t="str">
        <f>IF(B168="","",TEXT(AZ168,"00")&amp;"|"&amp;B168&amp;"|"&amp;TEXT(AV168,"yyyymmdd"))</f>
        <v>02|Jureeporn Piddum|20260406</v>
      </c>
      <c r="BC168" s="13">
        <f>IF(OR(AQ168="YES",AQ168="Yes",AQ168="Y",AQ168=1),1,0)</f>
        <v>0</v>
      </c>
      <c r="BD168" s="50" t="s">
        <v>2798</v>
      </c>
      <c r="BE168" t="s">
        <v>2799</v>
      </c>
      <c r="BF168" t="s">
        <v>2338</v>
      </c>
    </row>
    <row r="169" spans="1:58" ht="15" customHeight="1">
      <c r="A169" s="9">
        <v>46129.733086192129</v>
      </c>
      <c r="B169" s="10" t="s">
        <v>81</v>
      </c>
      <c r="C169" s="11">
        <v>46121</v>
      </c>
      <c r="D169" s="12">
        <v>0.46527777778101154</v>
      </c>
      <c r="E169" s="12">
        <v>0.47499999999854481</v>
      </c>
      <c r="F169" s="13" t="s">
        <v>2800</v>
      </c>
      <c r="G169" s="14" t="s">
        <v>2801</v>
      </c>
      <c r="H169" s="13">
        <v>10</v>
      </c>
      <c r="I169" s="19" t="s">
        <v>2718</v>
      </c>
      <c r="J169" s="13">
        <v>10</v>
      </c>
      <c r="K169" s="15" t="s">
        <v>2802</v>
      </c>
      <c r="L169" s="13">
        <v>7</v>
      </c>
      <c r="M169" s="15" t="s">
        <v>2803</v>
      </c>
      <c r="N169" s="13">
        <v>6</v>
      </c>
      <c r="O169" s="19" t="s">
        <v>2804</v>
      </c>
      <c r="P169" s="13">
        <v>5</v>
      </c>
      <c r="Q169" s="20" t="s">
        <v>2805</v>
      </c>
      <c r="R169" s="13">
        <v>3</v>
      </c>
      <c r="S169" s="20" t="s">
        <v>2806</v>
      </c>
      <c r="T169" s="13"/>
      <c r="U169" s="15"/>
      <c r="V169" s="13">
        <v>8</v>
      </c>
      <c r="W169" s="19" t="s">
        <v>2807</v>
      </c>
      <c r="X169" s="13">
        <v>6</v>
      </c>
      <c r="Y169" s="19" t="s">
        <v>2808</v>
      </c>
      <c r="Z169" s="13"/>
      <c r="AA169" s="15"/>
      <c r="AB169" s="13">
        <v>5</v>
      </c>
      <c r="AC169" s="15" t="s">
        <v>2726</v>
      </c>
      <c r="AD169" s="13">
        <v>5</v>
      </c>
      <c r="AE169" s="15" t="s">
        <v>2755</v>
      </c>
      <c r="AF169" s="13">
        <v>10</v>
      </c>
      <c r="AG169" s="15" t="s">
        <v>2728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2809</v>
      </c>
      <c r="AR169" s="13"/>
      <c r="AS169" s="17">
        <f>SUM(H169,J169,L169,N169,P169,R169,T169,V169,X169,Z169,AB169,AD169,AF169,AH169,AJ169,AL169,AN169)</f>
        <v>75</v>
      </c>
      <c r="AT169" s="11">
        <f>IF(C169="","",DATE(YEAR(C169),MONTH(C169),1))</f>
        <v>46113</v>
      </c>
      <c r="AU169" s="13" t="str">
        <f>IF(AT169="","",TEXT(AT169,"mmmm yyyy"))</f>
        <v>April 2026</v>
      </c>
      <c r="AV169" s="11">
        <f>IF(C169="","",C169-WEEKDAY(C169,2)+1)</f>
        <v>46118</v>
      </c>
      <c r="AW169" s="11">
        <f>IF(AV169="","",AV169+6)</f>
        <v>46124</v>
      </c>
      <c r="AX169" s="13" t="str">
        <f>IF(AV169="","",TEXT(AV169,"dd/mm/yyyy")&amp;" - "&amp;TEXT(AW169,"dd/mm/yyyy"))</f>
        <v>06/04/2026 - 12/04/2026</v>
      </c>
      <c r="AY169" s="13">
        <f>IF(B169="","",COUNTIFS($B$5:B169,B169,$AT$5:AT169,AT169))</f>
        <v>5</v>
      </c>
      <c r="AZ169" s="13">
        <f>IF(B169="","",COUNTIFS($B$5:B169,B169,$AV$5:AV169,AV169))</f>
        <v>3</v>
      </c>
      <c r="BA169" s="13" t="str">
        <f>IF(B169="","",TEXT(AY169,"00")&amp;"|"&amp;B169&amp;"|"&amp;TEXT(AT169,"yyyymmdd"))</f>
        <v>05|Jureeporn Piddum|20260401</v>
      </c>
      <c r="BB169" s="13" t="str">
        <f>IF(B169="","",TEXT(AZ169,"00")&amp;"|"&amp;B169&amp;"|"&amp;TEXT(AV169,"yyyymmdd"))</f>
        <v>03|Jureeporn Piddum|20260406</v>
      </c>
      <c r="BC169" s="13">
        <f>IF(OR(AQ169="YES",AQ169="Yes",AQ169="Y",AQ169=1),1,0)</f>
        <v>0</v>
      </c>
      <c r="BD169" s="50" t="s">
        <v>2810</v>
      </c>
      <c r="BE169" t="s">
        <v>2811</v>
      </c>
      <c r="BF169" t="s">
        <v>2338</v>
      </c>
    </row>
    <row r="170" spans="1:58" ht="15" customHeight="1">
      <c r="A170" s="9">
        <v>46129.808285694446</v>
      </c>
      <c r="B170" s="10" t="s">
        <v>385</v>
      </c>
      <c r="C170" s="11">
        <v>46121</v>
      </c>
      <c r="D170" s="12">
        <v>0.58750000000145519</v>
      </c>
      <c r="E170" s="12">
        <v>0.59166666666715173</v>
      </c>
      <c r="F170" s="13" t="s">
        <v>2885</v>
      </c>
      <c r="G170" s="14" t="s">
        <v>2886</v>
      </c>
      <c r="H170" s="13">
        <v>10</v>
      </c>
      <c r="I170" s="19" t="s">
        <v>2887</v>
      </c>
      <c r="J170" s="13">
        <v>10</v>
      </c>
      <c r="K170" s="15" t="s">
        <v>2888</v>
      </c>
      <c r="L170" s="13">
        <v>9</v>
      </c>
      <c r="M170" s="15" t="s">
        <v>2889</v>
      </c>
      <c r="N170" s="13">
        <v>8</v>
      </c>
      <c r="O170" s="19" t="s">
        <v>2890</v>
      </c>
      <c r="P170" s="13">
        <v>7</v>
      </c>
      <c r="Q170" s="20" t="s">
        <v>2891</v>
      </c>
      <c r="R170" s="13">
        <v>4</v>
      </c>
      <c r="S170" s="20" t="s">
        <v>2892</v>
      </c>
      <c r="T170" s="13"/>
      <c r="U170" s="15"/>
      <c r="V170" s="13">
        <v>9</v>
      </c>
      <c r="W170" s="19" t="s">
        <v>2893</v>
      </c>
      <c r="X170" s="13">
        <v>7</v>
      </c>
      <c r="Y170" s="19" t="s">
        <v>2894</v>
      </c>
      <c r="Z170" s="13"/>
      <c r="AA170" s="15"/>
      <c r="AB170" s="13">
        <v>5</v>
      </c>
      <c r="AC170" s="15" t="s">
        <v>2726</v>
      </c>
      <c r="AD170" s="13">
        <v>5</v>
      </c>
      <c r="AE170" s="15" t="s">
        <v>2755</v>
      </c>
      <c r="AF170" s="13">
        <v>10</v>
      </c>
      <c r="AG170" s="15" t="s">
        <v>2728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2895</v>
      </c>
      <c r="AR170" s="13"/>
      <c r="AS170" s="17">
        <f>SUM(H170,J170,L170,N170,P170,R170,T170,V170,X170,Z170,AB170,AD170,AF170,AH170,AJ170,AL170,AN170)</f>
        <v>84</v>
      </c>
      <c r="AT170" s="11">
        <f>IF(C170="","",DATE(YEAR(C170),MONTH(C170),1))</f>
        <v>46113</v>
      </c>
      <c r="AU170" s="13" t="str">
        <f>IF(AT170="","",TEXT(AT170,"mmmm yyyy"))</f>
        <v>April 2026</v>
      </c>
      <c r="AV170" s="11">
        <f>IF(C170="","",C170-WEEKDAY(C170,2)+1)</f>
        <v>46118</v>
      </c>
      <c r="AW170" s="11">
        <f>IF(AV170="","",AV170+6)</f>
        <v>46124</v>
      </c>
      <c r="AX170" s="13" t="str">
        <f>IF(AV170="","",TEXT(AV170,"dd/mm/yyyy")&amp;" - "&amp;TEXT(AW170,"dd/mm/yyyy"))</f>
        <v>06/04/2026 - 12/04/2026</v>
      </c>
      <c r="AY170" s="13">
        <f>IF(B170="","",COUNTIFS($B$5:B170,B170,$AT$5:AT170,AT170))</f>
        <v>5</v>
      </c>
      <c r="AZ170" s="13">
        <f>IF(B170="","",COUNTIFS($B$5:B170,B170,$AV$5:AV170,AV170))</f>
        <v>3</v>
      </c>
      <c r="BA170" s="13" t="str">
        <f>IF(B170="","",TEXT(AY170,"00")&amp;"|"&amp;B170&amp;"|"&amp;TEXT(AT170,"yyyymmdd"))</f>
        <v>05|Natcha Chai-in|20260401</v>
      </c>
      <c r="BB170" s="13" t="str">
        <f>IF(B170="","",TEXT(AZ170,"00")&amp;"|"&amp;B170&amp;"|"&amp;TEXT(AV170,"yyyymmdd"))</f>
        <v>03|Natcha Chai-in|20260406</v>
      </c>
      <c r="BC170" s="13">
        <f>IF(OR(AQ170="YES",AQ170="Yes",AQ170="Y",AQ170=1),1,0)</f>
        <v>0</v>
      </c>
      <c r="BD170" s="50" t="s">
        <v>2896</v>
      </c>
      <c r="BE170" t="s">
        <v>2897</v>
      </c>
      <c r="BF170" t="s">
        <v>2338</v>
      </c>
    </row>
    <row r="171" spans="1:58" ht="15" customHeight="1">
      <c r="A171" s="9">
        <v>46129.832981932872</v>
      </c>
      <c r="B171" s="10" t="s">
        <v>143</v>
      </c>
      <c r="C171" s="11">
        <v>46121</v>
      </c>
      <c r="D171" s="12">
        <v>0.76875000000291038</v>
      </c>
      <c r="E171" s="12">
        <v>0.773611111115315</v>
      </c>
      <c r="F171" s="13" t="s">
        <v>2919</v>
      </c>
      <c r="G171" s="14" t="s">
        <v>2920</v>
      </c>
      <c r="H171" s="13">
        <v>10</v>
      </c>
      <c r="I171" s="19" t="s">
        <v>2887</v>
      </c>
      <c r="J171" s="13">
        <v>10</v>
      </c>
      <c r="K171" s="15" t="s">
        <v>2921</v>
      </c>
      <c r="L171" s="13">
        <v>10</v>
      </c>
      <c r="M171" s="15" t="s">
        <v>2922</v>
      </c>
      <c r="N171" s="13">
        <v>4</v>
      </c>
      <c r="O171" s="19" t="s">
        <v>2923</v>
      </c>
      <c r="P171" s="13">
        <v>5</v>
      </c>
      <c r="Q171" s="20" t="s">
        <v>2924</v>
      </c>
      <c r="R171" s="13">
        <v>3</v>
      </c>
      <c r="S171" s="20" t="s">
        <v>2925</v>
      </c>
      <c r="T171" s="13"/>
      <c r="U171" s="15"/>
      <c r="V171" s="13">
        <v>6</v>
      </c>
      <c r="W171" s="19" t="s">
        <v>2926</v>
      </c>
      <c r="X171" s="13">
        <v>6</v>
      </c>
      <c r="Y171" s="19" t="s">
        <v>2927</v>
      </c>
      <c r="Z171" s="13"/>
      <c r="AA171" s="15"/>
      <c r="AB171" s="13">
        <v>5</v>
      </c>
      <c r="AC171" s="15" t="s">
        <v>2928</v>
      </c>
      <c r="AD171" s="13">
        <v>5</v>
      </c>
      <c r="AE171" s="15" t="s">
        <v>2907</v>
      </c>
      <c r="AF171" s="13">
        <v>10</v>
      </c>
      <c r="AG171" s="15" t="s">
        <v>2907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2929</v>
      </c>
      <c r="AR171" s="13"/>
      <c r="AS171" s="17">
        <f>SUM(H171,J171,L171,N171,P171,R171,T171,V171,X171,Z171,AB171,AD171,AF171,AH171,AJ171,AL171,AN171)</f>
        <v>74</v>
      </c>
      <c r="AT171" s="11">
        <f>IF(C171="","",DATE(YEAR(C171),MONTH(C171),1))</f>
        <v>46113</v>
      </c>
      <c r="AU171" s="13" t="str">
        <f>IF(AT171="","",TEXT(AT171,"mmmm yyyy"))</f>
        <v>April 2026</v>
      </c>
      <c r="AV171" s="11">
        <f>IF(C171="","",C171-WEEKDAY(C171,2)+1)</f>
        <v>46118</v>
      </c>
      <c r="AW171" s="11">
        <f>IF(AV171="","",AV171+6)</f>
        <v>46124</v>
      </c>
      <c r="AX171" s="13" t="str">
        <f>IF(AV171="","",TEXT(AV171,"dd/mm/yyyy")&amp;" - "&amp;TEXT(AW171,"dd/mm/yyyy"))</f>
        <v>06/04/2026 - 12/04/2026</v>
      </c>
      <c r="AY171" s="13">
        <f>IF(B171="","",COUNTIFS($B$5:B171,B171,$AT$5:AT171,AT171))</f>
        <v>5</v>
      </c>
      <c r="AZ171" s="13">
        <f>IF(B171="","",COUNTIFS($B$5:B171,B171,$AV$5:AV171,AV171))</f>
        <v>3</v>
      </c>
      <c r="BA171" s="13" t="str">
        <f>IF(B171="","",TEXT(AY171,"00")&amp;"|"&amp;B171&amp;"|"&amp;TEXT(AT171,"yyyymmdd"))</f>
        <v>05|Nattapol Suprom|20260401</v>
      </c>
      <c r="BB171" s="13" t="str">
        <f>IF(B171="","",TEXT(AZ171,"00")&amp;"|"&amp;B171&amp;"|"&amp;TEXT(AV171,"yyyymmdd"))</f>
        <v>03|Nattapol Suprom|20260406</v>
      </c>
      <c r="BC171" s="13">
        <f>IF(OR(AQ171="YES",AQ171="Yes",AQ171="Y",AQ171=1),1,0)</f>
        <v>0</v>
      </c>
      <c r="BD171" s="50" t="s">
        <v>2930</v>
      </c>
      <c r="BE171" t="s">
        <v>2931</v>
      </c>
      <c r="BF171" t="s">
        <v>2338</v>
      </c>
    </row>
    <row r="172" spans="1:58" ht="15" customHeight="1">
      <c r="A172" s="9">
        <v>46129.998046956018</v>
      </c>
      <c r="B172" s="10" t="s">
        <v>290</v>
      </c>
      <c r="C172" s="11">
        <v>46121</v>
      </c>
      <c r="D172" s="12">
        <v>0.48124999999708962</v>
      </c>
      <c r="E172" s="12">
        <v>0.51041666666424135</v>
      </c>
      <c r="F172" s="13" t="s">
        <v>3112</v>
      </c>
      <c r="G172" s="14" t="s">
        <v>3113</v>
      </c>
      <c r="H172" s="13">
        <v>9</v>
      </c>
      <c r="I172" s="19" t="s">
        <v>3114</v>
      </c>
      <c r="J172" s="13">
        <v>10</v>
      </c>
      <c r="K172" s="15" t="s">
        <v>3115</v>
      </c>
      <c r="L172" s="13">
        <v>4</v>
      </c>
      <c r="M172" s="15" t="s">
        <v>3116</v>
      </c>
      <c r="N172" s="13">
        <v>6</v>
      </c>
      <c r="O172" s="19" t="s">
        <v>3117</v>
      </c>
      <c r="P172" s="13">
        <v>4</v>
      </c>
      <c r="Q172" s="20" t="s">
        <v>3118</v>
      </c>
      <c r="R172" s="13">
        <v>3</v>
      </c>
      <c r="S172" s="20" t="s">
        <v>3119</v>
      </c>
      <c r="T172" s="13"/>
      <c r="U172" s="15"/>
      <c r="V172" s="13">
        <v>6</v>
      </c>
      <c r="W172" s="19" t="s">
        <v>3120</v>
      </c>
      <c r="X172" s="13">
        <v>5</v>
      </c>
      <c r="Y172" s="19" t="s">
        <v>3121</v>
      </c>
      <c r="Z172" s="13"/>
      <c r="AA172" s="15"/>
      <c r="AB172" s="13">
        <v>5</v>
      </c>
      <c r="AC172" s="15" t="s">
        <v>3122</v>
      </c>
      <c r="AD172" s="13">
        <v>5</v>
      </c>
      <c r="AE172" s="15" t="s">
        <v>3123</v>
      </c>
      <c r="AF172" s="13">
        <v>8</v>
      </c>
      <c r="AG172" s="15" t="s">
        <v>3124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3125</v>
      </c>
      <c r="AR172" s="13"/>
      <c r="AS172" s="17">
        <f>SUM(H172,J172,L172,N172,P172,R172,T172,V172,X172,Z172,AB172,AD172,AF172,AH172,AJ172,AL172,AN172)</f>
        <v>65</v>
      </c>
      <c r="AT172" s="11">
        <f>IF(C172="","",DATE(YEAR(C172),MONTH(C172),1))</f>
        <v>46113</v>
      </c>
      <c r="AU172" s="13" t="str">
        <f>IF(AT172="","",TEXT(AT172,"mmmm yyyy"))</f>
        <v>April 2026</v>
      </c>
      <c r="AV172" s="11">
        <f>IF(C172="","",C172-WEEKDAY(C172,2)+1)</f>
        <v>46118</v>
      </c>
      <c r="AW172" s="11">
        <f>IF(AV172="","",AV172+6)</f>
        <v>46124</v>
      </c>
      <c r="AX172" s="13" t="str">
        <f>IF(AV172="","",TEXT(AV172,"dd/mm/yyyy")&amp;" - "&amp;TEXT(AW172,"dd/mm/yyyy"))</f>
        <v>06/04/2026 - 12/04/2026</v>
      </c>
      <c r="AY172" s="13">
        <f>IF(B172="","",COUNTIFS($B$5:B172,B172,$AT$5:AT172,AT172))</f>
        <v>5</v>
      </c>
      <c r="AZ172" s="13">
        <f>IF(B172="","",COUNTIFS($B$5:B172,B172,$AV$5:AV172,AV172))</f>
        <v>3</v>
      </c>
      <c r="BA172" s="13" t="str">
        <f>IF(B172="","",TEXT(AY172,"00")&amp;"|"&amp;B172&amp;"|"&amp;TEXT(AT172,"yyyymmdd"))</f>
        <v>05|Suphitcha Keawliam|20260401</v>
      </c>
      <c r="BB172" s="13" t="str">
        <f>IF(B172="","",TEXT(AZ172,"00")&amp;"|"&amp;B172&amp;"|"&amp;TEXT(AV172,"yyyymmdd"))</f>
        <v>03|Suphitcha Keawliam|20260406</v>
      </c>
      <c r="BC172" s="13">
        <f>IF(OR(AQ172="YES",AQ172="Yes",AQ172="Y",AQ172=1),1,0)</f>
        <v>0</v>
      </c>
      <c r="BD172" s="50" t="s">
        <v>3126</v>
      </c>
      <c r="BE172" t="s">
        <v>3127</v>
      </c>
      <c r="BF172" t="s">
        <v>2338</v>
      </c>
    </row>
    <row r="173" spans="1:58" ht="15" customHeight="1">
      <c r="A173" s="9">
        <v>46130.003272025468</v>
      </c>
      <c r="B173" s="10" t="s">
        <v>290</v>
      </c>
      <c r="C173" s="11">
        <v>46121</v>
      </c>
      <c r="D173" s="12">
        <v>0.47986111111094942</v>
      </c>
      <c r="E173" s="12">
        <v>0.50347222221898846</v>
      </c>
      <c r="F173" s="13" t="s">
        <v>3128</v>
      </c>
      <c r="G173" s="14" t="s">
        <v>920</v>
      </c>
      <c r="H173" s="13">
        <v>10</v>
      </c>
      <c r="I173" s="19" t="s">
        <v>3129</v>
      </c>
      <c r="J173" s="13">
        <v>10</v>
      </c>
      <c r="K173" s="19" t="s">
        <v>3130</v>
      </c>
      <c r="L173" s="13">
        <v>3</v>
      </c>
      <c r="M173" s="19" t="s">
        <v>3131</v>
      </c>
      <c r="N173" s="13">
        <v>9</v>
      </c>
      <c r="O173" s="19" t="s">
        <v>3132</v>
      </c>
      <c r="P173" s="13">
        <v>7</v>
      </c>
      <c r="Q173" s="20" t="s">
        <v>3133</v>
      </c>
      <c r="R173" s="13">
        <v>4</v>
      </c>
      <c r="S173" s="20" t="s">
        <v>3134</v>
      </c>
      <c r="T173" s="13"/>
      <c r="U173" s="15"/>
      <c r="V173" s="13">
        <v>8</v>
      </c>
      <c r="W173" s="19" t="s">
        <v>3135</v>
      </c>
      <c r="X173" s="13">
        <v>8</v>
      </c>
      <c r="Y173" s="19" t="s">
        <v>3136</v>
      </c>
      <c r="Z173" s="13"/>
      <c r="AA173" s="15"/>
      <c r="AB173" s="13">
        <v>5</v>
      </c>
      <c r="AC173" s="19" t="s">
        <v>3137</v>
      </c>
      <c r="AD173" s="13">
        <v>4</v>
      </c>
      <c r="AE173" s="19" t="s">
        <v>3138</v>
      </c>
      <c r="AF173" s="13">
        <v>9</v>
      </c>
      <c r="AG173" s="19" t="s">
        <v>3139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3140</v>
      </c>
      <c r="AR173" s="13"/>
      <c r="AS173" s="17">
        <f>SUM(H173,J173,L173,N173,P173,R173,T173,V173,X173,Z173,AB173,AD173,AF173,AH173,AJ173,AL173,AN173)</f>
        <v>77</v>
      </c>
      <c r="AT173" s="11">
        <f>IF(C173="","",DATE(YEAR(C173),MONTH(C173),1))</f>
        <v>46113</v>
      </c>
      <c r="AU173" s="13" t="str">
        <f>IF(AT173="","",TEXT(AT173,"mmmm yyyy"))</f>
        <v>April 2026</v>
      </c>
      <c r="AV173" s="11">
        <f>IF(C173="","",C173-WEEKDAY(C173,2)+1)</f>
        <v>46118</v>
      </c>
      <c r="AW173" s="11">
        <f>IF(AV173="","",AV173+6)</f>
        <v>46124</v>
      </c>
      <c r="AX173" s="13" t="str">
        <f>IF(AV173="","",TEXT(AV173,"dd/mm/yyyy")&amp;" - "&amp;TEXT(AW173,"dd/mm/yyyy"))</f>
        <v>06/04/2026 - 12/04/2026</v>
      </c>
      <c r="AY173" s="13">
        <f>IF(B173="","",COUNTIFS($B$5:B173,B173,$AT$5:AT173,AT173))</f>
        <v>6</v>
      </c>
      <c r="AZ173" s="13">
        <f>IF(B173="","",COUNTIFS($B$5:B173,B173,$AV$5:AV173,AV173))</f>
        <v>4</v>
      </c>
      <c r="BA173" s="13" t="str">
        <f>IF(B173="","",TEXT(AY173,"00")&amp;"|"&amp;B173&amp;"|"&amp;TEXT(AT173,"yyyymmdd"))</f>
        <v>06|Suphitcha Keawliam|20260401</v>
      </c>
      <c r="BB173" s="13" t="str">
        <f>IF(B173="","",TEXT(AZ173,"00")&amp;"|"&amp;B173&amp;"|"&amp;TEXT(AV173,"yyyymmdd"))</f>
        <v>04|Suphitcha Keawliam|20260406</v>
      </c>
      <c r="BC173" s="13">
        <f>IF(OR(AQ173="YES",AQ173="Yes",AQ173="Y",AQ173=1),1,0)</f>
        <v>0</v>
      </c>
      <c r="BD173" s="50" t="s">
        <v>3141</v>
      </c>
      <c r="BE173" t="s">
        <v>3142</v>
      </c>
      <c r="BF173" t="s">
        <v>2338</v>
      </c>
    </row>
    <row r="174" spans="1:58" ht="15" customHeight="1">
      <c r="A174" s="9">
        <v>46129.580733495372</v>
      </c>
      <c r="B174" s="10" t="s">
        <v>59</v>
      </c>
      <c r="C174" s="11">
        <v>46122</v>
      </c>
      <c r="D174" s="12">
        <v>0.52152777777519077</v>
      </c>
      <c r="E174" s="12">
        <v>0.51666666666278616</v>
      </c>
      <c r="F174" s="13" t="s">
        <v>2703</v>
      </c>
      <c r="G174" s="14" t="s">
        <v>1550</v>
      </c>
      <c r="H174" s="13">
        <v>10</v>
      </c>
      <c r="I174" s="19" t="s">
        <v>2704</v>
      </c>
      <c r="J174" s="13">
        <v>10</v>
      </c>
      <c r="K174" s="15" t="s">
        <v>2705</v>
      </c>
      <c r="L174" s="13">
        <v>7</v>
      </c>
      <c r="M174" s="15" t="s">
        <v>2706</v>
      </c>
      <c r="N174" s="13">
        <v>9</v>
      </c>
      <c r="O174" s="19" t="s">
        <v>2707</v>
      </c>
      <c r="P174" s="13">
        <v>8</v>
      </c>
      <c r="Q174" s="20" t="s">
        <v>2708</v>
      </c>
      <c r="R174" s="13">
        <v>4</v>
      </c>
      <c r="S174" s="20" t="s">
        <v>2709</v>
      </c>
      <c r="T174" s="13"/>
      <c r="U174" s="15"/>
      <c r="V174" s="13">
        <v>12</v>
      </c>
      <c r="W174" s="19" t="s">
        <v>2710</v>
      </c>
      <c r="X174" s="13">
        <v>9</v>
      </c>
      <c r="Y174" s="19" t="s">
        <v>2711</v>
      </c>
      <c r="Z174" s="13"/>
      <c r="AA174" s="15"/>
      <c r="AB174" s="13">
        <v>5</v>
      </c>
      <c r="AC174" s="15" t="s">
        <v>2710</v>
      </c>
      <c r="AD174" s="13">
        <v>5</v>
      </c>
      <c r="AE174" s="15" t="s">
        <v>2711</v>
      </c>
      <c r="AF174" s="13">
        <v>10</v>
      </c>
      <c r="AG174" s="15" t="s">
        <v>2712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2713</v>
      </c>
      <c r="AR174" s="13"/>
      <c r="AS174" s="17">
        <f>SUM(H174,J174,L174,N174,P174,R174,T174,V174,X174,Z174,AB174,AD174,AF174,AH174,AJ174,AL174,AN174)</f>
        <v>89</v>
      </c>
      <c r="AT174" s="11">
        <f>IF(C174="","",DATE(YEAR(C174),MONTH(C174),1))</f>
        <v>46113</v>
      </c>
      <c r="AU174" s="13" t="str">
        <f>IF(AT174="","",TEXT(AT174,"mmmm yyyy"))</f>
        <v>April 2026</v>
      </c>
      <c r="AV174" s="11">
        <f>IF(C174="","",C174-WEEKDAY(C174,2)+1)</f>
        <v>46118</v>
      </c>
      <c r="AW174" s="11">
        <f>IF(AV174="","",AV174+6)</f>
        <v>46124</v>
      </c>
      <c r="AX174" s="13" t="str">
        <f>IF(AV174="","",TEXT(AV174,"dd/mm/yyyy")&amp;" - "&amp;TEXT(AW174,"dd/mm/yyyy"))</f>
        <v>06/04/2026 - 12/04/2026</v>
      </c>
      <c r="AY174" s="13">
        <f>IF(B174="","",COUNTIFS($B$5:B174,B174,$AT$5:AT174,AT174))</f>
        <v>4</v>
      </c>
      <c r="AZ174" s="13">
        <f>IF(B174="","",COUNTIFS($B$5:B174,B174,$AV$5:AV174,AV174))</f>
        <v>2</v>
      </c>
      <c r="BA174" s="13" t="str">
        <f>IF(B174="","",TEXT(AY174,"00")&amp;"|"&amp;B174&amp;"|"&amp;TEXT(AT174,"yyyymmdd"))</f>
        <v>04|Chatkonnaphat Bhusomya|20260401</v>
      </c>
      <c r="BB174" s="13" t="str">
        <f>IF(B174="","",TEXT(AZ174,"00")&amp;"|"&amp;B174&amp;"|"&amp;TEXT(AV174,"yyyymmdd"))</f>
        <v>02|Chatkonnaphat Bhusomya|20260406</v>
      </c>
      <c r="BC174" s="13">
        <f>IF(OR(AQ174="YES",AQ174="Yes",AQ174="Y",AQ174=1),1,0)</f>
        <v>0</v>
      </c>
      <c r="BD174" s="63" t="s">
        <v>2714</v>
      </c>
      <c r="BE174" t="s">
        <v>2715</v>
      </c>
      <c r="BF174" t="s">
        <v>2338</v>
      </c>
    </row>
    <row r="175" spans="1:58" ht="15" customHeight="1">
      <c r="A175" s="9">
        <v>46129.593675891199</v>
      </c>
      <c r="B175" s="10" t="s">
        <v>59</v>
      </c>
      <c r="C175" s="11">
        <v>46122</v>
      </c>
      <c r="D175" s="12">
        <v>0.58541666666860692</v>
      </c>
      <c r="E175" s="12">
        <v>0.58819444444088731</v>
      </c>
      <c r="F175" s="13" t="s">
        <v>2716</v>
      </c>
      <c r="G175" s="14" t="s">
        <v>2717</v>
      </c>
      <c r="H175" s="13">
        <v>10</v>
      </c>
      <c r="I175" s="19" t="s">
        <v>2718</v>
      </c>
      <c r="J175" s="13">
        <v>10</v>
      </c>
      <c r="K175" s="15" t="s">
        <v>2719</v>
      </c>
      <c r="L175" s="13">
        <v>10</v>
      </c>
      <c r="M175" s="15" t="s">
        <v>2720</v>
      </c>
      <c r="N175" s="13">
        <v>10</v>
      </c>
      <c r="O175" s="19" t="s">
        <v>2721</v>
      </c>
      <c r="P175" s="13">
        <v>9</v>
      </c>
      <c r="Q175" s="20" t="s">
        <v>2722</v>
      </c>
      <c r="R175" s="13">
        <v>5</v>
      </c>
      <c r="S175" s="20" t="s">
        <v>2723</v>
      </c>
      <c r="T175" s="13"/>
      <c r="U175" s="15"/>
      <c r="V175" s="13">
        <v>13</v>
      </c>
      <c r="W175" s="19" t="s">
        <v>2724</v>
      </c>
      <c r="X175" s="13">
        <v>10</v>
      </c>
      <c r="Y175" s="19" t="s">
        <v>2725</v>
      </c>
      <c r="Z175" s="13"/>
      <c r="AA175" s="15"/>
      <c r="AB175" s="13">
        <v>5</v>
      </c>
      <c r="AC175" s="15" t="s">
        <v>2726</v>
      </c>
      <c r="AD175" s="13">
        <v>5</v>
      </c>
      <c r="AE175" s="15" t="s">
        <v>2727</v>
      </c>
      <c r="AF175" s="13">
        <v>10</v>
      </c>
      <c r="AG175" s="15" t="s">
        <v>2728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2729</v>
      </c>
      <c r="AR175" s="13"/>
      <c r="AS175" s="17">
        <f>SUM(H175,J175,L175,N175,P175,R175,T175,V175,X175,Z175,AB175,AD175,AF175,AH175,AJ175,AL175,AN175)</f>
        <v>97</v>
      </c>
      <c r="AT175" s="11">
        <f>IF(C175="","",DATE(YEAR(C175),MONTH(C175),1))</f>
        <v>46113</v>
      </c>
      <c r="AU175" s="13" t="str">
        <f>IF(AT175="","",TEXT(AT175,"mmmm yyyy"))</f>
        <v>April 2026</v>
      </c>
      <c r="AV175" s="11">
        <f>IF(C175="","",C175-WEEKDAY(C175,2)+1)</f>
        <v>46118</v>
      </c>
      <c r="AW175" s="11">
        <f>IF(AV175="","",AV175+6)</f>
        <v>46124</v>
      </c>
      <c r="AX175" s="13" t="str">
        <f>IF(AV175="","",TEXT(AV175,"dd/mm/yyyy")&amp;" - "&amp;TEXT(AW175,"dd/mm/yyyy"))</f>
        <v>06/04/2026 - 12/04/2026</v>
      </c>
      <c r="AY175" s="13">
        <f>IF(B175="","",COUNTIFS($B$5:B175,B175,$AT$5:AT175,AT175))</f>
        <v>5</v>
      </c>
      <c r="AZ175" s="13">
        <f>IF(B175="","",COUNTIFS($B$5:B175,B175,$AV$5:AV175,AV175))</f>
        <v>3</v>
      </c>
      <c r="BA175" s="13" t="str">
        <f>IF(B175="","",TEXT(AY175,"00")&amp;"|"&amp;B175&amp;"|"&amp;TEXT(AT175,"yyyymmdd"))</f>
        <v>05|Chatkonnaphat Bhusomya|20260401</v>
      </c>
      <c r="BB175" s="13" t="str">
        <f>IF(B175="","",TEXT(AZ175,"00")&amp;"|"&amp;B175&amp;"|"&amp;TEXT(AV175,"yyyymmdd"))</f>
        <v>03|Chatkonnaphat Bhusomya|20260406</v>
      </c>
      <c r="BC175" s="13">
        <f>IF(OR(AQ175="YES",AQ175="Yes",AQ175="Y",AQ175=1),1,0)</f>
        <v>0</v>
      </c>
      <c r="BD175" s="50" t="s">
        <v>2730</v>
      </c>
      <c r="BE175" t="s">
        <v>2731</v>
      </c>
      <c r="BF175" t="s">
        <v>2338</v>
      </c>
    </row>
    <row r="176" spans="1:58" ht="15" customHeight="1">
      <c r="A176" s="9">
        <v>46129.633485057871</v>
      </c>
      <c r="B176" s="10" t="s">
        <v>123</v>
      </c>
      <c r="C176" s="11">
        <v>46122</v>
      </c>
      <c r="D176" s="12">
        <v>0.83819444444088731</v>
      </c>
      <c r="E176" s="12">
        <v>0.84444444444670808</v>
      </c>
      <c r="F176" s="13" t="s">
        <v>2732</v>
      </c>
      <c r="G176" s="14" t="s">
        <v>2733</v>
      </c>
      <c r="H176" s="13">
        <v>10</v>
      </c>
      <c r="I176" s="19" t="s">
        <v>2718</v>
      </c>
      <c r="J176" s="13">
        <v>10</v>
      </c>
      <c r="K176" s="15" t="s">
        <v>2734</v>
      </c>
      <c r="L176" s="13">
        <v>10</v>
      </c>
      <c r="M176" s="15" t="s">
        <v>2735</v>
      </c>
      <c r="N176" s="13">
        <v>9</v>
      </c>
      <c r="O176" s="19" t="s">
        <v>2736</v>
      </c>
      <c r="P176" s="13">
        <v>7</v>
      </c>
      <c r="Q176" s="20" t="s">
        <v>2737</v>
      </c>
      <c r="R176" s="13">
        <v>4</v>
      </c>
      <c r="S176" s="20" t="s">
        <v>2738</v>
      </c>
      <c r="T176" s="13"/>
      <c r="U176" s="15"/>
      <c r="V176" s="13">
        <v>12</v>
      </c>
      <c r="W176" s="19" t="s">
        <v>2739</v>
      </c>
      <c r="X176" s="13">
        <v>8</v>
      </c>
      <c r="Y176" s="19" t="s">
        <v>2740</v>
      </c>
      <c r="Z176" s="13"/>
      <c r="AA176" s="15"/>
      <c r="AB176" s="13">
        <v>5</v>
      </c>
      <c r="AC176" s="15" t="s">
        <v>2726</v>
      </c>
      <c r="AD176" s="13">
        <v>5</v>
      </c>
      <c r="AE176" s="15" t="s">
        <v>2727</v>
      </c>
      <c r="AF176" s="13">
        <v>10</v>
      </c>
      <c r="AG176" s="15" t="s">
        <v>2728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2741</v>
      </c>
      <c r="AR176" s="13"/>
      <c r="AS176" s="17">
        <f>SUM(H176,J176,L176,N176,P176,R176,T176,V176,X176,Z176,AB176,AD176,AF176,AH176,AJ176,AL176,AN176)</f>
        <v>90</v>
      </c>
      <c r="AT176" s="11">
        <f>IF(C176="","",DATE(YEAR(C176),MONTH(C176),1))</f>
        <v>46113</v>
      </c>
      <c r="AU176" s="13" t="str">
        <f>IF(AT176="","",TEXT(AT176,"mmmm yyyy"))</f>
        <v>April 2026</v>
      </c>
      <c r="AV176" s="11">
        <f>IF(C176="","",C176-WEEKDAY(C176,2)+1)</f>
        <v>46118</v>
      </c>
      <c r="AW176" s="11">
        <f>IF(AV176="","",AV176+6)</f>
        <v>46124</v>
      </c>
      <c r="AX176" s="13" t="str">
        <f>IF(AV176="","",TEXT(AV176,"dd/mm/yyyy")&amp;" - "&amp;TEXT(AW176,"dd/mm/yyyy"))</f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>IF(B176="","",TEXT(AY176,"00")&amp;"|"&amp;B176&amp;"|"&amp;TEXT(AT176,"yyyymmdd"))</f>
        <v>04|Jariyawadee Taboodda|20260401</v>
      </c>
      <c r="BB176" s="13" t="str">
        <f>IF(B176="","",TEXT(AZ176,"00")&amp;"|"&amp;B176&amp;"|"&amp;TEXT(AV176,"yyyymmdd"))</f>
        <v>02|Jariyawadee Taboodda|20260406</v>
      </c>
      <c r="BC176" s="13">
        <f>IF(OR(AQ176="YES",AQ176="Yes",AQ176="Y",AQ176=1),1,0)</f>
        <v>0</v>
      </c>
      <c r="BD176" s="50" t="s">
        <v>2742</v>
      </c>
      <c r="BE176" t="s">
        <v>2743</v>
      </c>
      <c r="BF176" t="s">
        <v>2338</v>
      </c>
    </row>
    <row r="177" spans="1:58" ht="15" customHeight="1">
      <c r="A177" s="9">
        <v>46129.645013368056</v>
      </c>
      <c r="B177" s="10" t="s">
        <v>123</v>
      </c>
      <c r="C177" s="11">
        <v>46122</v>
      </c>
      <c r="D177" s="12">
        <v>0.79861111110949423</v>
      </c>
      <c r="E177" s="12">
        <v>0.80625000000145519</v>
      </c>
      <c r="F177" s="13" t="s">
        <v>2744</v>
      </c>
      <c r="G177" s="14" t="s">
        <v>2745</v>
      </c>
      <c r="H177" s="13">
        <v>10</v>
      </c>
      <c r="I177" s="19" t="s">
        <v>2746</v>
      </c>
      <c r="J177" s="13">
        <v>10</v>
      </c>
      <c r="K177" s="15" t="s">
        <v>2747</v>
      </c>
      <c r="L177" s="13">
        <v>10</v>
      </c>
      <c r="M177" s="15" t="s">
        <v>2748</v>
      </c>
      <c r="N177" s="13">
        <v>10</v>
      </c>
      <c r="O177" s="19" t="s">
        <v>2749</v>
      </c>
      <c r="P177" s="13">
        <v>9</v>
      </c>
      <c r="Q177" s="20" t="s">
        <v>2750</v>
      </c>
      <c r="R177" s="13">
        <v>5</v>
      </c>
      <c r="S177" s="20" t="s">
        <v>2751</v>
      </c>
      <c r="T177" s="13"/>
      <c r="U177" s="15"/>
      <c r="V177" s="13">
        <v>14</v>
      </c>
      <c r="W177" s="19" t="s">
        <v>2752</v>
      </c>
      <c r="X177" s="13">
        <v>10</v>
      </c>
      <c r="Y177" s="19" t="s">
        <v>2753</v>
      </c>
      <c r="Z177" s="13"/>
      <c r="AA177" s="15"/>
      <c r="AB177" s="13">
        <v>5</v>
      </c>
      <c r="AC177" s="15" t="s">
        <v>2754</v>
      </c>
      <c r="AD177" s="13">
        <v>5</v>
      </c>
      <c r="AE177" s="15" t="s">
        <v>2755</v>
      </c>
      <c r="AF177" s="13">
        <v>10</v>
      </c>
      <c r="AG177" s="15" t="s">
        <v>2756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2757</v>
      </c>
      <c r="AR177" s="13"/>
      <c r="AS177" s="17">
        <f>SUM(H177,J177,L177,N177,P177,R177,T177,V177,X177,Z177,AB177,AD177,AF177,AH177,AJ177,AL177,AN177)</f>
        <v>98</v>
      </c>
      <c r="AT177" s="11">
        <f>IF(C177="","",DATE(YEAR(C177),MONTH(C177),1))</f>
        <v>46113</v>
      </c>
      <c r="AU177" s="13" t="str">
        <f>IF(AT177="","",TEXT(AT177,"mmmm yyyy"))</f>
        <v>April 2026</v>
      </c>
      <c r="AV177" s="11">
        <f>IF(C177="","",C177-WEEKDAY(C177,2)+1)</f>
        <v>46118</v>
      </c>
      <c r="AW177" s="11">
        <f>IF(AV177="","",AV177+6)</f>
        <v>46124</v>
      </c>
      <c r="AX177" s="13" t="str">
        <f>IF(AV177="","",TEXT(AV177,"dd/mm/yyyy")&amp;" - "&amp;TEXT(AW177,"dd/mm/yyyy"))</f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>IF(B177="","",TEXT(AY177,"00")&amp;"|"&amp;B177&amp;"|"&amp;TEXT(AT177,"yyyymmdd"))</f>
        <v>05|Jariyawadee Taboodda|20260401</v>
      </c>
      <c r="BB177" s="13" t="str">
        <f>IF(B177="","",TEXT(AZ177,"00")&amp;"|"&amp;B177&amp;"|"&amp;TEXT(AV177,"yyyymmdd"))</f>
        <v>03|Jariyawadee Taboodda|20260406</v>
      </c>
      <c r="BC177" s="13">
        <f>IF(OR(AQ177="YES",AQ177="Yes",AQ177="Y",AQ177=1),1,0)</f>
        <v>0</v>
      </c>
      <c r="BD177" s="50" t="s">
        <v>2758</v>
      </c>
      <c r="BE177" t="s">
        <v>2759</v>
      </c>
      <c r="BF177" t="s">
        <v>2338</v>
      </c>
    </row>
    <row r="178" spans="1:58" ht="15" customHeight="1">
      <c r="A178" s="9">
        <v>46130.503830057874</v>
      </c>
      <c r="B178" s="10" t="s">
        <v>503</v>
      </c>
      <c r="C178" s="11">
        <v>46122</v>
      </c>
      <c r="D178" s="12">
        <v>0.48750000000291038</v>
      </c>
      <c r="E178" s="12">
        <v>0.49513888888759539</v>
      </c>
      <c r="F178" s="13" t="s">
        <v>3236</v>
      </c>
      <c r="G178" s="14" t="s">
        <v>3237</v>
      </c>
      <c r="H178" s="13">
        <v>9</v>
      </c>
      <c r="I178" s="19" t="s">
        <v>3238</v>
      </c>
      <c r="J178" s="13">
        <v>10</v>
      </c>
      <c r="K178" s="15" t="s">
        <v>3239</v>
      </c>
      <c r="L178" s="13">
        <v>5</v>
      </c>
      <c r="M178" s="15" t="s">
        <v>3240</v>
      </c>
      <c r="N178" s="13">
        <v>4</v>
      </c>
      <c r="O178" s="19" t="s">
        <v>3241</v>
      </c>
      <c r="P178" s="13">
        <v>3</v>
      </c>
      <c r="Q178" s="20" t="s">
        <v>3242</v>
      </c>
      <c r="R178" s="13">
        <v>1</v>
      </c>
      <c r="S178" s="20" t="s">
        <v>3243</v>
      </c>
      <c r="T178" s="13"/>
      <c r="U178" s="15"/>
      <c r="V178" s="13">
        <v>4</v>
      </c>
      <c r="W178" s="19" t="s">
        <v>3244</v>
      </c>
      <c r="X178" s="13">
        <v>3</v>
      </c>
      <c r="Y178" s="19" t="s">
        <v>3245</v>
      </c>
      <c r="Z178" s="13"/>
      <c r="AA178" s="15"/>
      <c r="AB178" s="13">
        <v>5</v>
      </c>
      <c r="AC178" s="15" t="s">
        <v>3230</v>
      </c>
      <c r="AD178" s="13">
        <v>5</v>
      </c>
      <c r="AE178" s="15" t="s">
        <v>3246</v>
      </c>
      <c r="AF178" s="13">
        <v>8</v>
      </c>
      <c r="AG178" s="15" t="s">
        <v>3247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3248</v>
      </c>
      <c r="AR178" s="13"/>
      <c r="AS178" s="17">
        <f>SUM(H178,J178,L178,N178,P178,R178,T178,V178,X178,Z178,AB178,AD178,AF178,AH178,AJ178,AL178,AN178)</f>
        <v>57</v>
      </c>
      <c r="AT178" s="11">
        <f>IF(C178="","",DATE(YEAR(C178),MONTH(C178),1))</f>
        <v>46113</v>
      </c>
      <c r="AU178" s="13" t="str">
        <f>IF(AT178="","",TEXT(AT178,"mmmm yyyy"))</f>
        <v>April 2026</v>
      </c>
      <c r="AV178" s="11">
        <f>IF(C178="","",C178-WEEKDAY(C178,2)+1)</f>
        <v>46118</v>
      </c>
      <c r="AW178" s="11">
        <f>IF(AV178="","",AV178+6)</f>
        <v>46124</v>
      </c>
      <c r="AX178" s="13" t="str">
        <f>IF(AV178="","",TEXT(AV178,"dd/mm/yyyy")&amp;" - "&amp;TEXT(AW178,"dd/mm/yyyy"))</f>
        <v>06/04/2026 - 12/04/2026</v>
      </c>
      <c r="AY178" s="13">
        <f>IF(B178="","",COUNTIFS($B$5:B178,B178,$AT$5:AT178,AT178))</f>
        <v>3</v>
      </c>
      <c r="AZ178" s="13">
        <f>IF(B178="","",COUNTIFS($B$5:B178,B178,$AV$5:AV178,AV178))</f>
        <v>2</v>
      </c>
      <c r="BA178" s="13" t="str">
        <f>IF(B178="","",TEXT(AY178,"00")&amp;"|"&amp;B178&amp;"|"&amp;TEXT(AT178,"yyyymmdd"))</f>
        <v>03|Wassana Phothong|20260401</v>
      </c>
      <c r="BB178" s="13" t="str">
        <f>IF(B178="","",TEXT(AZ178,"00")&amp;"|"&amp;B178&amp;"|"&amp;TEXT(AV178,"yyyymmdd"))</f>
        <v>02|Wassana Phothong|20260406</v>
      </c>
      <c r="BC178" s="13">
        <f>IF(OR(AQ178="YES",AQ178="Yes",AQ178="Y",AQ178=1),1,0)</f>
        <v>0</v>
      </c>
      <c r="BD178" s="50" t="s">
        <v>3249</v>
      </c>
      <c r="BE178" t="s">
        <v>3250</v>
      </c>
      <c r="BF178" t="s">
        <v>2338</v>
      </c>
    </row>
    <row r="179" spans="1:58" ht="15" customHeight="1">
      <c r="A179" s="9">
        <v>46128.851487245367</v>
      </c>
      <c r="B179" s="10" t="s">
        <v>2321</v>
      </c>
      <c r="C179" s="11">
        <v>46123</v>
      </c>
      <c r="D179" s="12">
        <v>0.601388888884685</v>
      </c>
      <c r="E179" s="12">
        <v>0.60347222222480923</v>
      </c>
      <c r="F179" s="13" t="s">
        <v>2639</v>
      </c>
      <c r="G179" s="14" t="s">
        <v>2640</v>
      </c>
      <c r="H179" s="13">
        <v>5</v>
      </c>
      <c r="I179" s="19" t="s">
        <v>2641</v>
      </c>
      <c r="J179" s="13">
        <v>10</v>
      </c>
      <c r="K179" s="19" t="s">
        <v>2642</v>
      </c>
      <c r="L179" s="13">
        <v>4</v>
      </c>
      <c r="M179" s="19" t="s">
        <v>2643</v>
      </c>
      <c r="N179" s="13">
        <v>2</v>
      </c>
      <c r="O179" s="19" t="s">
        <v>2644</v>
      </c>
      <c r="P179" s="13">
        <v>1</v>
      </c>
      <c r="Q179" s="20" t="s">
        <v>2645</v>
      </c>
      <c r="R179" s="13">
        <v>0</v>
      </c>
      <c r="S179" s="20" t="s">
        <v>2646</v>
      </c>
      <c r="T179" s="13"/>
      <c r="U179" s="15"/>
      <c r="V179" s="13">
        <v>1</v>
      </c>
      <c r="W179" s="19" t="s">
        <v>2647</v>
      </c>
      <c r="X179" s="13">
        <v>1</v>
      </c>
      <c r="Y179" s="19" t="s">
        <v>2648</v>
      </c>
      <c r="Z179" s="13"/>
      <c r="AA179" s="15"/>
      <c r="AB179" s="13">
        <v>4</v>
      </c>
      <c r="AC179" s="19" t="s">
        <v>2649</v>
      </c>
      <c r="AD179" s="13">
        <v>4</v>
      </c>
      <c r="AE179" s="19" t="s">
        <v>2650</v>
      </c>
      <c r="AF179" s="13">
        <v>7</v>
      </c>
      <c r="AG179" s="19" t="s">
        <v>2651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2652</v>
      </c>
      <c r="AR179" s="13"/>
      <c r="AS179" s="17">
        <f>SUM(H179,J179,L179,N179,P179,R179,T179,V179,X179,Z179,AB179,AD179,AF179,AH179,AJ179,AL179,AN179)</f>
        <v>39</v>
      </c>
      <c r="AT179" s="11">
        <f>IF(C179="","",DATE(YEAR(C179),MONTH(C179),1))</f>
        <v>46113</v>
      </c>
      <c r="AU179" s="13" t="str">
        <f>IF(AT179="","",TEXT(AT179,"mmmm yyyy"))</f>
        <v>April 2026</v>
      </c>
      <c r="AV179" s="11">
        <f>IF(C179="","",C179-WEEKDAY(C179,2)+1)</f>
        <v>46118</v>
      </c>
      <c r="AW179" s="11">
        <f>IF(AV179="","",AV179+6)</f>
        <v>46124</v>
      </c>
      <c r="AX179" s="13" t="str">
        <f>IF(AV179="","",TEXT(AV179,"dd/mm/yyyy")&amp;" - "&amp;TEXT(AW179,"dd/mm/yyyy"))</f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>IF(B179="","",TEXT(AY179,"00")&amp;"|"&amp;B179&amp;"|"&amp;TEXT(AT179,"yyyymmdd"))</f>
        <v>03|Anucha Makundin|20260401</v>
      </c>
      <c r="BB179" s="13" t="str">
        <f>IF(B179="","",TEXT(AZ179,"00")&amp;"|"&amp;B179&amp;"|"&amp;TEXT(AV179,"yyyymmdd"))</f>
        <v>01|Anucha Makundin|20260406</v>
      </c>
      <c r="BC179" s="13">
        <f>IF(OR(AQ179="YES",AQ179="Yes",AQ179="Y",AQ179=1),1,0)</f>
        <v>0</v>
      </c>
      <c r="BD179" s="50" t="s">
        <v>2653</v>
      </c>
      <c r="BE179" t="s">
        <v>2654</v>
      </c>
      <c r="BF179" t="s">
        <v>2338</v>
      </c>
    </row>
    <row r="180" spans="1:58" ht="15" customHeight="1">
      <c r="A180" s="51">
        <v>46128.861033425928</v>
      </c>
      <c r="B180" s="52" t="s">
        <v>2321</v>
      </c>
      <c r="C180" s="53">
        <v>46123</v>
      </c>
      <c r="D180" s="54">
        <v>0.50555555555911269</v>
      </c>
      <c r="E180" s="54">
        <v>0.51527777777664596</v>
      </c>
      <c r="F180" s="55" t="s">
        <v>2655</v>
      </c>
      <c r="G180" s="56" t="s">
        <v>2656</v>
      </c>
      <c r="H180" s="55">
        <v>5</v>
      </c>
      <c r="I180" s="57" t="s">
        <v>2657</v>
      </c>
      <c r="J180" s="55">
        <v>10</v>
      </c>
      <c r="K180" s="57" t="s">
        <v>2658</v>
      </c>
      <c r="L180" s="55">
        <v>7</v>
      </c>
      <c r="M180" s="57" t="s">
        <v>2659</v>
      </c>
      <c r="N180" s="55">
        <v>7</v>
      </c>
      <c r="O180" s="57" t="s">
        <v>2660</v>
      </c>
      <c r="P180" s="55">
        <v>5</v>
      </c>
      <c r="Q180" s="58" t="s">
        <v>2661</v>
      </c>
      <c r="R180" s="55">
        <v>3</v>
      </c>
      <c r="S180" s="58" t="s">
        <v>2662</v>
      </c>
      <c r="T180" s="55"/>
      <c r="U180" s="59"/>
      <c r="V180" s="55">
        <v>7</v>
      </c>
      <c r="W180" s="57" t="s">
        <v>2663</v>
      </c>
      <c r="X180" s="55">
        <v>5</v>
      </c>
      <c r="Y180" s="57" t="s">
        <v>2664</v>
      </c>
      <c r="Z180" s="55"/>
      <c r="AA180" s="59"/>
      <c r="AB180" s="55">
        <v>5</v>
      </c>
      <c r="AC180" s="57" t="s">
        <v>2665</v>
      </c>
      <c r="AD180" s="55">
        <v>5</v>
      </c>
      <c r="AE180" s="57" t="s">
        <v>2666</v>
      </c>
      <c r="AF180" s="55">
        <v>8</v>
      </c>
      <c r="AG180" s="57" t="s">
        <v>2667</v>
      </c>
      <c r="AH180" s="55"/>
      <c r="AI180" s="59"/>
      <c r="AJ180" s="55"/>
      <c r="AK180" s="59"/>
      <c r="AL180" s="55"/>
      <c r="AM180" s="59"/>
      <c r="AN180" s="55"/>
      <c r="AO180" s="59"/>
      <c r="AP180" s="55" t="s">
        <v>79</v>
      </c>
      <c r="AQ180" s="59" t="s">
        <v>2668</v>
      </c>
      <c r="AR180" s="55"/>
      <c r="AS180" s="60">
        <f>SUM(H180,J180,L180,N180,P180,R180,T180,V180,X180,Z180,AB180,AD180,AF180,AH180,AJ180,AL180,AN180)</f>
        <v>67</v>
      </c>
      <c r="AT180" s="53">
        <f>IF(C180="","",DATE(YEAR(C180),MONTH(C180),1))</f>
        <v>46113</v>
      </c>
      <c r="AU180" s="55" t="str">
        <f>IF(AT180="","",TEXT(AT180,"mmmm yyyy"))</f>
        <v>April 2026</v>
      </c>
      <c r="AV180" s="53">
        <f>IF(C180="","",C180-WEEKDAY(C180,2)+1)</f>
        <v>46118</v>
      </c>
      <c r="AW180" s="53">
        <f>IF(AV180="","",AV180+6)</f>
        <v>46124</v>
      </c>
      <c r="AX180" s="55" t="str">
        <f>IF(AV180="","",TEXT(AV180,"dd/mm/yyyy")&amp;" - "&amp;TEXT(AW180,"dd/mm/yyyy"))</f>
        <v>06/04/2026 - 12/04/2026</v>
      </c>
      <c r="AY180" s="55">
        <f>IF(B180="","",COUNTIFS($B$5:B180,B180,$AT$5:AT180,AT180))</f>
        <v>4</v>
      </c>
      <c r="AZ180" s="55">
        <f>IF(B180="","",COUNTIFS($B$5:B180,B180,$AV$5:AV180,AV180))</f>
        <v>2</v>
      </c>
      <c r="BA180" s="55" t="str">
        <f>IF(B180="","",TEXT(AY180,"00")&amp;"|"&amp;B180&amp;"|"&amp;TEXT(AT180,"yyyymmdd"))</f>
        <v>04|Anucha Makundin|20260401</v>
      </c>
      <c r="BB180" s="55" t="str">
        <f>IF(B180="","",TEXT(AZ180,"00")&amp;"|"&amp;B180&amp;"|"&amp;TEXT(AV180,"yyyymmdd"))</f>
        <v>02|Anucha Makundin|20260406</v>
      </c>
      <c r="BC180" s="55">
        <f>IF(OR(AQ180="YES",AQ180="Yes",AQ180="Y",AQ180=1),1,0)</f>
        <v>0</v>
      </c>
      <c r="BD180" s="61" t="s">
        <v>2669</v>
      </c>
      <c r="BE180" s="62" t="s">
        <v>2670</v>
      </c>
      <c r="BF180" s="62" t="s">
        <v>2338</v>
      </c>
    </row>
    <row r="181" spans="1:58" ht="15" customHeight="1">
      <c r="A181" s="9">
        <v>46128.866286539356</v>
      </c>
      <c r="B181" s="10" t="s">
        <v>2321</v>
      </c>
      <c r="C181" s="11">
        <v>46123</v>
      </c>
      <c r="D181" s="12">
        <v>0.53611111111240461</v>
      </c>
      <c r="E181" s="12">
        <v>0.53749999999854481</v>
      </c>
      <c r="F181" s="13" t="s">
        <v>2671</v>
      </c>
      <c r="G181" s="14" t="s">
        <v>2672</v>
      </c>
      <c r="H181" s="13">
        <v>0</v>
      </c>
      <c r="I181" s="19" t="s">
        <v>2673</v>
      </c>
      <c r="J181" s="13">
        <v>10</v>
      </c>
      <c r="K181" s="19" t="s">
        <v>2674</v>
      </c>
      <c r="L181" s="13">
        <v>10</v>
      </c>
      <c r="M181" s="19" t="s">
        <v>2675</v>
      </c>
      <c r="N181" s="13">
        <v>8</v>
      </c>
      <c r="O181" s="19" t="s">
        <v>2676</v>
      </c>
      <c r="P181" s="13">
        <v>2</v>
      </c>
      <c r="Q181" s="20" t="s">
        <v>2677</v>
      </c>
      <c r="R181" s="13">
        <v>5</v>
      </c>
      <c r="S181" s="20" t="s">
        <v>2678</v>
      </c>
      <c r="T181" s="13"/>
      <c r="U181" s="15"/>
      <c r="V181" s="13">
        <v>10</v>
      </c>
      <c r="W181" s="19" t="s">
        <v>2679</v>
      </c>
      <c r="X181" s="13">
        <v>5</v>
      </c>
      <c r="Y181" s="19" t="s">
        <v>2680</v>
      </c>
      <c r="Z181" s="13"/>
      <c r="AA181" s="15"/>
      <c r="AB181" s="13">
        <v>4</v>
      </c>
      <c r="AC181" s="19" t="s">
        <v>2681</v>
      </c>
      <c r="AD181" s="13">
        <v>5</v>
      </c>
      <c r="AE181" s="19" t="s">
        <v>2682</v>
      </c>
      <c r="AF181" s="13">
        <v>7</v>
      </c>
      <c r="AG181" s="19" t="s">
        <v>2683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2684</v>
      </c>
      <c r="AR181" s="13"/>
      <c r="AS181" s="17">
        <f>SUM(H181,J181,L181,N181,P181,R181,T181,V181,X181,Z181,AB181,AD181,AF181,AH181,AJ181,AL181,AN181)</f>
        <v>66</v>
      </c>
      <c r="AT181" s="11">
        <f>IF(C181="","",DATE(YEAR(C181),MONTH(C181),1))</f>
        <v>46113</v>
      </c>
      <c r="AU181" s="13" t="str">
        <f>IF(AT181="","",TEXT(AT181,"mmmm yyyy"))</f>
        <v>April 2026</v>
      </c>
      <c r="AV181" s="11">
        <f>IF(C181="","",C181-WEEKDAY(C181,2)+1)</f>
        <v>46118</v>
      </c>
      <c r="AW181" s="11">
        <f>IF(AV181="","",AV181+6)</f>
        <v>46124</v>
      </c>
      <c r="AX181" s="13" t="str">
        <f>IF(AV181="","",TEXT(AV181,"dd/mm/yyyy")&amp;" - "&amp;TEXT(AW181,"dd/mm/yyyy"))</f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>IF(B181="","",TEXT(AY181,"00")&amp;"|"&amp;B181&amp;"|"&amp;TEXT(AT181,"yyyymmdd"))</f>
        <v>05|Anucha Makundin|20260401</v>
      </c>
      <c r="BB181" s="13" t="str">
        <f>IF(B181="","",TEXT(AZ181,"00")&amp;"|"&amp;B181&amp;"|"&amp;TEXT(AV181,"yyyymmdd"))</f>
        <v>03|Anucha Makundin|20260406</v>
      </c>
      <c r="BC181" s="13">
        <f>IF(OR(AQ181="YES",AQ181="Yes",AQ181="Y",AQ181=1),1,0)</f>
        <v>0</v>
      </c>
      <c r="BD181" s="50" t="s">
        <v>2685</v>
      </c>
      <c r="BE181" t="s">
        <v>2686</v>
      </c>
      <c r="BF181" t="s">
        <v>2338</v>
      </c>
    </row>
    <row r="182" spans="1:58" ht="15" customHeight="1">
      <c r="A182" s="9">
        <v>46129.933797685182</v>
      </c>
      <c r="B182" s="10" t="s">
        <v>443</v>
      </c>
      <c r="C182" s="11">
        <v>46123</v>
      </c>
      <c r="D182" s="12">
        <v>0.34722222221898846</v>
      </c>
      <c r="E182" s="12">
        <v>0.36388888888905058</v>
      </c>
      <c r="F182" s="13" t="s">
        <v>2988</v>
      </c>
      <c r="G182" s="14" t="s">
        <v>2989</v>
      </c>
      <c r="H182" s="13">
        <v>8</v>
      </c>
      <c r="I182" s="19" t="s">
        <v>2990</v>
      </c>
      <c r="J182" s="13">
        <v>10</v>
      </c>
      <c r="K182" s="15" t="s">
        <v>2991</v>
      </c>
      <c r="L182" s="13">
        <v>7</v>
      </c>
      <c r="M182" s="15" t="s">
        <v>2992</v>
      </c>
      <c r="N182" s="13">
        <v>4</v>
      </c>
      <c r="O182" s="19" t="s">
        <v>2993</v>
      </c>
      <c r="P182" s="13">
        <v>3</v>
      </c>
      <c r="Q182" s="20" t="s">
        <v>2994</v>
      </c>
      <c r="R182" s="13">
        <v>2</v>
      </c>
      <c r="S182" s="20" t="s">
        <v>2995</v>
      </c>
      <c r="T182" s="13"/>
      <c r="U182" s="15"/>
      <c r="V182" s="13">
        <v>4</v>
      </c>
      <c r="W182" s="19" t="s">
        <v>2996</v>
      </c>
      <c r="X182" s="13">
        <v>4</v>
      </c>
      <c r="Y182" s="19" t="s">
        <v>2997</v>
      </c>
      <c r="Z182" s="13"/>
      <c r="AA182" s="15"/>
      <c r="AB182" s="13">
        <v>4</v>
      </c>
      <c r="AC182" s="15" t="s">
        <v>2998</v>
      </c>
      <c r="AD182" s="13">
        <v>5</v>
      </c>
      <c r="AE182" s="15" t="s">
        <v>2999</v>
      </c>
      <c r="AF182" s="13">
        <v>9</v>
      </c>
      <c r="AG182" s="15" t="s">
        <v>3000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3001</v>
      </c>
      <c r="AR182" s="13"/>
      <c r="AS182" s="17">
        <f>SUM(H182,J182,L182,N182,P182,R182,T182,V182,X182,Z182,AB182,AD182,AF182,AH182,AJ182,AL182,AN182)</f>
        <v>60</v>
      </c>
      <c r="AT182" s="11">
        <f>IF(C182="","",DATE(YEAR(C182),MONTH(C182),1))</f>
        <v>46113</v>
      </c>
      <c r="AU182" s="13" t="str">
        <f>IF(AT182="","",TEXT(AT182,"mmmm yyyy"))</f>
        <v>April 2026</v>
      </c>
      <c r="AV182" s="11">
        <f>IF(C182="","",C182-WEEKDAY(C182,2)+1)</f>
        <v>46118</v>
      </c>
      <c r="AW182" s="11">
        <f>IF(AV182="","",AV182+6)</f>
        <v>46124</v>
      </c>
      <c r="AX182" s="13" t="str">
        <f>IF(AV182="","",TEXT(AV182,"dd/mm/yyyy")&amp;" - "&amp;TEXT(AW182,"dd/mm/yyyy"))</f>
        <v>06/04/2026 - 12/04/2026</v>
      </c>
      <c r="AY182" s="13">
        <f>IF(B182="","",COUNTIFS($B$5:B182,B182,$AT$5:AT182,AT182))</f>
        <v>4</v>
      </c>
      <c r="AZ182" s="13">
        <f>IF(B182="","",COUNTIFS($B$5:B182,B182,$AV$5:AV182,AV182))</f>
        <v>4</v>
      </c>
      <c r="BA182" s="13" t="str">
        <f>IF(B182="","",TEXT(AY182,"00")&amp;"|"&amp;B182&amp;"|"&amp;TEXT(AT182,"yyyymmdd"))</f>
        <v>04|Sunijtra Siritip|20260401</v>
      </c>
      <c r="BB182" s="13" t="str">
        <f>IF(B182="","",TEXT(AZ182,"00")&amp;"|"&amp;B182&amp;"|"&amp;TEXT(AV182,"yyyymmdd"))</f>
        <v>04|Sunijtra Siritip|20260406</v>
      </c>
      <c r="BC182" s="13">
        <f>IF(OR(AQ182="YES",AQ182="Yes",AQ182="Y",AQ182=1),1,0)</f>
        <v>0</v>
      </c>
      <c r="BD182" s="50" t="s">
        <v>3002</v>
      </c>
      <c r="BE182" t="s">
        <v>3003</v>
      </c>
      <c r="BF182" t="s">
        <v>2338</v>
      </c>
    </row>
    <row r="183" spans="1:58" ht="15" customHeight="1">
      <c r="A183" s="9">
        <v>46130.509882152779</v>
      </c>
      <c r="B183" s="10" t="s">
        <v>503</v>
      </c>
      <c r="C183" s="11">
        <v>46123</v>
      </c>
      <c r="D183" s="12">
        <v>0.71388888888759539</v>
      </c>
      <c r="E183" s="12">
        <v>0.71944444444670808</v>
      </c>
      <c r="F183" s="13" t="s">
        <v>3251</v>
      </c>
      <c r="G183" s="14" t="s">
        <v>3252</v>
      </c>
      <c r="H183" s="13">
        <v>9</v>
      </c>
      <c r="I183" s="19" t="s">
        <v>3253</v>
      </c>
      <c r="J183" s="13">
        <v>10</v>
      </c>
      <c r="K183" s="15" t="s">
        <v>3254</v>
      </c>
      <c r="L183" s="13">
        <v>8</v>
      </c>
      <c r="M183" s="15" t="s">
        <v>3255</v>
      </c>
      <c r="N183" s="13">
        <v>10</v>
      </c>
      <c r="O183" s="19" t="s">
        <v>3256</v>
      </c>
      <c r="P183" s="13">
        <v>8</v>
      </c>
      <c r="Q183" s="20" t="s">
        <v>3257</v>
      </c>
      <c r="R183" s="13">
        <v>5</v>
      </c>
      <c r="S183" s="20" t="s">
        <v>3258</v>
      </c>
      <c r="T183" s="13"/>
      <c r="U183" s="15"/>
      <c r="V183" s="13">
        <v>9</v>
      </c>
      <c r="W183" s="19" t="s">
        <v>3259</v>
      </c>
      <c r="X183" s="13">
        <v>7</v>
      </c>
      <c r="Y183" s="19" t="s">
        <v>3260</v>
      </c>
      <c r="Z183" s="13"/>
      <c r="AA183" s="15"/>
      <c r="AB183" s="13">
        <v>5</v>
      </c>
      <c r="AC183" s="15" t="s">
        <v>3261</v>
      </c>
      <c r="AD183" s="13">
        <v>5</v>
      </c>
      <c r="AE183" s="15" t="s">
        <v>3262</v>
      </c>
      <c r="AF183" s="13">
        <v>9</v>
      </c>
      <c r="AG183" s="15" t="s">
        <v>3263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3264</v>
      </c>
      <c r="AR183" s="13"/>
      <c r="AS183" s="17">
        <f>SUM(H183,J183,L183,N183,P183,R183,T183,V183,X183,Z183,AB183,AD183,AF183,AH183,AJ183,AL183,AN183)</f>
        <v>85</v>
      </c>
      <c r="AT183" s="11">
        <f>IF(C183="","",DATE(YEAR(C183),MONTH(C183),1))</f>
        <v>46113</v>
      </c>
      <c r="AU183" s="13" t="str">
        <f>IF(AT183="","",TEXT(AT183,"mmmm yyyy"))</f>
        <v>April 2026</v>
      </c>
      <c r="AV183" s="11">
        <f>IF(C183="","",C183-WEEKDAY(C183,2)+1)</f>
        <v>46118</v>
      </c>
      <c r="AW183" s="11">
        <f>IF(AV183="","",AV183+6)</f>
        <v>46124</v>
      </c>
      <c r="AX183" s="13" t="str">
        <f>IF(AV183="","",TEXT(AV183,"dd/mm/yyyy")&amp;" - "&amp;TEXT(AW183,"dd/mm/yyyy"))</f>
        <v>06/04/2026 - 12/04/2026</v>
      </c>
      <c r="AY183" s="13">
        <f>IF(B183="","",COUNTIFS($B$5:B183,B183,$AT$5:AT183,AT183))</f>
        <v>4</v>
      </c>
      <c r="AZ183" s="13">
        <f>IF(B183="","",COUNTIFS($B$5:B183,B183,$AV$5:AV183,AV183))</f>
        <v>3</v>
      </c>
      <c r="BA183" s="13" t="str">
        <f>IF(B183="","",TEXT(AY183,"00")&amp;"|"&amp;B183&amp;"|"&amp;TEXT(AT183,"yyyymmdd"))</f>
        <v>04|Wassana Phothong|20260401</v>
      </c>
      <c r="BB183" s="13" t="str">
        <f>IF(B183="","",TEXT(AZ183,"00")&amp;"|"&amp;B183&amp;"|"&amp;TEXT(AV183,"yyyymmdd"))</f>
        <v>03|Wassana Phothong|20260406</v>
      </c>
      <c r="BC183" s="13">
        <f>IF(OR(AQ183="YES",AQ183="Yes",AQ183="Y",AQ183=1),1,0)</f>
        <v>0</v>
      </c>
      <c r="BD183" s="50" t="s">
        <v>3265</v>
      </c>
      <c r="BE183" t="s">
        <v>3266</v>
      </c>
      <c r="BF183" t="s">
        <v>2338</v>
      </c>
    </row>
    <row r="184" spans="1:58" ht="15" customHeight="1">
      <c r="A184" s="9">
        <v>46129.763446215278</v>
      </c>
      <c r="B184" s="10" t="s">
        <v>1130</v>
      </c>
      <c r="C184" s="11">
        <v>46124</v>
      </c>
      <c r="D184" s="12">
        <v>0.46041666666860692</v>
      </c>
      <c r="E184" s="12">
        <v>0.47083333333284827</v>
      </c>
      <c r="F184" s="13" t="s">
        <v>2840</v>
      </c>
      <c r="G184" s="14" t="s">
        <v>2841</v>
      </c>
      <c r="H184" s="13">
        <v>10</v>
      </c>
      <c r="I184" s="19" t="s">
        <v>2718</v>
      </c>
      <c r="J184" s="13">
        <v>10</v>
      </c>
      <c r="K184" s="15" t="s">
        <v>2842</v>
      </c>
      <c r="L184" s="13">
        <v>8</v>
      </c>
      <c r="M184" s="15" t="s">
        <v>2843</v>
      </c>
      <c r="N184" s="13">
        <v>10</v>
      </c>
      <c r="O184" s="19" t="s">
        <v>2844</v>
      </c>
      <c r="P184" s="13">
        <v>9</v>
      </c>
      <c r="Q184" s="20" t="s">
        <v>2845</v>
      </c>
      <c r="R184" s="13">
        <v>5</v>
      </c>
      <c r="S184" s="20" t="s">
        <v>2846</v>
      </c>
      <c r="T184" s="13"/>
      <c r="U184" s="15"/>
      <c r="V184" s="13">
        <v>14</v>
      </c>
      <c r="W184" s="19" t="s">
        <v>2847</v>
      </c>
      <c r="X184" s="13">
        <v>9</v>
      </c>
      <c r="Y184" s="19" t="s">
        <v>2848</v>
      </c>
      <c r="Z184" s="13"/>
      <c r="AA184" s="15"/>
      <c r="AB184" s="13">
        <v>5</v>
      </c>
      <c r="AC184" s="15" t="s">
        <v>2726</v>
      </c>
      <c r="AD184" s="13">
        <v>5</v>
      </c>
      <c r="AE184" s="15" t="s">
        <v>2755</v>
      </c>
      <c r="AF184" s="13">
        <v>10</v>
      </c>
      <c r="AG184" s="15" t="s">
        <v>2849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2850</v>
      </c>
      <c r="AR184" s="13"/>
      <c r="AS184" s="17">
        <f>SUM(H184,J184,L184,N184,P184,R184,T184,V184,X184,Z184,AB184,AD184,AF184,AH184,AJ184,AL184,AN184)</f>
        <v>95</v>
      </c>
      <c r="AT184" s="11">
        <f>IF(C184="","",DATE(YEAR(C184),MONTH(C184),1))</f>
        <v>46113</v>
      </c>
      <c r="AU184" s="13" t="str">
        <f>IF(AT184="","",TEXT(AT184,"mmmm yyyy"))</f>
        <v>April 2026</v>
      </c>
      <c r="AV184" s="11">
        <f>IF(C184="","",C184-WEEKDAY(C184,2)+1)</f>
        <v>46118</v>
      </c>
      <c r="AW184" s="11">
        <f>IF(AV184="","",AV184+6)</f>
        <v>46124</v>
      </c>
      <c r="AX184" s="13" t="str">
        <f>IF(AV184="","",TEXT(AV184,"dd/mm/yyyy")&amp;" - "&amp;TEXT(AW184,"dd/mm/yyyy"))</f>
        <v>06/04/2026 - 12/04/2026</v>
      </c>
      <c r="AY184" s="13">
        <f>IF(B184="","",COUNTIFS($B$5:B184,B184,$AT$5:AT184,AT184))</f>
        <v>5</v>
      </c>
      <c r="AZ184" s="13">
        <f>IF(B184="","",COUNTIFS($B$5:B184,B184,$AV$5:AV184,AV184))</f>
        <v>3</v>
      </c>
      <c r="BA184" s="13" t="str">
        <f>IF(B184="","",TEXT(AY184,"00")&amp;"|"&amp;B184&amp;"|"&amp;TEXT(AT184,"yyyymmdd"))</f>
        <v>05|Krivut Vongkampan|20260401</v>
      </c>
      <c r="BB184" s="13" t="str">
        <f>IF(B184="","",TEXT(AZ184,"00")&amp;"|"&amp;B184&amp;"|"&amp;TEXT(AV184,"yyyymmdd"))</f>
        <v>03|Krivut Vongkampan|20260406</v>
      </c>
      <c r="BC184" s="13">
        <f>IF(OR(AQ184="YES",AQ184="Yes",AQ184="Y",AQ184=1),1,0)</f>
        <v>0</v>
      </c>
      <c r="BD184" s="50" t="s">
        <v>2851</v>
      </c>
      <c r="BE184" t="s">
        <v>2852</v>
      </c>
      <c r="BF184" t="s">
        <v>2338</v>
      </c>
    </row>
    <row r="185" spans="1:58" ht="15" customHeight="1">
      <c r="A185" s="9">
        <v>46129.839254062499</v>
      </c>
      <c r="B185" s="10" t="s">
        <v>143</v>
      </c>
      <c r="C185" s="11">
        <v>46124</v>
      </c>
      <c r="D185" s="12">
        <v>0.63888888889050577</v>
      </c>
      <c r="E185" s="12">
        <v>0.64166666666278616</v>
      </c>
      <c r="F185" s="13" t="s">
        <v>2932</v>
      </c>
      <c r="G185" s="14" t="s">
        <v>2933</v>
      </c>
      <c r="H185" s="13">
        <v>10</v>
      </c>
      <c r="I185" s="19" t="s">
        <v>2887</v>
      </c>
      <c r="J185" s="13">
        <v>10</v>
      </c>
      <c r="K185" s="15" t="s">
        <v>2934</v>
      </c>
      <c r="L185" s="13">
        <v>9</v>
      </c>
      <c r="M185" s="15" t="s">
        <v>2935</v>
      </c>
      <c r="N185" s="13">
        <v>10</v>
      </c>
      <c r="O185" s="19" t="s">
        <v>2936</v>
      </c>
      <c r="P185" s="13">
        <v>9</v>
      </c>
      <c r="Q185" s="20" t="s">
        <v>2937</v>
      </c>
      <c r="R185" s="13">
        <v>4</v>
      </c>
      <c r="S185" s="20" t="s">
        <v>2938</v>
      </c>
      <c r="T185" s="13"/>
      <c r="U185" s="15"/>
      <c r="V185" s="13">
        <v>12</v>
      </c>
      <c r="W185" s="19" t="s">
        <v>2939</v>
      </c>
      <c r="X185" s="13">
        <v>8</v>
      </c>
      <c r="Y185" s="19" t="s">
        <v>2940</v>
      </c>
      <c r="Z185" s="13"/>
      <c r="AA185" s="15"/>
      <c r="AB185" s="13">
        <v>5</v>
      </c>
      <c r="AC185" s="15" t="s">
        <v>2726</v>
      </c>
      <c r="AD185" s="13">
        <v>5</v>
      </c>
      <c r="AE185" s="15" t="s">
        <v>2755</v>
      </c>
      <c r="AF185" s="13">
        <v>10</v>
      </c>
      <c r="AG185" s="15" t="s">
        <v>2941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2942</v>
      </c>
      <c r="AR185" s="13"/>
      <c r="AS185" s="17">
        <f>SUM(H185,J185,L185,N185,P185,R185,T185,V185,X185,Z185,AB185,AD185,AF185,AH185,AJ185,AL185,AN185)</f>
        <v>92</v>
      </c>
      <c r="AT185" s="11">
        <f>IF(C185="","",DATE(YEAR(C185),MONTH(C185),1))</f>
        <v>46113</v>
      </c>
      <c r="AU185" s="13" t="str">
        <f>IF(AT185="","",TEXT(AT185,"mmmm yyyy"))</f>
        <v>April 2026</v>
      </c>
      <c r="AV185" s="11">
        <f>IF(C185="","",C185-WEEKDAY(C185,2)+1)</f>
        <v>46118</v>
      </c>
      <c r="AW185" s="11">
        <f>IF(AV185="","",AV185+6)</f>
        <v>46124</v>
      </c>
      <c r="AX185" s="13" t="str">
        <f>IF(AV185="","",TEXT(AV185,"dd/mm/yyyy")&amp;" - "&amp;TEXT(AW185,"dd/mm/yyyy"))</f>
        <v>06/04/2026 - 12/04/2026</v>
      </c>
      <c r="AY185" s="13">
        <f>IF(B185="","",COUNTIFS($B$5:B185,B185,$AT$5:AT185,AT185))</f>
        <v>6</v>
      </c>
      <c r="AZ185" s="13">
        <f>IF(B185="","",COUNTIFS($B$5:B185,B185,$AV$5:AV185,AV185))</f>
        <v>4</v>
      </c>
      <c r="BA185" s="13" t="str">
        <f>IF(B185="","",TEXT(AY185,"00")&amp;"|"&amp;B185&amp;"|"&amp;TEXT(AT185,"yyyymmdd"))</f>
        <v>06|Nattapol Suprom|20260401</v>
      </c>
      <c r="BB185" s="13" t="str">
        <f>IF(B185="","",TEXT(AZ185,"00")&amp;"|"&amp;B185&amp;"|"&amp;TEXT(AV185,"yyyymmdd"))</f>
        <v>04|Nattapol Suprom|20260406</v>
      </c>
      <c r="BC185" s="13">
        <f>IF(OR(AQ185="YES",AQ185="Yes",AQ185="Y",AQ185=1),1,0)</f>
        <v>0</v>
      </c>
      <c r="BD185" s="50" t="s">
        <v>2943</v>
      </c>
      <c r="BE185" t="s">
        <v>2944</v>
      </c>
      <c r="BF185" t="s">
        <v>2338</v>
      </c>
    </row>
    <row r="186" spans="1:58" ht="15" customHeight="1">
      <c r="A186" s="9">
        <v>46129.939072488429</v>
      </c>
      <c r="B186" s="10" t="s">
        <v>443</v>
      </c>
      <c r="C186" s="11">
        <v>46124</v>
      </c>
      <c r="D186" s="12">
        <v>0.39583333333575865</v>
      </c>
      <c r="E186" s="12">
        <v>0.40347222222044365</v>
      </c>
      <c r="F186" s="13" t="s">
        <v>3004</v>
      </c>
      <c r="G186" s="14" t="s">
        <v>3005</v>
      </c>
      <c r="H186" s="13">
        <v>10</v>
      </c>
      <c r="I186" s="19" t="s">
        <v>2887</v>
      </c>
      <c r="J186" s="13">
        <v>10</v>
      </c>
      <c r="K186" s="15" t="s">
        <v>3006</v>
      </c>
      <c r="L186" s="13">
        <v>8</v>
      </c>
      <c r="M186" s="15" t="s">
        <v>3007</v>
      </c>
      <c r="N186" s="13">
        <v>8</v>
      </c>
      <c r="O186" s="19" t="s">
        <v>3008</v>
      </c>
      <c r="P186" s="13">
        <v>8</v>
      </c>
      <c r="Q186" s="20" t="s">
        <v>3009</v>
      </c>
      <c r="R186" s="13">
        <v>5</v>
      </c>
      <c r="S186" s="20" t="s">
        <v>3010</v>
      </c>
      <c r="T186" s="13"/>
      <c r="U186" s="15"/>
      <c r="V186" s="13">
        <v>11</v>
      </c>
      <c r="W186" s="19" t="s">
        <v>3011</v>
      </c>
      <c r="X186" s="13">
        <v>8</v>
      </c>
      <c r="Y186" s="19" t="s">
        <v>3012</v>
      </c>
      <c r="Z186" s="13"/>
      <c r="AA186" s="15"/>
      <c r="AB186" s="13">
        <v>5</v>
      </c>
      <c r="AC186" s="15" t="s">
        <v>3013</v>
      </c>
      <c r="AD186" s="13">
        <v>5</v>
      </c>
      <c r="AE186" s="15" t="s">
        <v>3014</v>
      </c>
      <c r="AF186" s="13">
        <v>10</v>
      </c>
      <c r="AG186" s="15" t="s">
        <v>3015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3016</v>
      </c>
      <c r="AR186" s="13"/>
      <c r="AS186" s="17">
        <f>SUM(H186,J186,L186,N186,P186,R186,T186,V186,X186,Z186,AB186,AD186,AF186,AH186,AJ186,AL186,AN186)</f>
        <v>88</v>
      </c>
      <c r="AT186" s="11">
        <f>IF(C186="","",DATE(YEAR(C186),MONTH(C186),1))</f>
        <v>46113</v>
      </c>
      <c r="AU186" s="13" t="str">
        <f>IF(AT186="","",TEXT(AT186,"mmmm yyyy"))</f>
        <v>April 2026</v>
      </c>
      <c r="AV186" s="11">
        <f>IF(C186="","",C186-WEEKDAY(C186,2)+1)</f>
        <v>46118</v>
      </c>
      <c r="AW186" s="11">
        <f>IF(AV186="","",AV186+6)</f>
        <v>46124</v>
      </c>
      <c r="AX186" s="13" t="str">
        <f>IF(AV186="","",TEXT(AV186,"dd/mm/yyyy")&amp;" - "&amp;TEXT(AW186,"dd/mm/yyyy"))</f>
        <v>06/04/2026 - 12/04/2026</v>
      </c>
      <c r="AY186" s="13">
        <f>IF(B186="","",COUNTIFS($B$5:B186,B186,$AT$5:AT186,AT186))</f>
        <v>5</v>
      </c>
      <c r="AZ186" s="13">
        <f>IF(B186="","",COUNTIFS($B$5:B186,B186,$AV$5:AV186,AV186))</f>
        <v>5</v>
      </c>
      <c r="BA186" s="13" t="str">
        <f>IF(B186="","",TEXT(AY186,"00")&amp;"|"&amp;B186&amp;"|"&amp;TEXT(AT186,"yyyymmdd"))</f>
        <v>05|Sunijtra Siritip|20260401</v>
      </c>
      <c r="BB186" s="13" t="str">
        <f>IF(B186="","",TEXT(AZ186,"00")&amp;"|"&amp;B186&amp;"|"&amp;TEXT(AV186,"yyyymmdd"))</f>
        <v>05|Sunijtra Siritip|20260406</v>
      </c>
      <c r="BC186" s="13">
        <f>IF(OR(AQ186="YES",AQ186="Yes",AQ186="Y",AQ186=1),1,0)</f>
        <v>0</v>
      </c>
      <c r="BD186" s="50" t="s">
        <v>3017</v>
      </c>
      <c r="BE186" t="s">
        <v>3018</v>
      </c>
      <c r="BF186" t="s">
        <v>2338</v>
      </c>
    </row>
    <row r="187" spans="1:58" ht="15" customHeight="1">
      <c r="A187" s="9">
        <v>46129.944107314819</v>
      </c>
      <c r="B187" s="10" t="s">
        <v>443</v>
      </c>
      <c r="C187" s="11">
        <v>46124</v>
      </c>
      <c r="D187" s="12">
        <v>0.429861111115315</v>
      </c>
      <c r="E187" s="12">
        <v>0.44583333333139308</v>
      </c>
      <c r="F187" s="13" t="s">
        <v>3019</v>
      </c>
      <c r="G187" s="14" t="s">
        <v>3020</v>
      </c>
      <c r="H187" s="13">
        <v>7</v>
      </c>
      <c r="I187" s="19" t="s">
        <v>3021</v>
      </c>
      <c r="J187" s="13">
        <v>10</v>
      </c>
      <c r="K187" s="15" t="s">
        <v>3022</v>
      </c>
      <c r="L187" s="13">
        <v>6</v>
      </c>
      <c r="M187" s="15" t="s">
        <v>3023</v>
      </c>
      <c r="N187" s="13">
        <v>8</v>
      </c>
      <c r="O187" s="19" t="s">
        <v>3024</v>
      </c>
      <c r="P187" s="13">
        <v>6</v>
      </c>
      <c r="Q187" s="20" t="s">
        <v>3025</v>
      </c>
      <c r="R187" s="13">
        <v>4</v>
      </c>
      <c r="S187" s="20" t="s">
        <v>3026</v>
      </c>
      <c r="T187" s="13"/>
      <c r="U187" s="15"/>
      <c r="V187" s="13">
        <v>9</v>
      </c>
      <c r="W187" s="19" t="s">
        <v>3027</v>
      </c>
      <c r="X187" s="13">
        <v>9</v>
      </c>
      <c r="Y187" s="19" t="s">
        <v>3028</v>
      </c>
      <c r="Z187" s="13"/>
      <c r="AA187" s="15"/>
      <c r="AB187" s="13">
        <v>5</v>
      </c>
      <c r="AC187" s="15" t="s">
        <v>3029</v>
      </c>
      <c r="AD187" s="13">
        <v>5</v>
      </c>
      <c r="AE187" s="15" t="s">
        <v>3030</v>
      </c>
      <c r="AF187" s="13">
        <v>10</v>
      </c>
      <c r="AG187" s="15" t="s">
        <v>3031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3032</v>
      </c>
      <c r="AR187" s="13"/>
      <c r="AS187" s="17">
        <f>SUM(H187,J187,L187,N187,P187,R187,T187,V187,X187,Z187,AB187,AD187,AF187,AH187,AJ187,AL187,AN187)</f>
        <v>79</v>
      </c>
      <c r="AT187" s="11">
        <f>IF(C187="","",DATE(YEAR(C187),MONTH(C187),1))</f>
        <v>46113</v>
      </c>
      <c r="AU187" s="13" t="str">
        <f>IF(AT187="","",TEXT(AT187,"mmmm yyyy"))</f>
        <v>April 2026</v>
      </c>
      <c r="AV187" s="11">
        <f>IF(C187="","",C187-WEEKDAY(C187,2)+1)</f>
        <v>46118</v>
      </c>
      <c r="AW187" s="11">
        <f>IF(AV187="","",AV187+6)</f>
        <v>46124</v>
      </c>
      <c r="AX187" s="13" t="str">
        <f>IF(AV187="","",TEXT(AV187,"dd/mm/yyyy")&amp;" - "&amp;TEXT(AW187,"dd/mm/yyyy"))</f>
        <v>06/04/2026 - 12/04/2026</v>
      </c>
      <c r="AY187" s="13">
        <f>IF(B187="","",COUNTIFS($B$5:B187,B187,$AT$5:AT187,AT187))</f>
        <v>6</v>
      </c>
      <c r="AZ187" s="13">
        <f>IF(B187="","",COUNTIFS($B$5:B187,B187,$AV$5:AV187,AV187))</f>
        <v>6</v>
      </c>
      <c r="BA187" s="13" t="str">
        <f>IF(B187="","",TEXT(AY187,"00")&amp;"|"&amp;B187&amp;"|"&amp;TEXT(AT187,"yyyymmdd"))</f>
        <v>06|Sunijtra Siritip|20260401</v>
      </c>
      <c r="BB187" s="13" t="str">
        <f>IF(B187="","",TEXT(AZ187,"00")&amp;"|"&amp;B187&amp;"|"&amp;TEXT(AV187,"yyyymmdd"))</f>
        <v>06|Sunijtra Siritip|20260406</v>
      </c>
      <c r="BC187" s="13">
        <f>IF(OR(AQ187="YES",AQ187="Yes",AQ187="Y",AQ187=1),1,0)</f>
        <v>0</v>
      </c>
      <c r="BD187" s="50" t="s">
        <v>3033</v>
      </c>
      <c r="BE187" t="s">
        <v>3034</v>
      </c>
      <c r="BF187" t="s">
        <v>2338</v>
      </c>
    </row>
    <row r="188" spans="1:58" ht="15" customHeight="1">
      <c r="A188" s="9">
        <v>46130.480695046295</v>
      </c>
      <c r="B188" s="10" t="s">
        <v>184</v>
      </c>
      <c r="C188" s="11">
        <v>46124</v>
      </c>
      <c r="D188" s="12">
        <v>0.39791666666860692</v>
      </c>
      <c r="E188" s="12">
        <v>0.40555555555329192</v>
      </c>
      <c r="F188" s="13" t="s">
        <v>3205</v>
      </c>
      <c r="G188" s="14" t="s">
        <v>3206</v>
      </c>
      <c r="H188" s="13">
        <v>10</v>
      </c>
      <c r="I188" s="19" t="s">
        <v>3207</v>
      </c>
      <c r="J188" s="13">
        <v>10</v>
      </c>
      <c r="K188" s="15" t="s">
        <v>3208</v>
      </c>
      <c r="L188" s="13">
        <v>9</v>
      </c>
      <c r="M188" s="15" t="s">
        <v>3209</v>
      </c>
      <c r="N188" s="13">
        <v>10</v>
      </c>
      <c r="O188" s="19" t="s">
        <v>3210</v>
      </c>
      <c r="P188" s="13">
        <v>9</v>
      </c>
      <c r="Q188" s="20" t="s">
        <v>3211</v>
      </c>
      <c r="R188" s="13">
        <v>5</v>
      </c>
      <c r="S188" s="20" t="s">
        <v>3212</v>
      </c>
      <c r="T188" s="13"/>
      <c r="U188" s="15"/>
      <c r="V188" s="13">
        <v>15</v>
      </c>
      <c r="W188" s="19" t="s">
        <v>3213</v>
      </c>
      <c r="X188" s="13">
        <v>10</v>
      </c>
      <c r="Y188" s="19" t="s">
        <v>3214</v>
      </c>
      <c r="Z188" s="13"/>
      <c r="AA188" s="15"/>
      <c r="AB188" s="13">
        <v>5</v>
      </c>
      <c r="AC188" s="15" t="s">
        <v>3215</v>
      </c>
      <c r="AD188" s="13">
        <v>5</v>
      </c>
      <c r="AE188" s="15" t="s">
        <v>3216</v>
      </c>
      <c r="AF188" s="13">
        <v>10</v>
      </c>
      <c r="AG188" s="15" t="s">
        <v>3217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3218</v>
      </c>
      <c r="AR188" s="13"/>
      <c r="AS188" s="17">
        <f>SUM(H188,J188,L188,N188,P188,R188,T188,V188,X188,Z188,AB188,AD188,AF188,AH188,AJ188,AL188,AN188)</f>
        <v>98</v>
      </c>
      <c r="AT188" s="11">
        <f>IF(C188="","",DATE(YEAR(C188),MONTH(C188),1))</f>
        <v>46113</v>
      </c>
      <c r="AU188" s="13" t="str">
        <f>IF(AT188="","",TEXT(AT188,"mmmm yyyy"))</f>
        <v>April 2026</v>
      </c>
      <c r="AV188" s="11">
        <f>IF(C188="","",C188-WEEKDAY(C188,2)+1)</f>
        <v>46118</v>
      </c>
      <c r="AW188" s="11">
        <f>IF(AV188="","",AV188+6)</f>
        <v>46124</v>
      </c>
      <c r="AX188" s="13" t="str">
        <f>IF(AV188="","",TEXT(AV188,"dd/mm/yyyy")&amp;" - "&amp;TEXT(AW188,"dd/mm/yyyy"))</f>
        <v>06/04/2026 - 12/04/2026</v>
      </c>
      <c r="AY188" s="13">
        <f>IF(B188="","",COUNTIFS($B$5:B188,B188,$AT$5:AT188,AT188))</f>
        <v>6</v>
      </c>
      <c r="AZ188" s="13">
        <f>IF(B188="","",COUNTIFS($B$5:B188,B188,$AV$5:AV188,AV188))</f>
        <v>4</v>
      </c>
      <c r="BA188" s="13" t="str">
        <f>IF(B188="","",TEXT(AY188,"00")&amp;"|"&amp;B188&amp;"|"&amp;TEXT(AT188,"yyyymmdd"))</f>
        <v>06|Wachiraporn chailittichai|20260401</v>
      </c>
      <c r="BB188" s="13" t="str">
        <f>IF(B188="","",TEXT(AZ188,"00")&amp;"|"&amp;B188&amp;"|"&amp;TEXT(AV188,"yyyymmdd"))</f>
        <v>04|Wachiraporn chailittichai|20260406</v>
      </c>
      <c r="BC188" s="13">
        <f>IF(OR(AQ188="YES",AQ188="Yes",AQ188="Y",AQ188=1),1,0)</f>
        <v>0</v>
      </c>
      <c r="BD188" s="50" t="s">
        <v>3219</v>
      </c>
      <c r="BE188" t="s">
        <v>3220</v>
      </c>
      <c r="BF188" t="s">
        <v>2338</v>
      </c>
    </row>
    <row r="189" spans="1:58" ht="15" customHeight="1">
      <c r="A189" s="9">
        <v>46130.787084861113</v>
      </c>
      <c r="B189" s="10" t="s">
        <v>81</v>
      </c>
      <c r="C189" s="11">
        <v>46125</v>
      </c>
      <c r="D189" s="12">
        <v>0.56111111110658385</v>
      </c>
      <c r="E189" s="12">
        <v>0.56805555555911269</v>
      </c>
      <c r="F189" s="13" t="s">
        <v>3360</v>
      </c>
      <c r="G189" s="14" t="s">
        <v>3361</v>
      </c>
      <c r="H189" s="13">
        <v>10</v>
      </c>
      <c r="I189" s="19" t="s">
        <v>3332</v>
      </c>
      <c r="J189" s="13">
        <v>10</v>
      </c>
      <c r="K189" s="15" t="s">
        <v>3362</v>
      </c>
      <c r="L189" s="13">
        <v>8</v>
      </c>
      <c r="M189" s="15" t="s">
        <v>3363</v>
      </c>
      <c r="N189" s="13">
        <v>10</v>
      </c>
      <c r="O189" s="19" t="s">
        <v>3364</v>
      </c>
      <c r="P189" s="13">
        <v>9</v>
      </c>
      <c r="Q189" s="20" t="s">
        <v>3365</v>
      </c>
      <c r="R189" s="13">
        <v>4</v>
      </c>
      <c r="S189" s="20" t="s">
        <v>3366</v>
      </c>
      <c r="T189" s="13"/>
      <c r="U189" s="15"/>
      <c r="V189" s="13">
        <v>14</v>
      </c>
      <c r="W189" s="19" t="s">
        <v>3367</v>
      </c>
      <c r="X189" s="13">
        <v>8</v>
      </c>
      <c r="Y189" s="19" t="s">
        <v>3368</v>
      </c>
      <c r="Z189" s="13"/>
      <c r="AA189" s="15"/>
      <c r="AB189" s="13">
        <v>5</v>
      </c>
      <c r="AC189" s="15" t="s">
        <v>3369</v>
      </c>
      <c r="AD189" s="13">
        <v>5</v>
      </c>
      <c r="AE189" s="15" t="s">
        <v>3370</v>
      </c>
      <c r="AF189" s="13">
        <v>9</v>
      </c>
      <c r="AG189" s="15" t="s">
        <v>3371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3372</v>
      </c>
      <c r="AR189" s="13"/>
      <c r="AS189" s="17">
        <f>SUM(H189,J189,L189,N189,P189,R189,T189,V189,X189,Z189,AB189,AD189,AF189,AH189,AJ189,AL189,AN189)</f>
        <v>92</v>
      </c>
      <c r="AT189" s="11">
        <f>IF(C189="","",DATE(YEAR(C189),MONTH(C189),1))</f>
        <v>46113</v>
      </c>
      <c r="AU189" s="13" t="str">
        <f>IF(AT189="","",TEXT(AT189,"mmmm yyyy"))</f>
        <v>April 2026</v>
      </c>
      <c r="AV189" s="11">
        <f>IF(C189="","",C189-WEEKDAY(C189,2)+1)</f>
        <v>46125</v>
      </c>
      <c r="AW189" s="11">
        <f>IF(AV189="","",AV189+6)</f>
        <v>46131</v>
      </c>
      <c r="AX189" s="13" t="str">
        <f>IF(AV189="","",TEXT(AV189,"dd/mm/yyyy")&amp;" - "&amp;TEXT(AW189,"dd/mm/yyyy"))</f>
        <v>13/04/2026 - 19/04/2026</v>
      </c>
      <c r="AY189" s="13">
        <f>IF(B189="","",COUNTIFS($B$5:B189,B189,$AT$5:AT189,AT189))</f>
        <v>6</v>
      </c>
      <c r="AZ189" s="13">
        <f>IF(B189="","",COUNTIFS($B$5:B189,B189,$AV$5:AV189,AV189))</f>
        <v>1</v>
      </c>
      <c r="BA189" s="13" t="str">
        <f>IF(B189="","",TEXT(AY189,"00")&amp;"|"&amp;B189&amp;"|"&amp;TEXT(AT189,"yyyymmdd"))</f>
        <v>06|Jureeporn Piddum|20260401</v>
      </c>
      <c r="BB189" s="13" t="str">
        <f>IF(B189="","",TEXT(AZ189,"00")&amp;"|"&amp;B189&amp;"|"&amp;TEXT(AV189,"yyyymmdd"))</f>
        <v>01|Jureeporn Piddum|20260413</v>
      </c>
      <c r="BC189" s="13">
        <f>IF(OR(AQ189="YES",AQ189="Yes",AQ189="Y",AQ189=1),1,0)</f>
        <v>0</v>
      </c>
      <c r="BD189" s="50" t="s">
        <v>3373</v>
      </c>
      <c r="BE189" t="s">
        <v>3374</v>
      </c>
      <c r="BF189" t="s">
        <v>2338</v>
      </c>
    </row>
    <row r="190" spans="1:58" ht="15" customHeight="1">
      <c r="A190" s="9">
        <v>46130.812333321759</v>
      </c>
      <c r="B190" s="10" t="s">
        <v>1130</v>
      </c>
      <c r="C190" s="11">
        <v>46125</v>
      </c>
      <c r="D190" s="12">
        <v>0.71250000000145519</v>
      </c>
      <c r="E190" s="12">
        <v>0.71527777778101154</v>
      </c>
      <c r="F190" s="13" t="s">
        <v>3390</v>
      </c>
      <c r="G190" s="14" t="s">
        <v>3391</v>
      </c>
      <c r="H190" s="13">
        <v>10</v>
      </c>
      <c r="I190" s="19" t="s">
        <v>3332</v>
      </c>
      <c r="J190" s="13">
        <v>10</v>
      </c>
      <c r="K190" s="15" t="s">
        <v>3392</v>
      </c>
      <c r="L190" s="13">
        <v>8</v>
      </c>
      <c r="M190" s="15" t="s">
        <v>3393</v>
      </c>
      <c r="N190" s="13">
        <v>8</v>
      </c>
      <c r="O190" s="19" t="s">
        <v>3394</v>
      </c>
      <c r="P190" s="13">
        <v>6</v>
      </c>
      <c r="Q190" s="20" t="s">
        <v>3395</v>
      </c>
      <c r="R190" s="13">
        <v>3</v>
      </c>
      <c r="S190" s="20" t="s">
        <v>3396</v>
      </c>
      <c r="T190" s="13"/>
      <c r="U190" s="15"/>
      <c r="V190" s="13">
        <v>11</v>
      </c>
      <c r="W190" s="19" t="s">
        <v>3397</v>
      </c>
      <c r="X190" s="13">
        <v>7</v>
      </c>
      <c r="Y190" s="19" t="s">
        <v>3398</v>
      </c>
      <c r="Z190" s="13"/>
      <c r="AA190" s="15"/>
      <c r="AB190" s="13">
        <v>4</v>
      </c>
      <c r="AC190" s="15" t="s">
        <v>3399</v>
      </c>
      <c r="AD190" s="13">
        <v>4</v>
      </c>
      <c r="AE190" s="15" t="s">
        <v>3400</v>
      </c>
      <c r="AF190" s="13">
        <v>9</v>
      </c>
      <c r="AG190" s="15" t="s">
        <v>3401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3402</v>
      </c>
      <c r="AR190" s="13"/>
      <c r="AS190" s="17">
        <f>SUM(H190,J190,L190,N190,P190,R190,T190,V190,X190,Z190,AB190,AD190,AF190,AH190,AJ190,AL190,AN190)</f>
        <v>80</v>
      </c>
      <c r="AT190" s="11">
        <f>IF(C190="","",DATE(YEAR(C190),MONTH(C190),1))</f>
        <v>46113</v>
      </c>
      <c r="AU190" s="13" t="str">
        <f>IF(AT190="","",TEXT(AT190,"mmmm yyyy"))</f>
        <v>April 2026</v>
      </c>
      <c r="AV190" s="11">
        <f>IF(C190="","",C190-WEEKDAY(C190,2)+1)</f>
        <v>46125</v>
      </c>
      <c r="AW190" s="11">
        <f>IF(AV190="","",AV190+6)</f>
        <v>46131</v>
      </c>
      <c r="AX190" s="13" t="str">
        <f>IF(AV190="","",TEXT(AV190,"dd/mm/yyyy")&amp;" - "&amp;TEXT(AW190,"dd/mm/yyyy"))</f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>IF(B190="","",TEXT(AY190,"00")&amp;"|"&amp;B190&amp;"|"&amp;TEXT(AT190,"yyyymmdd"))</f>
        <v>06|Krivut Vongkampan|20260401</v>
      </c>
      <c r="BB190" s="13" t="str">
        <f>IF(B190="","",TEXT(AZ190,"00")&amp;"|"&amp;B190&amp;"|"&amp;TEXT(AV190,"yyyymmdd"))</f>
        <v>01|Krivut Vongkampan|20260413</v>
      </c>
      <c r="BC190" s="13">
        <f>IF(OR(AQ190="YES",AQ190="Yes",AQ190="Y",AQ190=1),1,0)</f>
        <v>0</v>
      </c>
      <c r="BD190" s="50" t="s">
        <v>3403</v>
      </c>
      <c r="BE190" t="s">
        <v>3404</v>
      </c>
      <c r="BF190" t="s">
        <v>2338</v>
      </c>
    </row>
    <row r="191" spans="1:58" ht="15" customHeight="1">
      <c r="A191" s="9">
        <v>46130.845046724542</v>
      </c>
      <c r="B191" s="10" t="s">
        <v>443</v>
      </c>
      <c r="C191" s="11">
        <v>46126</v>
      </c>
      <c r="D191" s="12">
        <v>0.64305555555620231</v>
      </c>
      <c r="E191" s="12">
        <v>0.65069444444088731</v>
      </c>
      <c r="F191" s="13" t="s">
        <v>3465</v>
      </c>
      <c r="G191" s="14" t="s">
        <v>3466</v>
      </c>
      <c r="H191" s="13">
        <v>10</v>
      </c>
      <c r="I191" s="19" t="s">
        <v>3467</v>
      </c>
      <c r="J191" s="13">
        <v>10</v>
      </c>
      <c r="K191" s="15" t="s">
        <v>3468</v>
      </c>
      <c r="L191" s="13">
        <v>9</v>
      </c>
      <c r="M191" s="15" t="s">
        <v>3469</v>
      </c>
      <c r="N191" s="13">
        <v>9</v>
      </c>
      <c r="O191" s="19" t="s">
        <v>3470</v>
      </c>
      <c r="P191" s="13">
        <v>8</v>
      </c>
      <c r="Q191" s="20" t="s">
        <v>3471</v>
      </c>
      <c r="R191" s="13">
        <v>4</v>
      </c>
      <c r="S191" s="20" t="s">
        <v>3472</v>
      </c>
      <c r="T191" s="13"/>
      <c r="U191" s="15"/>
      <c r="V191" s="13">
        <v>13</v>
      </c>
      <c r="W191" s="19" t="s">
        <v>3473</v>
      </c>
      <c r="X191" s="13">
        <v>8</v>
      </c>
      <c r="Y191" s="19" t="s">
        <v>3474</v>
      </c>
      <c r="Z191" s="13"/>
      <c r="AA191" s="15"/>
      <c r="AB191" s="13">
        <v>5</v>
      </c>
      <c r="AC191" s="15" t="s">
        <v>3475</v>
      </c>
      <c r="AD191" s="13">
        <v>5</v>
      </c>
      <c r="AE191" s="15" t="s">
        <v>3476</v>
      </c>
      <c r="AF191" s="13">
        <v>10</v>
      </c>
      <c r="AG191" s="15" t="s">
        <v>3477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3478</v>
      </c>
      <c r="AR191" s="13"/>
      <c r="AS191" s="17">
        <f>SUM(H191,J191,L191,N191,P191,R191,T191,V191,X191,Z191,AB191,AD191,AF191,AH191,AJ191,AL191,AN191)</f>
        <v>91</v>
      </c>
      <c r="AT191" s="11">
        <f>IF(C191="","",DATE(YEAR(C191),MONTH(C191),1))</f>
        <v>46113</v>
      </c>
      <c r="AU191" s="13" t="str">
        <f>IF(AT191="","",TEXT(AT191,"mmmm yyyy"))</f>
        <v>April 2026</v>
      </c>
      <c r="AV191" s="11">
        <f>IF(C191="","",C191-WEEKDAY(C191,2)+1)</f>
        <v>46125</v>
      </c>
      <c r="AW191" s="11">
        <f>IF(AV191="","",AV191+6)</f>
        <v>46131</v>
      </c>
      <c r="AX191" s="13" t="str">
        <f>IF(AV191="","",TEXT(AV191,"dd/mm/yyyy")&amp;" - "&amp;TEXT(AW191,"dd/mm/yyyy"))</f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1</v>
      </c>
      <c r="BA191" s="13" t="str">
        <f>IF(B191="","",TEXT(AY191,"00")&amp;"|"&amp;B191&amp;"|"&amp;TEXT(AT191,"yyyymmdd"))</f>
        <v>07|Sunijtra Siritip|20260401</v>
      </c>
      <c r="BB191" s="13" t="str">
        <f>IF(B191="","",TEXT(AZ191,"00")&amp;"|"&amp;B191&amp;"|"&amp;TEXT(AV191,"yyyymmdd"))</f>
        <v>01|Sunijtra Siritip|20260413</v>
      </c>
      <c r="BC191" s="13">
        <f>IF(OR(AQ191="YES",AQ191="Yes",AQ191="Y",AQ191=1),1,0)</f>
        <v>0</v>
      </c>
      <c r="BD191" s="50" t="s">
        <v>3479</v>
      </c>
      <c r="BE191" t="s">
        <v>3480</v>
      </c>
      <c r="BF191" t="s">
        <v>2338</v>
      </c>
    </row>
    <row r="192" spans="1:58" ht="15" customHeight="1">
      <c r="A192" s="9">
        <v>46131.307532013889</v>
      </c>
      <c r="B192" s="10" t="s">
        <v>290</v>
      </c>
      <c r="C192" s="11">
        <v>46126</v>
      </c>
      <c r="D192" s="12">
        <v>0.49097222222189885</v>
      </c>
      <c r="E192" s="12">
        <v>0.50069444444670808</v>
      </c>
      <c r="F192" s="13" t="s">
        <v>3527</v>
      </c>
      <c r="G192" s="14" t="s">
        <v>3528</v>
      </c>
      <c r="H192" s="13">
        <v>10</v>
      </c>
      <c r="I192" s="19" t="s">
        <v>3332</v>
      </c>
      <c r="J192" s="13">
        <v>10</v>
      </c>
      <c r="K192" s="15" t="s">
        <v>3529</v>
      </c>
      <c r="L192" s="13">
        <v>9</v>
      </c>
      <c r="M192" s="15" t="s">
        <v>3530</v>
      </c>
      <c r="N192" s="13">
        <v>10</v>
      </c>
      <c r="O192" s="19" t="s">
        <v>3531</v>
      </c>
      <c r="P192" s="13">
        <v>9</v>
      </c>
      <c r="Q192" s="20" t="s">
        <v>3532</v>
      </c>
      <c r="R192" s="13">
        <v>5</v>
      </c>
      <c r="S192" s="20" t="s">
        <v>3533</v>
      </c>
      <c r="T192" s="13"/>
      <c r="U192" s="15"/>
      <c r="V192" s="13">
        <v>14</v>
      </c>
      <c r="W192" s="19" t="s">
        <v>3534</v>
      </c>
      <c r="X192" s="13">
        <v>10</v>
      </c>
      <c r="Y192" s="19" t="s">
        <v>3535</v>
      </c>
      <c r="Z192" s="13"/>
      <c r="AA192" s="15"/>
      <c r="AB192" s="13">
        <v>5</v>
      </c>
      <c r="AC192" s="15" t="s">
        <v>3536</v>
      </c>
      <c r="AD192" s="13">
        <v>5</v>
      </c>
      <c r="AE192" s="15" t="s">
        <v>3537</v>
      </c>
      <c r="AF192" s="13">
        <v>10</v>
      </c>
      <c r="AG192" s="15" t="s">
        <v>3538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3539</v>
      </c>
      <c r="AR192" s="13"/>
      <c r="AS192" s="17">
        <f>SUM(H192,J192,L192,N192,P192,R192,T192,V192,X192,Z192,AB192,AD192,AF192,AH192,AJ192,AL192,AN192)</f>
        <v>97</v>
      </c>
      <c r="AT192" s="11">
        <f>IF(C192="","",DATE(YEAR(C192),MONTH(C192),1))</f>
        <v>46113</v>
      </c>
      <c r="AU192" s="13" t="str">
        <f>IF(AT192="","",TEXT(AT192,"mmmm yyyy"))</f>
        <v>April 2026</v>
      </c>
      <c r="AV192" s="11">
        <f>IF(C192="","",C192-WEEKDAY(C192,2)+1)</f>
        <v>46125</v>
      </c>
      <c r="AW192" s="11">
        <f>IF(AV192="","",AV192+6)</f>
        <v>46131</v>
      </c>
      <c r="AX192" s="13" t="str">
        <f>IF(AV192="","",TEXT(AV192,"dd/mm/yyyy")&amp;" - "&amp;TEXT(AW192,"dd/mm/yyyy"))</f>
        <v>13/04/2026 - 19/04/2026</v>
      </c>
      <c r="AY192" s="13">
        <f>IF(B192="","",COUNTIFS($B$5:B192,B192,$AT$5:AT192,AT192))</f>
        <v>7</v>
      </c>
      <c r="AZ192" s="13">
        <f>IF(B192="","",COUNTIFS($B$5:B192,B192,$AV$5:AV192,AV192))</f>
        <v>1</v>
      </c>
      <c r="BA192" s="13" t="str">
        <f>IF(B192="","",TEXT(AY192,"00")&amp;"|"&amp;B192&amp;"|"&amp;TEXT(AT192,"yyyymmdd"))</f>
        <v>07|Suphitcha Keawliam|20260401</v>
      </c>
      <c r="BB192" s="13" t="str">
        <f>IF(B192="","",TEXT(AZ192,"00")&amp;"|"&amp;B192&amp;"|"&amp;TEXT(AV192,"yyyymmdd"))</f>
        <v>01|Suphitcha Keawliam|20260413</v>
      </c>
      <c r="BC192" s="13">
        <f>IF(OR(AQ192="YES",AQ192="Yes",AQ192="Y",AQ192=1),1,0)</f>
        <v>0</v>
      </c>
      <c r="BD192" s="50" t="s">
        <v>3540</v>
      </c>
      <c r="BE192" t="s">
        <v>3541</v>
      </c>
      <c r="BF192" t="s">
        <v>2338</v>
      </c>
    </row>
    <row r="193" spans="1:58" ht="15" customHeight="1">
      <c r="A193" s="9">
        <v>46131.340302824072</v>
      </c>
      <c r="B193" s="10" t="s">
        <v>503</v>
      </c>
      <c r="C193" s="11">
        <v>46126</v>
      </c>
      <c r="D193" s="12">
        <v>0.62708333333284827</v>
      </c>
      <c r="E193" s="12">
        <v>0.6368055555576575</v>
      </c>
      <c r="F193" s="13" t="s">
        <v>3588</v>
      </c>
      <c r="G193" s="14" t="s">
        <v>3589</v>
      </c>
      <c r="H193" s="13">
        <v>10</v>
      </c>
      <c r="I193" s="19" t="s">
        <v>3590</v>
      </c>
      <c r="J193" s="13">
        <v>10</v>
      </c>
      <c r="K193" s="15" t="s">
        <v>3591</v>
      </c>
      <c r="L193" s="13">
        <v>8</v>
      </c>
      <c r="M193" s="15" t="s">
        <v>3592</v>
      </c>
      <c r="N193" s="13">
        <v>7</v>
      </c>
      <c r="O193" s="19" t="s">
        <v>3593</v>
      </c>
      <c r="P193" s="13">
        <v>4</v>
      </c>
      <c r="Q193" s="20" t="s">
        <v>3594</v>
      </c>
      <c r="R193" s="13">
        <v>3</v>
      </c>
      <c r="S193" s="20" t="s">
        <v>3595</v>
      </c>
      <c r="T193" s="13"/>
      <c r="U193" s="15"/>
      <c r="V193" s="13">
        <v>7</v>
      </c>
      <c r="W193" s="19" t="s">
        <v>3596</v>
      </c>
      <c r="X193" s="13">
        <v>5</v>
      </c>
      <c r="Y193" s="19" t="s">
        <v>3597</v>
      </c>
      <c r="Z193" s="13"/>
      <c r="AA193" s="15"/>
      <c r="AB193" s="13">
        <v>5</v>
      </c>
      <c r="AC193" s="15" t="s">
        <v>3598</v>
      </c>
      <c r="AD193" s="13">
        <v>4</v>
      </c>
      <c r="AE193" s="15" t="s">
        <v>3599</v>
      </c>
      <c r="AF193" s="13">
        <v>9</v>
      </c>
      <c r="AG193" s="15" t="s">
        <v>3600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3601</v>
      </c>
      <c r="AR193" s="13"/>
      <c r="AS193" s="17">
        <f>SUM(H193,J193,L193,N193,P193,R193,T193,V193,X193,Z193,AB193,AD193,AF193,AH193,AJ193,AL193,AN193)</f>
        <v>72</v>
      </c>
      <c r="AT193" s="11">
        <f>IF(C193="","",DATE(YEAR(C193),MONTH(C193),1))</f>
        <v>46113</v>
      </c>
      <c r="AU193" s="13" t="str">
        <f>IF(AT193="","",TEXT(AT193,"mmmm yyyy"))</f>
        <v>April 2026</v>
      </c>
      <c r="AV193" s="11">
        <f>IF(C193="","",C193-WEEKDAY(C193,2)+1)</f>
        <v>46125</v>
      </c>
      <c r="AW193" s="11">
        <f>IF(AV193="","",AV193+6)</f>
        <v>46131</v>
      </c>
      <c r="AX193" s="13" t="str">
        <f>IF(AV193="","",TEXT(AV193,"dd/mm/yyyy")&amp;" - "&amp;TEXT(AW193,"dd/mm/yyyy"))</f>
        <v>13/04/2026 - 19/04/2026</v>
      </c>
      <c r="AY193" s="13">
        <f>IF(B193="","",COUNTIFS($B$5:B193,B193,$AT$5:AT193,AT193))</f>
        <v>5</v>
      </c>
      <c r="AZ193" s="13">
        <f>IF(B193="","",COUNTIFS($B$5:B193,B193,$AV$5:AV193,AV193))</f>
        <v>1</v>
      </c>
      <c r="BA193" s="13" t="str">
        <f>IF(B193="","",TEXT(AY193,"00")&amp;"|"&amp;B193&amp;"|"&amp;TEXT(AT193,"yyyymmdd"))</f>
        <v>05|Wassana Phothong|20260401</v>
      </c>
      <c r="BB193" s="13" t="str">
        <f>IF(B193="","",TEXT(AZ193,"00")&amp;"|"&amp;B193&amp;"|"&amp;TEXT(AV193,"yyyymmdd"))</f>
        <v>01|Wassana Phothong|20260413</v>
      </c>
      <c r="BC193" s="13">
        <f>IF(OR(AQ193="YES",AQ193="Yes",AQ193="Y",AQ193=1),1,0)</f>
        <v>0</v>
      </c>
      <c r="BD193" s="50" t="s">
        <v>3602</v>
      </c>
      <c r="BE193" t="s">
        <v>3603</v>
      </c>
      <c r="BF193" t="s">
        <v>2338</v>
      </c>
    </row>
    <row r="194" spans="1:58" ht="15" customHeight="1">
      <c r="A194" s="9">
        <v>46130.674971180561</v>
      </c>
      <c r="B194" s="10" t="s">
        <v>2321</v>
      </c>
      <c r="C194" s="11">
        <v>46127</v>
      </c>
      <c r="D194" s="12">
        <v>0.87222222222044365</v>
      </c>
      <c r="E194" s="12">
        <v>0.87291666666715173</v>
      </c>
      <c r="F194" s="64" t="s">
        <v>3267</v>
      </c>
      <c r="G194" s="14" t="s">
        <v>3268</v>
      </c>
      <c r="H194" s="13">
        <v>0</v>
      </c>
      <c r="I194" s="19" t="s">
        <v>3269</v>
      </c>
      <c r="J194" s="13">
        <v>9</v>
      </c>
      <c r="K194" s="19" t="s">
        <v>3270</v>
      </c>
      <c r="L194" s="13">
        <v>5</v>
      </c>
      <c r="M194" s="19" t="s">
        <v>3271</v>
      </c>
      <c r="N194" s="13">
        <v>5</v>
      </c>
      <c r="O194" s="19" t="s">
        <v>3272</v>
      </c>
      <c r="P194" s="13">
        <v>4</v>
      </c>
      <c r="Q194" s="20" t="s">
        <v>3273</v>
      </c>
      <c r="R194" s="13">
        <v>3</v>
      </c>
      <c r="S194" s="20" t="s">
        <v>3274</v>
      </c>
      <c r="T194" s="13"/>
      <c r="U194" s="15"/>
      <c r="V194" s="13">
        <v>4</v>
      </c>
      <c r="W194" s="19" t="s">
        <v>3275</v>
      </c>
      <c r="X194" s="13">
        <v>3</v>
      </c>
      <c r="Y194" s="19" t="s">
        <v>3276</v>
      </c>
      <c r="Z194" s="13"/>
      <c r="AA194" s="15"/>
      <c r="AB194" s="13">
        <v>5</v>
      </c>
      <c r="AC194" s="19" t="s">
        <v>3277</v>
      </c>
      <c r="AD194" s="13">
        <v>5</v>
      </c>
      <c r="AE194" s="19" t="s">
        <v>3278</v>
      </c>
      <c r="AF194" s="13">
        <v>6</v>
      </c>
      <c r="AG194" s="19" t="s">
        <v>3279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3280</v>
      </c>
      <c r="AR194" s="13"/>
      <c r="AS194" s="17">
        <f>SUM(H194,J194,L194,N194,P194,R194,T194,V194,X194,Z194,AB194,AD194,AF194,AH194,AJ194,AL194,AN194)</f>
        <v>49</v>
      </c>
      <c r="AT194" s="11">
        <f>IF(C194="","",DATE(YEAR(C194),MONTH(C194),1))</f>
        <v>46113</v>
      </c>
      <c r="AU194" s="13" t="str">
        <f>IF(AT194="","",TEXT(AT194,"mmmm yyyy"))</f>
        <v>April 2026</v>
      </c>
      <c r="AV194" s="11">
        <f>IF(C194="","",C194-WEEKDAY(C194,2)+1)</f>
        <v>46125</v>
      </c>
      <c r="AW194" s="11">
        <f>IF(AV194="","",AV194+6)</f>
        <v>46131</v>
      </c>
      <c r="AX194" s="13" t="str">
        <f>IF(AV194="","",TEXT(AV194,"dd/mm/yyyy")&amp;" - "&amp;TEXT(AW194,"dd/mm/yyyy"))</f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>IF(B194="","",TEXT(AY194,"00")&amp;"|"&amp;B194&amp;"|"&amp;TEXT(AT194,"yyyymmdd"))</f>
        <v>06|Anucha Makundin|20260401</v>
      </c>
      <c r="BB194" s="13" t="str">
        <f>IF(B194="","",TEXT(AZ194,"00")&amp;"|"&amp;B194&amp;"|"&amp;TEXT(AV194,"yyyymmdd"))</f>
        <v>01|Anucha Makundin|20260413</v>
      </c>
      <c r="BC194" s="13">
        <f>IF(OR(AQ194="YES",AQ194="Yes",AQ194="Y",AQ194=1),1,0)</f>
        <v>0</v>
      </c>
      <c r="BD194" s="50" t="s">
        <v>3281</v>
      </c>
      <c r="BE194" t="s">
        <v>3282</v>
      </c>
      <c r="BF194" t="s">
        <v>2338</v>
      </c>
    </row>
    <row r="195" spans="1:58" ht="15" customHeight="1">
      <c r="A195" s="9">
        <v>46130.806610439817</v>
      </c>
      <c r="B195" s="10" t="s">
        <v>81</v>
      </c>
      <c r="C195" s="11">
        <v>46127</v>
      </c>
      <c r="D195" s="12">
        <v>0.52569444444088731</v>
      </c>
      <c r="E195" s="12">
        <v>0.54027777777810115</v>
      </c>
      <c r="F195" s="13" t="s">
        <v>3375</v>
      </c>
      <c r="G195" s="14" t="s">
        <v>3376</v>
      </c>
      <c r="H195" s="13">
        <v>10</v>
      </c>
      <c r="I195" s="19" t="s">
        <v>3332</v>
      </c>
      <c r="J195" s="13">
        <v>10</v>
      </c>
      <c r="K195" s="15" t="s">
        <v>3377</v>
      </c>
      <c r="L195" s="13">
        <v>9</v>
      </c>
      <c r="M195" s="15" t="s">
        <v>3378</v>
      </c>
      <c r="N195" s="13">
        <v>7</v>
      </c>
      <c r="O195" s="19" t="s">
        <v>3379</v>
      </c>
      <c r="P195" s="13">
        <v>6</v>
      </c>
      <c r="Q195" s="20" t="s">
        <v>3380</v>
      </c>
      <c r="R195" s="13">
        <v>4</v>
      </c>
      <c r="S195" s="20" t="s">
        <v>3381</v>
      </c>
      <c r="T195" s="13"/>
      <c r="U195" s="15"/>
      <c r="V195" s="13">
        <v>9</v>
      </c>
      <c r="W195" s="19" t="s">
        <v>3382</v>
      </c>
      <c r="X195" s="13">
        <v>6</v>
      </c>
      <c r="Y195" s="19" t="s">
        <v>3383</v>
      </c>
      <c r="Z195" s="13"/>
      <c r="AA195" s="15"/>
      <c r="AB195" s="13">
        <v>4</v>
      </c>
      <c r="AC195" s="15" t="s">
        <v>3384</v>
      </c>
      <c r="AD195" s="13">
        <v>4</v>
      </c>
      <c r="AE195" s="15" t="s">
        <v>3385</v>
      </c>
      <c r="AF195" s="13">
        <v>9</v>
      </c>
      <c r="AG195" s="15" t="s">
        <v>3386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3387</v>
      </c>
      <c r="AR195" s="13"/>
      <c r="AS195" s="17">
        <f>SUM(H195,J195,L195,N195,P195,R195,T195,V195,X195,Z195,AB195,AD195,AF195,AH195,AJ195,AL195,AN195)</f>
        <v>78</v>
      </c>
      <c r="AT195" s="11">
        <f>IF(C195="","",DATE(YEAR(C195),MONTH(C195),1))</f>
        <v>46113</v>
      </c>
      <c r="AU195" s="13" t="str">
        <f>IF(AT195="","",TEXT(AT195,"mmmm yyyy"))</f>
        <v>April 2026</v>
      </c>
      <c r="AV195" s="11">
        <f>IF(C195="","",C195-WEEKDAY(C195,2)+1)</f>
        <v>46125</v>
      </c>
      <c r="AW195" s="11">
        <f>IF(AV195="","",AV195+6)</f>
        <v>46131</v>
      </c>
      <c r="AX195" s="13" t="str">
        <f>IF(AV195="","",TEXT(AV195,"dd/mm/yyyy")&amp;" - "&amp;TEXT(AW195,"dd/mm/yyyy"))</f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>IF(B195="","",TEXT(AY195,"00")&amp;"|"&amp;B195&amp;"|"&amp;TEXT(AT195,"yyyymmdd"))</f>
        <v>07|Jureeporn Piddum|20260401</v>
      </c>
      <c r="BB195" s="13" t="str">
        <f>IF(B195="","",TEXT(AZ195,"00")&amp;"|"&amp;B195&amp;"|"&amp;TEXT(AV195,"yyyymmdd"))</f>
        <v>02|Jureeporn Piddum|20260413</v>
      </c>
      <c r="BC195" s="13">
        <f>IF(OR(AQ195="YES",AQ195="Yes",AQ195="Y",AQ195=1),1,0)</f>
        <v>0</v>
      </c>
      <c r="BD195" s="50" t="s">
        <v>3388</v>
      </c>
      <c r="BE195" t="s">
        <v>3389</v>
      </c>
      <c r="BF195" t="s">
        <v>2338</v>
      </c>
    </row>
    <row r="196" spans="1:58" ht="15" customHeight="1">
      <c r="A196" s="9">
        <v>46130.822516423606</v>
      </c>
      <c r="B196" s="10" t="s">
        <v>385</v>
      </c>
      <c r="C196" s="11">
        <v>46127</v>
      </c>
      <c r="D196" s="12">
        <v>0.66041666666569654</v>
      </c>
      <c r="E196" s="12">
        <v>0.67013888889050577</v>
      </c>
      <c r="F196" s="13" t="s">
        <v>3419</v>
      </c>
      <c r="G196" s="14" t="s">
        <v>3420</v>
      </c>
      <c r="H196" s="13">
        <v>10</v>
      </c>
      <c r="I196" s="19" t="s">
        <v>3332</v>
      </c>
      <c r="J196" s="13">
        <v>10</v>
      </c>
      <c r="K196" s="15" t="s">
        <v>3421</v>
      </c>
      <c r="L196" s="13">
        <v>10</v>
      </c>
      <c r="M196" s="15" t="s">
        <v>3422</v>
      </c>
      <c r="N196" s="13">
        <v>8</v>
      </c>
      <c r="O196" s="19" t="s">
        <v>3423</v>
      </c>
      <c r="P196" s="13">
        <v>6</v>
      </c>
      <c r="Q196" s="20" t="s">
        <v>3424</v>
      </c>
      <c r="R196" s="13">
        <v>3</v>
      </c>
      <c r="S196" s="20" t="s">
        <v>3425</v>
      </c>
      <c r="T196" s="13"/>
      <c r="U196" s="15"/>
      <c r="V196" s="13">
        <v>9</v>
      </c>
      <c r="W196" s="19" t="s">
        <v>3426</v>
      </c>
      <c r="X196" s="13">
        <v>7</v>
      </c>
      <c r="Y196" s="19" t="s">
        <v>3427</v>
      </c>
      <c r="Z196" s="13"/>
      <c r="AA196" s="15"/>
      <c r="AB196" s="13">
        <v>5</v>
      </c>
      <c r="AC196" s="15" t="s">
        <v>3428</v>
      </c>
      <c r="AD196" s="13">
        <v>5</v>
      </c>
      <c r="AE196" s="15" t="s">
        <v>3429</v>
      </c>
      <c r="AF196" s="13">
        <v>9</v>
      </c>
      <c r="AG196" s="15" t="s">
        <v>3430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3431</v>
      </c>
      <c r="AR196" s="13"/>
      <c r="AS196" s="17">
        <f>SUM(H196,J196,L196,N196,P196,R196,T196,V196,X196,Z196,AB196,AD196,AF196,AH196,AJ196,AL196,AN196)</f>
        <v>82</v>
      </c>
      <c r="AT196" s="11">
        <f>IF(C196="","",DATE(YEAR(C196),MONTH(C196),1))</f>
        <v>46113</v>
      </c>
      <c r="AU196" s="13" t="str">
        <f>IF(AT196="","",TEXT(AT196,"mmmm yyyy"))</f>
        <v>April 2026</v>
      </c>
      <c r="AV196" s="11">
        <f>IF(C196="","",C196-WEEKDAY(C196,2)+1)</f>
        <v>46125</v>
      </c>
      <c r="AW196" s="11">
        <f>IF(AV196="","",AV196+6)</f>
        <v>46131</v>
      </c>
      <c r="AX196" s="13" t="str">
        <f>IF(AV196="","",TEXT(AV196,"dd/mm/yyyy")&amp;" - "&amp;TEXT(AW196,"dd/mm/yyyy"))</f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>IF(B196="","",TEXT(AY196,"00")&amp;"|"&amp;B196&amp;"|"&amp;TEXT(AT196,"yyyymmdd"))</f>
        <v>06|Natcha Chai-in|20260401</v>
      </c>
      <c r="BB196" s="13" t="str">
        <f>IF(B196="","",TEXT(AZ196,"00")&amp;"|"&amp;B196&amp;"|"&amp;TEXT(AV196,"yyyymmdd"))</f>
        <v>01|Natcha Chai-in|20260413</v>
      </c>
      <c r="BC196" s="13">
        <f>IF(OR(AQ196="YES",AQ196="Yes",AQ196="Y",AQ196=1),1,0)</f>
        <v>0</v>
      </c>
      <c r="BD196" s="50" t="s">
        <v>3432</v>
      </c>
      <c r="BE196" t="s">
        <v>3433</v>
      </c>
      <c r="BF196" t="s">
        <v>2338</v>
      </c>
    </row>
    <row r="197" spans="1:58" ht="15" customHeight="1">
      <c r="A197" s="9">
        <v>46130.833052835646</v>
      </c>
      <c r="B197" s="10" t="s">
        <v>143</v>
      </c>
      <c r="C197" s="11">
        <v>46127</v>
      </c>
      <c r="D197" s="12">
        <v>0.87361111110658385</v>
      </c>
      <c r="E197" s="12">
        <v>0.87847222221898846</v>
      </c>
      <c r="F197" s="13" t="s">
        <v>3450</v>
      </c>
      <c r="G197" s="14" t="s">
        <v>3268</v>
      </c>
      <c r="H197" s="13">
        <v>0</v>
      </c>
      <c r="I197" s="19" t="s">
        <v>3451</v>
      </c>
      <c r="J197" s="13">
        <v>10</v>
      </c>
      <c r="K197" s="15" t="s">
        <v>3452</v>
      </c>
      <c r="L197" s="13">
        <v>7</v>
      </c>
      <c r="M197" s="15" t="s">
        <v>3453</v>
      </c>
      <c r="N197" s="13">
        <v>3</v>
      </c>
      <c r="O197" s="19" t="s">
        <v>3454</v>
      </c>
      <c r="P197" s="13">
        <v>3</v>
      </c>
      <c r="Q197" s="20" t="s">
        <v>3455</v>
      </c>
      <c r="R197" s="13">
        <v>2</v>
      </c>
      <c r="S197" s="20" t="s">
        <v>3456</v>
      </c>
      <c r="T197" s="13"/>
      <c r="U197" s="15"/>
      <c r="V197" s="13">
        <v>4</v>
      </c>
      <c r="W197" s="19" t="s">
        <v>3457</v>
      </c>
      <c r="X197" s="13">
        <v>3</v>
      </c>
      <c r="Y197" s="19" t="s">
        <v>3458</v>
      </c>
      <c r="Z197" s="13"/>
      <c r="AA197" s="15"/>
      <c r="AB197" s="13">
        <v>4</v>
      </c>
      <c r="AC197" s="15" t="s">
        <v>3459</v>
      </c>
      <c r="AD197" s="13">
        <v>5</v>
      </c>
      <c r="AE197" s="15" t="s">
        <v>3460</v>
      </c>
      <c r="AF197" s="13">
        <v>7</v>
      </c>
      <c r="AG197" s="15" t="s">
        <v>3461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3462</v>
      </c>
      <c r="AR197" s="13"/>
      <c r="AS197" s="17">
        <f>SUM(H197,J197,L197,N197,P197,R197,T197,V197,X197,Z197,AB197,AD197,AF197,AH197,AJ197,AL197,AN197)</f>
        <v>48</v>
      </c>
      <c r="AT197" s="11">
        <f>IF(C197="","",DATE(YEAR(C197),MONTH(C197),1))</f>
        <v>46113</v>
      </c>
      <c r="AU197" s="13" t="str">
        <f>IF(AT197="","",TEXT(AT197,"mmmm yyyy"))</f>
        <v>April 2026</v>
      </c>
      <c r="AV197" s="11">
        <f>IF(C197="","",C197-WEEKDAY(C197,2)+1)</f>
        <v>46125</v>
      </c>
      <c r="AW197" s="11">
        <f>IF(AV197="","",AV197+6)</f>
        <v>46131</v>
      </c>
      <c r="AX197" s="13" t="str">
        <f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1</v>
      </c>
      <c r="BA197" s="13" t="str">
        <f>IF(B197="","",TEXT(AY197,"00")&amp;"|"&amp;B197&amp;"|"&amp;TEXT(AT197,"yyyymmdd"))</f>
        <v>07|Nattapol Suprom|20260401</v>
      </c>
      <c r="BB197" s="13" t="str">
        <f>IF(B197="","",TEXT(AZ197,"00")&amp;"|"&amp;B197&amp;"|"&amp;TEXT(AV197,"yyyymmdd"))</f>
        <v>01|Nattapol Suprom|20260413</v>
      </c>
      <c r="BC197" s="13">
        <f>IF(OR(AQ197="YES",AQ197="Yes",AQ197="Y",AQ197=1),1,0)</f>
        <v>0</v>
      </c>
      <c r="BD197" s="50" t="s">
        <v>3463</v>
      </c>
      <c r="BE197" t="s">
        <v>3464</v>
      </c>
      <c r="BF197" t="s">
        <v>2338</v>
      </c>
    </row>
    <row r="198" spans="1:58" ht="15" customHeight="1">
      <c r="A198" s="9">
        <v>46130.850278634258</v>
      </c>
      <c r="B198" s="10" t="s">
        <v>443</v>
      </c>
      <c r="C198" s="11">
        <v>46127</v>
      </c>
      <c r="D198" s="12">
        <v>0.882638888884685</v>
      </c>
      <c r="E198" s="12">
        <v>0.88958333333721384</v>
      </c>
      <c r="F198" s="13" t="s">
        <v>3481</v>
      </c>
      <c r="G198" s="14" t="s">
        <v>3482</v>
      </c>
      <c r="H198" s="13">
        <v>10</v>
      </c>
      <c r="I198" s="19" t="s">
        <v>3483</v>
      </c>
      <c r="J198" s="13">
        <v>9</v>
      </c>
      <c r="K198" s="15" t="s">
        <v>3484</v>
      </c>
      <c r="L198" s="13">
        <v>6</v>
      </c>
      <c r="M198" s="15" t="s">
        <v>3485</v>
      </c>
      <c r="N198" s="13">
        <v>4</v>
      </c>
      <c r="O198" s="19" t="s">
        <v>3486</v>
      </c>
      <c r="P198" s="13">
        <v>3</v>
      </c>
      <c r="Q198" s="20" t="s">
        <v>3487</v>
      </c>
      <c r="R198" s="13">
        <v>2</v>
      </c>
      <c r="S198" s="20" t="s">
        <v>3488</v>
      </c>
      <c r="T198" s="13"/>
      <c r="U198" s="15"/>
      <c r="V198" s="13">
        <v>3</v>
      </c>
      <c r="W198" s="19" t="s">
        <v>3489</v>
      </c>
      <c r="X198" s="13">
        <v>2</v>
      </c>
      <c r="Y198" s="19" t="s">
        <v>3490</v>
      </c>
      <c r="Z198" s="13"/>
      <c r="AA198" s="15"/>
      <c r="AB198" s="13">
        <v>4</v>
      </c>
      <c r="AC198" s="15" t="s">
        <v>3491</v>
      </c>
      <c r="AD198" s="13">
        <v>5</v>
      </c>
      <c r="AE198" s="15" t="s">
        <v>3492</v>
      </c>
      <c r="AF198" s="13">
        <v>8</v>
      </c>
      <c r="AG198" s="15" t="s">
        <v>3493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3494</v>
      </c>
      <c r="AR198" s="13"/>
      <c r="AS198" s="17">
        <f>SUM(H198,J198,L198,N198,P198,R198,T198,V198,X198,Z198,AB198,AD198,AF198,AH198,AJ198,AL198,AN198)</f>
        <v>56</v>
      </c>
      <c r="AT198" s="11">
        <f>IF(C198="","",DATE(YEAR(C198),MONTH(C198),1))</f>
        <v>46113</v>
      </c>
      <c r="AU198" s="13" t="str">
        <f>IF(AT198="","",TEXT(AT198,"mmmm yyyy"))</f>
        <v>April 2026</v>
      </c>
      <c r="AV198" s="11">
        <f>IF(C198="","",C198-WEEKDAY(C198,2)+1)</f>
        <v>46125</v>
      </c>
      <c r="AW198" s="11">
        <f>IF(AV198="","",AV198+6)</f>
        <v>46131</v>
      </c>
      <c r="AX198" s="13" t="str">
        <f>IF(AV198="","",TEXT(AV198,"dd/mm/yyyy")&amp;" - "&amp;TEXT(AW198,"dd/mm/yyyy"))</f>
        <v>13/04/2026 - 19/04/2026</v>
      </c>
      <c r="AY198" s="13">
        <f>IF(B198="","",COUNTIFS($B$5:B198,B198,$AT$5:AT198,AT198))</f>
        <v>8</v>
      </c>
      <c r="AZ198" s="13">
        <f>IF(B198="","",COUNTIFS($B$5:B198,B198,$AV$5:AV198,AV198))</f>
        <v>2</v>
      </c>
      <c r="BA198" s="13" t="str">
        <f>IF(B198="","",TEXT(AY198,"00")&amp;"|"&amp;B198&amp;"|"&amp;TEXT(AT198,"yyyymmdd"))</f>
        <v>08|Sunijtra Siritip|20260401</v>
      </c>
      <c r="BB198" s="13" t="str">
        <f>IF(B198="","",TEXT(AZ198,"00")&amp;"|"&amp;B198&amp;"|"&amp;TEXT(AV198,"yyyymmdd"))</f>
        <v>02|Sunijtra Siritip|20260413</v>
      </c>
      <c r="BC198" s="13">
        <f>IF(OR(AQ198="YES",AQ198="Yes",AQ198="Y",AQ198=1),1,0)</f>
        <v>0</v>
      </c>
      <c r="BD198" s="50" t="s">
        <v>3495</v>
      </c>
      <c r="BE198" t="s">
        <v>3496</v>
      </c>
      <c r="BF198" t="s">
        <v>2338</v>
      </c>
    </row>
    <row r="199" spans="1:58" ht="15" customHeight="1">
      <c r="A199" s="9">
        <v>46130.859303414356</v>
      </c>
      <c r="B199" s="10" t="s">
        <v>256</v>
      </c>
      <c r="C199" s="11">
        <v>46127</v>
      </c>
      <c r="D199" s="12">
        <v>0.60486111111094942</v>
      </c>
      <c r="E199" s="12">
        <v>0.61805555555474712</v>
      </c>
      <c r="F199" s="13" t="s">
        <v>3497</v>
      </c>
      <c r="G199" s="14" t="s">
        <v>3498</v>
      </c>
      <c r="H199" s="13">
        <v>10</v>
      </c>
      <c r="I199" s="19" t="s">
        <v>3332</v>
      </c>
      <c r="J199" s="13">
        <v>8</v>
      </c>
      <c r="K199" s="15" t="s">
        <v>3499</v>
      </c>
      <c r="L199" s="13">
        <v>8</v>
      </c>
      <c r="M199" s="15" t="s">
        <v>3500</v>
      </c>
      <c r="N199" s="13">
        <v>8</v>
      </c>
      <c r="O199" s="19" t="s">
        <v>3501</v>
      </c>
      <c r="P199" s="13">
        <v>8</v>
      </c>
      <c r="Q199" s="20" t="s">
        <v>3502</v>
      </c>
      <c r="R199" s="13">
        <v>4</v>
      </c>
      <c r="S199" s="20" t="s">
        <v>3503</v>
      </c>
      <c r="T199" s="13"/>
      <c r="U199" s="15"/>
      <c r="V199" s="13">
        <v>11</v>
      </c>
      <c r="W199" s="19" t="s">
        <v>3504</v>
      </c>
      <c r="X199" s="13">
        <v>8</v>
      </c>
      <c r="Y199" s="19" t="s">
        <v>3505</v>
      </c>
      <c r="Z199" s="13"/>
      <c r="AA199" s="15"/>
      <c r="AB199" s="13">
        <v>4</v>
      </c>
      <c r="AC199" s="15" t="s">
        <v>3506</v>
      </c>
      <c r="AD199" s="13">
        <v>4</v>
      </c>
      <c r="AE199" s="15" t="s">
        <v>3507</v>
      </c>
      <c r="AF199" s="13">
        <v>9</v>
      </c>
      <c r="AG199" s="15" t="s">
        <v>3508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3509</v>
      </c>
      <c r="AR199" s="13"/>
      <c r="AS199" s="17">
        <f>SUM(H199,J199,L199,N199,P199,R199,T199,V199,X199,Z199,AB199,AD199,AF199,AH199,AJ199,AL199,AN199)</f>
        <v>82</v>
      </c>
      <c r="AT199" s="11">
        <f>IF(C199="","",DATE(YEAR(C199),MONTH(C199),1))</f>
        <v>46113</v>
      </c>
      <c r="AU199" s="13" t="str">
        <f>IF(AT199="","",TEXT(AT199,"mmmm yyyy"))</f>
        <v>April 2026</v>
      </c>
      <c r="AV199" s="11">
        <f>IF(C199="","",C199-WEEKDAY(C199,2)+1)</f>
        <v>46125</v>
      </c>
      <c r="AW199" s="11">
        <f>IF(AV199="","",AV199+6)</f>
        <v>46131</v>
      </c>
      <c r="AX199" s="13" t="str">
        <f>IF(AV199="","",TEXT(AV199,"dd/mm/yyyy")&amp;" - "&amp;TEXT(AW199,"dd/mm/yyyy"))</f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1</v>
      </c>
      <c r="BA199" s="13" t="str">
        <f>IF(B199="","",TEXT(AY199,"00")&amp;"|"&amp;B199&amp;"|"&amp;TEXT(AT199,"yyyymmdd"))</f>
        <v>07|Supakrit Promkhamnoi|20260401</v>
      </c>
      <c r="BB199" s="13" t="str">
        <f>IF(B199="","",TEXT(AZ199,"00")&amp;"|"&amp;B199&amp;"|"&amp;TEXT(AV199,"yyyymmdd"))</f>
        <v>01|Supakrit Promkhamnoi|20260413</v>
      </c>
      <c r="BC199" s="13">
        <f>IF(OR(AQ199="YES",AQ199="Yes",AQ199="Y",AQ199=1),1,0)</f>
        <v>0</v>
      </c>
      <c r="BD199" s="50" t="s">
        <v>3510</v>
      </c>
      <c r="BE199" t="s">
        <v>3511</v>
      </c>
      <c r="BF199" t="s">
        <v>2338</v>
      </c>
    </row>
    <row r="200" spans="1:58" ht="15" customHeight="1">
      <c r="A200" s="9">
        <v>46130.865356608796</v>
      </c>
      <c r="B200" s="10" t="s">
        <v>256</v>
      </c>
      <c r="C200" s="11">
        <v>46127</v>
      </c>
      <c r="D200" s="12">
        <v>0.65069444444088731</v>
      </c>
      <c r="E200" s="12">
        <v>0.65833333333284827</v>
      </c>
      <c r="F200" s="13" t="s">
        <v>3512</v>
      </c>
      <c r="G200" s="14" t="s">
        <v>3513</v>
      </c>
      <c r="H200" s="13">
        <v>10</v>
      </c>
      <c r="I200" s="19" t="s">
        <v>3332</v>
      </c>
      <c r="J200" s="13">
        <v>10</v>
      </c>
      <c r="K200" s="15" t="s">
        <v>3514</v>
      </c>
      <c r="L200" s="13">
        <v>10</v>
      </c>
      <c r="M200" s="15" t="s">
        <v>3515</v>
      </c>
      <c r="N200" s="13">
        <v>9</v>
      </c>
      <c r="O200" s="19" t="s">
        <v>3516</v>
      </c>
      <c r="P200" s="13">
        <v>9</v>
      </c>
      <c r="Q200" s="20" t="s">
        <v>3517</v>
      </c>
      <c r="R200" s="13">
        <v>5</v>
      </c>
      <c r="S200" s="20" t="s">
        <v>3518</v>
      </c>
      <c r="T200" s="13"/>
      <c r="U200" s="15"/>
      <c r="V200" s="13">
        <v>14</v>
      </c>
      <c r="W200" s="19" t="s">
        <v>3519</v>
      </c>
      <c r="X200" s="13">
        <v>9</v>
      </c>
      <c r="Y200" s="19" t="s">
        <v>3520</v>
      </c>
      <c r="Z200" s="13"/>
      <c r="AA200" s="15"/>
      <c r="AB200" s="13">
        <v>5</v>
      </c>
      <c r="AC200" s="15" t="s">
        <v>3521</v>
      </c>
      <c r="AD200" s="13">
        <v>5</v>
      </c>
      <c r="AE200" s="15" t="s">
        <v>3522</v>
      </c>
      <c r="AF200" s="13">
        <v>10</v>
      </c>
      <c r="AG200" s="15" t="s">
        <v>3523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3524</v>
      </c>
      <c r="AR200" s="13"/>
      <c r="AS200" s="17">
        <f>SUM(H200,J200,L200,N200,P200,R200,T200,V200,X200,Z200,AB200,AD200,AF200,AH200,AJ200,AL200,AN200)</f>
        <v>96</v>
      </c>
      <c r="AT200" s="11">
        <f>IF(C200="","",DATE(YEAR(C200),MONTH(C200),1))</f>
        <v>46113</v>
      </c>
      <c r="AU200" s="13" t="str">
        <f>IF(AT200="","",TEXT(AT200,"mmmm yyyy"))</f>
        <v>April 2026</v>
      </c>
      <c r="AV200" s="11">
        <f>IF(C200="","",C200-WEEKDAY(C200,2)+1)</f>
        <v>46125</v>
      </c>
      <c r="AW200" s="11">
        <f>IF(AV200="","",AV200+6)</f>
        <v>46131</v>
      </c>
      <c r="AX200" s="13" t="str">
        <f>IF(AV200="","",TEXT(AV200,"dd/mm/yyyy")&amp;" - "&amp;TEXT(AW200,"dd/mm/yyyy"))</f>
        <v>13/04/2026 - 19/04/2026</v>
      </c>
      <c r="AY200" s="13">
        <f>IF(B200="","",COUNTIFS($B$5:B200,B200,$AT$5:AT200,AT200))</f>
        <v>8</v>
      </c>
      <c r="AZ200" s="13">
        <f>IF(B200="","",COUNTIFS($B$5:B200,B200,$AV$5:AV200,AV200))</f>
        <v>2</v>
      </c>
      <c r="BA200" s="13" t="str">
        <f>IF(B200="","",TEXT(AY200,"00")&amp;"|"&amp;B200&amp;"|"&amp;TEXT(AT200,"yyyymmdd"))</f>
        <v>08|Supakrit Promkhamnoi|20260401</v>
      </c>
      <c r="BB200" s="13" t="str">
        <f>IF(B200="","",TEXT(AZ200,"00")&amp;"|"&amp;B200&amp;"|"&amp;TEXT(AV200,"yyyymmdd"))</f>
        <v>02|Supakrit Promkhamnoi|20260413</v>
      </c>
      <c r="BC200" s="13">
        <f>IF(OR(AQ200="YES",AQ200="Yes",AQ200="Y",AQ200=1),1,0)</f>
        <v>0</v>
      </c>
      <c r="BD200" s="50" t="s">
        <v>3525</v>
      </c>
      <c r="BE200" t="s">
        <v>3526</v>
      </c>
      <c r="BF200" t="s">
        <v>2338</v>
      </c>
    </row>
    <row r="201" spans="1:58" ht="15" customHeight="1">
      <c r="A201" s="9">
        <v>46131.346148206023</v>
      </c>
      <c r="B201" s="10" t="s">
        <v>503</v>
      </c>
      <c r="C201" s="11">
        <v>46127</v>
      </c>
      <c r="D201" s="12">
        <v>0.55277777777519077</v>
      </c>
      <c r="E201" s="12">
        <v>0.56111111110658385</v>
      </c>
      <c r="F201" s="13" t="s">
        <v>3604</v>
      </c>
      <c r="G201" s="14" t="s">
        <v>3605</v>
      </c>
      <c r="H201" s="13">
        <v>10</v>
      </c>
      <c r="I201" s="19" t="s">
        <v>3590</v>
      </c>
      <c r="J201" s="13">
        <v>10</v>
      </c>
      <c r="K201" s="15" t="s">
        <v>3606</v>
      </c>
      <c r="L201" s="13">
        <v>8</v>
      </c>
      <c r="M201" s="15" t="s">
        <v>3607</v>
      </c>
      <c r="N201" s="13">
        <v>8</v>
      </c>
      <c r="O201" s="19" t="s">
        <v>3608</v>
      </c>
      <c r="P201" s="13">
        <v>3</v>
      </c>
      <c r="Q201" s="20" t="s">
        <v>3609</v>
      </c>
      <c r="R201" s="13">
        <v>2</v>
      </c>
      <c r="S201" s="20" t="s">
        <v>3610</v>
      </c>
      <c r="T201" s="13"/>
      <c r="U201" s="15"/>
      <c r="V201" s="13">
        <v>5</v>
      </c>
      <c r="W201" s="19" t="s">
        <v>3611</v>
      </c>
      <c r="X201" s="13">
        <v>3</v>
      </c>
      <c r="Y201" s="19" t="s">
        <v>3612</v>
      </c>
      <c r="Z201" s="13"/>
      <c r="AA201" s="15"/>
      <c r="AB201" s="13">
        <v>4</v>
      </c>
      <c r="AC201" s="15" t="s">
        <v>3613</v>
      </c>
      <c r="AD201" s="13">
        <v>5</v>
      </c>
      <c r="AE201" s="15" t="s">
        <v>3614</v>
      </c>
      <c r="AF201" s="13">
        <v>6</v>
      </c>
      <c r="AG201" s="15" t="s">
        <v>3615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3616</v>
      </c>
      <c r="AR201" s="13"/>
      <c r="AS201" s="17">
        <f>SUM(H201,J201,L201,N201,P201,R201,T201,V201,X201,Z201,AB201,AD201,AF201,AH201,AJ201,AL201,AN201)</f>
        <v>64</v>
      </c>
      <c r="AT201" s="11">
        <f>IF(C201="","",DATE(YEAR(C201),MONTH(C201),1))</f>
        <v>46113</v>
      </c>
      <c r="AU201" s="13" t="str">
        <f>IF(AT201="","",TEXT(AT201,"mmmm yyyy"))</f>
        <v>April 2026</v>
      </c>
      <c r="AV201" s="11">
        <f>IF(C201="","",C201-WEEKDAY(C201,2)+1)</f>
        <v>46125</v>
      </c>
      <c r="AW201" s="11">
        <f>IF(AV201="","",AV201+6)</f>
        <v>46131</v>
      </c>
      <c r="AX201" s="13" t="str">
        <f>IF(AV201="","",TEXT(AV201,"dd/mm/yyyy")&amp;" - "&amp;TEXT(AW201,"dd/mm/yyyy"))</f>
        <v>13/04/2026 - 19/04/2026</v>
      </c>
      <c r="AY201" s="13">
        <f>IF(B201="","",COUNTIFS($B$5:B201,B201,$AT$5:AT201,AT201))</f>
        <v>6</v>
      </c>
      <c r="AZ201" s="13">
        <f>IF(B201="","",COUNTIFS($B$5:B201,B201,$AV$5:AV201,AV201))</f>
        <v>2</v>
      </c>
      <c r="BA201" s="13" t="str">
        <f>IF(B201="","",TEXT(AY201,"00")&amp;"|"&amp;B201&amp;"|"&amp;TEXT(AT201,"yyyymmdd"))</f>
        <v>06|Wassana Phothong|20260401</v>
      </c>
      <c r="BB201" s="13" t="str">
        <f>IF(B201="","",TEXT(AZ201,"00")&amp;"|"&amp;B201&amp;"|"&amp;TEXT(AV201,"yyyymmdd"))</f>
        <v>02|Wassana Phothong|20260413</v>
      </c>
      <c r="BC201" s="13">
        <f>IF(OR(AQ201="YES",AQ201="Yes",AQ201="Y",AQ201=1),1,0)</f>
        <v>0</v>
      </c>
      <c r="BD201" s="50" t="s">
        <v>3617</v>
      </c>
      <c r="BE201" t="s">
        <v>3618</v>
      </c>
      <c r="BF201" t="s">
        <v>2338</v>
      </c>
    </row>
    <row r="202" spans="1:58" ht="15" customHeight="1">
      <c r="A202" s="9">
        <v>46130.755074270834</v>
      </c>
      <c r="B202" s="10" t="s">
        <v>59</v>
      </c>
      <c r="C202" s="11">
        <v>46128</v>
      </c>
      <c r="D202" s="12">
        <v>0.40000000000145519</v>
      </c>
      <c r="E202" s="12">
        <v>0.40347222222044365</v>
      </c>
      <c r="F202" s="13" t="s">
        <v>3298</v>
      </c>
      <c r="G202" s="14" t="s">
        <v>3299</v>
      </c>
      <c r="H202" s="13">
        <v>10</v>
      </c>
      <c r="I202" s="19" t="s">
        <v>3300</v>
      </c>
      <c r="J202" s="13">
        <v>10</v>
      </c>
      <c r="K202" s="15" t="s">
        <v>3301</v>
      </c>
      <c r="L202" s="13">
        <v>9</v>
      </c>
      <c r="M202" s="15" t="s">
        <v>3302</v>
      </c>
      <c r="N202" s="13">
        <v>9</v>
      </c>
      <c r="O202" s="19" t="s">
        <v>3303</v>
      </c>
      <c r="P202" s="13">
        <v>8</v>
      </c>
      <c r="Q202" s="20" t="s">
        <v>3304</v>
      </c>
      <c r="R202" s="13">
        <v>5</v>
      </c>
      <c r="S202" s="20" t="s">
        <v>3305</v>
      </c>
      <c r="T202" s="13"/>
      <c r="U202" s="15"/>
      <c r="V202" s="13">
        <v>13</v>
      </c>
      <c r="W202" s="19" t="s">
        <v>3306</v>
      </c>
      <c r="X202" s="13">
        <v>8</v>
      </c>
      <c r="Y202" s="19" t="s">
        <v>3307</v>
      </c>
      <c r="Z202" s="13"/>
      <c r="AA202" s="15"/>
      <c r="AB202" s="13">
        <v>5</v>
      </c>
      <c r="AC202" s="15" t="s">
        <v>3308</v>
      </c>
      <c r="AD202" s="13">
        <v>5</v>
      </c>
      <c r="AE202" s="15" t="s">
        <v>3309</v>
      </c>
      <c r="AF202" s="13">
        <v>9</v>
      </c>
      <c r="AG202" s="15" t="s">
        <v>3310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3311</v>
      </c>
      <c r="AR202" s="13"/>
      <c r="AS202" s="17">
        <f>SUM(H202,J202,L202,N202,P202,R202,T202,V202,X202,Z202,AB202,AD202,AF202,AH202,AJ202,AL202,AN202)</f>
        <v>91</v>
      </c>
      <c r="AT202" s="11">
        <f>IF(C202="","",DATE(YEAR(C202),MONTH(C202),1))</f>
        <v>46113</v>
      </c>
      <c r="AU202" s="13" t="str">
        <f>IF(AT202="","",TEXT(AT202,"mmmm yyyy"))</f>
        <v>April 2026</v>
      </c>
      <c r="AV202" s="11">
        <f>IF(C202="","",C202-WEEKDAY(C202,2)+1)</f>
        <v>46125</v>
      </c>
      <c r="AW202" s="11">
        <f>IF(AV202="","",AV202+6)</f>
        <v>46131</v>
      </c>
      <c r="AX202" s="13" t="str">
        <f>IF(AV202="","",TEXT(AV202,"dd/mm/yyyy")&amp;" - "&amp;TEXT(AW202,"dd/mm/yyyy"))</f>
        <v>13/04/2026 - 19/04/2026</v>
      </c>
      <c r="AY202" s="13">
        <f>IF(B202="","",COUNTIFS($B$5:B202,B202,$AT$5:AT202,AT202))</f>
        <v>6</v>
      </c>
      <c r="AZ202" s="13">
        <f>IF(B202="","",COUNTIFS($B$5:B202,B202,$AV$5:AV202,AV202))</f>
        <v>1</v>
      </c>
      <c r="BA202" s="13" t="str">
        <f>IF(B202="","",TEXT(AY202,"00")&amp;"|"&amp;B202&amp;"|"&amp;TEXT(AT202,"yyyymmdd"))</f>
        <v>06|Chatkonnaphat Bhusomya|20260401</v>
      </c>
      <c r="BB202" s="13" t="str">
        <f>IF(B202="","",TEXT(AZ202,"00")&amp;"|"&amp;B202&amp;"|"&amp;TEXT(AV202,"yyyymmdd"))</f>
        <v>01|Chatkonnaphat Bhusomya|20260413</v>
      </c>
      <c r="BC202" s="13">
        <f>IF(OR(AQ202="YES",AQ202="Yes",AQ202="Y",AQ202=1),1,0)</f>
        <v>0</v>
      </c>
      <c r="BD202" s="50" t="s">
        <v>3312</v>
      </c>
      <c r="BE202" t="s">
        <v>3313</v>
      </c>
      <c r="BF202" t="s">
        <v>2338</v>
      </c>
    </row>
    <row r="203" spans="1:58" ht="15" customHeight="1">
      <c r="A203" s="9">
        <v>46130.76116923611</v>
      </c>
      <c r="B203" s="10" t="s">
        <v>59</v>
      </c>
      <c r="C203" s="11">
        <v>46128</v>
      </c>
      <c r="D203" s="12">
        <v>0.61527777777519077</v>
      </c>
      <c r="E203" s="12">
        <v>0.62361111110658385</v>
      </c>
      <c r="F203" s="13" t="s">
        <v>3314</v>
      </c>
      <c r="G203" s="14" t="s">
        <v>3315</v>
      </c>
      <c r="H203" s="13">
        <v>10</v>
      </c>
      <c r="I203" s="19" t="s">
        <v>3316</v>
      </c>
      <c r="J203" s="13">
        <v>5</v>
      </c>
      <c r="K203" s="15" t="s">
        <v>3317</v>
      </c>
      <c r="L203" s="13">
        <v>7</v>
      </c>
      <c r="M203" s="15" t="s">
        <v>3318</v>
      </c>
      <c r="N203" s="13">
        <v>6</v>
      </c>
      <c r="O203" s="19" t="s">
        <v>3319</v>
      </c>
      <c r="P203" s="13">
        <v>5</v>
      </c>
      <c r="Q203" s="20" t="s">
        <v>3320</v>
      </c>
      <c r="R203" s="13">
        <v>3</v>
      </c>
      <c r="S203" s="20" t="s">
        <v>3321</v>
      </c>
      <c r="T203" s="13"/>
      <c r="U203" s="15"/>
      <c r="V203" s="13">
        <v>7</v>
      </c>
      <c r="W203" s="19" t="s">
        <v>3322</v>
      </c>
      <c r="X203" s="13">
        <v>6</v>
      </c>
      <c r="Y203" s="19" t="s">
        <v>3323</v>
      </c>
      <c r="Z203" s="13"/>
      <c r="AA203" s="15"/>
      <c r="AB203" s="13">
        <v>4</v>
      </c>
      <c r="AC203" s="15" t="s">
        <v>3324</v>
      </c>
      <c r="AD203" s="13">
        <v>5</v>
      </c>
      <c r="AE203" s="15" t="s">
        <v>3325</v>
      </c>
      <c r="AF203" s="13">
        <v>8</v>
      </c>
      <c r="AG203" s="15" t="s">
        <v>3326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3327</v>
      </c>
      <c r="AR203" s="13"/>
      <c r="AS203" s="17">
        <f>SUM(H203,J203,L203,N203,P203,R203,T203,V203,X203,Z203,AB203,AD203,AF203,AH203,AJ203,AL203,AN203)</f>
        <v>66</v>
      </c>
      <c r="AT203" s="11">
        <f>IF(C203="","",DATE(YEAR(C203),MONTH(C203),1))</f>
        <v>46113</v>
      </c>
      <c r="AU203" s="13" t="str">
        <f>IF(AT203="","",TEXT(AT203,"mmmm yyyy"))</f>
        <v>April 2026</v>
      </c>
      <c r="AV203" s="11">
        <f>IF(C203="","",C203-WEEKDAY(C203,2)+1)</f>
        <v>46125</v>
      </c>
      <c r="AW203" s="11">
        <f>IF(AV203="","",AV203+6)</f>
        <v>46131</v>
      </c>
      <c r="AX203" s="13" t="str">
        <f>IF(AV203="","",TEXT(AV203,"dd/mm/yyyy")&amp;" - "&amp;TEXT(AW203,"dd/mm/yyyy"))</f>
        <v>13/04/2026 - 19/04/2026</v>
      </c>
      <c r="AY203" s="13">
        <f>IF(B203="","",COUNTIFS($B$5:B203,B203,$AT$5:AT203,AT203))</f>
        <v>7</v>
      </c>
      <c r="AZ203" s="13">
        <f>IF(B203="","",COUNTIFS($B$5:B203,B203,$AV$5:AV203,AV203))</f>
        <v>2</v>
      </c>
      <c r="BA203" s="13" t="str">
        <f>IF(B203="","",TEXT(AY203,"00")&amp;"|"&amp;B203&amp;"|"&amp;TEXT(AT203,"yyyymmdd"))</f>
        <v>07|Chatkonnaphat Bhusomya|20260401</v>
      </c>
      <c r="BB203" s="13" t="str">
        <f>IF(B203="","",TEXT(AZ203,"00")&amp;"|"&amp;B203&amp;"|"&amp;TEXT(AV203,"yyyymmdd"))</f>
        <v>02|Chatkonnaphat Bhusomya|20260413</v>
      </c>
      <c r="BC203" s="13">
        <f>IF(OR(AQ203="YES",AQ203="Yes",AQ203="Y",AQ203=1),1,0)</f>
        <v>0</v>
      </c>
      <c r="BD203" s="50" t="s">
        <v>3328</v>
      </c>
      <c r="BE203" t="s">
        <v>3329</v>
      </c>
      <c r="BF203" t="s">
        <v>2338</v>
      </c>
    </row>
    <row r="204" spans="1:58" ht="15" customHeight="1">
      <c r="A204" s="9">
        <v>46131.31418361111</v>
      </c>
      <c r="B204" s="10" t="s">
        <v>290</v>
      </c>
      <c r="C204" s="11">
        <v>46128</v>
      </c>
      <c r="D204" s="12">
        <v>0.59236111110658385</v>
      </c>
      <c r="E204" s="12">
        <v>0.60347222222480923</v>
      </c>
      <c r="F204" s="13" t="s">
        <v>3542</v>
      </c>
      <c r="G204" s="14" t="s">
        <v>3543</v>
      </c>
      <c r="H204" s="13">
        <v>10</v>
      </c>
      <c r="I204" s="19" t="s">
        <v>3544</v>
      </c>
      <c r="J204" s="13">
        <v>7</v>
      </c>
      <c r="K204" s="15" t="s">
        <v>3545</v>
      </c>
      <c r="L204" s="13">
        <v>7</v>
      </c>
      <c r="M204" s="15" t="s">
        <v>3546</v>
      </c>
      <c r="N204" s="13">
        <v>4</v>
      </c>
      <c r="O204" s="19" t="s">
        <v>3547</v>
      </c>
      <c r="P204" s="13">
        <v>2</v>
      </c>
      <c r="Q204" s="20" t="s">
        <v>3548</v>
      </c>
      <c r="R204" s="13">
        <v>1</v>
      </c>
      <c r="S204" s="20" t="s">
        <v>3549</v>
      </c>
      <c r="T204" s="13"/>
      <c r="U204" s="15"/>
      <c r="V204" s="13">
        <v>3</v>
      </c>
      <c r="W204" s="19" t="s">
        <v>3550</v>
      </c>
      <c r="X204" s="13">
        <v>4</v>
      </c>
      <c r="Y204" s="19" t="s">
        <v>3551</v>
      </c>
      <c r="Z204" s="13"/>
      <c r="AA204" s="15"/>
      <c r="AB204" s="13">
        <v>5</v>
      </c>
      <c r="AC204" s="15" t="s">
        <v>3552</v>
      </c>
      <c r="AD204" s="13">
        <v>5</v>
      </c>
      <c r="AE204" s="15" t="s">
        <v>3553</v>
      </c>
      <c r="AF204" s="13">
        <v>9</v>
      </c>
      <c r="AG204" s="15" t="s">
        <v>3554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3555</v>
      </c>
      <c r="AR204" s="13"/>
      <c r="AS204" s="17">
        <f>SUM(H204,J204,L204,N204,P204,R204,T204,V204,X204,Z204,AB204,AD204,AF204,AH204,AJ204,AL204,AN204)</f>
        <v>57</v>
      </c>
      <c r="AT204" s="11">
        <f>IF(C204="","",DATE(YEAR(C204),MONTH(C204),1))</f>
        <v>46113</v>
      </c>
      <c r="AU204" s="13" t="str">
        <f>IF(AT204="","",TEXT(AT204,"mmmm yyyy"))</f>
        <v>April 2026</v>
      </c>
      <c r="AV204" s="11">
        <f>IF(C204="","",C204-WEEKDAY(C204,2)+1)</f>
        <v>46125</v>
      </c>
      <c r="AW204" s="11">
        <f>IF(AV204="","",AV204+6)</f>
        <v>46131</v>
      </c>
      <c r="AX204" s="13" t="str">
        <f>IF(AV204="","",TEXT(AV204,"dd/mm/yyyy")&amp;" - "&amp;TEXT(AW204,"dd/mm/yyyy"))</f>
        <v>13/04/2026 - 19/04/2026</v>
      </c>
      <c r="AY204" s="13">
        <f>IF(B204="","",COUNTIFS($B$5:B204,B204,$AT$5:AT204,AT204))</f>
        <v>8</v>
      </c>
      <c r="AZ204" s="13">
        <f>IF(B204="","",COUNTIFS($B$5:B204,B204,$AV$5:AV204,AV204))</f>
        <v>2</v>
      </c>
      <c r="BA204" s="13" t="str">
        <f>IF(B204="","",TEXT(AY204,"00")&amp;"|"&amp;B204&amp;"|"&amp;TEXT(AT204,"yyyymmdd"))</f>
        <v>08|Suphitcha Keawliam|20260401</v>
      </c>
      <c r="BB204" s="13" t="str">
        <f>IF(B204="","",TEXT(AZ204,"00")&amp;"|"&amp;B204&amp;"|"&amp;TEXT(AV204,"yyyymmdd"))</f>
        <v>02|Suphitcha Keawliam|20260413</v>
      </c>
      <c r="BC204" s="13">
        <f>IF(OR(AQ204="YES",AQ204="Yes",AQ204="Y",AQ204=1),1,0)</f>
        <v>0</v>
      </c>
      <c r="BD204" s="50" t="s">
        <v>3556</v>
      </c>
      <c r="BE204" t="s">
        <v>3557</v>
      </c>
      <c r="BF204" t="s">
        <v>2338</v>
      </c>
    </row>
    <row r="205" spans="1:58" ht="15" customHeight="1">
      <c r="A205" s="9">
        <v>46130.748276377315</v>
      </c>
      <c r="B205" s="10" t="s">
        <v>2321</v>
      </c>
      <c r="C205" s="11">
        <v>46130</v>
      </c>
      <c r="D205" s="12">
        <v>0.62708333333284827</v>
      </c>
      <c r="E205" s="12">
        <v>0.63055555555911269</v>
      </c>
      <c r="F205" s="13" t="s">
        <v>3283</v>
      </c>
      <c r="G205" s="14" t="s">
        <v>3284</v>
      </c>
      <c r="H205" s="13">
        <v>5</v>
      </c>
      <c r="I205" s="19" t="s">
        <v>3285</v>
      </c>
      <c r="J205" s="13">
        <v>10</v>
      </c>
      <c r="K205" s="19" t="s">
        <v>2325</v>
      </c>
      <c r="L205" s="13">
        <v>8</v>
      </c>
      <c r="M205" s="19" t="s">
        <v>3286</v>
      </c>
      <c r="N205" s="13">
        <v>6</v>
      </c>
      <c r="O205" s="19" t="s">
        <v>3287</v>
      </c>
      <c r="P205" s="13">
        <v>5</v>
      </c>
      <c r="Q205" s="20" t="s">
        <v>3288</v>
      </c>
      <c r="R205" s="13">
        <v>3</v>
      </c>
      <c r="S205" s="20" t="s">
        <v>3289</v>
      </c>
      <c r="T205" s="13"/>
      <c r="U205" s="15"/>
      <c r="V205" s="13">
        <v>6</v>
      </c>
      <c r="W205" s="19" t="s">
        <v>3290</v>
      </c>
      <c r="X205" s="13">
        <v>6</v>
      </c>
      <c r="Y205" s="19" t="s">
        <v>3291</v>
      </c>
      <c r="Z205" s="13"/>
      <c r="AA205" s="15"/>
      <c r="AB205" s="13">
        <v>5</v>
      </c>
      <c r="AC205" s="19" t="s">
        <v>3292</v>
      </c>
      <c r="AD205" s="13">
        <v>5</v>
      </c>
      <c r="AE205" s="19" t="s">
        <v>3293</v>
      </c>
      <c r="AF205" s="13">
        <v>8</v>
      </c>
      <c r="AG205" s="19" t="s">
        <v>3294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3295</v>
      </c>
      <c r="AR205" s="13"/>
      <c r="AS205" s="17">
        <f>SUM(H205,J205,L205,N205,P205,R205,T205,V205,X205,Z205,AB205,AD205,AF205,AH205,AJ205,AL205,AN205)</f>
        <v>67</v>
      </c>
      <c r="AT205" s="11">
        <f>IF(C205="","",DATE(YEAR(C205),MONTH(C205),1))</f>
        <v>46113</v>
      </c>
      <c r="AU205" s="13" t="str">
        <f>IF(AT205="","",TEXT(AT205,"mmmm yyyy"))</f>
        <v>April 2026</v>
      </c>
      <c r="AV205" s="11">
        <f>IF(C205="","",C205-WEEKDAY(C205,2)+1)</f>
        <v>46125</v>
      </c>
      <c r="AW205" s="11">
        <f>IF(AV205="","",AV205+6)</f>
        <v>46131</v>
      </c>
      <c r="AX205" s="13" t="str">
        <f>IF(AV205="","",TEXT(AV205,"dd/mm/yyyy")&amp;" - "&amp;TEXT(AW205,"dd/mm/yyyy"))</f>
        <v>13/04/2026 - 19/04/2026</v>
      </c>
      <c r="AY205" s="13">
        <f>IF(B205="","",COUNTIFS($B$5:B205,B205,$AT$5:AT205,AT205))</f>
        <v>7</v>
      </c>
      <c r="AZ205" s="13">
        <f>IF(B205="","",COUNTIFS($B$5:B205,B205,$AV$5:AV205,AV205))</f>
        <v>2</v>
      </c>
      <c r="BA205" s="13" t="str">
        <f>IF(B205="","",TEXT(AY205,"00")&amp;"|"&amp;B205&amp;"|"&amp;TEXT(AT205,"yyyymmdd"))</f>
        <v>07|Anucha Makundin|20260401</v>
      </c>
      <c r="BB205" s="13" t="str">
        <f>IF(B205="","",TEXT(AZ205,"00")&amp;"|"&amp;B205&amp;"|"&amp;TEXT(AV205,"yyyymmdd"))</f>
        <v>02|Anucha Makundin|20260413</v>
      </c>
      <c r="BC205" s="13">
        <f>IF(OR(AQ205="YES",AQ205="Yes",AQ205="Y",AQ205=1),1,0)</f>
        <v>0</v>
      </c>
      <c r="BD205" s="50" t="s">
        <v>3296</v>
      </c>
      <c r="BE205" t="s">
        <v>3297</v>
      </c>
      <c r="BF205" t="s">
        <v>2338</v>
      </c>
    </row>
    <row r="206" spans="1:58" ht="15" customHeight="1">
      <c r="A206" s="9">
        <v>46130.766450844909</v>
      </c>
      <c r="B206" s="10" t="s">
        <v>123</v>
      </c>
      <c r="C206" s="11">
        <v>46130</v>
      </c>
      <c r="D206" s="12">
        <v>0.375</v>
      </c>
      <c r="E206" s="12">
        <v>0.37777777777955635</v>
      </c>
      <c r="F206" s="13" t="s">
        <v>3330</v>
      </c>
      <c r="G206" s="14" t="s">
        <v>3331</v>
      </c>
      <c r="H206" s="13">
        <v>10</v>
      </c>
      <c r="I206" s="19" t="s">
        <v>3332</v>
      </c>
      <c r="J206" s="13">
        <v>10</v>
      </c>
      <c r="K206" s="15" t="s">
        <v>3333</v>
      </c>
      <c r="L206" s="13">
        <v>10</v>
      </c>
      <c r="M206" s="15" t="s">
        <v>3334</v>
      </c>
      <c r="N206" s="13">
        <v>8</v>
      </c>
      <c r="O206" s="19" t="s">
        <v>3335</v>
      </c>
      <c r="P206" s="13">
        <v>7</v>
      </c>
      <c r="Q206" s="20" t="s">
        <v>3336</v>
      </c>
      <c r="R206" s="13">
        <v>4</v>
      </c>
      <c r="S206" s="20" t="s">
        <v>3337</v>
      </c>
      <c r="T206" s="13"/>
      <c r="U206" s="15"/>
      <c r="V206" s="13">
        <v>10</v>
      </c>
      <c r="W206" s="19" t="s">
        <v>3338</v>
      </c>
      <c r="X206" s="13">
        <v>8</v>
      </c>
      <c r="Y206" s="19" t="s">
        <v>3339</v>
      </c>
      <c r="Z206" s="13"/>
      <c r="AA206" s="15"/>
      <c r="AB206" s="13">
        <v>5</v>
      </c>
      <c r="AC206" s="15" t="s">
        <v>3340</v>
      </c>
      <c r="AD206" s="13">
        <v>5</v>
      </c>
      <c r="AE206" s="15" t="s">
        <v>3341</v>
      </c>
      <c r="AF206" s="13">
        <v>9</v>
      </c>
      <c r="AG206" s="15" t="s">
        <v>3342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3343</v>
      </c>
      <c r="AR206" s="13"/>
      <c r="AS206" s="17">
        <f>SUM(H206,J206,L206,N206,P206,R206,T206,V206,X206,Z206,AB206,AD206,AF206,AH206,AJ206,AL206,AN206)</f>
        <v>86</v>
      </c>
      <c r="AT206" s="11">
        <f>IF(C206="","",DATE(YEAR(C206),MONTH(C206),1))</f>
        <v>46113</v>
      </c>
      <c r="AU206" s="13" t="str">
        <f>IF(AT206="","",TEXT(AT206,"mmmm yyyy"))</f>
        <v>April 2026</v>
      </c>
      <c r="AV206" s="11">
        <f>IF(C206="","",C206-WEEKDAY(C206,2)+1)</f>
        <v>46125</v>
      </c>
      <c r="AW206" s="11">
        <f>IF(AV206="","",AV206+6)</f>
        <v>46131</v>
      </c>
      <c r="AX206" s="13" t="str">
        <f>IF(AV206="","",TEXT(AV206,"dd/mm/yyyy")&amp;" - "&amp;TEXT(AW206,"dd/mm/yyyy"))</f>
        <v>13/04/2026 - 19/04/2026</v>
      </c>
      <c r="AY206" s="13">
        <f>IF(B206="","",COUNTIFS($B$5:B206,B206,$AT$5:AT206,AT206))</f>
        <v>6</v>
      </c>
      <c r="AZ206" s="13">
        <f>IF(B206="","",COUNTIFS($B$5:B206,B206,$AV$5:AV206,AV206))</f>
        <v>1</v>
      </c>
      <c r="BA206" s="13" t="str">
        <f>IF(B206="","",TEXT(AY206,"00")&amp;"|"&amp;B206&amp;"|"&amp;TEXT(AT206,"yyyymmdd"))</f>
        <v>06|Jariyawadee Taboodda|20260401</v>
      </c>
      <c r="BB206" s="13" t="str">
        <f>IF(B206="","",TEXT(AZ206,"00")&amp;"|"&amp;B206&amp;"|"&amp;TEXT(AV206,"yyyymmdd"))</f>
        <v>01|Jariyawadee Taboodda|20260413</v>
      </c>
      <c r="BC206" s="13">
        <f>IF(OR(AQ206="YES",AQ206="Yes",AQ206="Y",AQ206=1),1,0)</f>
        <v>0</v>
      </c>
      <c r="BD206" s="50" t="s">
        <v>3344</v>
      </c>
      <c r="BE206" t="s">
        <v>3345</v>
      </c>
      <c r="BF206" t="s">
        <v>2338</v>
      </c>
    </row>
    <row r="207" spans="1:58" ht="15" customHeight="1">
      <c r="A207" s="9">
        <v>46130.779443541665</v>
      </c>
      <c r="B207" s="10" t="s">
        <v>123</v>
      </c>
      <c r="C207" s="11">
        <v>46130</v>
      </c>
      <c r="D207" s="12">
        <v>0.30972222222044365</v>
      </c>
      <c r="E207" s="12">
        <v>0.31736111111240461</v>
      </c>
      <c r="F207" s="13" t="s">
        <v>3346</v>
      </c>
      <c r="G207" s="14" t="s">
        <v>3347</v>
      </c>
      <c r="H207" s="13">
        <v>10</v>
      </c>
      <c r="I207" s="19" t="s">
        <v>3332</v>
      </c>
      <c r="J207" s="13">
        <v>10</v>
      </c>
      <c r="K207" s="15" t="s">
        <v>3348</v>
      </c>
      <c r="L207" s="13">
        <v>9</v>
      </c>
      <c r="M207" s="15" t="s">
        <v>3349</v>
      </c>
      <c r="N207" s="13">
        <v>7</v>
      </c>
      <c r="O207" s="19" t="s">
        <v>3350</v>
      </c>
      <c r="P207" s="13">
        <v>5</v>
      </c>
      <c r="Q207" s="20" t="s">
        <v>3351</v>
      </c>
      <c r="R207" s="13">
        <v>3</v>
      </c>
      <c r="S207" s="20" t="s">
        <v>3352</v>
      </c>
      <c r="T207" s="13"/>
      <c r="U207" s="15"/>
      <c r="V207" s="13">
        <v>7</v>
      </c>
      <c r="W207" s="19" t="s">
        <v>3353</v>
      </c>
      <c r="X207" s="13">
        <v>5</v>
      </c>
      <c r="Y207" s="19" t="s">
        <v>3354</v>
      </c>
      <c r="Z207" s="13"/>
      <c r="AA207" s="15"/>
      <c r="AB207" s="13">
        <v>4</v>
      </c>
      <c r="AC207" s="15" t="s">
        <v>3355</v>
      </c>
      <c r="AD207" s="13">
        <v>4</v>
      </c>
      <c r="AE207" s="15" t="s">
        <v>3356</v>
      </c>
      <c r="AF207" s="13">
        <v>8</v>
      </c>
      <c r="AG207" s="15" t="s">
        <v>3357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405</v>
      </c>
      <c r="AR207" s="13"/>
      <c r="AS207" s="17">
        <f>SUM(H207,J207,L207,N207,P207,R207,T207,V207,X207,Z207,AB207,AD207,AF207,AH207,AJ207,AL207,AN207)</f>
        <v>72</v>
      </c>
      <c r="AT207" s="11">
        <f>IF(C207="","",DATE(YEAR(C207),MONTH(C207),1))</f>
        <v>46113</v>
      </c>
      <c r="AU207" s="13" t="str">
        <f>IF(AT207="","",TEXT(AT207,"mmmm yyyy"))</f>
        <v>April 2026</v>
      </c>
      <c r="AV207" s="11">
        <f>IF(C207="","",C207-WEEKDAY(C207,2)+1)</f>
        <v>46125</v>
      </c>
      <c r="AW207" s="11">
        <f>IF(AV207="","",AV207+6)</f>
        <v>46131</v>
      </c>
      <c r="AX207" s="13" t="str">
        <f>IF(AV207="","",TEXT(AV207,"dd/mm/yyyy")&amp;" - "&amp;TEXT(AW207,"dd/mm/yyyy"))</f>
        <v>13/04/2026 - 19/04/2026</v>
      </c>
      <c r="AY207" s="13">
        <f>IF(B207="","",COUNTIFS($B$5:B207,B207,$AT$5:AT207,AT207))</f>
        <v>7</v>
      </c>
      <c r="AZ207" s="13">
        <f>IF(B207="","",COUNTIFS($B$5:B207,B207,$AV$5:AV207,AV207))</f>
        <v>2</v>
      </c>
      <c r="BA207" s="13" t="str">
        <f>IF(B207="","",TEXT(AY207,"00")&amp;"|"&amp;B207&amp;"|"&amp;TEXT(AT207,"yyyymmdd"))</f>
        <v>07|Jariyawadee Taboodda|20260401</v>
      </c>
      <c r="BB207" s="13" t="str">
        <f>IF(B207="","",TEXT(AZ207,"00")&amp;"|"&amp;B207&amp;"|"&amp;TEXT(AV207,"yyyymmdd"))</f>
        <v>02|Jariyawadee Taboodda|20260413</v>
      </c>
      <c r="BC207" s="13">
        <f>IF(OR(AQ207="YES",AQ207="Yes",AQ207="Y",AQ207=1),1,0)</f>
        <v>0</v>
      </c>
      <c r="BD207" s="50" t="s">
        <v>3358</v>
      </c>
      <c r="BE207" t="s">
        <v>3359</v>
      </c>
      <c r="BF207" t="s">
        <v>2338</v>
      </c>
    </row>
    <row r="208" spans="1:58" ht="15" customHeight="1">
      <c r="A208" s="9">
        <v>46130.817486585649</v>
      </c>
      <c r="B208" s="10" t="s">
        <v>1130</v>
      </c>
      <c r="C208" s="11">
        <v>46130</v>
      </c>
      <c r="D208" s="12">
        <v>0.46388888888759539</v>
      </c>
      <c r="E208" s="12">
        <v>0.47152777777955635</v>
      </c>
      <c r="F208" s="13" t="s">
        <v>3405</v>
      </c>
      <c r="G208" s="14" t="s">
        <v>125</v>
      </c>
      <c r="H208" s="13">
        <v>10</v>
      </c>
      <c r="I208" s="19" t="s">
        <v>3332</v>
      </c>
      <c r="J208" s="13">
        <v>10</v>
      </c>
      <c r="K208" s="15" t="s">
        <v>3406</v>
      </c>
      <c r="L208" s="13">
        <v>10</v>
      </c>
      <c r="M208" s="15" t="s">
        <v>3407</v>
      </c>
      <c r="N208" s="13">
        <v>9</v>
      </c>
      <c r="O208" s="19" t="s">
        <v>3408</v>
      </c>
      <c r="P208" s="13">
        <v>8</v>
      </c>
      <c r="Q208" s="20" t="s">
        <v>3409</v>
      </c>
      <c r="R208" s="13">
        <v>4</v>
      </c>
      <c r="S208" s="20" t="s">
        <v>3410</v>
      </c>
      <c r="T208" s="13"/>
      <c r="U208" s="15"/>
      <c r="V208" s="13">
        <v>13</v>
      </c>
      <c r="W208" s="19" t="s">
        <v>3411</v>
      </c>
      <c r="X208" s="13">
        <v>8</v>
      </c>
      <c r="Y208" s="19" t="s">
        <v>3412</v>
      </c>
      <c r="Z208" s="13"/>
      <c r="AA208" s="15"/>
      <c r="AB208" s="13">
        <v>5</v>
      </c>
      <c r="AC208" s="15" t="s">
        <v>3413</v>
      </c>
      <c r="AD208" s="13">
        <v>5</v>
      </c>
      <c r="AE208" s="15" t="s">
        <v>3414</v>
      </c>
      <c r="AF208" s="13">
        <v>10</v>
      </c>
      <c r="AG208" s="15" t="s">
        <v>3415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3416</v>
      </c>
      <c r="AR208" s="13"/>
      <c r="AS208" s="17">
        <f>SUM(H208,J208,L208,N208,P208,R208,T208,V208,X208,Z208,AB208,AD208,AF208,AH208,AJ208,AL208,AN208)</f>
        <v>92</v>
      </c>
      <c r="AT208" s="11">
        <f>IF(C208="","",DATE(YEAR(C208),MONTH(C208),1))</f>
        <v>46113</v>
      </c>
      <c r="AU208" s="13" t="str">
        <f>IF(AT208="","",TEXT(AT208,"mmmm yyyy"))</f>
        <v>April 2026</v>
      </c>
      <c r="AV208" s="11">
        <f>IF(C208="","",C208-WEEKDAY(C208,2)+1)</f>
        <v>46125</v>
      </c>
      <c r="AW208" s="11">
        <f>IF(AV208="","",AV208+6)</f>
        <v>46131</v>
      </c>
      <c r="AX208" s="13" t="str">
        <f>IF(AV208="","",TEXT(AV208,"dd/mm/yyyy")&amp;" - "&amp;TEXT(AW208,"dd/mm/yyyy"))</f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2</v>
      </c>
      <c r="BA208" s="13" t="str">
        <f>IF(B208="","",TEXT(AY208,"00")&amp;"|"&amp;B208&amp;"|"&amp;TEXT(AT208,"yyyymmdd"))</f>
        <v>07|Krivut Vongkampan|20260401</v>
      </c>
      <c r="BB208" s="13" t="str">
        <f>IF(B208="","",TEXT(AZ208,"00")&amp;"|"&amp;B208&amp;"|"&amp;TEXT(AV208,"yyyymmdd"))</f>
        <v>02|Krivut Vongkampan|20260413</v>
      </c>
      <c r="BC208" s="13">
        <f>IF(OR(AQ208="YES",AQ208="Yes",AQ208="Y",AQ208=1),1,0)</f>
        <v>0</v>
      </c>
      <c r="BD208" s="50" t="s">
        <v>3417</v>
      </c>
      <c r="BE208" t="s">
        <v>3418</v>
      </c>
      <c r="BF208" t="s">
        <v>2338</v>
      </c>
    </row>
    <row r="209" spans="1:58" ht="15" customHeight="1">
      <c r="A209" s="9">
        <v>46130.827354733796</v>
      </c>
      <c r="B209" s="10" t="s">
        <v>385</v>
      </c>
      <c r="C209" s="11">
        <v>46130</v>
      </c>
      <c r="D209" s="12">
        <v>0.77916666666715173</v>
      </c>
      <c r="E209" s="12">
        <v>0.78958333333139308</v>
      </c>
      <c r="F209" s="13" t="s">
        <v>3434</v>
      </c>
      <c r="G209" s="14" t="s">
        <v>3435</v>
      </c>
      <c r="H209" s="13">
        <v>10</v>
      </c>
      <c r="I209" s="19" t="s">
        <v>3436</v>
      </c>
      <c r="J209" s="13">
        <v>10</v>
      </c>
      <c r="K209" s="15" t="s">
        <v>3437</v>
      </c>
      <c r="L209" s="13">
        <v>9</v>
      </c>
      <c r="M209" s="15" t="s">
        <v>3438</v>
      </c>
      <c r="N209" s="13">
        <v>9</v>
      </c>
      <c r="O209" s="19" t="s">
        <v>3439</v>
      </c>
      <c r="P209" s="13">
        <v>7</v>
      </c>
      <c r="Q209" s="20" t="s">
        <v>3440</v>
      </c>
      <c r="R209" s="13">
        <v>4</v>
      </c>
      <c r="S209" s="20" t="s">
        <v>3441</v>
      </c>
      <c r="T209" s="13"/>
      <c r="U209" s="15"/>
      <c r="V209" s="13">
        <v>12</v>
      </c>
      <c r="W209" s="19" t="s">
        <v>3442</v>
      </c>
      <c r="X209" s="13">
        <v>7</v>
      </c>
      <c r="Y209" s="19" t="s">
        <v>3443</v>
      </c>
      <c r="Z209" s="13"/>
      <c r="AA209" s="15"/>
      <c r="AB209" s="13">
        <v>5</v>
      </c>
      <c r="AC209" s="15" t="s">
        <v>3444</v>
      </c>
      <c r="AD209" s="13">
        <v>5</v>
      </c>
      <c r="AE209" s="15" t="s">
        <v>3445</v>
      </c>
      <c r="AF209" s="13">
        <v>10</v>
      </c>
      <c r="AG209" s="15" t="s">
        <v>3446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3447</v>
      </c>
      <c r="AR209" s="13"/>
      <c r="AS209" s="17">
        <f>SUM(H209,J209,L209,N209,P209,R209,T209,V209,X209,Z209,AB209,AD209,AF209,AH209,AJ209,AL209,AN209)</f>
        <v>88</v>
      </c>
      <c r="AT209" s="11">
        <f>IF(C209="","",DATE(YEAR(C209),MONTH(C209),1))</f>
        <v>46113</v>
      </c>
      <c r="AU209" s="13" t="str">
        <f>IF(AT209="","",TEXT(AT209,"mmmm yyyy"))</f>
        <v>April 2026</v>
      </c>
      <c r="AV209" s="11">
        <f>IF(C209="","",C209-WEEKDAY(C209,2)+1)</f>
        <v>46125</v>
      </c>
      <c r="AW209" s="11">
        <f>IF(AV209="","",AV209+6)</f>
        <v>46131</v>
      </c>
      <c r="AX209" s="13" t="str">
        <f>IF(AV209="","",TEXT(AV209,"dd/mm/yyyy")&amp;" - "&amp;TEXT(AW209,"dd/mm/yyyy"))</f>
        <v>13/04/2026 - 19/04/2026</v>
      </c>
      <c r="AY209" s="13">
        <f>IF(B209="","",COUNTIFS($B$5:B209,B209,$AT$5:AT209,AT209))</f>
        <v>7</v>
      </c>
      <c r="AZ209" s="13">
        <f>IF(B209="","",COUNTIFS($B$5:B209,B209,$AV$5:AV209,AV209))</f>
        <v>2</v>
      </c>
      <c r="BA209" s="13" t="str">
        <f>IF(B209="","",TEXT(AY209,"00")&amp;"|"&amp;B209&amp;"|"&amp;TEXT(AT209,"yyyymmdd"))</f>
        <v>07|Natcha Chai-in|20260401</v>
      </c>
      <c r="BB209" s="13" t="str">
        <f>IF(B209="","",TEXT(AZ209,"00")&amp;"|"&amp;B209&amp;"|"&amp;TEXT(AV209,"yyyymmdd"))</f>
        <v>02|Natcha Chai-in|20260413</v>
      </c>
      <c r="BC209" s="13">
        <f>IF(OR(AQ209="YES",AQ209="Yes",AQ209="Y",AQ209=1),1,0)</f>
        <v>0</v>
      </c>
      <c r="BD209" s="50" t="s">
        <v>3448</v>
      </c>
      <c r="BE209" t="s">
        <v>3449</v>
      </c>
      <c r="BF209" t="s">
        <v>2338</v>
      </c>
    </row>
    <row r="210" spans="1:58" ht="17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3558</v>
      </c>
      <c r="G210" s="14" t="s">
        <v>3559</v>
      </c>
      <c r="H210" s="13">
        <v>10</v>
      </c>
      <c r="I210" s="19" t="s">
        <v>3332</v>
      </c>
      <c r="J210" s="13">
        <v>10</v>
      </c>
      <c r="K210" s="15" t="s">
        <v>3560</v>
      </c>
      <c r="L210" s="13">
        <v>9</v>
      </c>
      <c r="M210" s="15" t="s">
        <v>3561</v>
      </c>
      <c r="N210" s="13">
        <v>9</v>
      </c>
      <c r="O210" s="19" t="s">
        <v>3562</v>
      </c>
      <c r="P210" s="13">
        <v>8</v>
      </c>
      <c r="Q210" s="20" t="s">
        <v>3563</v>
      </c>
      <c r="R210" s="13">
        <v>4</v>
      </c>
      <c r="S210" s="20" t="s">
        <v>3564</v>
      </c>
      <c r="T210" s="13"/>
      <c r="U210" s="15"/>
      <c r="V210" s="13">
        <v>12</v>
      </c>
      <c r="W210" s="19" t="s">
        <v>3565</v>
      </c>
      <c r="X210" s="13">
        <v>8</v>
      </c>
      <c r="Y210" s="19" t="s">
        <v>3566</v>
      </c>
      <c r="Z210" s="13"/>
      <c r="AA210" s="15"/>
      <c r="AB210" s="13">
        <v>5</v>
      </c>
      <c r="AC210" s="15" t="s">
        <v>3567</v>
      </c>
      <c r="AD210" s="13">
        <v>5</v>
      </c>
      <c r="AE210" s="15" t="s">
        <v>3568</v>
      </c>
      <c r="AF210" s="13">
        <v>10</v>
      </c>
      <c r="AG210" s="15" t="s">
        <v>3569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3570</v>
      </c>
      <c r="AR210" s="13"/>
      <c r="AS210" s="17">
        <f>SUM(H210,J210,L210,N210,P210,R210,T210,V210,X210,Z210,AB210,AD210,AF210,AH210,AJ210,AL210,AN210)</f>
        <v>90</v>
      </c>
      <c r="AT210" s="11">
        <f>IF(C210="","",DATE(YEAR(C210),MONTH(C210),1))</f>
        <v>46113</v>
      </c>
      <c r="AU210" s="13" t="str">
        <f>IF(AT210="","",TEXT(AT210,"mmmm yyyy"))</f>
        <v>April 2026</v>
      </c>
      <c r="AV210" s="11">
        <f>IF(C210="","",C210-WEEKDAY(C210,2)+1)</f>
        <v>46125</v>
      </c>
      <c r="AW210" s="11">
        <f>IF(AV210="","",AV210+6)</f>
        <v>46131</v>
      </c>
      <c r="AX210" s="13" t="str">
        <f>IF(AV210="","",TEXT(AV210,"dd/mm/yyyy")&amp;" - "&amp;TEXT(AW210,"dd/mm/yyyy"))</f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>IF(B210="","",TEXT(AY210,"00")&amp;"|"&amp;B210&amp;"|"&amp;TEXT(AT210,"yyyymmdd"))</f>
        <v>07|Wachiraporn chailittichai|20260401</v>
      </c>
      <c r="BB210" s="13" t="str">
        <f>IF(B210="","",TEXT(AZ210,"00")&amp;"|"&amp;B210&amp;"|"&amp;TEXT(AV210,"yyyymmdd"))</f>
        <v>01|Wachiraporn chailittichai|20260413</v>
      </c>
      <c r="BC210" s="13">
        <f>IF(OR(AQ210="YES",AQ210="Yes",AQ210="Y",AQ210=1),1,0)</f>
        <v>0</v>
      </c>
      <c r="BD210" s="50" t="s">
        <v>3571</v>
      </c>
      <c r="BE210" t="s">
        <v>3572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3573</v>
      </c>
      <c r="G211" s="14" t="s">
        <v>3574</v>
      </c>
      <c r="H211" s="13">
        <v>10</v>
      </c>
      <c r="I211" s="19" t="s">
        <v>3332</v>
      </c>
      <c r="J211" s="13">
        <v>9</v>
      </c>
      <c r="K211" s="15" t="s">
        <v>3575</v>
      </c>
      <c r="L211" s="13">
        <v>7</v>
      </c>
      <c r="M211" s="15" t="s">
        <v>3576</v>
      </c>
      <c r="N211" s="13">
        <v>4</v>
      </c>
      <c r="O211" s="19" t="s">
        <v>3577</v>
      </c>
      <c r="P211" s="13">
        <v>4</v>
      </c>
      <c r="Q211" s="20" t="s">
        <v>3578</v>
      </c>
      <c r="R211" s="13">
        <v>3</v>
      </c>
      <c r="S211" s="20" t="s">
        <v>3579</v>
      </c>
      <c r="T211" s="13"/>
      <c r="U211" s="15"/>
      <c r="V211" s="13">
        <v>8</v>
      </c>
      <c r="W211" s="19" t="s">
        <v>3580</v>
      </c>
      <c r="X211" s="13">
        <v>6</v>
      </c>
      <c r="Y211" s="19" t="s">
        <v>3581</v>
      </c>
      <c r="Z211" s="13"/>
      <c r="AA211" s="15"/>
      <c r="AB211" s="13">
        <v>5</v>
      </c>
      <c r="AC211" s="15" t="s">
        <v>3582</v>
      </c>
      <c r="AD211" s="13">
        <v>5</v>
      </c>
      <c r="AE211" s="15" t="s">
        <v>3583</v>
      </c>
      <c r="AF211" s="13">
        <v>10</v>
      </c>
      <c r="AG211" s="15" t="s">
        <v>3584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3585</v>
      </c>
      <c r="AR211" s="13"/>
      <c r="AS211" s="17">
        <f>SUM(H211,J211,L211,N211,P211,R211,T211,V211,X211,Z211,AB211,AD211,AF211,AH211,AJ211,AL211,AN211)</f>
        <v>71</v>
      </c>
      <c r="AT211" s="11">
        <f>IF(C211="","",DATE(YEAR(C211),MONTH(C211),1))</f>
        <v>46113</v>
      </c>
      <c r="AU211" s="13" t="str">
        <f>IF(AT211="","",TEXT(AT211,"mmmm yyyy"))</f>
        <v>April 2026</v>
      </c>
      <c r="AV211" s="11">
        <f>IF(C211="","",C211-WEEKDAY(C211,2)+1)</f>
        <v>46125</v>
      </c>
      <c r="AW211" s="11">
        <f>IF(AV211="","",AV211+6)</f>
        <v>46131</v>
      </c>
      <c r="AX211" s="13" t="str">
        <f>IF(AV211="","",TEXT(AV211,"dd/mm/yyyy")&amp;" - "&amp;TEXT(AW211,"dd/mm/yyyy"))</f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>IF(B211="","",TEXT(AY211,"00")&amp;"|"&amp;B211&amp;"|"&amp;TEXT(AT211,"yyyymmdd"))</f>
        <v>08|Wachiraporn chailittichai|20260401</v>
      </c>
      <c r="BB211" s="13" t="str">
        <f>IF(B211="","",TEXT(AZ211,"00")&amp;"|"&amp;B211&amp;"|"&amp;TEXT(AV211,"yyyymmdd"))</f>
        <v>02|Wachiraporn chailittichai|20260413</v>
      </c>
      <c r="BC211" s="13">
        <f>IF(OR(AQ211="YES",AQ211="Yes",AQ211="Y",AQ211=1),1,0)</f>
        <v>0</v>
      </c>
      <c r="BD211" s="50" t="s">
        <v>3586</v>
      </c>
      <c r="BE211" t="s">
        <v>3587</v>
      </c>
      <c r="BF211" t="s">
        <v>2338</v>
      </c>
    </row>
    <row r="212" spans="1:58" ht="15" customHeight="1">
      <c r="A212" s="9">
        <v>46136.670320856487</v>
      </c>
      <c r="B212" s="10" t="s">
        <v>143</v>
      </c>
      <c r="C212" s="11">
        <v>46130</v>
      </c>
      <c r="D212" s="12">
        <v>0.31666666666569654</v>
      </c>
      <c r="E212" s="12">
        <v>0.41249999999854481</v>
      </c>
      <c r="F212" s="13" t="s">
        <v>3619</v>
      </c>
      <c r="G212" s="14" t="s">
        <v>3620</v>
      </c>
      <c r="H212" s="13">
        <v>10</v>
      </c>
      <c r="I212" s="19" t="s">
        <v>3621</v>
      </c>
      <c r="J212" s="13">
        <v>10</v>
      </c>
      <c r="K212" s="15" t="s">
        <v>3622</v>
      </c>
      <c r="L212" s="13">
        <v>5</v>
      </c>
      <c r="M212" s="15" t="s">
        <v>3623</v>
      </c>
      <c r="N212" s="13">
        <v>4</v>
      </c>
      <c r="O212" s="19" t="s">
        <v>3624</v>
      </c>
      <c r="P212" s="13">
        <v>3</v>
      </c>
      <c r="Q212" s="20" t="s">
        <v>3625</v>
      </c>
      <c r="R212" s="13">
        <v>1</v>
      </c>
      <c r="S212" s="20" t="s">
        <v>3626</v>
      </c>
      <c r="T212" s="13"/>
      <c r="U212" s="15"/>
      <c r="V212" s="13">
        <v>5</v>
      </c>
      <c r="W212" s="19" t="s">
        <v>3627</v>
      </c>
      <c r="X212" s="13">
        <v>4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5</v>
      </c>
      <c r="AE212" s="15" t="s">
        <v>3630</v>
      </c>
      <c r="AF212" s="13">
        <v>7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>SUM(H212,J212,L212,N212,P212,R212,T212,V212,X212,Z212,AB212,AD212,AF212,AH212,AJ212,AL212,AN212)</f>
        <v>59</v>
      </c>
      <c r="AT212" s="11">
        <f>IF(C212="","",DATE(YEAR(C212),MONTH(C212),1))</f>
        <v>46113</v>
      </c>
      <c r="AU212" s="13" t="str">
        <f>IF(AT212="","",TEXT(AT212,"mmmm yyyy"))</f>
        <v>April 2026</v>
      </c>
      <c r="AV212" s="11">
        <f>IF(C212="","",C212-WEEKDAY(C212,2)+1)</f>
        <v>46125</v>
      </c>
      <c r="AW212" s="11">
        <f>IF(AV212="","",AV212+6)</f>
        <v>46131</v>
      </c>
      <c r="AX212" s="13" t="str">
        <f>IF(AV212="","",TEXT(AV212,"dd/mm/yyyy")&amp;" - "&amp;TEXT(AW212,"dd/mm/yyyy"))</f>
        <v>13/04/2026 - 19/04/2026</v>
      </c>
      <c r="AY212" s="13">
        <f>IF(B212="","",COUNTIFS($B$5:B212,B212,$AT$5:AT212,AT212))</f>
        <v>8</v>
      </c>
      <c r="AZ212" s="13">
        <f>IF(B212="","",COUNTIFS($B$5:B212,B212,$AV$5:AV212,AV212))</f>
        <v>2</v>
      </c>
      <c r="BA212" s="13" t="str">
        <f>IF(B212="","",TEXT(AY212,"00")&amp;"|"&amp;B212&amp;"|"&amp;TEXT(AT212,"yyyymmdd"))</f>
        <v>08|Nattapol Suprom|20260401</v>
      </c>
      <c r="BB212" s="13" t="str">
        <f>IF(B212="","",TEXT(AZ212,"00")&amp;"|"&amp;B212&amp;"|"&amp;TEXT(AV212,"yyyymmdd"))</f>
        <v>02|Nattapol Suprom|20260413</v>
      </c>
      <c r="BC212" s="13">
        <f>IF(OR(AQ212="YES",AQ212="Yes",AQ212="Y",AQ212=1),1,0)</f>
        <v>0</v>
      </c>
      <c r="BD212" s="50" t="s">
        <v>3633</v>
      </c>
      <c r="BE212" t="s">
        <v>3634</v>
      </c>
      <c r="BF212" t="s">
        <v>2338</v>
      </c>
    </row>
    <row r="213" spans="1:58" ht="15" customHeight="1">
      <c r="A213" s="65"/>
      <c r="B213" s="66"/>
      <c r="C213" s="67"/>
      <c r="D213" s="68"/>
      <c r="E213" s="68"/>
      <c r="F213" s="66"/>
      <c r="G213" s="66"/>
      <c r="H213" s="66"/>
      <c r="I213" s="10"/>
      <c r="J213" s="66"/>
      <c r="K213" s="10"/>
      <c r="L213" s="66"/>
      <c r="M213" s="10"/>
      <c r="N213" s="66"/>
      <c r="O213" s="10"/>
      <c r="P213" s="66"/>
      <c r="Q213" s="18"/>
      <c r="R213" s="66"/>
      <c r="S213" s="18"/>
      <c r="T213" s="66"/>
      <c r="U213" s="10"/>
      <c r="V213" s="66"/>
      <c r="W213" s="10"/>
      <c r="X213" s="66"/>
      <c r="Y213" s="10"/>
      <c r="Z213" s="66"/>
      <c r="AA213" s="10"/>
      <c r="AB213" s="66"/>
      <c r="AC213" s="10"/>
      <c r="AD213" s="66"/>
      <c r="AE213" s="10"/>
      <c r="AF213" s="66"/>
      <c r="AG213" s="10"/>
      <c r="AH213" s="66"/>
      <c r="AI213" s="10"/>
      <c r="AJ213" s="66"/>
      <c r="AK213" s="10"/>
      <c r="AL213" s="66"/>
      <c r="AM213" s="10"/>
      <c r="AN213" s="66"/>
      <c r="AO213" s="10"/>
      <c r="AP213" s="66"/>
      <c r="AQ213" s="10"/>
      <c r="AR213" s="66"/>
      <c r="AS213" s="17">
        <f>SUM(H213,J213,L213,N213,P213,R213,T213,V213,X213,Z213,AB213,AD213,AF213,AH213,AJ213,AL213,AN213)</f>
        <v>0</v>
      </c>
      <c r="AT213" s="67" t="str">
        <f>IF(C213="","",DATE(YEAR(C213),MONTH(C213),1))</f>
        <v/>
      </c>
      <c r="AU213" s="66" t="str">
        <f>IF(AT213="","",TEXT(AT213,"mmmm yyyy"))</f>
        <v/>
      </c>
      <c r="AV213" s="67" t="str">
        <f>IF(C213="","",C213-WEEKDAY(C213,2)+1)</f>
        <v/>
      </c>
      <c r="AW213" s="67" t="str">
        <f>IF(AV213="","",AV213+6)</f>
        <v/>
      </c>
      <c r="AX213" s="66" t="str">
        <f>IF(AV213="","",TEXT(AV213,"dd/mm/yyyy")&amp;" - "&amp;TEXT(AW213,"dd/mm/yyyy"))</f>
        <v/>
      </c>
      <c r="AY213" s="66" t="str">
        <f>IF(B213="","",COUNTIFS($B$5:B213,B213,$AT$5:AT213,AT213))</f>
        <v/>
      </c>
      <c r="AZ213" s="66" t="str">
        <f>IF(B213="","",COUNTIFS($B$5:B213,B213,$AV$5:AV213,AV213))</f>
        <v/>
      </c>
      <c r="BA213" s="66" t="str">
        <f>IF(B213="","",TEXT(AY213,"00")&amp;"|"&amp;B213&amp;"|"&amp;TEXT(AT213,"yyyymmdd"))</f>
        <v/>
      </c>
      <c r="BB213" s="66" t="str">
        <f>IF(B213="","",TEXT(AZ213,"00")&amp;"|"&amp;B213&amp;"|"&amp;TEXT(AV213,"yyyymmdd"))</f>
        <v/>
      </c>
      <c r="BC213" s="66">
        <f>IF(OR(AQ213="YES",AQ213="Yes",AQ213="Y",AQ213=1),1,0)</f>
        <v>0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17">
        <f>SUM(H214,J214,L214,N214,P214,R214,T214,V214,X214,Z214,AB214,AD214,AF214,AH214,AJ214,AL214,AN214)</f>
        <v>0</v>
      </c>
      <c r="AT214" s="67" t="str">
        <f>IF(C214="","",DATE(YEAR(C214),MONTH(C214),1))</f>
        <v/>
      </c>
      <c r="AU214" s="66" t="str">
        <f>IF(AT214="","",TEXT(AT214,"mmmm yyyy"))</f>
        <v/>
      </c>
      <c r="AV214" s="67" t="str">
        <f>IF(C214="","",C214-WEEKDAY(C214,2)+1)</f>
        <v/>
      </c>
      <c r="AW214" s="67" t="str">
        <f>IF(AV214="","",AV214+6)</f>
        <v/>
      </c>
      <c r="AX214" s="66" t="str">
        <f>IF(AV214="","",TEXT(AV214,"dd/mm/yyyy")&amp;" - "&amp;TEXT(AW214,"dd/mm/yyyy"))</f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>IF(B214="","",TEXT(AY214,"00")&amp;"|"&amp;B214&amp;"|"&amp;TEXT(AT214,"yyyymmdd"))</f>
        <v/>
      </c>
      <c r="BB214" s="66" t="str">
        <f>IF(B214="","",TEXT(AZ214,"00")&amp;"|"&amp;B214&amp;"|"&amp;TEXT(AV214,"yyyymmdd"))</f>
        <v/>
      </c>
      <c r="BC214" s="66">
        <f>IF(OR(AQ214="YES",AQ214="Yes",AQ214="Y",AQ214=1),1,0)</f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17">
        <f>SUM(H215,J215,L215,N215,P215,R215,T215,V215,X215,Z215,AB215,AD215,AF215,AH215,AJ215,AL215,AN215)</f>
        <v>0</v>
      </c>
      <c r="AT215" s="67" t="str">
        <f>IF(C215="","",DATE(YEAR(C215),MONTH(C215),1))</f>
        <v/>
      </c>
      <c r="AU215" s="66" t="str">
        <f>IF(AT215="","",TEXT(AT215,"mmmm yyyy"))</f>
        <v/>
      </c>
      <c r="AV215" s="67" t="str">
        <f>IF(C215="","",C215-WEEKDAY(C215,2)+1)</f>
        <v/>
      </c>
      <c r="AW215" s="67" t="str">
        <f>IF(AV215="","",AV215+6)</f>
        <v/>
      </c>
      <c r="AX215" s="66" t="str">
        <f>IF(AV215="","",TEXT(AV215,"dd/mm/yyyy")&amp;" - "&amp;TEXT(AW215,"dd/mm/yyyy"))</f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>IF(B215="","",TEXT(AY215,"00")&amp;"|"&amp;B215&amp;"|"&amp;TEXT(AT215,"yyyymmdd"))</f>
        <v/>
      </c>
      <c r="BB215" s="66" t="str">
        <f>IF(B215="","",TEXT(AZ215,"00")&amp;"|"&amp;B215&amp;"|"&amp;TEXT(AV215,"yyyymmdd"))</f>
        <v/>
      </c>
      <c r="BC215" s="66">
        <f>IF(OR(AQ215="YES",AQ215="Yes",AQ215="Y",AQ215=1),1,0)</f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17">
        <f>SUM(H216,J216,L216,N216,P216,R216,T216,V216,X216,Z216,AB216,AD216,AF216,AH216,AJ216,AL216,AN216)</f>
        <v>0</v>
      </c>
      <c r="AT216" s="67" t="str">
        <f>IF(C216="","",DATE(YEAR(C216),MONTH(C216),1))</f>
        <v/>
      </c>
      <c r="AU216" s="66" t="str">
        <f>IF(AT216="","",TEXT(AT216,"mmmm yyyy"))</f>
        <v/>
      </c>
      <c r="AV216" s="67" t="str">
        <f>IF(C216="","",C216-WEEKDAY(C216,2)+1)</f>
        <v/>
      </c>
      <c r="AW216" s="67" t="str">
        <f>IF(AV216="","",AV216+6)</f>
        <v/>
      </c>
      <c r="AX216" s="66" t="str">
        <f>IF(AV216="","",TEXT(AV216,"dd/mm/yyyy")&amp;" - "&amp;TEXT(AW216,"dd/mm/yyyy"))</f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>IF(B216="","",TEXT(AY216,"00")&amp;"|"&amp;B216&amp;"|"&amp;TEXT(AT216,"yyyymmdd"))</f>
        <v/>
      </c>
      <c r="BB216" s="66" t="str">
        <f>IF(B216="","",TEXT(AZ216,"00")&amp;"|"&amp;B216&amp;"|"&amp;TEXT(AV216,"yyyymmdd"))</f>
        <v/>
      </c>
      <c r="BC216" s="66">
        <f>IF(OR(AQ216="YES",AQ216="Yes",AQ216="Y",AQ216=1),1,0)</f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17">
        <f>SUM(H217,J217,L217,N217,P217,R217,T217,V217,X217,Z217,AB217,AD217,AF217,AH217,AJ217,AL217,AN217)</f>
        <v>0</v>
      </c>
      <c r="AT217" s="67" t="str">
        <f>IF(C217="","",DATE(YEAR(C217),MONTH(C217),1))</f>
        <v/>
      </c>
      <c r="AU217" s="66" t="str">
        <f>IF(AT217="","",TEXT(AT217,"mmmm yyyy"))</f>
        <v/>
      </c>
      <c r="AV217" s="67" t="str">
        <f>IF(C217="","",C217-WEEKDAY(C217,2)+1)</f>
        <v/>
      </c>
      <c r="AW217" s="67" t="str">
        <f>IF(AV217="","",AV217+6)</f>
        <v/>
      </c>
      <c r="AX217" s="66" t="str">
        <f>IF(AV217="","",TEXT(AV217,"dd/mm/yyyy")&amp;" - "&amp;TEXT(AW217,"dd/mm/yyyy"))</f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>IF(B217="","",TEXT(AY217,"00")&amp;"|"&amp;B217&amp;"|"&amp;TEXT(AT217,"yyyymmdd"))</f>
        <v/>
      </c>
      <c r="BB217" s="66" t="str">
        <f>IF(B217="","",TEXT(AZ217,"00")&amp;"|"&amp;B217&amp;"|"&amp;TEXT(AV217,"yyyymmdd"))</f>
        <v/>
      </c>
      <c r="BC217" s="66">
        <f>IF(OR(AQ217="YES",AQ217="Yes",AQ217="Y",AQ217=1),1,0)</f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17">
        <f>SUM(H218,J218,L218,N218,P218,R218,T218,V218,X218,Z218,AB218,AD218,AF218,AH218,AJ218,AL218,AN218)</f>
        <v>0</v>
      </c>
      <c r="AT218" s="67" t="str">
        <f>IF(C218="","",DATE(YEAR(C218),MONTH(C218),1))</f>
        <v/>
      </c>
      <c r="AU218" s="66" t="str">
        <f>IF(AT218="","",TEXT(AT218,"mmmm yyyy"))</f>
        <v/>
      </c>
      <c r="AV218" s="67" t="str">
        <f>IF(C218="","",C218-WEEKDAY(C218,2)+1)</f>
        <v/>
      </c>
      <c r="AW218" s="67" t="str">
        <f>IF(AV218="","",AV218+6)</f>
        <v/>
      </c>
      <c r="AX218" s="66" t="str">
        <f>IF(AV218="","",TEXT(AV218,"dd/mm/yyyy")&amp;" - "&amp;TEXT(AW218,"dd/mm/yyyy"))</f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>IF(B218="","",TEXT(AY218,"00")&amp;"|"&amp;B218&amp;"|"&amp;TEXT(AT218,"yyyymmdd"))</f>
        <v/>
      </c>
      <c r="BB218" s="66" t="str">
        <f>IF(B218="","",TEXT(AZ218,"00")&amp;"|"&amp;B218&amp;"|"&amp;TEXT(AV218,"yyyymmdd"))</f>
        <v/>
      </c>
      <c r="BC218" s="66">
        <f>IF(OR(AQ218="YES",AQ218="Yes",AQ218="Y",AQ218=1),1,0)</f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17">
        <f>SUM(H219,J219,L219,N219,P219,R219,T219,V219,X219,Z219,AB219,AD219,AF219,AH219,AJ219,AL219,AN219)</f>
        <v>0</v>
      </c>
      <c r="AT219" s="67" t="str">
        <f>IF(C219="","",DATE(YEAR(C219),MONTH(C219),1))</f>
        <v/>
      </c>
      <c r="AU219" s="66" t="str">
        <f>IF(AT219="","",TEXT(AT219,"mmmm yyyy"))</f>
        <v/>
      </c>
      <c r="AV219" s="67" t="str">
        <f>IF(C219="","",C219-WEEKDAY(C219,2)+1)</f>
        <v/>
      </c>
      <c r="AW219" s="67" t="str">
        <f>IF(AV219="","",AV219+6)</f>
        <v/>
      </c>
      <c r="AX219" s="66" t="str">
        <f>IF(AV219="","",TEXT(AV219,"dd/mm/yyyy")&amp;" - "&amp;TEXT(AW219,"dd/mm/yyyy"))</f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>IF(B219="","",TEXT(AY219,"00")&amp;"|"&amp;B219&amp;"|"&amp;TEXT(AT219,"yyyymmdd"))</f>
        <v/>
      </c>
      <c r="BB219" s="66" t="str">
        <f>IF(B219="","",TEXT(AZ219,"00")&amp;"|"&amp;B219&amp;"|"&amp;TEXT(AV219,"yyyymmdd"))</f>
        <v/>
      </c>
      <c r="BC219" s="66">
        <f>IF(OR(AQ219="YES",AQ219="Yes",AQ219="Y",AQ219=1),1,0)</f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17">
        <f>SUM(H220,J220,L220,N220,P220,R220,T220,V220,X220,Z220,AB220,AD220,AF220,AH220,AJ220,AL220,AN220)</f>
        <v>0</v>
      </c>
      <c r="AT220" s="67" t="str">
        <f>IF(C220="","",DATE(YEAR(C220),MONTH(C220),1))</f>
        <v/>
      </c>
      <c r="AU220" s="66" t="str">
        <f>IF(AT220="","",TEXT(AT220,"mmmm yyyy"))</f>
        <v/>
      </c>
      <c r="AV220" s="67" t="str">
        <f>IF(C220="","",C220-WEEKDAY(C220,2)+1)</f>
        <v/>
      </c>
      <c r="AW220" s="67" t="str">
        <f>IF(AV220="","",AV220+6)</f>
        <v/>
      </c>
      <c r="AX220" s="66" t="str">
        <f>IF(AV220="","",TEXT(AV220,"dd/mm/yyyy")&amp;" - "&amp;TEXT(AW220,"dd/mm/yyyy"))</f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>IF(B220="","",TEXT(AY220,"00")&amp;"|"&amp;B220&amp;"|"&amp;TEXT(AT220,"yyyymmdd"))</f>
        <v/>
      </c>
      <c r="BB220" s="66" t="str">
        <f>IF(B220="","",TEXT(AZ220,"00")&amp;"|"&amp;B220&amp;"|"&amp;TEXT(AV220,"yyyymmdd"))</f>
        <v/>
      </c>
      <c r="BC220" s="66">
        <f>IF(OR(AQ220="YES",AQ220="Yes",AQ220="Y",AQ220=1),1,0)</f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17">
        <f>SUM(H221,J221,L221,N221,P221,R221,T221,V221,X221,Z221,AB221,AD221,AF221,AH221,AJ221,AL221,AN221)</f>
        <v>0</v>
      </c>
      <c r="AT221" s="67" t="str">
        <f>IF(C221="","",DATE(YEAR(C221),MONTH(C221),1))</f>
        <v/>
      </c>
      <c r="AU221" s="66" t="str">
        <f>IF(AT221="","",TEXT(AT221,"mmmm yyyy"))</f>
        <v/>
      </c>
      <c r="AV221" s="67" t="str">
        <f>IF(C221="","",C221-WEEKDAY(C221,2)+1)</f>
        <v/>
      </c>
      <c r="AW221" s="67" t="str">
        <f>IF(AV221="","",AV221+6)</f>
        <v/>
      </c>
      <c r="AX221" s="66" t="str">
        <f>IF(AV221="","",TEXT(AV221,"dd/mm/yyyy")&amp;" - "&amp;TEXT(AW221,"dd/mm/yyyy"))</f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>IF(B221="","",TEXT(AY221,"00")&amp;"|"&amp;B221&amp;"|"&amp;TEXT(AT221,"yyyymmdd"))</f>
        <v/>
      </c>
      <c r="BB221" s="66" t="str">
        <f>IF(B221="","",TEXT(AZ221,"00")&amp;"|"&amp;B221&amp;"|"&amp;TEXT(AV221,"yyyymmdd"))</f>
        <v/>
      </c>
      <c r="BC221" s="66">
        <f>IF(OR(AQ221="YES",AQ221="Yes",AQ221="Y",AQ221=1),1,0)</f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17">
        <f>SUM(H222,J222,L222,N222,P222,R222,T222,V222,X222,Z222,AB222,AD222,AF222,AH222,AJ222,AL222,AN222)</f>
        <v>0</v>
      </c>
      <c r="AT222" s="67" t="str">
        <f>IF(C222="","",DATE(YEAR(C222),MONTH(C222),1))</f>
        <v/>
      </c>
      <c r="AU222" s="66" t="str">
        <f>IF(AT222="","",TEXT(AT222,"mmmm yyyy"))</f>
        <v/>
      </c>
      <c r="AV222" s="67" t="str">
        <f>IF(C222="","",C222-WEEKDAY(C222,2)+1)</f>
        <v/>
      </c>
      <c r="AW222" s="67" t="str">
        <f>IF(AV222="","",AV222+6)</f>
        <v/>
      </c>
      <c r="AX222" s="66" t="str">
        <f>IF(AV222="","",TEXT(AV222,"dd/mm/yyyy")&amp;" - "&amp;TEXT(AW222,"dd/mm/yyyy"))</f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>IF(B222="","",TEXT(AY222,"00")&amp;"|"&amp;B222&amp;"|"&amp;TEXT(AT222,"yyyymmdd"))</f>
        <v/>
      </c>
      <c r="BB222" s="66" t="str">
        <f>IF(B222="","",TEXT(AZ222,"00")&amp;"|"&amp;B222&amp;"|"&amp;TEXT(AV222,"yyyymmdd"))</f>
        <v/>
      </c>
      <c r="BC222" s="66">
        <f>IF(OR(AQ222="YES",AQ222="Yes",AQ222="Y",AQ222=1),1,0)</f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17">
        <f>SUM(H223,J223,L223,N223,P223,R223,T223,V223,X223,Z223,AB223,AD223,AF223,AH223,AJ223,AL223,AN223)</f>
        <v>0</v>
      </c>
      <c r="AT223" s="67" t="str">
        <f>IF(C223="","",DATE(YEAR(C223),MONTH(C223),1))</f>
        <v/>
      </c>
      <c r="AU223" s="66" t="str">
        <f>IF(AT223="","",TEXT(AT223,"mmmm yyyy"))</f>
        <v/>
      </c>
      <c r="AV223" s="67" t="str">
        <f>IF(C223="","",C223-WEEKDAY(C223,2)+1)</f>
        <v/>
      </c>
      <c r="AW223" s="67" t="str">
        <f>IF(AV223="","",AV223+6)</f>
        <v/>
      </c>
      <c r="AX223" s="66" t="str">
        <f>IF(AV223="","",TEXT(AV223,"dd/mm/yyyy")&amp;" - "&amp;TEXT(AW223,"dd/mm/yyyy"))</f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>IF(B223="","",TEXT(AY223,"00")&amp;"|"&amp;B223&amp;"|"&amp;TEXT(AT223,"yyyymmdd"))</f>
        <v/>
      </c>
      <c r="BB223" s="66" t="str">
        <f>IF(B223="","",TEXT(AZ223,"00")&amp;"|"&amp;B223&amp;"|"&amp;TEXT(AV223,"yyyymmdd"))</f>
        <v/>
      </c>
      <c r="BC223" s="66">
        <f>IF(OR(AQ223="YES",AQ223="Yes",AQ223="Y",AQ223=1),1,0)</f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17">
        <f>SUM(H224,J224,L224,N224,P224,R224,T224,V224,X224,Z224,AB224,AD224,AF224,AH224,AJ224,AL224,AN224)</f>
        <v>0</v>
      </c>
      <c r="AT224" s="67" t="str">
        <f>IF(C224="","",DATE(YEAR(C224),MONTH(C224),1))</f>
        <v/>
      </c>
      <c r="AU224" s="66" t="str">
        <f>IF(AT224="","",TEXT(AT224,"mmmm yyyy"))</f>
        <v/>
      </c>
      <c r="AV224" s="67" t="str">
        <f>IF(C224="","",C224-WEEKDAY(C224,2)+1)</f>
        <v/>
      </c>
      <c r="AW224" s="67" t="str">
        <f>IF(AV224="","",AV224+6)</f>
        <v/>
      </c>
      <c r="AX224" s="66" t="str">
        <f>IF(AV224="","",TEXT(AV224,"dd/mm/yyyy")&amp;" - "&amp;TEXT(AW224,"dd/mm/yyyy"))</f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>IF(B224="","",TEXT(AY224,"00")&amp;"|"&amp;B224&amp;"|"&amp;TEXT(AT224,"yyyymmdd"))</f>
        <v/>
      </c>
      <c r="BB224" s="66" t="str">
        <f>IF(B224="","",TEXT(AZ224,"00")&amp;"|"&amp;B224&amp;"|"&amp;TEXT(AV224,"yyyymmdd"))</f>
        <v/>
      </c>
      <c r="BC224" s="66">
        <f>IF(OR(AQ224="YES",AQ224="Yes",AQ224="Y",AQ224=1),1,0)</f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17">
        <f>SUM(H225,J225,L225,N225,P225,R225,T225,V225,X225,Z225,AB225,AD225,AF225,AH225,AJ225,AL225,AN225)</f>
        <v>0</v>
      </c>
      <c r="AT225" s="67" t="str">
        <f>IF(C225="","",DATE(YEAR(C225),MONTH(C225),1))</f>
        <v/>
      </c>
      <c r="AU225" s="66" t="str">
        <f>IF(AT225="","",TEXT(AT225,"mmmm yyyy"))</f>
        <v/>
      </c>
      <c r="AV225" s="67" t="str">
        <f>IF(C225="","",C225-WEEKDAY(C225,2)+1)</f>
        <v/>
      </c>
      <c r="AW225" s="67" t="str">
        <f>IF(AV225="","",AV225+6)</f>
        <v/>
      </c>
      <c r="AX225" s="66" t="str">
        <f>IF(AV225="","",TEXT(AV225,"dd/mm/yyyy")&amp;" - "&amp;TEXT(AW225,"dd/mm/yyyy"))</f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>IF(B225="","",TEXT(AY225,"00")&amp;"|"&amp;B225&amp;"|"&amp;TEXT(AT225,"yyyymmdd"))</f>
        <v/>
      </c>
      <c r="BB225" s="66" t="str">
        <f>IF(B225="","",TEXT(AZ225,"00")&amp;"|"&amp;B225&amp;"|"&amp;TEXT(AV225,"yyyymmdd"))</f>
        <v/>
      </c>
      <c r="BC225" s="66">
        <f>IF(OR(AQ225="YES",AQ225="Yes",AQ225="Y",AQ225=1),1,0)</f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17">
        <f>SUM(H226,J226,L226,N226,P226,R226,T226,V226,X226,Z226,AB226,AD226,AF226,AH226,AJ226,AL226,AN226)</f>
        <v>0</v>
      </c>
      <c r="AT226" s="67" t="str">
        <f>IF(C226="","",DATE(YEAR(C226),MONTH(C226),1))</f>
        <v/>
      </c>
      <c r="AU226" s="66" t="str">
        <f>IF(AT226="","",TEXT(AT226,"mmmm yyyy"))</f>
        <v/>
      </c>
      <c r="AV226" s="67" t="str">
        <f>IF(C226="","",C226-WEEKDAY(C226,2)+1)</f>
        <v/>
      </c>
      <c r="AW226" s="67" t="str">
        <f>IF(AV226="","",AV226+6)</f>
        <v/>
      </c>
      <c r="AX226" s="66" t="str">
        <f>IF(AV226="","",TEXT(AV226,"dd/mm/yyyy")&amp;" - "&amp;TEXT(AW226,"dd/mm/yyyy"))</f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>IF(B226="","",TEXT(AY226,"00")&amp;"|"&amp;B226&amp;"|"&amp;TEXT(AT226,"yyyymmdd"))</f>
        <v/>
      </c>
      <c r="BB226" s="66" t="str">
        <f>IF(B226="","",TEXT(AZ226,"00")&amp;"|"&amp;B226&amp;"|"&amp;TEXT(AV226,"yyyymmdd"))</f>
        <v/>
      </c>
      <c r="BC226" s="66">
        <f>IF(OR(AQ226="YES",AQ226="Yes",AQ226="Y",AQ226=1),1,0)</f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17">
        <f>SUM(H227,J227,L227,N227,P227,R227,T227,V227,X227,Z227,AB227,AD227,AF227,AH227,AJ227,AL227,AN227)</f>
        <v>0</v>
      </c>
      <c r="AT227" s="67" t="str">
        <f>IF(C227="","",DATE(YEAR(C227),MONTH(C227),1))</f>
        <v/>
      </c>
      <c r="AU227" s="66" t="str">
        <f>IF(AT227="","",TEXT(AT227,"mmmm yyyy"))</f>
        <v/>
      </c>
      <c r="AV227" s="67" t="str">
        <f>IF(C227="","",C227-WEEKDAY(C227,2)+1)</f>
        <v/>
      </c>
      <c r="AW227" s="67" t="str">
        <f>IF(AV227="","",AV227+6)</f>
        <v/>
      </c>
      <c r="AX227" s="66" t="str">
        <f>IF(AV227="","",TEXT(AV227,"dd/mm/yyyy")&amp;" - "&amp;TEXT(AW227,"dd/mm/yyyy"))</f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>IF(B227="","",TEXT(AY227,"00")&amp;"|"&amp;B227&amp;"|"&amp;TEXT(AT227,"yyyymmdd"))</f>
        <v/>
      </c>
      <c r="BB227" s="66" t="str">
        <f>IF(B227="","",TEXT(AZ227,"00")&amp;"|"&amp;B227&amp;"|"&amp;TEXT(AV227,"yyyymmdd"))</f>
        <v/>
      </c>
      <c r="BC227" s="66">
        <f>IF(OR(AQ227="YES",AQ227="Yes",AQ227="Y",AQ227=1),1,0)</f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17">
        <f>SUM(H228,J228,L228,N228,P228,R228,T228,V228,X228,Z228,AB228,AD228,AF228,AH228,AJ228,AL228,AN228)</f>
        <v>0</v>
      </c>
      <c r="AT228" s="67" t="str">
        <f>IF(C228="","",DATE(YEAR(C228),MONTH(C228),1))</f>
        <v/>
      </c>
      <c r="AU228" s="66" t="str">
        <f>IF(AT228="","",TEXT(AT228,"mmmm yyyy"))</f>
        <v/>
      </c>
      <c r="AV228" s="67" t="str">
        <f>IF(C228="","",C228-WEEKDAY(C228,2)+1)</f>
        <v/>
      </c>
      <c r="AW228" s="67" t="str">
        <f>IF(AV228="","",AV228+6)</f>
        <v/>
      </c>
      <c r="AX228" s="66" t="str">
        <f>IF(AV228="","",TEXT(AV228,"dd/mm/yyyy")&amp;" - "&amp;TEXT(AW228,"dd/mm/yyyy"))</f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>IF(B228="","",TEXT(AY228,"00")&amp;"|"&amp;B228&amp;"|"&amp;TEXT(AT228,"yyyymmdd"))</f>
        <v/>
      </c>
      <c r="BB228" s="66" t="str">
        <f>IF(B228="","",TEXT(AZ228,"00")&amp;"|"&amp;B228&amp;"|"&amp;TEXT(AV228,"yyyymmdd"))</f>
        <v/>
      </c>
      <c r="BC228" s="66">
        <f>IF(OR(AQ228="YES",AQ228="Yes",AQ228="Y",AQ228=1),1,0)</f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17">
        <f>SUM(H229,J229,L229,N229,P229,R229,T229,V229,X229,Z229,AB229,AD229,AF229,AH229,AJ229,AL229,AN229)</f>
        <v>0</v>
      </c>
      <c r="AT229" s="67" t="str">
        <f>IF(C229="","",DATE(YEAR(C229),MONTH(C229),1))</f>
        <v/>
      </c>
      <c r="AU229" s="66" t="str">
        <f>IF(AT229="","",TEXT(AT229,"mmmm yyyy"))</f>
        <v/>
      </c>
      <c r="AV229" s="67" t="str">
        <f>IF(C229="","",C229-WEEKDAY(C229,2)+1)</f>
        <v/>
      </c>
      <c r="AW229" s="67" t="str">
        <f>IF(AV229="","",AV229+6)</f>
        <v/>
      </c>
      <c r="AX229" s="66" t="str">
        <f>IF(AV229="","",TEXT(AV229,"dd/mm/yyyy")&amp;" - "&amp;TEXT(AW229,"dd/mm/yyyy"))</f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>IF(B229="","",TEXT(AY229,"00")&amp;"|"&amp;B229&amp;"|"&amp;TEXT(AT229,"yyyymmdd"))</f>
        <v/>
      </c>
      <c r="BB229" s="66" t="str">
        <f>IF(B229="","",TEXT(AZ229,"00")&amp;"|"&amp;B229&amp;"|"&amp;TEXT(AV229,"yyyymmdd"))</f>
        <v/>
      </c>
      <c r="BC229" s="66">
        <f>IF(OR(AQ229="YES",AQ229="Yes",AQ229="Y",AQ229=1),1,0)</f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17">
        <f>SUM(H230,J230,L230,N230,P230,R230,T230,V230,X230,Z230,AB230,AD230,AF230,AH230,AJ230,AL230,AN230)</f>
        <v>0</v>
      </c>
      <c r="AT230" s="67" t="str">
        <f>IF(C230="","",DATE(YEAR(C230),MONTH(C230),1))</f>
        <v/>
      </c>
      <c r="AU230" s="66" t="str">
        <f>IF(AT230="","",TEXT(AT230,"mmmm yyyy"))</f>
        <v/>
      </c>
      <c r="AV230" s="67" t="str">
        <f>IF(C230="","",C230-WEEKDAY(C230,2)+1)</f>
        <v/>
      </c>
      <c r="AW230" s="67" t="str">
        <f>IF(AV230="","",AV230+6)</f>
        <v/>
      </c>
      <c r="AX230" s="66" t="str">
        <f>IF(AV230="","",TEXT(AV230,"dd/mm/yyyy")&amp;" - "&amp;TEXT(AW230,"dd/mm/yyyy"))</f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>IF(B230="","",TEXT(AY230,"00")&amp;"|"&amp;B230&amp;"|"&amp;TEXT(AT230,"yyyymmdd"))</f>
        <v/>
      </c>
      <c r="BB230" s="66" t="str">
        <f>IF(B230="","",TEXT(AZ230,"00")&amp;"|"&amp;B230&amp;"|"&amp;TEXT(AV230,"yyyymmdd"))</f>
        <v/>
      </c>
      <c r="BC230" s="66">
        <f>IF(OR(AQ230="YES",AQ230="Yes",AQ230="Y",AQ230=1),1,0)</f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17">
        <f>SUM(H231,J231,L231,N231,P231,R231,T231,V231,X231,Z231,AB231,AD231,AF231,AH231,AJ231,AL231,AN231)</f>
        <v>0</v>
      </c>
      <c r="AT231" s="67" t="str">
        <f>IF(C231="","",DATE(YEAR(C231),MONTH(C231),1))</f>
        <v/>
      </c>
      <c r="AU231" s="66" t="str">
        <f>IF(AT231="","",TEXT(AT231,"mmmm yyyy"))</f>
        <v/>
      </c>
      <c r="AV231" s="67" t="str">
        <f>IF(C231="","",C231-WEEKDAY(C231,2)+1)</f>
        <v/>
      </c>
      <c r="AW231" s="67" t="str">
        <f>IF(AV231="","",AV231+6)</f>
        <v/>
      </c>
      <c r="AX231" s="66" t="str">
        <f>IF(AV231="","",TEXT(AV231,"dd/mm/yyyy")&amp;" - "&amp;TEXT(AW231,"dd/mm/yyyy"))</f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>IF(B231="","",TEXT(AY231,"00")&amp;"|"&amp;B231&amp;"|"&amp;TEXT(AT231,"yyyymmdd"))</f>
        <v/>
      </c>
      <c r="BB231" s="66" t="str">
        <f>IF(B231="","",TEXT(AZ231,"00")&amp;"|"&amp;B231&amp;"|"&amp;TEXT(AV231,"yyyymmdd"))</f>
        <v/>
      </c>
      <c r="BC231" s="66">
        <f>IF(OR(AQ231="YES",AQ231="Yes",AQ231="Y",AQ231=1),1,0)</f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17">
        <f>SUM(H232,J232,L232,N232,P232,R232,T232,V232,X232,Z232,AB232,AD232,AF232,AH232,AJ232,AL232,AN232)</f>
        <v>0</v>
      </c>
      <c r="AT232" s="67" t="str">
        <f>IF(C232="","",DATE(YEAR(C232),MONTH(C232),1))</f>
        <v/>
      </c>
      <c r="AU232" s="66" t="str">
        <f>IF(AT232="","",TEXT(AT232,"mmmm yyyy"))</f>
        <v/>
      </c>
      <c r="AV232" s="67" t="str">
        <f>IF(C232="","",C232-WEEKDAY(C232,2)+1)</f>
        <v/>
      </c>
      <c r="AW232" s="67" t="str">
        <f>IF(AV232="","",AV232+6)</f>
        <v/>
      </c>
      <c r="AX232" s="66" t="str">
        <f>IF(AV232="","",TEXT(AV232,"dd/mm/yyyy")&amp;" - "&amp;TEXT(AW232,"dd/mm/yyyy"))</f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>IF(B232="","",TEXT(AY232,"00")&amp;"|"&amp;B232&amp;"|"&amp;TEXT(AT232,"yyyymmdd"))</f>
        <v/>
      </c>
      <c r="BB232" s="66" t="str">
        <f>IF(B232="","",TEXT(AZ232,"00")&amp;"|"&amp;B232&amp;"|"&amp;TEXT(AV232,"yyyymmdd"))</f>
        <v/>
      </c>
      <c r="BC232" s="66">
        <f>IF(OR(AQ232="YES",AQ232="Yes",AQ232="Y",AQ232=1),1,0)</f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17">
        <f>SUM(H233,J233,L233,N233,P233,R233,T233,V233,X233,Z233,AB233,AD233,AF233,AH233,AJ233,AL233,AN233)</f>
        <v>0</v>
      </c>
      <c r="AT233" s="67" t="str">
        <f>IF(C233="","",DATE(YEAR(C233),MONTH(C233),1))</f>
        <v/>
      </c>
      <c r="AU233" s="66" t="str">
        <f>IF(AT233="","",TEXT(AT233,"mmmm yyyy"))</f>
        <v/>
      </c>
      <c r="AV233" s="67" t="str">
        <f>IF(C233="","",C233-WEEKDAY(C233,2)+1)</f>
        <v/>
      </c>
      <c r="AW233" s="67" t="str">
        <f>IF(AV233="","",AV233+6)</f>
        <v/>
      </c>
      <c r="AX233" s="66" t="str">
        <f>IF(AV233="","",TEXT(AV233,"dd/mm/yyyy")&amp;" - "&amp;TEXT(AW233,"dd/mm/yyyy"))</f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>IF(B233="","",TEXT(AY233,"00")&amp;"|"&amp;B233&amp;"|"&amp;TEXT(AT233,"yyyymmdd"))</f>
        <v/>
      </c>
      <c r="BB233" s="66" t="str">
        <f>IF(B233="","",TEXT(AZ233,"00")&amp;"|"&amp;B233&amp;"|"&amp;TEXT(AV233,"yyyymmdd"))</f>
        <v/>
      </c>
      <c r="BC233" s="66">
        <f>IF(OR(AQ233="YES",AQ233="Yes",AQ233="Y",AQ233=1),1,0)</f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17">
        <f>SUM(H234,J234,L234,N234,P234,R234,T234,V234,X234,Z234,AB234,AD234,AF234,AH234,AJ234,AL234,AN234)</f>
        <v>0</v>
      </c>
      <c r="AT234" s="67" t="str">
        <f>IF(C234="","",DATE(YEAR(C234),MONTH(C234),1))</f>
        <v/>
      </c>
      <c r="AU234" s="66" t="str">
        <f>IF(AT234="","",TEXT(AT234,"mmmm yyyy"))</f>
        <v/>
      </c>
      <c r="AV234" s="67" t="str">
        <f>IF(C234="","",C234-WEEKDAY(C234,2)+1)</f>
        <v/>
      </c>
      <c r="AW234" s="67" t="str">
        <f>IF(AV234="","",AV234+6)</f>
        <v/>
      </c>
      <c r="AX234" s="66" t="str">
        <f>IF(AV234="","",TEXT(AV234,"dd/mm/yyyy")&amp;" - "&amp;TEXT(AW234,"dd/mm/yyyy"))</f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>IF(B234="","",TEXT(AY234,"00")&amp;"|"&amp;B234&amp;"|"&amp;TEXT(AT234,"yyyymmdd"))</f>
        <v/>
      </c>
      <c r="BB234" s="66" t="str">
        <f>IF(B234="","",TEXT(AZ234,"00")&amp;"|"&amp;B234&amp;"|"&amp;TEXT(AV234,"yyyymmdd"))</f>
        <v/>
      </c>
      <c r="BC234" s="66">
        <f>IF(OR(AQ234="YES",AQ234="Yes",AQ234="Y",AQ234=1),1,0)</f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17">
        <f>SUM(H235,J235,L235,N235,P235,R235,T235,V235,X235,Z235,AB235,AD235,AF235,AH235,AJ235,AL235,AN235)</f>
        <v>0</v>
      </c>
      <c r="AT235" s="67" t="str">
        <f>IF(C235="","",DATE(YEAR(C235),MONTH(C235),1))</f>
        <v/>
      </c>
      <c r="AU235" s="66" t="str">
        <f>IF(AT235="","",TEXT(AT235,"mmmm yyyy"))</f>
        <v/>
      </c>
      <c r="AV235" s="67" t="str">
        <f>IF(C235="","",C235-WEEKDAY(C235,2)+1)</f>
        <v/>
      </c>
      <c r="AW235" s="67" t="str">
        <f>IF(AV235="","",AV235+6)</f>
        <v/>
      </c>
      <c r="AX235" s="66" t="str">
        <f>IF(AV235="","",TEXT(AV235,"dd/mm/yyyy")&amp;" - "&amp;TEXT(AW235,"dd/mm/yyyy"))</f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>IF(B235="","",TEXT(AY235,"00")&amp;"|"&amp;B235&amp;"|"&amp;TEXT(AT235,"yyyymmdd"))</f>
        <v/>
      </c>
      <c r="BB235" s="66" t="str">
        <f>IF(B235="","",TEXT(AZ235,"00")&amp;"|"&amp;B235&amp;"|"&amp;TEXT(AV235,"yyyymmdd"))</f>
        <v/>
      </c>
      <c r="BC235" s="66">
        <f>IF(OR(AQ235="YES",AQ235="Yes",AQ235="Y",AQ235=1),1,0)</f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17">
        <f>SUM(H236,J236,L236,N236,P236,R236,T236,V236,X236,Z236,AB236,AD236,AF236,AH236,AJ236,AL236,AN236)</f>
        <v>0</v>
      </c>
      <c r="AT236" s="67" t="str">
        <f>IF(C236="","",DATE(YEAR(C236),MONTH(C236),1))</f>
        <v/>
      </c>
      <c r="AU236" s="66" t="str">
        <f>IF(AT236="","",TEXT(AT236,"mmmm yyyy"))</f>
        <v/>
      </c>
      <c r="AV236" s="67" t="str">
        <f>IF(C236="","",C236-WEEKDAY(C236,2)+1)</f>
        <v/>
      </c>
      <c r="AW236" s="67" t="str">
        <f>IF(AV236="","",AV236+6)</f>
        <v/>
      </c>
      <c r="AX236" s="66" t="str">
        <f>IF(AV236="","",TEXT(AV236,"dd/mm/yyyy")&amp;" - "&amp;TEXT(AW236,"dd/mm/yyyy"))</f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>IF(B236="","",TEXT(AY236,"00")&amp;"|"&amp;B236&amp;"|"&amp;TEXT(AT236,"yyyymmdd"))</f>
        <v/>
      </c>
      <c r="BB236" s="66" t="str">
        <f>IF(B236="","",TEXT(AZ236,"00")&amp;"|"&amp;B236&amp;"|"&amp;TEXT(AV236,"yyyymmdd"))</f>
        <v/>
      </c>
      <c r="BC236" s="66">
        <f>IF(OR(AQ236="YES",AQ236="Yes",AQ236="Y",AQ236=1),1,0)</f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17">
        <f>SUM(H237,J237,L237,N237,P237,R237,T237,V237,X237,Z237,AB237,AD237,AF237,AH237,AJ237,AL237,AN237)</f>
        <v>0</v>
      </c>
      <c r="AT237" s="67" t="str">
        <f>IF(C237="","",DATE(YEAR(C237),MONTH(C237),1))</f>
        <v/>
      </c>
      <c r="AU237" s="66" t="str">
        <f>IF(AT237="","",TEXT(AT237,"mmmm yyyy"))</f>
        <v/>
      </c>
      <c r="AV237" s="67" t="str">
        <f>IF(C237="","",C237-WEEKDAY(C237,2)+1)</f>
        <v/>
      </c>
      <c r="AW237" s="67" t="str">
        <f>IF(AV237="","",AV237+6)</f>
        <v/>
      </c>
      <c r="AX237" s="66" t="str">
        <f>IF(AV237="","",TEXT(AV237,"dd/mm/yyyy")&amp;" - "&amp;TEXT(AW237,"dd/mm/yyyy"))</f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>IF(B237="","",TEXT(AY237,"00")&amp;"|"&amp;B237&amp;"|"&amp;TEXT(AT237,"yyyymmdd"))</f>
        <v/>
      </c>
      <c r="BB237" s="66" t="str">
        <f>IF(B237="","",TEXT(AZ237,"00")&amp;"|"&amp;B237&amp;"|"&amp;TEXT(AV237,"yyyymmdd"))</f>
        <v/>
      </c>
      <c r="BC237" s="66">
        <f>IF(OR(AQ237="YES",AQ237="Yes",AQ237="Y",AQ237=1),1,0)</f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17">
        <f>SUM(H238,J238,L238,N238,P238,R238,T238,V238,X238,Z238,AB238,AD238,AF238,AH238,AJ238,AL238,AN238)</f>
        <v>0</v>
      </c>
      <c r="AT238" s="67" t="str">
        <f>IF(C238="","",DATE(YEAR(C238),MONTH(C238),1))</f>
        <v/>
      </c>
      <c r="AU238" s="66" t="str">
        <f>IF(AT238="","",TEXT(AT238,"mmmm yyyy"))</f>
        <v/>
      </c>
      <c r="AV238" s="67" t="str">
        <f>IF(C238="","",C238-WEEKDAY(C238,2)+1)</f>
        <v/>
      </c>
      <c r="AW238" s="67" t="str">
        <f>IF(AV238="","",AV238+6)</f>
        <v/>
      </c>
      <c r="AX238" s="66" t="str">
        <f>IF(AV238="","",TEXT(AV238,"dd/mm/yyyy")&amp;" - "&amp;TEXT(AW238,"dd/mm/yyyy"))</f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>IF(B238="","",TEXT(AY238,"00")&amp;"|"&amp;B238&amp;"|"&amp;TEXT(AT238,"yyyymmdd"))</f>
        <v/>
      </c>
      <c r="BB238" s="66" t="str">
        <f>IF(B238="","",TEXT(AZ238,"00")&amp;"|"&amp;B238&amp;"|"&amp;TEXT(AV238,"yyyymmdd"))</f>
        <v/>
      </c>
      <c r="BC238" s="66">
        <f>IF(OR(AQ238="YES",AQ238="Yes",AQ238="Y",AQ238=1),1,0)</f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17">
        <f>SUM(H239,J239,L239,N239,P239,R239,T239,V239,X239,Z239,AB239,AD239,AF239,AH239,AJ239,AL239,AN239)</f>
        <v>0</v>
      </c>
      <c r="AT239" s="67" t="str">
        <f>IF(C239="","",DATE(YEAR(C239),MONTH(C239),1))</f>
        <v/>
      </c>
      <c r="AU239" s="66" t="str">
        <f>IF(AT239="","",TEXT(AT239,"mmmm yyyy"))</f>
        <v/>
      </c>
      <c r="AV239" s="67" t="str">
        <f>IF(C239="","",C239-WEEKDAY(C239,2)+1)</f>
        <v/>
      </c>
      <c r="AW239" s="67" t="str">
        <f>IF(AV239="","",AV239+6)</f>
        <v/>
      </c>
      <c r="AX239" s="66" t="str">
        <f>IF(AV239="","",TEXT(AV239,"dd/mm/yyyy")&amp;" - "&amp;TEXT(AW239,"dd/mm/yyyy"))</f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>IF(B239="","",TEXT(AY239,"00")&amp;"|"&amp;B239&amp;"|"&amp;TEXT(AT239,"yyyymmdd"))</f>
        <v/>
      </c>
      <c r="BB239" s="66" t="str">
        <f>IF(B239="","",TEXT(AZ239,"00")&amp;"|"&amp;B239&amp;"|"&amp;TEXT(AV239,"yyyymmdd"))</f>
        <v/>
      </c>
      <c r="BC239" s="66">
        <f>IF(OR(AQ239="YES",AQ239="Yes",AQ239="Y",AQ239=1),1,0)</f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17">
        <f>SUM(H240,J240,L240,N240,P240,R240,T240,V240,X240,Z240,AB240,AD240,AF240,AH240,AJ240,AL240,AN240)</f>
        <v>0</v>
      </c>
      <c r="AT240" s="67" t="str">
        <f>IF(C240="","",DATE(YEAR(C240),MONTH(C240),1))</f>
        <v/>
      </c>
      <c r="AU240" s="66" t="str">
        <f>IF(AT240="","",TEXT(AT240,"mmmm yyyy"))</f>
        <v/>
      </c>
      <c r="AV240" s="67" t="str">
        <f>IF(C240="","",C240-WEEKDAY(C240,2)+1)</f>
        <v/>
      </c>
      <c r="AW240" s="67" t="str">
        <f>IF(AV240="","",AV240+6)</f>
        <v/>
      </c>
      <c r="AX240" s="66" t="str">
        <f>IF(AV240="","",TEXT(AV240,"dd/mm/yyyy")&amp;" - "&amp;TEXT(AW240,"dd/mm/yyyy"))</f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>IF(B240="","",TEXT(AY240,"00")&amp;"|"&amp;B240&amp;"|"&amp;TEXT(AT240,"yyyymmdd"))</f>
        <v/>
      </c>
      <c r="BB240" s="66" t="str">
        <f>IF(B240="","",TEXT(AZ240,"00")&amp;"|"&amp;B240&amp;"|"&amp;TEXT(AV240,"yyyymmdd"))</f>
        <v/>
      </c>
      <c r="BC240" s="66">
        <f>IF(OR(AQ240="YES",AQ240="Yes",AQ240="Y",AQ240=1),1,0)</f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17">
        <f>SUM(H241,J241,L241,N241,P241,R241,T241,V241,X241,Z241,AB241,AD241,AF241,AH241,AJ241,AL241,AN241)</f>
        <v>0</v>
      </c>
      <c r="AT241" s="67" t="str">
        <f>IF(C241="","",DATE(YEAR(C241),MONTH(C241),1))</f>
        <v/>
      </c>
      <c r="AU241" s="66" t="str">
        <f>IF(AT241="","",TEXT(AT241,"mmmm yyyy"))</f>
        <v/>
      </c>
      <c r="AV241" s="67" t="str">
        <f>IF(C241="","",C241-WEEKDAY(C241,2)+1)</f>
        <v/>
      </c>
      <c r="AW241" s="67" t="str">
        <f>IF(AV241="","",AV241+6)</f>
        <v/>
      </c>
      <c r="AX241" s="66" t="str">
        <f>IF(AV241="","",TEXT(AV241,"dd/mm/yyyy")&amp;" - "&amp;TEXT(AW241,"dd/mm/yyyy"))</f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>IF(B241="","",TEXT(AY241,"00")&amp;"|"&amp;B241&amp;"|"&amp;TEXT(AT241,"yyyymmdd"))</f>
        <v/>
      </c>
      <c r="BB241" s="66" t="str">
        <f>IF(B241="","",TEXT(AZ241,"00")&amp;"|"&amp;B241&amp;"|"&amp;TEXT(AV241,"yyyymmdd"))</f>
        <v/>
      </c>
      <c r="BC241" s="66">
        <f>IF(OR(AQ241="YES",AQ241="Yes",AQ241="Y",AQ241=1),1,0)</f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17">
        <f>SUM(H242,J242,L242,N242,P242,R242,T242,V242,X242,Z242,AB242,AD242,AF242,AH242,AJ242,AL242,AN242)</f>
        <v>0</v>
      </c>
      <c r="AT242" s="67" t="str">
        <f>IF(C242="","",DATE(YEAR(C242),MONTH(C242),1))</f>
        <v/>
      </c>
      <c r="AU242" s="66" t="str">
        <f>IF(AT242="","",TEXT(AT242,"mmmm yyyy"))</f>
        <v/>
      </c>
      <c r="AV242" s="67" t="str">
        <f>IF(C242="","",C242-WEEKDAY(C242,2)+1)</f>
        <v/>
      </c>
      <c r="AW242" s="67" t="str">
        <f>IF(AV242="","",AV242+6)</f>
        <v/>
      </c>
      <c r="AX242" s="66" t="str">
        <f>IF(AV242="","",TEXT(AV242,"dd/mm/yyyy")&amp;" - "&amp;TEXT(AW242,"dd/mm/yyyy"))</f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>IF(B242="","",TEXT(AY242,"00")&amp;"|"&amp;B242&amp;"|"&amp;TEXT(AT242,"yyyymmdd"))</f>
        <v/>
      </c>
      <c r="BB242" s="66" t="str">
        <f>IF(B242="","",TEXT(AZ242,"00")&amp;"|"&amp;B242&amp;"|"&amp;TEXT(AV242,"yyyymmdd"))</f>
        <v/>
      </c>
      <c r="BC242" s="66">
        <f>IF(OR(AQ242="YES",AQ242="Yes",AQ242="Y",AQ242=1),1,0)</f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17">
        <f>SUM(H243,J243,L243,N243,P243,R243,T243,V243,X243,Z243,AB243,AD243,AF243,AH243,AJ243,AL243,AN243)</f>
        <v>0</v>
      </c>
      <c r="AT243" s="67" t="str">
        <f>IF(C243="","",DATE(YEAR(C243),MONTH(C243),1))</f>
        <v/>
      </c>
      <c r="AU243" s="66" t="str">
        <f>IF(AT243="","",TEXT(AT243,"mmmm yyyy"))</f>
        <v/>
      </c>
      <c r="AV243" s="67" t="str">
        <f>IF(C243="","",C243-WEEKDAY(C243,2)+1)</f>
        <v/>
      </c>
      <c r="AW243" s="67" t="str">
        <f>IF(AV243="","",AV243+6)</f>
        <v/>
      </c>
      <c r="AX243" s="66" t="str">
        <f>IF(AV243="","",TEXT(AV243,"dd/mm/yyyy")&amp;" - "&amp;TEXT(AW243,"dd/mm/yyyy"))</f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>IF(B243="","",TEXT(AY243,"00")&amp;"|"&amp;B243&amp;"|"&amp;TEXT(AT243,"yyyymmdd"))</f>
        <v/>
      </c>
      <c r="BB243" s="66" t="str">
        <f>IF(B243="","",TEXT(AZ243,"00")&amp;"|"&amp;B243&amp;"|"&amp;TEXT(AV243,"yyyymmdd"))</f>
        <v/>
      </c>
      <c r="BC243" s="66">
        <f>IF(OR(AQ243="YES",AQ243="Yes",AQ243="Y",AQ243=1),1,0)</f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17">
        <f>SUM(H244,J244,L244,N244,P244,R244,T244,V244,X244,Z244,AB244,AD244,AF244,AH244,AJ244,AL244,AN244)</f>
        <v>0</v>
      </c>
      <c r="AT244" s="67" t="str">
        <f>IF(C244="","",DATE(YEAR(C244),MONTH(C244),1))</f>
        <v/>
      </c>
      <c r="AU244" s="66" t="str">
        <f>IF(AT244="","",TEXT(AT244,"mmmm yyyy"))</f>
        <v/>
      </c>
      <c r="AV244" s="67" t="str">
        <f>IF(C244="","",C244-WEEKDAY(C244,2)+1)</f>
        <v/>
      </c>
      <c r="AW244" s="67" t="str">
        <f>IF(AV244="","",AV244+6)</f>
        <v/>
      </c>
      <c r="AX244" s="66" t="str">
        <f>IF(AV244="","",TEXT(AV244,"dd/mm/yyyy")&amp;" - "&amp;TEXT(AW244,"dd/mm/yyyy"))</f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>IF(B244="","",TEXT(AY244,"00")&amp;"|"&amp;B244&amp;"|"&amp;TEXT(AT244,"yyyymmdd"))</f>
        <v/>
      </c>
      <c r="BB244" s="66" t="str">
        <f>IF(B244="","",TEXT(AZ244,"00")&amp;"|"&amp;B244&amp;"|"&amp;TEXT(AV244,"yyyymmdd"))</f>
        <v/>
      </c>
      <c r="BC244" s="66">
        <f>IF(OR(AQ244="YES",AQ244="Yes",AQ244="Y",AQ244=1),1,0)</f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17">
        <f>SUM(H245,J245,L245,N245,P245,R245,T245,V245,X245,Z245,AB245,AD245,AF245,AH245,AJ245,AL245,AN245)</f>
        <v>0</v>
      </c>
      <c r="AT245" s="67" t="str">
        <f>IF(C245="","",DATE(YEAR(C245),MONTH(C245),1))</f>
        <v/>
      </c>
      <c r="AU245" s="66" t="str">
        <f>IF(AT245="","",TEXT(AT245,"mmmm yyyy"))</f>
        <v/>
      </c>
      <c r="AV245" s="67" t="str">
        <f>IF(C245="","",C245-WEEKDAY(C245,2)+1)</f>
        <v/>
      </c>
      <c r="AW245" s="67" t="str">
        <f>IF(AV245="","",AV245+6)</f>
        <v/>
      </c>
      <c r="AX245" s="66" t="str">
        <f>IF(AV245="","",TEXT(AV245,"dd/mm/yyyy")&amp;" - "&amp;TEXT(AW245,"dd/mm/yyyy"))</f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>IF(B245="","",TEXT(AY245,"00")&amp;"|"&amp;B245&amp;"|"&amp;TEXT(AT245,"yyyymmdd"))</f>
        <v/>
      </c>
      <c r="BB245" s="66" t="str">
        <f>IF(B245="","",TEXT(AZ245,"00")&amp;"|"&amp;B245&amp;"|"&amp;TEXT(AV245,"yyyymmdd"))</f>
        <v/>
      </c>
      <c r="BC245" s="66">
        <f>IF(OR(AQ245="YES",AQ245="Yes",AQ245="Y",AQ245=1),1,0)</f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17">
        <f>SUM(H246,J246,L246,N246,P246,R246,T246,V246,X246,Z246,AB246,AD246,AF246,AH246,AJ246,AL246,AN246)</f>
        <v>0</v>
      </c>
      <c r="AT246" s="67" t="str">
        <f>IF(C246="","",DATE(YEAR(C246),MONTH(C246),1))</f>
        <v/>
      </c>
      <c r="AU246" s="66" t="str">
        <f>IF(AT246="","",TEXT(AT246,"mmmm yyyy"))</f>
        <v/>
      </c>
      <c r="AV246" s="67" t="str">
        <f>IF(C246="","",C246-WEEKDAY(C246,2)+1)</f>
        <v/>
      </c>
      <c r="AW246" s="67" t="str">
        <f>IF(AV246="","",AV246+6)</f>
        <v/>
      </c>
      <c r="AX246" s="66" t="str">
        <f>IF(AV246="","",TEXT(AV246,"dd/mm/yyyy")&amp;" - "&amp;TEXT(AW246,"dd/mm/yyyy"))</f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>IF(B246="","",TEXT(AY246,"00")&amp;"|"&amp;B246&amp;"|"&amp;TEXT(AT246,"yyyymmdd"))</f>
        <v/>
      </c>
      <c r="BB246" s="66" t="str">
        <f>IF(B246="","",TEXT(AZ246,"00")&amp;"|"&amp;B246&amp;"|"&amp;TEXT(AV246,"yyyymmdd"))</f>
        <v/>
      </c>
      <c r="BC246" s="66">
        <f>IF(OR(AQ246="YES",AQ246="Yes",AQ246="Y",AQ246=1),1,0)</f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17">
        <f>SUM(H247,J247,L247,N247,P247,R247,T247,V247,X247,Z247,AB247,AD247,AF247,AH247,AJ247,AL247,AN247)</f>
        <v>0</v>
      </c>
      <c r="AT247" s="67" t="str">
        <f>IF(C247="","",DATE(YEAR(C247),MONTH(C247),1))</f>
        <v/>
      </c>
      <c r="AU247" s="66" t="str">
        <f>IF(AT247="","",TEXT(AT247,"mmmm yyyy"))</f>
        <v/>
      </c>
      <c r="AV247" s="67" t="str">
        <f>IF(C247="","",C247-WEEKDAY(C247,2)+1)</f>
        <v/>
      </c>
      <c r="AW247" s="67" t="str">
        <f>IF(AV247="","",AV247+6)</f>
        <v/>
      </c>
      <c r="AX247" s="66" t="str">
        <f>IF(AV247="","",TEXT(AV247,"dd/mm/yyyy")&amp;" - "&amp;TEXT(AW247,"dd/mm/yyyy"))</f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>IF(B247="","",TEXT(AY247,"00")&amp;"|"&amp;B247&amp;"|"&amp;TEXT(AT247,"yyyymmdd"))</f>
        <v/>
      </c>
      <c r="BB247" s="66" t="str">
        <f>IF(B247="","",TEXT(AZ247,"00")&amp;"|"&amp;B247&amp;"|"&amp;TEXT(AV247,"yyyymmdd"))</f>
        <v/>
      </c>
      <c r="BC247" s="66">
        <f>IF(OR(AQ247="YES",AQ247="Yes",AQ247="Y",AQ247=1),1,0)</f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17">
        <f>SUM(H248,J248,L248,N248,P248,R248,T248,V248,X248,Z248,AB248,AD248,AF248,AH248,AJ248,AL248,AN248)</f>
        <v>0</v>
      </c>
      <c r="AT248" s="67" t="str">
        <f>IF(C248="","",DATE(YEAR(C248),MONTH(C248),1))</f>
        <v/>
      </c>
      <c r="AU248" s="66" t="str">
        <f>IF(AT248="","",TEXT(AT248,"mmmm yyyy"))</f>
        <v/>
      </c>
      <c r="AV248" s="67" t="str">
        <f>IF(C248="","",C248-WEEKDAY(C248,2)+1)</f>
        <v/>
      </c>
      <c r="AW248" s="67" t="str">
        <f>IF(AV248="","",AV248+6)</f>
        <v/>
      </c>
      <c r="AX248" s="66" t="str">
        <f>IF(AV248="","",TEXT(AV248,"dd/mm/yyyy")&amp;" - "&amp;TEXT(AW248,"dd/mm/yyyy"))</f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>IF(B248="","",TEXT(AY248,"00")&amp;"|"&amp;B248&amp;"|"&amp;TEXT(AT248,"yyyymmdd"))</f>
        <v/>
      </c>
      <c r="BB248" s="66" t="str">
        <f>IF(B248="","",TEXT(AZ248,"00")&amp;"|"&amp;B248&amp;"|"&amp;TEXT(AV248,"yyyymmdd"))</f>
        <v/>
      </c>
      <c r="BC248" s="66">
        <f>IF(OR(AQ248="YES",AQ248="Yes",AQ248="Y",AQ248=1),1,0)</f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17">
        <f>SUM(H249,J249,L249,N249,P249,R249,T249,V249,X249,Z249,AB249,AD249,AF249,AH249,AJ249,AL249,AN249)</f>
        <v>0</v>
      </c>
      <c r="AT249" s="67" t="str">
        <f>IF(C249="","",DATE(YEAR(C249),MONTH(C249),1))</f>
        <v/>
      </c>
      <c r="AU249" s="66" t="str">
        <f>IF(AT249="","",TEXT(AT249,"mmmm yyyy"))</f>
        <v/>
      </c>
      <c r="AV249" s="67" t="str">
        <f>IF(C249="","",C249-WEEKDAY(C249,2)+1)</f>
        <v/>
      </c>
      <c r="AW249" s="67" t="str">
        <f>IF(AV249="","",AV249+6)</f>
        <v/>
      </c>
      <c r="AX249" s="66" t="str">
        <f>IF(AV249="","",TEXT(AV249,"dd/mm/yyyy")&amp;" - "&amp;TEXT(AW249,"dd/mm/yyyy"))</f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>IF(B249="","",TEXT(AY249,"00")&amp;"|"&amp;B249&amp;"|"&amp;TEXT(AT249,"yyyymmdd"))</f>
        <v/>
      </c>
      <c r="BB249" s="66" t="str">
        <f>IF(B249="","",TEXT(AZ249,"00")&amp;"|"&amp;B249&amp;"|"&amp;TEXT(AV249,"yyyymmdd"))</f>
        <v/>
      </c>
      <c r="BC249" s="66">
        <f>IF(OR(AQ249="YES",AQ249="Yes",AQ249="Y",AQ249=1),1,0)</f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17">
        <f>SUM(H250,J250,L250,N250,P250,R250,T250,V250,X250,Z250,AB250,AD250,AF250,AH250,AJ250,AL250,AN250)</f>
        <v>0</v>
      </c>
      <c r="AT250" s="67" t="str">
        <f>IF(C250="","",DATE(YEAR(C250),MONTH(C250),1))</f>
        <v/>
      </c>
      <c r="AU250" s="66" t="str">
        <f>IF(AT250="","",TEXT(AT250,"mmmm yyyy"))</f>
        <v/>
      </c>
      <c r="AV250" s="67" t="str">
        <f>IF(C250="","",C250-WEEKDAY(C250,2)+1)</f>
        <v/>
      </c>
      <c r="AW250" s="67" t="str">
        <f>IF(AV250="","",AV250+6)</f>
        <v/>
      </c>
      <c r="AX250" s="66" t="str">
        <f>IF(AV250="","",TEXT(AV250,"dd/mm/yyyy")&amp;" - "&amp;TEXT(AW250,"dd/mm/yyyy"))</f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>IF(B250="","",TEXT(AY250,"00")&amp;"|"&amp;B250&amp;"|"&amp;TEXT(AT250,"yyyymmdd"))</f>
        <v/>
      </c>
      <c r="BB250" s="66" t="str">
        <f>IF(B250="","",TEXT(AZ250,"00")&amp;"|"&amp;B250&amp;"|"&amp;TEXT(AV250,"yyyymmdd"))</f>
        <v/>
      </c>
      <c r="BC250" s="66">
        <f>IF(OR(AQ250="YES",AQ250="Yes",AQ250="Y",AQ250=1),1,0)</f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17">
        <f>SUM(H251,J251,L251,N251,P251,R251,T251,V251,X251,Z251,AB251,AD251,AF251,AH251,AJ251,AL251,AN251)</f>
        <v>0</v>
      </c>
      <c r="AT251" s="67" t="str">
        <f>IF(C251="","",DATE(YEAR(C251),MONTH(C251),1))</f>
        <v/>
      </c>
      <c r="AU251" s="66" t="str">
        <f>IF(AT251="","",TEXT(AT251,"mmmm yyyy"))</f>
        <v/>
      </c>
      <c r="AV251" s="67" t="str">
        <f>IF(C251="","",C251-WEEKDAY(C251,2)+1)</f>
        <v/>
      </c>
      <c r="AW251" s="67" t="str">
        <f>IF(AV251="","",AV251+6)</f>
        <v/>
      </c>
      <c r="AX251" s="66" t="str">
        <f>IF(AV251="","",TEXT(AV251,"dd/mm/yyyy")&amp;" - "&amp;TEXT(AW251,"dd/mm/yyyy"))</f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>IF(B251="","",TEXT(AY251,"00")&amp;"|"&amp;B251&amp;"|"&amp;TEXT(AT251,"yyyymmdd"))</f>
        <v/>
      </c>
      <c r="BB251" s="66" t="str">
        <f>IF(B251="","",TEXT(AZ251,"00")&amp;"|"&amp;B251&amp;"|"&amp;TEXT(AV251,"yyyymmdd"))</f>
        <v/>
      </c>
      <c r="BC251" s="66">
        <f>IF(OR(AQ251="YES",AQ251="Yes",AQ251="Y",AQ251=1),1,0)</f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17">
        <f>SUM(H252,J252,L252,N252,P252,R252,T252,V252,X252,Z252,AB252,AD252,AF252,AH252,AJ252,AL252,AN252)</f>
        <v>0</v>
      </c>
      <c r="AT252" s="67" t="str">
        <f>IF(C252="","",DATE(YEAR(C252),MONTH(C252),1))</f>
        <v/>
      </c>
      <c r="AU252" s="66" t="str">
        <f>IF(AT252="","",TEXT(AT252,"mmmm yyyy"))</f>
        <v/>
      </c>
      <c r="AV252" s="67" t="str">
        <f>IF(C252="","",C252-WEEKDAY(C252,2)+1)</f>
        <v/>
      </c>
      <c r="AW252" s="67" t="str">
        <f>IF(AV252="","",AV252+6)</f>
        <v/>
      </c>
      <c r="AX252" s="66" t="str">
        <f>IF(AV252="","",TEXT(AV252,"dd/mm/yyyy")&amp;" - "&amp;TEXT(AW252,"dd/mm/yyyy"))</f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>IF(B252="","",TEXT(AY252,"00")&amp;"|"&amp;B252&amp;"|"&amp;TEXT(AT252,"yyyymmdd"))</f>
        <v/>
      </c>
      <c r="BB252" s="66" t="str">
        <f>IF(B252="","",TEXT(AZ252,"00")&amp;"|"&amp;B252&amp;"|"&amp;TEXT(AV252,"yyyymmdd"))</f>
        <v/>
      </c>
      <c r="BC252" s="66">
        <f>IF(OR(AQ252="YES",AQ252="Yes",AQ252="Y",AQ252=1),1,0)</f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17">
        <f>SUM(H253,J253,L253,N253,P253,R253,T253,V253,X253,Z253,AB253,AD253,AF253,AH253,AJ253,AL253,AN253)</f>
        <v>0</v>
      </c>
      <c r="AT253" s="67" t="str">
        <f>IF(C253="","",DATE(YEAR(C253),MONTH(C253),1))</f>
        <v/>
      </c>
      <c r="AU253" s="66" t="str">
        <f>IF(AT253="","",TEXT(AT253,"mmmm yyyy"))</f>
        <v/>
      </c>
      <c r="AV253" s="67" t="str">
        <f>IF(C253="","",C253-WEEKDAY(C253,2)+1)</f>
        <v/>
      </c>
      <c r="AW253" s="67" t="str">
        <f>IF(AV253="","",AV253+6)</f>
        <v/>
      </c>
      <c r="AX253" s="66" t="str">
        <f>IF(AV253="","",TEXT(AV253,"dd/mm/yyyy")&amp;" - "&amp;TEXT(AW253,"dd/mm/yyyy"))</f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>IF(B253="","",TEXT(AY253,"00")&amp;"|"&amp;B253&amp;"|"&amp;TEXT(AT253,"yyyymmdd"))</f>
        <v/>
      </c>
      <c r="BB253" s="66" t="str">
        <f>IF(B253="","",TEXT(AZ253,"00")&amp;"|"&amp;B253&amp;"|"&amp;TEXT(AV253,"yyyymmdd"))</f>
        <v/>
      </c>
      <c r="BC253" s="66">
        <f>IF(OR(AQ253="YES",AQ253="Yes",AQ253="Y",AQ253=1),1,0)</f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17">
        <f>SUM(H254,J254,L254,N254,P254,R254,T254,V254,X254,Z254,AB254,AD254,AF254,AH254,AJ254,AL254,AN254)</f>
        <v>0</v>
      </c>
      <c r="AT254" s="67" t="str">
        <f>IF(C254="","",DATE(YEAR(C254),MONTH(C254),1))</f>
        <v/>
      </c>
      <c r="AU254" s="66" t="str">
        <f>IF(AT254="","",TEXT(AT254,"mmmm yyyy"))</f>
        <v/>
      </c>
      <c r="AV254" s="67" t="str">
        <f>IF(C254="","",C254-WEEKDAY(C254,2)+1)</f>
        <v/>
      </c>
      <c r="AW254" s="67" t="str">
        <f>IF(AV254="","",AV254+6)</f>
        <v/>
      </c>
      <c r="AX254" s="66" t="str">
        <f>IF(AV254="","",TEXT(AV254,"dd/mm/yyyy")&amp;" - "&amp;TEXT(AW254,"dd/mm/yyyy"))</f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>IF(B254="","",TEXT(AY254,"00")&amp;"|"&amp;B254&amp;"|"&amp;TEXT(AT254,"yyyymmdd"))</f>
        <v/>
      </c>
      <c r="BB254" s="66" t="str">
        <f>IF(B254="","",TEXT(AZ254,"00")&amp;"|"&amp;B254&amp;"|"&amp;TEXT(AV254,"yyyymmdd"))</f>
        <v/>
      </c>
      <c r="BC254" s="66">
        <f>IF(OR(AQ254="YES",AQ254="Yes",AQ254="Y",AQ254=1),1,0)</f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17">
        <f>SUM(H255,J255,L255,N255,P255,R255,T255,V255,X255,Z255,AB255,AD255,AF255,AH255,AJ255,AL255,AN255)</f>
        <v>0</v>
      </c>
      <c r="AT255" s="67" t="str">
        <f>IF(C255="","",DATE(YEAR(C255),MONTH(C255),1))</f>
        <v/>
      </c>
      <c r="AU255" s="66" t="str">
        <f>IF(AT255="","",TEXT(AT255,"mmmm yyyy"))</f>
        <v/>
      </c>
      <c r="AV255" s="67" t="str">
        <f>IF(C255="","",C255-WEEKDAY(C255,2)+1)</f>
        <v/>
      </c>
      <c r="AW255" s="67" t="str">
        <f>IF(AV255="","",AV255+6)</f>
        <v/>
      </c>
      <c r="AX255" s="66" t="str">
        <f>IF(AV255="","",TEXT(AV255,"dd/mm/yyyy")&amp;" - "&amp;TEXT(AW255,"dd/mm/yyyy"))</f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>IF(B255="","",TEXT(AY255,"00")&amp;"|"&amp;B255&amp;"|"&amp;TEXT(AT255,"yyyymmdd"))</f>
        <v/>
      </c>
      <c r="BB255" s="66" t="str">
        <f>IF(B255="","",TEXT(AZ255,"00")&amp;"|"&amp;B255&amp;"|"&amp;TEXT(AV255,"yyyymmdd"))</f>
        <v/>
      </c>
      <c r="BC255" s="66">
        <f>IF(OR(AQ255="YES",AQ255="Yes",AQ255="Y",AQ255=1),1,0)</f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17">
        <f>SUM(H256,J256,L256,N256,P256,R256,T256,V256,X256,Z256,AB256,AD256,AF256,AH256,AJ256,AL256,AN256)</f>
        <v>0</v>
      </c>
      <c r="AT256" s="67" t="str">
        <f>IF(C256="","",DATE(YEAR(C256),MONTH(C256),1))</f>
        <v/>
      </c>
      <c r="AU256" s="66" t="str">
        <f>IF(AT256="","",TEXT(AT256,"mmmm yyyy"))</f>
        <v/>
      </c>
      <c r="AV256" s="67" t="str">
        <f>IF(C256="","",C256-WEEKDAY(C256,2)+1)</f>
        <v/>
      </c>
      <c r="AW256" s="67" t="str">
        <f>IF(AV256="","",AV256+6)</f>
        <v/>
      </c>
      <c r="AX256" s="66" t="str">
        <f>IF(AV256="","",TEXT(AV256,"dd/mm/yyyy")&amp;" - "&amp;TEXT(AW256,"dd/mm/yyyy"))</f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>IF(B256="","",TEXT(AY256,"00")&amp;"|"&amp;B256&amp;"|"&amp;TEXT(AT256,"yyyymmdd"))</f>
        <v/>
      </c>
      <c r="BB256" s="66" t="str">
        <f>IF(B256="","",TEXT(AZ256,"00")&amp;"|"&amp;B256&amp;"|"&amp;TEXT(AV256,"yyyymmdd"))</f>
        <v/>
      </c>
      <c r="BC256" s="66">
        <f>IF(OR(AQ256="YES",AQ256="Yes",AQ256="Y",AQ256=1),1,0)</f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17">
        <f>SUM(H257,J257,L257,N257,P257,R257,T257,V257,X257,Z257,AB257,AD257,AF257,AH257,AJ257,AL257,AN257)</f>
        <v>0</v>
      </c>
      <c r="AT257" s="67" t="str">
        <f>IF(C257="","",DATE(YEAR(C257),MONTH(C257),1))</f>
        <v/>
      </c>
      <c r="AU257" s="66" t="str">
        <f>IF(AT257="","",TEXT(AT257,"mmmm yyyy"))</f>
        <v/>
      </c>
      <c r="AV257" s="67" t="str">
        <f>IF(C257="","",C257-WEEKDAY(C257,2)+1)</f>
        <v/>
      </c>
      <c r="AW257" s="67" t="str">
        <f>IF(AV257="","",AV257+6)</f>
        <v/>
      </c>
      <c r="AX257" s="66" t="str">
        <f>IF(AV257="","",TEXT(AV257,"dd/mm/yyyy")&amp;" - "&amp;TEXT(AW257,"dd/mm/yyyy"))</f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>IF(B257="","",TEXT(AY257,"00")&amp;"|"&amp;B257&amp;"|"&amp;TEXT(AT257,"yyyymmdd"))</f>
        <v/>
      </c>
      <c r="BB257" s="66" t="str">
        <f>IF(B257="","",TEXT(AZ257,"00")&amp;"|"&amp;B257&amp;"|"&amp;TEXT(AV257,"yyyymmdd"))</f>
        <v/>
      </c>
      <c r="BC257" s="66">
        <f>IF(OR(AQ257="YES",AQ257="Yes",AQ257="Y",AQ257=1),1,0)</f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17">
        <f>SUM(H258,J258,L258,N258,P258,R258,T258,V258,X258,Z258,AB258,AD258,AF258,AH258,AJ258,AL258,AN258)</f>
        <v>0</v>
      </c>
      <c r="AT258" s="67" t="str">
        <f>IF(C258="","",DATE(YEAR(C258),MONTH(C258),1))</f>
        <v/>
      </c>
      <c r="AU258" s="66" t="str">
        <f>IF(AT258="","",TEXT(AT258,"mmmm yyyy"))</f>
        <v/>
      </c>
      <c r="AV258" s="67" t="str">
        <f>IF(C258="","",C258-WEEKDAY(C258,2)+1)</f>
        <v/>
      </c>
      <c r="AW258" s="67" t="str">
        <f>IF(AV258="","",AV258+6)</f>
        <v/>
      </c>
      <c r="AX258" s="66" t="str">
        <f>IF(AV258="","",TEXT(AV258,"dd/mm/yyyy")&amp;" - "&amp;TEXT(AW258,"dd/mm/yyyy"))</f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>IF(B258="","",TEXT(AY258,"00")&amp;"|"&amp;B258&amp;"|"&amp;TEXT(AT258,"yyyymmdd"))</f>
        <v/>
      </c>
      <c r="BB258" s="66" t="str">
        <f>IF(B258="","",TEXT(AZ258,"00")&amp;"|"&amp;B258&amp;"|"&amp;TEXT(AV258,"yyyymmdd"))</f>
        <v/>
      </c>
      <c r="BC258" s="66">
        <f>IF(OR(AQ258="YES",AQ258="Yes",AQ258="Y",AQ258=1),1,0)</f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17">
        <f>SUM(H259,J259,L259,N259,P259,R259,T259,V259,X259,Z259,AB259,AD259,AF259,AH259,AJ259,AL259,AN259)</f>
        <v>0</v>
      </c>
      <c r="AT259" s="67" t="str">
        <f>IF(C259="","",DATE(YEAR(C259),MONTH(C259),1))</f>
        <v/>
      </c>
      <c r="AU259" s="66" t="str">
        <f>IF(AT259="","",TEXT(AT259,"mmmm yyyy"))</f>
        <v/>
      </c>
      <c r="AV259" s="67" t="str">
        <f>IF(C259="","",C259-WEEKDAY(C259,2)+1)</f>
        <v/>
      </c>
      <c r="AW259" s="67" t="str">
        <f>IF(AV259="","",AV259+6)</f>
        <v/>
      </c>
      <c r="AX259" s="66" t="str">
        <f>IF(AV259="","",TEXT(AV259,"dd/mm/yyyy")&amp;" - "&amp;TEXT(AW259,"dd/mm/yyyy"))</f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>IF(B259="","",TEXT(AY259,"00")&amp;"|"&amp;B259&amp;"|"&amp;TEXT(AT259,"yyyymmdd"))</f>
        <v/>
      </c>
      <c r="BB259" s="66" t="str">
        <f>IF(B259="","",TEXT(AZ259,"00")&amp;"|"&amp;B259&amp;"|"&amp;TEXT(AV259,"yyyymmdd"))</f>
        <v/>
      </c>
      <c r="BC259" s="66">
        <f>IF(OR(AQ259="YES",AQ259="Yes",AQ259="Y",AQ259=1),1,0)</f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17">
        <f>SUM(H260,J260,L260,N260,P260,R260,T260,V260,X260,Z260,AB260,AD260,AF260,AH260,AJ260,AL260,AN260)</f>
        <v>0</v>
      </c>
      <c r="AT260" s="67" t="str">
        <f>IF(C260="","",DATE(YEAR(C260),MONTH(C260),1))</f>
        <v/>
      </c>
      <c r="AU260" s="66" t="str">
        <f>IF(AT260="","",TEXT(AT260,"mmmm yyyy"))</f>
        <v/>
      </c>
      <c r="AV260" s="67" t="str">
        <f>IF(C260="","",C260-WEEKDAY(C260,2)+1)</f>
        <v/>
      </c>
      <c r="AW260" s="67" t="str">
        <f>IF(AV260="","",AV260+6)</f>
        <v/>
      </c>
      <c r="AX260" s="66" t="str">
        <f>IF(AV260="","",TEXT(AV260,"dd/mm/yyyy")&amp;" - "&amp;TEXT(AW260,"dd/mm/yyyy"))</f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>IF(B260="","",TEXT(AY260,"00")&amp;"|"&amp;B260&amp;"|"&amp;TEXT(AT260,"yyyymmdd"))</f>
        <v/>
      </c>
      <c r="BB260" s="66" t="str">
        <f>IF(B260="","",TEXT(AZ260,"00")&amp;"|"&amp;B260&amp;"|"&amp;TEXT(AV260,"yyyymmdd"))</f>
        <v/>
      </c>
      <c r="BC260" s="66">
        <f>IF(OR(AQ260="YES",AQ260="Yes",AQ260="Y",AQ260=1),1,0)</f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17">
        <f>SUM(H261,J261,L261,N261,P261,R261,T261,V261,X261,Z261,AB261,AD261,AF261,AH261,AJ261,AL261,AN261)</f>
        <v>0</v>
      </c>
      <c r="AT261" s="67" t="str">
        <f>IF(C261="","",DATE(YEAR(C261),MONTH(C261),1))</f>
        <v/>
      </c>
      <c r="AU261" s="66" t="str">
        <f>IF(AT261="","",TEXT(AT261,"mmmm yyyy"))</f>
        <v/>
      </c>
      <c r="AV261" s="67" t="str">
        <f>IF(C261="","",C261-WEEKDAY(C261,2)+1)</f>
        <v/>
      </c>
      <c r="AW261" s="67" t="str">
        <f>IF(AV261="","",AV261+6)</f>
        <v/>
      </c>
      <c r="AX261" s="66" t="str">
        <f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>IF(B261="","",TEXT(AY261,"00")&amp;"|"&amp;B261&amp;"|"&amp;TEXT(AT261,"yyyymmdd"))</f>
        <v/>
      </c>
      <c r="BB261" s="66" t="str">
        <f>IF(B261="","",TEXT(AZ261,"00")&amp;"|"&amp;B261&amp;"|"&amp;TEXT(AV261,"yyyymmdd"))</f>
        <v/>
      </c>
      <c r="BC261" s="66">
        <f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17">
        <f>SUM(H262,J262,L262,N262,P262,R262,T262,V262,X262,Z262,AB262,AD262,AF262,AH262,AJ262,AL262,AN262)</f>
        <v>0</v>
      </c>
      <c r="AT262" s="67" t="str">
        <f>IF(C262="","",DATE(YEAR(C262),MONTH(C262),1))</f>
        <v/>
      </c>
      <c r="AU262" s="66" t="str">
        <f>IF(AT262="","",TEXT(AT262,"mmmm yyyy"))</f>
        <v/>
      </c>
      <c r="AV262" s="67" t="str">
        <f>IF(C262="","",C262-WEEKDAY(C262,2)+1)</f>
        <v/>
      </c>
      <c r="AW262" s="67" t="str">
        <f>IF(AV262="","",AV262+6)</f>
        <v/>
      </c>
      <c r="AX262" s="66" t="str">
        <f>IF(AV262="","",TEXT(AV262,"dd/mm/yyyy")&amp;" - "&amp;TEXT(AW262,"dd/mm/yyyy"))</f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>IF(B262="","",TEXT(AY262,"00")&amp;"|"&amp;B262&amp;"|"&amp;TEXT(AT262,"yyyymmdd"))</f>
        <v/>
      </c>
      <c r="BB262" s="66" t="str">
        <f>IF(B262="","",TEXT(AZ262,"00")&amp;"|"&amp;B262&amp;"|"&amp;TEXT(AV262,"yyyymmdd"))</f>
        <v/>
      </c>
      <c r="BC262" s="66">
        <f>IF(OR(AQ262="YES",AQ262="Yes",AQ262="Y",AQ262=1),1,0)</f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17">
        <f>SUM(H263,J263,L263,N263,P263,R263,T263,V263,X263,Z263,AB263,AD263,AF263,AH263,AJ263,AL263,AN263)</f>
        <v>0</v>
      </c>
      <c r="AT263" s="67" t="str">
        <f>IF(C263="","",DATE(YEAR(C263),MONTH(C263),1))</f>
        <v/>
      </c>
      <c r="AU263" s="66" t="str">
        <f>IF(AT263="","",TEXT(AT263,"mmmm yyyy"))</f>
        <v/>
      </c>
      <c r="AV263" s="67" t="str">
        <f>IF(C263="","",C263-WEEKDAY(C263,2)+1)</f>
        <v/>
      </c>
      <c r="AW263" s="67" t="str">
        <f>IF(AV263="","",AV263+6)</f>
        <v/>
      </c>
      <c r="AX263" s="66" t="str">
        <f>IF(AV263="","",TEXT(AV263,"dd/mm/yyyy")&amp;" - "&amp;TEXT(AW263,"dd/mm/yyyy"))</f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>IF(B263="","",TEXT(AY263,"00")&amp;"|"&amp;B263&amp;"|"&amp;TEXT(AT263,"yyyymmdd"))</f>
        <v/>
      </c>
      <c r="BB263" s="66" t="str">
        <f>IF(B263="","",TEXT(AZ263,"00")&amp;"|"&amp;B263&amp;"|"&amp;TEXT(AV263,"yyyymmdd"))</f>
        <v/>
      </c>
      <c r="BC263" s="66">
        <f>IF(OR(AQ263="YES",AQ263="Yes",AQ263="Y",AQ263=1),1,0)</f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17">
        <f>SUM(H264,J264,L264,N264,P264,R264,T264,V264,X264,Z264,AB264,AD264,AF264,AH264,AJ264,AL264,AN264)</f>
        <v>0</v>
      </c>
      <c r="AT264" s="67" t="str">
        <f>IF(C264="","",DATE(YEAR(C264),MONTH(C264),1))</f>
        <v/>
      </c>
      <c r="AU264" s="66" t="str">
        <f>IF(AT264="","",TEXT(AT264,"mmmm yyyy"))</f>
        <v/>
      </c>
      <c r="AV264" s="67" t="str">
        <f>IF(C264="","",C264-WEEKDAY(C264,2)+1)</f>
        <v/>
      </c>
      <c r="AW264" s="67" t="str">
        <f>IF(AV264="","",AV264+6)</f>
        <v/>
      </c>
      <c r="AX264" s="66" t="str">
        <f>IF(AV264="","",TEXT(AV264,"dd/mm/yyyy")&amp;" - "&amp;TEXT(AW264,"dd/mm/yyyy"))</f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>IF(B264="","",TEXT(AY264,"00")&amp;"|"&amp;B264&amp;"|"&amp;TEXT(AT264,"yyyymmdd"))</f>
        <v/>
      </c>
      <c r="BB264" s="66" t="str">
        <f>IF(B264="","",TEXT(AZ264,"00")&amp;"|"&amp;B264&amp;"|"&amp;TEXT(AV264,"yyyymmdd"))</f>
        <v/>
      </c>
      <c r="BC264" s="66">
        <f>IF(OR(AQ264="YES",AQ264="Yes",AQ264="Y",AQ264=1),1,0)</f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17">
        <f>SUM(H265,J265,L265,N265,P265,R265,T265,V265,X265,Z265,AB265,AD265,AF265,AH265,AJ265,AL265,AN265)</f>
        <v>0</v>
      </c>
      <c r="AT265" s="67" t="str">
        <f>IF(C265="","",DATE(YEAR(C265),MONTH(C265),1))</f>
        <v/>
      </c>
      <c r="AU265" s="66" t="str">
        <f>IF(AT265="","",TEXT(AT265,"mmmm yyyy"))</f>
        <v/>
      </c>
      <c r="AV265" s="67" t="str">
        <f>IF(C265="","",C265-WEEKDAY(C265,2)+1)</f>
        <v/>
      </c>
      <c r="AW265" s="67" t="str">
        <f>IF(AV265="","",AV265+6)</f>
        <v/>
      </c>
      <c r="AX265" s="66" t="str">
        <f>IF(AV265="","",TEXT(AV265,"dd/mm/yyyy")&amp;" - "&amp;TEXT(AW265,"dd/mm/yyyy"))</f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>IF(B265="","",TEXT(AY265,"00")&amp;"|"&amp;B265&amp;"|"&amp;TEXT(AT265,"yyyymmdd"))</f>
        <v/>
      </c>
      <c r="BB265" s="66" t="str">
        <f>IF(B265="","",TEXT(AZ265,"00")&amp;"|"&amp;B265&amp;"|"&amp;TEXT(AV265,"yyyymmdd"))</f>
        <v/>
      </c>
      <c r="BC265" s="66">
        <f>IF(OR(AQ265="YES",AQ265="Yes",AQ265="Y",AQ265=1),1,0)</f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17">
        <f>SUM(H266,J266,L266,N266,P266,R266,T266,V266,X266,Z266,AB266,AD266,AF266,AH266,AJ266,AL266,AN266)</f>
        <v>0</v>
      </c>
      <c r="AT266" s="67" t="str">
        <f>IF(C266="","",DATE(YEAR(C266),MONTH(C266),1))</f>
        <v/>
      </c>
      <c r="AU266" s="66" t="str">
        <f>IF(AT266="","",TEXT(AT266,"mmmm yyyy"))</f>
        <v/>
      </c>
      <c r="AV266" s="67" t="str">
        <f>IF(C266="","",C266-WEEKDAY(C266,2)+1)</f>
        <v/>
      </c>
      <c r="AW266" s="67" t="str">
        <f>IF(AV266="","",AV266+6)</f>
        <v/>
      </c>
      <c r="AX266" s="66" t="str">
        <f>IF(AV266="","",TEXT(AV266,"dd/mm/yyyy")&amp;" - "&amp;TEXT(AW266,"dd/mm/yyyy"))</f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>IF(B266="","",TEXT(AY266,"00")&amp;"|"&amp;B266&amp;"|"&amp;TEXT(AT266,"yyyymmdd"))</f>
        <v/>
      </c>
      <c r="BB266" s="66" t="str">
        <f>IF(B266="","",TEXT(AZ266,"00")&amp;"|"&amp;B266&amp;"|"&amp;TEXT(AV266,"yyyymmdd"))</f>
        <v/>
      </c>
      <c r="BC266" s="66">
        <f>IF(OR(AQ266="YES",AQ266="Yes",AQ266="Y",AQ266=1),1,0)</f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17">
        <f>SUM(H267,J267,L267,N267,P267,R267,T267,V267,X267,Z267,AB267,AD267,AF267,AH267,AJ267,AL267,AN267)</f>
        <v>0</v>
      </c>
      <c r="AT267" s="67" t="str">
        <f>IF(C267="","",DATE(YEAR(C267),MONTH(C267),1))</f>
        <v/>
      </c>
      <c r="AU267" s="66" t="str">
        <f>IF(AT267="","",TEXT(AT267,"mmmm yyyy"))</f>
        <v/>
      </c>
      <c r="AV267" s="67" t="str">
        <f>IF(C267="","",C267-WEEKDAY(C267,2)+1)</f>
        <v/>
      </c>
      <c r="AW267" s="67" t="str">
        <f>IF(AV267="","",AV267+6)</f>
        <v/>
      </c>
      <c r="AX267" s="66" t="str">
        <f>IF(AV267="","",TEXT(AV267,"dd/mm/yyyy")&amp;" - "&amp;TEXT(AW267,"dd/mm/yyyy"))</f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>IF(B267="","",TEXT(AY267,"00")&amp;"|"&amp;B267&amp;"|"&amp;TEXT(AT267,"yyyymmdd"))</f>
        <v/>
      </c>
      <c r="BB267" s="66" t="str">
        <f>IF(B267="","",TEXT(AZ267,"00")&amp;"|"&amp;B267&amp;"|"&amp;TEXT(AV267,"yyyymmdd"))</f>
        <v/>
      </c>
      <c r="BC267" s="66">
        <f>IF(OR(AQ267="YES",AQ267="Yes",AQ267="Y",AQ267=1),1,0)</f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17">
        <f>SUM(H268,J268,L268,N268,P268,R268,T268,V268,X268,Z268,AB268,AD268,AF268,AH268,AJ268,AL268,AN268)</f>
        <v>0</v>
      </c>
      <c r="AT268" s="67" t="str">
        <f>IF(C268="","",DATE(YEAR(C268),MONTH(C268),1))</f>
        <v/>
      </c>
      <c r="AU268" s="66" t="str">
        <f>IF(AT268="","",TEXT(AT268,"mmmm yyyy"))</f>
        <v/>
      </c>
      <c r="AV268" s="67" t="str">
        <f>IF(C268="","",C268-WEEKDAY(C268,2)+1)</f>
        <v/>
      </c>
      <c r="AW268" s="67" t="str">
        <f>IF(AV268="","",AV268+6)</f>
        <v/>
      </c>
      <c r="AX268" s="66" t="str">
        <f>IF(AV268="","",TEXT(AV268,"dd/mm/yyyy")&amp;" - "&amp;TEXT(AW268,"dd/mm/yyyy"))</f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>IF(B268="","",TEXT(AY268,"00")&amp;"|"&amp;B268&amp;"|"&amp;TEXT(AT268,"yyyymmdd"))</f>
        <v/>
      </c>
      <c r="BB268" s="66" t="str">
        <f>IF(B268="","",TEXT(AZ268,"00")&amp;"|"&amp;B268&amp;"|"&amp;TEXT(AV268,"yyyymmdd"))</f>
        <v/>
      </c>
      <c r="BC268" s="66">
        <f>IF(OR(AQ268="YES",AQ268="Yes",AQ268="Y",AQ268=1),1,0)</f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17">
        <f>SUM(H269,J269,L269,N269,P269,R269,T269,V269,X269,Z269,AB269,AD269,AF269,AH269,AJ269,AL269,AN269)</f>
        <v>0</v>
      </c>
      <c r="AT269" s="67" t="str">
        <f>IF(C269="","",DATE(YEAR(C269),MONTH(C269),1))</f>
        <v/>
      </c>
      <c r="AU269" s="66" t="str">
        <f>IF(AT269="","",TEXT(AT269,"mmmm yyyy"))</f>
        <v/>
      </c>
      <c r="AV269" s="67" t="str">
        <f>IF(C269="","",C269-WEEKDAY(C269,2)+1)</f>
        <v/>
      </c>
      <c r="AW269" s="67" t="str">
        <f>IF(AV269="","",AV269+6)</f>
        <v/>
      </c>
      <c r="AX269" s="66" t="str">
        <f>IF(AV269="","",TEXT(AV269,"dd/mm/yyyy")&amp;" - "&amp;TEXT(AW269,"dd/mm/yyyy"))</f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>IF(B269="","",TEXT(AY269,"00")&amp;"|"&amp;B269&amp;"|"&amp;TEXT(AT269,"yyyymmdd"))</f>
        <v/>
      </c>
      <c r="BB269" s="66" t="str">
        <f>IF(B269="","",TEXT(AZ269,"00")&amp;"|"&amp;B269&amp;"|"&amp;TEXT(AV269,"yyyymmdd"))</f>
        <v/>
      </c>
      <c r="BC269" s="66">
        <f>IF(OR(AQ269="YES",AQ269="Yes",AQ269="Y",AQ269=1),1,0)</f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17">
        <f>SUM(H270,J270,L270,N270,P270,R270,T270,V270,X270,Z270,AB270,AD270,AF270,AH270,AJ270,AL270,AN270)</f>
        <v>0</v>
      </c>
      <c r="AT270" s="67" t="str">
        <f>IF(C270="","",DATE(YEAR(C270),MONTH(C270),1))</f>
        <v/>
      </c>
      <c r="AU270" s="66" t="str">
        <f>IF(AT270="","",TEXT(AT270,"mmmm yyyy"))</f>
        <v/>
      </c>
      <c r="AV270" s="67" t="str">
        <f>IF(C270="","",C270-WEEKDAY(C270,2)+1)</f>
        <v/>
      </c>
      <c r="AW270" s="67" t="str">
        <f>IF(AV270="","",AV270+6)</f>
        <v/>
      </c>
      <c r="AX270" s="66" t="str">
        <f>IF(AV270="","",TEXT(AV270,"dd/mm/yyyy")&amp;" - "&amp;TEXT(AW270,"dd/mm/yyyy"))</f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>IF(B270="","",TEXT(AY270,"00")&amp;"|"&amp;B270&amp;"|"&amp;TEXT(AT270,"yyyymmdd"))</f>
        <v/>
      </c>
      <c r="BB270" s="66" t="str">
        <f>IF(B270="","",TEXT(AZ270,"00")&amp;"|"&amp;B270&amp;"|"&amp;TEXT(AV270,"yyyymmdd"))</f>
        <v/>
      </c>
      <c r="BC270" s="66">
        <f>IF(OR(AQ270="YES",AQ270="Yes",AQ270="Y",AQ270=1),1,0)</f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17">
        <f>SUM(H271,J271,L271,N271,P271,R271,T271,V271,X271,Z271,AB271,AD271,AF271,AH271,AJ271,AL271,AN271)</f>
        <v>0</v>
      </c>
      <c r="AT271" s="67" t="str">
        <f>IF(C271="","",DATE(YEAR(C271),MONTH(C271),1))</f>
        <v/>
      </c>
      <c r="AU271" s="66" t="str">
        <f>IF(AT271="","",TEXT(AT271,"mmmm yyyy"))</f>
        <v/>
      </c>
      <c r="AV271" s="67" t="str">
        <f>IF(C271="","",C271-WEEKDAY(C271,2)+1)</f>
        <v/>
      </c>
      <c r="AW271" s="67" t="str">
        <f>IF(AV271="","",AV271+6)</f>
        <v/>
      </c>
      <c r="AX271" s="66" t="str">
        <f>IF(AV271="","",TEXT(AV271,"dd/mm/yyyy")&amp;" - "&amp;TEXT(AW271,"dd/mm/yyyy"))</f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>IF(B271="","",TEXT(AY271,"00")&amp;"|"&amp;B271&amp;"|"&amp;TEXT(AT271,"yyyymmdd"))</f>
        <v/>
      </c>
      <c r="BB271" s="66" t="str">
        <f>IF(B271="","",TEXT(AZ271,"00")&amp;"|"&amp;B271&amp;"|"&amp;TEXT(AV271,"yyyymmdd"))</f>
        <v/>
      </c>
      <c r="BC271" s="66">
        <f>IF(OR(AQ271="YES",AQ271="Yes",AQ271="Y",AQ271=1),1,0)</f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17">
        <f>SUM(H272,J272,L272,N272,P272,R272,T272,V272,X272,Z272,AB272,AD272,AF272,AH272,AJ272,AL272,AN272)</f>
        <v>0</v>
      </c>
      <c r="AT272" s="67" t="str">
        <f>IF(C272="","",DATE(YEAR(C272),MONTH(C272),1))</f>
        <v/>
      </c>
      <c r="AU272" s="66" t="str">
        <f>IF(AT272="","",TEXT(AT272,"mmmm yyyy"))</f>
        <v/>
      </c>
      <c r="AV272" s="67" t="str">
        <f>IF(C272="","",C272-WEEKDAY(C272,2)+1)</f>
        <v/>
      </c>
      <c r="AW272" s="67" t="str">
        <f>IF(AV272="","",AV272+6)</f>
        <v/>
      </c>
      <c r="AX272" s="66" t="str">
        <f>IF(AV272="","",TEXT(AV272,"dd/mm/yyyy")&amp;" - "&amp;TEXT(AW272,"dd/mm/yyyy"))</f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>IF(B272="","",TEXT(AY272,"00")&amp;"|"&amp;B272&amp;"|"&amp;TEXT(AT272,"yyyymmdd"))</f>
        <v/>
      </c>
      <c r="BB272" s="66" t="str">
        <f>IF(B272="","",TEXT(AZ272,"00")&amp;"|"&amp;B272&amp;"|"&amp;TEXT(AV272,"yyyymmdd"))</f>
        <v/>
      </c>
      <c r="BC272" s="66">
        <f>IF(OR(AQ272="YES",AQ272="Yes",AQ272="Y",AQ272=1),1,0)</f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17">
        <f>SUM(H273,J273,L273,N273,P273,R273,T273,V273,X273,Z273,AB273,AD273,AF273,AH273,AJ273,AL273,AN273)</f>
        <v>0</v>
      </c>
      <c r="AT273" s="67" t="str">
        <f>IF(C273="","",DATE(YEAR(C273),MONTH(C273),1))</f>
        <v/>
      </c>
      <c r="AU273" s="66" t="str">
        <f>IF(AT273="","",TEXT(AT273,"mmmm yyyy"))</f>
        <v/>
      </c>
      <c r="AV273" s="67" t="str">
        <f>IF(C273="","",C273-WEEKDAY(C273,2)+1)</f>
        <v/>
      </c>
      <c r="AW273" s="67" t="str">
        <f>IF(AV273="","",AV273+6)</f>
        <v/>
      </c>
      <c r="AX273" s="66" t="str">
        <f>IF(AV273="","",TEXT(AV273,"dd/mm/yyyy")&amp;" - "&amp;TEXT(AW273,"dd/mm/yyyy"))</f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>IF(B273="","",TEXT(AY273,"00")&amp;"|"&amp;B273&amp;"|"&amp;TEXT(AT273,"yyyymmdd"))</f>
        <v/>
      </c>
      <c r="BB273" s="66" t="str">
        <f>IF(B273="","",TEXT(AZ273,"00")&amp;"|"&amp;B273&amp;"|"&amp;TEXT(AV273,"yyyymmdd"))</f>
        <v/>
      </c>
      <c r="BC273" s="66">
        <f>IF(OR(AQ273="YES",AQ273="Yes",AQ273="Y",AQ273=1),1,0)</f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17">
        <f>SUM(H274,J274,L274,N274,P274,R274,T274,V274,X274,Z274,AB274,AD274,AF274,AH274,AJ274,AL274,AN274)</f>
        <v>0</v>
      </c>
      <c r="AT274" s="67" t="str">
        <f>IF(C274="","",DATE(YEAR(C274),MONTH(C274),1))</f>
        <v/>
      </c>
      <c r="AU274" s="66" t="str">
        <f>IF(AT274="","",TEXT(AT274,"mmmm yyyy"))</f>
        <v/>
      </c>
      <c r="AV274" s="67" t="str">
        <f>IF(C274="","",C274-WEEKDAY(C274,2)+1)</f>
        <v/>
      </c>
      <c r="AW274" s="67" t="str">
        <f>IF(AV274="","",AV274+6)</f>
        <v/>
      </c>
      <c r="AX274" s="66" t="str">
        <f>IF(AV274="","",TEXT(AV274,"dd/mm/yyyy")&amp;" - "&amp;TEXT(AW274,"dd/mm/yyyy"))</f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>IF(B274="","",TEXT(AY274,"00")&amp;"|"&amp;B274&amp;"|"&amp;TEXT(AT274,"yyyymmdd"))</f>
        <v/>
      </c>
      <c r="BB274" s="66" t="str">
        <f>IF(B274="","",TEXT(AZ274,"00")&amp;"|"&amp;B274&amp;"|"&amp;TEXT(AV274,"yyyymmdd"))</f>
        <v/>
      </c>
      <c r="BC274" s="66">
        <f>IF(OR(AQ274="YES",AQ274="Yes",AQ274="Y",AQ274=1),1,0)</f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17">
        <f>SUM(H275,J275,L275,N275,P275,R275,T275,V275,X275,Z275,AB275,AD275,AF275,AH275,AJ275,AL275,AN275)</f>
        <v>0</v>
      </c>
      <c r="AT275" s="67" t="str">
        <f>IF(C275="","",DATE(YEAR(C275),MONTH(C275),1))</f>
        <v/>
      </c>
      <c r="AU275" s="66" t="str">
        <f>IF(AT275="","",TEXT(AT275,"mmmm yyyy"))</f>
        <v/>
      </c>
      <c r="AV275" s="67" t="str">
        <f>IF(C275="","",C275-WEEKDAY(C275,2)+1)</f>
        <v/>
      </c>
      <c r="AW275" s="67" t="str">
        <f>IF(AV275="","",AV275+6)</f>
        <v/>
      </c>
      <c r="AX275" s="66" t="str">
        <f>IF(AV275="","",TEXT(AV275,"dd/mm/yyyy")&amp;" - "&amp;TEXT(AW275,"dd/mm/yyyy"))</f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>IF(B275="","",TEXT(AY275,"00")&amp;"|"&amp;B275&amp;"|"&amp;TEXT(AT275,"yyyymmdd"))</f>
        <v/>
      </c>
      <c r="BB275" s="66" t="str">
        <f>IF(B275="","",TEXT(AZ275,"00")&amp;"|"&amp;B275&amp;"|"&amp;TEXT(AV275,"yyyymmdd"))</f>
        <v/>
      </c>
      <c r="BC275" s="66">
        <f>IF(OR(AQ275="YES",AQ275="Yes",AQ275="Y",AQ275=1),1,0)</f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17">
        <f>SUM(H276,J276,L276,N276,P276,R276,T276,V276,X276,Z276,AB276,AD276,AF276,AH276,AJ276,AL276,AN276)</f>
        <v>0</v>
      </c>
      <c r="AT276" s="67" t="str">
        <f>IF(C276="","",DATE(YEAR(C276),MONTH(C276),1))</f>
        <v/>
      </c>
      <c r="AU276" s="66" t="str">
        <f>IF(AT276="","",TEXT(AT276,"mmmm yyyy"))</f>
        <v/>
      </c>
      <c r="AV276" s="67" t="str">
        <f>IF(C276="","",C276-WEEKDAY(C276,2)+1)</f>
        <v/>
      </c>
      <c r="AW276" s="67" t="str">
        <f>IF(AV276="","",AV276+6)</f>
        <v/>
      </c>
      <c r="AX276" s="66" t="str">
        <f>IF(AV276="","",TEXT(AV276,"dd/mm/yyyy")&amp;" - "&amp;TEXT(AW276,"dd/mm/yyyy"))</f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>IF(B276="","",TEXT(AY276,"00")&amp;"|"&amp;B276&amp;"|"&amp;TEXT(AT276,"yyyymmdd"))</f>
        <v/>
      </c>
      <c r="BB276" s="66" t="str">
        <f>IF(B276="","",TEXT(AZ276,"00")&amp;"|"&amp;B276&amp;"|"&amp;TEXT(AV276,"yyyymmdd"))</f>
        <v/>
      </c>
      <c r="BC276" s="66">
        <f>IF(OR(AQ276="YES",AQ276="Yes",AQ276="Y",AQ276=1),1,0)</f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17">
        <f>SUM(H277,J277,L277,N277,P277,R277,T277,V277,X277,Z277,AB277,AD277,AF277,AH277,AJ277,AL277,AN277)</f>
        <v>0</v>
      </c>
      <c r="AT277" s="67" t="str">
        <f>IF(C277="","",DATE(YEAR(C277),MONTH(C277),1))</f>
        <v/>
      </c>
      <c r="AU277" s="66" t="str">
        <f>IF(AT277="","",TEXT(AT277,"mmmm yyyy"))</f>
        <v/>
      </c>
      <c r="AV277" s="67" t="str">
        <f>IF(C277="","",C277-WEEKDAY(C277,2)+1)</f>
        <v/>
      </c>
      <c r="AW277" s="67" t="str">
        <f>IF(AV277="","",AV277+6)</f>
        <v/>
      </c>
      <c r="AX277" s="66" t="str">
        <f>IF(AV277="","",TEXT(AV277,"dd/mm/yyyy")&amp;" - "&amp;TEXT(AW277,"dd/mm/yyyy"))</f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>IF(B277="","",TEXT(AY277,"00")&amp;"|"&amp;B277&amp;"|"&amp;TEXT(AT277,"yyyymmdd"))</f>
        <v/>
      </c>
      <c r="BB277" s="66" t="str">
        <f>IF(B277="","",TEXT(AZ277,"00")&amp;"|"&amp;B277&amp;"|"&amp;TEXT(AV277,"yyyymmdd"))</f>
        <v/>
      </c>
      <c r="BC277" s="66">
        <f>IF(OR(AQ277="YES",AQ277="Yes",AQ277="Y",AQ277=1),1,0)</f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17">
        <f>SUM(H278,J278,L278,N278,P278,R278,T278,V278,X278,Z278,AB278,AD278,AF278,AH278,AJ278,AL278,AN278)</f>
        <v>0</v>
      </c>
      <c r="AT278" s="67" t="str">
        <f>IF(C278="","",DATE(YEAR(C278),MONTH(C278),1))</f>
        <v/>
      </c>
      <c r="AU278" s="66" t="str">
        <f>IF(AT278="","",TEXT(AT278,"mmmm yyyy"))</f>
        <v/>
      </c>
      <c r="AV278" s="67" t="str">
        <f>IF(C278="","",C278-WEEKDAY(C278,2)+1)</f>
        <v/>
      </c>
      <c r="AW278" s="67" t="str">
        <f>IF(AV278="","",AV278+6)</f>
        <v/>
      </c>
      <c r="AX278" s="66" t="str">
        <f>IF(AV278="","",TEXT(AV278,"dd/mm/yyyy")&amp;" - "&amp;TEXT(AW278,"dd/mm/yyyy"))</f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>IF(B278="","",TEXT(AY278,"00")&amp;"|"&amp;B278&amp;"|"&amp;TEXT(AT278,"yyyymmdd"))</f>
        <v/>
      </c>
      <c r="BB278" s="66" t="str">
        <f>IF(B278="","",TEXT(AZ278,"00")&amp;"|"&amp;B278&amp;"|"&amp;TEXT(AV278,"yyyymmdd"))</f>
        <v/>
      </c>
      <c r="BC278" s="66">
        <f>IF(OR(AQ278="YES",AQ278="Yes",AQ278="Y",AQ278=1),1,0)</f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17">
        <f>SUM(H279,J279,L279,N279,P279,R279,T279,V279,X279,Z279,AB279,AD279,AF279,AH279,AJ279,AL279,AN279)</f>
        <v>0</v>
      </c>
      <c r="AT279" s="67" t="str">
        <f>IF(C279="","",DATE(YEAR(C279),MONTH(C279),1))</f>
        <v/>
      </c>
      <c r="AU279" s="66" t="str">
        <f>IF(AT279="","",TEXT(AT279,"mmmm yyyy"))</f>
        <v/>
      </c>
      <c r="AV279" s="67" t="str">
        <f>IF(C279="","",C279-WEEKDAY(C279,2)+1)</f>
        <v/>
      </c>
      <c r="AW279" s="67" t="str">
        <f>IF(AV279="","",AV279+6)</f>
        <v/>
      </c>
      <c r="AX279" s="66" t="str">
        <f>IF(AV279="","",TEXT(AV279,"dd/mm/yyyy")&amp;" - "&amp;TEXT(AW279,"dd/mm/yyyy"))</f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>IF(B279="","",TEXT(AY279,"00")&amp;"|"&amp;B279&amp;"|"&amp;TEXT(AT279,"yyyymmdd"))</f>
        <v/>
      </c>
      <c r="BB279" s="66" t="str">
        <f>IF(B279="","",TEXT(AZ279,"00")&amp;"|"&amp;B279&amp;"|"&amp;TEXT(AV279,"yyyymmdd"))</f>
        <v/>
      </c>
      <c r="BC279" s="66">
        <f>IF(OR(AQ279="YES",AQ279="Yes",AQ279="Y",AQ279=1),1,0)</f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17">
        <f>SUM(H280,J280,L280,N280,P280,R280,T280,V280,X280,Z280,AB280,AD280,AF280,AH280,AJ280,AL280,AN280)</f>
        <v>0</v>
      </c>
      <c r="AT280" s="67" t="str">
        <f>IF(C280="","",DATE(YEAR(C280),MONTH(C280),1))</f>
        <v/>
      </c>
      <c r="AU280" s="66" t="str">
        <f>IF(AT280="","",TEXT(AT280,"mmmm yyyy"))</f>
        <v/>
      </c>
      <c r="AV280" s="67" t="str">
        <f>IF(C280="","",C280-WEEKDAY(C280,2)+1)</f>
        <v/>
      </c>
      <c r="AW280" s="67" t="str">
        <f>IF(AV280="","",AV280+6)</f>
        <v/>
      </c>
      <c r="AX280" s="66" t="str">
        <f>IF(AV280="","",TEXT(AV280,"dd/mm/yyyy")&amp;" - "&amp;TEXT(AW280,"dd/mm/yyyy"))</f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>IF(B280="","",TEXT(AY280,"00")&amp;"|"&amp;B280&amp;"|"&amp;TEXT(AT280,"yyyymmdd"))</f>
        <v/>
      </c>
      <c r="BB280" s="66" t="str">
        <f>IF(B280="","",TEXT(AZ280,"00")&amp;"|"&amp;B280&amp;"|"&amp;TEXT(AV280,"yyyymmdd"))</f>
        <v/>
      </c>
      <c r="BC280" s="66">
        <f>IF(OR(AQ280="YES",AQ280="Yes",AQ280="Y",AQ280=1),1,0)</f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17">
        <f>SUM(H281,J281,L281,N281,P281,R281,T281,V281,X281,Z281,AB281,AD281,AF281,AH281,AJ281,AL281,AN281)</f>
        <v>0</v>
      </c>
      <c r="AT281" s="67" t="str">
        <f>IF(C281="","",DATE(YEAR(C281),MONTH(C281),1))</f>
        <v/>
      </c>
      <c r="AU281" s="66" t="str">
        <f>IF(AT281="","",TEXT(AT281,"mmmm yyyy"))</f>
        <v/>
      </c>
      <c r="AV281" s="67" t="str">
        <f>IF(C281="","",C281-WEEKDAY(C281,2)+1)</f>
        <v/>
      </c>
      <c r="AW281" s="67" t="str">
        <f>IF(AV281="","",AV281+6)</f>
        <v/>
      </c>
      <c r="AX281" s="66" t="str">
        <f>IF(AV281="","",TEXT(AV281,"dd/mm/yyyy")&amp;" - "&amp;TEXT(AW281,"dd/mm/yyyy"))</f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>IF(B281="","",TEXT(AY281,"00")&amp;"|"&amp;B281&amp;"|"&amp;TEXT(AT281,"yyyymmdd"))</f>
        <v/>
      </c>
      <c r="BB281" s="66" t="str">
        <f>IF(B281="","",TEXT(AZ281,"00")&amp;"|"&amp;B281&amp;"|"&amp;TEXT(AV281,"yyyymmdd"))</f>
        <v/>
      </c>
      <c r="BC281" s="66">
        <f>IF(OR(AQ281="YES",AQ281="Yes",AQ281="Y",AQ281=1),1,0)</f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17">
        <f>SUM(H282,J282,L282,N282,P282,R282,T282,V282,X282,Z282,AB282,AD282,AF282,AH282,AJ282,AL282,AN282)</f>
        <v>0</v>
      </c>
      <c r="AT282" s="67" t="str">
        <f>IF(C282="","",DATE(YEAR(C282),MONTH(C282),1))</f>
        <v/>
      </c>
      <c r="AU282" s="66" t="str">
        <f>IF(AT282="","",TEXT(AT282,"mmmm yyyy"))</f>
        <v/>
      </c>
      <c r="AV282" s="67" t="str">
        <f>IF(C282="","",C282-WEEKDAY(C282,2)+1)</f>
        <v/>
      </c>
      <c r="AW282" s="67" t="str">
        <f>IF(AV282="","",AV282+6)</f>
        <v/>
      </c>
      <c r="AX282" s="66" t="str">
        <f>IF(AV282="","",TEXT(AV282,"dd/mm/yyyy")&amp;" - "&amp;TEXT(AW282,"dd/mm/yyyy"))</f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>IF(B282="","",TEXT(AY282,"00")&amp;"|"&amp;B282&amp;"|"&amp;TEXT(AT282,"yyyymmdd"))</f>
        <v/>
      </c>
      <c r="BB282" s="66" t="str">
        <f>IF(B282="","",TEXT(AZ282,"00")&amp;"|"&amp;B282&amp;"|"&amp;TEXT(AV282,"yyyymmdd"))</f>
        <v/>
      </c>
      <c r="BC282" s="66">
        <f>IF(OR(AQ282="YES",AQ282="Yes",AQ282="Y",AQ282=1),1,0)</f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17">
        <f>SUM(H283,J283,L283,N283,P283,R283,T283,V283,X283,Z283,AB283,AD283,AF283,AH283,AJ283,AL283,AN283)</f>
        <v>0</v>
      </c>
      <c r="AT283" s="67" t="str">
        <f>IF(C283="","",DATE(YEAR(C283),MONTH(C283),1))</f>
        <v/>
      </c>
      <c r="AU283" s="66" t="str">
        <f>IF(AT283="","",TEXT(AT283,"mmmm yyyy"))</f>
        <v/>
      </c>
      <c r="AV283" s="67" t="str">
        <f>IF(C283="","",C283-WEEKDAY(C283,2)+1)</f>
        <v/>
      </c>
      <c r="AW283" s="67" t="str">
        <f>IF(AV283="","",AV283+6)</f>
        <v/>
      </c>
      <c r="AX283" s="66" t="str">
        <f>IF(AV283="","",TEXT(AV283,"dd/mm/yyyy")&amp;" - "&amp;TEXT(AW283,"dd/mm/yyyy"))</f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>IF(B283="","",TEXT(AY283,"00")&amp;"|"&amp;B283&amp;"|"&amp;TEXT(AT283,"yyyymmdd"))</f>
        <v/>
      </c>
      <c r="BB283" s="66" t="str">
        <f>IF(B283="","",TEXT(AZ283,"00")&amp;"|"&amp;B283&amp;"|"&amp;TEXT(AV283,"yyyymmdd"))</f>
        <v/>
      </c>
      <c r="BC283" s="66">
        <f>IF(OR(AQ283="YES",AQ283="Yes",AQ283="Y",AQ283=1),1,0)</f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17">
        <f>SUM(H284,J284,L284,N284,P284,R284,T284,V284,X284,Z284,AB284,AD284,AF284,AH284,AJ284,AL284,AN284)</f>
        <v>0</v>
      </c>
      <c r="AT284" s="67" t="str">
        <f>IF(C284="","",DATE(YEAR(C284),MONTH(C284),1))</f>
        <v/>
      </c>
      <c r="AU284" s="66" t="str">
        <f>IF(AT284="","",TEXT(AT284,"mmmm yyyy"))</f>
        <v/>
      </c>
      <c r="AV284" s="67" t="str">
        <f>IF(C284="","",C284-WEEKDAY(C284,2)+1)</f>
        <v/>
      </c>
      <c r="AW284" s="67" t="str">
        <f>IF(AV284="","",AV284+6)</f>
        <v/>
      </c>
      <c r="AX284" s="66" t="str">
        <f>IF(AV284="","",TEXT(AV284,"dd/mm/yyyy")&amp;" - "&amp;TEXT(AW284,"dd/mm/yyyy"))</f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>IF(B284="","",TEXT(AY284,"00")&amp;"|"&amp;B284&amp;"|"&amp;TEXT(AT284,"yyyymmdd"))</f>
        <v/>
      </c>
      <c r="BB284" s="66" t="str">
        <f>IF(B284="","",TEXT(AZ284,"00")&amp;"|"&amp;B284&amp;"|"&amp;TEXT(AV284,"yyyymmdd"))</f>
        <v/>
      </c>
      <c r="BC284" s="66">
        <f>IF(OR(AQ284="YES",AQ284="Yes",AQ284="Y",AQ284=1),1,0)</f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17">
        <f>SUM(H285,J285,L285,N285,P285,R285,T285,V285,X285,Z285,AB285,AD285,AF285,AH285,AJ285,AL285,AN285)</f>
        <v>0</v>
      </c>
      <c r="AT285" s="67" t="str">
        <f>IF(C285="","",DATE(YEAR(C285),MONTH(C285),1))</f>
        <v/>
      </c>
      <c r="AU285" s="66" t="str">
        <f>IF(AT285="","",TEXT(AT285,"mmmm yyyy"))</f>
        <v/>
      </c>
      <c r="AV285" s="67" t="str">
        <f>IF(C285="","",C285-WEEKDAY(C285,2)+1)</f>
        <v/>
      </c>
      <c r="AW285" s="67" t="str">
        <f>IF(AV285="","",AV285+6)</f>
        <v/>
      </c>
      <c r="AX285" s="66" t="str">
        <f>IF(AV285="","",TEXT(AV285,"dd/mm/yyyy")&amp;" - "&amp;TEXT(AW285,"dd/mm/yyyy"))</f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>IF(B285="","",TEXT(AY285,"00")&amp;"|"&amp;B285&amp;"|"&amp;TEXT(AT285,"yyyymmdd"))</f>
        <v/>
      </c>
      <c r="BB285" s="66" t="str">
        <f>IF(B285="","",TEXT(AZ285,"00")&amp;"|"&amp;B285&amp;"|"&amp;TEXT(AV285,"yyyymmdd"))</f>
        <v/>
      </c>
      <c r="BC285" s="66">
        <f>IF(OR(AQ285="YES",AQ285="Yes",AQ285="Y",AQ285=1),1,0)</f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17">
        <f>SUM(H286,J286,L286,N286,P286,R286,T286,V286,X286,Z286,AB286,AD286,AF286,AH286,AJ286,AL286,AN286)</f>
        <v>0</v>
      </c>
      <c r="AT286" s="67" t="str">
        <f>IF(C286="","",DATE(YEAR(C286),MONTH(C286),1))</f>
        <v/>
      </c>
      <c r="AU286" s="66" t="str">
        <f>IF(AT286="","",TEXT(AT286,"mmmm yyyy"))</f>
        <v/>
      </c>
      <c r="AV286" s="67" t="str">
        <f>IF(C286="","",C286-WEEKDAY(C286,2)+1)</f>
        <v/>
      </c>
      <c r="AW286" s="67" t="str">
        <f>IF(AV286="","",AV286+6)</f>
        <v/>
      </c>
      <c r="AX286" s="66" t="str">
        <f>IF(AV286="","",TEXT(AV286,"dd/mm/yyyy")&amp;" - "&amp;TEXT(AW286,"dd/mm/yyyy"))</f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>IF(B286="","",TEXT(AY286,"00")&amp;"|"&amp;B286&amp;"|"&amp;TEXT(AT286,"yyyymmdd"))</f>
        <v/>
      </c>
      <c r="BB286" s="66" t="str">
        <f>IF(B286="","",TEXT(AZ286,"00")&amp;"|"&amp;B286&amp;"|"&amp;TEXT(AV286,"yyyymmdd"))</f>
        <v/>
      </c>
      <c r="BC286" s="66">
        <f>IF(OR(AQ286="YES",AQ286="Yes",AQ286="Y",AQ286=1),1,0)</f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17">
        <f>SUM(H287,J287,L287,N287,P287,R287,T287,V287,X287,Z287,AB287,AD287,AF287,AH287,AJ287,AL287,AN287)</f>
        <v>0</v>
      </c>
      <c r="AT287" s="67" t="str">
        <f>IF(C287="","",DATE(YEAR(C287),MONTH(C287),1))</f>
        <v/>
      </c>
      <c r="AU287" s="66" t="str">
        <f>IF(AT287="","",TEXT(AT287,"mmmm yyyy"))</f>
        <v/>
      </c>
      <c r="AV287" s="67" t="str">
        <f>IF(C287="","",C287-WEEKDAY(C287,2)+1)</f>
        <v/>
      </c>
      <c r="AW287" s="67" t="str">
        <f>IF(AV287="","",AV287+6)</f>
        <v/>
      </c>
      <c r="AX287" s="66" t="str">
        <f>IF(AV287="","",TEXT(AV287,"dd/mm/yyyy")&amp;" - "&amp;TEXT(AW287,"dd/mm/yyyy"))</f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>IF(B287="","",TEXT(AY287,"00")&amp;"|"&amp;B287&amp;"|"&amp;TEXT(AT287,"yyyymmdd"))</f>
        <v/>
      </c>
      <c r="BB287" s="66" t="str">
        <f>IF(B287="","",TEXT(AZ287,"00")&amp;"|"&amp;B287&amp;"|"&amp;TEXT(AV287,"yyyymmdd"))</f>
        <v/>
      </c>
      <c r="BC287" s="66">
        <f>IF(OR(AQ287="YES",AQ287="Yes",AQ287="Y",AQ287=1),1,0)</f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17">
        <f>SUM(H288,J288,L288,N288,P288,R288,T288,V288,X288,Z288,AB288,AD288,AF288,AH288,AJ288,AL288,AN288)</f>
        <v>0</v>
      </c>
      <c r="AT288" s="67" t="str">
        <f>IF(C288="","",DATE(YEAR(C288),MONTH(C288),1))</f>
        <v/>
      </c>
      <c r="AU288" s="66" t="str">
        <f>IF(AT288="","",TEXT(AT288,"mmmm yyyy"))</f>
        <v/>
      </c>
      <c r="AV288" s="67" t="str">
        <f>IF(C288="","",C288-WEEKDAY(C288,2)+1)</f>
        <v/>
      </c>
      <c r="AW288" s="67" t="str">
        <f>IF(AV288="","",AV288+6)</f>
        <v/>
      </c>
      <c r="AX288" s="66" t="str">
        <f>IF(AV288="","",TEXT(AV288,"dd/mm/yyyy")&amp;" - "&amp;TEXT(AW288,"dd/mm/yyyy"))</f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>IF(B288="","",TEXT(AY288,"00")&amp;"|"&amp;B288&amp;"|"&amp;TEXT(AT288,"yyyymmdd"))</f>
        <v/>
      </c>
      <c r="BB288" s="66" t="str">
        <f>IF(B288="","",TEXT(AZ288,"00")&amp;"|"&amp;B288&amp;"|"&amp;TEXT(AV288,"yyyymmdd"))</f>
        <v/>
      </c>
      <c r="BC288" s="66">
        <f>IF(OR(AQ288="YES",AQ288="Yes",AQ288="Y",AQ288=1),1,0)</f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17">
        <f>SUM(H289,J289,L289,N289,P289,R289,T289,V289,X289,Z289,AB289,AD289,AF289,AH289,AJ289,AL289,AN289)</f>
        <v>0</v>
      </c>
      <c r="AT289" s="67" t="str">
        <f>IF(C289="","",DATE(YEAR(C289),MONTH(C289),1))</f>
        <v/>
      </c>
      <c r="AU289" s="66" t="str">
        <f>IF(AT289="","",TEXT(AT289,"mmmm yyyy"))</f>
        <v/>
      </c>
      <c r="AV289" s="67" t="str">
        <f>IF(C289="","",C289-WEEKDAY(C289,2)+1)</f>
        <v/>
      </c>
      <c r="AW289" s="67" t="str">
        <f>IF(AV289="","",AV289+6)</f>
        <v/>
      </c>
      <c r="AX289" s="66" t="str">
        <f>IF(AV289="","",TEXT(AV289,"dd/mm/yyyy")&amp;" - "&amp;TEXT(AW289,"dd/mm/yyyy"))</f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>IF(B289="","",TEXT(AY289,"00")&amp;"|"&amp;B289&amp;"|"&amp;TEXT(AT289,"yyyymmdd"))</f>
        <v/>
      </c>
      <c r="BB289" s="66" t="str">
        <f>IF(B289="","",TEXT(AZ289,"00")&amp;"|"&amp;B289&amp;"|"&amp;TEXT(AV289,"yyyymmdd"))</f>
        <v/>
      </c>
      <c r="BC289" s="66">
        <f>IF(OR(AQ289="YES",AQ289="Yes",AQ289="Y",AQ289=1),1,0)</f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17">
        <f>SUM(H290,J290,L290,N290,P290,R290,T290,V290,X290,Z290,AB290,AD290,AF290,AH290,AJ290,AL290,AN290)</f>
        <v>0</v>
      </c>
      <c r="AT290" s="67" t="str">
        <f>IF(C290="","",DATE(YEAR(C290),MONTH(C290),1))</f>
        <v/>
      </c>
      <c r="AU290" s="66" t="str">
        <f>IF(AT290="","",TEXT(AT290,"mmmm yyyy"))</f>
        <v/>
      </c>
      <c r="AV290" s="67" t="str">
        <f>IF(C290="","",C290-WEEKDAY(C290,2)+1)</f>
        <v/>
      </c>
      <c r="AW290" s="67" t="str">
        <f>IF(AV290="","",AV290+6)</f>
        <v/>
      </c>
      <c r="AX290" s="66" t="str">
        <f>IF(AV290="","",TEXT(AV290,"dd/mm/yyyy")&amp;" - "&amp;TEXT(AW290,"dd/mm/yyyy"))</f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>IF(B290="","",TEXT(AY290,"00")&amp;"|"&amp;B290&amp;"|"&amp;TEXT(AT290,"yyyymmdd"))</f>
        <v/>
      </c>
      <c r="BB290" s="66" t="str">
        <f>IF(B290="","",TEXT(AZ290,"00")&amp;"|"&amp;B290&amp;"|"&amp;TEXT(AV290,"yyyymmdd"))</f>
        <v/>
      </c>
      <c r="BC290" s="66">
        <f>IF(OR(AQ290="YES",AQ290="Yes",AQ290="Y",AQ290=1),1,0)</f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17">
        <f>SUM(H291,J291,L291,N291,P291,R291,T291,V291,X291,Z291,AB291,AD291,AF291,AH291,AJ291,AL291,AN291)</f>
        <v>0</v>
      </c>
      <c r="AT291" s="67" t="str">
        <f>IF(C291="","",DATE(YEAR(C291),MONTH(C291),1))</f>
        <v/>
      </c>
      <c r="AU291" s="66" t="str">
        <f>IF(AT291="","",TEXT(AT291,"mmmm yyyy"))</f>
        <v/>
      </c>
      <c r="AV291" s="67" t="str">
        <f>IF(C291="","",C291-WEEKDAY(C291,2)+1)</f>
        <v/>
      </c>
      <c r="AW291" s="67" t="str">
        <f>IF(AV291="","",AV291+6)</f>
        <v/>
      </c>
      <c r="AX291" s="66" t="str">
        <f>IF(AV291="","",TEXT(AV291,"dd/mm/yyyy")&amp;" - "&amp;TEXT(AW291,"dd/mm/yyyy"))</f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>IF(B291="","",TEXT(AY291,"00")&amp;"|"&amp;B291&amp;"|"&amp;TEXT(AT291,"yyyymmdd"))</f>
        <v/>
      </c>
      <c r="BB291" s="66" t="str">
        <f>IF(B291="","",TEXT(AZ291,"00")&amp;"|"&amp;B291&amp;"|"&amp;TEXT(AV291,"yyyymmdd"))</f>
        <v/>
      </c>
      <c r="BC291" s="66">
        <f>IF(OR(AQ291="YES",AQ291="Yes",AQ291="Y",AQ291=1),1,0)</f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17">
        <f>SUM(H292,J292,L292,N292,P292,R292,T292,V292,X292,Z292,AB292,AD292,AF292,AH292,AJ292,AL292,AN292)</f>
        <v>0</v>
      </c>
      <c r="AT292" s="67" t="str">
        <f>IF(C292="","",DATE(YEAR(C292),MONTH(C292),1))</f>
        <v/>
      </c>
      <c r="AU292" s="66" t="str">
        <f>IF(AT292="","",TEXT(AT292,"mmmm yyyy"))</f>
        <v/>
      </c>
      <c r="AV292" s="67" t="str">
        <f>IF(C292="","",C292-WEEKDAY(C292,2)+1)</f>
        <v/>
      </c>
      <c r="AW292" s="67" t="str">
        <f>IF(AV292="","",AV292+6)</f>
        <v/>
      </c>
      <c r="AX292" s="66" t="str">
        <f>IF(AV292="","",TEXT(AV292,"dd/mm/yyyy")&amp;" - "&amp;TEXT(AW292,"dd/mm/yyyy"))</f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>IF(B292="","",TEXT(AY292,"00")&amp;"|"&amp;B292&amp;"|"&amp;TEXT(AT292,"yyyymmdd"))</f>
        <v/>
      </c>
      <c r="BB292" s="66" t="str">
        <f>IF(B292="","",TEXT(AZ292,"00")&amp;"|"&amp;B292&amp;"|"&amp;TEXT(AV292,"yyyymmdd"))</f>
        <v/>
      </c>
      <c r="BC292" s="66">
        <f>IF(OR(AQ292="YES",AQ292="Yes",AQ292="Y",AQ292=1),1,0)</f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17">
        <f>SUM(H293,J293,L293,N293,P293,R293,T293,V293,X293,Z293,AB293,AD293,AF293,AH293,AJ293,AL293,AN293)</f>
        <v>0</v>
      </c>
      <c r="AT293" s="67" t="str">
        <f>IF(C293="","",DATE(YEAR(C293),MONTH(C293),1))</f>
        <v/>
      </c>
      <c r="AU293" s="66" t="str">
        <f>IF(AT293="","",TEXT(AT293,"mmmm yyyy"))</f>
        <v/>
      </c>
      <c r="AV293" s="67" t="str">
        <f>IF(C293="","",C293-WEEKDAY(C293,2)+1)</f>
        <v/>
      </c>
      <c r="AW293" s="67" t="str">
        <f>IF(AV293="","",AV293+6)</f>
        <v/>
      </c>
      <c r="AX293" s="66" t="str">
        <f>IF(AV293="","",TEXT(AV293,"dd/mm/yyyy")&amp;" - "&amp;TEXT(AW293,"dd/mm/yyyy"))</f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>IF(B293="","",TEXT(AY293,"00")&amp;"|"&amp;B293&amp;"|"&amp;TEXT(AT293,"yyyymmdd"))</f>
        <v/>
      </c>
      <c r="BB293" s="66" t="str">
        <f>IF(B293="","",TEXT(AZ293,"00")&amp;"|"&amp;B293&amp;"|"&amp;TEXT(AV293,"yyyymmdd"))</f>
        <v/>
      </c>
      <c r="BC293" s="66">
        <f>IF(OR(AQ293="YES",AQ293="Yes",AQ293="Y",AQ293=1),1,0)</f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17">
        <f>SUM(H294,J294,L294,N294,P294,R294,T294,V294,X294,Z294,AB294,AD294,AF294,AH294,AJ294,AL294,AN294)</f>
        <v>0</v>
      </c>
      <c r="AT294" s="67" t="str">
        <f>IF(C294="","",DATE(YEAR(C294),MONTH(C294),1))</f>
        <v/>
      </c>
      <c r="AU294" s="66" t="str">
        <f>IF(AT294="","",TEXT(AT294,"mmmm yyyy"))</f>
        <v/>
      </c>
      <c r="AV294" s="67" t="str">
        <f>IF(C294="","",C294-WEEKDAY(C294,2)+1)</f>
        <v/>
      </c>
      <c r="AW294" s="67" t="str">
        <f>IF(AV294="","",AV294+6)</f>
        <v/>
      </c>
      <c r="AX294" s="66" t="str">
        <f>IF(AV294="","",TEXT(AV294,"dd/mm/yyyy")&amp;" - "&amp;TEXT(AW294,"dd/mm/yyyy"))</f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>IF(B294="","",TEXT(AY294,"00")&amp;"|"&amp;B294&amp;"|"&amp;TEXT(AT294,"yyyymmdd"))</f>
        <v/>
      </c>
      <c r="BB294" s="66" t="str">
        <f>IF(B294="","",TEXT(AZ294,"00")&amp;"|"&amp;B294&amp;"|"&amp;TEXT(AV294,"yyyymmdd"))</f>
        <v/>
      </c>
      <c r="BC294" s="66">
        <f>IF(OR(AQ294="YES",AQ294="Yes",AQ294="Y",AQ294=1),1,0)</f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17">
        <f>SUM(H295,J295,L295,N295,P295,R295,T295,V295,X295,Z295,AB295,AD295,AF295,AH295,AJ295,AL295,AN295)</f>
        <v>0</v>
      </c>
      <c r="AT295" s="67" t="str">
        <f>IF(C295="","",DATE(YEAR(C295),MONTH(C295),1))</f>
        <v/>
      </c>
      <c r="AU295" s="66" t="str">
        <f>IF(AT295="","",TEXT(AT295,"mmmm yyyy"))</f>
        <v/>
      </c>
      <c r="AV295" s="67" t="str">
        <f>IF(C295="","",C295-WEEKDAY(C295,2)+1)</f>
        <v/>
      </c>
      <c r="AW295" s="67" t="str">
        <f>IF(AV295="","",AV295+6)</f>
        <v/>
      </c>
      <c r="AX295" s="66" t="str">
        <f>IF(AV295="","",TEXT(AV295,"dd/mm/yyyy")&amp;" - "&amp;TEXT(AW295,"dd/mm/yyyy"))</f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>IF(B295="","",TEXT(AY295,"00")&amp;"|"&amp;B295&amp;"|"&amp;TEXT(AT295,"yyyymmdd"))</f>
        <v/>
      </c>
      <c r="BB295" s="66" t="str">
        <f>IF(B295="","",TEXT(AZ295,"00")&amp;"|"&amp;B295&amp;"|"&amp;TEXT(AV295,"yyyymmdd"))</f>
        <v/>
      </c>
      <c r="BC295" s="66">
        <f>IF(OR(AQ295="YES",AQ295="Yes",AQ295="Y",AQ295=1),1,0)</f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17">
        <f>SUM(H296,J296,L296,N296,P296,R296,T296,V296,X296,Z296,AB296,AD296,AF296,AH296,AJ296,AL296,AN296)</f>
        <v>0</v>
      </c>
      <c r="AT296" s="67" t="str">
        <f>IF(C296="","",DATE(YEAR(C296),MONTH(C296),1))</f>
        <v/>
      </c>
      <c r="AU296" s="66" t="str">
        <f>IF(AT296="","",TEXT(AT296,"mmmm yyyy"))</f>
        <v/>
      </c>
      <c r="AV296" s="67" t="str">
        <f>IF(C296="","",C296-WEEKDAY(C296,2)+1)</f>
        <v/>
      </c>
      <c r="AW296" s="67" t="str">
        <f>IF(AV296="","",AV296+6)</f>
        <v/>
      </c>
      <c r="AX296" s="66" t="str">
        <f>IF(AV296="","",TEXT(AV296,"dd/mm/yyyy")&amp;" - "&amp;TEXT(AW296,"dd/mm/yyyy"))</f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>IF(B296="","",TEXT(AY296,"00")&amp;"|"&amp;B296&amp;"|"&amp;TEXT(AT296,"yyyymmdd"))</f>
        <v/>
      </c>
      <c r="BB296" s="66" t="str">
        <f>IF(B296="","",TEXT(AZ296,"00")&amp;"|"&amp;B296&amp;"|"&amp;TEXT(AV296,"yyyymmdd"))</f>
        <v/>
      </c>
      <c r="BC296" s="66">
        <f>IF(OR(AQ296="YES",AQ296="Yes",AQ296="Y",AQ296=1),1,0)</f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17">
        <f>SUM(H297,J297,L297,N297,P297,R297,T297,V297,X297,Z297,AB297,AD297,AF297,AH297,AJ297,AL297,AN297)</f>
        <v>0</v>
      </c>
      <c r="AT297" s="67" t="str">
        <f>IF(C297="","",DATE(YEAR(C297),MONTH(C297),1))</f>
        <v/>
      </c>
      <c r="AU297" s="66" t="str">
        <f>IF(AT297="","",TEXT(AT297,"mmmm yyyy"))</f>
        <v/>
      </c>
      <c r="AV297" s="67" t="str">
        <f>IF(C297="","",C297-WEEKDAY(C297,2)+1)</f>
        <v/>
      </c>
      <c r="AW297" s="67" t="str">
        <f>IF(AV297="","",AV297+6)</f>
        <v/>
      </c>
      <c r="AX297" s="66" t="str">
        <f>IF(AV297="","",TEXT(AV297,"dd/mm/yyyy")&amp;" - "&amp;TEXT(AW297,"dd/mm/yyyy"))</f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>IF(B297="","",TEXT(AY297,"00")&amp;"|"&amp;B297&amp;"|"&amp;TEXT(AT297,"yyyymmdd"))</f>
        <v/>
      </c>
      <c r="BB297" s="66" t="str">
        <f>IF(B297="","",TEXT(AZ297,"00")&amp;"|"&amp;B297&amp;"|"&amp;TEXT(AV297,"yyyymmdd"))</f>
        <v/>
      </c>
      <c r="BC297" s="66">
        <f>IF(OR(AQ297="YES",AQ297="Yes",AQ297="Y",AQ297=1),1,0)</f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17">
        <f>SUM(H298,J298,L298,N298,P298,R298,T298,V298,X298,Z298,AB298,AD298,AF298,AH298,AJ298,AL298,AN298)</f>
        <v>0</v>
      </c>
      <c r="AT298" s="67" t="str">
        <f>IF(C298="","",DATE(YEAR(C298),MONTH(C298),1))</f>
        <v/>
      </c>
      <c r="AU298" s="66" t="str">
        <f>IF(AT298="","",TEXT(AT298,"mmmm yyyy"))</f>
        <v/>
      </c>
      <c r="AV298" s="67" t="str">
        <f>IF(C298="","",C298-WEEKDAY(C298,2)+1)</f>
        <v/>
      </c>
      <c r="AW298" s="67" t="str">
        <f>IF(AV298="","",AV298+6)</f>
        <v/>
      </c>
      <c r="AX298" s="66" t="str">
        <f>IF(AV298="","",TEXT(AV298,"dd/mm/yyyy")&amp;" - "&amp;TEXT(AW298,"dd/mm/yyyy"))</f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>IF(B298="","",TEXT(AY298,"00")&amp;"|"&amp;B298&amp;"|"&amp;TEXT(AT298,"yyyymmdd"))</f>
        <v/>
      </c>
      <c r="BB298" s="66" t="str">
        <f>IF(B298="","",TEXT(AZ298,"00")&amp;"|"&amp;B298&amp;"|"&amp;TEXT(AV298,"yyyymmdd"))</f>
        <v/>
      </c>
      <c r="BC298" s="66">
        <f>IF(OR(AQ298="YES",AQ298="Yes",AQ298="Y",AQ298=1),1,0)</f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17">
        <f>SUM(H299,J299,L299,N299,P299,R299,T299,V299,X299,Z299,AB299,AD299,AF299,AH299,AJ299,AL299,AN299)</f>
        <v>0</v>
      </c>
      <c r="AT299" s="67" t="str">
        <f>IF(C299="","",DATE(YEAR(C299),MONTH(C299),1))</f>
        <v/>
      </c>
      <c r="AU299" s="66" t="str">
        <f>IF(AT299="","",TEXT(AT299,"mmmm yyyy"))</f>
        <v/>
      </c>
      <c r="AV299" s="67" t="str">
        <f>IF(C299="","",C299-WEEKDAY(C299,2)+1)</f>
        <v/>
      </c>
      <c r="AW299" s="67" t="str">
        <f>IF(AV299="","",AV299+6)</f>
        <v/>
      </c>
      <c r="AX299" s="66" t="str">
        <f>IF(AV299="","",TEXT(AV299,"dd/mm/yyyy")&amp;" - "&amp;TEXT(AW299,"dd/mm/yyyy"))</f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>IF(B299="","",TEXT(AY299,"00")&amp;"|"&amp;B299&amp;"|"&amp;TEXT(AT299,"yyyymmdd"))</f>
        <v/>
      </c>
      <c r="BB299" s="66" t="str">
        <f>IF(B299="","",TEXT(AZ299,"00")&amp;"|"&amp;B299&amp;"|"&amp;TEXT(AV299,"yyyymmdd"))</f>
        <v/>
      </c>
      <c r="BC299" s="66">
        <f>IF(OR(AQ299="YES",AQ299="Yes",AQ299="Y",AQ299=1),1,0)</f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17">
        <f>SUM(H300,J300,L300,N300,P300,R300,T300,V300,X300,Z300,AB300,AD300,AF300,AH300,AJ300,AL300,AN300)</f>
        <v>0</v>
      </c>
      <c r="AT300" s="67" t="str">
        <f>IF(C300="","",DATE(YEAR(C300),MONTH(C300),1))</f>
        <v/>
      </c>
      <c r="AU300" s="66" t="str">
        <f>IF(AT300="","",TEXT(AT300,"mmmm yyyy"))</f>
        <v/>
      </c>
      <c r="AV300" s="67" t="str">
        <f>IF(C300="","",C300-WEEKDAY(C300,2)+1)</f>
        <v/>
      </c>
      <c r="AW300" s="67" t="str">
        <f>IF(AV300="","",AV300+6)</f>
        <v/>
      </c>
      <c r="AX300" s="66" t="str">
        <f>IF(AV300="","",TEXT(AV300,"dd/mm/yyyy")&amp;" - "&amp;TEXT(AW300,"dd/mm/yyyy"))</f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>IF(B300="","",TEXT(AY300,"00")&amp;"|"&amp;B300&amp;"|"&amp;TEXT(AT300,"yyyymmdd"))</f>
        <v/>
      </c>
      <c r="BB300" s="66" t="str">
        <f>IF(B300="","",TEXT(AZ300,"00")&amp;"|"&amp;B300&amp;"|"&amp;TEXT(AV300,"yyyymmdd"))</f>
        <v/>
      </c>
      <c r="BC300" s="66">
        <f>IF(OR(AQ300="YES",AQ300="Yes",AQ300="Y",AQ300=1),1,0)</f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17">
        <f>SUM(H301,J301,L301,N301,P301,R301,T301,V301,X301,Z301,AB301,AD301,AF301,AH301,AJ301,AL301,AN301)</f>
        <v>0</v>
      </c>
      <c r="AT301" s="67" t="str">
        <f>IF(C301="","",DATE(YEAR(C301),MONTH(C301),1))</f>
        <v/>
      </c>
      <c r="AU301" s="66" t="str">
        <f>IF(AT301="","",TEXT(AT301,"mmmm yyyy"))</f>
        <v/>
      </c>
      <c r="AV301" s="67" t="str">
        <f>IF(C301="","",C301-WEEKDAY(C301,2)+1)</f>
        <v/>
      </c>
      <c r="AW301" s="67" t="str">
        <f>IF(AV301="","",AV301+6)</f>
        <v/>
      </c>
      <c r="AX301" s="66" t="str">
        <f>IF(AV301="","",TEXT(AV301,"dd/mm/yyyy")&amp;" - "&amp;TEXT(AW301,"dd/mm/yyyy"))</f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>IF(B301="","",TEXT(AY301,"00")&amp;"|"&amp;B301&amp;"|"&amp;TEXT(AT301,"yyyymmdd"))</f>
        <v/>
      </c>
      <c r="BB301" s="66" t="str">
        <f>IF(B301="","",TEXT(AZ301,"00")&amp;"|"&amp;B301&amp;"|"&amp;TEXT(AV301,"yyyymmdd"))</f>
        <v/>
      </c>
      <c r="BC301" s="66">
        <f>IF(OR(AQ301="YES",AQ301="Yes",AQ301="Y",AQ301=1),1,0)</f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17">
        <f>SUM(H302,J302,L302,N302,P302,R302,T302,V302,X302,Z302,AB302,AD302,AF302,AH302,AJ302,AL302,AN302)</f>
        <v>0</v>
      </c>
      <c r="AT302" s="67" t="str">
        <f>IF(C302="","",DATE(YEAR(C302),MONTH(C302),1))</f>
        <v/>
      </c>
      <c r="AU302" s="66" t="str">
        <f>IF(AT302="","",TEXT(AT302,"mmmm yyyy"))</f>
        <v/>
      </c>
      <c r="AV302" s="67" t="str">
        <f>IF(C302="","",C302-WEEKDAY(C302,2)+1)</f>
        <v/>
      </c>
      <c r="AW302" s="67" t="str">
        <f>IF(AV302="","",AV302+6)</f>
        <v/>
      </c>
      <c r="AX302" s="66" t="str">
        <f>IF(AV302="","",TEXT(AV302,"dd/mm/yyyy")&amp;" - "&amp;TEXT(AW302,"dd/mm/yyyy"))</f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>IF(B302="","",TEXT(AY302,"00")&amp;"|"&amp;B302&amp;"|"&amp;TEXT(AT302,"yyyymmdd"))</f>
        <v/>
      </c>
      <c r="BB302" s="66" t="str">
        <f>IF(B302="","",TEXT(AZ302,"00")&amp;"|"&amp;B302&amp;"|"&amp;TEXT(AV302,"yyyymmdd"))</f>
        <v/>
      </c>
      <c r="BC302" s="66">
        <f>IF(OR(AQ302="YES",AQ302="Yes",AQ302="Y",AQ302=1),1,0)</f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17">
        <f>SUM(H303,J303,L303,N303,P303,R303,T303,V303,X303,Z303,AB303,AD303,AF303,AH303,AJ303,AL303,AN303)</f>
        <v>0</v>
      </c>
      <c r="AT303" s="67" t="str">
        <f>IF(C303="","",DATE(YEAR(C303),MONTH(C303),1))</f>
        <v/>
      </c>
      <c r="AU303" s="66" t="str">
        <f>IF(AT303="","",TEXT(AT303,"mmmm yyyy"))</f>
        <v/>
      </c>
      <c r="AV303" s="67" t="str">
        <f>IF(C303="","",C303-WEEKDAY(C303,2)+1)</f>
        <v/>
      </c>
      <c r="AW303" s="67" t="str">
        <f>IF(AV303="","",AV303+6)</f>
        <v/>
      </c>
      <c r="AX303" s="66" t="str">
        <f>IF(AV303="","",TEXT(AV303,"dd/mm/yyyy")&amp;" - "&amp;TEXT(AW303,"dd/mm/yyyy"))</f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>IF(B303="","",TEXT(AY303,"00")&amp;"|"&amp;B303&amp;"|"&amp;TEXT(AT303,"yyyymmdd"))</f>
        <v/>
      </c>
      <c r="BB303" s="66" t="str">
        <f>IF(B303="","",TEXT(AZ303,"00")&amp;"|"&amp;B303&amp;"|"&amp;TEXT(AV303,"yyyymmdd"))</f>
        <v/>
      </c>
      <c r="BC303" s="66">
        <f>IF(OR(AQ303="YES",AQ303="Yes",AQ303="Y",AQ303=1),1,0)</f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17">
        <f>SUM(H304,J304,L304,N304,P304,R304,T304,V304,X304,Z304,AB304,AD304,AF304,AH304,AJ304,AL304,AN304)</f>
        <v>0</v>
      </c>
      <c r="AT304" s="67" t="str">
        <f>IF(C304="","",DATE(YEAR(C304),MONTH(C304),1))</f>
        <v/>
      </c>
      <c r="AU304" s="66" t="str">
        <f>IF(AT304="","",TEXT(AT304,"mmmm yyyy"))</f>
        <v/>
      </c>
      <c r="AV304" s="67" t="str">
        <f>IF(C304="","",C304-WEEKDAY(C304,2)+1)</f>
        <v/>
      </c>
      <c r="AW304" s="67" t="str">
        <f>IF(AV304="","",AV304+6)</f>
        <v/>
      </c>
      <c r="AX304" s="66" t="str">
        <f>IF(AV304="","",TEXT(AV304,"dd/mm/yyyy")&amp;" - "&amp;TEXT(AW304,"dd/mm/yyyy"))</f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>IF(B304="","",TEXT(AY304,"00")&amp;"|"&amp;B304&amp;"|"&amp;TEXT(AT304,"yyyymmdd"))</f>
        <v/>
      </c>
      <c r="BB304" s="66" t="str">
        <f>IF(B304="","",TEXT(AZ304,"00")&amp;"|"&amp;B304&amp;"|"&amp;TEXT(AV304,"yyyymmdd"))</f>
        <v/>
      </c>
      <c r="BC304" s="66">
        <f>IF(OR(AQ304="YES",AQ304="Yes",AQ304="Y",AQ304=1),1,0)</f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17">
        <f>SUM(H305,J305,L305,N305,P305,R305,T305,V305,X305,Z305,AB305,AD305,AF305,AH305,AJ305,AL305,AN305)</f>
        <v>0</v>
      </c>
      <c r="AT305" s="67" t="str">
        <f>IF(C305="","",DATE(YEAR(C305),MONTH(C305),1))</f>
        <v/>
      </c>
      <c r="AU305" s="66" t="str">
        <f>IF(AT305="","",TEXT(AT305,"mmmm yyyy"))</f>
        <v/>
      </c>
      <c r="AV305" s="67" t="str">
        <f>IF(C305="","",C305-WEEKDAY(C305,2)+1)</f>
        <v/>
      </c>
      <c r="AW305" s="67" t="str">
        <f>IF(AV305="","",AV305+6)</f>
        <v/>
      </c>
      <c r="AX305" s="66" t="str">
        <f>IF(AV305="","",TEXT(AV305,"dd/mm/yyyy")&amp;" - "&amp;TEXT(AW305,"dd/mm/yyyy"))</f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>IF(B305="","",TEXT(AY305,"00")&amp;"|"&amp;B305&amp;"|"&amp;TEXT(AT305,"yyyymmdd"))</f>
        <v/>
      </c>
      <c r="BB305" s="66" t="str">
        <f>IF(B305="","",TEXT(AZ305,"00")&amp;"|"&amp;B305&amp;"|"&amp;TEXT(AV305,"yyyymmdd"))</f>
        <v/>
      </c>
      <c r="BC305" s="66">
        <f>IF(OR(AQ305="YES",AQ305="Yes",AQ305="Y",AQ305=1),1,0)</f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17">
        <f>SUM(H306,J306,L306,N306,P306,R306,T306,V306,X306,Z306,AB306,AD306,AF306,AH306,AJ306,AL306,AN306)</f>
        <v>0</v>
      </c>
      <c r="AT306" s="67" t="str">
        <f>IF(C306="","",DATE(YEAR(C306),MONTH(C306),1))</f>
        <v/>
      </c>
      <c r="AU306" s="66" t="str">
        <f>IF(AT306="","",TEXT(AT306,"mmmm yyyy"))</f>
        <v/>
      </c>
      <c r="AV306" s="67" t="str">
        <f>IF(C306="","",C306-WEEKDAY(C306,2)+1)</f>
        <v/>
      </c>
      <c r="AW306" s="67" t="str">
        <f>IF(AV306="","",AV306+6)</f>
        <v/>
      </c>
      <c r="AX306" s="66" t="str">
        <f>IF(AV306="","",TEXT(AV306,"dd/mm/yyyy")&amp;" - "&amp;TEXT(AW306,"dd/mm/yyyy"))</f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>IF(B306="","",TEXT(AY306,"00")&amp;"|"&amp;B306&amp;"|"&amp;TEXT(AT306,"yyyymmdd"))</f>
        <v/>
      </c>
      <c r="BB306" s="66" t="str">
        <f>IF(B306="","",TEXT(AZ306,"00")&amp;"|"&amp;B306&amp;"|"&amp;TEXT(AV306,"yyyymmdd"))</f>
        <v/>
      </c>
      <c r="BC306" s="66">
        <f>IF(OR(AQ306="YES",AQ306="Yes",AQ306="Y",AQ306=1),1,0)</f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17">
        <f>SUM(H307,J307,L307,N307,P307,R307,T307,V307,X307,Z307,AB307,AD307,AF307,AH307,AJ307,AL307,AN307)</f>
        <v>0</v>
      </c>
      <c r="AT307" s="67" t="str">
        <f>IF(C307="","",DATE(YEAR(C307),MONTH(C307),1))</f>
        <v/>
      </c>
      <c r="AU307" s="66" t="str">
        <f>IF(AT307="","",TEXT(AT307,"mmmm yyyy"))</f>
        <v/>
      </c>
      <c r="AV307" s="67" t="str">
        <f>IF(C307="","",C307-WEEKDAY(C307,2)+1)</f>
        <v/>
      </c>
      <c r="AW307" s="67" t="str">
        <f>IF(AV307="","",AV307+6)</f>
        <v/>
      </c>
      <c r="AX307" s="66" t="str">
        <f>IF(AV307="","",TEXT(AV307,"dd/mm/yyyy")&amp;" - "&amp;TEXT(AW307,"dd/mm/yyyy"))</f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>IF(B307="","",TEXT(AY307,"00")&amp;"|"&amp;B307&amp;"|"&amp;TEXT(AT307,"yyyymmdd"))</f>
        <v/>
      </c>
      <c r="BB307" s="66" t="str">
        <f>IF(B307="","",TEXT(AZ307,"00")&amp;"|"&amp;B307&amp;"|"&amp;TEXT(AV307,"yyyymmdd"))</f>
        <v/>
      </c>
      <c r="BC307" s="66">
        <f>IF(OR(AQ307="YES",AQ307="Yes",AQ307="Y",AQ307=1),1,0)</f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17">
        <f>SUM(H308,J308,L308,N308,P308,R308,T308,V308,X308,Z308,AB308,AD308,AF308,AH308,AJ308,AL308,AN308)</f>
        <v>0</v>
      </c>
      <c r="AT308" s="67" t="str">
        <f>IF(C308="","",DATE(YEAR(C308),MONTH(C308),1))</f>
        <v/>
      </c>
      <c r="AU308" s="66" t="str">
        <f>IF(AT308="","",TEXT(AT308,"mmmm yyyy"))</f>
        <v/>
      </c>
      <c r="AV308" s="67" t="str">
        <f>IF(C308="","",C308-WEEKDAY(C308,2)+1)</f>
        <v/>
      </c>
      <c r="AW308" s="67" t="str">
        <f>IF(AV308="","",AV308+6)</f>
        <v/>
      </c>
      <c r="AX308" s="66" t="str">
        <f>IF(AV308="","",TEXT(AV308,"dd/mm/yyyy")&amp;" - "&amp;TEXT(AW308,"dd/mm/yyyy"))</f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>IF(B308="","",TEXT(AY308,"00")&amp;"|"&amp;B308&amp;"|"&amp;TEXT(AT308,"yyyymmdd"))</f>
        <v/>
      </c>
      <c r="BB308" s="66" t="str">
        <f>IF(B308="","",TEXT(AZ308,"00")&amp;"|"&amp;B308&amp;"|"&amp;TEXT(AV308,"yyyymmdd"))</f>
        <v/>
      </c>
      <c r="BC308" s="66">
        <f>IF(OR(AQ308="YES",AQ308="Yes",AQ308="Y",AQ308=1),1,0)</f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17">
        <f>SUM(H309,J309,L309,N309,P309,R309,T309,V309,X309,Z309,AB309,AD309,AF309,AH309,AJ309,AL309,AN309)</f>
        <v>0</v>
      </c>
      <c r="AT309" s="67" t="str">
        <f>IF(C309="","",DATE(YEAR(C309),MONTH(C309),1))</f>
        <v/>
      </c>
      <c r="AU309" s="66" t="str">
        <f>IF(AT309="","",TEXT(AT309,"mmmm yyyy"))</f>
        <v/>
      </c>
      <c r="AV309" s="67" t="str">
        <f>IF(C309="","",C309-WEEKDAY(C309,2)+1)</f>
        <v/>
      </c>
      <c r="AW309" s="67" t="str">
        <f>IF(AV309="","",AV309+6)</f>
        <v/>
      </c>
      <c r="AX309" s="66" t="str">
        <f>IF(AV309="","",TEXT(AV309,"dd/mm/yyyy")&amp;" - "&amp;TEXT(AW309,"dd/mm/yyyy"))</f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>IF(B309="","",TEXT(AY309,"00")&amp;"|"&amp;B309&amp;"|"&amp;TEXT(AT309,"yyyymmdd"))</f>
        <v/>
      </c>
      <c r="BB309" s="66" t="str">
        <f>IF(B309="","",TEXT(AZ309,"00")&amp;"|"&amp;B309&amp;"|"&amp;TEXT(AV309,"yyyymmdd"))</f>
        <v/>
      </c>
      <c r="BC309" s="66">
        <f>IF(OR(AQ309="YES",AQ309="Yes",AQ309="Y",AQ309=1),1,0)</f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17">
        <f>SUM(H310,J310,L310,N310,P310,R310,T310,V310,X310,Z310,AB310,AD310,AF310,AH310,AJ310,AL310,AN310)</f>
        <v>0</v>
      </c>
      <c r="AT310" s="67" t="str">
        <f>IF(C310="","",DATE(YEAR(C310),MONTH(C310),1))</f>
        <v/>
      </c>
      <c r="AU310" s="66" t="str">
        <f>IF(AT310="","",TEXT(AT310,"mmmm yyyy"))</f>
        <v/>
      </c>
      <c r="AV310" s="67" t="str">
        <f>IF(C310="","",C310-WEEKDAY(C310,2)+1)</f>
        <v/>
      </c>
      <c r="AW310" s="67" t="str">
        <f>IF(AV310="","",AV310+6)</f>
        <v/>
      </c>
      <c r="AX310" s="66" t="str">
        <f>IF(AV310="","",TEXT(AV310,"dd/mm/yyyy")&amp;" - "&amp;TEXT(AW310,"dd/mm/yyyy"))</f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>IF(B310="","",TEXT(AY310,"00")&amp;"|"&amp;B310&amp;"|"&amp;TEXT(AT310,"yyyymmdd"))</f>
        <v/>
      </c>
      <c r="BB310" s="66" t="str">
        <f>IF(B310="","",TEXT(AZ310,"00")&amp;"|"&amp;B310&amp;"|"&amp;TEXT(AV310,"yyyymmdd"))</f>
        <v/>
      </c>
      <c r="BC310" s="66">
        <f>IF(OR(AQ310="YES",AQ310="Yes",AQ310="Y",AQ310=1),1,0)</f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17">
        <f>SUM(H311,J311,L311,N311,P311,R311,T311,V311,X311,Z311,AB311,AD311,AF311,AH311,AJ311,AL311,AN311)</f>
        <v>0</v>
      </c>
      <c r="AT311" s="67" t="str">
        <f>IF(C311="","",DATE(YEAR(C311),MONTH(C311),1))</f>
        <v/>
      </c>
      <c r="AU311" s="66" t="str">
        <f>IF(AT311="","",TEXT(AT311,"mmmm yyyy"))</f>
        <v/>
      </c>
      <c r="AV311" s="67" t="str">
        <f>IF(C311="","",C311-WEEKDAY(C311,2)+1)</f>
        <v/>
      </c>
      <c r="AW311" s="67" t="str">
        <f>IF(AV311="","",AV311+6)</f>
        <v/>
      </c>
      <c r="AX311" s="66" t="str">
        <f>IF(AV311="","",TEXT(AV311,"dd/mm/yyyy")&amp;" - "&amp;TEXT(AW311,"dd/mm/yyyy"))</f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>IF(B311="","",TEXT(AY311,"00")&amp;"|"&amp;B311&amp;"|"&amp;TEXT(AT311,"yyyymmdd"))</f>
        <v/>
      </c>
      <c r="BB311" s="66" t="str">
        <f>IF(B311="","",TEXT(AZ311,"00")&amp;"|"&amp;B311&amp;"|"&amp;TEXT(AV311,"yyyymmdd"))</f>
        <v/>
      </c>
      <c r="BC311" s="66">
        <f>IF(OR(AQ311="YES",AQ311="Yes",AQ311="Y",AQ311=1),1,0)</f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17">
        <f>SUM(H312,J312,L312,N312,P312,R312,T312,V312,X312,Z312,AB312,AD312,AF312,AH312,AJ312,AL312,AN312)</f>
        <v>0</v>
      </c>
      <c r="AT312" s="67" t="str">
        <f>IF(C312="","",DATE(YEAR(C312),MONTH(C312),1))</f>
        <v/>
      </c>
      <c r="AU312" s="66" t="str">
        <f>IF(AT312="","",TEXT(AT312,"mmmm yyyy"))</f>
        <v/>
      </c>
      <c r="AV312" s="67" t="str">
        <f>IF(C312="","",C312-WEEKDAY(C312,2)+1)</f>
        <v/>
      </c>
      <c r="AW312" s="67" t="str">
        <f>IF(AV312="","",AV312+6)</f>
        <v/>
      </c>
      <c r="AX312" s="66" t="str">
        <f>IF(AV312="","",TEXT(AV312,"dd/mm/yyyy")&amp;" - "&amp;TEXT(AW312,"dd/mm/yyyy"))</f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>IF(B312="","",TEXT(AY312,"00")&amp;"|"&amp;B312&amp;"|"&amp;TEXT(AT312,"yyyymmdd"))</f>
        <v/>
      </c>
      <c r="BB312" s="66" t="str">
        <f>IF(B312="","",TEXT(AZ312,"00")&amp;"|"&amp;B312&amp;"|"&amp;TEXT(AV312,"yyyymmdd"))</f>
        <v/>
      </c>
      <c r="BC312" s="66">
        <f>IF(OR(AQ312="YES",AQ312="Yes",AQ312="Y",AQ312=1),1,0)</f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17">
        <f>SUM(H313,J313,L313,N313,P313,R313,T313,V313,X313,Z313,AB313,AD313,AF313,AH313,AJ313,AL313,AN313)</f>
        <v>0</v>
      </c>
      <c r="AT313" s="67" t="str">
        <f>IF(C313="","",DATE(YEAR(C313),MONTH(C313),1))</f>
        <v/>
      </c>
      <c r="AU313" s="66" t="str">
        <f>IF(AT313="","",TEXT(AT313,"mmmm yyyy"))</f>
        <v/>
      </c>
      <c r="AV313" s="67" t="str">
        <f>IF(C313="","",C313-WEEKDAY(C313,2)+1)</f>
        <v/>
      </c>
      <c r="AW313" s="67" t="str">
        <f>IF(AV313="","",AV313+6)</f>
        <v/>
      </c>
      <c r="AX313" s="66" t="str">
        <f>IF(AV313="","",TEXT(AV313,"dd/mm/yyyy")&amp;" - "&amp;TEXT(AW313,"dd/mm/yyyy"))</f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>IF(B313="","",TEXT(AY313,"00")&amp;"|"&amp;B313&amp;"|"&amp;TEXT(AT313,"yyyymmdd"))</f>
        <v/>
      </c>
      <c r="BB313" s="66" t="str">
        <f>IF(B313="","",TEXT(AZ313,"00")&amp;"|"&amp;B313&amp;"|"&amp;TEXT(AV313,"yyyymmdd"))</f>
        <v/>
      </c>
      <c r="BC313" s="66">
        <f>IF(OR(AQ313="YES",AQ313="Yes",AQ313="Y",AQ313=1),1,0)</f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17">
        <f>SUM(H314,J314,L314,N314,P314,R314,T314,V314,X314,Z314,AB314,AD314,AF314,AH314,AJ314,AL314,AN314)</f>
        <v>0</v>
      </c>
      <c r="AT314" s="67" t="str">
        <f>IF(C314="","",DATE(YEAR(C314),MONTH(C314),1))</f>
        <v/>
      </c>
      <c r="AU314" s="66" t="str">
        <f>IF(AT314="","",TEXT(AT314,"mmmm yyyy"))</f>
        <v/>
      </c>
      <c r="AV314" s="67" t="str">
        <f>IF(C314="","",C314-WEEKDAY(C314,2)+1)</f>
        <v/>
      </c>
      <c r="AW314" s="67" t="str">
        <f>IF(AV314="","",AV314+6)</f>
        <v/>
      </c>
      <c r="AX314" s="66" t="str">
        <f>IF(AV314="","",TEXT(AV314,"dd/mm/yyyy")&amp;" - "&amp;TEXT(AW314,"dd/mm/yyyy"))</f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>IF(B314="","",TEXT(AY314,"00")&amp;"|"&amp;B314&amp;"|"&amp;TEXT(AT314,"yyyymmdd"))</f>
        <v/>
      </c>
      <c r="BB314" s="66" t="str">
        <f>IF(B314="","",TEXT(AZ314,"00")&amp;"|"&amp;B314&amp;"|"&amp;TEXT(AV314,"yyyymmdd"))</f>
        <v/>
      </c>
      <c r="BC314" s="66">
        <f>IF(OR(AQ314="YES",AQ314="Yes",AQ314="Y",AQ314=1),1,0)</f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17">
        <f>SUM(H315,J315,L315,N315,P315,R315,T315,V315,X315,Z315,AB315,AD315,AF315,AH315,AJ315,AL315,AN315)</f>
        <v>0</v>
      </c>
      <c r="AT315" s="67" t="str">
        <f>IF(C315="","",DATE(YEAR(C315),MONTH(C315),1))</f>
        <v/>
      </c>
      <c r="AU315" s="66" t="str">
        <f>IF(AT315="","",TEXT(AT315,"mmmm yyyy"))</f>
        <v/>
      </c>
      <c r="AV315" s="67" t="str">
        <f>IF(C315="","",C315-WEEKDAY(C315,2)+1)</f>
        <v/>
      </c>
      <c r="AW315" s="67" t="str">
        <f>IF(AV315="","",AV315+6)</f>
        <v/>
      </c>
      <c r="AX315" s="66" t="str">
        <f>IF(AV315="","",TEXT(AV315,"dd/mm/yyyy")&amp;" - "&amp;TEXT(AW315,"dd/mm/yyyy"))</f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>IF(B315="","",TEXT(AY315,"00")&amp;"|"&amp;B315&amp;"|"&amp;TEXT(AT315,"yyyymmdd"))</f>
        <v/>
      </c>
      <c r="BB315" s="66" t="str">
        <f>IF(B315="","",TEXT(AZ315,"00")&amp;"|"&amp;B315&amp;"|"&amp;TEXT(AV315,"yyyymmdd"))</f>
        <v/>
      </c>
      <c r="BC315" s="66">
        <f>IF(OR(AQ315="YES",AQ315="Yes",AQ315="Y",AQ315=1),1,0)</f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17">
        <f>SUM(H316,J316,L316,N316,P316,R316,T316,V316,X316,Z316,AB316,AD316,AF316,AH316,AJ316,AL316,AN316)</f>
        <v>0</v>
      </c>
      <c r="AT316" s="67" t="str">
        <f>IF(C316="","",DATE(YEAR(C316),MONTH(C316),1))</f>
        <v/>
      </c>
      <c r="AU316" s="66" t="str">
        <f>IF(AT316="","",TEXT(AT316,"mmmm yyyy"))</f>
        <v/>
      </c>
      <c r="AV316" s="67" t="str">
        <f>IF(C316="","",C316-WEEKDAY(C316,2)+1)</f>
        <v/>
      </c>
      <c r="AW316" s="67" t="str">
        <f>IF(AV316="","",AV316+6)</f>
        <v/>
      </c>
      <c r="AX316" s="66" t="str">
        <f>IF(AV316="","",TEXT(AV316,"dd/mm/yyyy")&amp;" - "&amp;TEXT(AW316,"dd/mm/yyyy"))</f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>IF(B316="","",TEXT(AY316,"00")&amp;"|"&amp;B316&amp;"|"&amp;TEXT(AT316,"yyyymmdd"))</f>
        <v/>
      </c>
      <c r="BB316" s="66" t="str">
        <f>IF(B316="","",TEXT(AZ316,"00")&amp;"|"&amp;B316&amp;"|"&amp;TEXT(AV316,"yyyymmdd"))</f>
        <v/>
      </c>
      <c r="BC316" s="66">
        <f>IF(OR(AQ316="YES",AQ316="Yes",AQ316="Y",AQ316=1),1,0)</f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17">
        <f>SUM(H317,J317,L317,N317,P317,R317,T317,V317,X317,Z317,AB317,AD317,AF317,AH317,AJ317,AL317,AN317)</f>
        <v>0</v>
      </c>
      <c r="AT317" s="67" t="str">
        <f>IF(C317="","",DATE(YEAR(C317),MONTH(C317),1))</f>
        <v/>
      </c>
      <c r="AU317" s="66" t="str">
        <f>IF(AT317="","",TEXT(AT317,"mmmm yyyy"))</f>
        <v/>
      </c>
      <c r="AV317" s="67" t="str">
        <f>IF(C317="","",C317-WEEKDAY(C317,2)+1)</f>
        <v/>
      </c>
      <c r="AW317" s="67" t="str">
        <f>IF(AV317="","",AV317+6)</f>
        <v/>
      </c>
      <c r="AX317" s="66" t="str">
        <f>IF(AV317="","",TEXT(AV317,"dd/mm/yyyy")&amp;" - "&amp;TEXT(AW317,"dd/mm/yyyy"))</f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>IF(B317="","",TEXT(AY317,"00")&amp;"|"&amp;B317&amp;"|"&amp;TEXT(AT317,"yyyymmdd"))</f>
        <v/>
      </c>
      <c r="BB317" s="66" t="str">
        <f>IF(B317="","",TEXT(AZ317,"00")&amp;"|"&amp;B317&amp;"|"&amp;TEXT(AV317,"yyyymmdd"))</f>
        <v/>
      </c>
      <c r="BC317" s="66">
        <f>IF(OR(AQ317="YES",AQ317="Yes",AQ317="Y",AQ317=1),1,0)</f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17">
        <f>SUM(H318,J318,L318,N318,P318,R318,T318,V318,X318,Z318,AB318,AD318,AF318,AH318,AJ318,AL318,AN318)</f>
        <v>0</v>
      </c>
      <c r="AT318" s="67" t="str">
        <f>IF(C318="","",DATE(YEAR(C318),MONTH(C318),1))</f>
        <v/>
      </c>
      <c r="AU318" s="66" t="str">
        <f>IF(AT318="","",TEXT(AT318,"mmmm yyyy"))</f>
        <v/>
      </c>
      <c r="AV318" s="67" t="str">
        <f>IF(C318="","",C318-WEEKDAY(C318,2)+1)</f>
        <v/>
      </c>
      <c r="AW318" s="67" t="str">
        <f>IF(AV318="","",AV318+6)</f>
        <v/>
      </c>
      <c r="AX318" s="66" t="str">
        <f>IF(AV318="","",TEXT(AV318,"dd/mm/yyyy")&amp;" - "&amp;TEXT(AW318,"dd/mm/yyyy"))</f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>IF(B318="","",TEXT(AY318,"00")&amp;"|"&amp;B318&amp;"|"&amp;TEXT(AT318,"yyyymmdd"))</f>
        <v/>
      </c>
      <c r="BB318" s="66" t="str">
        <f>IF(B318="","",TEXT(AZ318,"00")&amp;"|"&amp;B318&amp;"|"&amp;TEXT(AV318,"yyyymmdd"))</f>
        <v/>
      </c>
      <c r="BC318" s="66">
        <f>IF(OR(AQ318="YES",AQ318="Yes",AQ318="Y",AQ318=1),1,0)</f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17">
        <f>SUM(H319,J319,L319,N319,P319,R319,T319,V319,X319,Z319,AB319,AD319,AF319,AH319,AJ319,AL319,AN319)</f>
        <v>0</v>
      </c>
      <c r="AT319" s="67" t="str">
        <f>IF(C319="","",DATE(YEAR(C319),MONTH(C319),1))</f>
        <v/>
      </c>
      <c r="AU319" s="66" t="str">
        <f>IF(AT319="","",TEXT(AT319,"mmmm yyyy"))</f>
        <v/>
      </c>
      <c r="AV319" s="67" t="str">
        <f>IF(C319="","",C319-WEEKDAY(C319,2)+1)</f>
        <v/>
      </c>
      <c r="AW319" s="67" t="str">
        <f>IF(AV319="","",AV319+6)</f>
        <v/>
      </c>
      <c r="AX319" s="66" t="str">
        <f>IF(AV319="","",TEXT(AV319,"dd/mm/yyyy")&amp;" - "&amp;TEXT(AW319,"dd/mm/yyyy"))</f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>IF(B319="","",TEXT(AY319,"00")&amp;"|"&amp;B319&amp;"|"&amp;TEXT(AT319,"yyyymmdd"))</f>
        <v/>
      </c>
      <c r="BB319" s="66" t="str">
        <f>IF(B319="","",TEXT(AZ319,"00")&amp;"|"&amp;B319&amp;"|"&amp;TEXT(AV319,"yyyymmdd"))</f>
        <v/>
      </c>
      <c r="BC319" s="66">
        <f>IF(OR(AQ319="YES",AQ319="Yes",AQ319="Y",AQ319=1),1,0)</f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17">
        <f>SUM(H320,J320,L320,N320,P320,R320,T320,V320,X320,Z320,AB320,AD320,AF320,AH320,AJ320,AL320,AN320)</f>
        <v>0</v>
      </c>
      <c r="AT320" s="67" t="str">
        <f>IF(C320="","",DATE(YEAR(C320),MONTH(C320),1))</f>
        <v/>
      </c>
      <c r="AU320" s="66" t="str">
        <f>IF(AT320="","",TEXT(AT320,"mmmm yyyy"))</f>
        <v/>
      </c>
      <c r="AV320" s="67" t="str">
        <f>IF(C320="","",C320-WEEKDAY(C320,2)+1)</f>
        <v/>
      </c>
      <c r="AW320" s="67" t="str">
        <f>IF(AV320="","",AV320+6)</f>
        <v/>
      </c>
      <c r="AX320" s="66" t="str">
        <f>IF(AV320="","",TEXT(AV320,"dd/mm/yyyy")&amp;" - "&amp;TEXT(AW320,"dd/mm/yyyy"))</f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>IF(B320="","",TEXT(AY320,"00")&amp;"|"&amp;B320&amp;"|"&amp;TEXT(AT320,"yyyymmdd"))</f>
        <v/>
      </c>
      <c r="BB320" s="66" t="str">
        <f>IF(B320="","",TEXT(AZ320,"00")&amp;"|"&amp;B320&amp;"|"&amp;TEXT(AV320,"yyyymmdd"))</f>
        <v/>
      </c>
      <c r="BC320" s="66">
        <f>IF(OR(AQ320="YES",AQ320="Yes",AQ320="Y",AQ320=1),1,0)</f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17">
        <f>SUM(H321,J321,L321,N321,P321,R321,T321,V321,X321,Z321,AB321,AD321,AF321,AH321,AJ321,AL321,AN321)</f>
        <v>0</v>
      </c>
      <c r="AT321" s="67" t="str">
        <f>IF(C321="","",DATE(YEAR(C321),MONTH(C321),1))</f>
        <v/>
      </c>
      <c r="AU321" s="66" t="str">
        <f>IF(AT321="","",TEXT(AT321,"mmmm yyyy"))</f>
        <v/>
      </c>
      <c r="AV321" s="67" t="str">
        <f>IF(C321="","",C321-WEEKDAY(C321,2)+1)</f>
        <v/>
      </c>
      <c r="AW321" s="67" t="str">
        <f>IF(AV321="","",AV321+6)</f>
        <v/>
      </c>
      <c r="AX321" s="66" t="str">
        <f>IF(AV321="","",TEXT(AV321,"dd/mm/yyyy")&amp;" - "&amp;TEXT(AW321,"dd/mm/yyyy"))</f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>IF(B321="","",TEXT(AY321,"00")&amp;"|"&amp;B321&amp;"|"&amp;TEXT(AT321,"yyyymmdd"))</f>
        <v/>
      </c>
      <c r="BB321" s="66" t="str">
        <f>IF(B321="","",TEXT(AZ321,"00")&amp;"|"&amp;B321&amp;"|"&amp;TEXT(AV321,"yyyymmdd"))</f>
        <v/>
      </c>
      <c r="BC321" s="66">
        <f>IF(OR(AQ321="YES",AQ321="Yes",AQ321="Y",AQ321=1),1,0)</f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17">
        <f>SUM(H322,J322,L322,N322,P322,R322,T322,V322,X322,Z322,AB322,AD322,AF322,AH322,AJ322,AL322,AN322)</f>
        <v>0</v>
      </c>
      <c r="AT322" s="67" t="str">
        <f>IF(C322="","",DATE(YEAR(C322),MONTH(C322),1))</f>
        <v/>
      </c>
      <c r="AU322" s="66" t="str">
        <f>IF(AT322="","",TEXT(AT322,"mmmm yyyy"))</f>
        <v/>
      </c>
      <c r="AV322" s="67" t="str">
        <f>IF(C322="","",C322-WEEKDAY(C322,2)+1)</f>
        <v/>
      </c>
      <c r="AW322" s="67" t="str">
        <f>IF(AV322="","",AV322+6)</f>
        <v/>
      </c>
      <c r="AX322" s="66" t="str">
        <f>IF(AV322="","",TEXT(AV322,"dd/mm/yyyy")&amp;" - "&amp;TEXT(AW322,"dd/mm/yyyy"))</f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>IF(B322="","",TEXT(AY322,"00")&amp;"|"&amp;B322&amp;"|"&amp;TEXT(AT322,"yyyymmdd"))</f>
        <v/>
      </c>
      <c r="BB322" s="66" t="str">
        <f>IF(B322="","",TEXT(AZ322,"00")&amp;"|"&amp;B322&amp;"|"&amp;TEXT(AV322,"yyyymmdd"))</f>
        <v/>
      </c>
      <c r="BC322" s="66">
        <f>IF(OR(AQ322="YES",AQ322="Yes",AQ322="Y",AQ322=1),1,0)</f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17">
        <f>SUM(H323,J323,L323,N323,P323,R323,T323,V323,X323,Z323,AB323,AD323,AF323,AH323,AJ323,AL323,AN323)</f>
        <v>0</v>
      </c>
      <c r="AT323" s="67" t="str">
        <f>IF(C323="","",DATE(YEAR(C323),MONTH(C323),1))</f>
        <v/>
      </c>
      <c r="AU323" s="66" t="str">
        <f>IF(AT323="","",TEXT(AT323,"mmmm yyyy"))</f>
        <v/>
      </c>
      <c r="AV323" s="67" t="str">
        <f>IF(C323="","",C323-WEEKDAY(C323,2)+1)</f>
        <v/>
      </c>
      <c r="AW323" s="67" t="str">
        <f>IF(AV323="","",AV323+6)</f>
        <v/>
      </c>
      <c r="AX323" s="66" t="str">
        <f>IF(AV323="","",TEXT(AV323,"dd/mm/yyyy")&amp;" - "&amp;TEXT(AW323,"dd/mm/yyyy"))</f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>IF(B323="","",TEXT(AY323,"00")&amp;"|"&amp;B323&amp;"|"&amp;TEXT(AT323,"yyyymmdd"))</f>
        <v/>
      </c>
      <c r="BB323" s="66" t="str">
        <f>IF(B323="","",TEXT(AZ323,"00")&amp;"|"&amp;B323&amp;"|"&amp;TEXT(AV323,"yyyymmdd"))</f>
        <v/>
      </c>
      <c r="BC323" s="66">
        <f>IF(OR(AQ323="YES",AQ323="Yes",AQ323="Y",AQ323=1),1,0)</f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17">
        <f>SUM(H324,J324,L324,N324,P324,R324,T324,V324,X324,Z324,AB324,AD324,AF324,AH324,AJ324,AL324,AN324)</f>
        <v>0</v>
      </c>
      <c r="AT324" s="67" t="str">
        <f>IF(C324="","",DATE(YEAR(C324),MONTH(C324),1))</f>
        <v/>
      </c>
      <c r="AU324" s="66" t="str">
        <f>IF(AT324="","",TEXT(AT324,"mmmm yyyy"))</f>
        <v/>
      </c>
      <c r="AV324" s="67" t="str">
        <f>IF(C324="","",C324-WEEKDAY(C324,2)+1)</f>
        <v/>
      </c>
      <c r="AW324" s="67" t="str">
        <f>IF(AV324="","",AV324+6)</f>
        <v/>
      </c>
      <c r="AX324" s="66" t="str">
        <f>IF(AV324="","",TEXT(AV324,"dd/mm/yyyy")&amp;" - "&amp;TEXT(AW324,"dd/mm/yyyy"))</f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>IF(B324="","",TEXT(AY324,"00")&amp;"|"&amp;B324&amp;"|"&amp;TEXT(AT324,"yyyymmdd"))</f>
        <v/>
      </c>
      <c r="BB324" s="66" t="str">
        <f>IF(B324="","",TEXT(AZ324,"00")&amp;"|"&amp;B324&amp;"|"&amp;TEXT(AV324,"yyyymmdd"))</f>
        <v/>
      </c>
      <c r="BC324" s="66">
        <f>IF(OR(AQ324="YES",AQ324="Yes",AQ324="Y",AQ324=1),1,0)</f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17">
        <f>SUM(H325,J325,L325,N325,P325,R325,T325,V325,X325,Z325,AB325,AD325,AF325,AH325,AJ325,AL325,AN325)</f>
        <v>0</v>
      </c>
      <c r="AT325" s="67" t="str">
        <f>IF(C325="","",DATE(YEAR(C325),MONTH(C325),1))</f>
        <v/>
      </c>
      <c r="AU325" s="66" t="str">
        <f>IF(AT325="","",TEXT(AT325,"mmmm yyyy"))</f>
        <v/>
      </c>
      <c r="AV325" s="67" t="str">
        <f>IF(C325="","",C325-WEEKDAY(C325,2)+1)</f>
        <v/>
      </c>
      <c r="AW325" s="67" t="str">
        <f>IF(AV325="","",AV325+6)</f>
        <v/>
      </c>
      <c r="AX325" s="66" t="str">
        <f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>IF(B325="","",TEXT(AY325,"00")&amp;"|"&amp;B325&amp;"|"&amp;TEXT(AT325,"yyyymmdd"))</f>
        <v/>
      </c>
      <c r="BB325" s="66" t="str">
        <f>IF(B325="","",TEXT(AZ325,"00")&amp;"|"&amp;B325&amp;"|"&amp;TEXT(AV325,"yyyymmdd"))</f>
        <v/>
      </c>
      <c r="BC325" s="66">
        <f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17">
        <f>SUM(H326,J326,L326,N326,P326,R326,T326,V326,X326,Z326,AB326,AD326,AF326,AH326,AJ326,AL326,AN326)</f>
        <v>0</v>
      </c>
      <c r="AT326" s="67" t="str">
        <f>IF(C326="","",DATE(YEAR(C326),MONTH(C326),1))</f>
        <v/>
      </c>
      <c r="AU326" s="66" t="str">
        <f>IF(AT326="","",TEXT(AT326,"mmmm yyyy"))</f>
        <v/>
      </c>
      <c r="AV326" s="67" t="str">
        <f>IF(C326="","",C326-WEEKDAY(C326,2)+1)</f>
        <v/>
      </c>
      <c r="AW326" s="67" t="str">
        <f>IF(AV326="","",AV326+6)</f>
        <v/>
      </c>
      <c r="AX326" s="66" t="str">
        <f>IF(AV326="","",TEXT(AV326,"dd/mm/yyyy")&amp;" - "&amp;TEXT(AW326,"dd/mm/yyyy"))</f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>IF(B326="","",TEXT(AY326,"00")&amp;"|"&amp;B326&amp;"|"&amp;TEXT(AT326,"yyyymmdd"))</f>
        <v/>
      </c>
      <c r="BB326" s="66" t="str">
        <f>IF(B326="","",TEXT(AZ326,"00")&amp;"|"&amp;B326&amp;"|"&amp;TEXT(AV326,"yyyymmdd"))</f>
        <v/>
      </c>
      <c r="BC326" s="66">
        <f>IF(OR(AQ326="YES",AQ326="Yes",AQ326="Y",AQ326=1),1,0)</f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17">
        <f>SUM(H327,J327,L327,N327,P327,R327,T327,V327,X327,Z327,AB327,AD327,AF327,AH327,AJ327,AL327,AN327)</f>
        <v>0</v>
      </c>
      <c r="AT327" s="67" t="str">
        <f>IF(C327="","",DATE(YEAR(C327),MONTH(C327),1))</f>
        <v/>
      </c>
      <c r="AU327" s="66" t="str">
        <f>IF(AT327="","",TEXT(AT327,"mmmm yyyy"))</f>
        <v/>
      </c>
      <c r="AV327" s="67" t="str">
        <f>IF(C327="","",C327-WEEKDAY(C327,2)+1)</f>
        <v/>
      </c>
      <c r="AW327" s="67" t="str">
        <f>IF(AV327="","",AV327+6)</f>
        <v/>
      </c>
      <c r="AX327" s="66" t="str">
        <f>IF(AV327="","",TEXT(AV327,"dd/mm/yyyy")&amp;" - "&amp;TEXT(AW327,"dd/mm/yyyy"))</f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>IF(B327="","",TEXT(AY327,"00")&amp;"|"&amp;B327&amp;"|"&amp;TEXT(AT327,"yyyymmdd"))</f>
        <v/>
      </c>
      <c r="BB327" s="66" t="str">
        <f>IF(B327="","",TEXT(AZ327,"00")&amp;"|"&amp;B327&amp;"|"&amp;TEXT(AV327,"yyyymmdd"))</f>
        <v/>
      </c>
      <c r="BC327" s="66">
        <f>IF(OR(AQ327="YES",AQ327="Yes",AQ327="Y",AQ327=1),1,0)</f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17">
        <f>SUM(H328,J328,L328,N328,P328,R328,T328,V328,X328,Z328,AB328,AD328,AF328,AH328,AJ328,AL328,AN328)</f>
        <v>0</v>
      </c>
      <c r="AT328" s="67" t="str">
        <f>IF(C328="","",DATE(YEAR(C328),MONTH(C328),1))</f>
        <v/>
      </c>
      <c r="AU328" s="66" t="str">
        <f>IF(AT328="","",TEXT(AT328,"mmmm yyyy"))</f>
        <v/>
      </c>
      <c r="AV328" s="67" t="str">
        <f>IF(C328="","",C328-WEEKDAY(C328,2)+1)</f>
        <v/>
      </c>
      <c r="AW328" s="67" t="str">
        <f>IF(AV328="","",AV328+6)</f>
        <v/>
      </c>
      <c r="AX328" s="66" t="str">
        <f>IF(AV328="","",TEXT(AV328,"dd/mm/yyyy")&amp;" - "&amp;TEXT(AW328,"dd/mm/yyyy"))</f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>IF(B328="","",TEXT(AY328,"00")&amp;"|"&amp;B328&amp;"|"&amp;TEXT(AT328,"yyyymmdd"))</f>
        <v/>
      </c>
      <c r="BB328" s="66" t="str">
        <f>IF(B328="","",TEXT(AZ328,"00")&amp;"|"&amp;B328&amp;"|"&amp;TEXT(AV328,"yyyymmdd"))</f>
        <v/>
      </c>
      <c r="BC328" s="66">
        <f>IF(OR(AQ328="YES",AQ328="Yes",AQ328="Y",AQ328=1),1,0)</f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17">
        <f>SUM(H329,J329,L329,N329,P329,R329,T329,V329,X329,Z329,AB329,AD329,AF329,AH329,AJ329,AL329,AN329)</f>
        <v>0</v>
      </c>
      <c r="AT329" s="67" t="str">
        <f>IF(C329="","",DATE(YEAR(C329),MONTH(C329),1))</f>
        <v/>
      </c>
      <c r="AU329" s="66" t="str">
        <f>IF(AT329="","",TEXT(AT329,"mmmm yyyy"))</f>
        <v/>
      </c>
      <c r="AV329" s="67" t="str">
        <f>IF(C329="","",C329-WEEKDAY(C329,2)+1)</f>
        <v/>
      </c>
      <c r="AW329" s="67" t="str">
        <f>IF(AV329="","",AV329+6)</f>
        <v/>
      </c>
      <c r="AX329" s="66" t="str">
        <f>IF(AV329="","",TEXT(AV329,"dd/mm/yyyy")&amp;" - "&amp;TEXT(AW329,"dd/mm/yyyy"))</f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>IF(B329="","",TEXT(AY329,"00")&amp;"|"&amp;B329&amp;"|"&amp;TEXT(AT329,"yyyymmdd"))</f>
        <v/>
      </c>
      <c r="BB329" s="66" t="str">
        <f>IF(B329="","",TEXT(AZ329,"00")&amp;"|"&amp;B329&amp;"|"&amp;TEXT(AV329,"yyyymmdd"))</f>
        <v/>
      </c>
      <c r="BC329" s="66">
        <f>IF(OR(AQ329="YES",AQ329="Yes",AQ329="Y",AQ329=1),1,0)</f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17">
        <f>SUM(H330,J330,L330,N330,P330,R330,T330,V330,X330,Z330,AB330,AD330,AF330,AH330,AJ330,AL330,AN330)</f>
        <v>0</v>
      </c>
      <c r="AT330" s="67" t="str">
        <f>IF(C330="","",DATE(YEAR(C330),MONTH(C330),1))</f>
        <v/>
      </c>
      <c r="AU330" s="66" t="str">
        <f>IF(AT330="","",TEXT(AT330,"mmmm yyyy"))</f>
        <v/>
      </c>
      <c r="AV330" s="67" t="str">
        <f>IF(C330="","",C330-WEEKDAY(C330,2)+1)</f>
        <v/>
      </c>
      <c r="AW330" s="67" t="str">
        <f>IF(AV330="","",AV330+6)</f>
        <v/>
      </c>
      <c r="AX330" s="66" t="str">
        <f>IF(AV330="","",TEXT(AV330,"dd/mm/yyyy")&amp;" - "&amp;TEXT(AW330,"dd/mm/yyyy"))</f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>IF(B330="","",TEXT(AY330,"00")&amp;"|"&amp;B330&amp;"|"&amp;TEXT(AT330,"yyyymmdd"))</f>
        <v/>
      </c>
      <c r="BB330" s="66" t="str">
        <f>IF(B330="","",TEXT(AZ330,"00")&amp;"|"&amp;B330&amp;"|"&amp;TEXT(AV330,"yyyymmdd"))</f>
        <v/>
      </c>
      <c r="BC330" s="66">
        <f>IF(OR(AQ330="YES",AQ330="Yes",AQ330="Y",AQ330=1),1,0)</f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17">
        <f>SUM(H331,J331,L331,N331,P331,R331,T331,V331,X331,Z331,AB331,AD331,AF331,AH331,AJ331,AL331,AN331)</f>
        <v>0</v>
      </c>
      <c r="AT331" s="67" t="str">
        <f>IF(C331="","",DATE(YEAR(C331),MONTH(C331),1))</f>
        <v/>
      </c>
      <c r="AU331" s="66" t="str">
        <f>IF(AT331="","",TEXT(AT331,"mmmm yyyy"))</f>
        <v/>
      </c>
      <c r="AV331" s="67" t="str">
        <f>IF(C331="","",C331-WEEKDAY(C331,2)+1)</f>
        <v/>
      </c>
      <c r="AW331" s="67" t="str">
        <f>IF(AV331="","",AV331+6)</f>
        <v/>
      </c>
      <c r="AX331" s="66" t="str">
        <f>IF(AV331="","",TEXT(AV331,"dd/mm/yyyy")&amp;" - "&amp;TEXT(AW331,"dd/mm/yyyy"))</f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>IF(B331="","",TEXT(AY331,"00")&amp;"|"&amp;B331&amp;"|"&amp;TEXT(AT331,"yyyymmdd"))</f>
        <v/>
      </c>
      <c r="BB331" s="66" t="str">
        <f>IF(B331="","",TEXT(AZ331,"00")&amp;"|"&amp;B331&amp;"|"&amp;TEXT(AV331,"yyyymmdd"))</f>
        <v/>
      </c>
      <c r="BC331" s="66">
        <f>IF(OR(AQ331="YES",AQ331="Yes",AQ331="Y",AQ331=1),1,0)</f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17">
        <f>SUM(H332,J332,L332,N332,P332,R332,T332,V332,X332,Z332,AB332,AD332,AF332,AH332,AJ332,AL332,AN332)</f>
        <v>0</v>
      </c>
      <c r="AT332" s="67" t="str">
        <f>IF(C332="","",DATE(YEAR(C332),MONTH(C332),1))</f>
        <v/>
      </c>
      <c r="AU332" s="66" t="str">
        <f>IF(AT332="","",TEXT(AT332,"mmmm yyyy"))</f>
        <v/>
      </c>
      <c r="AV332" s="67" t="str">
        <f>IF(C332="","",C332-WEEKDAY(C332,2)+1)</f>
        <v/>
      </c>
      <c r="AW332" s="67" t="str">
        <f>IF(AV332="","",AV332+6)</f>
        <v/>
      </c>
      <c r="AX332" s="66" t="str">
        <f>IF(AV332="","",TEXT(AV332,"dd/mm/yyyy")&amp;" - "&amp;TEXT(AW332,"dd/mm/yyyy"))</f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>IF(B332="","",TEXT(AY332,"00")&amp;"|"&amp;B332&amp;"|"&amp;TEXT(AT332,"yyyymmdd"))</f>
        <v/>
      </c>
      <c r="BB332" s="66" t="str">
        <f>IF(B332="","",TEXT(AZ332,"00")&amp;"|"&amp;B332&amp;"|"&amp;TEXT(AV332,"yyyymmdd"))</f>
        <v/>
      </c>
      <c r="BC332" s="66">
        <f>IF(OR(AQ332="YES",AQ332="Yes",AQ332="Y",AQ332=1),1,0)</f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17">
        <f>SUM(H333,J333,L333,N333,P333,R333,T333,V333,X333,Z333,AB333,AD333,AF333,AH333,AJ333,AL333,AN333)</f>
        <v>0</v>
      </c>
      <c r="AT333" s="67" t="str">
        <f>IF(C333="","",DATE(YEAR(C333),MONTH(C333),1))</f>
        <v/>
      </c>
      <c r="AU333" s="66" t="str">
        <f>IF(AT333="","",TEXT(AT333,"mmmm yyyy"))</f>
        <v/>
      </c>
      <c r="AV333" s="67" t="str">
        <f>IF(C333="","",C333-WEEKDAY(C333,2)+1)</f>
        <v/>
      </c>
      <c r="AW333" s="67" t="str">
        <f>IF(AV333="","",AV333+6)</f>
        <v/>
      </c>
      <c r="AX333" s="66" t="str">
        <f>IF(AV333="","",TEXT(AV333,"dd/mm/yyyy")&amp;" - "&amp;TEXT(AW333,"dd/mm/yyyy"))</f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>IF(B333="","",TEXT(AY333,"00")&amp;"|"&amp;B333&amp;"|"&amp;TEXT(AT333,"yyyymmdd"))</f>
        <v/>
      </c>
      <c r="BB333" s="66" t="str">
        <f>IF(B333="","",TEXT(AZ333,"00")&amp;"|"&amp;B333&amp;"|"&amp;TEXT(AV333,"yyyymmdd"))</f>
        <v/>
      </c>
      <c r="BC333" s="66">
        <f>IF(OR(AQ333="YES",AQ333="Yes",AQ333="Y",AQ333=1),1,0)</f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17">
        <f>SUM(H334,J334,L334,N334,P334,R334,T334,V334,X334,Z334,AB334,AD334,AF334,AH334,AJ334,AL334,AN334)</f>
        <v>0</v>
      </c>
      <c r="AT334" s="67" t="str">
        <f>IF(C334="","",DATE(YEAR(C334),MONTH(C334),1))</f>
        <v/>
      </c>
      <c r="AU334" s="66" t="str">
        <f>IF(AT334="","",TEXT(AT334,"mmmm yyyy"))</f>
        <v/>
      </c>
      <c r="AV334" s="67" t="str">
        <f>IF(C334="","",C334-WEEKDAY(C334,2)+1)</f>
        <v/>
      </c>
      <c r="AW334" s="67" t="str">
        <f>IF(AV334="","",AV334+6)</f>
        <v/>
      </c>
      <c r="AX334" s="66" t="str">
        <f>IF(AV334="","",TEXT(AV334,"dd/mm/yyyy")&amp;" - "&amp;TEXT(AW334,"dd/mm/yyyy"))</f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>IF(B334="","",TEXT(AY334,"00")&amp;"|"&amp;B334&amp;"|"&amp;TEXT(AT334,"yyyymmdd"))</f>
        <v/>
      </c>
      <c r="BB334" s="66" t="str">
        <f>IF(B334="","",TEXT(AZ334,"00")&amp;"|"&amp;B334&amp;"|"&amp;TEXT(AV334,"yyyymmdd"))</f>
        <v/>
      </c>
      <c r="BC334" s="66">
        <f>IF(OR(AQ334="YES",AQ334="Yes",AQ334="Y",AQ334=1),1,0)</f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17">
        <f>SUM(H335,J335,L335,N335,P335,R335,T335,V335,X335,Z335,AB335,AD335,AF335,AH335,AJ335,AL335,AN335)</f>
        <v>0</v>
      </c>
      <c r="AT335" s="67" t="str">
        <f>IF(C335="","",DATE(YEAR(C335),MONTH(C335),1))</f>
        <v/>
      </c>
      <c r="AU335" s="66" t="str">
        <f>IF(AT335="","",TEXT(AT335,"mmmm yyyy"))</f>
        <v/>
      </c>
      <c r="AV335" s="67" t="str">
        <f>IF(C335="","",C335-WEEKDAY(C335,2)+1)</f>
        <v/>
      </c>
      <c r="AW335" s="67" t="str">
        <f>IF(AV335="","",AV335+6)</f>
        <v/>
      </c>
      <c r="AX335" s="66" t="str">
        <f>IF(AV335="","",TEXT(AV335,"dd/mm/yyyy")&amp;" - "&amp;TEXT(AW335,"dd/mm/yyyy"))</f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>IF(B335="","",TEXT(AY335,"00")&amp;"|"&amp;B335&amp;"|"&amp;TEXT(AT335,"yyyymmdd"))</f>
        <v/>
      </c>
      <c r="BB335" s="66" t="str">
        <f>IF(B335="","",TEXT(AZ335,"00")&amp;"|"&amp;B335&amp;"|"&amp;TEXT(AV335,"yyyymmdd"))</f>
        <v/>
      </c>
      <c r="BC335" s="66">
        <f>IF(OR(AQ335="YES",AQ335="Yes",AQ335="Y",AQ335=1),1,0)</f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17">
        <f>SUM(H336,J336,L336,N336,P336,R336,T336,V336,X336,Z336,AB336,AD336,AF336,AH336,AJ336,AL336,AN336)</f>
        <v>0</v>
      </c>
      <c r="AT336" s="67" t="str">
        <f>IF(C336="","",DATE(YEAR(C336),MONTH(C336),1))</f>
        <v/>
      </c>
      <c r="AU336" s="66" t="str">
        <f>IF(AT336="","",TEXT(AT336,"mmmm yyyy"))</f>
        <v/>
      </c>
      <c r="AV336" s="67" t="str">
        <f>IF(C336="","",C336-WEEKDAY(C336,2)+1)</f>
        <v/>
      </c>
      <c r="AW336" s="67" t="str">
        <f>IF(AV336="","",AV336+6)</f>
        <v/>
      </c>
      <c r="AX336" s="66" t="str">
        <f>IF(AV336="","",TEXT(AV336,"dd/mm/yyyy")&amp;" - "&amp;TEXT(AW336,"dd/mm/yyyy"))</f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>IF(B336="","",TEXT(AY336,"00")&amp;"|"&amp;B336&amp;"|"&amp;TEXT(AT336,"yyyymmdd"))</f>
        <v/>
      </c>
      <c r="BB336" s="66" t="str">
        <f>IF(B336="","",TEXT(AZ336,"00")&amp;"|"&amp;B336&amp;"|"&amp;TEXT(AV336,"yyyymmdd"))</f>
        <v/>
      </c>
      <c r="BC336" s="66">
        <f>IF(OR(AQ336="YES",AQ336="Yes",AQ336="Y",AQ336=1),1,0)</f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17">
        <f>SUM(H337,J337,L337,N337,P337,R337,T337,V337,X337,Z337,AB337,AD337,AF337,AH337,AJ337,AL337,AN337)</f>
        <v>0</v>
      </c>
      <c r="AT337" s="67" t="str">
        <f>IF(C337="","",DATE(YEAR(C337),MONTH(C337),1))</f>
        <v/>
      </c>
      <c r="AU337" s="66" t="str">
        <f>IF(AT337="","",TEXT(AT337,"mmmm yyyy"))</f>
        <v/>
      </c>
      <c r="AV337" s="67" t="str">
        <f>IF(C337="","",C337-WEEKDAY(C337,2)+1)</f>
        <v/>
      </c>
      <c r="AW337" s="67" t="str">
        <f>IF(AV337="","",AV337+6)</f>
        <v/>
      </c>
      <c r="AX337" s="66" t="str">
        <f>IF(AV337="","",TEXT(AV337,"dd/mm/yyyy")&amp;" - "&amp;TEXT(AW337,"dd/mm/yyyy"))</f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>IF(B337="","",TEXT(AY337,"00")&amp;"|"&amp;B337&amp;"|"&amp;TEXT(AT337,"yyyymmdd"))</f>
        <v/>
      </c>
      <c r="BB337" s="66" t="str">
        <f>IF(B337="","",TEXT(AZ337,"00")&amp;"|"&amp;B337&amp;"|"&amp;TEXT(AV337,"yyyymmdd"))</f>
        <v/>
      </c>
      <c r="BC337" s="66">
        <f>IF(OR(AQ337="YES",AQ337="Yes",AQ337="Y",AQ337=1),1,0)</f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17">
        <f>SUM(H338,J338,L338,N338,P338,R338,T338,V338,X338,Z338,AB338,AD338,AF338,AH338,AJ338,AL338,AN338)</f>
        <v>0</v>
      </c>
      <c r="AT338" s="67" t="str">
        <f>IF(C338="","",DATE(YEAR(C338),MONTH(C338),1))</f>
        <v/>
      </c>
      <c r="AU338" s="66" t="str">
        <f>IF(AT338="","",TEXT(AT338,"mmmm yyyy"))</f>
        <v/>
      </c>
      <c r="AV338" s="67" t="str">
        <f>IF(C338="","",C338-WEEKDAY(C338,2)+1)</f>
        <v/>
      </c>
      <c r="AW338" s="67" t="str">
        <f>IF(AV338="","",AV338+6)</f>
        <v/>
      </c>
      <c r="AX338" s="66" t="str">
        <f>IF(AV338="","",TEXT(AV338,"dd/mm/yyyy")&amp;" - "&amp;TEXT(AW338,"dd/mm/yyyy"))</f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>IF(B338="","",TEXT(AY338,"00")&amp;"|"&amp;B338&amp;"|"&amp;TEXT(AT338,"yyyymmdd"))</f>
        <v/>
      </c>
      <c r="BB338" s="66" t="str">
        <f>IF(B338="","",TEXT(AZ338,"00")&amp;"|"&amp;B338&amp;"|"&amp;TEXT(AV338,"yyyymmdd"))</f>
        <v/>
      </c>
      <c r="BC338" s="66">
        <f>IF(OR(AQ338="YES",AQ338="Yes",AQ338="Y",AQ338=1),1,0)</f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17">
        <f>SUM(H339,J339,L339,N339,P339,R339,T339,V339,X339,Z339,AB339,AD339,AF339,AH339,AJ339,AL339,AN339)</f>
        <v>0</v>
      </c>
      <c r="AT339" s="67" t="str">
        <f>IF(C339="","",DATE(YEAR(C339),MONTH(C339),1))</f>
        <v/>
      </c>
      <c r="AU339" s="66" t="str">
        <f>IF(AT339="","",TEXT(AT339,"mmmm yyyy"))</f>
        <v/>
      </c>
      <c r="AV339" s="67" t="str">
        <f>IF(C339="","",C339-WEEKDAY(C339,2)+1)</f>
        <v/>
      </c>
      <c r="AW339" s="67" t="str">
        <f>IF(AV339="","",AV339+6)</f>
        <v/>
      </c>
      <c r="AX339" s="66" t="str">
        <f>IF(AV339="","",TEXT(AV339,"dd/mm/yyyy")&amp;" - "&amp;TEXT(AW339,"dd/mm/yyyy"))</f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>IF(B339="","",TEXT(AY339,"00")&amp;"|"&amp;B339&amp;"|"&amp;TEXT(AT339,"yyyymmdd"))</f>
        <v/>
      </c>
      <c r="BB339" s="66" t="str">
        <f>IF(B339="","",TEXT(AZ339,"00")&amp;"|"&amp;B339&amp;"|"&amp;TEXT(AV339,"yyyymmdd"))</f>
        <v/>
      </c>
      <c r="BC339" s="66">
        <f>IF(OR(AQ339="YES",AQ339="Yes",AQ339="Y",AQ339=1),1,0)</f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17">
        <f>SUM(H340,J340,L340,N340,P340,R340,T340,V340,X340,Z340,AB340,AD340,AF340,AH340,AJ340,AL340,AN340)</f>
        <v>0</v>
      </c>
      <c r="AT340" s="67" t="str">
        <f>IF(C340="","",DATE(YEAR(C340),MONTH(C340),1))</f>
        <v/>
      </c>
      <c r="AU340" s="66" t="str">
        <f>IF(AT340="","",TEXT(AT340,"mmmm yyyy"))</f>
        <v/>
      </c>
      <c r="AV340" s="67" t="str">
        <f>IF(C340="","",C340-WEEKDAY(C340,2)+1)</f>
        <v/>
      </c>
      <c r="AW340" s="67" t="str">
        <f>IF(AV340="","",AV340+6)</f>
        <v/>
      </c>
      <c r="AX340" s="66" t="str">
        <f>IF(AV340="","",TEXT(AV340,"dd/mm/yyyy")&amp;" - "&amp;TEXT(AW340,"dd/mm/yyyy"))</f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>IF(B340="","",TEXT(AY340,"00")&amp;"|"&amp;B340&amp;"|"&amp;TEXT(AT340,"yyyymmdd"))</f>
        <v/>
      </c>
      <c r="BB340" s="66" t="str">
        <f>IF(B340="","",TEXT(AZ340,"00")&amp;"|"&amp;B340&amp;"|"&amp;TEXT(AV340,"yyyymmdd"))</f>
        <v/>
      </c>
      <c r="BC340" s="66">
        <f>IF(OR(AQ340="YES",AQ340="Yes",AQ340="Y",AQ340=1),1,0)</f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17">
        <f>SUM(H341,J341,L341,N341,P341,R341,T341,V341,X341,Z341,AB341,AD341,AF341,AH341,AJ341,AL341,AN341)</f>
        <v>0</v>
      </c>
      <c r="AT341" s="67" t="str">
        <f>IF(C341="","",DATE(YEAR(C341),MONTH(C341),1))</f>
        <v/>
      </c>
      <c r="AU341" s="66" t="str">
        <f>IF(AT341="","",TEXT(AT341,"mmmm yyyy"))</f>
        <v/>
      </c>
      <c r="AV341" s="67" t="str">
        <f>IF(C341="","",C341-WEEKDAY(C341,2)+1)</f>
        <v/>
      </c>
      <c r="AW341" s="67" t="str">
        <f>IF(AV341="","",AV341+6)</f>
        <v/>
      </c>
      <c r="AX341" s="66" t="str">
        <f>IF(AV341="","",TEXT(AV341,"dd/mm/yyyy")&amp;" - "&amp;TEXT(AW341,"dd/mm/yyyy"))</f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>IF(B341="","",TEXT(AY341,"00")&amp;"|"&amp;B341&amp;"|"&amp;TEXT(AT341,"yyyymmdd"))</f>
        <v/>
      </c>
      <c r="BB341" s="66" t="str">
        <f>IF(B341="","",TEXT(AZ341,"00")&amp;"|"&amp;B341&amp;"|"&amp;TEXT(AV341,"yyyymmdd"))</f>
        <v/>
      </c>
      <c r="BC341" s="66">
        <f>IF(OR(AQ341="YES",AQ341="Yes",AQ341="Y",AQ341=1),1,0)</f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17">
        <f>SUM(H342,J342,L342,N342,P342,R342,T342,V342,X342,Z342,AB342,AD342,AF342,AH342,AJ342,AL342,AN342)</f>
        <v>0</v>
      </c>
      <c r="AT342" s="67" t="str">
        <f>IF(C342="","",DATE(YEAR(C342),MONTH(C342),1))</f>
        <v/>
      </c>
      <c r="AU342" s="66" t="str">
        <f>IF(AT342="","",TEXT(AT342,"mmmm yyyy"))</f>
        <v/>
      </c>
      <c r="AV342" s="67" t="str">
        <f>IF(C342="","",C342-WEEKDAY(C342,2)+1)</f>
        <v/>
      </c>
      <c r="AW342" s="67" t="str">
        <f>IF(AV342="","",AV342+6)</f>
        <v/>
      </c>
      <c r="AX342" s="66" t="str">
        <f>IF(AV342="","",TEXT(AV342,"dd/mm/yyyy")&amp;" - "&amp;TEXT(AW342,"dd/mm/yyyy"))</f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>IF(B342="","",TEXT(AY342,"00")&amp;"|"&amp;B342&amp;"|"&amp;TEXT(AT342,"yyyymmdd"))</f>
        <v/>
      </c>
      <c r="BB342" s="66" t="str">
        <f>IF(B342="","",TEXT(AZ342,"00")&amp;"|"&amp;B342&amp;"|"&amp;TEXT(AV342,"yyyymmdd"))</f>
        <v/>
      </c>
      <c r="BC342" s="66">
        <f>IF(OR(AQ342="YES",AQ342="Yes",AQ342="Y",AQ342=1),1,0)</f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17">
        <f>SUM(H343,J343,L343,N343,P343,R343,T343,V343,X343,Z343,AB343,AD343,AF343,AH343,AJ343,AL343,AN343)</f>
        <v>0</v>
      </c>
      <c r="AT343" s="67" t="str">
        <f>IF(C343="","",DATE(YEAR(C343),MONTH(C343),1))</f>
        <v/>
      </c>
      <c r="AU343" s="66" t="str">
        <f>IF(AT343="","",TEXT(AT343,"mmmm yyyy"))</f>
        <v/>
      </c>
      <c r="AV343" s="67" t="str">
        <f>IF(C343="","",C343-WEEKDAY(C343,2)+1)</f>
        <v/>
      </c>
      <c r="AW343" s="67" t="str">
        <f>IF(AV343="","",AV343+6)</f>
        <v/>
      </c>
      <c r="AX343" s="66" t="str">
        <f>IF(AV343="","",TEXT(AV343,"dd/mm/yyyy")&amp;" - "&amp;TEXT(AW343,"dd/mm/yyyy"))</f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>IF(B343="","",TEXT(AY343,"00")&amp;"|"&amp;B343&amp;"|"&amp;TEXT(AT343,"yyyymmdd"))</f>
        <v/>
      </c>
      <c r="BB343" s="66" t="str">
        <f>IF(B343="","",TEXT(AZ343,"00")&amp;"|"&amp;B343&amp;"|"&amp;TEXT(AV343,"yyyymmdd"))</f>
        <v/>
      </c>
      <c r="BC343" s="66">
        <f>IF(OR(AQ343="YES",AQ343="Yes",AQ343="Y",AQ343=1),1,0)</f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17">
        <f>SUM(H344,J344,L344,N344,P344,R344,T344,V344,X344,Z344,AB344,AD344,AF344,AH344,AJ344,AL344,AN344)</f>
        <v>0</v>
      </c>
      <c r="AT344" s="67" t="str">
        <f>IF(C344="","",DATE(YEAR(C344),MONTH(C344),1))</f>
        <v/>
      </c>
      <c r="AU344" s="66" t="str">
        <f>IF(AT344="","",TEXT(AT344,"mmmm yyyy"))</f>
        <v/>
      </c>
      <c r="AV344" s="67" t="str">
        <f>IF(C344="","",C344-WEEKDAY(C344,2)+1)</f>
        <v/>
      </c>
      <c r="AW344" s="67" t="str">
        <f>IF(AV344="","",AV344+6)</f>
        <v/>
      </c>
      <c r="AX344" s="66" t="str">
        <f>IF(AV344="","",TEXT(AV344,"dd/mm/yyyy")&amp;" - "&amp;TEXT(AW344,"dd/mm/yyyy"))</f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>IF(B344="","",TEXT(AY344,"00")&amp;"|"&amp;B344&amp;"|"&amp;TEXT(AT344,"yyyymmdd"))</f>
        <v/>
      </c>
      <c r="BB344" s="66" t="str">
        <f>IF(B344="","",TEXT(AZ344,"00")&amp;"|"&amp;B344&amp;"|"&amp;TEXT(AV344,"yyyymmdd"))</f>
        <v/>
      </c>
      <c r="BC344" s="66">
        <f>IF(OR(AQ344="YES",AQ344="Yes",AQ344="Y",AQ344=1),1,0)</f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17">
        <f>SUM(H345,J345,L345,N345,P345,R345,T345,V345,X345,Z345,AB345,AD345,AF345,AH345,AJ345,AL345,AN345)</f>
        <v>0</v>
      </c>
      <c r="AT345" s="67" t="str">
        <f>IF(C345="","",DATE(YEAR(C345),MONTH(C345),1))</f>
        <v/>
      </c>
      <c r="AU345" s="66" t="str">
        <f>IF(AT345="","",TEXT(AT345,"mmmm yyyy"))</f>
        <v/>
      </c>
      <c r="AV345" s="67" t="str">
        <f>IF(C345="","",C345-WEEKDAY(C345,2)+1)</f>
        <v/>
      </c>
      <c r="AW345" s="67" t="str">
        <f>IF(AV345="","",AV345+6)</f>
        <v/>
      </c>
      <c r="AX345" s="66" t="str">
        <f>IF(AV345="","",TEXT(AV345,"dd/mm/yyyy")&amp;" - "&amp;TEXT(AW345,"dd/mm/yyyy"))</f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>IF(B345="","",TEXT(AY345,"00")&amp;"|"&amp;B345&amp;"|"&amp;TEXT(AT345,"yyyymmdd"))</f>
        <v/>
      </c>
      <c r="BB345" s="66" t="str">
        <f>IF(B345="","",TEXT(AZ345,"00")&amp;"|"&amp;B345&amp;"|"&amp;TEXT(AV345,"yyyymmdd"))</f>
        <v/>
      </c>
      <c r="BC345" s="66">
        <f>IF(OR(AQ345="YES",AQ345="Yes",AQ345="Y",AQ345=1),1,0)</f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17">
        <f>SUM(H346,J346,L346,N346,P346,R346,T346,V346,X346,Z346,AB346,AD346,AF346,AH346,AJ346,AL346,AN346)</f>
        <v>0</v>
      </c>
      <c r="AT346" s="67" t="str">
        <f>IF(C346="","",DATE(YEAR(C346),MONTH(C346),1))</f>
        <v/>
      </c>
      <c r="AU346" s="66" t="str">
        <f>IF(AT346="","",TEXT(AT346,"mmmm yyyy"))</f>
        <v/>
      </c>
      <c r="AV346" s="67" t="str">
        <f>IF(C346="","",C346-WEEKDAY(C346,2)+1)</f>
        <v/>
      </c>
      <c r="AW346" s="67" t="str">
        <f>IF(AV346="","",AV346+6)</f>
        <v/>
      </c>
      <c r="AX346" s="66" t="str">
        <f>IF(AV346="","",TEXT(AV346,"dd/mm/yyyy")&amp;" - "&amp;TEXT(AW346,"dd/mm/yyyy"))</f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>IF(B346="","",TEXT(AY346,"00")&amp;"|"&amp;B346&amp;"|"&amp;TEXT(AT346,"yyyymmdd"))</f>
        <v/>
      </c>
      <c r="BB346" s="66" t="str">
        <f>IF(B346="","",TEXT(AZ346,"00")&amp;"|"&amp;B346&amp;"|"&amp;TEXT(AV346,"yyyymmdd"))</f>
        <v/>
      </c>
      <c r="BC346" s="66">
        <f>IF(OR(AQ346="YES",AQ346="Yes",AQ346="Y",AQ346=1),1,0)</f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17">
        <f>SUM(H347,J347,L347,N347,P347,R347,T347,V347,X347,Z347,AB347,AD347,AF347,AH347,AJ347,AL347,AN347)</f>
        <v>0</v>
      </c>
      <c r="AT347" s="67" t="str">
        <f>IF(C347="","",DATE(YEAR(C347),MONTH(C347),1))</f>
        <v/>
      </c>
      <c r="AU347" s="66" t="str">
        <f>IF(AT347="","",TEXT(AT347,"mmmm yyyy"))</f>
        <v/>
      </c>
      <c r="AV347" s="67" t="str">
        <f>IF(C347="","",C347-WEEKDAY(C347,2)+1)</f>
        <v/>
      </c>
      <c r="AW347" s="67" t="str">
        <f>IF(AV347="","",AV347+6)</f>
        <v/>
      </c>
      <c r="AX347" s="66" t="str">
        <f>IF(AV347="","",TEXT(AV347,"dd/mm/yyyy")&amp;" - "&amp;TEXT(AW347,"dd/mm/yyyy"))</f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>IF(B347="","",TEXT(AY347,"00")&amp;"|"&amp;B347&amp;"|"&amp;TEXT(AT347,"yyyymmdd"))</f>
        <v/>
      </c>
      <c r="BB347" s="66" t="str">
        <f>IF(B347="","",TEXT(AZ347,"00")&amp;"|"&amp;B347&amp;"|"&amp;TEXT(AV347,"yyyymmdd"))</f>
        <v/>
      </c>
      <c r="BC347" s="66">
        <f>IF(OR(AQ347="YES",AQ347="Yes",AQ347="Y",AQ347=1),1,0)</f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17">
        <f>SUM(H348,J348,L348,N348,P348,R348,T348,V348,X348,Z348,AB348,AD348,AF348,AH348,AJ348,AL348,AN348)</f>
        <v>0</v>
      </c>
      <c r="AT348" s="67" t="str">
        <f>IF(C348="","",DATE(YEAR(C348),MONTH(C348),1))</f>
        <v/>
      </c>
      <c r="AU348" s="66" t="str">
        <f>IF(AT348="","",TEXT(AT348,"mmmm yyyy"))</f>
        <v/>
      </c>
      <c r="AV348" s="67" t="str">
        <f>IF(C348="","",C348-WEEKDAY(C348,2)+1)</f>
        <v/>
      </c>
      <c r="AW348" s="67" t="str">
        <f>IF(AV348="","",AV348+6)</f>
        <v/>
      </c>
      <c r="AX348" s="66" t="str">
        <f>IF(AV348="","",TEXT(AV348,"dd/mm/yyyy")&amp;" - "&amp;TEXT(AW348,"dd/mm/yyyy"))</f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>IF(B348="","",TEXT(AY348,"00")&amp;"|"&amp;B348&amp;"|"&amp;TEXT(AT348,"yyyymmdd"))</f>
        <v/>
      </c>
      <c r="BB348" s="66" t="str">
        <f>IF(B348="","",TEXT(AZ348,"00")&amp;"|"&amp;B348&amp;"|"&amp;TEXT(AV348,"yyyymmdd"))</f>
        <v/>
      </c>
      <c r="BC348" s="66">
        <f>IF(OR(AQ348="YES",AQ348="Yes",AQ348="Y",AQ348=1),1,0)</f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17">
        <f>SUM(H349,J349,L349,N349,P349,R349,T349,V349,X349,Z349,AB349,AD349,AF349,AH349,AJ349,AL349,AN349)</f>
        <v>0</v>
      </c>
      <c r="AT349" s="67" t="str">
        <f>IF(C349="","",DATE(YEAR(C349),MONTH(C349),1))</f>
        <v/>
      </c>
      <c r="AU349" s="66" t="str">
        <f>IF(AT349="","",TEXT(AT349,"mmmm yyyy"))</f>
        <v/>
      </c>
      <c r="AV349" s="67" t="str">
        <f>IF(C349="","",C349-WEEKDAY(C349,2)+1)</f>
        <v/>
      </c>
      <c r="AW349" s="67" t="str">
        <f>IF(AV349="","",AV349+6)</f>
        <v/>
      </c>
      <c r="AX349" s="66" t="str">
        <f>IF(AV349="","",TEXT(AV349,"dd/mm/yyyy")&amp;" - "&amp;TEXT(AW349,"dd/mm/yyyy"))</f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>IF(B349="","",TEXT(AY349,"00")&amp;"|"&amp;B349&amp;"|"&amp;TEXT(AT349,"yyyymmdd"))</f>
        <v/>
      </c>
      <c r="BB349" s="66" t="str">
        <f>IF(B349="","",TEXT(AZ349,"00")&amp;"|"&amp;B349&amp;"|"&amp;TEXT(AV349,"yyyymmdd"))</f>
        <v/>
      </c>
      <c r="BC349" s="66">
        <f>IF(OR(AQ349="YES",AQ349="Yes",AQ349="Y",AQ349=1),1,0)</f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17">
        <f>SUM(H350,J350,L350,N350,P350,R350,T350,V350,X350,Z350,AB350,AD350,AF350,AH350,AJ350,AL350,AN350)</f>
        <v>0</v>
      </c>
      <c r="AT350" s="67" t="str">
        <f>IF(C350="","",DATE(YEAR(C350),MONTH(C350),1))</f>
        <v/>
      </c>
      <c r="AU350" s="66" t="str">
        <f>IF(AT350="","",TEXT(AT350,"mmmm yyyy"))</f>
        <v/>
      </c>
      <c r="AV350" s="67" t="str">
        <f>IF(C350="","",C350-WEEKDAY(C350,2)+1)</f>
        <v/>
      </c>
      <c r="AW350" s="67" t="str">
        <f>IF(AV350="","",AV350+6)</f>
        <v/>
      </c>
      <c r="AX350" s="66" t="str">
        <f>IF(AV350="","",TEXT(AV350,"dd/mm/yyyy")&amp;" - "&amp;TEXT(AW350,"dd/mm/yyyy"))</f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>IF(B350="","",TEXT(AY350,"00")&amp;"|"&amp;B350&amp;"|"&amp;TEXT(AT350,"yyyymmdd"))</f>
        <v/>
      </c>
      <c r="BB350" s="66" t="str">
        <f>IF(B350="","",TEXT(AZ350,"00")&amp;"|"&amp;B350&amp;"|"&amp;TEXT(AV350,"yyyymmdd"))</f>
        <v/>
      </c>
      <c r="BC350" s="66">
        <f>IF(OR(AQ350="YES",AQ350="Yes",AQ350="Y",AQ350=1),1,0)</f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17">
        <f>SUM(H351,J351,L351,N351,P351,R351,T351,V351,X351,Z351,AB351,AD351,AF351,AH351,AJ351,AL351,AN351)</f>
        <v>0</v>
      </c>
      <c r="AT351" s="67" t="str">
        <f>IF(C351="","",DATE(YEAR(C351),MONTH(C351),1))</f>
        <v/>
      </c>
      <c r="AU351" s="66" t="str">
        <f>IF(AT351="","",TEXT(AT351,"mmmm yyyy"))</f>
        <v/>
      </c>
      <c r="AV351" s="67" t="str">
        <f>IF(C351="","",C351-WEEKDAY(C351,2)+1)</f>
        <v/>
      </c>
      <c r="AW351" s="67" t="str">
        <f>IF(AV351="","",AV351+6)</f>
        <v/>
      </c>
      <c r="AX351" s="66" t="str">
        <f>IF(AV351="","",TEXT(AV351,"dd/mm/yyyy")&amp;" - "&amp;TEXT(AW351,"dd/mm/yyyy"))</f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>IF(B351="","",TEXT(AY351,"00")&amp;"|"&amp;B351&amp;"|"&amp;TEXT(AT351,"yyyymmdd"))</f>
        <v/>
      </c>
      <c r="BB351" s="66" t="str">
        <f>IF(B351="","",TEXT(AZ351,"00")&amp;"|"&amp;B351&amp;"|"&amp;TEXT(AV351,"yyyymmdd"))</f>
        <v/>
      </c>
      <c r="BC351" s="66">
        <f>IF(OR(AQ351="YES",AQ351="Yes",AQ351="Y",AQ351=1),1,0)</f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17">
        <f>SUM(H352,J352,L352,N352,P352,R352,T352,V352,X352,Z352,AB352,AD352,AF352,AH352,AJ352,AL352,AN352)</f>
        <v>0</v>
      </c>
      <c r="AT352" s="67" t="str">
        <f>IF(C352="","",DATE(YEAR(C352),MONTH(C352),1))</f>
        <v/>
      </c>
      <c r="AU352" s="66" t="str">
        <f>IF(AT352="","",TEXT(AT352,"mmmm yyyy"))</f>
        <v/>
      </c>
      <c r="AV352" s="67" t="str">
        <f>IF(C352="","",C352-WEEKDAY(C352,2)+1)</f>
        <v/>
      </c>
      <c r="AW352" s="67" t="str">
        <f>IF(AV352="","",AV352+6)</f>
        <v/>
      </c>
      <c r="AX352" s="66" t="str">
        <f>IF(AV352="","",TEXT(AV352,"dd/mm/yyyy")&amp;" - "&amp;TEXT(AW352,"dd/mm/yyyy"))</f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>IF(B352="","",TEXT(AY352,"00")&amp;"|"&amp;B352&amp;"|"&amp;TEXT(AT352,"yyyymmdd"))</f>
        <v/>
      </c>
      <c r="BB352" s="66" t="str">
        <f>IF(B352="","",TEXT(AZ352,"00")&amp;"|"&amp;B352&amp;"|"&amp;TEXT(AV352,"yyyymmdd"))</f>
        <v/>
      </c>
      <c r="BC352" s="66">
        <f>IF(OR(AQ352="YES",AQ352="Yes",AQ352="Y",AQ352=1),1,0)</f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17">
        <f>SUM(H353,J353,L353,N353,P353,R353,T353,V353,X353,Z353,AB353,AD353,AF353,AH353,AJ353,AL353,AN353)</f>
        <v>0</v>
      </c>
      <c r="AT353" s="67" t="str">
        <f>IF(C353="","",DATE(YEAR(C353),MONTH(C353),1))</f>
        <v/>
      </c>
      <c r="AU353" s="66" t="str">
        <f>IF(AT353="","",TEXT(AT353,"mmmm yyyy"))</f>
        <v/>
      </c>
      <c r="AV353" s="67" t="str">
        <f>IF(C353="","",C353-WEEKDAY(C353,2)+1)</f>
        <v/>
      </c>
      <c r="AW353" s="67" t="str">
        <f>IF(AV353="","",AV353+6)</f>
        <v/>
      </c>
      <c r="AX353" s="66" t="str">
        <f>IF(AV353="","",TEXT(AV353,"dd/mm/yyyy")&amp;" - "&amp;TEXT(AW353,"dd/mm/yyyy"))</f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>IF(B353="","",TEXT(AY353,"00")&amp;"|"&amp;B353&amp;"|"&amp;TEXT(AT353,"yyyymmdd"))</f>
        <v/>
      </c>
      <c r="BB353" s="66" t="str">
        <f>IF(B353="","",TEXT(AZ353,"00")&amp;"|"&amp;B353&amp;"|"&amp;TEXT(AV353,"yyyymmdd"))</f>
        <v/>
      </c>
      <c r="BC353" s="66">
        <f>IF(OR(AQ353="YES",AQ353="Yes",AQ353="Y",AQ353=1),1,0)</f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17">
        <f>SUM(H354,J354,L354,N354,P354,R354,T354,V354,X354,Z354,AB354,AD354,AF354,AH354,AJ354,AL354,AN354)</f>
        <v>0</v>
      </c>
      <c r="AT354" s="67" t="str">
        <f>IF(C354="","",DATE(YEAR(C354),MONTH(C354),1))</f>
        <v/>
      </c>
      <c r="AU354" s="66" t="str">
        <f>IF(AT354="","",TEXT(AT354,"mmmm yyyy"))</f>
        <v/>
      </c>
      <c r="AV354" s="67" t="str">
        <f>IF(C354="","",C354-WEEKDAY(C354,2)+1)</f>
        <v/>
      </c>
      <c r="AW354" s="67" t="str">
        <f>IF(AV354="","",AV354+6)</f>
        <v/>
      </c>
      <c r="AX354" s="66" t="str">
        <f>IF(AV354="","",TEXT(AV354,"dd/mm/yyyy")&amp;" - "&amp;TEXT(AW354,"dd/mm/yyyy"))</f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>IF(B354="","",TEXT(AY354,"00")&amp;"|"&amp;B354&amp;"|"&amp;TEXT(AT354,"yyyymmdd"))</f>
        <v/>
      </c>
      <c r="BB354" s="66" t="str">
        <f>IF(B354="","",TEXT(AZ354,"00")&amp;"|"&amp;B354&amp;"|"&amp;TEXT(AV354,"yyyymmdd"))</f>
        <v/>
      </c>
      <c r="BC354" s="66">
        <f>IF(OR(AQ354="YES",AQ354="Yes",AQ354="Y",AQ354=1),1,0)</f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17">
        <f>SUM(H355,J355,L355,N355,P355,R355,T355,V355,X355,Z355,AB355,AD355,AF355,AH355,AJ355,AL355,AN355)</f>
        <v>0</v>
      </c>
      <c r="AT355" s="67" t="str">
        <f>IF(C355="","",DATE(YEAR(C355),MONTH(C355),1))</f>
        <v/>
      </c>
      <c r="AU355" s="66" t="str">
        <f>IF(AT355="","",TEXT(AT355,"mmmm yyyy"))</f>
        <v/>
      </c>
      <c r="AV355" s="67" t="str">
        <f>IF(C355="","",C355-WEEKDAY(C355,2)+1)</f>
        <v/>
      </c>
      <c r="AW355" s="67" t="str">
        <f>IF(AV355="","",AV355+6)</f>
        <v/>
      </c>
      <c r="AX355" s="66" t="str">
        <f>IF(AV355="","",TEXT(AV355,"dd/mm/yyyy")&amp;" - "&amp;TEXT(AW355,"dd/mm/yyyy"))</f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>IF(B355="","",TEXT(AY355,"00")&amp;"|"&amp;B355&amp;"|"&amp;TEXT(AT355,"yyyymmdd"))</f>
        <v/>
      </c>
      <c r="BB355" s="66" t="str">
        <f>IF(B355="","",TEXT(AZ355,"00")&amp;"|"&amp;B355&amp;"|"&amp;TEXT(AV355,"yyyymmdd"))</f>
        <v/>
      </c>
      <c r="BC355" s="66">
        <f>IF(OR(AQ355="YES",AQ355="Yes",AQ355="Y",AQ355=1),1,0)</f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17">
        <f>SUM(H356,J356,L356,N356,P356,R356,T356,V356,X356,Z356,AB356,AD356,AF356,AH356,AJ356,AL356,AN356)</f>
        <v>0</v>
      </c>
      <c r="AT356" s="67" t="str">
        <f>IF(C356="","",DATE(YEAR(C356),MONTH(C356),1))</f>
        <v/>
      </c>
      <c r="AU356" s="66" t="str">
        <f>IF(AT356="","",TEXT(AT356,"mmmm yyyy"))</f>
        <v/>
      </c>
      <c r="AV356" s="67" t="str">
        <f>IF(C356="","",C356-WEEKDAY(C356,2)+1)</f>
        <v/>
      </c>
      <c r="AW356" s="67" t="str">
        <f>IF(AV356="","",AV356+6)</f>
        <v/>
      </c>
      <c r="AX356" s="66" t="str">
        <f>IF(AV356="","",TEXT(AV356,"dd/mm/yyyy")&amp;" - "&amp;TEXT(AW356,"dd/mm/yyyy"))</f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>IF(B356="","",TEXT(AY356,"00")&amp;"|"&amp;B356&amp;"|"&amp;TEXT(AT356,"yyyymmdd"))</f>
        <v/>
      </c>
      <c r="BB356" s="66" t="str">
        <f>IF(B356="","",TEXT(AZ356,"00")&amp;"|"&amp;B356&amp;"|"&amp;TEXT(AV356,"yyyymmdd"))</f>
        <v/>
      </c>
      <c r="BC356" s="66">
        <f>IF(OR(AQ356="YES",AQ356="Yes",AQ356="Y",AQ356=1),1,0)</f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17">
        <f>SUM(H357,J357,L357,N357,P357,R357,T357,V357,X357,Z357,AB357,AD357,AF357,AH357,AJ357,AL357,AN357)</f>
        <v>0</v>
      </c>
      <c r="AT357" s="67" t="str">
        <f>IF(C357="","",DATE(YEAR(C357),MONTH(C357),1))</f>
        <v/>
      </c>
      <c r="AU357" s="66" t="str">
        <f>IF(AT357="","",TEXT(AT357,"mmmm yyyy"))</f>
        <v/>
      </c>
      <c r="AV357" s="67" t="str">
        <f>IF(C357="","",C357-WEEKDAY(C357,2)+1)</f>
        <v/>
      </c>
      <c r="AW357" s="67" t="str">
        <f>IF(AV357="","",AV357+6)</f>
        <v/>
      </c>
      <c r="AX357" s="66" t="str">
        <f>IF(AV357="","",TEXT(AV357,"dd/mm/yyyy")&amp;" - "&amp;TEXT(AW357,"dd/mm/yyyy"))</f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>IF(B357="","",TEXT(AY357,"00")&amp;"|"&amp;B357&amp;"|"&amp;TEXT(AT357,"yyyymmdd"))</f>
        <v/>
      </c>
      <c r="BB357" s="66" t="str">
        <f>IF(B357="","",TEXT(AZ357,"00")&amp;"|"&amp;B357&amp;"|"&amp;TEXT(AV357,"yyyymmdd"))</f>
        <v/>
      </c>
      <c r="BC357" s="66">
        <f>IF(OR(AQ357="YES",AQ357="Yes",AQ357="Y",AQ357=1),1,0)</f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17">
        <f>SUM(H358,J358,L358,N358,P358,R358,T358,V358,X358,Z358,AB358,AD358,AF358,AH358,AJ358,AL358,AN358)</f>
        <v>0</v>
      </c>
      <c r="AT358" s="67" t="str">
        <f>IF(C358="","",DATE(YEAR(C358),MONTH(C358),1))</f>
        <v/>
      </c>
      <c r="AU358" s="66" t="str">
        <f>IF(AT358="","",TEXT(AT358,"mmmm yyyy"))</f>
        <v/>
      </c>
      <c r="AV358" s="67" t="str">
        <f>IF(C358="","",C358-WEEKDAY(C358,2)+1)</f>
        <v/>
      </c>
      <c r="AW358" s="67" t="str">
        <f>IF(AV358="","",AV358+6)</f>
        <v/>
      </c>
      <c r="AX358" s="66" t="str">
        <f>IF(AV358="","",TEXT(AV358,"dd/mm/yyyy")&amp;" - "&amp;TEXT(AW358,"dd/mm/yyyy"))</f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>IF(B358="","",TEXT(AY358,"00")&amp;"|"&amp;B358&amp;"|"&amp;TEXT(AT358,"yyyymmdd"))</f>
        <v/>
      </c>
      <c r="BB358" s="66" t="str">
        <f>IF(B358="","",TEXT(AZ358,"00")&amp;"|"&amp;B358&amp;"|"&amp;TEXT(AV358,"yyyymmdd"))</f>
        <v/>
      </c>
      <c r="BC358" s="66">
        <f>IF(OR(AQ358="YES",AQ358="Yes",AQ358="Y",AQ358=1),1,0)</f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17">
        <f>SUM(H359,J359,L359,N359,P359,R359,T359,V359,X359,Z359,AB359,AD359,AF359,AH359,AJ359,AL359,AN359)</f>
        <v>0</v>
      </c>
      <c r="AT359" s="67" t="str">
        <f>IF(C359="","",DATE(YEAR(C359),MONTH(C359),1))</f>
        <v/>
      </c>
      <c r="AU359" s="66" t="str">
        <f>IF(AT359="","",TEXT(AT359,"mmmm yyyy"))</f>
        <v/>
      </c>
      <c r="AV359" s="67" t="str">
        <f>IF(C359="","",C359-WEEKDAY(C359,2)+1)</f>
        <v/>
      </c>
      <c r="AW359" s="67" t="str">
        <f>IF(AV359="","",AV359+6)</f>
        <v/>
      </c>
      <c r="AX359" s="66" t="str">
        <f>IF(AV359="","",TEXT(AV359,"dd/mm/yyyy")&amp;" - "&amp;TEXT(AW359,"dd/mm/yyyy"))</f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>IF(B359="","",TEXT(AY359,"00")&amp;"|"&amp;B359&amp;"|"&amp;TEXT(AT359,"yyyymmdd"))</f>
        <v/>
      </c>
      <c r="BB359" s="66" t="str">
        <f>IF(B359="","",TEXT(AZ359,"00")&amp;"|"&amp;B359&amp;"|"&amp;TEXT(AV359,"yyyymmdd"))</f>
        <v/>
      </c>
      <c r="BC359" s="66">
        <f>IF(OR(AQ359="YES",AQ359="Yes",AQ359="Y",AQ359=1),1,0)</f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17">
        <f>SUM(H360,J360,L360,N360,P360,R360,T360,V360,X360,Z360,AB360,AD360,AF360,AH360,AJ360,AL360,AN360)</f>
        <v>0</v>
      </c>
      <c r="AT360" s="67" t="str">
        <f>IF(C360="","",DATE(YEAR(C360),MONTH(C360),1))</f>
        <v/>
      </c>
      <c r="AU360" s="66" t="str">
        <f>IF(AT360="","",TEXT(AT360,"mmmm yyyy"))</f>
        <v/>
      </c>
      <c r="AV360" s="67" t="str">
        <f>IF(C360="","",C360-WEEKDAY(C360,2)+1)</f>
        <v/>
      </c>
      <c r="AW360" s="67" t="str">
        <f>IF(AV360="","",AV360+6)</f>
        <v/>
      </c>
      <c r="AX360" s="66" t="str">
        <f>IF(AV360="","",TEXT(AV360,"dd/mm/yyyy")&amp;" - "&amp;TEXT(AW360,"dd/mm/yyyy"))</f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>IF(B360="","",TEXT(AY360,"00")&amp;"|"&amp;B360&amp;"|"&amp;TEXT(AT360,"yyyymmdd"))</f>
        <v/>
      </c>
      <c r="BB360" s="66" t="str">
        <f>IF(B360="","",TEXT(AZ360,"00")&amp;"|"&amp;B360&amp;"|"&amp;TEXT(AV360,"yyyymmdd"))</f>
        <v/>
      </c>
      <c r="BC360" s="66">
        <f>IF(OR(AQ360="YES",AQ360="Yes",AQ360="Y",AQ360=1),1,0)</f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17">
        <f>SUM(H361,J361,L361,N361,P361,R361,T361,V361,X361,Z361,AB361,AD361,AF361,AH361,AJ361,AL361,AN361)</f>
        <v>0</v>
      </c>
      <c r="AT361" s="67" t="str">
        <f>IF(C361="","",DATE(YEAR(C361),MONTH(C361),1))</f>
        <v/>
      </c>
      <c r="AU361" s="66" t="str">
        <f>IF(AT361="","",TEXT(AT361,"mmmm yyyy"))</f>
        <v/>
      </c>
      <c r="AV361" s="67" t="str">
        <f>IF(C361="","",C361-WEEKDAY(C361,2)+1)</f>
        <v/>
      </c>
      <c r="AW361" s="67" t="str">
        <f>IF(AV361="","",AV361+6)</f>
        <v/>
      </c>
      <c r="AX361" s="66" t="str">
        <f>IF(AV361="","",TEXT(AV361,"dd/mm/yyyy")&amp;" - "&amp;TEXT(AW361,"dd/mm/yyyy"))</f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>IF(B361="","",TEXT(AY361,"00")&amp;"|"&amp;B361&amp;"|"&amp;TEXT(AT361,"yyyymmdd"))</f>
        <v/>
      </c>
      <c r="BB361" s="66" t="str">
        <f>IF(B361="","",TEXT(AZ361,"00")&amp;"|"&amp;B361&amp;"|"&amp;TEXT(AV361,"yyyymmdd"))</f>
        <v/>
      </c>
      <c r="BC361" s="66">
        <f>IF(OR(AQ361="YES",AQ361="Yes",AQ361="Y",AQ361=1),1,0)</f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17">
        <f>SUM(H362,J362,L362,N362,P362,R362,T362,V362,X362,Z362,AB362,AD362,AF362,AH362,AJ362,AL362,AN362)</f>
        <v>0</v>
      </c>
      <c r="AT362" s="67" t="str">
        <f>IF(C362="","",DATE(YEAR(C362),MONTH(C362),1))</f>
        <v/>
      </c>
      <c r="AU362" s="66" t="str">
        <f>IF(AT362="","",TEXT(AT362,"mmmm yyyy"))</f>
        <v/>
      </c>
      <c r="AV362" s="67" t="str">
        <f>IF(C362="","",C362-WEEKDAY(C362,2)+1)</f>
        <v/>
      </c>
      <c r="AW362" s="67" t="str">
        <f>IF(AV362="","",AV362+6)</f>
        <v/>
      </c>
      <c r="AX362" s="66" t="str">
        <f>IF(AV362="","",TEXT(AV362,"dd/mm/yyyy")&amp;" - "&amp;TEXT(AW362,"dd/mm/yyyy"))</f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>IF(B362="","",TEXT(AY362,"00")&amp;"|"&amp;B362&amp;"|"&amp;TEXT(AT362,"yyyymmdd"))</f>
        <v/>
      </c>
      <c r="BB362" s="66" t="str">
        <f>IF(B362="","",TEXT(AZ362,"00")&amp;"|"&amp;B362&amp;"|"&amp;TEXT(AV362,"yyyymmdd"))</f>
        <v/>
      </c>
      <c r="BC362" s="66">
        <f>IF(OR(AQ362="YES",AQ362="Yes",AQ362="Y",AQ362=1),1,0)</f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17">
        <f>SUM(H363,J363,L363,N363,P363,R363,T363,V363,X363,Z363,AB363,AD363,AF363,AH363,AJ363,AL363,AN363)</f>
        <v>0</v>
      </c>
      <c r="AT363" s="67" t="str">
        <f>IF(C363="","",DATE(YEAR(C363),MONTH(C363),1))</f>
        <v/>
      </c>
      <c r="AU363" s="66" t="str">
        <f>IF(AT363="","",TEXT(AT363,"mmmm yyyy"))</f>
        <v/>
      </c>
      <c r="AV363" s="67" t="str">
        <f>IF(C363="","",C363-WEEKDAY(C363,2)+1)</f>
        <v/>
      </c>
      <c r="AW363" s="67" t="str">
        <f>IF(AV363="","",AV363+6)</f>
        <v/>
      </c>
      <c r="AX363" s="66" t="str">
        <f>IF(AV363="","",TEXT(AV363,"dd/mm/yyyy")&amp;" - "&amp;TEXT(AW363,"dd/mm/yyyy"))</f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>IF(B363="","",TEXT(AY363,"00")&amp;"|"&amp;B363&amp;"|"&amp;TEXT(AT363,"yyyymmdd"))</f>
        <v/>
      </c>
      <c r="BB363" s="66" t="str">
        <f>IF(B363="","",TEXT(AZ363,"00")&amp;"|"&amp;B363&amp;"|"&amp;TEXT(AV363,"yyyymmdd"))</f>
        <v/>
      </c>
      <c r="BC363" s="66">
        <f>IF(OR(AQ363="YES",AQ363="Yes",AQ363="Y",AQ363=1),1,0)</f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17">
        <f>SUM(H364,J364,L364,N364,P364,R364,T364,V364,X364,Z364,AB364,AD364,AF364,AH364,AJ364,AL364,AN364)</f>
        <v>0</v>
      </c>
      <c r="AT364" s="67" t="str">
        <f>IF(C364="","",DATE(YEAR(C364),MONTH(C364),1))</f>
        <v/>
      </c>
      <c r="AU364" s="66" t="str">
        <f>IF(AT364="","",TEXT(AT364,"mmmm yyyy"))</f>
        <v/>
      </c>
      <c r="AV364" s="67" t="str">
        <f>IF(C364="","",C364-WEEKDAY(C364,2)+1)</f>
        <v/>
      </c>
      <c r="AW364" s="67" t="str">
        <f>IF(AV364="","",AV364+6)</f>
        <v/>
      </c>
      <c r="AX364" s="66" t="str">
        <f>IF(AV364="","",TEXT(AV364,"dd/mm/yyyy")&amp;" - "&amp;TEXT(AW364,"dd/mm/yyyy"))</f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>IF(B364="","",TEXT(AY364,"00")&amp;"|"&amp;B364&amp;"|"&amp;TEXT(AT364,"yyyymmdd"))</f>
        <v/>
      </c>
      <c r="BB364" s="66" t="str">
        <f>IF(B364="","",TEXT(AZ364,"00")&amp;"|"&amp;B364&amp;"|"&amp;TEXT(AV364,"yyyymmdd"))</f>
        <v/>
      </c>
      <c r="BC364" s="66">
        <f>IF(OR(AQ364="YES",AQ364="Yes",AQ364="Y",AQ364=1),1,0)</f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17">
        <f>SUM(H365,J365,L365,N365,P365,R365,T365,V365,X365,Z365,AB365,AD365,AF365,AH365,AJ365,AL365,AN365)</f>
        <v>0</v>
      </c>
      <c r="AT365" s="67" t="str">
        <f>IF(C365="","",DATE(YEAR(C365),MONTH(C365),1))</f>
        <v/>
      </c>
      <c r="AU365" s="66" t="str">
        <f>IF(AT365="","",TEXT(AT365,"mmmm yyyy"))</f>
        <v/>
      </c>
      <c r="AV365" s="67" t="str">
        <f>IF(C365="","",C365-WEEKDAY(C365,2)+1)</f>
        <v/>
      </c>
      <c r="AW365" s="67" t="str">
        <f>IF(AV365="","",AV365+6)</f>
        <v/>
      </c>
      <c r="AX365" s="66" t="str">
        <f>IF(AV365="","",TEXT(AV365,"dd/mm/yyyy")&amp;" - "&amp;TEXT(AW365,"dd/mm/yyyy"))</f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>IF(B365="","",TEXT(AY365,"00")&amp;"|"&amp;B365&amp;"|"&amp;TEXT(AT365,"yyyymmdd"))</f>
        <v/>
      </c>
      <c r="BB365" s="66" t="str">
        <f>IF(B365="","",TEXT(AZ365,"00")&amp;"|"&amp;B365&amp;"|"&amp;TEXT(AV365,"yyyymmdd"))</f>
        <v/>
      </c>
      <c r="BC365" s="66">
        <f>IF(OR(AQ365="YES",AQ365="Yes",AQ365="Y",AQ365=1),1,0)</f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17">
        <f>SUM(H366,J366,L366,N366,P366,R366,T366,V366,X366,Z366,AB366,AD366,AF366,AH366,AJ366,AL366,AN366)</f>
        <v>0</v>
      </c>
      <c r="AT366" s="67" t="str">
        <f>IF(C366="","",DATE(YEAR(C366),MONTH(C366),1))</f>
        <v/>
      </c>
      <c r="AU366" s="66" t="str">
        <f>IF(AT366="","",TEXT(AT366,"mmmm yyyy"))</f>
        <v/>
      </c>
      <c r="AV366" s="67" t="str">
        <f>IF(C366="","",C366-WEEKDAY(C366,2)+1)</f>
        <v/>
      </c>
      <c r="AW366" s="67" t="str">
        <f>IF(AV366="","",AV366+6)</f>
        <v/>
      </c>
      <c r="AX366" s="66" t="str">
        <f>IF(AV366="","",TEXT(AV366,"dd/mm/yyyy")&amp;" - "&amp;TEXT(AW366,"dd/mm/yyyy"))</f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>IF(B366="","",TEXT(AY366,"00")&amp;"|"&amp;B366&amp;"|"&amp;TEXT(AT366,"yyyymmdd"))</f>
        <v/>
      </c>
      <c r="BB366" s="66" t="str">
        <f>IF(B366="","",TEXT(AZ366,"00")&amp;"|"&amp;B366&amp;"|"&amp;TEXT(AV366,"yyyymmdd"))</f>
        <v/>
      </c>
      <c r="BC366" s="66">
        <f>IF(OR(AQ366="YES",AQ366="Yes",AQ366="Y",AQ366=1),1,0)</f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17">
        <f>SUM(H367,J367,L367,N367,P367,R367,T367,V367,X367,Z367,AB367,AD367,AF367,AH367,AJ367,AL367,AN367)</f>
        <v>0</v>
      </c>
      <c r="AT367" s="67" t="str">
        <f>IF(C367="","",DATE(YEAR(C367),MONTH(C367),1))</f>
        <v/>
      </c>
      <c r="AU367" s="66" t="str">
        <f>IF(AT367="","",TEXT(AT367,"mmmm yyyy"))</f>
        <v/>
      </c>
      <c r="AV367" s="67" t="str">
        <f>IF(C367="","",C367-WEEKDAY(C367,2)+1)</f>
        <v/>
      </c>
      <c r="AW367" s="67" t="str">
        <f>IF(AV367="","",AV367+6)</f>
        <v/>
      </c>
      <c r="AX367" s="66" t="str">
        <f>IF(AV367="","",TEXT(AV367,"dd/mm/yyyy")&amp;" - "&amp;TEXT(AW367,"dd/mm/yyyy"))</f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>IF(B367="","",TEXT(AY367,"00")&amp;"|"&amp;B367&amp;"|"&amp;TEXT(AT367,"yyyymmdd"))</f>
        <v/>
      </c>
      <c r="BB367" s="66" t="str">
        <f>IF(B367="","",TEXT(AZ367,"00")&amp;"|"&amp;B367&amp;"|"&amp;TEXT(AV367,"yyyymmdd"))</f>
        <v/>
      </c>
      <c r="BC367" s="66">
        <f>IF(OR(AQ367="YES",AQ367="Yes",AQ367="Y",AQ367=1),1,0)</f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17">
        <f>SUM(H368,J368,L368,N368,P368,R368,T368,V368,X368,Z368,AB368,AD368,AF368,AH368,AJ368,AL368,AN368)</f>
        <v>0</v>
      </c>
      <c r="AT368" s="67" t="str">
        <f>IF(C368="","",DATE(YEAR(C368),MONTH(C368),1))</f>
        <v/>
      </c>
      <c r="AU368" s="66" t="str">
        <f>IF(AT368="","",TEXT(AT368,"mmmm yyyy"))</f>
        <v/>
      </c>
      <c r="AV368" s="67" t="str">
        <f>IF(C368="","",C368-WEEKDAY(C368,2)+1)</f>
        <v/>
      </c>
      <c r="AW368" s="67" t="str">
        <f>IF(AV368="","",AV368+6)</f>
        <v/>
      </c>
      <c r="AX368" s="66" t="str">
        <f>IF(AV368="","",TEXT(AV368,"dd/mm/yyyy")&amp;" - "&amp;TEXT(AW368,"dd/mm/yyyy"))</f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>IF(B368="","",TEXT(AY368,"00")&amp;"|"&amp;B368&amp;"|"&amp;TEXT(AT368,"yyyymmdd"))</f>
        <v/>
      </c>
      <c r="BB368" s="66" t="str">
        <f>IF(B368="","",TEXT(AZ368,"00")&amp;"|"&amp;B368&amp;"|"&amp;TEXT(AV368,"yyyymmdd"))</f>
        <v/>
      </c>
      <c r="BC368" s="66">
        <f>IF(OR(AQ368="YES",AQ368="Yes",AQ368="Y",AQ368=1),1,0)</f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17">
        <f>SUM(H369,J369,L369,N369,P369,R369,T369,V369,X369,Z369,AB369,AD369,AF369,AH369,AJ369,AL369,AN369)</f>
        <v>0</v>
      </c>
      <c r="AT369" s="67" t="str">
        <f>IF(C369="","",DATE(YEAR(C369),MONTH(C369),1))</f>
        <v/>
      </c>
      <c r="AU369" s="66" t="str">
        <f>IF(AT369="","",TEXT(AT369,"mmmm yyyy"))</f>
        <v/>
      </c>
      <c r="AV369" s="67" t="str">
        <f>IF(C369="","",C369-WEEKDAY(C369,2)+1)</f>
        <v/>
      </c>
      <c r="AW369" s="67" t="str">
        <f>IF(AV369="","",AV369+6)</f>
        <v/>
      </c>
      <c r="AX369" s="66" t="str">
        <f>IF(AV369="","",TEXT(AV369,"dd/mm/yyyy")&amp;" - "&amp;TEXT(AW369,"dd/mm/yyyy"))</f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>IF(B369="","",TEXT(AY369,"00")&amp;"|"&amp;B369&amp;"|"&amp;TEXT(AT369,"yyyymmdd"))</f>
        <v/>
      </c>
      <c r="BB369" s="66" t="str">
        <f>IF(B369="","",TEXT(AZ369,"00")&amp;"|"&amp;B369&amp;"|"&amp;TEXT(AV369,"yyyymmdd"))</f>
        <v/>
      </c>
      <c r="BC369" s="66">
        <f>IF(OR(AQ369="YES",AQ369="Yes",AQ369="Y",AQ369=1),1,0)</f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17">
        <f>SUM(H370,J370,L370,N370,P370,R370,T370,V370,X370,Z370,AB370,AD370,AF370,AH370,AJ370,AL370,AN370)</f>
        <v>0</v>
      </c>
      <c r="AT370" s="67" t="str">
        <f>IF(C370="","",DATE(YEAR(C370),MONTH(C370),1))</f>
        <v/>
      </c>
      <c r="AU370" s="66" t="str">
        <f>IF(AT370="","",TEXT(AT370,"mmmm yyyy"))</f>
        <v/>
      </c>
      <c r="AV370" s="67" t="str">
        <f>IF(C370="","",C370-WEEKDAY(C370,2)+1)</f>
        <v/>
      </c>
      <c r="AW370" s="67" t="str">
        <f>IF(AV370="","",AV370+6)</f>
        <v/>
      </c>
      <c r="AX370" s="66" t="str">
        <f>IF(AV370="","",TEXT(AV370,"dd/mm/yyyy")&amp;" - "&amp;TEXT(AW370,"dd/mm/yyyy"))</f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>IF(B370="","",TEXT(AY370,"00")&amp;"|"&amp;B370&amp;"|"&amp;TEXT(AT370,"yyyymmdd"))</f>
        <v/>
      </c>
      <c r="BB370" s="66" t="str">
        <f>IF(B370="","",TEXT(AZ370,"00")&amp;"|"&amp;B370&amp;"|"&amp;TEXT(AV370,"yyyymmdd"))</f>
        <v/>
      </c>
      <c r="BC370" s="66">
        <f>IF(OR(AQ370="YES",AQ370="Yes",AQ370="Y",AQ370=1),1,0)</f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17">
        <f>SUM(H371,J371,L371,N371,P371,R371,T371,V371,X371,Z371,AB371,AD371,AF371,AH371,AJ371,AL371,AN371)</f>
        <v>0</v>
      </c>
      <c r="AT371" s="67" t="str">
        <f>IF(C371="","",DATE(YEAR(C371),MONTH(C371),1))</f>
        <v/>
      </c>
      <c r="AU371" s="66" t="str">
        <f>IF(AT371="","",TEXT(AT371,"mmmm yyyy"))</f>
        <v/>
      </c>
      <c r="AV371" s="67" t="str">
        <f>IF(C371="","",C371-WEEKDAY(C371,2)+1)</f>
        <v/>
      </c>
      <c r="AW371" s="67" t="str">
        <f>IF(AV371="","",AV371+6)</f>
        <v/>
      </c>
      <c r="AX371" s="66" t="str">
        <f>IF(AV371="","",TEXT(AV371,"dd/mm/yyyy")&amp;" - "&amp;TEXT(AW371,"dd/mm/yyyy"))</f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>IF(B371="","",TEXT(AY371,"00")&amp;"|"&amp;B371&amp;"|"&amp;TEXT(AT371,"yyyymmdd"))</f>
        <v/>
      </c>
      <c r="BB371" s="66" t="str">
        <f>IF(B371="","",TEXT(AZ371,"00")&amp;"|"&amp;B371&amp;"|"&amp;TEXT(AV371,"yyyymmdd"))</f>
        <v/>
      </c>
      <c r="BC371" s="66">
        <f>IF(OR(AQ371="YES",AQ371="Yes",AQ371="Y",AQ371=1),1,0)</f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17">
        <f>SUM(H372,J372,L372,N372,P372,R372,T372,V372,X372,Z372,AB372,AD372,AF372,AH372,AJ372,AL372,AN372)</f>
        <v>0</v>
      </c>
      <c r="AT372" s="67" t="str">
        <f>IF(C372="","",DATE(YEAR(C372),MONTH(C372),1))</f>
        <v/>
      </c>
      <c r="AU372" s="66" t="str">
        <f>IF(AT372="","",TEXT(AT372,"mmmm yyyy"))</f>
        <v/>
      </c>
      <c r="AV372" s="67" t="str">
        <f>IF(C372="","",C372-WEEKDAY(C372,2)+1)</f>
        <v/>
      </c>
      <c r="AW372" s="67" t="str">
        <f>IF(AV372="","",AV372+6)</f>
        <v/>
      </c>
      <c r="AX372" s="66" t="str">
        <f>IF(AV372="","",TEXT(AV372,"dd/mm/yyyy")&amp;" - "&amp;TEXT(AW372,"dd/mm/yyyy"))</f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>IF(B372="","",TEXT(AY372,"00")&amp;"|"&amp;B372&amp;"|"&amp;TEXT(AT372,"yyyymmdd"))</f>
        <v/>
      </c>
      <c r="BB372" s="66" t="str">
        <f>IF(B372="","",TEXT(AZ372,"00")&amp;"|"&amp;B372&amp;"|"&amp;TEXT(AV372,"yyyymmdd"))</f>
        <v/>
      </c>
      <c r="BC372" s="66">
        <f>IF(OR(AQ372="YES",AQ372="Yes",AQ372="Y",AQ372=1),1,0)</f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17">
        <f>SUM(H373,J373,L373,N373,P373,R373,T373,V373,X373,Z373,AB373,AD373,AF373,AH373,AJ373,AL373,AN373)</f>
        <v>0</v>
      </c>
      <c r="AT373" s="67" t="str">
        <f>IF(C373="","",DATE(YEAR(C373),MONTH(C373),1))</f>
        <v/>
      </c>
      <c r="AU373" s="66" t="str">
        <f>IF(AT373="","",TEXT(AT373,"mmmm yyyy"))</f>
        <v/>
      </c>
      <c r="AV373" s="67" t="str">
        <f>IF(C373="","",C373-WEEKDAY(C373,2)+1)</f>
        <v/>
      </c>
      <c r="AW373" s="67" t="str">
        <f>IF(AV373="","",AV373+6)</f>
        <v/>
      </c>
      <c r="AX373" s="66" t="str">
        <f>IF(AV373="","",TEXT(AV373,"dd/mm/yyyy")&amp;" - "&amp;TEXT(AW373,"dd/mm/yyyy"))</f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>IF(B373="","",TEXT(AY373,"00")&amp;"|"&amp;B373&amp;"|"&amp;TEXT(AT373,"yyyymmdd"))</f>
        <v/>
      </c>
      <c r="BB373" s="66" t="str">
        <f>IF(B373="","",TEXT(AZ373,"00")&amp;"|"&amp;B373&amp;"|"&amp;TEXT(AV373,"yyyymmdd"))</f>
        <v/>
      </c>
      <c r="BC373" s="66">
        <f>IF(OR(AQ373="YES",AQ373="Yes",AQ373="Y",AQ373=1),1,0)</f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17">
        <f>SUM(H374,J374,L374,N374,P374,R374,T374,V374,X374,Z374,AB374,AD374,AF374,AH374,AJ374,AL374,AN374)</f>
        <v>0</v>
      </c>
      <c r="AT374" s="67" t="str">
        <f>IF(C374="","",DATE(YEAR(C374),MONTH(C374),1))</f>
        <v/>
      </c>
      <c r="AU374" s="66" t="str">
        <f>IF(AT374="","",TEXT(AT374,"mmmm yyyy"))</f>
        <v/>
      </c>
      <c r="AV374" s="67" t="str">
        <f>IF(C374="","",C374-WEEKDAY(C374,2)+1)</f>
        <v/>
      </c>
      <c r="AW374" s="67" t="str">
        <f>IF(AV374="","",AV374+6)</f>
        <v/>
      </c>
      <c r="AX374" s="66" t="str">
        <f>IF(AV374="","",TEXT(AV374,"dd/mm/yyyy")&amp;" - "&amp;TEXT(AW374,"dd/mm/yyyy"))</f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>IF(B374="","",TEXT(AY374,"00")&amp;"|"&amp;B374&amp;"|"&amp;TEXT(AT374,"yyyymmdd"))</f>
        <v/>
      </c>
      <c r="BB374" s="66" t="str">
        <f>IF(B374="","",TEXT(AZ374,"00")&amp;"|"&amp;B374&amp;"|"&amp;TEXT(AV374,"yyyymmdd"))</f>
        <v/>
      </c>
      <c r="BC374" s="66">
        <f>IF(OR(AQ374="YES",AQ374="Yes",AQ374="Y",AQ374=1),1,0)</f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17">
        <f>SUM(H375,J375,L375,N375,P375,R375,T375,V375,X375,Z375,AB375,AD375,AF375,AH375,AJ375,AL375,AN375)</f>
        <v>0</v>
      </c>
      <c r="AT375" s="67" t="str">
        <f>IF(C375="","",DATE(YEAR(C375),MONTH(C375),1))</f>
        <v/>
      </c>
      <c r="AU375" s="66" t="str">
        <f>IF(AT375="","",TEXT(AT375,"mmmm yyyy"))</f>
        <v/>
      </c>
      <c r="AV375" s="67" t="str">
        <f>IF(C375="","",C375-WEEKDAY(C375,2)+1)</f>
        <v/>
      </c>
      <c r="AW375" s="67" t="str">
        <f>IF(AV375="","",AV375+6)</f>
        <v/>
      </c>
      <c r="AX375" s="66" t="str">
        <f>IF(AV375="","",TEXT(AV375,"dd/mm/yyyy")&amp;" - "&amp;TEXT(AW375,"dd/mm/yyyy"))</f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>IF(B375="","",TEXT(AY375,"00")&amp;"|"&amp;B375&amp;"|"&amp;TEXT(AT375,"yyyymmdd"))</f>
        <v/>
      </c>
      <c r="BB375" s="66" t="str">
        <f>IF(B375="","",TEXT(AZ375,"00")&amp;"|"&amp;B375&amp;"|"&amp;TEXT(AV375,"yyyymmdd"))</f>
        <v/>
      </c>
      <c r="BC375" s="66">
        <f>IF(OR(AQ375="YES",AQ375="Yes",AQ375="Y",AQ375=1),1,0)</f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17">
        <f>SUM(H376,J376,L376,N376,P376,R376,T376,V376,X376,Z376,AB376,AD376,AF376,AH376,AJ376,AL376,AN376)</f>
        <v>0</v>
      </c>
      <c r="AT376" s="67" t="str">
        <f>IF(C376="","",DATE(YEAR(C376),MONTH(C376),1))</f>
        <v/>
      </c>
      <c r="AU376" s="66" t="str">
        <f>IF(AT376="","",TEXT(AT376,"mmmm yyyy"))</f>
        <v/>
      </c>
      <c r="AV376" s="67" t="str">
        <f>IF(C376="","",C376-WEEKDAY(C376,2)+1)</f>
        <v/>
      </c>
      <c r="AW376" s="67" t="str">
        <f>IF(AV376="","",AV376+6)</f>
        <v/>
      </c>
      <c r="AX376" s="66" t="str">
        <f>IF(AV376="","",TEXT(AV376,"dd/mm/yyyy")&amp;" - "&amp;TEXT(AW376,"dd/mm/yyyy"))</f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>IF(B376="","",TEXT(AY376,"00")&amp;"|"&amp;B376&amp;"|"&amp;TEXT(AT376,"yyyymmdd"))</f>
        <v/>
      </c>
      <c r="BB376" s="66" t="str">
        <f>IF(B376="","",TEXT(AZ376,"00")&amp;"|"&amp;B376&amp;"|"&amp;TEXT(AV376,"yyyymmdd"))</f>
        <v/>
      </c>
      <c r="BC376" s="66">
        <f>IF(OR(AQ376="YES",AQ376="Yes",AQ376="Y",AQ376=1),1,0)</f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17">
        <f>SUM(H377,J377,L377,N377,P377,R377,T377,V377,X377,Z377,AB377,AD377,AF377,AH377,AJ377,AL377,AN377)</f>
        <v>0</v>
      </c>
      <c r="AT377" s="67" t="str">
        <f>IF(C377="","",DATE(YEAR(C377),MONTH(C377),1))</f>
        <v/>
      </c>
      <c r="AU377" s="66" t="str">
        <f>IF(AT377="","",TEXT(AT377,"mmmm yyyy"))</f>
        <v/>
      </c>
      <c r="AV377" s="67" t="str">
        <f>IF(C377="","",C377-WEEKDAY(C377,2)+1)</f>
        <v/>
      </c>
      <c r="AW377" s="67" t="str">
        <f>IF(AV377="","",AV377+6)</f>
        <v/>
      </c>
      <c r="AX377" s="66" t="str">
        <f>IF(AV377="","",TEXT(AV377,"dd/mm/yyyy")&amp;" - "&amp;TEXT(AW377,"dd/mm/yyyy"))</f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>IF(B377="","",TEXT(AY377,"00")&amp;"|"&amp;B377&amp;"|"&amp;TEXT(AT377,"yyyymmdd"))</f>
        <v/>
      </c>
      <c r="BB377" s="66" t="str">
        <f>IF(B377="","",TEXT(AZ377,"00")&amp;"|"&amp;B377&amp;"|"&amp;TEXT(AV377,"yyyymmdd"))</f>
        <v/>
      </c>
      <c r="BC377" s="66">
        <f>IF(OR(AQ377="YES",AQ377="Yes",AQ377="Y",AQ377=1),1,0)</f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17">
        <f>SUM(H378,J378,L378,N378,P378,R378,T378,V378,X378,Z378,AB378,AD378,AF378,AH378,AJ378,AL378,AN378)</f>
        <v>0</v>
      </c>
      <c r="AT378" s="67" t="str">
        <f>IF(C378="","",DATE(YEAR(C378),MONTH(C378),1))</f>
        <v/>
      </c>
      <c r="AU378" s="66" t="str">
        <f>IF(AT378="","",TEXT(AT378,"mmmm yyyy"))</f>
        <v/>
      </c>
      <c r="AV378" s="67" t="str">
        <f>IF(C378="","",C378-WEEKDAY(C378,2)+1)</f>
        <v/>
      </c>
      <c r="AW378" s="67" t="str">
        <f>IF(AV378="","",AV378+6)</f>
        <v/>
      </c>
      <c r="AX378" s="66" t="str">
        <f>IF(AV378="","",TEXT(AV378,"dd/mm/yyyy")&amp;" - "&amp;TEXT(AW378,"dd/mm/yyyy"))</f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>IF(B378="","",TEXT(AY378,"00")&amp;"|"&amp;B378&amp;"|"&amp;TEXT(AT378,"yyyymmdd"))</f>
        <v/>
      </c>
      <c r="BB378" s="66" t="str">
        <f>IF(B378="","",TEXT(AZ378,"00")&amp;"|"&amp;B378&amp;"|"&amp;TEXT(AV378,"yyyymmdd"))</f>
        <v/>
      </c>
      <c r="BC378" s="66">
        <f>IF(OR(AQ378="YES",AQ378="Yes",AQ378="Y",AQ378=1),1,0)</f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17">
        <f>SUM(H379,J379,L379,N379,P379,R379,T379,V379,X379,Z379,AB379,AD379,AF379,AH379,AJ379,AL379,AN379)</f>
        <v>0</v>
      </c>
      <c r="AT379" s="67" t="str">
        <f>IF(C379="","",DATE(YEAR(C379),MONTH(C379),1))</f>
        <v/>
      </c>
      <c r="AU379" s="66" t="str">
        <f>IF(AT379="","",TEXT(AT379,"mmmm yyyy"))</f>
        <v/>
      </c>
      <c r="AV379" s="67" t="str">
        <f>IF(C379="","",C379-WEEKDAY(C379,2)+1)</f>
        <v/>
      </c>
      <c r="AW379" s="67" t="str">
        <f>IF(AV379="","",AV379+6)</f>
        <v/>
      </c>
      <c r="AX379" s="66" t="str">
        <f>IF(AV379="","",TEXT(AV379,"dd/mm/yyyy")&amp;" - "&amp;TEXT(AW379,"dd/mm/yyyy"))</f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>IF(B379="","",TEXT(AY379,"00")&amp;"|"&amp;B379&amp;"|"&amp;TEXT(AT379,"yyyymmdd"))</f>
        <v/>
      </c>
      <c r="BB379" s="66" t="str">
        <f>IF(B379="","",TEXT(AZ379,"00")&amp;"|"&amp;B379&amp;"|"&amp;TEXT(AV379,"yyyymmdd"))</f>
        <v/>
      </c>
      <c r="BC379" s="66">
        <f>IF(OR(AQ379="YES",AQ379="Yes",AQ379="Y",AQ379=1),1,0)</f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17">
        <f>SUM(H380,J380,L380,N380,P380,R380,T380,V380,X380,Z380,AB380,AD380,AF380,AH380,AJ380,AL380,AN380)</f>
        <v>0</v>
      </c>
      <c r="AT380" s="67" t="str">
        <f>IF(C380="","",DATE(YEAR(C380),MONTH(C380),1))</f>
        <v/>
      </c>
      <c r="AU380" s="66" t="str">
        <f>IF(AT380="","",TEXT(AT380,"mmmm yyyy"))</f>
        <v/>
      </c>
      <c r="AV380" s="67" t="str">
        <f>IF(C380="","",C380-WEEKDAY(C380,2)+1)</f>
        <v/>
      </c>
      <c r="AW380" s="67" t="str">
        <f>IF(AV380="","",AV380+6)</f>
        <v/>
      </c>
      <c r="AX380" s="66" t="str">
        <f>IF(AV380="","",TEXT(AV380,"dd/mm/yyyy")&amp;" - "&amp;TEXT(AW380,"dd/mm/yyyy"))</f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>IF(B380="","",TEXT(AY380,"00")&amp;"|"&amp;B380&amp;"|"&amp;TEXT(AT380,"yyyymmdd"))</f>
        <v/>
      </c>
      <c r="BB380" s="66" t="str">
        <f>IF(B380="","",TEXT(AZ380,"00")&amp;"|"&amp;B380&amp;"|"&amp;TEXT(AV380,"yyyymmdd"))</f>
        <v/>
      </c>
      <c r="BC380" s="66">
        <f>IF(OR(AQ380="YES",AQ380="Yes",AQ380="Y",AQ380=1),1,0)</f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17">
        <f>SUM(H381,J381,L381,N381,P381,R381,T381,V381,X381,Z381,AB381,AD381,AF381,AH381,AJ381,AL381,AN381)</f>
        <v>0</v>
      </c>
      <c r="AT381" s="67" t="str">
        <f>IF(C381="","",DATE(YEAR(C381),MONTH(C381),1))</f>
        <v/>
      </c>
      <c r="AU381" s="66" t="str">
        <f>IF(AT381="","",TEXT(AT381,"mmmm yyyy"))</f>
        <v/>
      </c>
      <c r="AV381" s="67" t="str">
        <f>IF(C381="","",C381-WEEKDAY(C381,2)+1)</f>
        <v/>
      </c>
      <c r="AW381" s="67" t="str">
        <f>IF(AV381="","",AV381+6)</f>
        <v/>
      </c>
      <c r="AX381" s="66" t="str">
        <f>IF(AV381="","",TEXT(AV381,"dd/mm/yyyy")&amp;" - "&amp;TEXT(AW381,"dd/mm/yyyy"))</f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>IF(B381="","",TEXT(AY381,"00")&amp;"|"&amp;B381&amp;"|"&amp;TEXT(AT381,"yyyymmdd"))</f>
        <v/>
      </c>
      <c r="BB381" s="66" t="str">
        <f>IF(B381="","",TEXT(AZ381,"00")&amp;"|"&amp;B381&amp;"|"&amp;TEXT(AV381,"yyyymmdd"))</f>
        <v/>
      </c>
      <c r="BC381" s="66">
        <f>IF(OR(AQ381="YES",AQ381="Yes",AQ381="Y",AQ381=1),1,0)</f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17">
        <f>SUM(H382,J382,L382,N382,P382,R382,T382,V382,X382,Z382,AB382,AD382,AF382,AH382,AJ382,AL382,AN382)</f>
        <v>0</v>
      </c>
      <c r="AT382" s="67" t="str">
        <f>IF(C382="","",DATE(YEAR(C382),MONTH(C382),1))</f>
        <v/>
      </c>
      <c r="AU382" s="66" t="str">
        <f>IF(AT382="","",TEXT(AT382,"mmmm yyyy"))</f>
        <v/>
      </c>
      <c r="AV382" s="67" t="str">
        <f>IF(C382="","",C382-WEEKDAY(C382,2)+1)</f>
        <v/>
      </c>
      <c r="AW382" s="67" t="str">
        <f>IF(AV382="","",AV382+6)</f>
        <v/>
      </c>
      <c r="AX382" s="66" t="str">
        <f>IF(AV382="","",TEXT(AV382,"dd/mm/yyyy")&amp;" - "&amp;TEXT(AW382,"dd/mm/yyyy"))</f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>IF(B382="","",TEXT(AY382,"00")&amp;"|"&amp;B382&amp;"|"&amp;TEXT(AT382,"yyyymmdd"))</f>
        <v/>
      </c>
      <c r="BB382" s="66" t="str">
        <f>IF(B382="","",TEXT(AZ382,"00")&amp;"|"&amp;B382&amp;"|"&amp;TEXT(AV382,"yyyymmdd"))</f>
        <v/>
      </c>
      <c r="BC382" s="66">
        <f>IF(OR(AQ382="YES",AQ382="Yes",AQ382="Y",AQ382=1),1,0)</f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17">
        <f>SUM(H383,J383,L383,N383,P383,R383,T383,V383,X383,Z383,AB383,AD383,AF383,AH383,AJ383,AL383,AN383)</f>
        <v>0</v>
      </c>
      <c r="AT383" s="67" t="str">
        <f>IF(C383="","",DATE(YEAR(C383),MONTH(C383),1))</f>
        <v/>
      </c>
      <c r="AU383" s="66" t="str">
        <f>IF(AT383="","",TEXT(AT383,"mmmm yyyy"))</f>
        <v/>
      </c>
      <c r="AV383" s="67" t="str">
        <f>IF(C383="","",C383-WEEKDAY(C383,2)+1)</f>
        <v/>
      </c>
      <c r="AW383" s="67" t="str">
        <f>IF(AV383="","",AV383+6)</f>
        <v/>
      </c>
      <c r="AX383" s="66" t="str">
        <f>IF(AV383="","",TEXT(AV383,"dd/mm/yyyy")&amp;" - "&amp;TEXT(AW383,"dd/mm/yyyy"))</f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>IF(B383="","",TEXT(AY383,"00")&amp;"|"&amp;B383&amp;"|"&amp;TEXT(AT383,"yyyymmdd"))</f>
        <v/>
      </c>
      <c r="BB383" s="66" t="str">
        <f>IF(B383="","",TEXT(AZ383,"00")&amp;"|"&amp;B383&amp;"|"&amp;TEXT(AV383,"yyyymmdd"))</f>
        <v/>
      </c>
      <c r="BC383" s="66">
        <f>IF(OR(AQ383="YES",AQ383="Yes",AQ383="Y",AQ383=1),1,0)</f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17">
        <f>SUM(H384,J384,L384,N384,P384,R384,T384,V384,X384,Z384,AB384,AD384,AF384,AH384,AJ384,AL384,AN384)</f>
        <v>0</v>
      </c>
      <c r="AT384" s="67" t="str">
        <f>IF(C384="","",DATE(YEAR(C384),MONTH(C384),1))</f>
        <v/>
      </c>
      <c r="AU384" s="66" t="str">
        <f>IF(AT384="","",TEXT(AT384,"mmmm yyyy"))</f>
        <v/>
      </c>
      <c r="AV384" s="67" t="str">
        <f>IF(C384="","",C384-WEEKDAY(C384,2)+1)</f>
        <v/>
      </c>
      <c r="AW384" s="67" t="str">
        <f>IF(AV384="","",AV384+6)</f>
        <v/>
      </c>
      <c r="AX384" s="66" t="str">
        <f>IF(AV384="","",TEXT(AV384,"dd/mm/yyyy")&amp;" - "&amp;TEXT(AW384,"dd/mm/yyyy"))</f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>IF(B384="","",TEXT(AY384,"00")&amp;"|"&amp;B384&amp;"|"&amp;TEXT(AT384,"yyyymmdd"))</f>
        <v/>
      </c>
      <c r="BB384" s="66" t="str">
        <f>IF(B384="","",TEXT(AZ384,"00")&amp;"|"&amp;B384&amp;"|"&amp;TEXT(AV384,"yyyymmdd"))</f>
        <v/>
      </c>
      <c r="BC384" s="66">
        <f>IF(OR(AQ384="YES",AQ384="Yes",AQ384="Y",AQ384=1),1,0)</f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17">
        <f>SUM(H385,J385,L385,N385,P385,R385,T385,V385,X385,Z385,AB385,AD385,AF385,AH385,AJ385,AL385,AN385)</f>
        <v>0</v>
      </c>
      <c r="AT385" s="67" t="str">
        <f>IF(C385="","",DATE(YEAR(C385),MONTH(C385),1))</f>
        <v/>
      </c>
      <c r="AU385" s="66" t="str">
        <f>IF(AT385="","",TEXT(AT385,"mmmm yyyy"))</f>
        <v/>
      </c>
      <c r="AV385" s="67" t="str">
        <f>IF(C385="","",C385-WEEKDAY(C385,2)+1)</f>
        <v/>
      </c>
      <c r="AW385" s="67" t="str">
        <f>IF(AV385="","",AV385+6)</f>
        <v/>
      </c>
      <c r="AX385" s="66" t="str">
        <f>IF(AV385="","",TEXT(AV385,"dd/mm/yyyy")&amp;" - "&amp;TEXT(AW385,"dd/mm/yyyy"))</f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>IF(B385="","",TEXT(AY385,"00")&amp;"|"&amp;B385&amp;"|"&amp;TEXT(AT385,"yyyymmdd"))</f>
        <v/>
      </c>
      <c r="BB385" s="66" t="str">
        <f>IF(B385="","",TEXT(AZ385,"00")&amp;"|"&amp;B385&amp;"|"&amp;TEXT(AV385,"yyyymmdd"))</f>
        <v/>
      </c>
      <c r="BC385" s="66">
        <f>IF(OR(AQ385="YES",AQ385="Yes",AQ385="Y",AQ385=1),1,0)</f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17">
        <f>SUM(H386,J386,L386,N386,P386,R386,T386,V386,X386,Z386,AB386,AD386,AF386,AH386,AJ386,AL386,AN386)</f>
        <v>0</v>
      </c>
      <c r="AT386" s="67" t="str">
        <f>IF(C386="","",DATE(YEAR(C386),MONTH(C386),1))</f>
        <v/>
      </c>
      <c r="AU386" s="66" t="str">
        <f>IF(AT386="","",TEXT(AT386,"mmmm yyyy"))</f>
        <v/>
      </c>
      <c r="AV386" s="67" t="str">
        <f>IF(C386="","",C386-WEEKDAY(C386,2)+1)</f>
        <v/>
      </c>
      <c r="AW386" s="67" t="str">
        <f>IF(AV386="","",AV386+6)</f>
        <v/>
      </c>
      <c r="AX386" s="66" t="str">
        <f>IF(AV386="","",TEXT(AV386,"dd/mm/yyyy")&amp;" - "&amp;TEXT(AW386,"dd/mm/yyyy"))</f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>IF(B386="","",TEXT(AY386,"00")&amp;"|"&amp;B386&amp;"|"&amp;TEXT(AT386,"yyyymmdd"))</f>
        <v/>
      </c>
      <c r="BB386" s="66" t="str">
        <f>IF(B386="","",TEXT(AZ386,"00")&amp;"|"&amp;B386&amp;"|"&amp;TEXT(AV386,"yyyymmdd"))</f>
        <v/>
      </c>
      <c r="BC386" s="66">
        <f>IF(OR(AQ386="YES",AQ386="Yes",AQ386="Y",AQ386=1),1,0)</f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17">
        <f>SUM(H387,J387,L387,N387,P387,R387,T387,V387,X387,Z387,AB387,AD387,AF387,AH387,AJ387,AL387,AN387)</f>
        <v>0</v>
      </c>
      <c r="AT387" s="67" t="str">
        <f>IF(C387="","",DATE(YEAR(C387),MONTH(C387),1))</f>
        <v/>
      </c>
      <c r="AU387" s="66" t="str">
        <f>IF(AT387="","",TEXT(AT387,"mmmm yyyy"))</f>
        <v/>
      </c>
      <c r="AV387" s="67" t="str">
        <f>IF(C387="","",C387-WEEKDAY(C387,2)+1)</f>
        <v/>
      </c>
      <c r="AW387" s="67" t="str">
        <f>IF(AV387="","",AV387+6)</f>
        <v/>
      </c>
      <c r="AX387" s="66" t="str">
        <f>IF(AV387="","",TEXT(AV387,"dd/mm/yyyy")&amp;" - "&amp;TEXT(AW387,"dd/mm/yyyy"))</f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>IF(B387="","",TEXT(AY387,"00")&amp;"|"&amp;B387&amp;"|"&amp;TEXT(AT387,"yyyymmdd"))</f>
        <v/>
      </c>
      <c r="BB387" s="66" t="str">
        <f>IF(B387="","",TEXT(AZ387,"00")&amp;"|"&amp;B387&amp;"|"&amp;TEXT(AV387,"yyyymmdd"))</f>
        <v/>
      </c>
      <c r="BC387" s="66">
        <f>IF(OR(AQ387="YES",AQ387="Yes",AQ387="Y",AQ387=1),1,0)</f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17">
        <f>SUM(H388,J388,L388,N388,P388,R388,T388,V388,X388,Z388,AB388,AD388,AF388,AH388,AJ388,AL388,AN388)</f>
        <v>0</v>
      </c>
      <c r="AT388" s="67" t="str">
        <f>IF(C388="","",DATE(YEAR(C388),MONTH(C388),1))</f>
        <v/>
      </c>
      <c r="AU388" s="66" t="str">
        <f>IF(AT388="","",TEXT(AT388,"mmmm yyyy"))</f>
        <v/>
      </c>
      <c r="AV388" s="67" t="str">
        <f>IF(C388="","",C388-WEEKDAY(C388,2)+1)</f>
        <v/>
      </c>
      <c r="AW388" s="67" t="str">
        <f>IF(AV388="","",AV388+6)</f>
        <v/>
      </c>
      <c r="AX388" s="66" t="str">
        <f>IF(AV388="","",TEXT(AV388,"dd/mm/yyyy")&amp;" - "&amp;TEXT(AW388,"dd/mm/yyyy"))</f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>IF(B388="","",TEXT(AY388,"00")&amp;"|"&amp;B388&amp;"|"&amp;TEXT(AT388,"yyyymmdd"))</f>
        <v/>
      </c>
      <c r="BB388" s="66" t="str">
        <f>IF(B388="","",TEXT(AZ388,"00")&amp;"|"&amp;B388&amp;"|"&amp;TEXT(AV388,"yyyymmdd"))</f>
        <v/>
      </c>
      <c r="BC388" s="66">
        <f>IF(OR(AQ388="YES",AQ388="Yes",AQ388="Y",AQ388=1),1,0)</f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17">
        <f>SUM(H389,J389,L389,N389,P389,R389,T389,V389,X389,Z389,AB389,AD389,AF389,AH389,AJ389,AL389,AN389)</f>
        <v>0</v>
      </c>
      <c r="AT389" s="67" t="str">
        <f>IF(C389="","",DATE(YEAR(C389),MONTH(C389),1))</f>
        <v/>
      </c>
      <c r="AU389" s="66" t="str">
        <f>IF(AT389="","",TEXT(AT389,"mmmm yyyy"))</f>
        <v/>
      </c>
      <c r="AV389" s="67" t="str">
        <f>IF(C389="","",C389-WEEKDAY(C389,2)+1)</f>
        <v/>
      </c>
      <c r="AW389" s="67" t="str">
        <f>IF(AV389="","",AV389+6)</f>
        <v/>
      </c>
      <c r="AX389" s="66" t="str">
        <f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>IF(B389="","",TEXT(AY389,"00")&amp;"|"&amp;B389&amp;"|"&amp;TEXT(AT389,"yyyymmdd"))</f>
        <v/>
      </c>
      <c r="BB389" s="66" t="str">
        <f>IF(B389="","",TEXT(AZ389,"00")&amp;"|"&amp;B389&amp;"|"&amp;TEXT(AV389,"yyyymmdd"))</f>
        <v/>
      </c>
      <c r="BC389" s="66">
        <f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17">
        <f>SUM(H390,J390,L390,N390,P390,R390,T390,V390,X390,Z390,AB390,AD390,AF390,AH390,AJ390,AL390,AN390)</f>
        <v>0</v>
      </c>
      <c r="AT390" s="67" t="str">
        <f>IF(C390="","",DATE(YEAR(C390),MONTH(C390),1))</f>
        <v/>
      </c>
      <c r="AU390" s="66" t="str">
        <f>IF(AT390="","",TEXT(AT390,"mmmm yyyy"))</f>
        <v/>
      </c>
      <c r="AV390" s="67" t="str">
        <f>IF(C390="","",C390-WEEKDAY(C390,2)+1)</f>
        <v/>
      </c>
      <c r="AW390" s="67" t="str">
        <f>IF(AV390="","",AV390+6)</f>
        <v/>
      </c>
      <c r="AX390" s="66" t="str">
        <f>IF(AV390="","",TEXT(AV390,"dd/mm/yyyy")&amp;" - "&amp;TEXT(AW390,"dd/mm/yyyy"))</f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>IF(B390="","",TEXT(AY390,"00")&amp;"|"&amp;B390&amp;"|"&amp;TEXT(AT390,"yyyymmdd"))</f>
        <v/>
      </c>
      <c r="BB390" s="66" t="str">
        <f>IF(B390="","",TEXT(AZ390,"00")&amp;"|"&amp;B390&amp;"|"&amp;TEXT(AV390,"yyyymmdd"))</f>
        <v/>
      </c>
      <c r="BC390" s="66">
        <f>IF(OR(AQ390="YES",AQ390="Yes",AQ390="Y",AQ390=1),1,0)</f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17">
        <f>SUM(H391,J391,L391,N391,P391,R391,T391,V391,X391,Z391,AB391,AD391,AF391,AH391,AJ391,AL391,AN391)</f>
        <v>0</v>
      </c>
      <c r="AT391" s="67" t="str">
        <f>IF(C391="","",DATE(YEAR(C391),MONTH(C391),1))</f>
        <v/>
      </c>
      <c r="AU391" s="66" t="str">
        <f>IF(AT391="","",TEXT(AT391,"mmmm yyyy"))</f>
        <v/>
      </c>
      <c r="AV391" s="67" t="str">
        <f>IF(C391="","",C391-WEEKDAY(C391,2)+1)</f>
        <v/>
      </c>
      <c r="AW391" s="67" t="str">
        <f>IF(AV391="","",AV391+6)</f>
        <v/>
      </c>
      <c r="AX391" s="66" t="str">
        <f>IF(AV391="","",TEXT(AV391,"dd/mm/yyyy")&amp;" - "&amp;TEXT(AW391,"dd/mm/yyyy"))</f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>IF(B391="","",TEXT(AY391,"00")&amp;"|"&amp;B391&amp;"|"&amp;TEXT(AT391,"yyyymmdd"))</f>
        <v/>
      </c>
      <c r="BB391" s="66" t="str">
        <f>IF(B391="","",TEXT(AZ391,"00")&amp;"|"&amp;B391&amp;"|"&amp;TEXT(AV391,"yyyymmdd"))</f>
        <v/>
      </c>
      <c r="BC391" s="66">
        <f>IF(OR(AQ391="YES",AQ391="Yes",AQ391="Y",AQ391=1),1,0)</f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17">
        <f>SUM(H392,J392,L392,N392,P392,R392,T392,V392,X392,Z392,AB392,AD392,AF392,AH392,AJ392,AL392,AN392)</f>
        <v>0</v>
      </c>
      <c r="AT392" s="67" t="str">
        <f>IF(C392="","",DATE(YEAR(C392),MONTH(C392),1))</f>
        <v/>
      </c>
      <c r="AU392" s="66" t="str">
        <f>IF(AT392="","",TEXT(AT392,"mmmm yyyy"))</f>
        <v/>
      </c>
      <c r="AV392" s="67" t="str">
        <f>IF(C392="","",C392-WEEKDAY(C392,2)+1)</f>
        <v/>
      </c>
      <c r="AW392" s="67" t="str">
        <f>IF(AV392="","",AV392+6)</f>
        <v/>
      </c>
      <c r="AX392" s="66" t="str">
        <f>IF(AV392="","",TEXT(AV392,"dd/mm/yyyy")&amp;" - "&amp;TEXT(AW392,"dd/mm/yyyy"))</f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>IF(B392="","",TEXT(AY392,"00")&amp;"|"&amp;B392&amp;"|"&amp;TEXT(AT392,"yyyymmdd"))</f>
        <v/>
      </c>
      <c r="BB392" s="66" t="str">
        <f>IF(B392="","",TEXT(AZ392,"00")&amp;"|"&amp;B392&amp;"|"&amp;TEXT(AV392,"yyyymmdd"))</f>
        <v/>
      </c>
      <c r="BC392" s="66">
        <f>IF(OR(AQ392="YES",AQ392="Yes",AQ392="Y",AQ392=1),1,0)</f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17">
        <f>SUM(H393,J393,L393,N393,P393,R393,T393,V393,X393,Z393,AB393,AD393,AF393,AH393,AJ393,AL393,AN393)</f>
        <v>0</v>
      </c>
      <c r="AT393" s="67" t="str">
        <f>IF(C393="","",DATE(YEAR(C393),MONTH(C393),1))</f>
        <v/>
      </c>
      <c r="AU393" s="66" t="str">
        <f>IF(AT393="","",TEXT(AT393,"mmmm yyyy"))</f>
        <v/>
      </c>
      <c r="AV393" s="67" t="str">
        <f>IF(C393="","",C393-WEEKDAY(C393,2)+1)</f>
        <v/>
      </c>
      <c r="AW393" s="67" t="str">
        <f>IF(AV393="","",AV393+6)</f>
        <v/>
      </c>
      <c r="AX393" s="66" t="str">
        <f>IF(AV393="","",TEXT(AV393,"dd/mm/yyyy")&amp;" - "&amp;TEXT(AW393,"dd/mm/yyyy"))</f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>IF(B393="","",TEXT(AY393,"00")&amp;"|"&amp;B393&amp;"|"&amp;TEXT(AT393,"yyyymmdd"))</f>
        <v/>
      </c>
      <c r="BB393" s="66" t="str">
        <f>IF(B393="","",TEXT(AZ393,"00")&amp;"|"&amp;B393&amp;"|"&amp;TEXT(AV393,"yyyymmdd"))</f>
        <v/>
      </c>
      <c r="BC393" s="66">
        <f>IF(OR(AQ393="YES",AQ393="Yes",AQ393="Y",AQ393=1),1,0)</f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17">
        <f>SUM(H394,J394,L394,N394,P394,R394,T394,V394,X394,Z394,AB394,AD394,AF394,AH394,AJ394,AL394,AN394)</f>
        <v>0</v>
      </c>
      <c r="AT394" s="67" t="str">
        <f>IF(C394="","",DATE(YEAR(C394),MONTH(C394),1))</f>
        <v/>
      </c>
      <c r="AU394" s="66" t="str">
        <f>IF(AT394="","",TEXT(AT394,"mmmm yyyy"))</f>
        <v/>
      </c>
      <c r="AV394" s="67" t="str">
        <f>IF(C394="","",C394-WEEKDAY(C394,2)+1)</f>
        <v/>
      </c>
      <c r="AW394" s="67" t="str">
        <f>IF(AV394="","",AV394+6)</f>
        <v/>
      </c>
      <c r="AX394" s="66" t="str">
        <f>IF(AV394="","",TEXT(AV394,"dd/mm/yyyy")&amp;" - "&amp;TEXT(AW394,"dd/mm/yyyy"))</f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>IF(B394="","",TEXT(AY394,"00")&amp;"|"&amp;B394&amp;"|"&amp;TEXT(AT394,"yyyymmdd"))</f>
        <v/>
      </c>
      <c r="BB394" s="66" t="str">
        <f>IF(B394="","",TEXT(AZ394,"00")&amp;"|"&amp;B394&amp;"|"&amp;TEXT(AV394,"yyyymmdd"))</f>
        <v/>
      </c>
      <c r="BC394" s="66">
        <f>IF(OR(AQ394="YES",AQ394="Yes",AQ394="Y",AQ394=1),1,0)</f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17">
        <f>SUM(H395,J395,L395,N395,P395,R395,T395,V395,X395,Z395,AB395,AD395,AF395,AH395,AJ395,AL395,AN395)</f>
        <v>0</v>
      </c>
      <c r="AT395" s="67" t="str">
        <f>IF(C395="","",DATE(YEAR(C395),MONTH(C395),1))</f>
        <v/>
      </c>
      <c r="AU395" s="66" t="str">
        <f>IF(AT395="","",TEXT(AT395,"mmmm yyyy"))</f>
        <v/>
      </c>
      <c r="AV395" s="67" t="str">
        <f>IF(C395="","",C395-WEEKDAY(C395,2)+1)</f>
        <v/>
      </c>
      <c r="AW395" s="67" t="str">
        <f>IF(AV395="","",AV395+6)</f>
        <v/>
      </c>
      <c r="AX395" s="66" t="str">
        <f>IF(AV395="","",TEXT(AV395,"dd/mm/yyyy")&amp;" - "&amp;TEXT(AW395,"dd/mm/yyyy"))</f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>IF(B395="","",TEXT(AY395,"00")&amp;"|"&amp;B395&amp;"|"&amp;TEXT(AT395,"yyyymmdd"))</f>
        <v/>
      </c>
      <c r="BB395" s="66" t="str">
        <f>IF(B395="","",TEXT(AZ395,"00")&amp;"|"&amp;B395&amp;"|"&amp;TEXT(AV395,"yyyymmdd"))</f>
        <v/>
      </c>
      <c r="BC395" s="66">
        <f>IF(OR(AQ395="YES",AQ395="Yes",AQ395="Y",AQ395=1),1,0)</f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17">
        <f>SUM(H396,J396,L396,N396,P396,R396,T396,V396,X396,Z396,AB396,AD396,AF396,AH396,AJ396,AL396,AN396)</f>
        <v>0</v>
      </c>
      <c r="AT396" s="67" t="str">
        <f>IF(C396="","",DATE(YEAR(C396),MONTH(C396),1))</f>
        <v/>
      </c>
      <c r="AU396" s="66" t="str">
        <f>IF(AT396="","",TEXT(AT396,"mmmm yyyy"))</f>
        <v/>
      </c>
      <c r="AV396" s="67" t="str">
        <f>IF(C396="","",C396-WEEKDAY(C396,2)+1)</f>
        <v/>
      </c>
      <c r="AW396" s="67" t="str">
        <f>IF(AV396="","",AV396+6)</f>
        <v/>
      </c>
      <c r="AX396" s="66" t="str">
        <f>IF(AV396="","",TEXT(AV396,"dd/mm/yyyy")&amp;" - "&amp;TEXT(AW396,"dd/mm/yyyy"))</f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>IF(B396="","",TEXT(AY396,"00")&amp;"|"&amp;B396&amp;"|"&amp;TEXT(AT396,"yyyymmdd"))</f>
        <v/>
      </c>
      <c r="BB396" s="66" t="str">
        <f>IF(B396="","",TEXT(AZ396,"00")&amp;"|"&amp;B396&amp;"|"&amp;TEXT(AV396,"yyyymmdd"))</f>
        <v/>
      </c>
      <c r="BC396" s="66">
        <f>IF(OR(AQ396="YES",AQ396="Yes",AQ396="Y",AQ396=1),1,0)</f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17">
        <f>SUM(H397,J397,L397,N397,P397,R397,T397,V397,X397,Z397,AB397,AD397,AF397,AH397,AJ397,AL397,AN397)</f>
        <v>0</v>
      </c>
      <c r="AT397" s="67" t="str">
        <f>IF(C397="","",DATE(YEAR(C397),MONTH(C397),1))</f>
        <v/>
      </c>
      <c r="AU397" s="66" t="str">
        <f>IF(AT397="","",TEXT(AT397,"mmmm yyyy"))</f>
        <v/>
      </c>
      <c r="AV397" s="67" t="str">
        <f>IF(C397="","",C397-WEEKDAY(C397,2)+1)</f>
        <v/>
      </c>
      <c r="AW397" s="67" t="str">
        <f>IF(AV397="","",AV397+6)</f>
        <v/>
      </c>
      <c r="AX397" s="66" t="str">
        <f>IF(AV397="","",TEXT(AV397,"dd/mm/yyyy")&amp;" - "&amp;TEXT(AW397,"dd/mm/yyyy"))</f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>IF(B397="","",TEXT(AY397,"00")&amp;"|"&amp;B397&amp;"|"&amp;TEXT(AT397,"yyyymmdd"))</f>
        <v/>
      </c>
      <c r="BB397" s="66" t="str">
        <f>IF(B397="","",TEXT(AZ397,"00")&amp;"|"&amp;B397&amp;"|"&amp;TEXT(AV397,"yyyymmdd"))</f>
        <v/>
      </c>
      <c r="BC397" s="66">
        <f>IF(OR(AQ397="YES",AQ397="Yes",AQ397="Y",AQ397=1),1,0)</f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17">
        <f>SUM(H398,J398,L398,N398,P398,R398,T398,V398,X398,Z398,AB398,AD398,AF398,AH398,AJ398,AL398,AN398)</f>
        <v>0</v>
      </c>
      <c r="AT398" s="67" t="str">
        <f>IF(C398="","",DATE(YEAR(C398),MONTH(C398),1))</f>
        <v/>
      </c>
      <c r="AU398" s="66" t="str">
        <f>IF(AT398="","",TEXT(AT398,"mmmm yyyy"))</f>
        <v/>
      </c>
      <c r="AV398" s="67" t="str">
        <f>IF(C398="","",C398-WEEKDAY(C398,2)+1)</f>
        <v/>
      </c>
      <c r="AW398" s="67" t="str">
        <f>IF(AV398="","",AV398+6)</f>
        <v/>
      </c>
      <c r="AX398" s="66" t="str">
        <f>IF(AV398="","",TEXT(AV398,"dd/mm/yyyy")&amp;" - "&amp;TEXT(AW398,"dd/mm/yyyy"))</f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>IF(B398="","",TEXT(AY398,"00")&amp;"|"&amp;B398&amp;"|"&amp;TEXT(AT398,"yyyymmdd"))</f>
        <v/>
      </c>
      <c r="BB398" s="66" t="str">
        <f>IF(B398="","",TEXT(AZ398,"00")&amp;"|"&amp;B398&amp;"|"&amp;TEXT(AV398,"yyyymmdd"))</f>
        <v/>
      </c>
      <c r="BC398" s="66">
        <f>IF(OR(AQ398="YES",AQ398="Yes",AQ398="Y",AQ398=1),1,0)</f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17">
        <f>SUM(H399,J399,L399,N399,P399,R399,T399,V399,X399,Z399,AB399,AD399,AF399,AH399,AJ399,AL399,AN399)</f>
        <v>0</v>
      </c>
      <c r="AT399" s="67" t="str">
        <f>IF(C399="","",DATE(YEAR(C399),MONTH(C399),1))</f>
        <v/>
      </c>
      <c r="AU399" s="66" t="str">
        <f>IF(AT399="","",TEXT(AT399,"mmmm yyyy"))</f>
        <v/>
      </c>
      <c r="AV399" s="67" t="str">
        <f>IF(C399="","",C399-WEEKDAY(C399,2)+1)</f>
        <v/>
      </c>
      <c r="AW399" s="67" t="str">
        <f>IF(AV399="","",AV399+6)</f>
        <v/>
      </c>
      <c r="AX399" s="66" t="str">
        <f>IF(AV399="","",TEXT(AV399,"dd/mm/yyyy")&amp;" - "&amp;TEXT(AW399,"dd/mm/yyyy"))</f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>IF(B399="","",TEXT(AY399,"00")&amp;"|"&amp;B399&amp;"|"&amp;TEXT(AT399,"yyyymmdd"))</f>
        <v/>
      </c>
      <c r="BB399" s="66" t="str">
        <f>IF(B399="","",TEXT(AZ399,"00")&amp;"|"&amp;B399&amp;"|"&amp;TEXT(AV399,"yyyymmdd"))</f>
        <v/>
      </c>
      <c r="BC399" s="66">
        <f>IF(OR(AQ399="YES",AQ399="Yes",AQ399="Y",AQ399=1),1,0)</f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17">
        <f>SUM(H400,J400,L400,N400,P400,R400,T400,V400,X400,Z400,AB400,AD400,AF400,AH400,AJ400,AL400,AN400)</f>
        <v>0</v>
      </c>
      <c r="AT400" s="67" t="str">
        <f>IF(C400="","",DATE(YEAR(C400),MONTH(C400),1))</f>
        <v/>
      </c>
      <c r="AU400" s="66" t="str">
        <f>IF(AT400="","",TEXT(AT400,"mmmm yyyy"))</f>
        <v/>
      </c>
      <c r="AV400" s="67" t="str">
        <f>IF(C400="","",C400-WEEKDAY(C400,2)+1)</f>
        <v/>
      </c>
      <c r="AW400" s="67" t="str">
        <f>IF(AV400="","",AV400+6)</f>
        <v/>
      </c>
      <c r="AX400" s="66" t="str">
        <f>IF(AV400="","",TEXT(AV400,"dd/mm/yyyy")&amp;" - "&amp;TEXT(AW400,"dd/mm/yyyy"))</f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>IF(B400="","",TEXT(AY400,"00")&amp;"|"&amp;B400&amp;"|"&amp;TEXT(AT400,"yyyymmdd"))</f>
        <v/>
      </c>
      <c r="BB400" s="66" t="str">
        <f>IF(B400="","",TEXT(AZ400,"00")&amp;"|"&amp;B400&amp;"|"&amp;TEXT(AV400,"yyyymmdd"))</f>
        <v/>
      </c>
      <c r="BC400" s="66">
        <f>IF(OR(AQ400="YES",AQ400="Yes",AQ400="Y",AQ400=1),1,0)</f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17">
        <f>SUM(H401,J401,L401,N401,P401,R401,T401,V401,X401,Z401,AB401,AD401,AF401,AH401,AJ401,AL401,AN401)</f>
        <v>0</v>
      </c>
      <c r="AT401" s="67" t="str">
        <f>IF(C401="","",DATE(YEAR(C401),MONTH(C401),1))</f>
        <v/>
      </c>
      <c r="AU401" s="66" t="str">
        <f>IF(AT401="","",TEXT(AT401,"mmmm yyyy"))</f>
        <v/>
      </c>
      <c r="AV401" s="67" t="str">
        <f>IF(C401="","",C401-WEEKDAY(C401,2)+1)</f>
        <v/>
      </c>
      <c r="AW401" s="67" t="str">
        <f>IF(AV401="","",AV401+6)</f>
        <v/>
      </c>
      <c r="AX401" s="66" t="str">
        <f>IF(AV401="","",TEXT(AV401,"dd/mm/yyyy")&amp;" - "&amp;TEXT(AW401,"dd/mm/yyyy"))</f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>IF(B401="","",TEXT(AY401,"00")&amp;"|"&amp;B401&amp;"|"&amp;TEXT(AT401,"yyyymmdd"))</f>
        <v/>
      </c>
      <c r="BB401" s="66" t="str">
        <f>IF(B401="","",TEXT(AZ401,"00")&amp;"|"&amp;B401&amp;"|"&amp;TEXT(AV401,"yyyymmdd"))</f>
        <v/>
      </c>
      <c r="BC401" s="66">
        <f>IF(OR(AQ401="YES",AQ401="Yes",AQ401="Y",AQ401=1),1,0)</f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17">
        <f>SUM(H402,J402,L402,N402,P402,R402,T402,V402,X402,Z402,AB402,AD402,AF402,AH402,AJ402,AL402,AN402)</f>
        <v>0</v>
      </c>
      <c r="AT402" s="67" t="str">
        <f>IF(C402="","",DATE(YEAR(C402),MONTH(C402),1))</f>
        <v/>
      </c>
      <c r="AU402" s="66" t="str">
        <f>IF(AT402="","",TEXT(AT402,"mmmm yyyy"))</f>
        <v/>
      </c>
      <c r="AV402" s="67" t="str">
        <f>IF(C402="","",C402-WEEKDAY(C402,2)+1)</f>
        <v/>
      </c>
      <c r="AW402" s="67" t="str">
        <f>IF(AV402="","",AV402+6)</f>
        <v/>
      </c>
      <c r="AX402" s="66" t="str">
        <f>IF(AV402="","",TEXT(AV402,"dd/mm/yyyy")&amp;" - "&amp;TEXT(AW402,"dd/mm/yyyy"))</f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>IF(B402="","",TEXT(AY402,"00")&amp;"|"&amp;B402&amp;"|"&amp;TEXT(AT402,"yyyymmdd"))</f>
        <v/>
      </c>
      <c r="BB402" s="66" t="str">
        <f>IF(B402="","",TEXT(AZ402,"00")&amp;"|"&amp;B402&amp;"|"&amp;TEXT(AV402,"yyyymmdd"))</f>
        <v/>
      </c>
      <c r="BC402" s="66">
        <f>IF(OR(AQ402="YES",AQ402="Yes",AQ402="Y",AQ402=1),1,0)</f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17">
        <f>SUM(H403,J403,L403,N403,P403,R403,T403,V403,X403,Z403,AB403,AD403,AF403,AH403,AJ403,AL403,AN403)</f>
        <v>0</v>
      </c>
      <c r="AT403" s="67" t="str">
        <f>IF(C403="","",DATE(YEAR(C403),MONTH(C403),1))</f>
        <v/>
      </c>
      <c r="AU403" s="66" t="str">
        <f>IF(AT403="","",TEXT(AT403,"mmmm yyyy"))</f>
        <v/>
      </c>
      <c r="AV403" s="67" t="str">
        <f>IF(C403="","",C403-WEEKDAY(C403,2)+1)</f>
        <v/>
      </c>
      <c r="AW403" s="67" t="str">
        <f>IF(AV403="","",AV403+6)</f>
        <v/>
      </c>
      <c r="AX403" s="66" t="str">
        <f>IF(AV403="","",TEXT(AV403,"dd/mm/yyyy")&amp;" - "&amp;TEXT(AW403,"dd/mm/yyyy"))</f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>IF(B403="","",TEXT(AY403,"00")&amp;"|"&amp;B403&amp;"|"&amp;TEXT(AT403,"yyyymmdd"))</f>
        <v/>
      </c>
      <c r="BB403" s="66" t="str">
        <f>IF(B403="","",TEXT(AZ403,"00")&amp;"|"&amp;B403&amp;"|"&amp;TEXT(AV403,"yyyymmdd"))</f>
        <v/>
      </c>
      <c r="BC403" s="66">
        <f>IF(OR(AQ403="YES",AQ403="Yes",AQ403="Y",AQ403=1),1,0)</f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17">
        <f>SUM(H404,J404,L404,N404,P404,R404,T404,V404,X404,Z404,AB404,AD404,AF404,AH404,AJ404,AL404,AN404)</f>
        <v>0</v>
      </c>
      <c r="AT404" s="67" t="str">
        <f>IF(C404="","",DATE(YEAR(C404),MONTH(C404),1))</f>
        <v/>
      </c>
      <c r="AU404" s="66" t="str">
        <f>IF(AT404="","",TEXT(AT404,"mmmm yyyy"))</f>
        <v/>
      </c>
      <c r="AV404" s="67" t="str">
        <f>IF(C404="","",C404-WEEKDAY(C404,2)+1)</f>
        <v/>
      </c>
      <c r="AW404" s="67" t="str">
        <f>IF(AV404="","",AV404+6)</f>
        <v/>
      </c>
      <c r="AX404" s="66" t="str">
        <f>IF(AV404="","",TEXT(AV404,"dd/mm/yyyy")&amp;" - "&amp;TEXT(AW404,"dd/mm/yyyy"))</f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>IF(B404="","",TEXT(AY404,"00")&amp;"|"&amp;B404&amp;"|"&amp;TEXT(AT404,"yyyymmdd"))</f>
        <v/>
      </c>
      <c r="BB404" s="66" t="str">
        <f>IF(B404="","",TEXT(AZ404,"00")&amp;"|"&amp;B404&amp;"|"&amp;TEXT(AV404,"yyyymmdd"))</f>
        <v/>
      </c>
      <c r="BC404" s="66">
        <f>IF(OR(AQ404="YES",AQ404="Yes",AQ404="Y",AQ404=1),1,0)</f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17">
        <f>SUM(H405,J405,L405,N405,P405,R405,T405,V405,X405,Z405,AB405,AD405,AF405,AH405,AJ405,AL405,AN405)</f>
        <v>0</v>
      </c>
      <c r="AT405" s="67" t="str">
        <f>IF(C405="","",DATE(YEAR(C405),MONTH(C405),1))</f>
        <v/>
      </c>
      <c r="AU405" s="66" t="str">
        <f>IF(AT405="","",TEXT(AT405,"mmmm yyyy"))</f>
        <v/>
      </c>
      <c r="AV405" s="67" t="str">
        <f>IF(C405="","",C405-WEEKDAY(C405,2)+1)</f>
        <v/>
      </c>
      <c r="AW405" s="67" t="str">
        <f>IF(AV405="","",AV405+6)</f>
        <v/>
      </c>
      <c r="AX405" s="66" t="str">
        <f>IF(AV405="","",TEXT(AV405,"dd/mm/yyyy")&amp;" - "&amp;TEXT(AW405,"dd/mm/yyyy"))</f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>IF(B405="","",TEXT(AY405,"00")&amp;"|"&amp;B405&amp;"|"&amp;TEXT(AT405,"yyyymmdd"))</f>
        <v/>
      </c>
      <c r="BB405" s="66" t="str">
        <f>IF(B405="","",TEXT(AZ405,"00")&amp;"|"&amp;B405&amp;"|"&amp;TEXT(AV405,"yyyymmdd"))</f>
        <v/>
      </c>
      <c r="BC405" s="66">
        <f>IF(OR(AQ405="YES",AQ405="Yes",AQ405="Y",AQ405=1),1,0)</f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17">
        <f>SUM(H406,J406,L406,N406,P406,R406,T406,V406,X406,Z406,AB406,AD406,AF406,AH406,AJ406,AL406,AN406)</f>
        <v>0</v>
      </c>
      <c r="AT406" s="67" t="str">
        <f>IF(C406="","",DATE(YEAR(C406),MONTH(C406),1))</f>
        <v/>
      </c>
      <c r="AU406" s="66" t="str">
        <f>IF(AT406="","",TEXT(AT406,"mmmm yyyy"))</f>
        <v/>
      </c>
      <c r="AV406" s="67" t="str">
        <f>IF(C406="","",C406-WEEKDAY(C406,2)+1)</f>
        <v/>
      </c>
      <c r="AW406" s="67" t="str">
        <f>IF(AV406="","",AV406+6)</f>
        <v/>
      </c>
      <c r="AX406" s="66" t="str">
        <f>IF(AV406="","",TEXT(AV406,"dd/mm/yyyy")&amp;" - "&amp;TEXT(AW406,"dd/mm/yyyy"))</f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>IF(B406="","",TEXT(AY406,"00")&amp;"|"&amp;B406&amp;"|"&amp;TEXT(AT406,"yyyymmdd"))</f>
        <v/>
      </c>
      <c r="BB406" s="66" t="str">
        <f>IF(B406="","",TEXT(AZ406,"00")&amp;"|"&amp;B406&amp;"|"&amp;TEXT(AV406,"yyyymmdd"))</f>
        <v/>
      </c>
      <c r="BC406" s="66">
        <f>IF(OR(AQ406="YES",AQ406="Yes",AQ406="Y",AQ406=1),1,0)</f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17">
        <f>SUM(H407,J407,L407,N407,P407,R407,T407,V407,X407,Z407,AB407,AD407,AF407,AH407,AJ407,AL407,AN407)</f>
        <v>0</v>
      </c>
      <c r="AT407" s="67" t="str">
        <f>IF(C407="","",DATE(YEAR(C407),MONTH(C407),1))</f>
        <v/>
      </c>
      <c r="AU407" s="66" t="str">
        <f>IF(AT407="","",TEXT(AT407,"mmmm yyyy"))</f>
        <v/>
      </c>
      <c r="AV407" s="67" t="str">
        <f>IF(C407="","",C407-WEEKDAY(C407,2)+1)</f>
        <v/>
      </c>
      <c r="AW407" s="67" t="str">
        <f>IF(AV407="","",AV407+6)</f>
        <v/>
      </c>
      <c r="AX407" s="66" t="str">
        <f>IF(AV407="","",TEXT(AV407,"dd/mm/yyyy")&amp;" - "&amp;TEXT(AW407,"dd/mm/yyyy"))</f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>IF(B407="","",TEXT(AY407,"00")&amp;"|"&amp;B407&amp;"|"&amp;TEXT(AT407,"yyyymmdd"))</f>
        <v/>
      </c>
      <c r="BB407" s="66" t="str">
        <f>IF(B407="","",TEXT(AZ407,"00")&amp;"|"&amp;B407&amp;"|"&amp;TEXT(AV407,"yyyymmdd"))</f>
        <v/>
      </c>
      <c r="BC407" s="66">
        <f>IF(OR(AQ407="YES",AQ407="Yes",AQ407="Y",AQ407=1),1,0)</f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17">
        <f>SUM(H408,J408,L408,N408,P408,R408,T408,V408,X408,Z408,AB408,AD408,AF408,AH408,AJ408,AL408,AN408)</f>
        <v>0</v>
      </c>
      <c r="AT408" s="67" t="str">
        <f>IF(C408="","",DATE(YEAR(C408),MONTH(C408),1))</f>
        <v/>
      </c>
      <c r="AU408" s="66" t="str">
        <f>IF(AT408="","",TEXT(AT408,"mmmm yyyy"))</f>
        <v/>
      </c>
      <c r="AV408" s="67" t="str">
        <f>IF(C408="","",C408-WEEKDAY(C408,2)+1)</f>
        <v/>
      </c>
      <c r="AW408" s="67" t="str">
        <f>IF(AV408="","",AV408+6)</f>
        <v/>
      </c>
      <c r="AX408" s="66" t="str">
        <f>IF(AV408="","",TEXT(AV408,"dd/mm/yyyy")&amp;" - "&amp;TEXT(AW408,"dd/mm/yyyy"))</f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>IF(B408="","",TEXT(AY408,"00")&amp;"|"&amp;B408&amp;"|"&amp;TEXT(AT408,"yyyymmdd"))</f>
        <v/>
      </c>
      <c r="BB408" s="66" t="str">
        <f>IF(B408="","",TEXT(AZ408,"00")&amp;"|"&amp;B408&amp;"|"&amp;TEXT(AV408,"yyyymmdd"))</f>
        <v/>
      </c>
      <c r="BC408" s="66">
        <f>IF(OR(AQ408="YES",AQ408="Yes",AQ408="Y",AQ408=1),1,0)</f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17">
        <f>SUM(H409,J409,L409,N409,P409,R409,T409,V409,X409,Z409,AB409,AD409,AF409,AH409,AJ409,AL409,AN409)</f>
        <v>0</v>
      </c>
      <c r="AT409" s="67" t="str">
        <f>IF(C409="","",DATE(YEAR(C409),MONTH(C409),1))</f>
        <v/>
      </c>
      <c r="AU409" s="66" t="str">
        <f>IF(AT409="","",TEXT(AT409,"mmmm yyyy"))</f>
        <v/>
      </c>
      <c r="AV409" s="67" t="str">
        <f>IF(C409="","",C409-WEEKDAY(C409,2)+1)</f>
        <v/>
      </c>
      <c r="AW409" s="67" t="str">
        <f>IF(AV409="","",AV409+6)</f>
        <v/>
      </c>
      <c r="AX409" s="66" t="str">
        <f>IF(AV409="","",TEXT(AV409,"dd/mm/yyyy")&amp;" - "&amp;TEXT(AW409,"dd/mm/yyyy"))</f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>IF(B409="","",TEXT(AY409,"00")&amp;"|"&amp;B409&amp;"|"&amp;TEXT(AT409,"yyyymmdd"))</f>
        <v/>
      </c>
      <c r="BB409" s="66" t="str">
        <f>IF(B409="","",TEXT(AZ409,"00")&amp;"|"&amp;B409&amp;"|"&amp;TEXT(AV409,"yyyymmdd"))</f>
        <v/>
      </c>
      <c r="BC409" s="66">
        <f>IF(OR(AQ409="YES",AQ409="Yes",AQ409="Y",AQ409=1),1,0)</f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17">
        <f>SUM(H410,J410,L410,N410,P410,R410,T410,V410,X410,Z410,AB410,AD410,AF410,AH410,AJ410,AL410,AN410)</f>
        <v>0</v>
      </c>
      <c r="AT410" s="67" t="str">
        <f>IF(C410="","",DATE(YEAR(C410),MONTH(C410),1))</f>
        <v/>
      </c>
      <c r="AU410" s="66" t="str">
        <f>IF(AT410="","",TEXT(AT410,"mmmm yyyy"))</f>
        <v/>
      </c>
      <c r="AV410" s="67" t="str">
        <f>IF(C410="","",C410-WEEKDAY(C410,2)+1)</f>
        <v/>
      </c>
      <c r="AW410" s="67" t="str">
        <f>IF(AV410="","",AV410+6)</f>
        <v/>
      </c>
      <c r="AX410" s="66" t="str">
        <f>IF(AV410="","",TEXT(AV410,"dd/mm/yyyy")&amp;" - "&amp;TEXT(AW410,"dd/mm/yyyy"))</f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>IF(B410="","",TEXT(AY410,"00")&amp;"|"&amp;B410&amp;"|"&amp;TEXT(AT410,"yyyymmdd"))</f>
        <v/>
      </c>
      <c r="BB410" s="66" t="str">
        <f>IF(B410="","",TEXT(AZ410,"00")&amp;"|"&amp;B410&amp;"|"&amp;TEXT(AV410,"yyyymmdd"))</f>
        <v/>
      </c>
      <c r="BC410" s="66">
        <f>IF(OR(AQ410="YES",AQ410="Yes",AQ410="Y",AQ410=1),1,0)</f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17">
        <f>SUM(H411,J411,L411,N411,P411,R411,T411,V411,X411,Z411,AB411,AD411,AF411,AH411,AJ411,AL411,AN411)</f>
        <v>0</v>
      </c>
      <c r="AT411" s="67" t="str">
        <f>IF(C411="","",DATE(YEAR(C411),MONTH(C411),1))</f>
        <v/>
      </c>
      <c r="AU411" s="66" t="str">
        <f>IF(AT411="","",TEXT(AT411,"mmmm yyyy"))</f>
        <v/>
      </c>
      <c r="AV411" s="67" t="str">
        <f>IF(C411="","",C411-WEEKDAY(C411,2)+1)</f>
        <v/>
      </c>
      <c r="AW411" s="67" t="str">
        <f>IF(AV411="","",AV411+6)</f>
        <v/>
      </c>
      <c r="AX411" s="66" t="str">
        <f>IF(AV411="","",TEXT(AV411,"dd/mm/yyyy")&amp;" - "&amp;TEXT(AW411,"dd/mm/yyyy"))</f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>IF(B411="","",TEXT(AY411,"00")&amp;"|"&amp;B411&amp;"|"&amp;TEXT(AT411,"yyyymmdd"))</f>
        <v/>
      </c>
      <c r="BB411" s="66" t="str">
        <f>IF(B411="","",TEXT(AZ411,"00")&amp;"|"&amp;B411&amp;"|"&amp;TEXT(AV411,"yyyymmdd"))</f>
        <v/>
      </c>
      <c r="BC411" s="66">
        <f>IF(OR(AQ411="YES",AQ411="Yes",AQ411="Y",AQ411=1),1,0)</f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17">
        <f>SUM(H412,J412,L412,N412,P412,R412,T412,V412,X412,Z412,AB412,AD412,AF412,AH412,AJ412,AL412,AN412)</f>
        <v>0</v>
      </c>
      <c r="AT412" s="67" t="str">
        <f>IF(C412="","",DATE(YEAR(C412),MONTH(C412),1))</f>
        <v/>
      </c>
      <c r="AU412" s="66" t="str">
        <f>IF(AT412="","",TEXT(AT412,"mmmm yyyy"))</f>
        <v/>
      </c>
      <c r="AV412" s="67" t="str">
        <f>IF(C412="","",C412-WEEKDAY(C412,2)+1)</f>
        <v/>
      </c>
      <c r="AW412" s="67" t="str">
        <f>IF(AV412="","",AV412+6)</f>
        <v/>
      </c>
      <c r="AX412" s="66" t="str">
        <f>IF(AV412="","",TEXT(AV412,"dd/mm/yyyy")&amp;" - "&amp;TEXT(AW412,"dd/mm/yyyy"))</f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>IF(B412="","",TEXT(AY412,"00")&amp;"|"&amp;B412&amp;"|"&amp;TEXT(AT412,"yyyymmdd"))</f>
        <v/>
      </c>
      <c r="BB412" s="66" t="str">
        <f>IF(B412="","",TEXT(AZ412,"00")&amp;"|"&amp;B412&amp;"|"&amp;TEXT(AV412,"yyyymmdd"))</f>
        <v/>
      </c>
      <c r="BC412" s="66">
        <f>IF(OR(AQ412="YES",AQ412="Yes",AQ412="Y",AQ412=1),1,0)</f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17">
        <f>SUM(H413,J413,L413,N413,P413,R413,T413,V413,X413,Z413,AB413,AD413,AF413,AH413,AJ413,AL413,AN413)</f>
        <v>0</v>
      </c>
      <c r="AT413" s="67" t="str">
        <f>IF(C413="","",DATE(YEAR(C413),MONTH(C413),1))</f>
        <v/>
      </c>
      <c r="AU413" s="66" t="str">
        <f>IF(AT413="","",TEXT(AT413,"mmmm yyyy"))</f>
        <v/>
      </c>
      <c r="AV413" s="67" t="str">
        <f>IF(C413="","",C413-WEEKDAY(C413,2)+1)</f>
        <v/>
      </c>
      <c r="AW413" s="67" t="str">
        <f>IF(AV413="","",AV413+6)</f>
        <v/>
      </c>
      <c r="AX413" s="66" t="str">
        <f>IF(AV413="","",TEXT(AV413,"dd/mm/yyyy")&amp;" - "&amp;TEXT(AW413,"dd/mm/yyyy"))</f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>IF(B413="","",TEXT(AY413,"00")&amp;"|"&amp;B413&amp;"|"&amp;TEXT(AT413,"yyyymmdd"))</f>
        <v/>
      </c>
      <c r="BB413" s="66" t="str">
        <f>IF(B413="","",TEXT(AZ413,"00")&amp;"|"&amp;B413&amp;"|"&amp;TEXT(AV413,"yyyymmdd"))</f>
        <v/>
      </c>
      <c r="BC413" s="66">
        <f>IF(OR(AQ413="YES",AQ413="Yes",AQ413="Y",AQ413=1),1,0)</f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17">
        <f>SUM(H414,J414,L414,N414,P414,R414,T414,V414,X414,Z414,AB414,AD414,AF414,AH414,AJ414,AL414,AN414)</f>
        <v>0</v>
      </c>
      <c r="AT414" s="67" t="str">
        <f>IF(C414="","",DATE(YEAR(C414),MONTH(C414),1))</f>
        <v/>
      </c>
      <c r="AU414" s="66" t="str">
        <f>IF(AT414="","",TEXT(AT414,"mmmm yyyy"))</f>
        <v/>
      </c>
      <c r="AV414" s="67" t="str">
        <f>IF(C414="","",C414-WEEKDAY(C414,2)+1)</f>
        <v/>
      </c>
      <c r="AW414" s="67" t="str">
        <f>IF(AV414="","",AV414+6)</f>
        <v/>
      </c>
      <c r="AX414" s="66" t="str">
        <f>IF(AV414="","",TEXT(AV414,"dd/mm/yyyy")&amp;" - "&amp;TEXT(AW414,"dd/mm/yyyy"))</f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>IF(B414="","",TEXT(AY414,"00")&amp;"|"&amp;B414&amp;"|"&amp;TEXT(AT414,"yyyymmdd"))</f>
        <v/>
      </c>
      <c r="BB414" s="66" t="str">
        <f>IF(B414="","",TEXT(AZ414,"00")&amp;"|"&amp;B414&amp;"|"&amp;TEXT(AV414,"yyyymmdd"))</f>
        <v/>
      </c>
      <c r="BC414" s="66">
        <f>IF(OR(AQ414="YES",AQ414="Yes",AQ414="Y",AQ414=1),1,0)</f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17">
        <f>SUM(H415,J415,L415,N415,P415,R415,T415,V415,X415,Z415,AB415,AD415,AF415,AH415,AJ415,AL415,AN415)</f>
        <v>0</v>
      </c>
      <c r="AT415" s="67" t="str">
        <f>IF(C415="","",DATE(YEAR(C415),MONTH(C415),1))</f>
        <v/>
      </c>
      <c r="AU415" s="66" t="str">
        <f>IF(AT415="","",TEXT(AT415,"mmmm yyyy"))</f>
        <v/>
      </c>
      <c r="AV415" s="67" t="str">
        <f>IF(C415="","",C415-WEEKDAY(C415,2)+1)</f>
        <v/>
      </c>
      <c r="AW415" s="67" t="str">
        <f>IF(AV415="","",AV415+6)</f>
        <v/>
      </c>
      <c r="AX415" s="66" t="str">
        <f>IF(AV415="","",TEXT(AV415,"dd/mm/yyyy")&amp;" - "&amp;TEXT(AW415,"dd/mm/yyyy"))</f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>IF(B415="","",TEXT(AY415,"00")&amp;"|"&amp;B415&amp;"|"&amp;TEXT(AT415,"yyyymmdd"))</f>
        <v/>
      </c>
      <c r="BB415" s="66" t="str">
        <f>IF(B415="","",TEXT(AZ415,"00")&amp;"|"&amp;B415&amp;"|"&amp;TEXT(AV415,"yyyymmdd"))</f>
        <v/>
      </c>
      <c r="BC415" s="66">
        <f>IF(OR(AQ415="YES",AQ415="Yes",AQ415="Y",AQ415=1),1,0)</f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17">
        <f>SUM(H416,J416,L416,N416,P416,R416,T416,V416,X416,Z416,AB416,AD416,AF416,AH416,AJ416,AL416,AN416)</f>
        <v>0</v>
      </c>
      <c r="AT416" s="67" t="str">
        <f>IF(C416="","",DATE(YEAR(C416),MONTH(C416),1))</f>
        <v/>
      </c>
      <c r="AU416" s="66" t="str">
        <f>IF(AT416="","",TEXT(AT416,"mmmm yyyy"))</f>
        <v/>
      </c>
      <c r="AV416" s="67" t="str">
        <f>IF(C416="","",C416-WEEKDAY(C416,2)+1)</f>
        <v/>
      </c>
      <c r="AW416" s="67" t="str">
        <f>IF(AV416="","",AV416+6)</f>
        <v/>
      </c>
      <c r="AX416" s="66" t="str">
        <f>IF(AV416="","",TEXT(AV416,"dd/mm/yyyy")&amp;" - "&amp;TEXT(AW416,"dd/mm/yyyy"))</f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>IF(B416="","",TEXT(AY416,"00")&amp;"|"&amp;B416&amp;"|"&amp;TEXT(AT416,"yyyymmdd"))</f>
        <v/>
      </c>
      <c r="BB416" s="66" t="str">
        <f>IF(B416="","",TEXT(AZ416,"00")&amp;"|"&amp;B416&amp;"|"&amp;TEXT(AV416,"yyyymmdd"))</f>
        <v/>
      </c>
      <c r="BC416" s="66">
        <f>IF(OR(AQ416="YES",AQ416="Yes",AQ416="Y",AQ416=1),1,0)</f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17">
        <f>SUM(H417,J417,L417,N417,P417,R417,T417,V417,X417,Z417,AB417,AD417,AF417,AH417,AJ417,AL417,AN417)</f>
        <v>0</v>
      </c>
      <c r="AT417" s="67" t="str">
        <f>IF(C417="","",DATE(YEAR(C417),MONTH(C417),1))</f>
        <v/>
      </c>
      <c r="AU417" s="66" t="str">
        <f>IF(AT417="","",TEXT(AT417,"mmmm yyyy"))</f>
        <v/>
      </c>
      <c r="AV417" s="67" t="str">
        <f>IF(C417="","",C417-WEEKDAY(C417,2)+1)</f>
        <v/>
      </c>
      <c r="AW417" s="67" t="str">
        <f>IF(AV417="","",AV417+6)</f>
        <v/>
      </c>
      <c r="AX417" s="66" t="str">
        <f>IF(AV417="","",TEXT(AV417,"dd/mm/yyyy")&amp;" - "&amp;TEXT(AW417,"dd/mm/yyyy"))</f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>IF(B417="","",TEXT(AY417,"00")&amp;"|"&amp;B417&amp;"|"&amp;TEXT(AT417,"yyyymmdd"))</f>
        <v/>
      </c>
      <c r="BB417" s="66" t="str">
        <f>IF(B417="","",TEXT(AZ417,"00")&amp;"|"&amp;B417&amp;"|"&amp;TEXT(AV417,"yyyymmdd"))</f>
        <v/>
      </c>
      <c r="BC417" s="66">
        <f>IF(OR(AQ417="YES",AQ417="Yes",AQ417="Y",AQ417=1),1,0)</f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17">
        <f>SUM(H418,J418,L418,N418,P418,R418,T418,V418,X418,Z418,AB418,AD418,AF418,AH418,AJ418,AL418,AN418)</f>
        <v>0</v>
      </c>
      <c r="AT418" s="67" t="str">
        <f>IF(C418="","",DATE(YEAR(C418),MONTH(C418),1))</f>
        <v/>
      </c>
      <c r="AU418" s="66" t="str">
        <f>IF(AT418="","",TEXT(AT418,"mmmm yyyy"))</f>
        <v/>
      </c>
      <c r="AV418" s="67" t="str">
        <f>IF(C418="","",C418-WEEKDAY(C418,2)+1)</f>
        <v/>
      </c>
      <c r="AW418" s="67" t="str">
        <f>IF(AV418="","",AV418+6)</f>
        <v/>
      </c>
      <c r="AX418" s="66" t="str">
        <f>IF(AV418="","",TEXT(AV418,"dd/mm/yyyy")&amp;" - "&amp;TEXT(AW418,"dd/mm/yyyy"))</f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>IF(B418="","",TEXT(AY418,"00")&amp;"|"&amp;B418&amp;"|"&amp;TEXT(AT418,"yyyymmdd"))</f>
        <v/>
      </c>
      <c r="BB418" s="66" t="str">
        <f>IF(B418="","",TEXT(AZ418,"00")&amp;"|"&amp;B418&amp;"|"&amp;TEXT(AV418,"yyyymmdd"))</f>
        <v/>
      </c>
      <c r="BC418" s="66">
        <f>IF(OR(AQ418="YES",AQ418="Yes",AQ418="Y",AQ418=1),1,0)</f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17">
        <f>SUM(H419,J419,L419,N419,P419,R419,T419,V419,X419,Z419,AB419,AD419,AF419,AH419,AJ419,AL419,AN419)</f>
        <v>0</v>
      </c>
      <c r="AT419" s="67" t="str">
        <f>IF(C419="","",DATE(YEAR(C419),MONTH(C419),1))</f>
        <v/>
      </c>
      <c r="AU419" s="66" t="str">
        <f>IF(AT419="","",TEXT(AT419,"mmmm yyyy"))</f>
        <v/>
      </c>
      <c r="AV419" s="67" t="str">
        <f>IF(C419="","",C419-WEEKDAY(C419,2)+1)</f>
        <v/>
      </c>
      <c r="AW419" s="67" t="str">
        <f>IF(AV419="","",AV419+6)</f>
        <v/>
      </c>
      <c r="AX419" s="66" t="str">
        <f>IF(AV419="","",TEXT(AV419,"dd/mm/yyyy")&amp;" - "&amp;TEXT(AW419,"dd/mm/yyyy"))</f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>IF(B419="","",TEXT(AY419,"00")&amp;"|"&amp;B419&amp;"|"&amp;TEXT(AT419,"yyyymmdd"))</f>
        <v/>
      </c>
      <c r="BB419" s="66" t="str">
        <f>IF(B419="","",TEXT(AZ419,"00")&amp;"|"&amp;B419&amp;"|"&amp;TEXT(AV419,"yyyymmdd"))</f>
        <v/>
      </c>
      <c r="BC419" s="66">
        <f>IF(OR(AQ419="YES",AQ419="Yes",AQ419="Y",AQ419=1),1,0)</f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17">
        <f>SUM(H420,J420,L420,N420,P420,R420,T420,V420,X420,Z420,AB420,AD420,AF420,AH420,AJ420,AL420,AN420)</f>
        <v>0</v>
      </c>
      <c r="AT420" s="67" t="str">
        <f>IF(C420="","",DATE(YEAR(C420),MONTH(C420),1))</f>
        <v/>
      </c>
      <c r="AU420" s="66" t="str">
        <f>IF(AT420="","",TEXT(AT420,"mmmm yyyy"))</f>
        <v/>
      </c>
      <c r="AV420" s="67" t="str">
        <f>IF(C420="","",C420-WEEKDAY(C420,2)+1)</f>
        <v/>
      </c>
      <c r="AW420" s="67" t="str">
        <f>IF(AV420="","",AV420+6)</f>
        <v/>
      </c>
      <c r="AX420" s="66" t="str">
        <f>IF(AV420="","",TEXT(AV420,"dd/mm/yyyy")&amp;" - "&amp;TEXT(AW420,"dd/mm/yyyy"))</f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>IF(B420="","",TEXT(AY420,"00")&amp;"|"&amp;B420&amp;"|"&amp;TEXT(AT420,"yyyymmdd"))</f>
        <v/>
      </c>
      <c r="BB420" s="66" t="str">
        <f>IF(B420="","",TEXT(AZ420,"00")&amp;"|"&amp;B420&amp;"|"&amp;TEXT(AV420,"yyyymmdd"))</f>
        <v/>
      </c>
      <c r="BC420" s="66">
        <f>IF(OR(AQ420="YES",AQ420="Yes",AQ420="Y",AQ420=1),1,0)</f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17">
        <f>SUM(H421,J421,L421,N421,P421,R421,T421,V421,X421,Z421,AB421,AD421,AF421,AH421,AJ421,AL421,AN421)</f>
        <v>0</v>
      </c>
      <c r="AT421" s="67" t="str">
        <f>IF(C421="","",DATE(YEAR(C421),MONTH(C421),1))</f>
        <v/>
      </c>
      <c r="AU421" s="66" t="str">
        <f>IF(AT421="","",TEXT(AT421,"mmmm yyyy"))</f>
        <v/>
      </c>
      <c r="AV421" s="67" t="str">
        <f>IF(C421="","",C421-WEEKDAY(C421,2)+1)</f>
        <v/>
      </c>
      <c r="AW421" s="67" t="str">
        <f>IF(AV421="","",AV421+6)</f>
        <v/>
      </c>
      <c r="AX421" s="66" t="str">
        <f>IF(AV421="","",TEXT(AV421,"dd/mm/yyyy")&amp;" - "&amp;TEXT(AW421,"dd/mm/yyyy"))</f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>IF(B421="","",TEXT(AY421,"00")&amp;"|"&amp;B421&amp;"|"&amp;TEXT(AT421,"yyyymmdd"))</f>
        <v/>
      </c>
      <c r="BB421" s="66" t="str">
        <f>IF(B421="","",TEXT(AZ421,"00")&amp;"|"&amp;B421&amp;"|"&amp;TEXT(AV421,"yyyymmdd"))</f>
        <v/>
      </c>
      <c r="BC421" s="66">
        <f>IF(OR(AQ421="YES",AQ421="Yes",AQ421="Y",AQ421=1),1,0)</f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17">
        <f>SUM(H422,J422,L422,N422,P422,R422,T422,V422,X422,Z422,AB422,AD422,AF422,AH422,AJ422,AL422,AN422)</f>
        <v>0</v>
      </c>
      <c r="AT422" s="67" t="str">
        <f>IF(C422="","",DATE(YEAR(C422),MONTH(C422),1))</f>
        <v/>
      </c>
      <c r="AU422" s="66" t="str">
        <f>IF(AT422="","",TEXT(AT422,"mmmm yyyy"))</f>
        <v/>
      </c>
      <c r="AV422" s="67" t="str">
        <f>IF(C422="","",C422-WEEKDAY(C422,2)+1)</f>
        <v/>
      </c>
      <c r="AW422" s="67" t="str">
        <f>IF(AV422="","",AV422+6)</f>
        <v/>
      </c>
      <c r="AX422" s="66" t="str">
        <f>IF(AV422="","",TEXT(AV422,"dd/mm/yyyy")&amp;" - "&amp;TEXT(AW422,"dd/mm/yyyy"))</f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>IF(B422="","",TEXT(AY422,"00")&amp;"|"&amp;B422&amp;"|"&amp;TEXT(AT422,"yyyymmdd"))</f>
        <v/>
      </c>
      <c r="BB422" s="66" t="str">
        <f>IF(B422="","",TEXT(AZ422,"00")&amp;"|"&amp;B422&amp;"|"&amp;TEXT(AV422,"yyyymmdd"))</f>
        <v/>
      </c>
      <c r="BC422" s="66">
        <f>IF(OR(AQ422="YES",AQ422="Yes",AQ422="Y",AQ422=1),1,0)</f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17">
        <f>SUM(H423,J423,L423,N423,P423,R423,T423,V423,X423,Z423,AB423,AD423,AF423,AH423,AJ423,AL423,AN423)</f>
        <v>0</v>
      </c>
      <c r="AT423" s="67" t="str">
        <f>IF(C423="","",DATE(YEAR(C423),MONTH(C423),1))</f>
        <v/>
      </c>
      <c r="AU423" s="66" t="str">
        <f>IF(AT423="","",TEXT(AT423,"mmmm yyyy"))</f>
        <v/>
      </c>
      <c r="AV423" s="67" t="str">
        <f>IF(C423="","",C423-WEEKDAY(C423,2)+1)</f>
        <v/>
      </c>
      <c r="AW423" s="67" t="str">
        <f>IF(AV423="","",AV423+6)</f>
        <v/>
      </c>
      <c r="AX423" s="66" t="str">
        <f>IF(AV423="","",TEXT(AV423,"dd/mm/yyyy")&amp;" - "&amp;TEXT(AW423,"dd/mm/yyyy"))</f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>IF(B423="","",TEXT(AY423,"00")&amp;"|"&amp;B423&amp;"|"&amp;TEXT(AT423,"yyyymmdd"))</f>
        <v/>
      </c>
      <c r="BB423" s="66" t="str">
        <f>IF(B423="","",TEXT(AZ423,"00")&amp;"|"&amp;B423&amp;"|"&amp;TEXT(AV423,"yyyymmdd"))</f>
        <v/>
      </c>
      <c r="BC423" s="66">
        <f>IF(OR(AQ423="YES",AQ423="Yes",AQ423="Y",AQ423=1),1,0)</f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17">
        <f>SUM(H424,J424,L424,N424,P424,R424,T424,V424,X424,Z424,AB424,AD424,AF424,AH424,AJ424,AL424,AN424)</f>
        <v>0</v>
      </c>
      <c r="AT424" s="67" t="str">
        <f>IF(C424="","",DATE(YEAR(C424),MONTH(C424),1))</f>
        <v/>
      </c>
      <c r="AU424" s="66" t="str">
        <f>IF(AT424="","",TEXT(AT424,"mmmm yyyy"))</f>
        <v/>
      </c>
      <c r="AV424" s="67" t="str">
        <f>IF(C424="","",C424-WEEKDAY(C424,2)+1)</f>
        <v/>
      </c>
      <c r="AW424" s="67" t="str">
        <f>IF(AV424="","",AV424+6)</f>
        <v/>
      </c>
      <c r="AX424" s="66" t="str">
        <f>IF(AV424="","",TEXT(AV424,"dd/mm/yyyy")&amp;" - "&amp;TEXT(AW424,"dd/mm/yyyy"))</f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>IF(B424="","",TEXT(AY424,"00")&amp;"|"&amp;B424&amp;"|"&amp;TEXT(AT424,"yyyymmdd"))</f>
        <v/>
      </c>
      <c r="BB424" s="66" t="str">
        <f>IF(B424="","",TEXT(AZ424,"00")&amp;"|"&amp;B424&amp;"|"&amp;TEXT(AV424,"yyyymmdd"))</f>
        <v/>
      </c>
      <c r="BC424" s="66">
        <f>IF(OR(AQ424="YES",AQ424="Yes",AQ424="Y",AQ424=1),1,0)</f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17">
        <f>SUM(H425,J425,L425,N425,P425,R425,T425,V425,X425,Z425,AB425,AD425,AF425,AH425,AJ425,AL425,AN425)</f>
        <v>0</v>
      </c>
      <c r="AT425" s="67" t="str">
        <f>IF(C425="","",DATE(YEAR(C425),MONTH(C425),1))</f>
        <v/>
      </c>
      <c r="AU425" s="66" t="str">
        <f>IF(AT425="","",TEXT(AT425,"mmmm yyyy"))</f>
        <v/>
      </c>
      <c r="AV425" s="67" t="str">
        <f>IF(C425="","",C425-WEEKDAY(C425,2)+1)</f>
        <v/>
      </c>
      <c r="AW425" s="67" t="str">
        <f>IF(AV425="","",AV425+6)</f>
        <v/>
      </c>
      <c r="AX425" s="66" t="str">
        <f>IF(AV425="","",TEXT(AV425,"dd/mm/yyyy")&amp;" - "&amp;TEXT(AW425,"dd/mm/yyyy"))</f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>IF(B425="","",TEXT(AY425,"00")&amp;"|"&amp;B425&amp;"|"&amp;TEXT(AT425,"yyyymmdd"))</f>
        <v/>
      </c>
      <c r="BB425" s="66" t="str">
        <f>IF(B425="","",TEXT(AZ425,"00")&amp;"|"&amp;B425&amp;"|"&amp;TEXT(AV425,"yyyymmdd"))</f>
        <v/>
      </c>
      <c r="BC425" s="66">
        <f>IF(OR(AQ425="YES",AQ425="Yes",AQ425="Y",AQ425=1),1,0)</f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17">
        <f>SUM(H426,J426,L426,N426,P426,R426,T426,V426,X426,Z426,AB426,AD426,AF426,AH426,AJ426,AL426,AN426)</f>
        <v>0</v>
      </c>
      <c r="AT426" s="67" t="str">
        <f>IF(C426="","",DATE(YEAR(C426),MONTH(C426),1))</f>
        <v/>
      </c>
      <c r="AU426" s="66" t="str">
        <f>IF(AT426="","",TEXT(AT426,"mmmm yyyy"))</f>
        <v/>
      </c>
      <c r="AV426" s="67" t="str">
        <f>IF(C426="","",C426-WEEKDAY(C426,2)+1)</f>
        <v/>
      </c>
      <c r="AW426" s="67" t="str">
        <f>IF(AV426="","",AV426+6)</f>
        <v/>
      </c>
      <c r="AX426" s="66" t="str">
        <f>IF(AV426="","",TEXT(AV426,"dd/mm/yyyy")&amp;" - "&amp;TEXT(AW426,"dd/mm/yyyy"))</f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>IF(B426="","",TEXT(AY426,"00")&amp;"|"&amp;B426&amp;"|"&amp;TEXT(AT426,"yyyymmdd"))</f>
        <v/>
      </c>
      <c r="BB426" s="66" t="str">
        <f>IF(B426="","",TEXT(AZ426,"00")&amp;"|"&amp;B426&amp;"|"&amp;TEXT(AV426,"yyyymmdd"))</f>
        <v/>
      </c>
      <c r="BC426" s="66">
        <f>IF(OR(AQ426="YES",AQ426="Yes",AQ426="Y",AQ426=1),1,0)</f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17">
        <f>SUM(H427,J427,L427,N427,P427,R427,T427,V427,X427,Z427,AB427,AD427,AF427,AH427,AJ427,AL427,AN427)</f>
        <v>0</v>
      </c>
      <c r="AT427" s="67" t="str">
        <f>IF(C427="","",DATE(YEAR(C427),MONTH(C427),1))</f>
        <v/>
      </c>
      <c r="AU427" s="66" t="str">
        <f>IF(AT427="","",TEXT(AT427,"mmmm yyyy"))</f>
        <v/>
      </c>
      <c r="AV427" s="67" t="str">
        <f>IF(C427="","",C427-WEEKDAY(C427,2)+1)</f>
        <v/>
      </c>
      <c r="AW427" s="67" t="str">
        <f>IF(AV427="","",AV427+6)</f>
        <v/>
      </c>
      <c r="AX427" s="66" t="str">
        <f>IF(AV427="","",TEXT(AV427,"dd/mm/yyyy")&amp;" - "&amp;TEXT(AW427,"dd/mm/yyyy"))</f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>IF(B427="","",TEXT(AY427,"00")&amp;"|"&amp;B427&amp;"|"&amp;TEXT(AT427,"yyyymmdd"))</f>
        <v/>
      </c>
      <c r="BB427" s="66" t="str">
        <f>IF(B427="","",TEXT(AZ427,"00")&amp;"|"&amp;B427&amp;"|"&amp;TEXT(AV427,"yyyymmdd"))</f>
        <v/>
      </c>
      <c r="BC427" s="66">
        <f>IF(OR(AQ427="YES",AQ427="Yes",AQ427="Y",AQ427=1),1,0)</f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17">
        <f>SUM(H428,J428,L428,N428,P428,R428,T428,V428,X428,Z428,AB428,AD428,AF428,AH428,AJ428,AL428,AN428)</f>
        <v>0</v>
      </c>
      <c r="AT428" s="67" t="str">
        <f>IF(C428="","",DATE(YEAR(C428),MONTH(C428),1))</f>
        <v/>
      </c>
      <c r="AU428" s="66" t="str">
        <f>IF(AT428="","",TEXT(AT428,"mmmm yyyy"))</f>
        <v/>
      </c>
      <c r="AV428" s="67" t="str">
        <f>IF(C428="","",C428-WEEKDAY(C428,2)+1)</f>
        <v/>
      </c>
      <c r="AW428" s="67" t="str">
        <f>IF(AV428="","",AV428+6)</f>
        <v/>
      </c>
      <c r="AX428" s="66" t="str">
        <f>IF(AV428="","",TEXT(AV428,"dd/mm/yyyy")&amp;" - "&amp;TEXT(AW428,"dd/mm/yyyy"))</f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>IF(B428="","",TEXT(AY428,"00")&amp;"|"&amp;B428&amp;"|"&amp;TEXT(AT428,"yyyymmdd"))</f>
        <v/>
      </c>
      <c r="BB428" s="66" t="str">
        <f>IF(B428="","",TEXT(AZ428,"00")&amp;"|"&amp;B428&amp;"|"&amp;TEXT(AV428,"yyyymmdd"))</f>
        <v/>
      </c>
      <c r="BC428" s="66">
        <f>IF(OR(AQ428="YES",AQ428="Yes",AQ428="Y",AQ428=1),1,0)</f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17">
        <f>SUM(H429,J429,L429,N429,P429,R429,T429,V429,X429,Z429,AB429,AD429,AF429,AH429,AJ429,AL429,AN429)</f>
        <v>0</v>
      </c>
      <c r="AT429" s="67" t="str">
        <f>IF(C429="","",DATE(YEAR(C429),MONTH(C429),1))</f>
        <v/>
      </c>
      <c r="AU429" s="66" t="str">
        <f>IF(AT429="","",TEXT(AT429,"mmmm yyyy"))</f>
        <v/>
      </c>
      <c r="AV429" s="67" t="str">
        <f>IF(C429="","",C429-WEEKDAY(C429,2)+1)</f>
        <v/>
      </c>
      <c r="AW429" s="67" t="str">
        <f>IF(AV429="","",AV429+6)</f>
        <v/>
      </c>
      <c r="AX429" s="66" t="str">
        <f>IF(AV429="","",TEXT(AV429,"dd/mm/yyyy")&amp;" - "&amp;TEXT(AW429,"dd/mm/yyyy"))</f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>IF(B429="","",TEXT(AY429,"00")&amp;"|"&amp;B429&amp;"|"&amp;TEXT(AT429,"yyyymmdd"))</f>
        <v/>
      </c>
      <c r="BB429" s="66" t="str">
        <f>IF(B429="","",TEXT(AZ429,"00")&amp;"|"&amp;B429&amp;"|"&amp;TEXT(AV429,"yyyymmdd"))</f>
        <v/>
      </c>
      <c r="BC429" s="66">
        <f>IF(OR(AQ429="YES",AQ429="Yes",AQ429="Y",AQ429=1),1,0)</f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17">
        <f>SUM(H430,J430,L430,N430,P430,R430,T430,V430,X430,Z430,AB430,AD430,AF430,AH430,AJ430,AL430,AN430)</f>
        <v>0</v>
      </c>
      <c r="AT430" s="67" t="str">
        <f>IF(C430="","",DATE(YEAR(C430),MONTH(C430),1))</f>
        <v/>
      </c>
      <c r="AU430" s="66" t="str">
        <f>IF(AT430="","",TEXT(AT430,"mmmm yyyy"))</f>
        <v/>
      </c>
      <c r="AV430" s="67" t="str">
        <f>IF(C430="","",C430-WEEKDAY(C430,2)+1)</f>
        <v/>
      </c>
      <c r="AW430" s="67" t="str">
        <f>IF(AV430="","",AV430+6)</f>
        <v/>
      </c>
      <c r="AX430" s="66" t="str">
        <f>IF(AV430="","",TEXT(AV430,"dd/mm/yyyy")&amp;" - "&amp;TEXT(AW430,"dd/mm/yyyy"))</f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>IF(B430="","",TEXT(AY430,"00")&amp;"|"&amp;B430&amp;"|"&amp;TEXT(AT430,"yyyymmdd"))</f>
        <v/>
      </c>
      <c r="BB430" s="66" t="str">
        <f>IF(B430="","",TEXT(AZ430,"00")&amp;"|"&amp;B430&amp;"|"&amp;TEXT(AV430,"yyyymmdd"))</f>
        <v/>
      </c>
      <c r="BC430" s="66">
        <f>IF(OR(AQ430="YES",AQ430="Yes",AQ430="Y",AQ430=1),1,0)</f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17">
        <f>SUM(H431,J431,L431,N431,P431,R431,T431,V431,X431,Z431,AB431,AD431,AF431,AH431,AJ431,AL431,AN431)</f>
        <v>0</v>
      </c>
      <c r="AT431" s="67" t="str">
        <f>IF(C431="","",DATE(YEAR(C431),MONTH(C431),1))</f>
        <v/>
      </c>
      <c r="AU431" s="66" t="str">
        <f>IF(AT431="","",TEXT(AT431,"mmmm yyyy"))</f>
        <v/>
      </c>
      <c r="AV431" s="67" t="str">
        <f>IF(C431="","",C431-WEEKDAY(C431,2)+1)</f>
        <v/>
      </c>
      <c r="AW431" s="67" t="str">
        <f>IF(AV431="","",AV431+6)</f>
        <v/>
      </c>
      <c r="AX431" s="66" t="str">
        <f>IF(AV431="","",TEXT(AV431,"dd/mm/yyyy")&amp;" - "&amp;TEXT(AW431,"dd/mm/yyyy"))</f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>IF(B431="","",TEXT(AY431,"00")&amp;"|"&amp;B431&amp;"|"&amp;TEXT(AT431,"yyyymmdd"))</f>
        <v/>
      </c>
      <c r="BB431" s="66" t="str">
        <f>IF(B431="","",TEXT(AZ431,"00")&amp;"|"&amp;B431&amp;"|"&amp;TEXT(AV431,"yyyymmdd"))</f>
        <v/>
      </c>
      <c r="BC431" s="66">
        <f>IF(OR(AQ431="YES",AQ431="Yes",AQ431="Y",AQ431=1),1,0)</f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17">
        <f>SUM(H432,J432,L432,N432,P432,R432,T432,V432,X432,Z432,AB432,AD432,AF432,AH432,AJ432,AL432,AN432)</f>
        <v>0</v>
      </c>
      <c r="AT432" s="67" t="str">
        <f>IF(C432="","",DATE(YEAR(C432),MONTH(C432),1))</f>
        <v/>
      </c>
      <c r="AU432" s="66" t="str">
        <f>IF(AT432="","",TEXT(AT432,"mmmm yyyy"))</f>
        <v/>
      </c>
      <c r="AV432" s="67" t="str">
        <f>IF(C432="","",C432-WEEKDAY(C432,2)+1)</f>
        <v/>
      </c>
      <c r="AW432" s="67" t="str">
        <f>IF(AV432="","",AV432+6)</f>
        <v/>
      </c>
      <c r="AX432" s="66" t="str">
        <f>IF(AV432="","",TEXT(AV432,"dd/mm/yyyy")&amp;" - "&amp;TEXT(AW432,"dd/mm/yyyy"))</f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>IF(B432="","",TEXT(AY432,"00")&amp;"|"&amp;B432&amp;"|"&amp;TEXT(AT432,"yyyymmdd"))</f>
        <v/>
      </c>
      <c r="BB432" s="66" t="str">
        <f>IF(B432="","",TEXT(AZ432,"00")&amp;"|"&amp;B432&amp;"|"&amp;TEXT(AV432,"yyyymmdd"))</f>
        <v/>
      </c>
      <c r="BC432" s="66">
        <f>IF(OR(AQ432="YES",AQ432="Yes",AQ432="Y",AQ432=1),1,0)</f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17">
        <f>SUM(H433,J433,L433,N433,P433,R433,T433,V433,X433,Z433,AB433,AD433,AF433,AH433,AJ433,AL433,AN433)</f>
        <v>0</v>
      </c>
      <c r="AT433" s="67" t="str">
        <f>IF(C433="","",DATE(YEAR(C433),MONTH(C433),1))</f>
        <v/>
      </c>
      <c r="AU433" s="66" t="str">
        <f>IF(AT433="","",TEXT(AT433,"mmmm yyyy"))</f>
        <v/>
      </c>
      <c r="AV433" s="67" t="str">
        <f>IF(C433="","",C433-WEEKDAY(C433,2)+1)</f>
        <v/>
      </c>
      <c r="AW433" s="67" t="str">
        <f>IF(AV433="","",AV433+6)</f>
        <v/>
      </c>
      <c r="AX433" s="66" t="str">
        <f>IF(AV433="","",TEXT(AV433,"dd/mm/yyyy")&amp;" - "&amp;TEXT(AW433,"dd/mm/yyyy"))</f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>IF(B433="","",TEXT(AY433,"00")&amp;"|"&amp;B433&amp;"|"&amp;TEXT(AT433,"yyyymmdd"))</f>
        <v/>
      </c>
      <c r="BB433" s="66" t="str">
        <f>IF(B433="","",TEXT(AZ433,"00")&amp;"|"&amp;B433&amp;"|"&amp;TEXT(AV433,"yyyymmdd"))</f>
        <v/>
      </c>
      <c r="BC433" s="66">
        <f>IF(OR(AQ433="YES",AQ433="Yes",AQ433="Y",AQ433=1),1,0)</f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17">
        <f>SUM(H434,J434,L434,N434,P434,R434,T434,V434,X434,Z434,AB434,AD434,AF434,AH434,AJ434,AL434,AN434)</f>
        <v>0</v>
      </c>
      <c r="AT434" s="67" t="str">
        <f>IF(C434="","",DATE(YEAR(C434),MONTH(C434),1))</f>
        <v/>
      </c>
      <c r="AU434" s="66" t="str">
        <f>IF(AT434="","",TEXT(AT434,"mmmm yyyy"))</f>
        <v/>
      </c>
      <c r="AV434" s="67" t="str">
        <f>IF(C434="","",C434-WEEKDAY(C434,2)+1)</f>
        <v/>
      </c>
      <c r="AW434" s="67" t="str">
        <f>IF(AV434="","",AV434+6)</f>
        <v/>
      </c>
      <c r="AX434" s="66" t="str">
        <f>IF(AV434="","",TEXT(AV434,"dd/mm/yyyy")&amp;" - "&amp;TEXT(AW434,"dd/mm/yyyy"))</f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>IF(B434="","",TEXT(AY434,"00")&amp;"|"&amp;B434&amp;"|"&amp;TEXT(AT434,"yyyymmdd"))</f>
        <v/>
      </c>
      <c r="BB434" s="66" t="str">
        <f>IF(B434="","",TEXT(AZ434,"00")&amp;"|"&amp;B434&amp;"|"&amp;TEXT(AV434,"yyyymmdd"))</f>
        <v/>
      </c>
      <c r="BC434" s="66">
        <f>IF(OR(AQ434="YES",AQ434="Yes",AQ434="Y",AQ434=1),1,0)</f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17">
        <f>SUM(H435,J435,L435,N435,P435,R435,T435,V435,X435,Z435,AB435,AD435,AF435,AH435,AJ435,AL435,AN435)</f>
        <v>0</v>
      </c>
      <c r="AT435" s="67" t="str">
        <f>IF(C435="","",DATE(YEAR(C435),MONTH(C435),1))</f>
        <v/>
      </c>
      <c r="AU435" s="66" t="str">
        <f>IF(AT435="","",TEXT(AT435,"mmmm yyyy"))</f>
        <v/>
      </c>
      <c r="AV435" s="67" t="str">
        <f>IF(C435="","",C435-WEEKDAY(C435,2)+1)</f>
        <v/>
      </c>
      <c r="AW435" s="67" t="str">
        <f>IF(AV435="","",AV435+6)</f>
        <v/>
      </c>
      <c r="AX435" s="66" t="str">
        <f>IF(AV435="","",TEXT(AV435,"dd/mm/yyyy")&amp;" - "&amp;TEXT(AW435,"dd/mm/yyyy"))</f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>IF(B435="","",TEXT(AY435,"00")&amp;"|"&amp;B435&amp;"|"&amp;TEXT(AT435,"yyyymmdd"))</f>
        <v/>
      </c>
      <c r="BB435" s="66" t="str">
        <f>IF(B435="","",TEXT(AZ435,"00")&amp;"|"&amp;B435&amp;"|"&amp;TEXT(AV435,"yyyymmdd"))</f>
        <v/>
      </c>
      <c r="BC435" s="66">
        <f>IF(OR(AQ435="YES",AQ435="Yes",AQ435="Y",AQ435=1),1,0)</f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17">
        <f>SUM(H436,J436,L436,N436,P436,R436,T436,V436,X436,Z436,AB436,AD436,AF436,AH436,AJ436,AL436,AN436)</f>
        <v>0</v>
      </c>
      <c r="AT436" s="67" t="str">
        <f>IF(C436="","",DATE(YEAR(C436),MONTH(C436),1))</f>
        <v/>
      </c>
      <c r="AU436" s="66" t="str">
        <f>IF(AT436="","",TEXT(AT436,"mmmm yyyy"))</f>
        <v/>
      </c>
      <c r="AV436" s="67" t="str">
        <f>IF(C436="","",C436-WEEKDAY(C436,2)+1)</f>
        <v/>
      </c>
      <c r="AW436" s="67" t="str">
        <f>IF(AV436="","",AV436+6)</f>
        <v/>
      </c>
      <c r="AX436" s="66" t="str">
        <f>IF(AV436="","",TEXT(AV436,"dd/mm/yyyy")&amp;" - "&amp;TEXT(AW436,"dd/mm/yyyy"))</f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>IF(B436="","",TEXT(AY436,"00")&amp;"|"&amp;B436&amp;"|"&amp;TEXT(AT436,"yyyymmdd"))</f>
        <v/>
      </c>
      <c r="BB436" s="66" t="str">
        <f>IF(B436="","",TEXT(AZ436,"00")&amp;"|"&amp;B436&amp;"|"&amp;TEXT(AV436,"yyyymmdd"))</f>
        <v/>
      </c>
      <c r="BC436" s="66">
        <f>IF(OR(AQ436="YES",AQ436="Yes",AQ436="Y",AQ436=1),1,0)</f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17">
        <f>SUM(H437,J437,L437,N437,P437,R437,T437,V437,X437,Z437,AB437,AD437,AF437,AH437,AJ437,AL437,AN437)</f>
        <v>0</v>
      </c>
      <c r="AT437" s="67" t="str">
        <f>IF(C437="","",DATE(YEAR(C437),MONTH(C437),1))</f>
        <v/>
      </c>
      <c r="AU437" s="66" t="str">
        <f>IF(AT437="","",TEXT(AT437,"mmmm yyyy"))</f>
        <v/>
      </c>
      <c r="AV437" s="67" t="str">
        <f>IF(C437="","",C437-WEEKDAY(C437,2)+1)</f>
        <v/>
      </c>
      <c r="AW437" s="67" t="str">
        <f>IF(AV437="","",AV437+6)</f>
        <v/>
      </c>
      <c r="AX437" s="66" t="str">
        <f>IF(AV437="","",TEXT(AV437,"dd/mm/yyyy")&amp;" - "&amp;TEXT(AW437,"dd/mm/yyyy"))</f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>IF(B437="","",TEXT(AY437,"00")&amp;"|"&amp;B437&amp;"|"&amp;TEXT(AT437,"yyyymmdd"))</f>
        <v/>
      </c>
      <c r="BB437" s="66" t="str">
        <f>IF(B437="","",TEXT(AZ437,"00")&amp;"|"&amp;B437&amp;"|"&amp;TEXT(AV437,"yyyymmdd"))</f>
        <v/>
      </c>
      <c r="BC437" s="66">
        <f>IF(OR(AQ437="YES",AQ437="Yes",AQ437="Y",AQ437=1),1,0)</f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17">
        <f>SUM(H438,J438,L438,N438,P438,R438,T438,V438,X438,Z438,AB438,AD438,AF438,AH438,AJ438,AL438,AN438)</f>
        <v>0</v>
      </c>
      <c r="AT438" s="67" t="str">
        <f>IF(C438="","",DATE(YEAR(C438),MONTH(C438),1))</f>
        <v/>
      </c>
      <c r="AU438" s="66" t="str">
        <f>IF(AT438="","",TEXT(AT438,"mmmm yyyy"))</f>
        <v/>
      </c>
      <c r="AV438" s="67" t="str">
        <f>IF(C438="","",C438-WEEKDAY(C438,2)+1)</f>
        <v/>
      </c>
      <c r="AW438" s="67" t="str">
        <f>IF(AV438="","",AV438+6)</f>
        <v/>
      </c>
      <c r="AX438" s="66" t="str">
        <f>IF(AV438="","",TEXT(AV438,"dd/mm/yyyy")&amp;" - "&amp;TEXT(AW438,"dd/mm/yyyy"))</f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>IF(B438="","",TEXT(AY438,"00")&amp;"|"&amp;B438&amp;"|"&amp;TEXT(AT438,"yyyymmdd"))</f>
        <v/>
      </c>
      <c r="BB438" s="66" t="str">
        <f>IF(B438="","",TEXT(AZ438,"00")&amp;"|"&amp;B438&amp;"|"&amp;TEXT(AV438,"yyyymmdd"))</f>
        <v/>
      </c>
      <c r="BC438" s="66">
        <f>IF(OR(AQ438="YES",AQ438="Yes",AQ438="Y",AQ438=1),1,0)</f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17">
        <f>SUM(H439,J439,L439,N439,P439,R439,T439,V439,X439,Z439,AB439,AD439,AF439,AH439,AJ439,AL439,AN439)</f>
        <v>0</v>
      </c>
      <c r="AT439" s="67" t="str">
        <f>IF(C439="","",DATE(YEAR(C439),MONTH(C439),1))</f>
        <v/>
      </c>
      <c r="AU439" s="66" t="str">
        <f>IF(AT439="","",TEXT(AT439,"mmmm yyyy"))</f>
        <v/>
      </c>
      <c r="AV439" s="67" t="str">
        <f>IF(C439="","",C439-WEEKDAY(C439,2)+1)</f>
        <v/>
      </c>
      <c r="AW439" s="67" t="str">
        <f>IF(AV439="","",AV439+6)</f>
        <v/>
      </c>
      <c r="AX439" s="66" t="str">
        <f>IF(AV439="","",TEXT(AV439,"dd/mm/yyyy")&amp;" - "&amp;TEXT(AW439,"dd/mm/yyyy"))</f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>IF(B439="","",TEXT(AY439,"00")&amp;"|"&amp;B439&amp;"|"&amp;TEXT(AT439,"yyyymmdd"))</f>
        <v/>
      </c>
      <c r="BB439" s="66" t="str">
        <f>IF(B439="","",TEXT(AZ439,"00")&amp;"|"&amp;B439&amp;"|"&amp;TEXT(AV439,"yyyymmdd"))</f>
        <v/>
      </c>
      <c r="BC439" s="66">
        <f>IF(OR(AQ439="YES",AQ439="Yes",AQ439="Y",AQ439=1),1,0)</f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17">
        <f>SUM(H440,J440,L440,N440,P440,R440,T440,V440,X440,Z440,AB440,AD440,AF440,AH440,AJ440,AL440,AN440)</f>
        <v>0</v>
      </c>
      <c r="AT440" s="67" t="str">
        <f>IF(C440="","",DATE(YEAR(C440),MONTH(C440),1))</f>
        <v/>
      </c>
      <c r="AU440" s="66" t="str">
        <f>IF(AT440="","",TEXT(AT440,"mmmm yyyy"))</f>
        <v/>
      </c>
      <c r="AV440" s="67" t="str">
        <f>IF(C440="","",C440-WEEKDAY(C440,2)+1)</f>
        <v/>
      </c>
      <c r="AW440" s="67" t="str">
        <f>IF(AV440="","",AV440+6)</f>
        <v/>
      </c>
      <c r="AX440" s="66" t="str">
        <f>IF(AV440="","",TEXT(AV440,"dd/mm/yyyy")&amp;" - "&amp;TEXT(AW440,"dd/mm/yyyy"))</f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>IF(B440="","",TEXT(AY440,"00")&amp;"|"&amp;B440&amp;"|"&amp;TEXT(AT440,"yyyymmdd"))</f>
        <v/>
      </c>
      <c r="BB440" s="66" t="str">
        <f>IF(B440="","",TEXT(AZ440,"00")&amp;"|"&amp;B440&amp;"|"&amp;TEXT(AV440,"yyyymmdd"))</f>
        <v/>
      </c>
      <c r="BC440" s="66">
        <f>IF(OR(AQ440="YES",AQ440="Yes",AQ440="Y",AQ440=1),1,0)</f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17">
        <f>SUM(H441,J441,L441,N441,P441,R441,T441,V441,X441,Z441,AB441,AD441,AF441,AH441,AJ441,AL441,AN441)</f>
        <v>0</v>
      </c>
      <c r="AT441" s="67" t="str">
        <f>IF(C441="","",DATE(YEAR(C441),MONTH(C441),1))</f>
        <v/>
      </c>
      <c r="AU441" s="66" t="str">
        <f>IF(AT441="","",TEXT(AT441,"mmmm yyyy"))</f>
        <v/>
      </c>
      <c r="AV441" s="67" t="str">
        <f>IF(C441="","",C441-WEEKDAY(C441,2)+1)</f>
        <v/>
      </c>
      <c r="AW441" s="67" t="str">
        <f>IF(AV441="","",AV441+6)</f>
        <v/>
      </c>
      <c r="AX441" s="66" t="str">
        <f>IF(AV441="","",TEXT(AV441,"dd/mm/yyyy")&amp;" - "&amp;TEXT(AW441,"dd/mm/yyyy"))</f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>IF(B441="","",TEXT(AY441,"00")&amp;"|"&amp;B441&amp;"|"&amp;TEXT(AT441,"yyyymmdd"))</f>
        <v/>
      </c>
      <c r="BB441" s="66" t="str">
        <f>IF(B441="","",TEXT(AZ441,"00")&amp;"|"&amp;B441&amp;"|"&amp;TEXT(AV441,"yyyymmdd"))</f>
        <v/>
      </c>
      <c r="BC441" s="66">
        <f>IF(OR(AQ441="YES",AQ441="Yes",AQ441="Y",AQ441=1),1,0)</f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17">
        <f>SUM(H442,J442,L442,N442,P442,R442,T442,V442,X442,Z442,AB442,AD442,AF442,AH442,AJ442,AL442,AN442)</f>
        <v>0</v>
      </c>
      <c r="AT442" s="67" t="str">
        <f>IF(C442="","",DATE(YEAR(C442),MONTH(C442),1))</f>
        <v/>
      </c>
      <c r="AU442" s="66" t="str">
        <f>IF(AT442="","",TEXT(AT442,"mmmm yyyy"))</f>
        <v/>
      </c>
      <c r="AV442" s="67" t="str">
        <f>IF(C442="","",C442-WEEKDAY(C442,2)+1)</f>
        <v/>
      </c>
      <c r="AW442" s="67" t="str">
        <f>IF(AV442="","",AV442+6)</f>
        <v/>
      </c>
      <c r="AX442" s="66" t="str">
        <f>IF(AV442="","",TEXT(AV442,"dd/mm/yyyy")&amp;" - "&amp;TEXT(AW442,"dd/mm/yyyy"))</f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>IF(B442="","",TEXT(AY442,"00")&amp;"|"&amp;B442&amp;"|"&amp;TEXT(AT442,"yyyymmdd"))</f>
        <v/>
      </c>
      <c r="BB442" s="66" t="str">
        <f>IF(B442="","",TEXT(AZ442,"00")&amp;"|"&amp;B442&amp;"|"&amp;TEXT(AV442,"yyyymmdd"))</f>
        <v/>
      </c>
      <c r="BC442" s="66">
        <f>IF(OR(AQ442="YES",AQ442="Yes",AQ442="Y",AQ442=1),1,0)</f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17">
        <f>SUM(H443,J443,L443,N443,P443,R443,T443,V443,X443,Z443,AB443,AD443,AF443,AH443,AJ443,AL443,AN443)</f>
        <v>0</v>
      </c>
      <c r="AT443" s="67" t="str">
        <f>IF(C443="","",DATE(YEAR(C443),MONTH(C443),1))</f>
        <v/>
      </c>
      <c r="AU443" s="66" t="str">
        <f>IF(AT443="","",TEXT(AT443,"mmmm yyyy"))</f>
        <v/>
      </c>
      <c r="AV443" s="67" t="str">
        <f>IF(C443="","",C443-WEEKDAY(C443,2)+1)</f>
        <v/>
      </c>
      <c r="AW443" s="67" t="str">
        <f>IF(AV443="","",AV443+6)</f>
        <v/>
      </c>
      <c r="AX443" s="66" t="str">
        <f>IF(AV443="","",TEXT(AV443,"dd/mm/yyyy")&amp;" - "&amp;TEXT(AW443,"dd/mm/yyyy"))</f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>IF(B443="","",TEXT(AY443,"00")&amp;"|"&amp;B443&amp;"|"&amp;TEXT(AT443,"yyyymmdd"))</f>
        <v/>
      </c>
      <c r="BB443" s="66" t="str">
        <f>IF(B443="","",TEXT(AZ443,"00")&amp;"|"&amp;B443&amp;"|"&amp;TEXT(AV443,"yyyymmdd"))</f>
        <v/>
      </c>
      <c r="BC443" s="66">
        <f>IF(OR(AQ443="YES",AQ443="Yes",AQ443="Y",AQ443=1),1,0)</f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17">
        <f>SUM(H444,J444,L444,N444,P444,R444,T444,V444,X444,Z444,AB444,AD444,AF444,AH444,AJ444,AL444,AN444)</f>
        <v>0</v>
      </c>
      <c r="AT444" s="67" t="str">
        <f>IF(C444="","",DATE(YEAR(C444),MONTH(C444),1))</f>
        <v/>
      </c>
      <c r="AU444" s="66" t="str">
        <f>IF(AT444="","",TEXT(AT444,"mmmm yyyy"))</f>
        <v/>
      </c>
      <c r="AV444" s="67" t="str">
        <f>IF(C444="","",C444-WEEKDAY(C444,2)+1)</f>
        <v/>
      </c>
      <c r="AW444" s="67" t="str">
        <f>IF(AV444="","",AV444+6)</f>
        <v/>
      </c>
      <c r="AX444" s="66" t="str">
        <f>IF(AV444="","",TEXT(AV444,"dd/mm/yyyy")&amp;" - "&amp;TEXT(AW444,"dd/mm/yyyy"))</f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>IF(B444="","",TEXT(AY444,"00")&amp;"|"&amp;B444&amp;"|"&amp;TEXT(AT444,"yyyymmdd"))</f>
        <v/>
      </c>
      <c r="BB444" s="66" t="str">
        <f>IF(B444="","",TEXT(AZ444,"00")&amp;"|"&amp;B444&amp;"|"&amp;TEXT(AV444,"yyyymmdd"))</f>
        <v/>
      </c>
      <c r="BC444" s="66">
        <f>IF(OR(AQ444="YES",AQ444="Yes",AQ444="Y",AQ444=1),1,0)</f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17">
        <f>SUM(H445,J445,L445,N445,P445,R445,T445,V445,X445,Z445,AB445,AD445,AF445,AH445,AJ445,AL445,AN445)</f>
        <v>0</v>
      </c>
      <c r="AT445" s="67" t="str">
        <f>IF(C445="","",DATE(YEAR(C445),MONTH(C445),1))</f>
        <v/>
      </c>
      <c r="AU445" s="66" t="str">
        <f>IF(AT445="","",TEXT(AT445,"mmmm yyyy"))</f>
        <v/>
      </c>
      <c r="AV445" s="67" t="str">
        <f>IF(C445="","",C445-WEEKDAY(C445,2)+1)</f>
        <v/>
      </c>
      <c r="AW445" s="67" t="str">
        <f>IF(AV445="","",AV445+6)</f>
        <v/>
      </c>
      <c r="AX445" s="66" t="str">
        <f>IF(AV445="","",TEXT(AV445,"dd/mm/yyyy")&amp;" - "&amp;TEXT(AW445,"dd/mm/yyyy"))</f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>IF(B445="","",TEXT(AY445,"00")&amp;"|"&amp;B445&amp;"|"&amp;TEXT(AT445,"yyyymmdd"))</f>
        <v/>
      </c>
      <c r="BB445" s="66" t="str">
        <f>IF(B445="","",TEXT(AZ445,"00")&amp;"|"&amp;B445&amp;"|"&amp;TEXT(AV445,"yyyymmdd"))</f>
        <v/>
      </c>
      <c r="BC445" s="66">
        <f>IF(OR(AQ445="YES",AQ445="Yes",AQ445="Y",AQ445=1),1,0)</f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17">
        <f>SUM(H446,J446,L446,N446,P446,R446,T446,V446,X446,Z446,AB446,AD446,AF446,AH446,AJ446,AL446,AN446)</f>
        <v>0</v>
      </c>
      <c r="AT446" s="67" t="str">
        <f>IF(C446="","",DATE(YEAR(C446),MONTH(C446),1))</f>
        <v/>
      </c>
      <c r="AU446" s="66" t="str">
        <f>IF(AT446="","",TEXT(AT446,"mmmm yyyy"))</f>
        <v/>
      </c>
      <c r="AV446" s="67" t="str">
        <f>IF(C446="","",C446-WEEKDAY(C446,2)+1)</f>
        <v/>
      </c>
      <c r="AW446" s="67" t="str">
        <f>IF(AV446="","",AV446+6)</f>
        <v/>
      </c>
      <c r="AX446" s="66" t="str">
        <f>IF(AV446="","",TEXT(AV446,"dd/mm/yyyy")&amp;" - "&amp;TEXT(AW446,"dd/mm/yyyy"))</f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>IF(B446="","",TEXT(AY446,"00")&amp;"|"&amp;B446&amp;"|"&amp;TEXT(AT446,"yyyymmdd"))</f>
        <v/>
      </c>
      <c r="BB446" s="66" t="str">
        <f>IF(B446="","",TEXT(AZ446,"00")&amp;"|"&amp;B446&amp;"|"&amp;TEXT(AV446,"yyyymmdd"))</f>
        <v/>
      </c>
      <c r="BC446" s="66">
        <f>IF(OR(AQ446="YES",AQ446="Yes",AQ446="Y",AQ446=1),1,0)</f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17">
        <f>SUM(H447,J447,L447,N447,P447,R447,T447,V447,X447,Z447,AB447,AD447,AF447,AH447,AJ447,AL447,AN447)</f>
        <v>0</v>
      </c>
      <c r="AT447" s="67" t="str">
        <f>IF(C447="","",DATE(YEAR(C447),MONTH(C447),1))</f>
        <v/>
      </c>
      <c r="AU447" s="66" t="str">
        <f>IF(AT447="","",TEXT(AT447,"mmmm yyyy"))</f>
        <v/>
      </c>
      <c r="AV447" s="67" t="str">
        <f>IF(C447="","",C447-WEEKDAY(C447,2)+1)</f>
        <v/>
      </c>
      <c r="AW447" s="67" t="str">
        <f>IF(AV447="","",AV447+6)</f>
        <v/>
      </c>
      <c r="AX447" s="66" t="str">
        <f>IF(AV447="","",TEXT(AV447,"dd/mm/yyyy")&amp;" - "&amp;TEXT(AW447,"dd/mm/yyyy"))</f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>IF(B447="","",TEXT(AY447,"00")&amp;"|"&amp;B447&amp;"|"&amp;TEXT(AT447,"yyyymmdd"))</f>
        <v/>
      </c>
      <c r="BB447" s="66" t="str">
        <f>IF(B447="","",TEXT(AZ447,"00")&amp;"|"&amp;B447&amp;"|"&amp;TEXT(AV447,"yyyymmdd"))</f>
        <v/>
      </c>
      <c r="BC447" s="66">
        <f>IF(OR(AQ447="YES",AQ447="Yes",AQ447="Y",AQ447=1),1,0)</f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17">
        <f>SUM(H448,J448,L448,N448,P448,R448,T448,V448,X448,Z448,AB448,AD448,AF448,AH448,AJ448,AL448,AN448)</f>
        <v>0</v>
      </c>
      <c r="AT448" s="67" t="str">
        <f>IF(C448="","",DATE(YEAR(C448),MONTH(C448),1))</f>
        <v/>
      </c>
      <c r="AU448" s="66" t="str">
        <f>IF(AT448="","",TEXT(AT448,"mmmm yyyy"))</f>
        <v/>
      </c>
      <c r="AV448" s="67" t="str">
        <f>IF(C448="","",C448-WEEKDAY(C448,2)+1)</f>
        <v/>
      </c>
      <c r="AW448" s="67" t="str">
        <f>IF(AV448="","",AV448+6)</f>
        <v/>
      </c>
      <c r="AX448" s="66" t="str">
        <f>IF(AV448="","",TEXT(AV448,"dd/mm/yyyy")&amp;" - "&amp;TEXT(AW448,"dd/mm/yyyy"))</f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>IF(B448="","",TEXT(AY448,"00")&amp;"|"&amp;B448&amp;"|"&amp;TEXT(AT448,"yyyymmdd"))</f>
        <v/>
      </c>
      <c r="BB448" s="66" t="str">
        <f>IF(B448="","",TEXT(AZ448,"00")&amp;"|"&amp;B448&amp;"|"&amp;TEXT(AV448,"yyyymmdd"))</f>
        <v/>
      </c>
      <c r="BC448" s="66">
        <f>IF(OR(AQ448="YES",AQ448="Yes",AQ448="Y",AQ448=1),1,0)</f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17">
        <f>SUM(H449,J449,L449,N449,P449,R449,T449,V449,X449,Z449,AB449,AD449,AF449,AH449,AJ449,AL449,AN449)</f>
        <v>0</v>
      </c>
      <c r="AT449" s="67" t="str">
        <f>IF(C449="","",DATE(YEAR(C449),MONTH(C449),1))</f>
        <v/>
      </c>
      <c r="AU449" s="66" t="str">
        <f>IF(AT449="","",TEXT(AT449,"mmmm yyyy"))</f>
        <v/>
      </c>
      <c r="AV449" s="67" t="str">
        <f>IF(C449="","",C449-WEEKDAY(C449,2)+1)</f>
        <v/>
      </c>
      <c r="AW449" s="67" t="str">
        <f>IF(AV449="","",AV449+6)</f>
        <v/>
      </c>
      <c r="AX449" s="66" t="str">
        <f>IF(AV449="","",TEXT(AV449,"dd/mm/yyyy")&amp;" - "&amp;TEXT(AW449,"dd/mm/yyyy"))</f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>IF(B449="","",TEXT(AY449,"00")&amp;"|"&amp;B449&amp;"|"&amp;TEXT(AT449,"yyyymmdd"))</f>
        <v/>
      </c>
      <c r="BB449" s="66" t="str">
        <f>IF(B449="","",TEXT(AZ449,"00")&amp;"|"&amp;B449&amp;"|"&amp;TEXT(AV449,"yyyymmdd"))</f>
        <v/>
      </c>
      <c r="BC449" s="66">
        <f>IF(OR(AQ449="YES",AQ449="Yes",AQ449="Y",AQ449=1),1,0)</f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17">
        <f>SUM(H450,J450,L450,N450,P450,R450,T450,V450,X450,Z450,AB450,AD450,AF450,AH450,AJ450,AL450,AN450)</f>
        <v>0</v>
      </c>
      <c r="AT450" s="67" t="str">
        <f>IF(C450="","",DATE(YEAR(C450),MONTH(C450),1))</f>
        <v/>
      </c>
      <c r="AU450" s="66" t="str">
        <f>IF(AT450="","",TEXT(AT450,"mmmm yyyy"))</f>
        <v/>
      </c>
      <c r="AV450" s="67" t="str">
        <f>IF(C450="","",C450-WEEKDAY(C450,2)+1)</f>
        <v/>
      </c>
      <c r="AW450" s="67" t="str">
        <f>IF(AV450="","",AV450+6)</f>
        <v/>
      </c>
      <c r="AX450" s="66" t="str">
        <f>IF(AV450="","",TEXT(AV450,"dd/mm/yyyy")&amp;" - "&amp;TEXT(AW450,"dd/mm/yyyy"))</f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>IF(B450="","",TEXT(AY450,"00")&amp;"|"&amp;B450&amp;"|"&amp;TEXT(AT450,"yyyymmdd"))</f>
        <v/>
      </c>
      <c r="BB450" s="66" t="str">
        <f>IF(B450="","",TEXT(AZ450,"00")&amp;"|"&amp;B450&amp;"|"&amp;TEXT(AV450,"yyyymmdd"))</f>
        <v/>
      </c>
      <c r="BC450" s="66">
        <f>IF(OR(AQ450="YES",AQ450="Yes",AQ450="Y",AQ450=1),1,0)</f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17">
        <f>SUM(H451,J451,L451,N451,P451,R451,T451,V451,X451,Z451,AB451,AD451,AF451,AH451,AJ451,AL451,AN451)</f>
        <v>0</v>
      </c>
      <c r="AT451" s="67" t="str">
        <f>IF(C451="","",DATE(YEAR(C451),MONTH(C451),1))</f>
        <v/>
      </c>
      <c r="AU451" s="66" t="str">
        <f>IF(AT451="","",TEXT(AT451,"mmmm yyyy"))</f>
        <v/>
      </c>
      <c r="AV451" s="67" t="str">
        <f>IF(C451="","",C451-WEEKDAY(C451,2)+1)</f>
        <v/>
      </c>
      <c r="AW451" s="67" t="str">
        <f>IF(AV451="","",AV451+6)</f>
        <v/>
      </c>
      <c r="AX451" s="66" t="str">
        <f>IF(AV451="","",TEXT(AV451,"dd/mm/yyyy")&amp;" - "&amp;TEXT(AW451,"dd/mm/yyyy"))</f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>IF(B451="","",TEXT(AY451,"00")&amp;"|"&amp;B451&amp;"|"&amp;TEXT(AT451,"yyyymmdd"))</f>
        <v/>
      </c>
      <c r="BB451" s="66" t="str">
        <f>IF(B451="","",TEXT(AZ451,"00")&amp;"|"&amp;B451&amp;"|"&amp;TEXT(AV451,"yyyymmdd"))</f>
        <v/>
      </c>
      <c r="BC451" s="66">
        <f>IF(OR(AQ451="YES",AQ451="Yes",AQ451="Y",AQ451=1),1,0)</f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17">
        <f>SUM(H452,J452,L452,N452,P452,R452,T452,V452,X452,Z452,AB452,AD452,AF452,AH452,AJ452,AL452,AN452)</f>
        <v>0</v>
      </c>
      <c r="AT452" s="67" t="str">
        <f>IF(C452="","",DATE(YEAR(C452),MONTH(C452),1))</f>
        <v/>
      </c>
      <c r="AU452" s="66" t="str">
        <f>IF(AT452="","",TEXT(AT452,"mmmm yyyy"))</f>
        <v/>
      </c>
      <c r="AV452" s="67" t="str">
        <f>IF(C452="","",C452-WEEKDAY(C452,2)+1)</f>
        <v/>
      </c>
      <c r="AW452" s="67" t="str">
        <f>IF(AV452="","",AV452+6)</f>
        <v/>
      </c>
      <c r="AX452" s="66" t="str">
        <f>IF(AV452="","",TEXT(AV452,"dd/mm/yyyy")&amp;" - "&amp;TEXT(AW452,"dd/mm/yyyy"))</f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>IF(B452="","",TEXT(AY452,"00")&amp;"|"&amp;B452&amp;"|"&amp;TEXT(AT452,"yyyymmdd"))</f>
        <v/>
      </c>
      <c r="BB452" s="66" t="str">
        <f>IF(B452="","",TEXT(AZ452,"00")&amp;"|"&amp;B452&amp;"|"&amp;TEXT(AV452,"yyyymmdd"))</f>
        <v/>
      </c>
      <c r="BC452" s="66">
        <f>IF(OR(AQ452="YES",AQ452="Yes",AQ452="Y",AQ452=1),1,0)</f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17">
        <f>SUM(H453,J453,L453,N453,P453,R453,T453,V453,X453,Z453,AB453,AD453,AF453,AH453,AJ453,AL453,AN453)</f>
        <v>0</v>
      </c>
      <c r="AT453" s="67" t="str">
        <f>IF(C453="","",DATE(YEAR(C453),MONTH(C453),1))</f>
        <v/>
      </c>
      <c r="AU453" s="66" t="str">
        <f>IF(AT453="","",TEXT(AT453,"mmmm yyyy"))</f>
        <v/>
      </c>
      <c r="AV453" s="67" t="str">
        <f>IF(C453="","",C453-WEEKDAY(C453,2)+1)</f>
        <v/>
      </c>
      <c r="AW453" s="67" t="str">
        <f>IF(AV453="","",AV453+6)</f>
        <v/>
      </c>
      <c r="AX453" s="66" t="str">
        <f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>IF(B453="","",TEXT(AY453,"00")&amp;"|"&amp;B453&amp;"|"&amp;TEXT(AT453,"yyyymmdd"))</f>
        <v/>
      </c>
      <c r="BB453" s="66" t="str">
        <f>IF(B453="","",TEXT(AZ453,"00")&amp;"|"&amp;B453&amp;"|"&amp;TEXT(AV453,"yyyymmdd"))</f>
        <v/>
      </c>
      <c r="BC453" s="66">
        <f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17">
        <f>SUM(H454,J454,L454,N454,P454,R454,T454,V454,X454,Z454,AB454,AD454,AF454,AH454,AJ454,AL454,AN454)</f>
        <v>0</v>
      </c>
      <c r="AT454" s="67" t="str">
        <f>IF(C454="","",DATE(YEAR(C454),MONTH(C454),1))</f>
        <v/>
      </c>
      <c r="AU454" s="66" t="str">
        <f>IF(AT454="","",TEXT(AT454,"mmmm yyyy"))</f>
        <v/>
      </c>
      <c r="AV454" s="67" t="str">
        <f>IF(C454="","",C454-WEEKDAY(C454,2)+1)</f>
        <v/>
      </c>
      <c r="AW454" s="67" t="str">
        <f>IF(AV454="","",AV454+6)</f>
        <v/>
      </c>
      <c r="AX454" s="66" t="str">
        <f>IF(AV454="","",TEXT(AV454,"dd/mm/yyyy")&amp;" - "&amp;TEXT(AW454,"dd/mm/yyyy"))</f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>IF(B454="","",TEXT(AY454,"00")&amp;"|"&amp;B454&amp;"|"&amp;TEXT(AT454,"yyyymmdd"))</f>
        <v/>
      </c>
      <c r="BB454" s="66" t="str">
        <f>IF(B454="","",TEXT(AZ454,"00")&amp;"|"&amp;B454&amp;"|"&amp;TEXT(AV454,"yyyymmdd"))</f>
        <v/>
      </c>
      <c r="BC454" s="66">
        <f>IF(OR(AQ454="YES",AQ454="Yes",AQ454="Y",AQ454=1),1,0)</f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17">
        <f>SUM(H455,J455,L455,N455,P455,R455,T455,V455,X455,Z455,AB455,AD455,AF455,AH455,AJ455,AL455,AN455)</f>
        <v>0</v>
      </c>
      <c r="AT455" s="67" t="str">
        <f>IF(C455="","",DATE(YEAR(C455),MONTH(C455),1))</f>
        <v/>
      </c>
      <c r="AU455" s="66" t="str">
        <f>IF(AT455="","",TEXT(AT455,"mmmm yyyy"))</f>
        <v/>
      </c>
      <c r="AV455" s="67" t="str">
        <f>IF(C455="","",C455-WEEKDAY(C455,2)+1)</f>
        <v/>
      </c>
      <c r="AW455" s="67" t="str">
        <f>IF(AV455="","",AV455+6)</f>
        <v/>
      </c>
      <c r="AX455" s="66" t="str">
        <f>IF(AV455="","",TEXT(AV455,"dd/mm/yyyy")&amp;" - "&amp;TEXT(AW455,"dd/mm/yyyy"))</f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>IF(B455="","",TEXT(AY455,"00")&amp;"|"&amp;B455&amp;"|"&amp;TEXT(AT455,"yyyymmdd"))</f>
        <v/>
      </c>
      <c r="BB455" s="66" t="str">
        <f>IF(B455="","",TEXT(AZ455,"00")&amp;"|"&amp;B455&amp;"|"&amp;TEXT(AV455,"yyyymmdd"))</f>
        <v/>
      </c>
      <c r="BC455" s="66">
        <f>IF(OR(AQ455="YES",AQ455="Yes",AQ455="Y",AQ455=1),1,0)</f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17">
        <f>SUM(H456,J456,L456,N456,P456,R456,T456,V456,X456,Z456,AB456,AD456,AF456,AH456,AJ456,AL456,AN456)</f>
        <v>0</v>
      </c>
      <c r="AT456" s="67" t="str">
        <f>IF(C456="","",DATE(YEAR(C456),MONTH(C456),1))</f>
        <v/>
      </c>
      <c r="AU456" s="66" t="str">
        <f>IF(AT456="","",TEXT(AT456,"mmmm yyyy"))</f>
        <v/>
      </c>
      <c r="AV456" s="67" t="str">
        <f>IF(C456="","",C456-WEEKDAY(C456,2)+1)</f>
        <v/>
      </c>
      <c r="AW456" s="67" t="str">
        <f>IF(AV456="","",AV456+6)</f>
        <v/>
      </c>
      <c r="AX456" s="66" t="str">
        <f>IF(AV456="","",TEXT(AV456,"dd/mm/yyyy")&amp;" - "&amp;TEXT(AW456,"dd/mm/yyyy"))</f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>IF(B456="","",TEXT(AY456,"00")&amp;"|"&amp;B456&amp;"|"&amp;TEXT(AT456,"yyyymmdd"))</f>
        <v/>
      </c>
      <c r="BB456" s="66" t="str">
        <f>IF(B456="","",TEXT(AZ456,"00")&amp;"|"&amp;B456&amp;"|"&amp;TEXT(AV456,"yyyymmdd"))</f>
        <v/>
      </c>
      <c r="BC456" s="66">
        <f>IF(OR(AQ456="YES",AQ456="Yes",AQ456="Y",AQ456=1),1,0)</f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17">
        <f>SUM(H457,J457,L457,N457,P457,R457,T457,V457,X457,Z457,AB457,AD457,AF457,AH457,AJ457,AL457,AN457)</f>
        <v>0</v>
      </c>
      <c r="AT457" s="67" t="str">
        <f>IF(C457="","",DATE(YEAR(C457),MONTH(C457),1))</f>
        <v/>
      </c>
      <c r="AU457" s="66" t="str">
        <f>IF(AT457="","",TEXT(AT457,"mmmm yyyy"))</f>
        <v/>
      </c>
      <c r="AV457" s="67" t="str">
        <f>IF(C457="","",C457-WEEKDAY(C457,2)+1)</f>
        <v/>
      </c>
      <c r="AW457" s="67" t="str">
        <f>IF(AV457="","",AV457+6)</f>
        <v/>
      </c>
      <c r="AX457" s="66" t="str">
        <f>IF(AV457="","",TEXT(AV457,"dd/mm/yyyy")&amp;" - "&amp;TEXT(AW457,"dd/mm/yyyy"))</f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>IF(B457="","",TEXT(AY457,"00")&amp;"|"&amp;B457&amp;"|"&amp;TEXT(AT457,"yyyymmdd"))</f>
        <v/>
      </c>
      <c r="BB457" s="66" t="str">
        <f>IF(B457="","",TEXT(AZ457,"00")&amp;"|"&amp;B457&amp;"|"&amp;TEXT(AV457,"yyyymmdd"))</f>
        <v/>
      </c>
      <c r="BC457" s="66">
        <f>IF(OR(AQ457="YES",AQ457="Yes",AQ457="Y",AQ457=1),1,0)</f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17">
        <f>SUM(H458,J458,L458,N458,P458,R458,T458,V458,X458,Z458,AB458,AD458,AF458,AH458,AJ458,AL458,AN458)</f>
        <v>0</v>
      </c>
      <c r="AT458" s="67" t="str">
        <f>IF(C458="","",DATE(YEAR(C458),MONTH(C458),1))</f>
        <v/>
      </c>
      <c r="AU458" s="66" t="str">
        <f>IF(AT458="","",TEXT(AT458,"mmmm yyyy"))</f>
        <v/>
      </c>
      <c r="AV458" s="67" t="str">
        <f>IF(C458="","",C458-WEEKDAY(C458,2)+1)</f>
        <v/>
      </c>
      <c r="AW458" s="67" t="str">
        <f>IF(AV458="","",AV458+6)</f>
        <v/>
      </c>
      <c r="AX458" s="66" t="str">
        <f>IF(AV458="","",TEXT(AV458,"dd/mm/yyyy")&amp;" - "&amp;TEXT(AW458,"dd/mm/yyyy"))</f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>IF(B458="","",TEXT(AY458,"00")&amp;"|"&amp;B458&amp;"|"&amp;TEXT(AT458,"yyyymmdd"))</f>
        <v/>
      </c>
      <c r="BB458" s="66" t="str">
        <f>IF(B458="","",TEXT(AZ458,"00")&amp;"|"&amp;B458&amp;"|"&amp;TEXT(AV458,"yyyymmdd"))</f>
        <v/>
      </c>
      <c r="BC458" s="66">
        <f>IF(OR(AQ458="YES",AQ458="Yes",AQ458="Y",AQ458=1),1,0)</f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17">
        <f>SUM(H459,J459,L459,N459,P459,R459,T459,V459,X459,Z459,AB459,AD459,AF459,AH459,AJ459,AL459,AN459)</f>
        <v>0</v>
      </c>
      <c r="AT459" s="67" t="str">
        <f>IF(C459="","",DATE(YEAR(C459),MONTH(C459),1))</f>
        <v/>
      </c>
      <c r="AU459" s="66" t="str">
        <f>IF(AT459="","",TEXT(AT459,"mmmm yyyy"))</f>
        <v/>
      </c>
      <c r="AV459" s="67" t="str">
        <f>IF(C459="","",C459-WEEKDAY(C459,2)+1)</f>
        <v/>
      </c>
      <c r="AW459" s="67" t="str">
        <f>IF(AV459="","",AV459+6)</f>
        <v/>
      </c>
      <c r="AX459" s="66" t="str">
        <f>IF(AV459="","",TEXT(AV459,"dd/mm/yyyy")&amp;" - "&amp;TEXT(AW459,"dd/mm/yyyy"))</f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>IF(B459="","",TEXT(AY459,"00")&amp;"|"&amp;B459&amp;"|"&amp;TEXT(AT459,"yyyymmdd"))</f>
        <v/>
      </c>
      <c r="BB459" s="66" t="str">
        <f>IF(B459="","",TEXT(AZ459,"00")&amp;"|"&amp;B459&amp;"|"&amp;TEXT(AV459,"yyyymmdd"))</f>
        <v/>
      </c>
      <c r="BC459" s="66">
        <f>IF(OR(AQ459="YES",AQ459="Yes",AQ459="Y",AQ459=1),1,0)</f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17">
        <f>SUM(H460,J460,L460,N460,P460,R460,T460,V460,X460,Z460,AB460,AD460,AF460,AH460,AJ460,AL460,AN460)</f>
        <v>0</v>
      </c>
      <c r="AT460" s="67" t="str">
        <f>IF(C460="","",DATE(YEAR(C460),MONTH(C460),1))</f>
        <v/>
      </c>
      <c r="AU460" s="66" t="str">
        <f>IF(AT460="","",TEXT(AT460,"mmmm yyyy"))</f>
        <v/>
      </c>
      <c r="AV460" s="67" t="str">
        <f>IF(C460="","",C460-WEEKDAY(C460,2)+1)</f>
        <v/>
      </c>
      <c r="AW460" s="67" t="str">
        <f>IF(AV460="","",AV460+6)</f>
        <v/>
      </c>
      <c r="AX460" s="66" t="str">
        <f>IF(AV460="","",TEXT(AV460,"dd/mm/yyyy")&amp;" - "&amp;TEXT(AW460,"dd/mm/yyyy"))</f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>IF(B460="","",TEXT(AY460,"00")&amp;"|"&amp;B460&amp;"|"&amp;TEXT(AT460,"yyyymmdd"))</f>
        <v/>
      </c>
      <c r="BB460" s="66" t="str">
        <f>IF(B460="","",TEXT(AZ460,"00")&amp;"|"&amp;B460&amp;"|"&amp;TEXT(AV460,"yyyymmdd"))</f>
        <v/>
      </c>
      <c r="BC460" s="66">
        <f>IF(OR(AQ460="YES",AQ460="Yes",AQ460="Y",AQ460=1),1,0)</f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17">
        <f>SUM(H461,J461,L461,N461,P461,R461,T461,V461,X461,Z461,AB461,AD461,AF461,AH461,AJ461,AL461,AN461)</f>
        <v>0</v>
      </c>
      <c r="AT461" s="67" t="str">
        <f>IF(C461="","",DATE(YEAR(C461),MONTH(C461),1))</f>
        <v/>
      </c>
      <c r="AU461" s="66" t="str">
        <f>IF(AT461="","",TEXT(AT461,"mmmm yyyy"))</f>
        <v/>
      </c>
      <c r="AV461" s="67" t="str">
        <f>IF(C461="","",C461-WEEKDAY(C461,2)+1)</f>
        <v/>
      </c>
      <c r="AW461" s="67" t="str">
        <f>IF(AV461="","",AV461+6)</f>
        <v/>
      </c>
      <c r="AX461" s="66" t="str">
        <f>IF(AV461="","",TEXT(AV461,"dd/mm/yyyy")&amp;" - "&amp;TEXT(AW461,"dd/mm/yyyy"))</f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>IF(B461="","",TEXT(AY461,"00")&amp;"|"&amp;B461&amp;"|"&amp;TEXT(AT461,"yyyymmdd"))</f>
        <v/>
      </c>
      <c r="BB461" s="66" t="str">
        <f>IF(B461="","",TEXT(AZ461,"00")&amp;"|"&amp;B461&amp;"|"&amp;TEXT(AV461,"yyyymmdd"))</f>
        <v/>
      </c>
      <c r="BC461" s="66">
        <f>IF(OR(AQ461="YES",AQ461="Yes",AQ461="Y",AQ461=1),1,0)</f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17">
        <f>SUM(H462,J462,L462,N462,P462,R462,T462,V462,X462,Z462,AB462,AD462,AF462,AH462,AJ462,AL462,AN462)</f>
        <v>0</v>
      </c>
      <c r="AT462" s="67" t="str">
        <f>IF(C462="","",DATE(YEAR(C462),MONTH(C462),1))</f>
        <v/>
      </c>
      <c r="AU462" s="66" t="str">
        <f>IF(AT462="","",TEXT(AT462,"mmmm yyyy"))</f>
        <v/>
      </c>
      <c r="AV462" s="67" t="str">
        <f>IF(C462="","",C462-WEEKDAY(C462,2)+1)</f>
        <v/>
      </c>
      <c r="AW462" s="67" t="str">
        <f>IF(AV462="","",AV462+6)</f>
        <v/>
      </c>
      <c r="AX462" s="66" t="str">
        <f>IF(AV462="","",TEXT(AV462,"dd/mm/yyyy")&amp;" - "&amp;TEXT(AW462,"dd/mm/yyyy"))</f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>IF(B462="","",TEXT(AY462,"00")&amp;"|"&amp;B462&amp;"|"&amp;TEXT(AT462,"yyyymmdd"))</f>
        <v/>
      </c>
      <c r="BB462" s="66" t="str">
        <f>IF(B462="","",TEXT(AZ462,"00")&amp;"|"&amp;B462&amp;"|"&amp;TEXT(AV462,"yyyymmdd"))</f>
        <v/>
      </c>
      <c r="BC462" s="66">
        <f>IF(OR(AQ462="YES",AQ462="Yes",AQ462="Y",AQ462=1),1,0)</f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17">
        <f>SUM(H463,J463,L463,N463,P463,R463,T463,V463,X463,Z463,AB463,AD463,AF463,AH463,AJ463,AL463,AN463)</f>
        <v>0</v>
      </c>
      <c r="AT463" s="67" t="str">
        <f>IF(C463="","",DATE(YEAR(C463),MONTH(C463),1))</f>
        <v/>
      </c>
      <c r="AU463" s="66" t="str">
        <f>IF(AT463="","",TEXT(AT463,"mmmm yyyy"))</f>
        <v/>
      </c>
      <c r="AV463" s="67" t="str">
        <f>IF(C463="","",C463-WEEKDAY(C463,2)+1)</f>
        <v/>
      </c>
      <c r="AW463" s="67" t="str">
        <f>IF(AV463="","",AV463+6)</f>
        <v/>
      </c>
      <c r="AX463" s="66" t="str">
        <f>IF(AV463="","",TEXT(AV463,"dd/mm/yyyy")&amp;" - "&amp;TEXT(AW463,"dd/mm/yyyy"))</f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>IF(B463="","",TEXT(AY463,"00")&amp;"|"&amp;B463&amp;"|"&amp;TEXT(AT463,"yyyymmdd"))</f>
        <v/>
      </c>
      <c r="BB463" s="66" t="str">
        <f>IF(B463="","",TEXT(AZ463,"00")&amp;"|"&amp;B463&amp;"|"&amp;TEXT(AV463,"yyyymmdd"))</f>
        <v/>
      </c>
      <c r="BC463" s="66">
        <f>IF(OR(AQ463="YES",AQ463="Yes",AQ463="Y",AQ463=1),1,0)</f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17">
        <f>SUM(H464,J464,L464,N464,P464,R464,T464,V464,X464,Z464,AB464,AD464,AF464,AH464,AJ464,AL464,AN464)</f>
        <v>0</v>
      </c>
      <c r="AT464" s="67" t="str">
        <f>IF(C464="","",DATE(YEAR(C464),MONTH(C464),1))</f>
        <v/>
      </c>
      <c r="AU464" s="66" t="str">
        <f>IF(AT464="","",TEXT(AT464,"mmmm yyyy"))</f>
        <v/>
      </c>
      <c r="AV464" s="67" t="str">
        <f>IF(C464="","",C464-WEEKDAY(C464,2)+1)</f>
        <v/>
      </c>
      <c r="AW464" s="67" t="str">
        <f>IF(AV464="","",AV464+6)</f>
        <v/>
      </c>
      <c r="AX464" s="66" t="str">
        <f>IF(AV464="","",TEXT(AV464,"dd/mm/yyyy")&amp;" - "&amp;TEXT(AW464,"dd/mm/yyyy"))</f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>IF(B464="","",TEXT(AY464,"00")&amp;"|"&amp;B464&amp;"|"&amp;TEXT(AT464,"yyyymmdd"))</f>
        <v/>
      </c>
      <c r="BB464" s="66" t="str">
        <f>IF(B464="","",TEXT(AZ464,"00")&amp;"|"&amp;B464&amp;"|"&amp;TEXT(AV464,"yyyymmdd"))</f>
        <v/>
      </c>
      <c r="BC464" s="66">
        <f>IF(OR(AQ464="YES",AQ464="Yes",AQ464="Y",AQ464=1),1,0)</f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17">
        <f>SUM(H465,J465,L465,N465,P465,R465,T465,V465,X465,Z465,AB465,AD465,AF465,AH465,AJ465,AL465,AN465)</f>
        <v>0</v>
      </c>
      <c r="AT465" s="67" t="str">
        <f>IF(C465="","",DATE(YEAR(C465),MONTH(C465),1))</f>
        <v/>
      </c>
      <c r="AU465" s="66" t="str">
        <f>IF(AT465="","",TEXT(AT465,"mmmm yyyy"))</f>
        <v/>
      </c>
      <c r="AV465" s="67" t="str">
        <f>IF(C465="","",C465-WEEKDAY(C465,2)+1)</f>
        <v/>
      </c>
      <c r="AW465" s="67" t="str">
        <f>IF(AV465="","",AV465+6)</f>
        <v/>
      </c>
      <c r="AX465" s="66" t="str">
        <f>IF(AV465="","",TEXT(AV465,"dd/mm/yyyy")&amp;" - "&amp;TEXT(AW465,"dd/mm/yyyy"))</f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>IF(B465="","",TEXT(AY465,"00")&amp;"|"&amp;B465&amp;"|"&amp;TEXT(AT465,"yyyymmdd"))</f>
        <v/>
      </c>
      <c r="BB465" s="66" t="str">
        <f>IF(B465="","",TEXT(AZ465,"00")&amp;"|"&amp;B465&amp;"|"&amp;TEXT(AV465,"yyyymmdd"))</f>
        <v/>
      </c>
      <c r="BC465" s="66">
        <f>IF(OR(AQ465="YES",AQ465="Yes",AQ465="Y",AQ465=1),1,0)</f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17">
        <f>SUM(H466,J466,L466,N466,P466,R466,T466,V466,X466,Z466,AB466,AD466,AF466,AH466,AJ466,AL466,AN466)</f>
        <v>0</v>
      </c>
      <c r="AT466" s="67" t="str">
        <f>IF(C466="","",DATE(YEAR(C466),MONTH(C466),1))</f>
        <v/>
      </c>
      <c r="AU466" s="66" t="str">
        <f>IF(AT466="","",TEXT(AT466,"mmmm yyyy"))</f>
        <v/>
      </c>
      <c r="AV466" s="67" t="str">
        <f>IF(C466="","",C466-WEEKDAY(C466,2)+1)</f>
        <v/>
      </c>
      <c r="AW466" s="67" t="str">
        <f>IF(AV466="","",AV466+6)</f>
        <v/>
      </c>
      <c r="AX466" s="66" t="str">
        <f>IF(AV466="","",TEXT(AV466,"dd/mm/yyyy")&amp;" - "&amp;TEXT(AW466,"dd/mm/yyyy"))</f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>IF(B466="","",TEXT(AY466,"00")&amp;"|"&amp;B466&amp;"|"&amp;TEXT(AT466,"yyyymmdd"))</f>
        <v/>
      </c>
      <c r="BB466" s="66" t="str">
        <f>IF(B466="","",TEXT(AZ466,"00")&amp;"|"&amp;B466&amp;"|"&amp;TEXT(AV466,"yyyymmdd"))</f>
        <v/>
      </c>
      <c r="BC466" s="66">
        <f>IF(OR(AQ466="YES",AQ466="Yes",AQ466="Y",AQ466=1),1,0)</f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17">
        <f>SUM(H467,J467,L467,N467,P467,R467,T467,V467,X467,Z467,AB467,AD467,AF467,AH467,AJ467,AL467,AN467)</f>
        <v>0</v>
      </c>
      <c r="AT467" s="67" t="str">
        <f>IF(C467="","",DATE(YEAR(C467),MONTH(C467),1))</f>
        <v/>
      </c>
      <c r="AU467" s="66" t="str">
        <f>IF(AT467="","",TEXT(AT467,"mmmm yyyy"))</f>
        <v/>
      </c>
      <c r="AV467" s="67" t="str">
        <f>IF(C467="","",C467-WEEKDAY(C467,2)+1)</f>
        <v/>
      </c>
      <c r="AW467" s="67" t="str">
        <f>IF(AV467="","",AV467+6)</f>
        <v/>
      </c>
      <c r="AX467" s="66" t="str">
        <f>IF(AV467="","",TEXT(AV467,"dd/mm/yyyy")&amp;" - "&amp;TEXT(AW467,"dd/mm/yyyy"))</f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>IF(B467="","",TEXT(AY467,"00")&amp;"|"&amp;B467&amp;"|"&amp;TEXT(AT467,"yyyymmdd"))</f>
        <v/>
      </c>
      <c r="BB467" s="66" t="str">
        <f>IF(B467="","",TEXT(AZ467,"00")&amp;"|"&amp;B467&amp;"|"&amp;TEXT(AV467,"yyyymmdd"))</f>
        <v/>
      </c>
      <c r="BC467" s="66">
        <f>IF(OR(AQ467="YES",AQ467="Yes",AQ467="Y",AQ467=1),1,0)</f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17">
        <f>SUM(H468,J468,L468,N468,P468,R468,T468,V468,X468,Z468,AB468,AD468,AF468,AH468,AJ468,AL468,AN468)</f>
        <v>0</v>
      </c>
      <c r="AT468" s="67" t="str">
        <f>IF(C468="","",DATE(YEAR(C468),MONTH(C468),1))</f>
        <v/>
      </c>
      <c r="AU468" s="66" t="str">
        <f>IF(AT468="","",TEXT(AT468,"mmmm yyyy"))</f>
        <v/>
      </c>
      <c r="AV468" s="67" t="str">
        <f>IF(C468="","",C468-WEEKDAY(C468,2)+1)</f>
        <v/>
      </c>
      <c r="AW468" s="67" t="str">
        <f>IF(AV468="","",AV468+6)</f>
        <v/>
      </c>
      <c r="AX468" s="66" t="str">
        <f>IF(AV468="","",TEXT(AV468,"dd/mm/yyyy")&amp;" - "&amp;TEXT(AW468,"dd/mm/yyyy"))</f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>IF(B468="","",TEXT(AY468,"00")&amp;"|"&amp;B468&amp;"|"&amp;TEXT(AT468,"yyyymmdd"))</f>
        <v/>
      </c>
      <c r="BB468" s="66" t="str">
        <f>IF(B468="","",TEXT(AZ468,"00")&amp;"|"&amp;B468&amp;"|"&amp;TEXT(AV468,"yyyymmdd"))</f>
        <v/>
      </c>
      <c r="BC468" s="66">
        <f>IF(OR(AQ468="YES",AQ468="Yes",AQ468="Y",AQ468=1),1,0)</f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17">
        <f>SUM(H469,J469,L469,N469,P469,R469,T469,V469,X469,Z469,AB469,AD469,AF469,AH469,AJ469,AL469,AN469)</f>
        <v>0</v>
      </c>
      <c r="AT469" s="67" t="str">
        <f>IF(C469="","",DATE(YEAR(C469),MONTH(C469),1))</f>
        <v/>
      </c>
      <c r="AU469" s="66" t="str">
        <f>IF(AT469="","",TEXT(AT469,"mmmm yyyy"))</f>
        <v/>
      </c>
      <c r="AV469" s="67" t="str">
        <f>IF(C469="","",C469-WEEKDAY(C469,2)+1)</f>
        <v/>
      </c>
      <c r="AW469" s="67" t="str">
        <f>IF(AV469="","",AV469+6)</f>
        <v/>
      </c>
      <c r="AX469" s="66" t="str">
        <f>IF(AV469="","",TEXT(AV469,"dd/mm/yyyy")&amp;" - "&amp;TEXT(AW469,"dd/mm/yyyy"))</f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>IF(B469="","",TEXT(AY469,"00")&amp;"|"&amp;B469&amp;"|"&amp;TEXT(AT469,"yyyymmdd"))</f>
        <v/>
      </c>
      <c r="BB469" s="66" t="str">
        <f>IF(B469="","",TEXT(AZ469,"00")&amp;"|"&amp;B469&amp;"|"&amp;TEXT(AV469,"yyyymmdd"))</f>
        <v/>
      </c>
      <c r="BC469" s="66">
        <f>IF(OR(AQ469="YES",AQ469="Yes",AQ469="Y",AQ469=1),1,0)</f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17">
        <f>SUM(H470,J470,L470,N470,P470,R470,T470,V470,X470,Z470,AB470,AD470,AF470,AH470,AJ470,AL470,AN470)</f>
        <v>0</v>
      </c>
      <c r="AT470" s="67" t="str">
        <f>IF(C470="","",DATE(YEAR(C470),MONTH(C470),1))</f>
        <v/>
      </c>
      <c r="AU470" s="66" t="str">
        <f>IF(AT470="","",TEXT(AT470,"mmmm yyyy"))</f>
        <v/>
      </c>
      <c r="AV470" s="67" t="str">
        <f>IF(C470="","",C470-WEEKDAY(C470,2)+1)</f>
        <v/>
      </c>
      <c r="AW470" s="67" t="str">
        <f>IF(AV470="","",AV470+6)</f>
        <v/>
      </c>
      <c r="AX470" s="66" t="str">
        <f>IF(AV470="","",TEXT(AV470,"dd/mm/yyyy")&amp;" - "&amp;TEXT(AW470,"dd/mm/yyyy"))</f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>IF(B470="","",TEXT(AY470,"00")&amp;"|"&amp;B470&amp;"|"&amp;TEXT(AT470,"yyyymmdd"))</f>
        <v/>
      </c>
      <c r="BB470" s="66" t="str">
        <f>IF(B470="","",TEXT(AZ470,"00")&amp;"|"&amp;B470&amp;"|"&amp;TEXT(AV470,"yyyymmdd"))</f>
        <v/>
      </c>
      <c r="BC470" s="66">
        <f>IF(OR(AQ470="YES",AQ470="Yes",AQ470="Y",AQ470=1),1,0)</f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17">
        <f>SUM(H471,J471,L471,N471,P471,R471,T471,V471,X471,Z471,AB471,AD471,AF471,AH471,AJ471,AL471,AN471)</f>
        <v>0</v>
      </c>
      <c r="AT471" s="67" t="str">
        <f>IF(C471="","",DATE(YEAR(C471),MONTH(C471),1))</f>
        <v/>
      </c>
      <c r="AU471" s="66" t="str">
        <f>IF(AT471="","",TEXT(AT471,"mmmm yyyy"))</f>
        <v/>
      </c>
      <c r="AV471" s="67" t="str">
        <f>IF(C471="","",C471-WEEKDAY(C471,2)+1)</f>
        <v/>
      </c>
      <c r="AW471" s="67" t="str">
        <f>IF(AV471="","",AV471+6)</f>
        <v/>
      </c>
      <c r="AX471" s="66" t="str">
        <f>IF(AV471="","",TEXT(AV471,"dd/mm/yyyy")&amp;" - "&amp;TEXT(AW471,"dd/mm/yyyy"))</f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>IF(B471="","",TEXT(AY471,"00")&amp;"|"&amp;B471&amp;"|"&amp;TEXT(AT471,"yyyymmdd"))</f>
        <v/>
      </c>
      <c r="BB471" s="66" t="str">
        <f>IF(B471="","",TEXT(AZ471,"00")&amp;"|"&amp;B471&amp;"|"&amp;TEXT(AV471,"yyyymmdd"))</f>
        <v/>
      </c>
      <c r="BC471" s="66">
        <f>IF(OR(AQ471="YES",AQ471="Yes",AQ471="Y",AQ471=1),1,0)</f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17">
        <f>SUM(H472,J472,L472,N472,P472,R472,T472,V472,X472,Z472,AB472,AD472,AF472,AH472,AJ472,AL472,AN472)</f>
        <v>0</v>
      </c>
      <c r="AT472" s="67" t="str">
        <f>IF(C472="","",DATE(YEAR(C472),MONTH(C472),1))</f>
        <v/>
      </c>
      <c r="AU472" s="66" t="str">
        <f>IF(AT472="","",TEXT(AT472,"mmmm yyyy"))</f>
        <v/>
      </c>
      <c r="AV472" s="67" t="str">
        <f>IF(C472="","",C472-WEEKDAY(C472,2)+1)</f>
        <v/>
      </c>
      <c r="AW472" s="67" t="str">
        <f>IF(AV472="","",AV472+6)</f>
        <v/>
      </c>
      <c r="AX472" s="66" t="str">
        <f>IF(AV472="","",TEXT(AV472,"dd/mm/yyyy")&amp;" - "&amp;TEXT(AW472,"dd/mm/yyyy"))</f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>IF(B472="","",TEXT(AY472,"00")&amp;"|"&amp;B472&amp;"|"&amp;TEXT(AT472,"yyyymmdd"))</f>
        <v/>
      </c>
      <c r="BB472" s="66" t="str">
        <f>IF(B472="","",TEXT(AZ472,"00")&amp;"|"&amp;B472&amp;"|"&amp;TEXT(AV472,"yyyymmdd"))</f>
        <v/>
      </c>
      <c r="BC472" s="66">
        <f>IF(OR(AQ472="YES",AQ472="Yes",AQ472="Y",AQ472=1),1,0)</f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17">
        <f>SUM(H473,J473,L473,N473,P473,R473,T473,V473,X473,Z473,AB473,AD473,AF473,AH473,AJ473,AL473,AN473)</f>
        <v>0</v>
      </c>
      <c r="AT473" s="67" t="str">
        <f>IF(C473="","",DATE(YEAR(C473),MONTH(C473),1))</f>
        <v/>
      </c>
      <c r="AU473" s="66" t="str">
        <f>IF(AT473="","",TEXT(AT473,"mmmm yyyy"))</f>
        <v/>
      </c>
      <c r="AV473" s="67" t="str">
        <f>IF(C473="","",C473-WEEKDAY(C473,2)+1)</f>
        <v/>
      </c>
      <c r="AW473" s="67" t="str">
        <f>IF(AV473="","",AV473+6)</f>
        <v/>
      </c>
      <c r="AX473" s="66" t="str">
        <f>IF(AV473="","",TEXT(AV473,"dd/mm/yyyy")&amp;" - "&amp;TEXT(AW473,"dd/mm/yyyy"))</f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>IF(B473="","",TEXT(AY473,"00")&amp;"|"&amp;B473&amp;"|"&amp;TEXT(AT473,"yyyymmdd"))</f>
        <v/>
      </c>
      <c r="BB473" s="66" t="str">
        <f>IF(B473="","",TEXT(AZ473,"00")&amp;"|"&amp;B473&amp;"|"&amp;TEXT(AV473,"yyyymmdd"))</f>
        <v/>
      </c>
      <c r="BC473" s="66">
        <f>IF(OR(AQ473="YES",AQ473="Yes",AQ473="Y",AQ473=1),1,0)</f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17">
        <f>SUM(H474,J474,L474,N474,P474,R474,T474,V474,X474,Z474,AB474,AD474,AF474,AH474,AJ474,AL474,AN474)</f>
        <v>0</v>
      </c>
      <c r="AT474" s="67" t="str">
        <f>IF(C474="","",DATE(YEAR(C474),MONTH(C474),1))</f>
        <v/>
      </c>
      <c r="AU474" s="66" t="str">
        <f>IF(AT474="","",TEXT(AT474,"mmmm yyyy"))</f>
        <v/>
      </c>
      <c r="AV474" s="67" t="str">
        <f>IF(C474="","",C474-WEEKDAY(C474,2)+1)</f>
        <v/>
      </c>
      <c r="AW474" s="67" t="str">
        <f>IF(AV474="","",AV474+6)</f>
        <v/>
      </c>
      <c r="AX474" s="66" t="str">
        <f>IF(AV474="","",TEXT(AV474,"dd/mm/yyyy")&amp;" - "&amp;TEXT(AW474,"dd/mm/yyyy"))</f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>IF(B474="","",TEXT(AY474,"00")&amp;"|"&amp;B474&amp;"|"&amp;TEXT(AT474,"yyyymmdd"))</f>
        <v/>
      </c>
      <c r="BB474" s="66" t="str">
        <f>IF(B474="","",TEXT(AZ474,"00")&amp;"|"&amp;B474&amp;"|"&amp;TEXT(AV474,"yyyymmdd"))</f>
        <v/>
      </c>
      <c r="BC474" s="66">
        <f>IF(OR(AQ474="YES",AQ474="Yes",AQ474="Y",AQ474=1),1,0)</f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17">
        <f>SUM(H475,J475,L475,N475,P475,R475,T475,V475,X475,Z475,AB475,AD475,AF475,AH475,AJ475,AL475,AN475)</f>
        <v>0</v>
      </c>
      <c r="AT475" s="67" t="str">
        <f>IF(C475="","",DATE(YEAR(C475),MONTH(C475),1))</f>
        <v/>
      </c>
      <c r="AU475" s="66" t="str">
        <f>IF(AT475="","",TEXT(AT475,"mmmm yyyy"))</f>
        <v/>
      </c>
      <c r="AV475" s="67" t="str">
        <f>IF(C475="","",C475-WEEKDAY(C475,2)+1)</f>
        <v/>
      </c>
      <c r="AW475" s="67" t="str">
        <f>IF(AV475="","",AV475+6)</f>
        <v/>
      </c>
      <c r="AX475" s="66" t="str">
        <f>IF(AV475="","",TEXT(AV475,"dd/mm/yyyy")&amp;" - "&amp;TEXT(AW475,"dd/mm/yyyy"))</f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>IF(B475="","",TEXT(AY475,"00")&amp;"|"&amp;B475&amp;"|"&amp;TEXT(AT475,"yyyymmdd"))</f>
        <v/>
      </c>
      <c r="BB475" s="66" t="str">
        <f>IF(B475="","",TEXT(AZ475,"00")&amp;"|"&amp;B475&amp;"|"&amp;TEXT(AV475,"yyyymmdd"))</f>
        <v/>
      </c>
      <c r="BC475" s="66">
        <f>IF(OR(AQ475="YES",AQ475="Yes",AQ475="Y",AQ475=1),1,0)</f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17">
        <f>SUM(H476,J476,L476,N476,P476,R476,T476,V476,X476,Z476,AB476,AD476,AF476,AH476,AJ476,AL476,AN476)</f>
        <v>0</v>
      </c>
      <c r="AT476" s="67" t="str">
        <f>IF(C476="","",DATE(YEAR(C476),MONTH(C476),1))</f>
        <v/>
      </c>
      <c r="AU476" s="66" t="str">
        <f>IF(AT476="","",TEXT(AT476,"mmmm yyyy"))</f>
        <v/>
      </c>
      <c r="AV476" s="67" t="str">
        <f>IF(C476="","",C476-WEEKDAY(C476,2)+1)</f>
        <v/>
      </c>
      <c r="AW476" s="67" t="str">
        <f>IF(AV476="","",AV476+6)</f>
        <v/>
      </c>
      <c r="AX476" s="66" t="str">
        <f>IF(AV476="","",TEXT(AV476,"dd/mm/yyyy")&amp;" - "&amp;TEXT(AW476,"dd/mm/yyyy"))</f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>IF(B476="","",TEXT(AY476,"00")&amp;"|"&amp;B476&amp;"|"&amp;TEXT(AT476,"yyyymmdd"))</f>
        <v/>
      </c>
      <c r="BB476" s="66" t="str">
        <f>IF(B476="","",TEXT(AZ476,"00")&amp;"|"&amp;B476&amp;"|"&amp;TEXT(AV476,"yyyymmdd"))</f>
        <v/>
      </c>
      <c r="BC476" s="66">
        <f>IF(OR(AQ476="YES",AQ476="Yes",AQ476="Y",AQ476=1),1,0)</f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17">
        <f>SUM(H477,J477,L477,N477,P477,R477,T477,V477,X477,Z477,AB477,AD477,AF477,AH477,AJ477,AL477,AN477)</f>
        <v>0</v>
      </c>
      <c r="AT477" s="67" t="str">
        <f>IF(C477="","",DATE(YEAR(C477),MONTH(C477),1))</f>
        <v/>
      </c>
      <c r="AU477" s="66" t="str">
        <f>IF(AT477="","",TEXT(AT477,"mmmm yyyy"))</f>
        <v/>
      </c>
      <c r="AV477" s="67" t="str">
        <f>IF(C477="","",C477-WEEKDAY(C477,2)+1)</f>
        <v/>
      </c>
      <c r="AW477" s="67" t="str">
        <f>IF(AV477="","",AV477+6)</f>
        <v/>
      </c>
      <c r="AX477" s="66" t="str">
        <f>IF(AV477="","",TEXT(AV477,"dd/mm/yyyy")&amp;" - "&amp;TEXT(AW477,"dd/mm/yyyy"))</f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>IF(B477="","",TEXT(AY477,"00")&amp;"|"&amp;B477&amp;"|"&amp;TEXT(AT477,"yyyymmdd"))</f>
        <v/>
      </c>
      <c r="BB477" s="66" t="str">
        <f>IF(B477="","",TEXT(AZ477,"00")&amp;"|"&amp;B477&amp;"|"&amp;TEXT(AV477,"yyyymmdd"))</f>
        <v/>
      </c>
      <c r="BC477" s="66">
        <f>IF(OR(AQ477="YES",AQ477="Yes",AQ477="Y",AQ477=1),1,0)</f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17">
        <f>SUM(H478,J478,L478,N478,P478,R478,T478,V478,X478,Z478,AB478,AD478,AF478,AH478,AJ478,AL478,AN478)</f>
        <v>0</v>
      </c>
      <c r="AT478" s="67" t="str">
        <f>IF(C478="","",DATE(YEAR(C478),MONTH(C478),1))</f>
        <v/>
      </c>
      <c r="AU478" s="66" t="str">
        <f>IF(AT478="","",TEXT(AT478,"mmmm yyyy"))</f>
        <v/>
      </c>
      <c r="AV478" s="67" t="str">
        <f>IF(C478="","",C478-WEEKDAY(C478,2)+1)</f>
        <v/>
      </c>
      <c r="AW478" s="67" t="str">
        <f>IF(AV478="","",AV478+6)</f>
        <v/>
      </c>
      <c r="AX478" s="66" t="str">
        <f>IF(AV478="","",TEXT(AV478,"dd/mm/yyyy")&amp;" - "&amp;TEXT(AW478,"dd/mm/yyyy"))</f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>IF(B478="","",TEXT(AY478,"00")&amp;"|"&amp;B478&amp;"|"&amp;TEXT(AT478,"yyyymmdd"))</f>
        <v/>
      </c>
      <c r="BB478" s="66" t="str">
        <f>IF(B478="","",TEXT(AZ478,"00")&amp;"|"&amp;B478&amp;"|"&amp;TEXT(AV478,"yyyymmdd"))</f>
        <v/>
      </c>
      <c r="BC478" s="66">
        <f>IF(OR(AQ478="YES",AQ478="Yes",AQ478="Y",AQ478=1),1,0)</f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17">
        <f>SUM(H479,J479,L479,N479,P479,R479,T479,V479,X479,Z479,AB479,AD479,AF479,AH479,AJ479,AL479,AN479)</f>
        <v>0</v>
      </c>
      <c r="AT479" s="67" t="str">
        <f>IF(C479="","",DATE(YEAR(C479),MONTH(C479),1))</f>
        <v/>
      </c>
      <c r="AU479" s="66" t="str">
        <f>IF(AT479="","",TEXT(AT479,"mmmm yyyy"))</f>
        <v/>
      </c>
      <c r="AV479" s="67" t="str">
        <f>IF(C479="","",C479-WEEKDAY(C479,2)+1)</f>
        <v/>
      </c>
      <c r="AW479" s="67" t="str">
        <f>IF(AV479="","",AV479+6)</f>
        <v/>
      </c>
      <c r="AX479" s="66" t="str">
        <f>IF(AV479="","",TEXT(AV479,"dd/mm/yyyy")&amp;" - "&amp;TEXT(AW479,"dd/mm/yyyy"))</f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>IF(B479="","",TEXT(AY479,"00")&amp;"|"&amp;B479&amp;"|"&amp;TEXT(AT479,"yyyymmdd"))</f>
        <v/>
      </c>
      <c r="BB479" s="66" t="str">
        <f>IF(B479="","",TEXT(AZ479,"00")&amp;"|"&amp;B479&amp;"|"&amp;TEXT(AV479,"yyyymmdd"))</f>
        <v/>
      </c>
      <c r="BC479" s="66">
        <f>IF(OR(AQ479="YES",AQ479="Yes",AQ479="Y",AQ479=1),1,0)</f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17">
        <f>SUM(H480,J480,L480,N480,P480,R480,T480,V480,X480,Z480,AB480,AD480,AF480,AH480,AJ480,AL480,AN480)</f>
        <v>0</v>
      </c>
      <c r="AT480" s="67" t="str">
        <f>IF(C480="","",DATE(YEAR(C480),MONTH(C480),1))</f>
        <v/>
      </c>
      <c r="AU480" s="66" t="str">
        <f>IF(AT480="","",TEXT(AT480,"mmmm yyyy"))</f>
        <v/>
      </c>
      <c r="AV480" s="67" t="str">
        <f>IF(C480="","",C480-WEEKDAY(C480,2)+1)</f>
        <v/>
      </c>
      <c r="AW480" s="67" t="str">
        <f>IF(AV480="","",AV480+6)</f>
        <v/>
      </c>
      <c r="AX480" s="66" t="str">
        <f>IF(AV480="","",TEXT(AV480,"dd/mm/yyyy")&amp;" - "&amp;TEXT(AW480,"dd/mm/yyyy"))</f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>IF(B480="","",TEXT(AY480,"00")&amp;"|"&amp;B480&amp;"|"&amp;TEXT(AT480,"yyyymmdd"))</f>
        <v/>
      </c>
      <c r="BB480" s="66" t="str">
        <f>IF(B480="","",TEXT(AZ480,"00")&amp;"|"&amp;B480&amp;"|"&amp;TEXT(AV480,"yyyymmdd"))</f>
        <v/>
      </c>
      <c r="BC480" s="66">
        <f>IF(OR(AQ480="YES",AQ480="Yes",AQ480="Y",AQ480=1),1,0)</f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17">
        <f>SUM(H481,J481,L481,N481,P481,R481,T481,V481,X481,Z481,AB481,AD481,AF481,AH481,AJ481,AL481,AN481)</f>
        <v>0</v>
      </c>
      <c r="AT481" s="67" t="str">
        <f>IF(C481="","",DATE(YEAR(C481),MONTH(C481),1))</f>
        <v/>
      </c>
      <c r="AU481" s="66" t="str">
        <f>IF(AT481="","",TEXT(AT481,"mmmm yyyy"))</f>
        <v/>
      </c>
      <c r="AV481" s="67" t="str">
        <f>IF(C481="","",C481-WEEKDAY(C481,2)+1)</f>
        <v/>
      </c>
      <c r="AW481" s="67" t="str">
        <f>IF(AV481="","",AV481+6)</f>
        <v/>
      </c>
      <c r="AX481" s="66" t="str">
        <f>IF(AV481="","",TEXT(AV481,"dd/mm/yyyy")&amp;" - "&amp;TEXT(AW481,"dd/mm/yyyy"))</f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>IF(B481="","",TEXT(AY481,"00")&amp;"|"&amp;B481&amp;"|"&amp;TEXT(AT481,"yyyymmdd"))</f>
        <v/>
      </c>
      <c r="BB481" s="66" t="str">
        <f>IF(B481="","",TEXT(AZ481,"00")&amp;"|"&amp;B481&amp;"|"&amp;TEXT(AV481,"yyyymmdd"))</f>
        <v/>
      </c>
      <c r="BC481" s="66">
        <f>IF(OR(AQ481="YES",AQ481="Yes",AQ481="Y",AQ481=1),1,0)</f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17">
        <f>SUM(H482,J482,L482,N482,P482,R482,T482,V482,X482,Z482,AB482,AD482,AF482,AH482,AJ482,AL482,AN482)</f>
        <v>0</v>
      </c>
      <c r="AT482" s="67" t="str">
        <f>IF(C482="","",DATE(YEAR(C482),MONTH(C482),1))</f>
        <v/>
      </c>
      <c r="AU482" s="66" t="str">
        <f>IF(AT482="","",TEXT(AT482,"mmmm yyyy"))</f>
        <v/>
      </c>
      <c r="AV482" s="67" t="str">
        <f>IF(C482="","",C482-WEEKDAY(C482,2)+1)</f>
        <v/>
      </c>
      <c r="AW482" s="67" t="str">
        <f>IF(AV482="","",AV482+6)</f>
        <v/>
      </c>
      <c r="AX482" s="66" t="str">
        <f>IF(AV482="","",TEXT(AV482,"dd/mm/yyyy")&amp;" - "&amp;TEXT(AW482,"dd/mm/yyyy"))</f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>IF(B482="","",TEXT(AY482,"00")&amp;"|"&amp;B482&amp;"|"&amp;TEXT(AT482,"yyyymmdd"))</f>
        <v/>
      </c>
      <c r="BB482" s="66" t="str">
        <f>IF(B482="","",TEXT(AZ482,"00")&amp;"|"&amp;B482&amp;"|"&amp;TEXT(AV482,"yyyymmdd"))</f>
        <v/>
      </c>
      <c r="BC482" s="66">
        <f>IF(OR(AQ482="YES",AQ482="Yes",AQ482="Y",AQ482=1),1,0)</f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17">
        <f>SUM(H483,J483,L483,N483,P483,R483,T483,V483,X483,Z483,AB483,AD483,AF483,AH483,AJ483,AL483,AN483)</f>
        <v>0</v>
      </c>
      <c r="AT483" s="67" t="str">
        <f>IF(C483="","",DATE(YEAR(C483),MONTH(C483),1))</f>
        <v/>
      </c>
      <c r="AU483" s="66" t="str">
        <f>IF(AT483="","",TEXT(AT483,"mmmm yyyy"))</f>
        <v/>
      </c>
      <c r="AV483" s="67" t="str">
        <f>IF(C483="","",C483-WEEKDAY(C483,2)+1)</f>
        <v/>
      </c>
      <c r="AW483" s="67" t="str">
        <f>IF(AV483="","",AV483+6)</f>
        <v/>
      </c>
      <c r="AX483" s="66" t="str">
        <f>IF(AV483="","",TEXT(AV483,"dd/mm/yyyy")&amp;" - "&amp;TEXT(AW483,"dd/mm/yyyy"))</f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>IF(B483="","",TEXT(AY483,"00")&amp;"|"&amp;B483&amp;"|"&amp;TEXT(AT483,"yyyymmdd"))</f>
        <v/>
      </c>
      <c r="BB483" s="66" t="str">
        <f>IF(B483="","",TEXT(AZ483,"00")&amp;"|"&amp;B483&amp;"|"&amp;TEXT(AV483,"yyyymmdd"))</f>
        <v/>
      </c>
      <c r="BC483" s="66">
        <f>IF(OR(AQ483="YES",AQ483="Yes",AQ483="Y",AQ483=1),1,0)</f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17">
        <f>SUM(H484,J484,L484,N484,P484,R484,T484,V484,X484,Z484,AB484,AD484,AF484,AH484,AJ484,AL484,AN484)</f>
        <v>0</v>
      </c>
      <c r="AT484" s="67" t="str">
        <f>IF(C484="","",DATE(YEAR(C484),MONTH(C484),1))</f>
        <v/>
      </c>
      <c r="AU484" s="66" t="str">
        <f>IF(AT484="","",TEXT(AT484,"mmmm yyyy"))</f>
        <v/>
      </c>
      <c r="AV484" s="67" t="str">
        <f>IF(C484="","",C484-WEEKDAY(C484,2)+1)</f>
        <v/>
      </c>
      <c r="AW484" s="67" t="str">
        <f>IF(AV484="","",AV484+6)</f>
        <v/>
      </c>
      <c r="AX484" s="66" t="str">
        <f>IF(AV484="","",TEXT(AV484,"dd/mm/yyyy")&amp;" - "&amp;TEXT(AW484,"dd/mm/yyyy"))</f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>IF(B484="","",TEXT(AY484,"00")&amp;"|"&amp;B484&amp;"|"&amp;TEXT(AT484,"yyyymmdd"))</f>
        <v/>
      </c>
      <c r="BB484" s="66" t="str">
        <f>IF(B484="","",TEXT(AZ484,"00")&amp;"|"&amp;B484&amp;"|"&amp;TEXT(AV484,"yyyymmdd"))</f>
        <v/>
      </c>
      <c r="BC484" s="66">
        <f>IF(OR(AQ484="YES",AQ484="Yes",AQ484="Y",AQ484=1),1,0)</f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17">
        <f>SUM(H485,J485,L485,N485,P485,R485,T485,V485,X485,Z485,AB485,AD485,AF485,AH485,AJ485,AL485,AN485)</f>
        <v>0</v>
      </c>
      <c r="AT485" s="67" t="str">
        <f>IF(C485="","",DATE(YEAR(C485),MONTH(C485),1))</f>
        <v/>
      </c>
      <c r="AU485" s="66" t="str">
        <f>IF(AT485="","",TEXT(AT485,"mmmm yyyy"))</f>
        <v/>
      </c>
      <c r="AV485" s="67" t="str">
        <f>IF(C485="","",C485-WEEKDAY(C485,2)+1)</f>
        <v/>
      </c>
      <c r="AW485" s="67" t="str">
        <f>IF(AV485="","",AV485+6)</f>
        <v/>
      </c>
      <c r="AX485" s="66" t="str">
        <f>IF(AV485="","",TEXT(AV485,"dd/mm/yyyy")&amp;" - "&amp;TEXT(AW485,"dd/mm/yyyy"))</f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>IF(B485="","",TEXT(AY485,"00")&amp;"|"&amp;B485&amp;"|"&amp;TEXT(AT485,"yyyymmdd"))</f>
        <v/>
      </c>
      <c r="BB485" s="66" t="str">
        <f>IF(B485="","",TEXT(AZ485,"00")&amp;"|"&amp;B485&amp;"|"&amp;TEXT(AV485,"yyyymmdd"))</f>
        <v/>
      </c>
      <c r="BC485" s="66">
        <f>IF(OR(AQ485="YES",AQ485="Yes",AQ485="Y",AQ485=1),1,0)</f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17">
        <f>SUM(H486,J486,L486,N486,P486,R486,T486,V486,X486,Z486,AB486,AD486,AF486,AH486,AJ486,AL486,AN486)</f>
        <v>0</v>
      </c>
      <c r="AT486" s="67" t="str">
        <f>IF(C486="","",DATE(YEAR(C486),MONTH(C486),1))</f>
        <v/>
      </c>
      <c r="AU486" s="66" t="str">
        <f>IF(AT486="","",TEXT(AT486,"mmmm yyyy"))</f>
        <v/>
      </c>
      <c r="AV486" s="67" t="str">
        <f>IF(C486="","",C486-WEEKDAY(C486,2)+1)</f>
        <v/>
      </c>
      <c r="AW486" s="67" t="str">
        <f>IF(AV486="","",AV486+6)</f>
        <v/>
      </c>
      <c r="AX486" s="66" t="str">
        <f>IF(AV486="","",TEXT(AV486,"dd/mm/yyyy")&amp;" - "&amp;TEXT(AW486,"dd/mm/yyyy"))</f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>IF(B486="","",TEXT(AY486,"00")&amp;"|"&amp;B486&amp;"|"&amp;TEXT(AT486,"yyyymmdd"))</f>
        <v/>
      </c>
      <c r="BB486" s="66" t="str">
        <f>IF(B486="","",TEXT(AZ486,"00")&amp;"|"&amp;B486&amp;"|"&amp;TEXT(AV486,"yyyymmdd"))</f>
        <v/>
      </c>
      <c r="BC486" s="66">
        <f>IF(OR(AQ486="YES",AQ486="Yes",AQ486="Y",AQ486=1),1,0)</f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17">
        <f>SUM(H487,J487,L487,N487,P487,R487,T487,V487,X487,Z487,AB487,AD487,AF487,AH487,AJ487,AL487,AN487)</f>
        <v>0</v>
      </c>
      <c r="AT487" s="67" t="str">
        <f>IF(C487="","",DATE(YEAR(C487),MONTH(C487),1))</f>
        <v/>
      </c>
      <c r="AU487" s="66" t="str">
        <f>IF(AT487="","",TEXT(AT487,"mmmm yyyy"))</f>
        <v/>
      </c>
      <c r="AV487" s="67" t="str">
        <f>IF(C487="","",C487-WEEKDAY(C487,2)+1)</f>
        <v/>
      </c>
      <c r="AW487" s="67" t="str">
        <f>IF(AV487="","",AV487+6)</f>
        <v/>
      </c>
      <c r="AX487" s="66" t="str">
        <f>IF(AV487="","",TEXT(AV487,"dd/mm/yyyy")&amp;" - "&amp;TEXT(AW487,"dd/mm/yyyy"))</f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>IF(B487="","",TEXT(AY487,"00")&amp;"|"&amp;B487&amp;"|"&amp;TEXT(AT487,"yyyymmdd"))</f>
        <v/>
      </c>
      <c r="BB487" s="66" t="str">
        <f>IF(B487="","",TEXT(AZ487,"00")&amp;"|"&amp;B487&amp;"|"&amp;TEXT(AV487,"yyyymmdd"))</f>
        <v/>
      </c>
      <c r="BC487" s="66">
        <f>IF(OR(AQ487="YES",AQ487="Yes",AQ487="Y",AQ487=1),1,0)</f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17">
        <f>SUM(H488,J488,L488,N488,P488,R488,T488,V488,X488,Z488,AB488,AD488,AF488,AH488,AJ488,AL488,AN488)</f>
        <v>0</v>
      </c>
      <c r="AT488" s="67" t="str">
        <f>IF(C488="","",DATE(YEAR(C488),MONTH(C488),1))</f>
        <v/>
      </c>
      <c r="AU488" s="66" t="str">
        <f>IF(AT488="","",TEXT(AT488,"mmmm yyyy"))</f>
        <v/>
      </c>
      <c r="AV488" s="67" t="str">
        <f>IF(C488="","",C488-WEEKDAY(C488,2)+1)</f>
        <v/>
      </c>
      <c r="AW488" s="67" t="str">
        <f>IF(AV488="","",AV488+6)</f>
        <v/>
      </c>
      <c r="AX488" s="66" t="str">
        <f>IF(AV488="","",TEXT(AV488,"dd/mm/yyyy")&amp;" - "&amp;TEXT(AW488,"dd/mm/yyyy"))</f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>IF(B488="","",TEXT(AY488,"00")&amp;"|"&amp;B488&amp;"|"&amp;TEXT(AT488,"yyyymmdd"))</f>
        <v/>
      </c>
      <c r="BB488" s="66" t="str">
        <f>IF(B488="","",TEXT(AZ488,"00")&amp;"|"&amp;B488&amp;"|"&amp;TEXT(AV488,"yyyymmdd"))</f>
        <v/>
      </c>
      <c r="BC488" s="66">
        <f>IF(OR(AQ488="YES",AQ488="Yes",AQ488="Y",AQ488=1),1,0)</f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17">
        <f>SUM(H489,J489,L489,N489,P489,R489,T489,V489,X489,Z489,AB489,AD489,AF489,AH489,AJ489,AL489,AN489)</f>
        <v>0</v>
      </c>
      <c r="AT489" s="67" t="str">
        <f>IF(C489="","",DATE(YEAR(C489),MONTH(C489),1))</f>
        <v/>
      </c>
      <c r="AU489" s="66" t="str">
        <f>IF(AT489="","",TEXT(AT489,"mmmm yyyy"))</f>
        <v/>
      </c>
      <c r="AV489" s="67" t="str">
        <f>IF(C489="","",C489-WEEKDAY(C489,2)+1)</f>
        <v/>
      </c>
      <c r="AW489" s="67" t="str">
        <f>IF(AV489="","",AV489+6)</f>
        <v/>
      </c>
      <c r="AX489" s="66" t="str">
        <f>IF(AV489="","",TEXT(AV489,"dd/mm/yyyy")&amp;" - "&amp;TEXT(AW489,"dd/mm/yyyy"))</f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>IF(B489="","",TEXT(AY489,"00")&amp;"|"&amp;B489&amp;"|"&amp;TEXT(AT489,"yyyymmdd"))</f>
        <v/>
      </c>
      <c r="BB489" s="66" t="str">
        <f>IF(B489="","",TEXT(AZ489,"00")&amp;"|"&amp;B489&amp;"|"&amp;TEXT(AV489,"yyyymmdd"))</f>
        <v/>
      </c>
      <c r="BC489" s="66">
        <f>IF(OR(AQ489="YES",AQ489="Yes",AQ489="Y",AQ489=1),1,0)</f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17">
        <f>SUM(H490,J490,L490,N490,P490,R490,T490,V490,X490,Z490,AB490,AD490,AF490,AH490,AJ490,AL490,AN490)</f>
        <v>0</v>
      </c>
      <c r="AT490" s="67" t="str">
        <f>IF(C490="","",DATE(YEAR(C490),MONTH(C490),1))</f>
        <v/>
      </c>
      <c r="AU490" s="66" t="str">
        <f>IF(AT490="","",TEXT(AT490,"mmmm yyyy"))</f>
        <v/>
      </c>
      <c r="AV490" s="67" t="str">
        <f>IF(C490="","",C490-WEEKDAY(C490,2)+1)</f>
        <v/>
      </c>
      <c r="AW490" s="67" t="str">
        <f>IF(AV490="","",AV490+6)</f>
        <v/>
      </c>
      <c r="AX490" s="66" t="str">
        <f>IF(AV490="","",TEXT(AV490,"dd/mm/yyyy")&amp;" - "&amp;TEXT(AW490,"dd/mm/yyyy"))</f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>IF(B490="","",TEXT(AY490,"00")&amp;"|"&amp;B490&amp;"|"&amp;TEXT(AT490,"yyyymmdd"))</f>
        <v/>
      </c>
      <c r="BB490" s="66" t="str">
        <f>IF(B490="","",TEXT(AZ490,"00")&amp;"|"&amp;B490&amp;"|"&amp;TEXT(AV490,"yyyymmdd"))</f>
        <v/>
      </c>
      <c r="BC490" s="66">
        <f>IF(OR(AQ490="YES",AQ490="Yes",AQ490="Y",AQ490=1),1,0)</f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17">
        <f>SUM(H491,J491,L491,N491,P491,R491,T491,V491,X491,Z491,AB491,AD491,AF491,AH491,AJ491,AL491,AN491)</f>
        <v>0</v>
      </c>
      <c r="AT491" s="67" t="str">
        <f>IF(C491="","",DATE(YEAR(C491),MONTH(C491),1))</f>
        <v/>
      </c>
      <c r="AU491" s="66" t="str">
        <f>IF(AT491="","",TEXT(AT491,"mmmm yyyy"))</f>
        <v/>
      </c>
      <c r="AV491" s="67" t="str">
        <f>IF(C491="","",C491-WEEKDAY(C491,2)+1)</f>
        <v/>
      </c>
      <c r="AW491" s="67" t="str">
        <f>IF(AV491="","",AV491+6)</f>
        <v/>
      </c>
      <c r="AX491" s="66" t="str">
        <f>IF(AV491="","",TEXT(AV491,"dd/mm/yyyy")&amp;" - "&amp;TEXT(AW491,"dd/mm/yyyy"))</f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>IF(B491="","",TEXT(AY491,"00")&amp;"|"&amp;B491&amp;"|"&amp;TEXT(AT491,"yyyymmdd"))</f>
        <v/>
      </c>
      <c r="BB491" s="66" t="str">
        <f>IF(B491="","",TEXT(AZ491,"00")&amp;"|"&amp;B491&amp;"|"&amp;TEXT(AV491,"yyyymmdd"))</f>
        <v/>
      </c>
      <c r="BC491" s="66">
        <f>IF(OR(AQ491="YES",AQ491="Yes",AQ491="Y",AQ491=1),1,0)</f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17">
        <f>SUM(H492,J492,L492,N492,P492,R492,T492,V492,X492,Z492,AB492,AD492,AF492,AH492,AJ492,AL492,AN492)</f>
        <v>0</v>
      </c>
      <c r="AT492" s="67" t="str">
        <f>IF(C492="","",DATE(YEAR(C492),MONTH(C492),1))</f>
        <v/>
      </c>
      <c r="AU492" s="66" t="str">
        <f>IF(AT492="","",TEXT(AT492,"mmmm yyyy"))</f>
        <v/>
      </c>
      <c r="AV492" s="67" t="str">
        <f>IF(C492="","",C492-WEEKDAY(C492,2)+1)</f>
        <v/>
      </c>
      <c r="AW492" s="67" t="str">
        <f>IF(AV492="","",AV492+6)</f>
        <v/>
      </c>
      <c r="AX492" s="66" t="str">
        <f>IF(AV492="","",TEXT(AV492,"dd/mm/yyyy")&amp;" - "&amp;TEXT(AW492,"dd/mm/yyyy"))</f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>IF(B492="","",TEXT(AY492,"00")&amp;"|"&amp;B492&amp;"|"&amp;TEXT(AT492,"yyyymmdd"))</f>
        <v/>
      </c>
      <c r="BB492" s="66" t="str">
        <f>IF(B492="","",TEXT(AZ492,"00")&amp;"|"&amp;B492&amp;"|"&amp;TEXT(AV492,"yyyymmdd"))</f>
        <v/>
      </c>
      <c r="BC492" s="66">
        <f>IF(OR(AQ492="YES",AQ492="Yes",AQ492="Y",AQ492=1),1,0)</f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17">
        <f>SUM(H493,J493,L493,N493,P493,R493,T493,V493,X493,Z493,AB493,AD493,AF493,AH493,AJ493,AL493,AN493)</f>
        <v>0</v>
      </c>
      <c r="AT493" s="67" t="str">
        <f>IF(C493="","",DATE(YEAR(C493),MONTH(C493),1))</f>
        <v/>
      </c>
      <c r="AU493" s="66" t="str">
        <f>IF(AT493="","",TEXT(AT493,"mmmm yyyy"))</f>
        <v/>
      </c>
      <c r="AV493" s="67" t="str">
        <f>IF(C493="","",C493-WEEKDAY(C493,2)+1)</f>
        <v/>
      </c>
      <c r="AW493" s="67" t="str">
        <f>IF(AV493="","",AV493+6)</f>
        <v/>
      </c>
      <c r="AX493" s="66" t="str">
        <f>IF(AV493="","",TEXT(AV493,"dd/mm/yyyy")&amp;" - "&amp;TEXT(AW493,"dd/mm/yyyy"))</f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>IF(B493="","",TEXT(AY493,"00")&amp;"|"&amp;B493&amp;"|"&amp;TEXT(AT493,"yyyymmdd"))</f>
        <v/>
      </c>
      <c r="BB493" s="66" t="str">
        <f>IF(B493="","",TEXT(AZ493,"00")&amp;"|"&amp;B493&amp;"|"&amp;TEXT(AV493,"yyyymmdd"))</f>
        <v/>
      </c>
      <c r="BC493" s="66">
        <f>IF(OR(AQ493="YES",AQ493="Yes",AQ493="Y",AQ493=1),1,0)</f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17">
        <f>SUM(H494,J494,L494,N494,P494,R494,T494,V494,X494,Z494,AB494,AD494,AF494,AH494,AJ494,AL494,AN494)</f>
        <v>0</v>
      </c>
      <c r="AT494" s="67" t="str">
        <f>IF(C494="","",DATE(YEAR(C494),MONTH(C494),1))</f>
        <v/>
      </c>
      <c r="AU494" s="66" t="str">
        <f>IF(AT494="","",TEXT(AT494,"mmmm yyyy"))</f>
        <v/>
      </c>
      <c r="AV494" s="67" t="str">
        <f>IF(C494="","",C494-WEEKDAY(C494,2)+1)</f>
        <v/>
      </c>
      <c r="AW494" s="67" t="str">
        <f>IF(AV494="","",AV494+6)</f>
        <v/>
      </c>
      <c r="AX494" s="66" t="str">
        <f>IF(AV494="","",TEXT(AV494,"dd/mm/yyyy")&amp;" - "&amp;TEXT(AW494,"dd/mm/yyyy"))</f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>IF(B494="","",TEXT(AY494,"00")&amp;"|"&amp;B494&amp;"|"&amp;TEXT(AT494,"yyyymmdd"))</f>
        <v/>
      </c>
      <c r="BB494" s="66" t="str">
        <f>IF(B494="","",TEXT(AZ494,"00")&amp;"|"&amp;B494&amp;"|"&amp;TEXT(AV494,"yyyymmdd"))</f>
        <v/>
      </c>
      <c r="BC494" s="66">
        <f>IF(OR(AQ494="YES",AQ494="Yes",AQ494="Y",AQ494=1),1,0)</f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17">
        <f>SUM(H495,J495,L495,N495,P495,R495,T495,V495,X495,Z495,AB495,AD495,AF495,AH495,AJ495,AL495,AN495)</f>
        <v>0</v>
      </c>
      <c r="AT495" s="67" t="str">
        <f>IF(C495="","",DATE(YEAR(C495),MONTH(C495),1))</f>
        <v/>
      </c>
      <c r="AU495" s="66" t="str">
        <f>IF(AT495="","",TEXT(AT495,"mmmm yyyy"))</f>
        <v/>
      </c>
      <c r="AV495" s="67" t="str">
        <f>IF(C495="","",C495-WEEKDAY(C495,2)+1)</f>
        <v/>
      </c>
      <c r="AW495" s="67" t="str">
        <f>IF(AV495="","",AV495+6)</f>
        <v/>
      </c>
      <c r="AX495" s="66" t="str">
        <f>IF(AV495="","",TEXT(AV495,"dd/mm/yyyy")&amp;" - "&amp;TEXT(AW495,"dd/mm/yyyy"))</f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>IF(B495="","",TEXT(AY495,"00")&amp;"|"&amp;B495&amp;"|"&amp;TEXT(AT495,"yyyymmdd"))</f>
        <v/>
      </c>
      <c r="BB495" s="66" t="str">
        <f>IF(B495="","",TEXT(AZ495,"00")&amp;"|"&amp;B495&amp;"|"&amp;TEXT(AV495,"yyyymmdd"))</f>
        <v/>
      </c>
      <c r="BC495" s="66">
        <f>IF(OR(AQ495="YES",AQ495="Yes",AQ495="Y",AQ495=1),1,0)</f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17">
        <f>SUM(H496,J496,L496,N496,P496,R496,T496,V496,X496,Z496,AB496,AD496,AF496,AH496,AJ496,AL496,AN496)</f>
        <v>0</v>
      </c>
      <c r="AT496" s="67" t="str">
        <f>IF(C496="","",DATE(YEAR(C496),MONTH(C496),1))</f>
        <v/>
      </c>
      <c r="AU496" s="66" t="str">
        <f>IF(AT496="","",TEXT(AT496,"mmmm yyyy"))</f>
        <v/>
      </c>
      <c r="AV496" s="67" t="str">
        <f>IF(C496="","",C496-WEEKDAY(C496,2)+1)</f>
        <v/>
      </c>
      <c r="AW496" s="67" t="str">
        <f>IF(AV496="","",AV496+6)</f>
        <v/>
      </c>
      <c r="AX496" s="66" t="str">
        <f>IF(AV496="","",TEXT(AV496,"dd/mm/yyyy")&amp;" - "&amp;TEXT(AW496,"dd/mm/yyyy"))</f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>IF(B496="","",TEXT(AY496,"00")&amp;"|"&amp;B496&amp;"|"&amp;TEXT(AT496,"yyyymmdd"))</f>
        <v/>
      </c>
      <c r="BB496" s="66" t="str">
        <f>IF(B496="","",TEXT(AZ496,"00")&amp;"|"&amp;B496&amp;"|"&amp;TEXT(AV496,"yyyymmdd"))</f>
        <v/>
      </c>
      <c r="BC496" s="66">
        <f>IF(OR(AQ496="YES",AQ496="Yes",AQ496="Y",AQ496=1),1,0)</f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17">
        <f>SUM(H497,J497,L497,N497,P497,R497,T497,V497,X497,Z497,AB497,AD497,AF497,AH497,AJ497,AL497,AN497)</f>
        <v>0</v>
      </c>
      <c r="AT497" s="67" t="str">
        <f>IF(C497="","",DATE(YEAR(C497),MONTH(C497),1))</f>
        <v/>
      </c>
      <c r="AU497" s="66" t="str">
        <f>IF(AT497="","",TEXT(AT497,"mmmm yyyy"))</f>
        <v/>
      </c>
      <c r="AV497" s="67" t="str">
        <f>IF(C497="","",C497-WEEKDAY(C497,2)+1)</f>
        <v/>
      </c>
      <c r="AW497" s="67" t="str">
        <f>IF(AV497="","",AV497+6)</f>
        <v/>
      </c>
      <c r="AX497" s="66" t="str">
        <f>IF(AV497="","",TEXT(AV497,"dd/mm/yyyy")&amp;" - "&amp;TEXT(AW497,"dd/mm/yyyy"))</f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>IF(B497="","",TEXT(AY497,"00")&amp;"|"&amp;B497&amp;"|"&amp;TEXT(AT497,"yyyymmdd"))</f>
        <v/>
      </c>
      <c r="BB497" s="66" t="str">
        <f>IF(B497="","",TEXT(AZ497,"00")&amp;"|"&amp;B497&amp;"|"&amp;TEXT(AV497,"yyyymmdd"))</f>
        <v/>
      </c>
      <c r="BC497" s="66">
        <f>IF(OR(AQ497="YES",AQ497="Yes",AQ497="Y",AQ497=1),1,0)</f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17">
        <f>SUM(H498,J498,L498,N498,P498,R498,T498,V498,X498,Z498,AB498,AD498,AF498,AH498,AJ498,AL498,AN498)</f>
        <v>0</v>
      </c>
      <c r="AT498" s="67" t="str">
        <f>IF(C498="","",DATE(YEAR(C498),MONTH(C498),1))</f>
        <v/>
      </c>
      <c r="AU498" s="66" t="str">
        <f>IF(AT498="","",TEXT(AT498,"mmmm yyyy"))</f>
        <v/>
      </c>
      <c r="AV498" s="67" t="str">
        <f>IF(C498="","",C498-WEEKDAY(C498,2)+1)</f>
        <v/>
      </c>
      <c r="AW498" s="67" t="str">
        <f>IF(AV498="","",AV498+6)</f>
        <v/>
      </c>
      <c r="AX498" s="66" t="str">
        <f>IF(AV498="","",TEXT(AV498,"dd/mm/yyyy")&amp;" - "&amp;TEXT(AW498,"dd/mm/yyyy"))</f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>IF(B498="","",TEXT(AY498,"00")&amp;"|"&amp;B498&amp;"|"&amp;TEXT(AT498,"yyyymmdd"))</f>
        <v/>
      </c>
      <c r="BB498" s="66" t="str">
        <f>IF(B498="","",TEXT(AZ498,"00")&amp;"|"&amp;B498&amp;"|"&amp;TEXT(AV498,"yyyymmdd"))</f>
        <v/>
      </c>
      <c r="BC498" s="66">
        <f>IF(OR(AQ498="YES",AQ498="Yes",AQ498="Y",AQ498=1),1,0)</f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17">
        <f>SUM(H499,J499,L499,N499,P499,R499,T499,V499,X499,Z499,AB499,AD499,AF499,AH499,AJ499,AL499,AN499)</f>
        <v>0</v>
      </c>
      <c r="AT499" s="67" t="str">
        <f>IF(C499="","",DATE(YEAR(C499),MONTH(C499),1))</f>
        <v/>
      </c>
      <c r="AU499" s="66" t="str">
        <f>IF(AT499="","",TEXT(AT499,"mmmm yyyy"))</f>
        <v/>
      </c>
      <c r="AV499" s="67" t="str">
        <f>IF(C499="","",C499-WEEKDAY(C499,2)+1)</f>
        <v/>
      </c>
      <c r="AW499" s="67" t="str">
        <f>IF(AV499="","",AV499+6)</f>
        <v/>
      </c>
      <c r="AX499" s="66" t="str">
        <f>IF(AV499="","",TEXT(AV499,"dd/mm/yyyy")&amp;" - "&amp;TEXT(AW499,"dd/mm/yyyy"))</f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>IF(B499="","",TEXT(AY499,"00")&amp;"|"&amp;B499&amp;"|"&amp;TEXT(AT499,"yyyymmdd"))</f>
        <v/>
      </c>
      <c r="BB499" s="66" t="str">
        <f>IF(B499="","",TEXT(AZ499,"00")&amp;"|"&amp;B499&amp;"|"&amp;TEXT(AV499,"yyyymmdd"))</f>
        <v/>
      </c>
      <c r="BC499" s="66">
        <f>IF(OR(AQ499="YES",AQ499="Yes",AQ499="Y",AQ499=1),1,0)</f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17">
        <f>SUM(H500,J500,L500,N500,P500,R500,T500,V500,X500,Z500,AB500,AD500,AF500,AH500,AJ500,AL500,AN500)</f>
        <v>0</v>
      </c>
      <c r="AT500" s="67" t="str">
        <f>IF(C500="","",DATE(YEAR(C500),MONTH(C500),1))</f>
        <v/>
      </c>
      <c r="AU500" s="66" t="str">
        <f>IF(AT500="","",TEXT(AT500,"mmmm yyyy"))</f>
        <v/>
      </c>
      <c r="AV500" s="67" t="str">
        <f>IF(C500="","",C500-WEEKDAY(C500,2)+1)</f>
        <v/>
      </c>
      <c r="AW500" s="67" t="str">
        <f>IF(AV500="","",AV500+6)</f>
        <v/>
      </c>
      <c r="AX500" s="66" t="str">
        <f>IF(AV500="","",TEXT(AV500,"dd/mm/yyyy")&amp;" - "&amp;TEXT(AW500,"dd/mm/yyyy"))</f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>IF(B500="","",TEXT(AY500,"00")&amp;"|"&amp;B500&amp;"|"&amp;TEXT(AT500,"yyyymmdd"))</f>
        <v/>
      </c>
      <c r="BB500" s="66" t="str">
        <f>IF(B500="","",TEXT(AZ500,"00")&amp;"|"&amp;B500&amp;"|"&amp;TEXT(AV500,"yyyymmdd"))</f>
        <v/>
      </c>
      <c r="BC500" s="66">
        <f>IF(OR(AQ500="YES",AQ500="Yes",AQ500="Y",AQ500=1),1,0)</f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17">
        <f>SUM(H501,J501,L501,N501,P501,R501,T501,V501,X501,Z501,AB501,AD501,AF501,AH501,AJ501,AL501,AN501)</f>
        <v>0</v>
      </c>
      <c r="AT501" s="67" t="str">
        <f>IF(C501="","",DATE(YEAR(C501),MONTH(C501),1))</f>
        <v/>
      </c>
      <c r="AU501" s="66" t="str">
        <f>IF(AT501="","",TEXT(AT501,"mmmm yyyy"))</f>
        <v/>
      </c>
      <c r="AV501" s="67" t="str">
        <f>IF(C501="","",C501-WEEKDAY(C501,2)+1)</f>
        <v/>
      </c>
      <c r="AW501" s="67" t="str">
        <f>IF(AV501="","",AV501+6)</f>
        <v/>
      </c>
      <c r="AX501" s="66" t="str">
        <f>IF(AV501="","",TEXT(AV501,"dd/mm/yyyy")&amp;" - "&amp;TEXT(AW501,"dd/mm/yyyy"))</f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>IF(B501="","",TEXT(AY501,"00")&amp;"|"&amp;B501&amp;"|"&amp;TEXT(AT501,"yyyymmdd"))</f>
        <v/>
      </c>
      <c r="BB501" s="66" t="str">
        <f>IF(B501="","",TEXT(AZ501,"00")&amp;"|"&amp;B501&amp;"|"&amp;TEXT(AV501,"yyyymmdd"))</f>
        <v/>
      </c>
      <c r="BC501" s="66">
        <f>IF(OR(AQ501="YES",AQ501="Yes",AQ501="Y",AQ501=1),1,0)</f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17">
        <f>SUM(H502,J502,L502,N502,P502,R502,T502,V502,X502,Z502,AB502,AD502,AF502,AH502,AJ502,AL502,AN502)</f>
        <v>0</v>
      </c>
      <c r="AT502" s="67" t="str">
        <f>IF(C502="","",DATE(YEAR(C502),MONTH(C502),1))</f>
        <v/>
      </c>
      <c r="AU502" s="66" t="str">
        <f>IF(AT502="","",TEXT(AT502,"mmmm yyyy"))</f>
        <v/>
      </c>
      <c r="AV502" s="67" t="str">
        <f>IF(C502="","",C502-WEEKDAY(C502,2)+1)</f>
        <v/>
      </c>
      <c r="AW502" s="67" t="str">
        <f>IF(AV502="","",AV502+6)</f>
        <v/>
      </c>
      <c r="AX502" s="66" t="str">
        <f>IF(AV502="","",TEXT(AV502,"dd/mm/yyyy")&amp;" - "&amp;TEXT(AW502,"dd/mm/yyyy"))</f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>IF(B502="","",TEXT(AY502,"00")&amp;"|"&amp;B502&amp;"|"&amp;TEXT(AT502,"yyyymmdd"))</f>
        <v/>
      </c>
      <c r="BB502" s="66" t="str">
        <f>IF(B502="","",TEXT(AZ502,"00")&amp;"|"&amp;B502&amp;"|"&amp;TEXT(AV502,"yyyymmdd"))</f>
        <v/>
      </c>
      <c r="BC502" s="66">
        <f>IF(OR(AQ502="YES",AQ502="Yes",AQ502="Y",AQ502=1),1,0)</f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17">
        <f>SUM(H503,J503,L503,N503,P503,R503,T503,V503,X503,Z503,AB503,AD503,AF503,AH503,AJ503,AL503,AN503)</f>
        <v>0</v>
      </c>
      <c r="AT503" s="67" t="str">
        <f>IF(C503="","",DATE(YEAR(C503),MONTH(C503),1))</f>
        <v/>
      </c>
      <c r="AU503" s="66" t="str">
        <f>IF(AT503="","",TEXT(AT503,"mmmm yyyy"))</f>
        <v/>
      </c>
      <c r="AV503" s="67" t="str">
        <f>IF(C503="","",C503-WEEKDAY(C503,2)+1)</f>
        <v/>
      </c>
      <c r="AW503" s="67" t="str">
        <f>IF(AV503="","",AV503+6)</f>
        <v/>
      </c>
      <c r="AX503" s="66" t="str">
        <f>IF(AV503="","",TEXT(AV503,"dd/mm/yyyy")&amp;" - "&amp;TEXT(AW503,"dd/mm/yyyy"))</f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>IF(B503="","",TEXT(AY503,"00")&amp;"|"&amp;B503&amp;"|"&amp;TEXT(AT503,"yyyymmdd"))</f>
        <v/>
      </c>
      <c r="BB503" s="66" t="str">
        <f>IF(B503="","",TEXT(AZ503,"00")&amp;"|"&amp;B503&amp;"|"&amp;TEXT(AV503,"yyyymmdd"))</f>
        <v/>
      </c>
      <c r="BC503" s="66">
        <f>IF(OR(AQ503="YES",AQ503="Yes",AQ503="Y",AQ503=1),1,0)</f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17">
        <f>SUM(H504,J504,L504,N504,P504,R504,T504,V504,X504,Z504,AB504,AD504,AF504,AH504,AJ504,AL504,AN504)</f>
        <v>0</v>
      </c>
      <c r="AT504" s="67" t="str">
        <f>IF(C504="","",DATE(YEAR(C504),MONTH(C504),1))</f>
        <v/>
      </c>
      <c r="AU504" s="66" t="str">
        <f>IF(AT504="","",TEXT(AT504,"mmmm yyyy"))</f>
        <v/>
      </c>
      <c r="AV504" s="67" t="str">
        <f>IF(C504="","",C504-WEEKDAY(C504,2)+1)</f>
        <v/>
      </c>
      <c r="AW504" s="67" t="str">
        <f>IF(AV504="","",AV504+6)</f>
        <v/>
      </c>
      <c r="AX504" s="66" t="str">
        <f>IF(AV504="","",TEXT(AV504,"dd/mm/yyyy")&amp;" - "&amp;TEXT(AW504,"dd/mm/yyyy"))</f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>IF(B504="","",TEXT(AY504,"00")&amp;"|"&amp;B504&amp;"|"&amp;TEXT(AT504,"yyyymmdd"))</f>
        <v/>
      </c>
      <c r="BB504" s="66" t="str">
        <f>IF(B504="","",TEXT(AZ504,"00")&amp;"|"&amp;B504&amp;"|"&amp;TEXT(AV504,"yyyymmdd"))</f>
        <v/>
      </c>
      <c r="BC504" s="66">
        <f>IF(OR(AQ504="YES",AQ504="Yes",AQ504="Y",AQ504=1),1,0)</f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17">
        <f>SUM(H505,J505,L505,N505,P505,R505,T505,V505,X505,Z505,AB505,AD505,AF505,AH505,AJ505,AL505,AN505)</f>
        <v>0</v>
      </c>
      <c r="AT505" s="67" t="str">
        <f>IF(C505="","",DATE(YEAR(C505),MONTH(C505),1))</f>
        <v/>
      </c>
      <c r="AU505" s="66" t="str">
        <f>IF(AT505="","",TEXT(AT505,"mmmm yyyy"))</f>
        <v/>
      </c>
      <c r="AV505" s="67" t="str">
        <f>IF(C505="","",C505-WEEKDAY(C505,2)+1)</f>
        <v/>
      </c>
      <c r="AW505" s="67" t="str">
        <f>IF(AV505="","",AV505+6)</f>
        <v/>
      </c>
      <c r="AX505" s="66" t="str">
        <f>IF(AV505="","",TEXT(AV505,"dd/mm/yyyy")&amp;" - "&amp;TEXT(AW505,"dd/mm/yyyy"))</f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>IF(B505="","",TEXT(AY505,"00")&amp;"|"&amp;B505&amp;"|"&amp;TEXT(AT505,"yyyymmdd"))</f>
        <v/>
      </c>
      <c r="BB505" s="66" t="str">
        <f>IF(B505="","",TEXT(AZ505,"00")&amp;"|"&amp;B505&amp;"|"&amp;TEXT(AV505,"yyyymmdd"))</f>
        <v/>
      </c>
      <c r="BC505" s="66">
        <f>IF(OR(AQ505="YES",AQ505="Yes",AQ505="Y",AQ505=1),1,0)</f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17">
        <f>SUM(H506,J506,L506,N506,P506,R506,T506,V506,X506,Z506,AB506,AD506,AF506,AH506,AJ506,AL506,AN506)</f>
        <v>0</v>
      </c>
      <c r="AT506" s="67" t="str">
        <f>IF(C506="","",DATE(YEAR(C506),MONTH(C506),1))</f>
        <v/>
      </c>
      <c r="AU506" s="66" t="str">
        <f>IF(AT506="","",TEXT(AT506,"mmmm yyyy"))</f>
        <v/>
      </c>
      <c r="AV506" s="67" t="str">
        <f>IF(C506="","",C506-WEEKDAY(C506,2)+1)</f>
        <v/>
      </c>
      <c r="AW506" s="67" t="str">
        <f>IF(AV506="","",AV506+6)</f>
        <v/>
      </c>
      <c r="AX506" s="66" t="str">
        <f>IF(AV506="","",TEXT(AV506,"dd/mm/yyyy")&amp;" - "&amp;TEXT(AW506,"dd/mm/yyyy"))</f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>IF(B506="","",TEXT(AY506,"00")&amp;"|"&amp;B506&amp;"|"&amp;TEXT(AT506,"yyyymmdd"))</f>
        <v/>
      </c>
      <c r="BB506" s="66" t="str">
        <f>IF(B506="","",TEXT(AZ506,"00")&amp;"|"&amp;B506&amp;"|"&amp;TEXT(AV506,"yyyymmdd"))</f>
        <v/>
      </c>
      <c r="BC506" s="66">
        <f>IF(OR(AQ506="YES",AQ506="Yes",AQ506="Y",AQ506=1),1,0)</f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17">
        <f>SUM(H507,J507,L507,N507,P507,R507,T507,V507,X507,Z507,AB507,AD507,AF507,AH507,AJ507,AL507,AN507)</f>
        <v>0</v>
      </c>
      <c r="AT507" s="67" t="str">
        <f>IF(C507="","",DATE(YEAR(C507),MONTH(C507),1))</f>
        <v/>
      </c>
      <c r="AU507" s="66" t="str">
        <f>IF(AT507="","",TEXT(AT507,"mmmm yyyy"))</f>
        <v/>
      </c>
      <c r="AV507" s="67" t="str">
        <f>IF(C507="","",C507-WEEKDAY(C507,2)+1)</f>
        <v/>
      </c>
      <c r="AW507" s="67" t="str">
        <f>IF(AV507="","",AV507+6)</f>
        <v/>
      </c>
      <c r="AX507" s="66" t="str">
        <f>IF(AV507="","",TEXT(AV507,"dd/mm/yyyy")&amp;" - "&amp;TEXT(AW507,"dd/mm/yyyy"))</f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>IF(B507="","",TEXT(AY507,"00")&amp;"|"&amp;B507&amp;"|"&amp;TEXT(AT507,"yyyymmdd"))</f>
        <v/>
      </c>
      <c r="BB507" s="66" t="str">
        <f>IF(B507="","",TEXT(AZ507,"00")&amp;"|"&amp;B507&amp;"|"&amp;TEXT(AV507,"yyyymmdd"))</f>
        <v/>
      </c>
      <c r="BC507" s="66">
        <f>IF(OR(AQ507="YES",AQ507="Yes",AQ507="Y",AQ507=1),1,0)</f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17">
        <f>SUM(H508,J508,L508,N508,P508,R508,T508,V508,X508,Z508,AB508,AD508,AF508,AH508,AJ508,AL508,AN508)</f>
        <v>0</v>
      </c>
      <c r="AT508" s="67" t="str">
        <f>IF(C508="","",DATE(YEAR(C508),MONTH(C508),1))</f>
        <v/>
      </c>
      <c r="AU508" s="66" t="str">
        <f>IF(AT508="","",TEXT(AT508,"mmmm yyyy"))</f>
        <v/>
      </c>
      <c r="AV508" s="67" t="str">
        <f>IF(C508="","",C508-WEEKDAY(C508,2)+1)</f>
        <v/>
      </c>
      <c r="AW508" s="67" t="str">
        <f>IF(AV508="","",AV508+6)</f>
        <v/>
      </c>
      <c r="AX508" s="66" t="str">
        <f>IF(AV508="","",TEXT(AV508,"dd/mm/yyyy")&amp;" - "&amp;TEXT(AW508,"dd/mm/yyyy"))</f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>IF(B508="","",TEXT(AY508,"00")&amp;"|"&amp;B508&amp;"|"&amp;TEXT(AT508,"yyyymmdd"))</f>
        <v/>
      </c>
      <c r="BB508" s="66" t="str">
        <f>IF(B508="","",TEXT(AZ508,"00")&amp;"|"&amp;B508&amp;"|"&amp;TEXT(AV508,"yyyymmdd"))</f>
        <v/>
      </c>
      <c r="BC508" s="66">
        <f>IF(OR(AQ508="YES",AQ508="Yes",AQ508="Y",AQ508=1),1,0)</f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17">
        <f>SUM(H509,J509,L509,N509,P509,R509,T509,V509,X509,Z509,AB509,AD509,AF509,AH509,AJ509,AL509,AN509)</f>
        <v>0</v>
      </c>
      <c r="AT509" s="67" t="str">
        <f>IF(C509="","",DATE(YEAR(C509),MONTH(C509),1))</f>
        <v/>
      </c>
      <c r="AU509" s="66" t="str">
        <f>IF(AT509="","",TEXT(AT509,"mmmm yyyy"))</f>
        <v/>
      </c>
      <c r="AV509" s="67" t="str">
        <f>IF(C509="","",C509-WEEKDAY(C509,2)+1)</f>
        <v/>
      </c>
      <c r="AW509" s="67" t="str">
        <f>IF(AV509="","",AV509+6)</f>
        <v/>
      </c>
      <c r="AX509" s="66" t="str">
        <f>IF(AV509="","",TEXT(AV509,"dd/mm/yyyy")&amp;" - "&amp;TEXT(AW509,"dd/mm/yyyy"))</f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>IF(B509="","",TEXT(AY509,"00")&amp;"|"&amp;B509&amp;"|"&amp;TEXT(AT509,"yyyymmdd"))</f>
        <v/>
      </c>
      <c r="BB509" s="66" t="str">
        <f>IF(B509="","",TEXT(AZ509,"00")&amp;"|"&amp;B509&amp;"|"&amp;TEXT(AV509,"yyyymmdd"))</f>
        <v/>
      </c>
      <c r="BC509" s="66">
        <f>IF(OR(AQ509="YES",AQ509="Yes",AQ509="Y",AQ509=1),1,0)</f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17">
        <f>SUM(H510,J510,L510,N510,P510,R510,T510,V510,X510,Z510,AB510,AD510,AF510,AH510,AJ510,AL510,AN510)</f>
        <v>0</v>
      </c>
      <c r="AT510" s="67" t="str">
        <f>IF(C510="","",DATE(YEAR(C510),MONTH(C510),1))</f>
        <v/>
      </c>
      <c r="AU510" s="66" t="str">
        <f>IF(AT510="","",TEXT(AT510,"mmmm yyyy"))</f>
        <v/>
      </c>
      <c r="AV510" s="67" t="str">
        <f>IF(C510="","",C510-WEEKDAY(C510,2)+1)</f>
        <v/>
      </c>
      <c r="AW510" s="67" t="str">
        <f>IF(AV510="","",AV510+6)</f>
        <v/>
      </c>
      <c r="AX510" s="66" t="str">
        <f>IF(AV510="","",TEXT(AV510,"dd/mm/yyyy")&amp;" - "&amp;TEXT(AW510,"dd/mm/yyyy"))</f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>IF(B510="","",TEXT(AY510,"00")&amp;"|"&amp;B510&amp;"|"&amp;TEXT(AT510,"yyyymmdd"))</f>
        <v/>
      </c>
      <c r="BB510" s="66" t="str">
        <f>IF(B510="","",TEXT(AZ510,"00")&amp;"|"&amp;B510&amp;"|"&amp;TEXT(AV510,"yyyymmdd"))</f>
        <v/>
      </c>
      <c r="BC510" s="66">
        <f>IF(OR(AQ510="YES",AQ510="Yes",AQ510="Y",AQ510=1),1,0)</f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17">
        <f>SUM(H511,J511,L511,N511,P511,R511,T511,V511,X511,Z511,AB511,AD511,AF511,AH511,AJ511,AL511,AN511)</f>
        <v>0</v>
      </c>
      <c r="AT511" s="67" t="str">
        <f>IF(C511="","",DATE(YEAR(C511),MONTH(C511),1))</f>
        <v/>
      </c>
      <c r="AU511" s="66" t="str">
        <f>IF(AT511="","",TEXT(AT511,"mmmm yyyy"))</f>
        <v/>
      </c>
      <c r="AV511" s="67" t="str">
        <f>IF(C511="","",C511-WEEKDAY(C511,2)+1)</f>
        <v/>
      </c>
      <c r="AW511" s="67" t="str">
        <f>IF(AV511="","",AV511+6)</f>
        <v/>
      </c>
      <c r="AX511" s="66" t="str">
        <f>IF(AV511="","",TEXT(AV511,"dd/mm/yyyy")&amp;" - "&amp;TEXT(AW511,"dd/mm/yyyy"))</f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>IF(B511="","",TEXT(AY511,"00")&amp;"|"&amp;B511&amp;"|"&amp;TEXT(AT511,"yyyymmdd"))</f>
        <v/>
      </c>
      <c r="BB511" s="66" t="str">
        <f>IF(B511="","",TEXT(AZ511,"00")&amp;"|"&amp;B511&amp;"|"&amp;TEXT(AV511,"yyyymmdd"))</f>
        <v/>
      </c>
      <c r="BC511" s="66">
        <f>IF(OR(AQ511="YES",AQ511="Yes",AQ511="Y",AQ511=1),1,0)</f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17">
        <f>SUM(H512,J512,L512,N512,P512,R512,T512,V512,X512,Z512,AB512,AD512,AF512,AH512,AJ512,AL512,AN512)</f>
        <v>0</v>
      </c>
      <c r="AT512" s="67" t="str">
        <f>IF(C512="","",DATE(YEAR(C512),MONTH(C512),1))</f>
        <v/>
      </c>
      <c r="AU512" s="66" t="str">
        <f>IF(AT512="","",TEXT(AT512,"mmmm yyyy"))</f>
        <v/>
      </c>
      <c r="AV512" s="67" t="str">
        <f>IF(C512="","",C512-WEEKDAY(C512,2)+1)</f>
        <v/>
      </c>
      <c r="AW512" s="67" t="str">
        <f>IF(AV512="","",AV512+6)</f>
        <v/>
      </c>
      <c r="AX512" s="66" t="str">
        <f>IF(AV512="","",TEXT(AV512,"dd/mm/yyyy")&amp;" - "&amp;TEXT(AW512,"dd/mm/yyyy"))</f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>IF(B512="","",TEXT(AY512,"00")&amp;"|"&amp;B512&amp;"|"&amp;TEXT(AT512,"yyyymmdd"))</f>
        <v/>
      </c>
      <c r="BB512" s="66" t="str">
        <f>IF(B512="","",TEXT(AZ512,"00")&amp;"|"&amp;B512&amp;"|"&amp;TEXT(AV512,"yyyymmdd"))</f>
        <v/>
      </c>
      <c r="BC512" s="66">
        <f>IF(OR(AQ512="YES",AQ512="Yes",AQ512="Y",AQ512=1),1,0)</f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17">
        <f>SUM(H513,J513,L513,N513,P513,R513,T513,V513,X513,Z513,AB513,AD513,AF513,AH513,AJ513,AL513,AN513)</f>
        <v>0</v>
      </c>
      <c r="AT513" s="67" t="str">
        <f>IF(C513="","",DATE(YEAR(C513),MONTH(C513),1))</f>
        <v/>
      </c>
      <c r="AU513" s="66" t="str">
        <f>IF(AT513="","",TEXT(AT513,"mmmm yyyy"))</f>
        <v/>
      </c>
      <c r="AV513" s="67" t="str">
        <f>IF(C513="","",C513-WEEKDAY(C513,2)+1)</f>
        <v/>
      </c>
      <c r="AW513" s="67" t="str">
        <f>IF(AV513="","",AV513+6)</f>
        <v/>
      </c>
      <c r="AX513" s="66" t="str">
        <f>IF(AV513="","",TEXT(AV513,"dd/mm/yyyy")&amp;" - "&amp;TEXT(AW513,"dd/mm/yyyy"))</f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>IF(B513="","",TEXT(AY513,"00")&amp;"|"&amp;B513&amp;"|"&amp;TEXT(AT513,"yyyymmdd"))</f>
        <v/>
      </c>
      <c r="BB513" s="66" t="str">
        <f>IF(B513="","",TEXT(AZ513,"00")&amp;"|"&amp;B513&amp;"|"&amp;TEXT(AV513,"yyyymmdd"))</f>
        <v/>
      </c>
      <c r="BC513" s="66">
        <f>IF(OR(AQ513="YES",AQ513="Yes",AQ513="Y",AQ513=1),1,0)</f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17">
        <f>SUM(H514,J514,L514,N514,P514,R514,T514,V514,X514,Z514,AB514,AD514,AF514,AH514,AJ514,AL514,AN514)</f>
        <v>0</v>
      </c>
      <c r="AT514" s="67" t="str">
        <f>IF(C514="","",DATE(YEAR(C514),MONTH(C514),1))</f>
        <v/>
      </c>
      <c r="AU514" s="66" t="str">
        <f>IF(AT514="","",TEXT(AT514,"mmmm yyyy"))</f>
        <v/>
      </c>
      <c r="AV514" s="67" t="str">
        <f>IF(C514="","",C514-WEEKDAY(C514,2)+1)</f>
        <v/>
      </c>
      <c r="AW514" s="67" t="str">
        <f>IF(AV514="","",AV514+6)</f>
        <v/>
      </c>
      <c r="AX514" s="66" t="str">
        <f>IF(AV514="","",TEXT(AV514,"dd/mm/yyyy")&amp;" - "&amp;TEXT(AW514,"dd/mm/yyyy"))</f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>IF(B514="","",TEXT(AY514,"00")&amp;"|"&amp;B514&amp;"|"&amp;TEXT(AT514,"yyyymmdd"))</f>
        <v/>
      </c>
      <c r="BB514" s="66" t="str">
        <f>IF(B514="","",TEXT(AZ514,"00")&amp;"|"&amp;B514&amp;"|"&amp;TEXT(AV514,"yyyymmdd"))</f>
        <v/>
      </c>
      <c r="BC514" s="66">
        <f>IF(OR(AQ514="YES",AQ514="Yes",AQ514="Y",AQ514=1),1,0)</f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17">
        <f>SUM(H515,J515,L515,N515,P515,R515,T515,V515,X515,Z515,AB515,AD515,AF515,AH515,AJ515,AL515,AN515)</f>
        <v>0</v>
      </c>
      <c r="AT515" s="67" t="str">
        <f>IF(C515="","",DATE(YEAR(C515),MONTH(C515),1))</f>
        <v/>
      </c>
      <c r="AU515" s="66" t="str">
        <f>IF(AT515="","",TEXT(AT515,"mmmm yyyy"))</f>
        <v/>
      </c>
      <c r="AV515" s="67" t="str">
        <f>IF(C515="","",C515-WEEKDAY(C515,2)+1)</f>
        <v/>
      </c>
      <c r="AW515" s="67" t="str">
        <f>IF(AV515="","",AV515+6)</f>
        <v/>
      </c>
      <c r="AX515" s="66" t="str">
        <f>IF(AV515="","",TEXT(AV515,"dd/mm/yyyy")&amp;" - "&amp;TEXT(AW515,"dd/mm/yyyy"))</f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>IF(B515="","",TEXT(AY515,"00")&amp;"|"&amp;B515&amp;"|"&amp;TEXT(AT515,"yyyymmdd"))</f>
        <v/>
      </c>
      <c r="BB515" s="66" t="str">
        <f>IF(B515="","",TEXT(AZ515,"00")&amp;"|"&amp;B515&amp;"|"&amp;TEXT(AV515,"yyyymmdd"))</f>
        <v/>
      </c>
      <c r="BC515" s="66">
        <f>IF(OR(AQ515="YES",AQ515="Yes",AQ515="Y",AQ515=1),1,0)</f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17">
        <f>SUM(H516,J516,L516,N516,P516,R516,T516,V516,X516,Z516,AB516,AD516,AF516,AH516,AJ516,AL516,AN516)</f>
        <v>0</v>
      </c>
      <c r="AT516" s="67" t="str">
        <f>IF(C516="","",DATE(YEAR(C516),MONTH(C516),1))</f>
        <v/>
      </c>
      <c r="AU516" s="66" t="str">
        <f>IF(AT516="","",TEXT(AT516,"mmmm yyyy"))</f>
        <v/>
      </c>
      <c r="AV516" s="67" t="str">
        <f>IF(C516="","",C516-WEEKDAY(C516,2)+1)</f>
        <v/>
      </c>
      <c r="AW516" s="67" t="str">
        <f>IF(AV516="","",AV516+6)</f>
        <v/>
      </c>
      <c r="AX516" s="66" t="str">
        <f>IF(AV516="","",TEXT(AV516,"dd/mm/yyyy")&amp;" - "&amp;TEXT(AW516,"dd/mm/yyyy"))</f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>IF(B516="","",TEXT(AY516,"00")&amp;"|"&amp;B516&amp;"|"&amp;TEXT(AT516,"yyyymmdd"))</f>
        <v/>
      </c>
      <c r="BB516" s="66" t="str">
        <f>IF(B516="","",TEXT(AZ516,"00")&amp;"|"&amp;B516&amp;"|"&amp;TEXT(AV516,"yyyymmdd"))</f>
        <v/>
      </c>
      <c r="BC516" s="66">
        <f>IF(OR(AQ516="YES",AQ516="Yes",AQ516="Y",AQ516=1),1,0)</f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17">
        <f>SUM(H517,J517,L517,N517,P517,R517,T517,V517,X517,Z517,AB517,AD517,AF517,AH517,AJ517,AL517,AN517)</f>
        <v>0</v>
      </c>
      <c r="AT517" s="67" t="str">
        <f>IF(C517="","",DATE(YEAR(C517),MONTH(C517),1))</f>
        <v/>
      </c>
      <c r="AU517" s="66" t="str">
        <f>IF(AT517="","",TEXT(AT517,"mmmm yyyy"))</f>
        <v/>
      </c>
      <c r="AV517" s="67" t="str">
        <f>IF(C517="","",C517-WEEKDAY(C517,2)+1)</f>
        <v/>
      </c>
      <c r="AW517" s="67" t="str">
        <f>IF(AV517="","",AV517+6)</f>
        <v/>
      </c>
      <c r="AX517" s="66" t="str">
        <f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>IF(B517="","",TEXT(AY517,"00")&amp;"|"&amp;B517&amp;"|"&amp;TEXT(AT517,"yyyymmdd"))</f>
        <v/>
      </c>
      <c r="BB517" s="66" t="str">
        <f>IF(B517="","",TEXT(AZ517,"00")&amp;"|"&amp;B517&amp;"|"&amp;TEXT(AV517,"yyyymmdd"))</f>
        <v/>
      </c>
      <c r="BC517" s="66">
        <f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17">
        <f>SUM(H518,J518,L518,N518,P518,R518,T518,V518,X518,Z518,AB518,AD518,AF518,AH518,AJ518,AL518,AN518)</f>
        <v>0</v>
      </c>
      <c r="AT518" s="67" t="str">
        <f>IF(C518="","",DATE(YEAR(C518),MONTH(C518),1))</f>
        <v/>
      </c>
      <c r="AU518" s="66" t="str">
        <f>IF(AT518="","",TEXT(AT518,"mmmm yyyy"))</f>
        <v/>
      </c>
      <c r="AV518" s="67" t="str">
        <f>IF(C518="","",C518-WEEKDAY(C518,2)+1)</f>
        <v/>
      </c>
      <c r="AW518" s="67" t="str">
        <f>IF(AV518="","",AV518+6)</f>
        <v/>
      </c>
      <c r="AX518" s="66" t="str">
        <f>IF(AV518="","",TEXT(AV518,"dd/mm/yyyy")&amp;" - "&amp;TEXT(AW518,"dd/mm/yyyy"))</f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>IF(B518="","",TEXT(AY518,"00")&amp;"|"&amp;B518&amp;"|"&amp;TEXT(AT518,"yyyymmdd"))</f>
        <v/>
      </c>
      <c r="BB518" s="66" t="str">
        <f>IF(B518="","",TEXT(AZ518,"00")&amp;"|"&amp;B518&amp;"|"&amp;TEXT(AV518,"yyyymmdd"))</f>
        <v/>
      </c>
      <c r="BC518" s="66">
        <f>IF(OR(AQ518="YES",AQ518="Yes",AQ518="Y",AQ518=1),1,0)</f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17">
        <f>SUM(H519,J519,L519,N519,P519,R519,T519,V519,X519,Z519,AB519,AD519,AF519,AH519,AJ519,AL519,AN519)</f>
        <v>0</v>
      </c>
      <c r="AT519" s="67" t="str">
        <f>IF(C519="","",DATE(YEAR(C519),MONTH(C519),1))</f>
        <v/>
      </c>
      <c r="AU519" s="66" t="str">
        <f>IF(AT519="","",TEXT(AT519,"mmmm yyyy"))</f>
        <v/>
      </c>
      <c r="AV519" s="67" t="str">
        <f>IF(C519="","",C519-WEEKDAY(C519,2)+1)</f>
        <v/>
      </c>
      <c r="AW519" s="67" t="str">
        <f>IF(AV519="","",AV519+6)</f>
        <v/>
      </c>
      <c r="AX519" s="66" t="str">
        <f>IF(AV519="","",TEXT(AV519,"dd/mm/yyyy")&amp;" - "&amp;TEXT(AW519,"dd/mm/yyyy"))</f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>IF(B519="","",TEXT(AY519,"00")&amp;"|"&amp;B519&amp;"|"&amp;TEXT(AT519,"yyyymmdd"))</f>
        <v/>
      </c>
      <c r="BB519" s="66" t="str">
        <f>IF(B519="","",TEXT(AZ519,"00")&amp;"|"&amp;B519&amp;"|"&amp;TEXT(AV519,"yyyymmdd"))</f>
        <v/>
      </c>
      <c r="BC519" s="66">
        <f>IF(OR(AQ519="YES",AQ519="Yes",AQ519="Y",AQ519=1),1,0)</f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17">
        <f>SUM(H520,J520,L520,N520,P520,R520,T520,V520,X520,Z520,AB520,AD520,AF520,AH520,AJ520,AL520,AN520)</f>
        <v>0</v>
      </c>
      <c r="AT520" s="67" t="str">
        <f>IF(C520="","",DATE(YEAR(C520),MONTH(C520),1))</f>
        <v/>
      </c>
      <c r="AU520" s="66" t="str">
        <f>IF(AT520="","",TEXT(AT520,"mmmm yyyy"))</f>
        <v/>
      </c>
      <c r="AV520" s="67" t="str">
        <f>IF(C520="","",C520-WEEKDAY(C520,2)+1)</f>
        <v/>
      </c>
      <c r="AW520" s="67" t="str">
        <f>IF(AV520="","",AV520+6)</f>
        <v/>
      </c>
      <c r="AX520" s="66" t="str">
        <f>IF(AV520="","",TEXT(AV520,"dd/mm/yyyy")&amp;" - "&amp;TEXT(AW520,"dd/mm/yyyy"))</f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>IF(B520="","",TEXT(AY520,"00")&amp;"|"&amp;B520&amp;"|"&amp;TEXT(AT520,"yyyymmdd"))</f>
        <v/>
      </c>
      <c r="BB520" s="66" t="str">
        <f>IF(B520="","",TEXT(AZ520,"00")&amp;"|"&amp;B520&amp;"|"&amp;TEXT(AV520,"yyyymmdd"))</f>
        <v/>
      </c>
      <c r="BC520" s="66">
        <f>IF(OR(AQ520="YES",AQ520="Yes",AQ520="Y",AQ520=1),1,0)</f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17">
        <f>SUM(H521,J521,L521,N521,P521,R521,T521,V521,X521,Z521,AB521,AD521,AF521,AH521,AJ521,AL521,AN521)</f>
        <v>0</v>
      </c>
      <c r="AT521" s="67" t="str">
        <f>IF(C521="","",DATE(YEAR(C521),MONTH(C521),1))</f>
        <v/>
      </c>
      <c r="AU521" s="66" t="str">
        <f>IF(AT521="","",TEXT(AT521,"mmmm yyyy"))</f>
        <v/>
      </c>
      <c r="AV521" s="67" t="str">
        <f>IF(C521="","",C521-WEEKDAY(C521,2)+1)</f>
        <v/>
      </c>
      <c r="AW521" s="67" t="str">
        <f>IF(AV521="","",AV521+6)</f>
        <v/>
      </c>
      <c r="AX521" s="66" t="str">
        <f>IF(AV521="","",TEXT(AV521,"dd/mm/yyyy")&amp;" - "&amp;TEXT(AW521,"dd/mm/yyyy"))</f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>IF(B521="","",TEXT(AY521,"00")&amp;"|"&amp;B521&amp;"|"&amp;TEXT(AT521,"yyyymmdd"))</f>
        <v/>
      </c>
      <c r="BB521" s="66" t="str">
        <f>IF(B521="","",TEXT(AZ521,"00")&amp;"|"&amp;B521&amp;"|"&amp;TEXT(AV521,"yyyymmdd"))</f>
        <v/>
      </c>
      <c r="BC521" s="66">
        <f>IF(OR(AQ521="YES",AQ521="Yes",AQ521="Y",AQ521=1),1,0)</f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17">
        <f>SUM(H522,J522,L522,N522,P522,R522,T522,V522,X522,Z522,AB522,AD522,AF522,AH522,AJ522,AL522,AN522)</f>
        <v>0</v>
      </c>
      <c r="AT522" s="67" t="str">
        <f>IF(C522="","",DATE(YEAR(C522),MONTH(C522),1))</f>
        <v/>
      </c>
      <c r="AU522" s="66" t="str">
        <f>IF(AT522="","",TEXT(AT522,"mmmm yyyy"))</f>
        <v/>
      </c>
      <c r="AV522" s="67" t="str">
        <f>IF(C522="","",C522-WEEKDAY(C522,2)+1)</f>
        <v/>
      </c>
      <c r="AW522" s="67" t="str">
        <f>IF(AV522="","",AV522+6)</f>
        <v/>
      </c>
      <c r="AX522" s="66" t="str">
        <f>IF(AV522="","",TEXT(AV522,"dd/mm/yyyy")&amp;" - "&amp;TEXT(AW522,"dd/mm/yyyy"))</f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>IF(B522="","",TEXT(AY522,"00")&amp;"|"&amp;B522&amp;"|"&amp;TEXT(AT522,"yyyymmdd"))</f>
        <v/>
      </c>
      <c r="BB522" s="66" t="str">
        <f>IF(B522="","",TEXT(AZ522,"00")&amp;"|"&amp;B522&amp;"|"&amp;TEXT(AV522,"yyyymmdd"))</f>
        <v/>
      </c>
      <c r="BC522" s="66">
        <f>IF(OR(AQ522="YES",AQ522="Yes",AQ522="Y",AQ522=1),1,0)</f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17">
        <f>SUM(H523,J523,L523,N523,P523,R523,T523,V523,X523,Z523,AB523,AD523,AF523,AH523,AJ523,AL523,AN523)</f>
        <v>0</v>
      </c>
      <c r="AT523" s="67" t="str">
        <f>IF(C523="","",DATE(YEAR(C523),MONTH(C523),1))</f>
        <v/>
      </c>
      <c r="AU523" s="66" t="str">
        <f>IF(AT523="","",TEXT(AT523,"mmmm yyyy"))</f>
        <v/>
      </c>
      <c r="AV523" s="67" t="str">
        <f>IF(C523="","",C523-WEEKDAY(C523,2)+1)</f>
        <v/>
      </c>
      <c r="AW523" s="67" t="str">
        <f>IF(AV523="","",AV523+6)</f>
        <v/>
      </c>
      <c r="AX523" s="66" t="str">
        <f>IF(AV523="","",TEXT(AV523,"dd/mm/yyyy")&amp;" - "&amp;TEXT(AW523,"dd/mm/yyyy"))</f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>IF(B523="","",TEXT(AY523,"00")&amp;"|"&amp;B523&amp;"|"&amp;TEXT(AT523,"yyyymmdd"))</f>
        <v/>
      </c>
      <c r="BB523" s="66" t="str">
        <f>IF(B523="","",TEXT(AZ523,"00")&amp;"|"&amp;B523&amp;"|"&amp;TEXT(AV523,"yyyymmdd"))</f>
        <v/>
      </c>
      <c r="BC523" s="66">
        <f>IF(OR(AQ523="YES",AQ523="Yes",AQ523="Y",AQ523=1),1,0)</f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17">
        <f>SUM(H524,J524,L524,N524,P524,R524,T524,V524,X524,Z524,AB524,AD524,AF524,AH524,AJ524,AL524,AN524)</f>
        <v>0</v>
      </c>
      <c r="AT524" s="67" t="str">
        <f>IF(C524="","",DATE(YEAR(C524),MONTH(C524),1))</f>
        <v/>
      </c>
      <c r="AU524" s="66" t="str">
        <f>IF(AT524="","",TEXT(AT524,"mmmm yyyy"))</f>
        <v/>
      </c>
      <c r="AV524" s="67" t="str">
        <f>IF(C524="","",C524-WEEKDAY(C524,2)+1)</f>
        <v/>
      </c>
      <c r="AW524" s="67" t="str">
        <f>IF(AV524="","",AV524+6)</f>
        <v/>
      </c>
      <c r="AX524" s="66" t="str">
        <f>IF(AV524="","",TEXT(AV524,"dd/mm/yyyy")&amp;" - "&amp;TEXT(AW524,"dd/mm/yyyy"))</f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>IF(B524="","",TEXT(AY524,"00")&amp;"|"&amp;B524&amp;"|"&amp;TEXT(AT524,"yyyymmdd"))</f>
        <v/>
      </c>
      <c r="BB524" s="66" t="str">
        <f>IF(B524="","",TEXT(AZ524,"00")&amp;"|"&amp;B524&amp;"|"&amp;TEXT(AV524,"yyyymmdd"))</f>
        <v/>
      </c>
      <c r="BC524" s="66">
        <f>IF(OR(AQ524="YES",AQ524="Yes",AQ524="Y",AQ524=1),1,0)</f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17">
        <f>SUM(H525,J525,L525,N525,P525,R525,T525,V525,X525,Z525,AB525,AD525,AF525,AH525,AJ525,AL525,AN525)</f>
        <v>0</v>
      </c>
      <c r="AT525" s="67" t="str">
        <f>IF(C525="","",DATE(YEAR(C525),MONTH(C525),1))</f>
        <v/>
      </c>
      <c r="AU525" s="66" t="str">
        <f>IF(AT525="","",TEXT(AT525,"mmmm yyyy"))</f>
        <v/>
      </c>
      <c r="AV525" s="67" t="str">
        <f>IF(C525="","",C525-WEEKDAY(C525,2)+1)</f>
        <v/>
      </c>
      <c r="AW525" s="67" t="str">
        <f>IF(AV525="","",AV525+6)</f>
        <v/>
      </c>
      <c r="AX525" s="66" t="str">
        <f>IF(AV525="","",TEXT(AV525,"dd/mm/yyyy")&amp;" - "&amp;TEXT(AW525,"dd/mm/yyyy"))</f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>IF(B525="","",TEXT(AY525,"00")&amp;"|"&amp;B525&amp;"|"&amp;TEXT(AT525,"yyyymmdd"))</f>
        <v/>
      </c>
      <c r="BB525" s="66" t="str">
        <f>IF(B525="","",TEXT(AZ525,"00")&amp;"|"&amp;B525&amp;"|"&amp;TEXT(AV525,"yyyymmdd"))</f>
        <v/>
      </c>
      <c r="BC525" s="66">
        <f>IF(OR(AQ525="YES",AQ525="Yes",AQ525="Y",AQ525=1),1,0)</f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17">
        <f>SUM(H526,J526,L526,N526,P526,R526,T526,V526,X526,Z526,AB526,AD526,AF526,AH526,AJ526,AL526,AN526)</f>
        <v>0</v>
      </c>
      <c r="AT526" s="67" t="str">
        <f>IF(C526="","",DATE(YEAR(C526),MONTH(C526),1))</f>
        <v/>
      </c>
      <c r="AU526" s="66" t="str">
        <f>IF(AT526="","",TEXT(AT526,"mmmm yyyy"))</f>
        <v/>
      </c>
      <c r="AV526" s="67" t="str">
        <f>IF(C526="","",C526-WEEKDAY(C526,2)+1)</f>
        <v/>
      </c>
      <c r="AW526" s="67" t="str">
        <f>IF(AV526="","",AV526+6)</f>
        <v/>
      </c>
      <c r="AX526" s="66" t="str">
        <f>IF(AV526="","",TEXT(AV526,"dd/mm/yyyy")&amp;" - "&amp;TEXT(AW526,"dd/mm/yyyy"))</f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>IF(B526="","",TEXT(AY526,"00")&amp;"|"&amp;B526&amp;"|"&amp;TEXT(AT526,"yyyymmdd"))</f>
        <v/>
      </c>
      <c r="BB526" s="66" t="str">
        <f>IF(B526="","",TEXT(AZ526,"00")&amp;"|"&amp;B526&amp;"|"&amp;TEXT(AV526,"yyyymmdd"))</f>
        <v/>
      </c>
      <c r="BC526" s="66">
        <f>IF(OR(AQ526="YES",AQ526="Yes",AQ526="Y",AQ526=1),1,0)</f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17">
        <f>SUM(H527,J527,L527,N527,P527,R527,T527,V527,X527,Z527,AB527,AD527,AF527,AH527,AJ527,AL527,AN527)</f>
        <v>0</v>
      </c>
      <c r="AT527" s="67" t="str">
        <f>IF(C527="","",DATE(YEAR(C527),MONTH(C527),1))</f>
        <v/>
      </c>
      <c r="AU527" s="66" t="str">
        <f>IF(AT527="","",TEXT(AT527,"mmmm yyyy"))</f>
        <v/>
      </c>
      <c r="AV527" s="67" t="str">
        <f>IF(C527="","",C527-WEEKDAY(C527,2)+1)</f>
        <v/>
      </c>
      <c r="AW527" s="67" t="str">
        <f>IF(AV527="","",AV527+6)</f>
        <v/>
      </c>
      <c r="AX527" s="66" t="str">
        <f>IF(AV527="","",TEXT(AV527,"dd/mm/yyyy")&amp;" - "&amp;TEXT(AW527,"dd/mm/yyyy"))</f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>IF(B527="","",TEXT(AY527,"00")&amp;"|"&amp;B527&amp;"|"&amp;TEXT(AT527,"yyyymmdd"))</f>
        <v/>
      </c>
      <c r="BB527" s="66" t="str">
        <f>IF(B527="","",TEXT(AZ527,"00")&amp;"|"&amp;B527&amp;"|"&amp;TEXT(AV527,"yyyymmdd"))</f>
        <v/>
      </c>
      <c r="BC527" s="66">
        <f>IF(OR(AQ527="YES",AQ527="Yes",AQ527="Y",AQ527=1),1,0)</f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17">
        <f>SUM(H528,J528,L528,N528,P528,R528,T528,V528,X528,Z528,AB528,AD528,AF528,AH528,AJ528,AL528,AN528)</f>
        <v>0</v>
      </c>
      <c r="AT528" s="67" t="str">
        <f>IF(C528="","",DATE(YEAR(C528),MONTH(C528),1))</f>
        <v/>
      </c>
      <c r="AU528" s="66" t="str">
        <f>IF(AT528="","",TEXT(AT528,"mmmm yyyy"))</f>
        <v/>
      </c>
      <c r="AV528" s="67" t="str">
        <f>IF(C528="","",C528-WEEKDAY(C528,2)+1)</f>
        <v/>
      </c>
      <c r="AW528" s="67" t="str">
        <f>IF(AV528="","",AV528+6)</f>
        <v/>
      </c>
      <c r="AX528" s="66" t="str">
        <f>IF(AV528="","",TEXT(AV528,"dd/mm/yyyy")&amp;" - "&amp;TEXT(AW528,"dd/mm/yyyy"))</f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>IF(B528="","",TEXT(AY528,"00")&amp;"|"&amp;B528&amp;"|"&amp;TEXT(AT528,"yyyymmdd"))</f>
        <v/>
      </c>
      <c r="BB528" s="66" t="str">
        <f>IF(B528="","",TEXT(AZ528,"00")&amp;"|"&amp;B528&amp;"|"&amp;TEXT(AV528,"yyyymmdd"))</f>
        <v/>
      </c>
      <c r="BC528" s="66">
        <f>IF(OR(AQ528="YES",AQ528="Yes",AQ528="Y",AQ528=1),1,0)</f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17">
        <f>SUM(H529,J529,L529,N529,P529,R529,T529,V529,X529,Z529,AB529,AD529,AF529,AH529,AJ529,AL529,AN529)</f>
        <v>0</v>
      </c>
      <c r="AT529" s="67" t="str">
        <f>IF(C529="","",DATE(YEAR(C529),MONTH(C529),1))</f>
        <v/>
      </c>
      <c r="AU529" s="66" t="str">
        <f>IF(AT529="","",TEXT(AT529,"mmmm yyyy"))</f>
        <v/>
      </c>
      <c r="AV529" s="67" t="str">
        <f>IF(C529="","",C529-WEEKDAY(C529,2)+1)</f>
        <v/>
      </c>
      <c r="AW529" s="67" t="str">
        <f>IF(AV529="","",AV529+6)</f>
        <v/>
      </c>
      <c r="AX529" s="66" t="str">
        <f>IF(AV529="","",TEXT(AV529,"dd/mm/yyyy")&amp;" - "&amp;TEXT(AW529,"dd/mm/yyyy"))</f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>IF(B529="","",TEXT(AY529,"00")&amp;"|"&amp;B529&amp;"|"&amp;TEXT(AT529,"yyyymmdd"))</f>
        <v/>
      </c>
      <c r="BB529" s="66" t="str">
        <f>IF(B529="","",TEXT(AZ529,"00")&amp;"|"&amp;B529&amp;"|"&amp;TEXT(AV529,"yyyymmdd"))</f>
        <v/>
      </c>
      <c r="BC529" s="66">
        <f>IF(OR(AQ529="YES",AQ529="Yes",AQ529="Y",AQ529=1),1,0)</f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17">
        <f>SUM(H530,J530,L530,N530,P530,R530,T530,V530,X530,Z530,AB530,AD530,AF530,AH530,AJ530,AL530,AN530)</f>
        <v>0</v>
      </c>
      <c r="AT530" s="67" t="str">
        <f>IF(C530="","",DATE(YEAR(C530),MONTH(C530),1))</f>
        <v/>
      </c>
      <c r="AU530" s="66" t="str">
        <f>IF(AT530="","",TEXT(AT530,"mmmm yyyy"))</f>
        <v/>
      </c>
      <c r="AV530" s="67" t="str">
        <f>IF(C530="","",C530-WEEKDAY(C530,2)+1)</f>
        <v/>
      </c>
      <c r="AW530" s="67" t="str">
        <f>IF(AV530="","",AV530+6)</f>
        <v/>
      </c>
      <c r="AX530" s="66" t="str">
        <f>IF(AV530="","",TEXT(AV530,"dd/mm/yyyy")&amp;" - "&amp;TEXT(AW530,"dd/mm/yyyy"))</f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>IF(B530="","",TEXT(AY530,"00")&amp;"|"&amp;B530&amp;"|"&amp;TEXT(AT530,"yyyymmdd"))</f>
        <v/>
      </c>
      <c r="BB530" s="66" t="str">
        <f>IF(B530="","",TEXT(AZ530,"00")&amp;"|"&amp;B530&amp;"|"&amp;TEXT(AV530,"yyyymmdd"))</f>
        <v/>
      </c>
      <c r="BC530" s="66">
        <f>IF(OR(AQ530="YES",AQ530="Yes",AQ530="Y",AQ530=1),1,0)</f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17">
        <f>SUM(H531,J531,L531,N531,P531,R531,T531,V531,X531,Z531,AB531,AD531,AF531,AH531,AJ531,AL531,AN531)</f>
        <v>0</v>
      </c>
      <c r="AT531" s="67" t="str">
        <f>IF(C531="","",DATE(YEAR(C531),MONTH(C531),1))</f>
        <v/>
      </c>
      <c r="AU531" s="66" t="str">
        <f>IF(AT531="","",TEXT(AT531,"mmmm yyyy"))</f>
        <v/>
      </c>
      <c r="AV531" s="67" t="str">
        <f>IF(C531="","",C531-WEEKDAY(C531,2)+1)</f>
        <v/>
      </c>
      <c r="AW531" s="67" t="str">
        <f>IF(AV531="","",AV531+6)</f>
        <v/>
      </c>
      <c r="AX531" s="66" t="str">
        <f>IF(AV531="","",TEXT(AV531,"dd/mm/yyyy")&amp;" - "&amp;TEXT(AW531,"dd/mm/yyyy"))</f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>IF(B531="","",TEXT(AY531,"00")&amp;"|"&amp;B531&amp;"|"&amp;TEXT(AT531,"yyyymmdd"))</f>
        <v/>
      </c>
      <c r="BB531" s="66" t="str">
        <f>IF(B531="","",TEXT(AZ531,"00")&amp;"|"&amp;B531&amp;"|"&amp;TEXT(AV531,"yyyymmdd"))</f>
        <v/>
      </c>
      <c r="BC531" s="66">
        <f>IF(OR(AQ531="YES",AQ531="Yes",AQ531="Y",AQ531=1),1,0)</f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17">
        <f>SUM(H532,J532,L532,N532,P532,R532,T532,V532,X532,Z532,AB532,AD532,AF532,AH532,AJ532,AL532,AN532)</f>
        <v>0</v>
      </c>
      <c r="AT532" s="67" t="str">
        <f>IF(C532="","",DATE(YEAR(C532),MONTH(C532),1))</f>
        <v/>
      </c>
      <c r="AU532" s="66" t="str">
        <f>IF(AT532="","",TEXT(AT532,"mmmm yyyy"))</f>
        <v/>
      </c>
      <c r="AV532" s="67" t="str">
        <f>IF(C532="","",C532-WEEKDAY(C532,2)+1)</f>
        <v/>
      </c>
      <c r="AW532" s="67" t="str">
        <f>IF(AV532="","",AV532+6)</f>
        <v/>
      </c>
      <c r="AX532" s="66" t="str">
        <f>IF(AV532="","",TEXT(AV532,"dd/mm/yyyy")&amp;" - "&amp;TEXT(AW532,"dd/mm/yyyy"))</f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>IF(B532="","",TEXT(AY532,"00")&amp;"|"&amp;B532&amp;"|"&amp;TEXT(AT532,"yyyymmdd"))</f>
        <v/>
      </c>
      <c r="BB532" s="66" t="str">
        <f>IF(B532="","",TEXT(AZ532,"00")&amp;"|"&amp;B532&amp;"|"&amp;TEXT(AV532,"yyyymmdd"))</f>
        <v/>
      </c>
      <c r="BC532" s="66">
        <f>IF(OR(AQ532="YES",AQ532="Yes",AQ532="Y",AQ532=1),1,0)</f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17">
        <f>SUM(H533,J533,L533,N533,P533,R533,T533,V533,X533,Z533,AB533,AD533,AF533,AH533,AJ533,AL533,AN533)</f>
        <v>0</v>
      </c>
      <c r="AT533" s="67" t="str">
        <f>IF(C533="","",DATE(YEAR(C533),MONTH(C533),1))</f>
        <v/>
      </c>
      <c r="AU533" s="66" t="str">
        <f>IF(AT533="","",TEXT(AT533,"mmmm yyyy"))</f>
        <v/>
      </c>
      <c r="AV533" s="67" t="str">
        <f>IF(C533="","",C533-WEEKDAY(C533,2)+1)</f>
        <v/>
      </c>
      <c r="AW533" s="67" t="str">
        <f>IF(AV533="","",AV533+6)</f>
        <v/>
      </c>
      <c r="AX533" s="66" t="str">
        <f>IF(AV533="","",TEXT(AV533,"dd/mm/yyyy")&amp;" - "&amp;TEXT(AW533,"dd/mm/yyyy"))</f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>IF(B533="","",TEXT(AY533,"00")&amp;"|"&amp;B533&amp;"|"&amp;TEXT(AT533,"yyyymmdd"))</f>
        <v/>
      </c>
      <c r="BB533" s="66" t="str">
        <f>IF(B533="","",TEXT(AZ533,"00")&amp;"|"&amp;B533&amp;"|"&amp;TEXT(AV533,"yyyymmdd"))</f>
        <v/>
      </c>
      <c r="BC533" s="66">
        <f>IF(OR(AQ533="YES",AQ533="Yes",AQ533="Y",AQ533=1),1,0)</f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17">
        <f>SUM(H534,J534,L534,N534,P534,R534,T534,V534,X534,Z534,AB534,AD534,AF534,AH534,AJ534,AL534,AN534)</f>
        <v>0</v>
      </c>
      <c r="AT534" s="67" t="str">
        <f>IF(C534="","",DATE(YEAR(C534),MONTH(C534),1))</f>
        <v/>
      </c>
      <c r="AU534" s="66" t="str">
        <f>IF(AT534="","",TEXT(AT534,"mmmm yyyy"))</f>
        <v/>
      </c>
      <c r="AV534" s="67" t="str">
        <f>IF(C534="","",C534-WEEKDAY(C534,2)+1)</f>
        <v/>
      </c>
      <c r="AW534" s="67" t="str">
        <f>IF(AV534="","",AV534+6)</f>
        <v/>
      </c>
      <c r="AX534" s="66" t="str">
        <f>IF(AV534="","",TEXT(AV534,"dd/mm/yyyy")&amp;" - "&amp;TEXT(AW534,"dd/mm/yyyy"))</f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>IF(B534="","",TEXT(AY534,"00")&amp;"|"&amp;B534&amp;"|"&amp;TEXT(AT534,"yyyymmdd"))</f>
        <v/>
      </c>
      <c r="BB534" s="66" t="str">
        <f>IF(B534="","",TEXT(AZ534,"00")&amp;"|"&amp;B534&amp;"|"&amp;TEXT(AV534,"yyyymmdd"))</f>
        <v/>
      </c>
      <c r="BC534" s="66">
        <f>IF(OR(AQ534="YES",AQ534="Yes",AQ534="Y",AQ534=1),1,0)</f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17">
        <f>SUM(H535,J535,L535,N535,P535,R535,T535,V535,X535,Z535,AB535,AD535,AF535,AH535,AJ535,AL535,AN535)</f>
        <v>0</v>
      </c>
      <c r="AT535" s="67" t="str">
        <f>IF(C535="","",DATE(YEAR(C535),MONTH(C535),1))</f>
        <v/>
      </c>
      <c r="AU535" s="66" t="str">
        <f>IF(AT535="","",TEXT(AT535,"mmmm yyyy"))</f>
        <v/>
      </c>
      <c r="AV535" s="67" t="str">
        <f>IF(C535="","",C535-WEEKDAY(C535,2)+1)</f>
        <v/>
      </c>
      <c r="AW535" s="67" t="str">
        <f>IF(AV535="","",AV535+6)</f>
        <v/>
      </c>
      <c r="AX535" s="66" t="str">
        <f>IF(AV535="","",TEXT(AV535,"dd/mm/yyyy")&amp;" - "&amp;TEXT(AW535,"dd/mm/yyyy"))</f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>IF(B535="","",TEXT(AY535,"00")&amp;"|"&amp;B535&amp;"|"&amp;TEXT(AT535,"yyyymmdd"))</f>
        <v/>
      </c>
      <c r="BB535" s="66" t="str">
        <f>IF(B535="","",TEXT(AZ535,"00")&amp;"|"&amp;B535&amp;"|"&amp;TEXT(AV535,"yyyymmdd"))</f>
        <v/>
      </c>
      <c r="BC535" s="66">
        <f>IF(OR(AQ535="YES",AQ535="Yes",AQ535="Y",AQ535=1),1,0)</f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17">
        <f>SUM(H536,J536,L536,N536,P536,R536,T536,V536,X536,Z536,AB536,AD536,AF536,AH536,AJ536,AL536,AN536)</f>
        <v>0</v>
      </c>
      <c r="AT536" s="67" t="str">
        <f>IF(C536="","",DATE(YEAR(C536),MONTH(C536),1))</f>
        <v/>
      </c>
      <c r="AU536" s="66" t="str">
        <f>IF(AT536="","",TEXT(AT536,"mmmm yyyy"))</f>
        <v/>
      </c>
      <c r="AV536" s="67" t="str">
        <f>IF(C536="","",C536-WEEKDAY(C536,2)+1)</f>
        <v/>
      </c>
      <c r="AW536" s="67" t="str">
        <f>IF(AV536="","",AV536+6)</f>
        <v/>
      </c>
      <c r="AX536" s="66" t="str">
        <f>IF(AV536="","",TEXT(AV536,"dd/mm/yyyy")&amp;" - "&amp;TEXT(AW536,"dd/mm/yyyy"))</f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>IF(B536="","",TEXT(AY536,"00")&amp;"|"&amp;B536&amp;"|"&amp;TEXT(AT536,"yyyymmdd"))</f>
        <v/>
      </c>
      <c r="BB536" s="66" t="str">
        <f>IF(B536="","",TEXT(AZ536,"00")&amp;"|"&amp;B536&amp;"|"&amp;TEXT(AV536,"yyyymmdd"))</f>
        <v/>
      </c>
      <c r="BC536" s="66">
        <f>IF(OR(AQ536="YES",AQ536="Yes",AQ536="Y",AQ536=1),1,0)</f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17">
        <f>SUM(H537,J537,L537,N537,P537,R537,T537,V537,X537,Z537,AB537,AD537,AF537,AH537,AJ537,AL537,AN537)</f>
        <v>0</v>
      </c>
      <c r="AT537" s="67" t="str">
        <f>IF(C537="","",DATE(YEAR(C537),MONTH(C537),1))</f>
        <v/>
      </c>
      <c r="AU537" s="66" t="str">
        <f>IF(AT537="","",TEXT(AT537,"mmmm yyyy"))</f>
        <v/>
      </c>
      <c r="AV537" s="67" t="str">
        <f>IF(C537="","",C537-WEEKDAY(C537,2)+1)</f>
        <v/>
      </c>
      <c r="AW537" s="67" t="str">
        <f>IF(AV537="","",AV537+6)</f>
        <v/>
      </c>
      <c r="AX537" s="66" t="str">
        <f>IF(AV537="","",TEXT(AV537,"dd/mm/yyyy")&amp;" - "&amp;TEXT(AW537,"dd/mm/yyyy"))</f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>IF(B537="","",TEXT(AY537,"00")&amp;"|"&amp;B537&amp;"|"&amp;TEXT(AT537,"yyyymmdd"))</f>
        <v/>
      </c>
      <c r="BB537" s="66" t="str">
        <f>IF(B537="","",TEXT(AZ537,"00")&amp;"|"&amp;B537&amp;"|"&amp;TEXT(AV537,"yyyymmdd"))</f>
        <v/>
      </c>
      <c r="BC537" s="66">
        <f>IF(OR(AQ537="YES",AQ537="Yes",AQ537="Y",AQ537=1),1,0)</f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17">
        <f>SUM(H538,J538,L538,N538,P538,R538,T538,V538,X538,Z538,AB538,AD538,AF538,AH538,AJ538,AL538,AN538)</f>
        <v>0</v>
      </c>
      <c r="AT538" s="67" t="str">
        <f>IF(C538="","",DATE(YEAR(C538),MONTH(C538),1))</f>
        <v/>
      </c>
      <c r="AU538" s="66" t="str">
        <f>IF(AT538="","",TEXT(AT538,"mmmm yyyy"))</f>
        <v/>
      </c>
      <c r="AV538" s="67" t="str">
        <f>IF(C538="","",C538-WEEKDAY(C538,2)+1)</f>
        <v/>
      </c>
      <c r="AW538" s="67" t="str">
        <f>IF(AV538="","",AV538+6)</f>
        <v/>
      </c>
      <c r="AX538" s="66" t="str">
        <f>IF(AV538="","",TEXT(AV538,"dd/mm/yyyy")&amp;" - "&amp;TEXT(AW538,"dd/mm/yyyy"))</f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>IF(B538="","",TEXT(AY538,"00")&amp;"|"&amp;B538&amp;"|"&amp;TEXT(AT538,"yyyymmdd"))</f>
        <v/>
      </c>
      <c r="BB538" s="66" t="str">
        <f>IF(B538="","",TEXT(AZ538,"00")&amp;"|"&amp;B538&amp;"|"&amp;TEXT(AV538,"yyyymmdd"))</f>
        <v/>
      </c>
      <c r="BC538" s="66">
        <f>IF(OR(AQ538="YES",AQ538="Yes",AQ538="Y",AQ538=1),1,0)</f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17">
        <f>SUM(H539,J539,L539,N539,P539,R539,T539,V539,X539,Z539,AB539,AD539,AF539,AH539,AJ539,AL539,AN539)</f>
        <v>0</v>
      </c>
      <c r="AT539" s="67" t="str">
        <f>IF(C539="","",DATE(YEAR(C539),MONTH(C539),1))</f>
        <v/>
      </c>
      <c r="AU539" s="66" t="str">
        <f>IF(AT539="","",TEXT(AT539,"mmmm yyyy"))</f>
        <v/>
      </c>
      <c r="AV539" s="67" t="str">
        <f>IF(C539="","",C539-WEEKDAY(C539,2)+1)</f>
        <v/>
      </c>
      <c r="AW539" s="67" t="str">
        <f>IF(AV539="","",AV539+6)</f>
        <v/>
      </c>
      <c r="AX539" s="66" t="str">
        <f>IF(AV539="","",TEXT(AV539,"dd/mm/yyyy")&amp;" - "&amp;TEXT(AW539,"dd/mm/yyyy"))</f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>IF(B539="","",TEXT(AY539,"00")&amp;"|"&amp;B539&amp;"|"&amp;TEXT(AT539,"yyyymmdd"))</f>
        <v/>
      </c>
      <c r="BB539" s="66" t="str">
        <f>IF(B539="","",TEXT(AZ539,"00")&amp;"|"&amp;B539&amp;"|"&amp;TEXT(AV539,"yyyymmdd"))</f>
        <v/>
      </c>
      <c r="BC539" s="66">
        <f>IF(OR(AQ539="YES",AQ539="Yes",AQ539="Y",AQ539=1),1,0)</f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17">
        <f>SUM(H540,J540,L540,N540,P540,R540,T540,V540,X540,Z540,AB540,AD540,AF540,AH540,AJ540,AL540,AN540)</f>
        <v>0</v>
      </c>
      <c r="AT540" s="67" t="str">
        <f>IF(C540="","",DATE(YEAR(C540),MONTH(C540),1))</f>
        <v/>
      </c>
      <c r="AU540" s="66" t="str">
        <f>IF(AT540="","",TEXT(AT540,"mmmm yyyy"))</f>
        <v/>
      </c>
      <c r="AV540" s="67" t="str">
        <f>IF(C540="","",C540-WEEKDAY(C540,2)+1)</f>
        <v/>
      </c>
      <c r="AW540" s="67" t="str">
        <f>IF(AV540="","",AV540+6)</f>
        <v/>
      </c>
      <c r="AX540" s="66" t="str">
        <f>IF(AV540="","",TEXT(AV540,"dd/mm/yyyy")&amp;" - "&amp;TEXT(AW540,"dd/mm/yyyy"))</f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>IF(B540="","",TEXT(AY540,"00")&amp;"|"&amp;B540&amp;"|"&amp;TEXT(AT540,"yyyymmdd"))</f>
        <v/>
      </c>
      <c r="BB540" s="66" t="str">
        <f>IF(B540="","",TEXT(AZ540,"00")&amp;"|"&amp;B540&amp;"|"&amp;TEXT(AV540,"yyyymmdd"))</f>
        <v/>
      </c>
      <c r="BC540" s="66">
        <f>IF(OR(AQ540="YES",AQ540="Yes",AQ540="Y",AQ540=1),1,0)</f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17">
        <f>SUM(H541,J541,L541,N541,P541,R541,T541,V541,X541,Z541,AB541,AD541,AF541,AH541,AJ541,AL541,AN541)</f>
        <v>0</v>
      </c>
      <c r="AT541" s="67" t="str">
        <f>IF(C541="","",DATE(YEAR(C541),MONTH(C541),1))</f>
        <v/>
      </c>
      <c r="AU541" s="66" t="str">
        <f>IF(AT541="","",TEXT(AT541,"mmmm yyyy"))</f>
        <v/>
      </c>
      <c r="AV541" s="67" t="str">
        <f>IF(C541="","",C541-WEEKDAY(C541,2)+1)</f>
        <v/>
      </c>
      <c r="AW541" s="67" t="str">
        <f>IF(AV541="","",AV541+6)</f>
        <v/>
      </c>
      <c r="AX541" s="66" t="str">
        <f>IF(AV541="","",TEXT(AV541,"dd/mm/yyyy")&amp;" - "&amp;TEXT(AW541,"dd/mm/yyyy"))</f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>IF(B541="","",TEXT(AY541,"00")&amp;"|"&amp;B541&amp;"|"&amp;TEXT(AT541,"yyyymmdd"))</f>
        <v/>
      </c>
      <c r="BB541" s="66" t="str">
        <f>IF(B541="","",TEXT(AZ541,"00")&amp;"|"&amp;B541&amp;"|"&amp;TEXT(AV541,"yyyymmdd"))</f>
        <v/>
      </c>
      <c r="BC541" s="66">
        <f>IF(OR(AQ541="YES",AQ541="Yes",AQ541="Y",AQ541=1),1,0)</f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17">
        <f>SUM(H542,J542,L542,N542,P542,R542,T542,V542,X542,Z542,AB542,AD542,AF542,AH542,AJ542,AL542,AN542)</f>
        <v>0</v>
      </c>
      <c r="AT542" s="67" t="str">
        <f>IF(C542="","",DATE(YEAR(C542),MONTH(C542),1))</f>
        <v/>
      </c>
      <c r="AU542" s="66" t="str">
        <f>IF(AT542="","",TEXT(AT542,"mmmm yyyy"))</f>
        <v/>
      </c>
      <c r="AV542" s="67" t="str">
        <f>IF(C542="","",C542-WEEKDAY(C542,2)+1)</f>
        <v/>
      </c>
      <c r="AW542" s="67" t="str">
        <f>IF(AV542="","",AV542+6)</f>
        <v/>
      </c>
      <c r="AX542" s="66" t="str">
        <f>IF(AV542="","",TEXT(AV542,"dd/mm/yyyy")&amp;" - "&amp;TEXT(AW542,"dd/mm/yyyy"))</f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>IF(B542="","",TEXT(AY542,"00")&amp;"|"&amp;B542&amp;"|"&amp;TEXT(AT542,"yyyymmdd"))</f>
        <v/>
      </c>
      <c r="BB542" s="66" t="str">
        <f>IF(B542="","",TEXT(AZ542,"00")&amp;"|"&amp;B542&amp;"|"&amp;TEXT(AV542,"yyyymmdd"))</f>
        <v/>
      </c>
      <c r="BC542" s="66">
        <f>IF(OR(AQ542="YES",AQ542="Yes",AQ542="Y",AQ542=1),1,0)</f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17">
        <f>SUM(H543,J543,L543,N543,P543,R543,T543,V543,X543,Z543,AB543,AD543,AF543,AH543,AJ543,AL543,AN543)</f>
        <v>0</v>
      </c>
      <c r="AT543" s="67" t="str">
        <f>IF(C543="","",DATE(YEAR(C543),MONTH(C543),1))</f>
        <v/>
      </c>
      <c r="AU543" s="66" t="str">
        <f>IF(AT543="","",TEXT(AT543,"mmmm yyyy"))</f>
        <v/>
      </c>
      <c r="AV543" s="67" t="str">
        <f>IF(C543="","",C543-WEEKDAY(C543,2)+1)</f>
        <v/>
      </c>
      <c r="AW543" s="67" t="str">
        <f>IF(AV543="","",AV543+6)</f>
        <v/>
      </c>
      <c r="AX543" s="66" t="str">
        <f>IF(AV543="","",TEXT(AV543,"dd/mm/yyyy")&amp;" - "&amp;TEXT(AW543,"dd/mm/yyyy"))</f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>IF(B543="","",TEXT(AY543,"00")&amp;"|"&amp;B543&amp;"|"&amp;TEXT(AT543,"yyyymmdd"))</f>
        <v/>
      </c>
      <c r="BB543" s="66" t="str">
        <f>IF(B543="","",TEXT(AZ543,"00")&amp;"|"&amp;B543&amp;"|"&amp;TEXT(AV543,"yyyymmdd"))</f>
        <v/>
      </c>
      <c r="BC543" s="66">
        <f>IF(OR(AQ543="YES",AQ543="Yes",AQ543="Y",AQ543=1),1,0)</f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17">
        <f>SUM(H544,J544,L544,N544,P544,R544,T544,V544,X544,Z544,AB544,AD544,AF544,AH544,AJ544,AL544,AN544)</f>
        <v>0</v>
      </c>
      <c r="AT544" s="67" t="str">
        <f>IF(C544="","",DATE(YEAR(C544),MONTH(C544),1))</f>
        <v/>
      </c>
      <c r="AU544" s="66" t="str">
        <f>IF(AT544="","",TEXT(AT544,"mmmm yyyy"))</f>
        <v/>
      </c>
      <c r="AV544" s="67" t="str">
        <f>IF(C544="","",C544-WEEKDAY(C544,2)+1)</f>
        <v/>
      </c>
      <c r="AW544" s="67" t="str">
        <f>IF(AV544="","",AV544+6)</f>
        <v/>
      </c>
      <c r="AX544" s="66" t="str">
        <f>IF(AV544="","",TEXT(AV544,"dd/mm/yyyy")&amp;" - "&amp;TEXT(AW544,"dd/mm/yyyy"))</f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>IF(B544="","",TEXT(AY544,"00")&amp;"|"&amp;B544&amp;"|"&amp;TEXT(AT544,"yyyymmdd"))</f>
        <v/>
      </c>
      <c r="BB544" s="66" t="str">
        <f>IF(B544="","",TEXT(AZ544,"00")&amp;"|"&amp;B544&amp;"|"&amp;TEXT(AV544,"yyyymmdd"))</f>
        <v/>
      </c>
      <c r="BC544" s="66">
        <f>IF(OR(AQ544="YES",AQ544="Yes",AQ544="Y",AQ544=1),1,0)</f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17">
        <f>SUM(H545,J545,L545,N545,P545,R545,T545,V545,X545,Z545,AB545,AD545,AF545,AH545,AJ545,AL545,AN545)</f>
        <v>0</v>
      </c>
      <c r="AT545" s="67" t="str">
        <f>IF(C545="","",DATE(YEAR(C545),MONTH(C545),1))</f>
        <v/>
      </c>
      <c r="AU545" s="66" t="str">
        <f>IF(AT545="","",TEXT(AT545,"mmmm yyyy"))</f>
        <v/>
      </c>
      <c r="AV545" s="67" t="str">
        <f>IF(C545="","",C545-WEEKDAY(C545,2)+1)</f>
        <v/>
      </c>
      <c r="AW545" s="67" t="str">
        <f>IF(AV545="","",AV545+6)</f>
        <v/>
      </c>
      <c r="AX545" s="66" t="str">
        <f>IF(AV545="","",TEXT(AV545,"dd/mm/yyyy")&amp;" - "&amp;TEXT(AW545,"dd/mm/yyyy"))</f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>IF(B545="","",TEXT(AY545,"00")&amp;"|"&amp;B545&amp;"|"&amp;TEXT(AT545,"yyyymmdd"))</f>
        <v/>
      </c>
      <c r="BB545" s="66" t="str">
        <f>IF(B545="","",TEXT(AZ545,"00")&amp;"|"&amp;B545&amp;"|"&amp;TEXT(AV545,"yyyymmdd"))</f>
        <v/>
      </c>
      <c r="BC545" s="66">
        <f>IF(OR(AQ545="YES",AQ545="Yes",AQ545="Y",AQ545=1),1,0)</f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17">
        <f>SUM(H546,J546,L546,N546,P546,R546,T546,V546,X546,Z546,AB546,AD546,AF546,AH546,AJ546,AL546,AN546)</f>
        <v>0</v>
      </c>
      <c r="AT546" s="67" t="str">
        <f>IF(C546="","",DATE(YEAR(C546),MONTH(C546),1))</f>
        <v/>
      </c>
      <c r="AU546" s="66" t="str">
        <f>IF(AT546="","",TEXT(AT546,"mmmm yyyy"))</f>
        <v/>
      </c>
      <c r="AV546" s="67" t="str">
        <f>IF(C546="","",C546-WEEKDAY(C546,2)+1)</f>
        <v/>
      </c>
      <c r="AW546" s="67" t="str">
        <f>IF(AV546="","",AV546+6)</f>
        <v/>
      </c>
      <c r="AX546" s="66" t="str">
        <f>IF(AV546="","",TEXT(AV546,"dd/mm/yyyy")&amp;" - "&amp;TEXT(AW546,"dd/mm/yyyy"))</f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>IF(B546="","",TEXT(AY546,"00")&amp;"|"&amp;B546&amp;"|"&amp;TEXT(AT546,"yyyymmdd"))</f>
        <v/>
      </c>
      <c r="BB546" s="66" t="str">
        <f>IF(B546="","",TEXT(AZ546,"00")&amp;"|"&amp;B546&amp;"|"&amp;TEXT(AV546,"yyyymmdd"))</f>
        <v/>
      </c>
      <c r="BC546" s="66">
        <f>IF(OR(AQ546="YES",AQ546="Yes",AQ546="Y",AQ546=1),1,0)</f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17">
        <f>SUM(H547,J547,L547,N547,P547,R547,T547,V547,X547,Z547,AB547,AD547,AF547,AH547,AJ547,AL547,AN547)</f>
        <v>0</v>
      </c>
      <c r="AT547" s="67" t="str">
        <f>IF(C547="","",DATE(YEAR(C547),MONTH(C547),1))</f>
        <v/>
      </c>
      <c r="AU547" s="66" t="str">
        <f>IF(AT547="","",TEXT(AT547,"mmmm yyyy"))</f>
        <v/>
      </c>
      <c r="AV547" s="67" t="str">
        <f>IF(C547="","",C547-WEEKDAY(C547,2)+1)</f>
        <v/>
      </c>
      <c r="AW547" s="67" t="str">
        <f>IF(AV547="","",AV547+6)</f>
        <v/>
      </c>
      <c r="AX547" s="66" t="str">
        <f>IF(AV547="","",TEXT(AV547,"dd/mm/yyyy")&amp;" - "&amp;TEXT(AW547,"dd/mm/yyyy"))</f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>IF(B547="","",TEXT(AY547,"00")&amp;"|"&amp;B547&amp;"|"&amp;TEXT(AT547,"yyyymmdd"))</f>
        <v/>
      </c>
      <c r="BB547" s="66" t="str">
        <f>IF(B547="","",TEXT(AZ547,"00")&amp;"|"&amp;B547&amp;"|"&amp;TEXT(AV547,"yyyymmdd"))</f>
        <v/>
      </c>
      <c r="BC547" s="66">
        <f>IF(OR(AQ547="YES",AQ547="Yes",AQ547="Y",AQ547=1),1,0)</f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17">
        <f>SUM(H548,J548,L548,N548,P548,R548,T548,V548,X548,Z548,AB548,AD548,AF548,AH548,AJ548,AL548,AN548)</f>
        <v>0</v>
      </c>
      <c r="AT548" s="67" t="str">
        <f>IF(C548="","",DATE(YEAR(C548),MONTH(C548),1))</f>
        <v/>
      </c>
      <c r="AU548" s="66" t="str">
        <f>IF(AT548="","",TEXT(AT548,"mmmm yyyy"))</f>
        <v/>
      </c>
      <c r="AV548" s="67" t="str">
        <f>IF(C548="","",C548-WEEKDAY(C548,2)+1)</f>
        <v/>
      </c>
      <c r="AW548" s="67" t="str">
        <f>IF(AV548="","",AV548+6)</f>
        <v/>
      </c>
      <c r="AX548" s="66" t="str">
        <f>IF(AV548="","",TEXT(AV548,"dd/mm/yyyy")&amp;" - "&amp;TEXT(AW548,"dd/mm/yyyy"))</f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>IF(B548="","",TEXT(AY548,"00")&amp;"|"&amp;B548&amp;"|"&amp;TEXT(AT548,"yyyymmdd"))</f>
        <v/>
      </c>
      <c r="BB548" s="66" t="str">
        <f>IF(B548="","",TEXT(AZ548,"00")&amp;"|"&amp;B548&amp;"|"&amp;TEXT(AV548,"yyyymmdd"))</f>
        <v/>
      </c>
      <c r="BC548" s="66">
        <f>IF(OR(AQ548="YES",AQ548="Yes",AQ548="Y",AQ548=1),1,0)</f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17">
        <f>SUM(H549,J549,L549,N549,P549,R549,T549,V549,X549,Z549,AB549,AD549,AF549,AH549,AJ549,AL549,AN549)</f>
        <v>0</v>
      </c>
      <c r="AT549" s="67" t="str">
        <f>IF(C549="","",DATE(YEAR(C549),MONTH(C549),1))</f>
        <v/>
      </c>
      <c r="AU549" s="66" t="str">
        <f>IF(AT549="","",TEXT(AT549,"mmmm yyyy"))</f>
        <v/>
      </c>
      <c r="AV549" s="67" t="str">
        <f>IF(C549="","",C549-WEEKDAY(C549,2)+1)</f>
        <v/>
      </c>
      <c r="AW549" s="67" t="str">
        <f>IF(AV549="","",AV549+6)</f>
        <v/>
      </c>
      <c r="AX549" s="66" t="str">
        <f>IF(AV549="","",TEXT(AV549,"dd/mm/yyyy")&amp;" - "&amp;TEXT(AW549,"dd/mm/yyyy"))</f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>IF(B549="","",TEXT(AY549,"00")&amp;"|"&amp;B549&amp;"|"&amp;TEXT(AT549,"yyyymmdd"))</f>
        <v/>
      </c>
      <c r="BB549" s="66" t="str">
        <f>IF(B549="","",TEXT(AZ549,"00")&amp;"|"&amp;B549&amp;"|"&amp;TEXT(AV549,"yyyymmdd"))</f>
        <v/>
      </c>
      <c r="BC549" s="66">
        <f>IF(OR(AQ549="YES",AQ549="Yes",AQ549="Y",AQ549=1),1,0)</f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17">
        <f>SUM(H550,J550,L550,N550,P550,R550,T550,V550,X550,Z550,AB550,AD550,AF550,AH550,AJ550,AL550,AN550)</f>
        <v>0</v>
      </c>
      <c r="AT550" s="67" t="str">
        <f>IF(C550="","",DATE(YEAR(C550),MONTH(C550),1))</f>
        <v/>
      </c>
      <c r="AU550" s="66" t="str">
        <f>IF(AT550="","",TEXT(AT550,"mmmm yyyy"))</f>
        <v/>
      </c>
      <c r="AV550" s="67" t="str">
        <f>IF(C550="","",C550-WEEKDAY(C550,2)+1)</f>
        <v/>
      </c>
      <c r="AW550" s="67" t="str">
        <f>IF(AV550="","",AV550+6)</f>
        <v/>
      </c>
      <c r="AX550" s="66" t="str">
        <f>IF(AV550="","",TEXT(AV550,"dd/mm/yyyy")&amp;" - "&amp;TEXT(AW550,"dd/mm/yyyy"))</f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>IF(B550="","",TEXT(AY550,"00")&amp;"|"&amp;B550&amp;"|"&amp;TEXT(AT550,"yyyymmdd"))</f>
        <v/>
      </c>
      <c r="BB550" s="66" t="str">
        <f>IF(B550="","",TEXT(AZ550,"00")&amp;"|"&amp;B550&amp;"|"&amp;TEXT(AV550,"yyyymmdd"))</f>
        <v/>
      </c>
      <c r="BC550" s="66">
        <f>IF(OR(AQ550="YES",AQ550="Yes",AQ550="Y",AQ550=1),1,0)</f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17">
        <f>SUM(H551,J551,L551,N551,P551,R551,T551,V551,X551,Z551,AB551,AD551,AF551,AH551,AJ551,AL551,AN551)</f>
        <v>0</v>
      </c>
      <c r="AT551" s="67" t="str">
        <f>IF(C551="","",DATE(YEAR(C551),MONTH(C551),1))</f>
        <v/>
      </c>
      <c r="AU551" s="66" t="str">
        <f>IF(AT551="","",TEXT(AT551,"mmmm yyyy"))</f>
        <v/>
      </c>
      <c r="AV551" s="67" t="str">
        <f>IF(C551="","",C551-WEEKDAY(C551,2)+1)</f>
        <v/>
      </c>
      <c r="AW551" s="67" t="str">
        <f>IF(AV551="","",AV551+6)</f>
        <v/>
      </c>
      <c r="AX551" s="66" t="str">
        <f>IF(AV551="","",TEXT(AV551,"dd/mm/yyyy")&amp;" - "&amp;TEXT(AW551,"dd/mm/yyyy"))</f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>IF(B551="","",TEXT(AY551,"00")&amp;"|"&amp;B551&amp;"|"&amp;TEXT(AT551,"yyyymmdd"))</f>
        <v/>
      </c>
      <c r="BB551" s="66" t="str">
        <f>IF(B551="","",TEXT(AZ551,"00")&amp;"|"&amp;B551&amp;"|"&amp;TEXT(AV551,"yyyymmdd"))</f>
        <v/>
      </c>
      <c r="BC551" s="66">
        <f>IF(OR(AQ551="YES",AQ551="Yes",AQ551="Y",AQ551=1),1,0)</f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17">
        <f>SUM(H552,J552,L552,N552,P552,R552,T552,V552,X552,Z552,AB552,AD552,AF552,AH552,AJ552,AL552,AN552)</f>
        <v>0</v>
      </c>
      <c r="AT552" s="67" t="str">
        <f>IF(C552="","",DATE(YEAR(C552),MONTH(C552),1))</f>
        <v/>
      </c>
      <c r="AU552" s="66" t="str">
        <f>IF(AT552="","",TEXT(AT552,"mmmm yyyy"))</f>
        <v/>
      </c>
      <c r="AV552" s="67" t="str">
        <f>IF(C552="","",C552-WEEKDAY(C552,2)+1)</f>
        <v/>
      </c>
      <c r="AW552" s="67" t="str">
        <f>IF(AV552="","",AV552+6)</f>
        <v/>
      </c>
      <c r="AX552" s="66" t="str">
        <f>IF(AV552="","",TEXT(AV552,"dd/mm/yyyy")&amp;" - "&amp;TEXT(AW552,"dd/mm/yyyy"))</f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>IF(B552="","",TEXT(AY552,"00")&amp;"|"&amp;B552&amp;"|"&amp;TEXT(AT552,"yyyymmdd"))</f>
        <v/>
      </c>
      <c r="BB552" s="66" t="str">
        <f>IF(B552="","",TEXT(AZ552,"00")&amp;"|"&amp;B552&amp;"|"&amp;TEXT(AV552,"yyyymmdd"))</f>
        <v/>
      </c>
      <c r="BC552" s="66">
        <f>IF(OR(AQ552="YES",AQ552="Yes",AQ552="Y",AQ552=1),1,0)</f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17">
        <f>SUM(H553,J553,L553,N553,P553,R553,T553,V553,X553,Z553,AB553,AD553,AF553,AH553,AJ553,AL553,AN553)</f>
        <v>0</v>
      </c>
      <c r="AT553" s="67" t="str">
        <f>IF(C553="","",DATE(YEAR(C553),MONTH(C553),1))</f>
        <v/>
      </c>
      <c r="AU553" s="66" t="str">
        <f>IF(AT553="","",TEXT(AT553,"mmmm yyyy"))</f>
        <v/>
      </c>
      <c r="AV553" s="67" t="str">
        <f>IF(C553="","",C553-WEEKDAY(C553,2)+1)</f>
        <v/>
      </c>
      <c r="AW553" s="67" t="str">
        <f>IF(AV553="","",AV553+6)</f>
        <v/>
      </c>
      <c r="AX553" s="66" t="str">
        <f>IF(AV553="","",TEXT(AV553,"dd/mm/yyyy")&amp;" - "&amp;TEXT(AW553,"dd/mm/yyyy"))</f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>IF(B553="","",TEXT(AY553,"00")&amp;"|"&amp;B553&amp;"|"&amp;TEXT(AT553,"yyyymmdd"))</f>
        <v/>
      </c>
      <c r="BB553" s="66" t="str">
        <f>IF(B553="","",TEXT(AZ553,"00")&amp;"|"&amp;B553&amp;"|"&amp;TEXT(AV553,"yyyymmdd"))</f>
        <v/>
      </c>
      <c r="BC553" s="66">
        <f>IF(OR(AQ553="YES",AQ553="Yes",AQ553="Y",AQ553=1),1,0)</f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17">
        <f>SUM(H554,J554,L554,N554,P554,R554,T554,V554,X554,Z554,AB554,AD554,AF554,AH554,AJ554,AL554,AN554)</f>
        <v>0</v>
      </c>
      <c r="AT554" s="67" t="str">
        <f>IF(C554="","",DATE(YEAR(C554),MONTH(C554),1))</f>
        <v/>
      </c>
      <c r="AU554" s="66" t="str">
        <f>IF(AT554="","",TEXT(AT554,"mmmm yyyy"))</f>
        <v/>
      </c>
      <c r="AV554" s="67" t="str">
        <f>IF(C554="","",C554-WEEKDAY(C554,2)+1)</f>
        <v/>
      </c>
      <c r="AW554" s="67" t="str">
        <f>IF(AV554="","",AV554+6)</f>
        <v/>
      </c>
      <c r="AX554" s="66" t="str">
        <f>IF(AV554="","",TEXT(AV554,"dd/mm/yyyy")&amp;" - "&amp;TEXT(AW554,"dd/mm/yyyy"))</f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>IF(B554="","",TEXT(AY554,"00")&amp;"|"&amp;B554&amp;"|"&amp;TEXT(AT554,"yyyymmdd"))</f>
        <v/>
      </c>
      <c r="BB554" s="66" t="str">
        <f>IF(B554="","",TEXT(AZ554,"00")&amp;"|"&amp;B554&amp;"|"&amp;TEXT(AV554,"yyyymmdd"))</f>
        <v/>
      </c>
      <c r="BC554" s="66">
        <f>IF(OR(AQ554="YES",AQ554="Yes",AQ554="Y",AQ554=1),1,0)</f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17">
        <f>SUM(H555,J555,L555,N555,P555,R555,T555,V555,X555,Z555,AB555,AD555,AF555,AH555,AJ555,AL555,AN555)</f>
        <v>0</v>
      </c>
      <c r="AT555" s="67" t="str">
        <f>IF(C555="","",DATE(YEAR(C555),MONTH(C555),1))</f>
        <v/>
      </c>
      <c r="AU555" s="66" t="str">
        <f>IF(AT555="","",TEXT(AT555,"mmmm yyyy"))</f>
        <v/>
      </c>
      <c r="AV555" s="67" t="str">
        <f>IF(C555="","",C555-WEEKDAY(C555,2)+1)</f>
        <v/>
      </c>
      <c r="AW555" s="67" t="str">
        <f>IF(AV555="","",AV555+6)</f>
        <v/>
      </c>
      <c r="AX555" s="66" t="str">
        <f>IF(AV555="","",TEXT(AV555,"dd/mm/yyyy")&amp;" - "&amp;TEXT(AW555,"dd/mm/yyyy"))</f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>IF(B555="","",TEXT(AY555,"00")&amp;"|"&amp;B555&amp;"|"&amp;TEXT(AT555,"yyyymmdd"))</f>
        <v/>
      </c>
      <c r="BB555" s="66" t="str">
        <f>IF(B555="","",TEXT(AZ555,"00")&amp;"|"&amp;B555&amp;"|"&amp;TEXT(AV555,"yyyymmdd"))</f>
        <v/>
      </c>
      <c r="BC555" s="66">
        <f>IF(OR(AQ555="YES",AQ555="Yes",AQ555="Y",AQ555=1),1,0)</f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17">
        <f>SUM(H556,J556,L556,N556,P556,R556,T556,V556,X556,Z556,AB556,AD556,AF556,AH556,AJ556,AL556,AN556)</f>
        <v>0</v>
      </c>
      <c r="AT556" s="67" t="str">
        <f>IF(C556="","",DATE(YEAR(C556),MONTH(C556),1))</f>
        <v/>
      </c>
      <c r="AU556" s="66" t="str">
        <f>IF(AT556="","",TEXT(AT556,"mmmm yyyy"))</f>
        <v/>
      </c>
      <c r="AV556" s="67" t="str">
        <f>IF(C556="","",C556-WEEKDAY(C556,2)+1)</f>
        <v/>
      </c>
      <c r="AW556" s="67" t="str">
        <f>IF(AV556="","",AV556+6)</f>
        <v/>
      </c>
      <c r="AX556" s="66" t="str">
        <f>IF(AV556="","",TEXT(AV556,"dd/mm/yyyy")&amp;" - "&amp;TEXT(AW556,"dd/mm/yyyy"))</f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>IF(B556="","",TEXT(AY556,"00")&amp;"|"&amp;B556&amp;"|"&amp;TEXT(AT556,"yyyymmdd"))</f>
        <v/>
      </c>
      <c r="BB556" s="66" t="str">
        <f>IF(B556="","",TEXT(AZ556,"00")&amp;"|"&amp;B556&amp;"|"&amp;TEXT(AV556,"yyyymmdd"))</f>
        <v/>
      </c>
      <c r="BC556" s="66">
        <f>IF(OR(AQ556="YES",AQ556="Yes",AQ556="Y",AQ556=1),1,0)</f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17">
        <f>SUM(H557,J557,L557,N557,P557,R557,T557,V557,X557,Z557,AB557,AD557,AF557,AH557,AJ557,AL557,AN557)</f>
        <v>0</v>
      </c>
      <c r="AT557" s="67" t="str">
        <f>IF(C557="","",DATE(YEAR(C557),MONTH(C557),1))</f>
        <v/>
      </c>
      <c r="AU557" s="66" t="str">
        <f>IF(AT557="","",TEXT(AT557,"mmmm yyyy"))</f>
        <v/>
      </c>
      <c r="AV557" s="67" t="str">
        <f>IF(C557="","",C557-WEEKDAY(C557,2)+1)</f>
        <v/>
      </c>
      <c r="AW557" s="67" t="str">
        <f>IF(AV557="","",AV557+6)</f>
        <v/>
      </c>
      <c r="AX557" s="66" t="str">
        <f>IF(AV557="","",TEXT(AV557,"dd/mm/yyyy")&amp;" - "&amp;TEXT(AW557,"dd/mm/yyyy"))</f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>IF(B557="","",TEXT(AY557,"00")&amp;"|"&amp;B557&amp;"|"&amp;TEXT(AT557,"yyyymmdd"))</f>
        <v/>
      </c>
      <c r="BB557" s="66" t="str">
        <f>IF(B557="","",TEXT(AZ557,"00")&amp;"|"&amp;B557&amp;"|"&amp;TEXT(AV557,"yyyymmdd"))</f>
        <v/>
      </c>
      <c r="BC557" s="66">
        <f>IF(OR(AQ557="YES",AQ557="Yes",AQ557="Y",AQ557=1),1,0)</f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17">
        <f>SUM(H558,J558,L558,N558,P558,R558,T558,V558,X558,Z558,AB558,AD558,AF558,AH558,AJ558,AL558,AN558)</f>
        <v>0</v>
      </c>
      <c r="AT558" s="67" t="str">
        <f>IF(C558="","",DATE(YEAR(C558),MONTH(C558),1))</f>
        <v/>
      </c>
      <c r="AU558" s="66" t="str">
        <f>IF(AT558="","",TEXT(AT558,"mmmm yyyy"))</f>
        <v/>
      </c>
      <c r="AV558" s="67" t="str">
        <f>IF(C558="","",C558-WEEKDAY(C558,2)+1)</f>
        <v/>
      </c>
      <c r="AW558" s="67" t="str">
        <f>IF(AV558="","",AV558+6)</f>
        <v/>
      </c>
      <c r="AX558" s="66" t="str">
        <f>IF(AV558="","",TEXT(AV558,"dd/mm/yyyy")&amp;" - "&amp;TEXT(AW558,"dd/mm/yyyy"))</f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>IF(B558="","",TEXT(AY558,"00")&amp;"|"&amp;B558&amp;"|"&amp;TEXT(AT558,"yyyymmdd"))</f>
        <v/>
      </c>
      <c r="BB558" s="66" t="str">
        <f>IF(B558="","",TEXT(AZ558,"00")&amp;"|"&amp;B558&amp;"|"&amp;TEXT(AV558,"yyyymmdd"))</f>
        <v/>
      </c>
      <c r="BC558" s="66">
        <f>IF(OR(AQ558="YES",AQ558="Yes",AQ558="Y",AQ558=1),1,0)</f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17">
        <f>SUM(H559,J559,L559,N559,P559,R559,T559,V559,X559,Z559,AB559,AD559,AF559,AH559,AJ559,AL559,AN559)</f>
        <v>0</v>
      </c>
      <c r="AT559" s="67" t="str">
        <f>IF(C559="","",DATE(YEAR(C559),MONTH(C559),1))</f>
        <v/>
      </c>
      <c r="AU559" s="66" t="str">
        <f>IF(AT559="","",TEXT(AT559,"mmmm yyyy"))</f>
        <v/>
      </c>
      <c r="AV559" s="67" t="str">
        <f>IF(C559="","",C559-WEEKDAY(C559,2)+1)</f>
        <v/>
      </c>
      <c r="AW559" s="67" t="str">
        <f>IF(AV559="","",AV559+6)</f>
        <v/>
      </c>
      <c r="AX559" s="66" t="str">
        <f>IF(AV559="","",TEXT(AV559,"dd/mm/yyyy")&amp;" - "&amp;TEXT(AW559,"dd/mm/yyyy"))</f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>IF(B559="","",TEXT(AY559,"00")&amp;"|"&amp;B559&amp;"|"&amp;TEXT(AT559,"yyyymmdd"))</f>
        <v/>
      </c>
      <c r="BB559" s="66" t="str">
        <f>IF(B559="","",TEXT(AZ559,"00")&amp;"|"&amp;B559&amp;"|"&amp;TEXT(AV559,"yyyymmdd"))</f>
        <v/>
      </c>
      <c r="BC559" s="66">
        <f>IF(OR(AQ559="YES",AQ559="Yes",AQ559="Y",AQ559=1),1,0)</f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17">
        <f>SUM(H560,J560,L560,N560,P560,R560,T560,V560,X560,Z560,AB560,AD560,AF560,AH560,AJ560,AL560,AN560)</f>
        <v>0</v>
      </c>
      <c r="AT560" s="67" t="str">
        <f>IF(C560="","",DATE(YEAR(C560),MONTH(C560),1))</f>
        <v/>
      </c>
      <c r="AU560" s="66" t="str">
        <f>IF(AT560="","",TEXT(AT560,"mmmm yyyy"))</f>
        <v/>
      </c>
      <c r="AV560" s="67" t="str">
        <f>IF(C560="","",C560-WEEKDAY(C560,2)+1)</f>
        <v/>
      </c>
      <c r="AW560" s="67" t="str">
        <f>IF(AV560="","",AV560+6)</f>
        <v/>
      </c>
      <c r="AX560" s="66" t="str">
        <f>IF(AV560="","",TEXT(AV560,"dd/mm/yyyy")&amp;" - "&amp;TEXT(AW560,"dd/mm/yyyy"))</f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>IF(B560="","",TEXT(AY560,"00")&amp;"|"&amp;B560&amp;"|"&amp;TEXT(AT560,"yyyymmdd"))</f>
        <v/>
      </c>
      <c r="BB560" s="66" t="str">
        <f>IF(B560="","",TEXT(AZ560,"00")&amp;"|"&amp;B560&amp;"|"&amp;TEXT(AV560,"yyyymmdd"))</f>
        <v/>
      </c>
      <c r="BC560" s="66">
        <f>IF(OR(AQ560="YES",AQ560="Yes",AQ560="Y",AQ560=1),1,0)</f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17">
        <f>SUM(H561,J561,L561,N561,P561,R561,T561,V561,X561,Z561,AB561,AD561,AF561,AH561,AJ561,AL561,AN561)</f>
        <v>0</v>
      </c>
      <c r="AT561" s="67" t="str">
        <f>IF(C561="","",DATE(YEAR(C561),MONTH(C561),1))</f>
        <v/>
      </c>
      <c r="AU561" s="66" t="str">
        <f>IF(AT561="","",TEXT(AT561,"mmmm yyyy"))</f>
        <v/>
      </c>
      <c r="AV561" s="67" t="str">
        <f>IF(C561="","",C561-WEEKDAY(C561,2)+1)</f>
        <v/>
      </c>
      <c r="AW561" s="67" t="str">
        <f>IF(AV561="","",AV561+6)</f>
        <v/>
      </c>
      <c r="AX561" s="66" t="str">
        <f>IF(AV561="","",TEXT(AV561,"dd/mm/yyyy")&amp;" - "&amp;TEXT(AW561,"dd/mm/yyyy"))</f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>IF(B561="","",TEXT(AY561,"00")&amp;"|"&amp;B561&amp;"|"&amp;TEXT(AT561,"yyyymmdd"))</f>
        <v/>
      </c>
      <c r="BB561" s="66" t="str">
        <f>IF(B561="","",TEXT(AZ561,"00")&amp;"|"&amp;B561&amp;"|"&amp;TEXT(AV561,"yyyymmdd"))</f>
        <v/>
      </c>
      <c r="BC561" s="66">
        <f>IF(OR(AQ561="YES",AQ561="Yes",AQ561="Y",AQ561=1),1,0)</f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17">
        <f>SUM(H562,J562,L562,N562,P562,R562,T562,V562,X562,Z562,AB562,AD562,AF562,AH562,AJ562,AL562,AN562)</f>
        <v>0</v>
      </c>
      <c r="AT562" s="67" t="str">
        <f>IF(C562="","",DATE(YEAR(C562),MONTH(C562),1))</f>
        <v/>
      </c>
      <c r="AU562" s="66" t="str">
        <f>IF(AT562="","",TEXT(AT562,"mmmm yyyy"))</f>
        <v/>
      </c>
      <c r="AV562" s="67" t="str">
        <f>IF(C562="","",C562-WEEKDAY(C562,2)+1)</f>
        <v/>
      </c>
      <c r="AW562" s="67" t="str">
        <f>IF(AV562="","",AV562+6)</f>
        <v/>
      </c>
      <c r="AX562" s="66" t="str">
        <f>IF(AV562="","",TEXT(AV562,"dd/mm/yyyy")&amp;" - "&amp;TEXT(AW562,"dd/mm/yyyy"))</f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>IF(B562="","",TEXT(AY562,"00")&amp;"|"&amp;B562&amp;"|"&amp;TEXT(AT562,"yyyymmdd"))</f>
        <v/>
      </c>
      <c r="BB562" s="66" t="str">
        <f>IF(B562="","",TEXT(AZ562,"00")&amp;"|"&amp;B562&amp;"|"&amp;TEXT(AV562,"yyyymmdd"))</f>
        <v/>
      </c>
      <c r="BC562" s="66">
        <f>IF(OR(AQ562="YES",AQ562="Yes",AQ562="Y",AQ562=1),1,0)</f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17">
        <f>SUM(H563,J563,L563,N563,P563,R563,T563,V563,X563,Z563,AB563,AD563,AF563,AH563,AJ563,AL563,AN563)</f>
        <v>0</v>
      </c>
      <c r="AT563" s="67" t="str">
        <f>IF(C563="","",DATE(YEAR(C563),MONTH(C563),1))</f>
        <v/>
      </c>
      <c r="AU563" s="66" t="str">
        <f>IF(AT563="","",TEXT(AT563,"mmmm yyyy"))</f>
        <v/>
      </c>
      <c r="AV563" s="67" t="str">
        <f>IF(C563="","",C563-WEEKDAY(C563,2)+1)</f>
        <v/>
      </c>
      <c r="AW563" s="67" t="str">
        <f>IF(AV563="","",AV563+6)</f>
        <v/>
      </c>
      <c r="AX563" s="66" t="str">
        <f>IF(AV563="","",TEXT(AV563,"dd/mm/yyyy")&amp;" - "&amp;TEXT(AW563,"dd/mm/yyyy"))</f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>IF(B563="","",TEXT(AY563,"00")&amp;"|"&amp;B563&amp;"|"&amp;TEXT(AT563,"yyyymmdd"))</f>
        <v/>
      </c>
      <c r="BB563" s="66" t="str">
        <f>IF(B563="","",TEXT(AZ563,"00")&amp;"|"&amp;B563&amp;"|"&amp;TEXT(AV563,"yyyymmdd"))</f>
        <v/>
      </c>
      <c r="BC563" s="66">
        <f>IF(OR(AQ563="YES",AQ563="Yes",AQ563="Y",AQ563=1),1,0)</f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17">
        <f>SUM(H564,J564,L564,N564,P564,R564,T564,V564,X564,Z564,AB564,AD564,AF564,AH564,AJ564,AL564,AN564)</f>
        <v>0</v>
      </c>
      <c r="AT564" s="67" t="str">
        <f>IF(C564="","",DATE(YEAR(C564),MONTH(C564),1))</f>
        <v/>
      </c>
      <c r="AU564" s="66" t="str">
        <f>IF(AT564="","",TEXT(AT564,"mmmm yyyy"))</f>
        <v/>
      </c>
      <c r="AV564" s="67" t="str">
        <f>IF(C564="","",C564-WEEKDAY(C564,2)+1)</f>
        <v/>
      </c>
      <c r="AW564" s="67" t="str">
        <f>IF(AV564="","",AV564+6)</f>
        <v/>
      </c>
      <c r="AX564" s="66" t="str">
        <f>IF(AV564="","",TEXT(AV564,"dd/mm/yyyy")&amp;" - "&amp;TEXT(AW564,"dd/mm/yyyy"))</f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>IF(B564="","",TEXT(AY564,"00")&amp;"|"&amp;B564&amp;"|"&amp;TEXT(AT564,"yyyymmdd"))</f>
        <v/>
      </c>
      <c r="BB564" s="66" t="str">
        <f>IF(B564="","",TEXT(AZ564,"00")&amp;"|"&amp;B564&amp;"|"&amp;TEXT(AV564,"yyyymmdd"))</f>
        <v/>
      </c>
      <c r="BC564" s="66">
        <f>IF(OR(AQ564="YES",AQ564="Yes",AQ564="Y",AQ564=1),1,0)</f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17">
        <f>SUM(H565,J565,L565,N565,P565,R565,T565,V565,X565,Z565,AB565,AD565,AF565,AH565,AJ565,AL565,AN565)</f>
        <v>0</v>
      </c>
      <c r="AT565" s="67" t="str">
        <f>IF(C565="","",DATE(YEAR(C565),MONTH(C565),1))</f>
        <v/>
      </c>
      <c r="AU565" s="66" t="str">
        <f>IF(AT565="","",TEXT(AT565,"mmmm yyyy"))</f>
        <v/>
      </c>
      <c r="AV565" s="67" t="str">
        <f>IF(C565="","",C565-WEEKDAY(C565,2)+1)</f>
        <v/>
      </c>
      <c r="AW565" s="67" t="str">
        <f>IF(AV565="","",AV565+6)</f>
        <v/>
      </c>
      <c r="AX565" s="66" t="str">
        <f>IF(AV565="","",TEXT(AV565,"dd/mm/yyyy")&amp;" - "&amp;TEXT(AW565,"dd/mm/yyyy"))</f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>IF(B565="","",TEXT(AY565,"00")&amp;"|"&amp;B565&amp;"|"&amp;TEXT(AT565,"yyyymmdd"))</f>
        <v/>
      </c>
      <c r="BB565" s="66" t="str">
        <f>IF(B565="","",TEXT(AZ565,"00")&amp;"|"&amp;B565&amp;"|"&amp;TEXT(AV565,"yyyymmdd"))</f>
        <v/>
      </c>
      <c r="BC565" s="66">
        <f>IF(OR(AQ565="YES",AQ565="Yes",AQ565="Y",AQ565=1),1,0)</f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17">
        <f>SUM(H566,J566,L566,N566,P566,R566,T566,V566,X566,Z566,AB566,AD566,AF566,AH566,AJ566,AL566,AN566)</f>
        <v>0</v>
      </c>
      <c r="AT566" s="67" t="str">
        <f>IF(C566="","",DATE(YEAR(C566),MONTH(C566),1))</f>
        <v/>
      </c>
      <c r="AU566" s="66" t="str">
        <f>IF(AT566="","",TEXT(AT566,"mmmm yyyy"))</f>
        <v/>
      </c>
      <c r="AV566" s="67" t="str">
        <f>IF(C566="","",C566-WEEKDAY(C566,2)+1)</f>
        <v/>
      </c>
      <c r="AW566" s="67" t="str">
        <f>IF(AV566="","",AV566+6)</f>
        <v/>
      </c>
      <c r="AX566" s="66" t="str">
        <f>IF(AV566="","",TEXT(AV566,"dd/mm/yyyy")&amp;" - "&amp;TEXT(AW566,"dd/mm/yyyy"))</f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>IF(B566="","",TEXT(AY566,"00")&amp;"|"&amp;B566&amp;"|"&amp;TEXT(AT566,"yyyymmdd"))</f>
        <v/>
      </c>
      <c r="BB566" s="66" t="str">
        <f>IF(B566="","",TEXT(AZ566,"00")&amp;"|"&amp;B566&amp;"|"&amp;TEXT(AV566,"yyyymmdd"))</f>
        <v/>
      </c>
      <c r="BC566" s="66">
        <f>IF(OR(AQ566="YES",AQ566="Yes",AQ566="Y",AQ566=1),1,0)</f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17">
        <f>SUM(H567,J567,L567,N567,P567,R567,T567,V567,X567,Z567,AB567,AD567,AF567,AH567,AJ567,AL567,AN567)</f>
        <v>0</v>
      </c>
      <c r="AT567" s="67" t="str">
        <f>IF(C567="","",DATE(YEAR(C567),MONTH(C567),1))</f>
        <v/>
      </c>
      <c r="AU567" s="66" t="str">
        <f>IF(AT567="","",TEXT(AT567,"mmmm yyyy"))</f>
        <v/>
      </c>
      <c r="AV567" s="67" t="str">
        <f>IF(C567="","",C567-WEEKDAY(C567,2)+1)</f>
        <v/>
      </c>
      <c r="AW567" s="67" t="str">
        <f>IF(AV567="","",AV567+6)</f>
        <v/>
      </c>
      <c r="AX567" s="66" t="str">
        <f>IF(AV567="","",TEXT(AV567,"dd/mm/yyyy")&amp;" - "&amp;TEXT(AW567,"dd/mm/yyyy"))</f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>IF(B567="","",TEXT(AY567,"00")&amp;"|"&amp;B567&amp;"|"&amp;TEXT(AT567,"yyyymmdd"))</f>
        <v/>
      </c>
      <c r="BB567" s="66" t="str">
        <f>IF(B567="","",TEXT(AZ567,"00")&amp;"|"&amp;B567&amp;"|"&amp;TEXT(AV567,"yyyymmdd"))</f>
        <v/>
      </c>
      <c r="BC567" s="66">
        <f>IF(OR(AQ567="YES",AQ567="Yes",AQ567="Y",AQ567=1),1,0)</f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17">
        <f>SUM(H568,J568,L568,N568,P568,R568,T568,V568,X568,Z568,AB568,AD568,AF568,AH568,AJ568,AL568,AN568)</f>
        <v>0</v>
      </c>
      <c r="AT568" s="67" t="str">
        <f>IF(C568="","",DATE(YEAR(C568),MONTH(C568),1))</f>
        <v/>
      </c>
      <c r="AU568" s="66" t="str">
        <f>IF(AT568="","",TEXT(AT568,"mmmm yyyy"))</f>
        <v/>
      </c>
      <c r="AV568" s="67" t="str">
        <f>IF(C568="","",C568-WEEKDAY(C568,2)+1)</f>
        <v/>
      </c>
      <c r="AW568" s="67" t="str">
        <f>IF(AV568="","",AV568+6)</f>
        <v/>
      </c>
      <c r="AX568" s="66" t="str">
        <f>IF(AV568="","",TEXT(AV568,"dd/mm/yyyy")&amp;" - "&amp;TEXT(AW568,"dd/mm/yyyy"))</f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>IF(B568="","",TEXT(AY568,"00")&amp;"|"&amp;B568&amp;"|"&amp;TEXT(AT568,"yyyymmdd"))</f>
        <v/>
      </c>
      <c r="BB568" s="66" t="str">
        <f>IF(B568="","",TEXT(AZ568,"00")&amp;"|"&amp;B568&amp;"|"&amp;TEXT(AV568,"yyyymmdd"))</f>
        <v/>
      </c>
      <c r="BC568" s="66">
        <f>IF(OR(AQ568="YES",AQ568="Yes",AQ568="Y",AQ568=1),1,0)</f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17">
        <f>SUM(H569,J569,L569,N569,P569,R569,T569,V569,X569,Z569,AB569,AD569,AF569,AH569,AJ569,AL569,AN569)</f>
        <v>0</v>
      </c>
      <c r="AT569" s="67" t="str">
        <f>IF(C569="","",DATE(YEAR(C569),MONTH(C569),1))</f>
        <v/>
      </c>
      <c r="AU569" s="66" t="str">
        <f>IF(AT569="","",TEXT(AT569,"mmmm yyyy"))</f>
        <v/>
      </c>
      <c r="AV569" s="67" t="str">
        <f>IF(C569="","",C569-WEEKDAY(C569,2)+1)</f>
        <v/>
      </c>
      <c r="AW569" s="67" t="str">
        <f>IF(AV569="","",AV569+6)</f>
        <v/>
      </c>
      <c r="AX569" s="66" t="str">
        <f>IF(AV569="","",TEXT(AV569,"dd/mm/yyyy")&amp;" - "&amp;TEXT(AW569,"dd/mm/yyyy"))</f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>IF(B569="","",TEXT(AY569,"00")&amp;"|"&amp;B569&amp;"|"&amp;TEXT(AT569,"yyyymmdd"))</f>
        <v/>
      </c>
      <c r="BB569" s="66" t="str">
        <f>IF(B569="","",TEXT(AZ569,"00")&amp;"|"&amp;B569&amp;"|"&amp;TEXT(AV569,"yyyymmdd"))</f>
        <v/>
      </c>
      <c r="BC569" s="66">
        <f>IF(OR(AQ569="YES",AQ569="Yes",AQ569="Y",AQ569=1),1,0)</f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17">
        <f>SUM(H570,J570,L570,N570,P570,R570,T570,V570,X570,Z570,AB570,AD570,AF570,AH570,AJ570,AL570,AN570)</f>
        <v>0</v>
      </c>
      <c r="AT570" s="67" t="str">
        <f>IF(C570="","",DATE(YEAR(C570),MONTH(C570),1))</f>
        <v/>
      </c>
      <c r="AU570" s="66" t="str">
        <f>IF(AT570="","",TEXT(AT570,"mmmm yyyy"))</f>
        <v/>
      </c>
      <c r="AV570" s="67" t="str">
        <f>IF(C570="","",C570-WEEKDAY(C570,2)+1)</f>
        <v/>
      </c>
      <c r="AW570" s="67" t="str">
        <f>IF(AV570="","",AV570+6)</f>
        <v/>
      </c>
      <c r="AX570" s="66" t="str">
        <f>IF(AV570="","",TEXT(AV570,"dd/mm/yyyy")&amp;" - "&amp;TEXT(AW570,"dd/mm/yyyy"))</f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>IF(B570="","",TEXT(AY570,"00")&amp;"|"&amp;B570&amp;"|"&amp;TEXT(AT570,"yyyymmdd"))</f>
        <v/>
      </c>
      <c r="BB570" s="66" t="str">
        <f>IF(B570="","",TEXT(AZ570,"00")&amp;"|"&amp;B570&amp;"|"&amp;TEXT(AV570,"yyyymmdd"))</f>
        <v/>
      </c>
      <c r="BC570" s="66">
        <f>IF(OR(AQ570="YES",AQ570="Yes",AQ570="Y",AQ570=1),1,0)</f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17">
        <f>SUM(H571,J571,L571,N571,P571,R571,T571,V571,X571,Z571,AB571,AD571,AF571,AH571,AJ571,AL571,AN571)</f>
        <v>0</v>
      </c>
      <c r="AT571" s="67" t="str">
        <f>IF(C571="","",DATE(YEAR(C571),MONTH(C571),1))</f>
        <v/>
      </c>
      <c r="AU571" s="66" t="str">
        <f>IF(AT571="","",TEXT(AT571,"mmmm yyyy"))</f>
        <v/>
      </c>
      <c r="AV571" s="67" t="str">
        <f>IF(C571="","",C571-WEEKDAY(C571,2)+1)</f>
        <v/>
      </c>
      <c r="AW571" s="67" t="str">
        <f>IF(AV571="","",AV571+6)</f>
        <v/>
      </c>
      <c r="AX571" s="66" t="str">
        <f>IF(AV571="","",TEXT(AV571,"dd/mm/yyyy")&amp;" - "&amp;TEXT(AW571,"dd/mm/yyyy"))</f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>IF(B571="","",TEXT(AY571,"00")&amp;"|"&amp;B571&amp;"|"&amp;TEXT(AT571,"yyyymmdd"))</f>
        <v/>
      </c>
      <c r="BB571" s="66" t="str">
        <f>IF(B571="","",TEXT(AZ571,"00")&amp;"|"&amp;B571&amp;"|"&amp;TEXT(AV571,"yyyymmdd"))</f>
        <v/>
      </c>
      <c r="BC571" s="66">
        <f>IF(OR(AQ571="YES",AQ571="Yes",AQ571="Y",AQ571=1),1,0)</f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17">
        <f>SUM(H572,J572,L572,N572,P572,R572,T572,V572,X572,Z572,AB572,AD572,AF572,AH572,AJ572,AL572,AN572)</f>
        <v>0</v>
      </c>
      <c r="AT572" s="67" t="str">
        <f>IF(C572="","",DATE(YEAR(C572),MONTH(C572),1))</f>
        <v/>
      </c>
      <c r="AU572" s="66" t="str">
        <f>IF(AT572="","",TEXT(AT572,"mmmm yyyy"))</f>
        <v/>
      </c>
      <c r="AV572" s="67" t="str">
        <f>IF(C572="","",C572-WEEKDAY(C572,2)+1)</f>
        <v/>
      </c>
      <c r="AW572" s="67" t="str">
        <f>IF(AV572="","",AV572+6)</f>
        <v/>
      </c>
      <c r="AX572" s="66" t="str">
        <f>IF(AV572="","",TEXT(AV572,"dd/mm/yyyy")&amp;" - "&amp;TEXT(AW572,"dd/mm/yyyy"))</f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>IF(B572="","",TEXT(AY572,"00")&amp;"|"&amp;B572&amp;"|"&amp;TEXT(AT572,"yyyymmdd"))</f>
        <v/>
      </c>
      <c r="BB572" s="66" t="str">
        <f>IF(B572="","",TEXT(AZ572,"00")&amp;"|"&amp;B572&amp;"|"&amp;TEXT(AV572,"yyyymmdd"))</f>
        <v/>
      </c>
      <c r="BC572" s="66">
        <f>IF(OR(AQ572="YES",AQ572="Yes",AQ572="Y",AQ572=1),1,0)</f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17">
        <f>SUM(H573,J573,L573,N573,P573,R573,T573,V573,X573,Z573,AB573,AD573,AF573,AH573,AJ573,AL573,AN573)</f>
        <v>0</v>
      </c>
      <c r="AT573" s="67" t="str">
        <f>IF(C573="","",DATE(YEAR(C573),MONTH(C573),1))</f>
        <v/>
      </c>
      <c r="AU573" s="66" t="str">
        <f>IF(AT573="","",TEXT(AT573,"mmmm yyyy"))</f>
        <v/>
      </c>
      <c r="AV573" s="67" t="str">
        <f>IF(C573="","",C573-WEEKDAY(C573,2)+1)</f>
        <v/>
      </c>
      <c r="AW573" s="67" t="str">
        <f>IF(AV573="","",AV573+6)</f>
        <v/>
      </c>
      <c r="AX573" s="66" t="str">
        <f>IF(AV573="","",TEXT(AV573,"dd/mm/yyyy")&amp;" - "&amp;TEXT(AW573,"dd/mm/yyyy"))</f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>IF(B573="","",TEXT(AY573,"00")&amp;"|"&amp;B573&amp;"|"&amp;TEXT(AT573,"yyyymmdd"))</f>
        <v/>
      </c>
      <c r="BB573" s="66" t="str">
        <f>IF(B573="","",TEXT(AZ573,"00")&amp;"|"&amp;B573&amp;"|"&amp;TEXT(AV573,"yyyymmdd"))</f>
        <v/>
      </c>
      <c r="BC573" s="66">
        <f>IF(OR(AQ573="YES",AQ573="Yes",AQ573="Y",AQ573=1),1,0)</f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17">
        <f>SUM(H574,J574,L574,N574,P574,R574,T574,V574,X574,Z574,AB574,AD574,AF574,AH574,AJ574,AL574,AN574)</f>
        <v>0</v>
      </c>
      <c r="AT574" s="67" t="str">
        <f>IF(C574="","",DATE(YEAR(C574),MONTH(C574),1))</f>
        <v/>
      </c>
      <c r="AU574" s="66" t="str">
        <f>IF(AT574="","",TEXT(AT574,"mmmm yyyy"))</f>
        <v/>
      </c>
      <c r="AV574" s="67" t="str">
        <f>IF(C574="","",C574-WEEKDAY(C574,2)+1)</f>
        <v/>
      </c>
      <c r="AW574" s="67" t="str">
        <f>IF(AV574="","",AV574+6)</f>
        <v/>
      </c>
      <c r="AX574" s="66" t="str">
        <f>IF(AV574="","",TEXT(AV574,"dd/mm/yyyy")&amp;" - "&amp;TEXT(AW574,"dd/mm/yyyy"))</f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>IF(B574="","",TEXT(AY574,"00")&amp;"|"&amp;B574&amp;"|"&amp;TEXT(AT574,"yyyymmdd"))</f>
        <v/>
      </c>
      <c r="BB574" s="66" t="str">
        <f>IF(B574="","",TEXT(AZ574,"00")&amp;"|"&amp;B574&amp;"|"&amp;TEXT(AV574,"yyyymmdd"))</f>
        <v/>
      </c>
      <c r="BC574" s="66">
        <f>IF(OR(AQ574="YES",AQ574="Yes",AQ574="Y",AQ574=1),1,0)</f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17">
        <f>SUM(H575,J575,L575,N575,P575,R575,T575,V575,X575,Z575,AB575,AD575,AF575,AH575,AJ575,AL575,AN575)</f>
        <v>0</v>
      </c>
      <c r="AT575" s="67" t="str">
        <f>IF(C575="","",DATE(YEAR(C575),MONTH(C575),1))</f>
        <v/>
      </c>
      <c r="AU575" s="66" t="str">
        <f>IF(AT575="","",TEXT(AT575,"mmmm yyyy"))</f>
        <v/>
      </c>
      <c r="AV575" s="67" t="str">
        <f>IF(C575="","",C575-WEEKDAY(C575,2)+1)</f>
        <v/>
      </c>
      <c r="AW575" s="67" t="str">
        <f>IF(AV575="","",AV575+6)</f>
        <v/>
      </c>
      <c r="AX575" s="66" t="str">
        <f>IF(AV575="","",TEXT(AV575,"dd/mm/yyyy")&amp;" - "&amp;TEXT(AW575,"dd/mm/yyyy"))</f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>IF(B575="","",TEXT(AY575,"00")&amp;"|"&amp;B575&amp;"|"&amp;TEXT(AT575,"yyyymmdd"))</f>
        <v/>
      </c>
      <c r="BB575" s="66" t="str">
        <f>IF(B575="","",TEXT(AZ575,"00")&amp;"|"&amp;B575&amp;"|"&amp;TEXT(AV575,"yyyymmdd"))</f>
        <v/>
      </c>
      <c r="BC575" s="66">
        <f>IF(OR(AQ575="YES",AQ575="Yes",AQ575="Y",AQ575=1),1,0)</f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17">
        <f>SUM(H576,J576,L576,N576,P576,R576,T576,V576,X576,Z576,AB576,AD576,AF576,AH576,AJ576,AL576,AN576)</f>
        <v>0</v>
      </c>
      <c r="AT576" s="67" t="str">
        <f>IF(C576="","",DATE(YEAR(C576),MONTH(C576),1))</f>
        <v/>
      </c>
      <c r="AU576" s="66" t="str">
        <f>IF(AT576="","",TEXT(AT576,"mmmm yyyy"))</f>
        <v/>
      </c>
      <c r="AV576" s="67" t="str">
        <f>IF(C576="","",C576-WEEKDAY(C576,2)+1)</f>
        <v/>
      </c>
      <c r="AW576" s="67" t="str">
        <f>IF(AV576="","",AV576+6)</f>
        <v/>
      </c>
      <c r="AX576" s="66" t="str">
        <f>IF(AV576="","",TEXT(AV576,"dd/mm/yyyy")&amp;" - "&amp;TEXT(AW576,"dd/mm/yyyy"))</f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>IF(B576="","",TEXT(AY576,"00")&amp;"|"&amp;B576&amp;"|"&amp;TEXT(AT576,"yyyymmdd"))</f>
        <v/>
      </c>
      <c r="BB576" s="66" t="str">
        <f>IF(B576="","",TEXT(AZ576,"00")&amp;"|"&amp;B576&amp;"|"&amp;TEXT(AV576,"yyyymmdd"))</f>
        <v/>
      </c>
      <c r="BC576" s="66">
        <f>IF(OR(AQ576="YES",AQ576="Yes",AQ576="Y",AQ576=1),1,0)</f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17">
        <f>SUM(H577,J577,L577,N577,P577,R577,T577,V577,X577,Z577,AB577,AD577,AF577,AH577,AJ577,AL577,AN577)</f>
        <v>0</v>
      </c>
      <c r="AT577" s="67" t="str">
        <f>IF(C577="","",DATE(YEAR(C577),MONTH(C577),1))</f>
        <v/>
      </c>
      <c r="AU577" s="66" t="str">
        <f>IF(AT577="","",TEXT(AT577,"mmmm yyyy"))</f>
        <v/>
      </c>
      <c r="AV577" s="67" t="str">
        <f>IF(C577="","",C577-WEEKDAY(C577,2)+1)</f>
        <v/>
      </c>
      <c r="AW577" s="67" t="str">
        <f>IF(AV577="","",AV577+6)</f>
        <v/>
      </c>
      <c r="AX577" s="66" t="str">
        <f>IF(AV577="","",TEXT(AV577,"dd/mm/yyyy")&amp;" - "&amp;TEXT(AW577,"dd/mm/yyyy"))</f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>IF(B577="","",TEXT(AY577,"00")&amp;"|"&amp;B577&amp;"|"&amp;TEXT(AT577,"yyyymmdd"))</f>
        <v/>
      </c>
      <c r="BB577" s="66" t="str">
        <f>IF(B577="","",TEXT(AZ577,"00")&amp;"|"&amp;B577&amp;"|"&amp;TEXT(AV577,"yyyymmdd"))</f>
        <v/>
      </c>
      <c r="BC577" s="66">
        <f>IF(OR(AQ577="YES",AQ577="Yes",AQ577="Y",AQ577=1),1,0)</f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17">
        <f>SUM(H578,J578,L578,N578,P578,R578,T578,V578,X578,Z578,AB578,AD578,AF578,AH578,AJ578,AL578,AN578)</f>
        <v>0</v>
      </c>
      <c r="AT578" s="67" t="str">
        <f>IF(C578="","",DATE(YEAR(C578),MONTH(C578),1))</f>
        <v/>
      </c>
      <c r="AU578" s="66" t="str">
        <f>IF(AT578="","",TEXT(AT578,"mmmm yyyy"))</f>
        <v/>
      </c>
      <c r="AV578" s="67" t="str">
        <f>IF(C578="","",C578-WEEKDAY(C578,2)+1)</f>
        <v/>
      </c>
      <c r="AW578" s="67" t="str">
        <f>IF(AV578="","",AV578+6)</f>
        <v/>
      </c>
      <c r="AX578" s="66" t="str">
        <f>IF(AV578="","",TEXT(AV578,"dd/mm/yyyy")&amp;" - "&amp;TEXT(AW578,"dd/mm/yyyy"))</f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>IF(B578="","",TEXT(AY578,"00")&amp;"|"&amp;B578&amp;"|"&amp;TEXT(AT578,"yyyymmdd"))</f>
        <v/>
      </c>
      <c r="BB578" s="66" t="str">
        <f>IF(B578="","",TEXT(AZ578,"00")&amp;"|"&amp;B578&amp;"|"&amp;TEXT(AV578,"yyyymmdd"))</f>
        <v/>
      </c>
      <c r="BC578" s="66">
        <f>IF(OR(AQ578="YES",AQ578="Yes",AQ578="Y",AQ578=1),1,0)</f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17">
        <f>SUM(H579,J579,L579,N579,P579,R579,T579,V579,X579,Z579,AB579,AD579,AF579,AH579,AJ579,AL579,AN579)</f>
        <v>0</v>
      </c>
      <c r="AT579" s="67" t="str">
        <f>IF(C579="","",DATE(YEAR(C579),MONTH(C579),1))</f>
        <v/>
      </c>
      <c r="AU579" s="66" t="str">
        <f>IF(AT579="","",TEXT(AT579,"mmmm yyyy"))</f>
        <v/>
      </c>
      <c r="AV579" s="67" t="str">
        <f>IF(C579="","",C579-WEEKDAY(C579,2)+1)</f>
        <v/>
      </c>
      <c r="AW579" s="67" t="str">
        <f>IF(AV579="","",AV579+6)</f>
        <v/>
      </c>
      <c r="AX579" s="66" t="str">
        <f>IF(AV579="","",TEXT(AV579,"dd/mm/yyyy")&amp;" - "&amp;TEXT(AW579,"dd/mm/yyyy"))</f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>IF(B579="","",TEXT(AY579,"00")&amp;"|"&amp;B579&amp;"|"&amp;TEXT(AT579,"yyyymmdd"))</f>
        <v/>
      </c>
      <c r="BB579" s="66" t="str">
        <f>IF(B579="","",TEXT(AZ579,"00")&amp;"|"&amp;B579&amp;"|"&amp;TEXT(AV579,"yyyymmdd"))</f>
        <v/>
      </c>
      <c r="BC579" s="66">
        <f>IF(OR(AQ579="YES",AQ579="Yes",AQ579="Y",AQ579=1),1,0)</f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17">
        <f>SUM(H580,J580,L580,N580,P580,R580,T580,V580,X580,Z580,AB580,AD580,AF580,AH580,AJ580,AL580,AN580)</f>
        <v>0</v>
      </c>
      <c r="AT580" s="67" t="str">
        <f>IF(C580="","",DATE(YEAR(C580),MONTH(C580),1))</f>
        <v/>
      </c>
      <c r="AU580" s="66" t="str">
        <f>IF(AT580="","",TEXT(AT580,"mmmm yyyy"))</f>
        <v/>
      </c>
      <c r="AV580" s="67" t="str">
        <f>IF(C580="","",C580-WEEKDAY(C580,2)+1)</f>
        <v/>
      </c>
      <c r="AW580" s="67" t="str">
        <f>IF(AV580="","",AV580+6)</f>
        <v/>
      </c>
      <c r="AX580" s="66" t="str">
        <f>IF(AV580="","",TEXT(AV580,"dd/mm/yyyy")&amp;" - "&amp;TEXT(AW580,"dd/mm/yyyy"))</f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>IF(B580="","",TEXT(AY580,"00")&amp;"|"&amp;B580&amp;"|"&amp;TEXT(AT580,"yyyymmdd"))</f>
        <v/>
      </c>
      <c r="BB580" s="66" t="str">
        <f>IF(B580="","",TEXT(AZ580,"00")&amp;"|"&amp;B580&amp;"|"&amp;TEXT(AV580,"yyyymmdd"))</f>
        <v/>
      </c>
      <c r="BC580" s="66">
        <f>IF(OR(AQ580="YES",AQ580="Yes",AQ580="Y",AQ580=1),1,0)</f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17">
        <f>SUM(H581,J581,L581,N581,P581,R581,T581,V581,X581,Z581,AB581,AD581,AF581,AH581,AJ581,AL581,AN581)</f>
        <v>0</v>
      </c>
      <c r="AT581" s="67" t="str">
        <f>IF(C581="","",DATE(YEAR(C581),MONTH(C581),1))</f>
        <v/>
      </c>
      <c r="AU581" s="66" t="str">
        <f>IF(AT581="","",TEXT(AT581,"mmmm yyyy"))</f>
        <v/>
      </c>
      <c r="AV581" s="67" t="str">
        <f>IF(C581="","",C581-WEEKDAY(C581,2)+1)</f>
        <v/>
      </c>
      <c r="AW581" s="67" t="str">
        <f>IF(AV581="","",AV581+6)</f>
        <v/>
      </c>
      <c r="AX581" s="66" t="str">
        <f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>IF(B581="","",TEXT(AY581,"00")&amp;"|"&amp;B581&amp;"|"&amp;TEXT(AT581,"yyyymmdd"))</f>
        <v/>
      </c>
      <c r="BB581" s="66" t="str">
        <f>IF(B581="","",TEXT(AZ581,"00")&amp;"|"&amp;B581&amp;"|"&amp;TEXT(AV581,"yyyymmdd"))</f>
        <v/>
      </c>
      <c r="BC581" s="66">
        <f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17">
        <f>SUM(H582,J582,L582,N582,P582,R582,T582,V582,X582,Z582,AB582,AD582,AF582,AH582,AJ582,AL582,AN582)</f>
        <v>0</v>
      </c>
      <c r="AT582" s="67" t="str">
        <f>IF(C582="","",DATE(YEAR(C582),MONTH(C582),1))</f>
        <v/>
      </c>
      <c r="AU582" s="66" t="str">
        <f>IF(AT582="","",TEXT(AT582,"mmmm yyyy"))</f>
        <v/>
      </c>
      <c r="AV582" s="67" t="str">
        <f>IF(C582="","",C582-WEEKDAY(C582,2)+1)</f>
        <v/>
      </c>
      <c r="AW582" s="67" t="str">
        <f>IF(AV582="","",AV582+6)</f>
        <v/>
      </c>
      <c r="AX582" s="66" t="str">
        <f>IF(AV582="","",TEXT(AV582,"dd/mm/yyyy")&amp;" - "&amp;TEXT(AW582,"dd/mm/yyyy"))</f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>IF(B582="","",TEXT(AY582,"00")&amp;"|"&amp;B582&amp;"|"&amp;TEXT(AT582,"yyyymmdd"))</f>
        <v/>
      </c>
      <c r="BB582" s="66" t="str">
        <f>IF(B582="","",TEXT(AZ582,"00")&amp;"|"&amp;B582&amp;"|"&amp;TEXT(AV582,"yyyymmdd"))</f>
        <v/>
      </c>
      <c r="BC582" s="66">
        <f>IF(OR(AQ582="YES",AQ582="Yes",AQ582="Y",AQ582=1),1,0)</f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17">
        <f>SUM(H583,J583,L583,N583,P583,R583,T583,V583,X583,Z583,AB583,AD583,AF583,AH583,AJ583,AL583,AN583)</f>
        <v>0</v>
      </c>
      <c r="AT583" s="67" t="str">
        <f>IF(C583="","",DATE(YEAR(C583),MONTH(C583),1))</f>
        <v/>
      </c>
      <c r="AU583" s="66" t="str">
        <f>IF(AT583="","",TEXT(AT583,"mmmm yyyy"))</f>
        <v/>
      </c>
      <c r="AV583" s="67" t="str">
        <f>IF(C583="","",C583-WEEKDAY(C583,2)+1)</f>
        <v/>
      </c>
      <c r="AW583" s="67" t="str">
        <f>IF(AV583="","",AV583+6)</f>
        <v/>
      </c>
      <c r="AX583" s="66" t="str">
        <f>IF(AV583="","",TEXT(AV583,"dd/mm/yyyy")&amp;" - "&amp;TEXT(AW583,"dd/mm/yyyy"))</f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>IF(B583="","",TEXT(AY583,"00")&amp;"|"&amp;B583&amp;"|"&amp;TEXT(AT583,"yyyymmdd"))</f>
        <v/>
      </c>
      <c r="BB583" s="66" t="str">
        <f>IF(B583="","",TEXT(AZ583,"00")&amp;"|"&amp;B583&amp;"|"&amp;TEXT(AV583,"yyyymmdd"))</f>
        <v/>
      </c>
      <c r="BC583" s="66">
        <f>IF(OR(AQ583="YES",AQ583="Yes",AQ583="Y",AQ583=1),1,0)</f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17">
        <f>SUM(H584,J584,L584,N584,P584,R584,T584,V584,X584,Z584,AB584,AD584,AF584,AH584,AJ584,AL584,AN584)</f>
        <v>0</v>
      </c>
      <c r="AT584" s="67" t="str">
        <f>IF(C584="","",DATE(YEAR(C584),MONTH(C584),1))</f>
        <v/>
      </c>
      <c r="AU584" s="66" t="str">
        <f>IF(AT584="","",TEXT(AT584,"mmmm yyyy"))</f>
        <v/>
      </c>
      <c r="AV584" s="67" t="str">
        <f>IF(C584="","",C584-WEEKDAY(C584,2)+1)</f>
        <v/>
      </c>
      <c r="AW584" s="67" t="str">
        <f>IF(AV584="","",AV584+6)</f>
        <v/>
      </c>
      <c r="AX584" s="66" t="str">
        <f>IF(AV584="","",TEXT(AV584,"dd/mm/yyyy")&amp;" - "&amp;TEXT(AW584,"dd/mm/yyyy"))</f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>IF(B584="","",TEXT(AY584,"00")&amp;"|"&amp;B584&amp;"|"&amp;TEXT(AT584,"yyyymmdd"))</f>
        <v/>
      </c>
      <c r="BB584" s="66" t="str">
        <f>IF(B584="","",TEXT(AZ584,"00")&amp;"|"&amp;B584&amp;"|"&amp;TEXT(AV584,"yyyymmdd"))</f>
        <v/>
      </c>
      <c r="BC584" s="66">
        <f>IF(OR(AQ584="YES",AQ584="Yes",AQ584="Y",AQ584=1),1,0)</f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17">
        <f>SUM(H585,J585,L585,N585,P585,R585,T585,V585,X585,Z585,AB585,AD585,AF585,AH585,AJ585,AL585,AN585)</f>
        <v>0</v>
      </c>
      <c r="AT585" s="67" t="str">
        <f>IF(C585="","",DATE(YEAR(C585),MONTH(C585),1))</f>
        <v/>
      </c>
      <c r="AU585" s="66" t="str">
        <f>IF(AT585="","",TEXT(AT585,"mmmm yyyy"))</f>
        <v/>
      </c>
      <c r="AV585" s="67" t="str">
        <f>IF(C585="","",C585-WEEKDAY(C585,2)+1)</f>
        <v/>
      </c>
      <c r="AW585" s="67" t="str">
        <f>IF(AV585="","",AV585+6)</f>
        <v/>
      </c>
      <c r="AX585" s="66" t="str">
        <f>IF(AV585="","",TEXT(AV585,"dd/mm/yyyy")&amp;" - "&amp;TEXT(AW585,"dd/mm/yyyy"))</f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>IF(B585="","",TEXT(AY585,"00")&amp;"|"&amp;B585&amp;"|"&amp;TEXT(AT585,"yyyymmdd"))</f>
        <v/>
      </c>
      <c r="BB585" s="66" t="str">
        <f>IF(B585="","",TEXT(AZ585,"00")&amp;"|"&amp;B585&amp;"|"&amp;TEXT(AV585,"yyyymmdd"))</f>
        <v/>
      </c>
      <c r="BC585" s="66">
        <f>IF(OR(AQ585="YES",AQ585="Yes",AQ585="Y",AQ585=1),1,0)</f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17">
        <f>SUM(H586,J586,L586,N586,P586,R586,T586,V586,X586,Z586,AB586,AD586,AF586,AH586,AJ586,AL586,AN586)</f>
        <v>0</v>
      </c>
      <c r="AT586" s="67" t="str">
        <f>IF(C586="","",DATE(YEAR(C586),MONTH(C586),1))</f>
        <v/>
      </c>
      <c r="AU586" s="66" t="str">
        <f>IF(AT586="","",TEXT(AT586,"mmmm yyyy"))</f>
        <v/>
      </c>
      <c r="AV586" s="67" t="str">
        <f>IF(C586="","",C586-WEEKDAY(C586,2)+1)</f>
        <v/>
      </c>
      <c r="AW586" s="67" t="str">
        <f>IF(AV586="","",AV586+6)</f>
        <v/>
      </c>
      <c r="AX586" s="66" t="str">
        <f>IF(AV586="","",TEXT(AV586,"dd/mm/yyyy")&amp;" - "&amp;TEXT(AW586,"dd/mm/yyyy"))</f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>IF(B586="","",TEXT(AY586,"00")&amp;"|"&amp;B586&amp;"|"&amp;TEXT(AT586,"yyyymmdd"))</f>
        <v/>
      </c>
      <c r="BB586" s="66" t="str">
        <f>IF(B586="","",TEXT(AZ586,"00")&amp;"|"&amp;B586&amp;"|"&amp;TEXT(AV586,"yyyymmdd"))</f>
        <v/>
      </c>
      <c r="BC586" s="66">
        <f>IF(OR(AQ586="YES",AQ586="Yes",AQ586="Y",AQ586=1),1,0)</f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17">
        <f>SUM(H587,J587,L587,N587,P587,R587,T587,V587,X587,Z587,AB587,AD587,AF587,AH587,AJ587,AL587,AN587)</f>
        <v>0</v>
      </c>
      <c r="AT587" s="67" t="str">
        <f>IF(C587="","",DATE(YEAR(C587),MONTH(C587),1))</f>
        <v/>
      </c>
      <c r="AU587" s="66" t="str">
        <f>IF(AT587="","",TEXT(AT587,"mmmm yyyy"))</f>
        <v/>
      </c>
      <c r="AV587" s="67" t="str">
        <f>IF(C587="","",C587-WEEKDAY(C587,2)+1)</f>
        <v/>
      </c>
      <c r="AW587" s="67" t="str">
        <f>IF(AV587="","",AV587+6)</f>
        <v/>
      </c>
      <c r="AX587" s="66" t="str">
        <f>IF(AV587="","",TEXT(AV587,"dd/mm/yyyy")&amp;" - "&amp;TEXT(AW587,"dd/mm/yyyy"))</f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>IF(B587="","",TEXT(AY587,"00")&amp;"|"&amp;B587&amp;"|"&amp;TEXT(AT587,"yyyymmdd"))</f>
        <v/>
      </c>
      <c r="BB587" s="66" t="str">
        <f>IF(B587="","",TEXT(AZ587,"00")&amp;"|"&amp;B587&amp;"|"&amp;TEXT(AV587,"yyyymmdd"))</f>
        <v/>
      </c>
      <c r="BC587" s="66">
        <f>IF(OR(AQ587="YES",AQ587="Yes",AQ587="Y",AQ587=1),1,0)</f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17">
        <f>SUM(H588,J588,L588,N588,P588,R588,T588,V588,X588,Z588,AB588,AD588,AF588,AH588,AJ588,AL588,AN588)</f>
        <v>0</v>
      </c>
      <c r="AT588" s="67" t="str">
        <f>IF(C588="","",DATE(YEAR(C588),MONTH(C588),1))</f>
        <v/>
      </c>
      <c r="AU588" s="66" t="str">
        <f>IF(AT588="","",TEXT(AT588,"mmmm yyyy"))</f>
        <v/>
      </c>
      <c r="AV588" s="67" t="str">
        <f>IF(C588="","",C588-WEEKDAY(C588,2)+1)</f>
        <v/>
      </c>
      <c r="AW588" s="67" t="str">
        <f>IF(AV588="","",AV588+6)</f>
        <v/>
      </c>
      <c r="AX588" s="66" t="str">
        <f>IF(AV588="","",TEXT(AV588,"dd/mm/yyyy")&amp;" - "&amp;TEXT(AW588,"dd/mm/yyyy"))</f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>IF(B588="","",TEXT(AY588,"00")&amp;"|"&amp;B588&amp;"|"&amp;TEXT(AT588,"yyyymmdd"))</f>
        <v/>
      </c>
      <c r="BB588" s="66" t="str">
        <f>IF(B588="","",TEXT(AZ588,"00")&amp;"|"&amp;B588&amp;"|"&amp;TEXT(AV588,"yyyymmdd"))</f>
        <v/>
      </c>
      <c r="BC588" s="66">
        <f>IF(OR(AQ588="YES",AQ588="Yes",AQ588="Y",AQ588=1),1,0)</f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17">
        <f>SUM(H589,J589,L589,N589,P589,R589,T589,V589,X589,Z589,AB589,AD589,AF589,AH589,AJ589,AL589,AN589)</f>
        <v>0</v>
      </c>
      <c r="AT589" s="67" t="str">
        <f>IF(C589="","",DATE(YEAR(C589),MONTH(C589),1))</f>
        <v/>
      </c>
      <c r="AU589" s="66" t="str">
        <f>IF(AT589="","",TEXT(AT589,"mmmm yyyy"))</f>
        <v/>
      </c>
      <c r="AV589" s="67" t="str">
        <f>IF(C589="","",C589-WEEKDAY(C589,2)+1)</f>
        <v/>
      </c>
      <c r="AW589" s="67" t="str">
        <f>IF(AV589="","",AV589+6)</f>
        <v/>
      </c>
      <c r="AX589" s="66" t="str">
        <f>IF(AV589="","",TEXT(AV589,"dd/mm/yyyy")&amp;" - "&amp;TEXT(AW589,"dd/mm/yyyy"))</f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>IF(B589="","",TEXT(AY589,"00")&amp;"|"&amp;B589&amp;"|"&amp;TEXT(AT589,"yyyymmdd"))</f>
        <v/>
      </c>
      <c r="BB589" s="66" t="str">
        <f>IF(B589="","",TEXT(AZ589,"00")&amp;"|"&amp;B589&amp;"|"&amp;TEXT(AV589,"yyyymmdd"))</f>
        <v/>
      </c>
      <c r="BC589" s="66">
        <f>IF(OR(AQ589="YES",AQ589="Yes",AQ589="Y",AQ589=1),1,0)</f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17">
        <f>SUM(H590,J590,L590,N590,P590,R590,T590,V590,X590,Z590,AB590,AD590,AF590,AH590,AJ590,AL590,AN590)</f>
        <v>0</v>
      </c>
      <c r="AT590" s="67" t="str">
        <f>IF(C590="","",DATE(YEAR(C590),MONTH(C590),1))</f>
        <v/>
      </c>
      <c r="AU590" s="66" t="str">
        <f>IF(AT590="","",TEXT(AT590,"mmmm yyyy"))</f>
        <v/>
      </c>
      <c r="AV590" s="67" t="str">
        <f>IF(C590="","",C590-WEEKDAY(C590,2)+1)</f>
        <v/>
      </c>
      <c r="AW590" s="67" t="str">
        <f>IF(AV590="","",AV590+6)</f>
        <v/>
      </c>
      <c r="AX590" s="66" t="str">
        <f>IF(AV590="","",TEXT(AV590,"dd/mm/yyyy")&amp;" - "&amp;TEXT(AW590,"dd/mm/yyyy"))</f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>IF(B590="","",TEXT(AY590,"00")&amp;"|"&amp;B590&amp;"|"&amp;TEXT(AT590,"yyyymmdd"))</f>
        <v/>
      </c>
      <c r="BB590" s="66" t="str">
        <f>IF(B590="","",TEXT(AZ590,"00")&amp;"|"&amp;B590&amp;"|"&amp;TEXT(AV590,"yyyymmdd"))</f>
        <v/>
      </c>
      <c r="BC590" s="66">
        <f>IF(OR(AQ590="YES",AQ590="Yes",AQ590="Y",AQ590=1),1,0)</f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17">
        <f>SUM(H591,J591,L591,N591,P591,R591,T591,V591,X591,Z591,AB591,AD591,AF591,AH591,AJ591,AL591,AN591)</f>
        <v>0</v>
      </c>
      <c r="AT591" s="67" t="str">
        <f>IF(C591="","",DATE(YEAR(C591),MONTH(C591),1))</f>
        <v/>
      </c>
      <c r="AU591" s="66" t="str">
        <f>IF(AT591="","",TEXT(AT591,"mmmm yyyy"))</f>
        <v/>
      </c>
      <c r="AV591" s="67" t="str">
        <f>IF(C591="","",C591-WEEKDAY(C591,2)+1)</f>
        <v/>
      </c>
      <c r="AW591" s="67" t="str">
        <f>IF(AV591="","",AV591+6)</f>
        <v/>
      </c>
      <c r="AX591" s="66" t="str">
        <f>IF(AV591="","",TEXT(AV591,"dd/mm/yyyy")&amp;" - "&amp;TEXT(AW591,"dd/mm/yyyy"))</f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>IF(B591="","",TEXT(AY591,"00")&amp;"|"&amp;B591&amp;"|"&amp;TEXT(AT591,"yyyymmdd"))</f>
        <v/>
      </c>
      <c r="BB591" s="66" t="str">
        <f>IF(B591="","",TEXT(AZ591,"00")&amp;"|"&amp;B591&amp;"|"&amp;TEXT(AV591,"yyyymmdd"))</f>
        <v/>
      </c>
      <c r="BC591" s="66">
        <f>IF(OR(AQ591="YES",AQ591="Yes",AQ591="Y",AQ591=1),1,0)</f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17">
        <f>SUM(H592,J592,L592,N592,P592,R592,T592,V592,X592,Z592,AB592,AD592,AF592,AH592,AJ592,AL592,AN592)</f>
        <v>0</v>
      </c>
      <c r="AT592" s="67" t="str">
        <f>IF(C592="","",DATE(YEAR(C592),MONTH(C592),1))</f>
        <v/>
      </c>
      <c r="AU592" s="66" t="str">
        <f>IF(AT592="","",TEXT(AT592,"mmmm yyyy"))</f>
        <v/>
      </c>
      <c r="AV592" s="67" t="str">
        <f>IF(C592="","",C592-WEEKDAY(C592,2)+1)</f>
        <v/>
      </c>
      <c r="AW592" s="67" t="str">
        <f>IF(AV592="","",AV592+6)</f>
        <v/>
      </c>
      <c r="AX592" s="66" t="str">
        <f>IF(AV592="","",TEXT(AV592,"dd/mm/yyyy")&amp;" - "&amp;TEXT(AW592,"dd/mm/yyyy"))</f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>IF(B592="","",TEXT(AY592,"00")&amp;"|"&amp;B592&amp;"|"&amp;TEXT(AT592,"yyyymmdd"))</f>
        <v/>
      </c>
      <c r="BB592" s="66" t="str">
        <f>IF(B592="","",TEXT(AZ592,"00")&amp;"|"&amp;B592&amp;"|"&amp;TEXT(AV592,"yyyymmdd"))</f>
        <v/>
      </c>
      <c r="BC592" s="66">
        <f>IF(OR(AQ592="YES",AQ592="Yes",AQ592="Y",AQ592=1),1,0)</f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17">
        <f>SUM(H593,J593,L593,N593,P593,R593,T593,V593,X593,Z593,AB593,AD593,AF593,AH593,AJ593,AL593,AN593)</f>
        <v>0</v>
      </c>
      <c r="AT593" s="67" t="str">
        <f>IF(C593="","",DATE(YEAR(C593),MONTH(C593),1))</f>
        <v/>
      </c>
      <c r="AU593" s="66" t="str">
        <f>IF(AT593="","",TEXT(AT593,"mmmm yyyy"))</f>
        <v/>
      </c>
      <c r="AV593" s="67" t="str">
        <f>IF(C593="","",C593-WEEKDAY(C593,2)+1)</f>
        <v/>
      </c>
      <c r="AW593" s="67" t="str">
        <f>IF(AV593="","",AV593+6)</f>
        <v/>
      </c>
      <c r="AX593" s="66" t="str">
        <f>IF(AV593="","",TEXT(AV593,"dd/mm/yyyy")&amp;" - "&amp;TEXT(AW593,"dd/mm/yyyy"))</f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>IF(B593="","",TEXT(AY593,"00")&amp;"|"&amp;B593&amp;"|"&amp;TEXT(AT593,"yyyymmdd"))</f>
        <v/>
      </c>
      <c r="BB593" s="66" t="str">
        <f>IF(B593="","",TEXT(AZ593,"00")&amp;"|"&amp;B593&amp;"|"&amp;TEXT(AV593,"yyyymmdd"))</f>
        <v/>
      </c>
      <c r="BC593" s="66">
        <f>IF(OR(AQ593="YES",AQ593="Yes",AQ593="Y",AQ593=1),1,0)</f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17">
        <f>SUM(H594,J594,L594,N594,P594,R594,T594,V594,X594,Z594,AB594,AD594,AF594,AH594,AJ594,AL594,AN594)</f>
        <v>0</v>
      </c>
      <c r="AT594" s="67" t="str">
        <f>IF(C594="","",DATE(YEAR(C594),MONTH(C594),1))</f>
        <v/>
      </c>
      <c r="AU594" s="66" t="str">
        <f>IF(AT594="","",TEXT(AT594,"mmmm yyyy"))</f>
        <v/>
      </c>
      <c r="AV594" s="67" t="str">
        <f>IF(C594="","",C594-WEEKDAY(C594,2)+1)</f>
        <v/>
      </c>
      <c r="AW594" s="67" t="str">
        <f>IF(AV594="","",AV594+6)</f>
        <v/>
      </c>
      <c r="AX594" s="66" t="str">
        <f>IF(AV594="","",TEXT(AV594,"dd/mm/yyyy")&amp;" - "&amp;TEXT(AW594,"dd/mm/yyyy"))</f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>IF(B594="","",TEXT(AY594,"00")&amp;"|"&amp;B594&amp;"|"&amp;TEXT(AT594,"yyyymmdd"))</f>
        <v/>
      </c>
      <c r="BB594" s="66" t="str">
        <f>IF(B594="","",TEXT(AZ594,"00")&amp;"|"&amp;B594&amp;"|"&amp;TEXT(AV594,"yyyymmdd"))</f>
        <v/>
      </c>
      <c r="BC594" s="66">
        <f>IF(OR(AQ594="YES",AQ594="Yes",AQ594="Y",AQ594=1),1,0)</f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17">
        <f>SUM(H595,J595,L595,N595,P595,R595,T595,V595,X595,Z595,AB595,AD595,AF595,AH595,AJ595,AL595,AN595)</f>
        <v>0</v>
      </c>
      <c r="AT595" s="67" t="str">
        <f>IF(C595="","",DATE(YEAR(C595),MONTH(C595),1))</f>
        <v/>
      </c>
      <c r="AU595" s="66" t="str">
        <f>IF(AT595="","",TEXT(AT595,"mmmm yyyy"))</f>
        <v/>
      </c>
      <c r="AV595" s="67" t="str">
        <f>IF(C595="","",C595-WEEKDAY(C595,2)+1)</f>
        <v/>
      </c>
      <c r="AW595" s="67" t="str">
        <f>IF(AV595="","",AV595+6)</f>
        <v/>
      </c>
      <c r="AX595" s="66" t="str">
        <f>IF(AV595="","",TEXT(AV595,"dd/mm/yyyy")&amp;" - "&amp;TEXT(AW595,"dd/mm/yyyy"))</f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>IF(B595="","",TEXT(AY595,"00")&amp;"|"&amp;B595&amp;"|"&amp;TEXT(AT595,"yyyymmdd"))</f>
        <v/>
      </c>
      <c r="BB595" s="66" t="str">
        <f>IF(B595="","",TEXT(AZ595,"00")&amp;"|"&amp;B595&amp;"|"&amp;TEXT(AV595,"yyyymmdd"))</f>
        <v/>
      </c>
      <c r="BC595" s="66">
        <f>IF(OR(AQ595="YES",AQ595="Yes",AQ595="Y",AQ595=1),1,0)</f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17">
        <f>SUM(H596,J596,L596,N596,P596,R596,T596,V596,X596,Z596,AB596,AD596,AF596,AH596,AJ596,AL596,AN596)</f>
        <v>0</v>
      </c>
      <c r="AT596" s="67" t="str">
        <f>IF(C596="","",DATE(YEAR(C596),MONTH(C596),1))</f>
        <v/>
      </c>
      <c r="AU596" s="66" t="str">
        <f>IF(AT596="","",TEXT(AT596,"mmmm yyyy"))</f>
        <v/>
      </c>
      <c r="AV596" s="67" t="str">
        <f>IF(C596="","",C596-WEEKDAY(C596,2)+1)</f>
        <v/>
      </c>
      <c r="AW596" s="67" t="str">
        <f>IF(AV596="","",AV596+6)</f>
        <v/>
      </c>
      <c r="AX596" s="66" t="str">
        <f>IF(AV596="","",TEXT(AV596,"dd/mm/yyyy")&amp;" - "&amp;TEXT(AW596,"dd/mm/yyyy"))</f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>IF(B596="","",TEXT(AY596,"00")&amp;"|"&amp;B596&amp;"|"&amp;TEXT(AT596,"yyyymmdd"))</f>
        <v/>
      </c>
      <c r="BB596" s="66" t="str">
        <f>IF(B596="","",TEXT(AZ596,"00")&amp;"|"&amp;B596&amp;"|"&amp;TEXT(AV596,"yyyymmdd"))</f>
        <v/>
      </c>
      <c r="BC596" s="66">
        <f>IF(OR(AQ596="YES",AQ596="Yes",AQ596="Y",AQ596=1),1,0)</f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17">
        <f>SUM(H597,J597,L597,N597,P597,R597,T597,V597,X597,Z597,AB597,AD597,AF597,AH597,AJ597,AL597,AN597)</f>
        <v>0</v>
      </c>
      <c r="AT597" s="67" t="str">
        <f>IF(C597="","",DATE(YEAR(C597),MONTH(C597),1))</f>
        <v/>
      </c>
      <c r="AU597" s="66" t="str">
        <f>IF(AT597="","",TEXT(AT597,"mmmm yyyy"))</f>
        <v/>
      </c>
      <c r="AV597" s="67" t="str">
        <f>IF(C597="","",C597-WEEKDAY(C597,2)+1)</f>
        <v/>
      </c>
      <c r="AW597" s="67" t="str">
        <f>IF(AV597="","",AV597+6)</f>
        <v/>
      </c>
      <c r="AX597" s="66" t="str">
        <f>IF(AV597="","",TEXT(AV597,"dd/mm/yyyy")&amp;" - "&amp;TEXT(AW597,"dd/mm/yyyy"))</f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>IF(B597="","",TEXT(AY597,"00")&amp;"|"&amp;B597&amp;"|"&amp;TEXT(AT597,"yyyymmdd"))</f>
        <v/>
      </c>
      <c r="BB597" s="66" t="str">
        <f>IF(B597="","",TEXT(AZ597,"00")&amp;"|"&amp;B597&amp;"|"&amp;TEXT(AV597,"yyyymmdd"))</f>
        <v/>
      </c>
      <c r="BC597" s="66">
        <f>IF(OR(AQ597="YES",AQ597="Yes",AQ597="Y",AQ597=1),1,0)</f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17">
        <f>SUM(H598,J598,L598,N598,P598,R598,T598,V598,X598,Z598,AB598,AD598,AF598,AH598,AJ598,AL598,AN598)</f>
        <v>0</v>
      </c>
      <c r="AT598" s="67" t="str">
        <f>IF(C598="","",DATE(YEAR(C598),MONTH(C598),1))</f>
        <v/>
      </c>
      <c r="AU598" s="66" t="str">
        <f>IF(AT598="","",TEXT(AT598,"mmmm yyyy"))</f>
        <v/>
      </c>
      <c r="AV598" s="67" t="str">
        <f>IF(C598="","",C598-WEEKDAY(C598,2)+1)</f>
        <v/>
      </c>
      <c r="AW598" s="67" t="str">
        <f>IF(AV598="","",AV598+6)</f>
        <v/>
      </c>
      <c r="AX598" s="66" t="str">
        <f>IF(AV598="","",TEXT(AV598,"dd/mm/yyyy")&amp;" - "&amp;TEXT(AW598,"dd/mm/yyyy"))</f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>IF(B598="","",TEXT(AY598,"00")&amp;"|"&amp;B598&amp;"|"&amp;TEXT(AT598,"yyyymmdd"))</f>
        <v/>
      </c>
      <c r="BB598" s="66" t="str">
        <f>IF(B598="","",TEXT(AZ598,"00")&amp;"|"&amp;B598&amp;"|"&amp;TEXT(AV598,"yyyymmdd"))</f>
        <v/>
      </c>
      <c r="BC598" s="66">
        <f>IF(OR(AQ598="YES",AQ598="Yes",AQ598="Y",AQ598=1),1,0)</f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17">
        <f>SUM(H599,J599,L599,N599,P599,R599,T599,V599,X599,Z599,AB599,AD599,AF599,AH599,AJ599,AL599,AN599)</f>
        <v>0</v>
      </c>
      <c r="AT599" s="67" t="str">
        <f>IF(C599="","",DATE(YEAR(C599),MONTH(C599),1))</f>
        <v/>
      </c>
      <c r="AU599" s="66" t="str">
        <f>IF(AT599="","",TEXT(AT599,"mmmm yyyy"))</f>
        <v/>
      </c>
      <c r="AV599" s="67" t="str">
        <f>IF(C599="","",C599-WEEKDAY(C599,2)+1)</f>
        <v/>
      </c>
      <c r="AW599" s="67" t="str">
        <f>IF(AV599="","",AV599+6)</f>
        <v/>
      </c>
      <c r="AX599" s="66" t="str">
        <f>IF(AV599="","",TEXT(AV599,"dd/mm/yyyy")&amp;" - "&amp;TEXT(AW599,"dd/mm/yyyy"))</f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>IF(B599="","",TEXT(AY599,"00")&amp;"|"&amp;B599&amp;"|"&amp;TEXT(AT599,"yyyymmdd"))</f>
        <v/>
      </c>
      <c r="BB599" s="66" t="str">
        <f>IF(B599="","",TEXT(AZ599,"00")&amp;"|"&amp;B599&amp;"|"&amp;TEXT(AV599,"yyyymmdd"))</f>
        <v/>
      </c>
      <c r="BC599" s="66">
        <f>IF(OR(AQ599="YES",AQ599="Yes",AQ599="Y",AQ599=1),1,0)</f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17">
        <f>SUM(H600,J600,L600,N600,P600,R600,T600,V600,X600,Z600,AB600,AD600,AF600,AH600,AJ600,AL600,AN600)</f>
        <v>0</v>
      </c>
      <c r="AT600" s="67" t="str">
        <f>IF(C600="","",DATE(YEAR(C600),MONTH(C600),1))</f>
        <v/>
      </c>
      <c r="AU600" s="66" t="str">
        <f>IF(AT600="","",TEXT(AT600,"mmmm yyyy"))</f>
        <v/>
      </c>
      <c r="AV600" s="67" t="str">
        <f>IF(C600="","",C600-WEEKDAY(C600,2)+1)</f>
        <v/>
      </c>
      <c r="AW600" s="67" t="str">
        <f>IF(AV600="","",AV600+6)</f>
        <v/>
      </c>
      <c r="AX600" s="66" t="str">
        <f>IF(AV600="","",TEXT(AV600,"dd/mm/yyyy")&amp;" - "&amp;TEXT(AW600,"dd/mm/yyyy"))</f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>IF(B600="","",TEXT(AY600,"00")&amp;"|"&amp;B600&amp;"|"&amp;TEXT(AT600,"yyyymmdd"))</f>
        <v/>
      </c>
      <c r="BB600" s="66" t="str">
        <f>IF(B600="","",TEXT(AZ600,"00")&amp;"|"&amp;B600&amp;"|"&amp;TEXT(AV600,"yyyymmdd"))</f>
        <v/>
      </c>
      <c r="BC600" s="66">
        <f>IF(OR(AQ600="YES",AQ600="Yes",AQ600="Y",AQ600=1),1,0)</f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17">
        <f>SUM(H601,J601,L601,N601,P601,R601,T601,V601,X601,Z601,AB601,AD601,AF601,AH601,AJ601,AL601,AN601)</f>
        <v>0</v>
      </c>
      <c r="AT601" s="67" t="str">
        <f>IF(C601="","",DATE(YEAR(C601),MONTH(C601),1))</f>
        <v/>
      </c>
      <c r="AU601" s="66" t="str">
        <f>IF(AT601="","",TEXT(AT601,"mmmm yyyy"))</f>
        <v/>
      </c>
      <c r="AV601" s="67" t="str">
        <f>IF(C601="","",C601-WEEKDAY(C601,2)+1)</f>
        <v/>
      </c>
      <c r="AW601" s="67" t="str">
        <f>IF(AV601="","",AV601+6)</f>
        <v/>
      </c>
      <c r="AX601" s="66" t="str">
        <f>IF(AV601="","",TEXT(AV601,"dd/mm/yyyy")&amp;" - "&amp;TEXT(AW601,"dd/mm/yyyy"))</f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>IF(B601="","",TEXT(AY601,"00")&amp;"|"&amp;B601&amp;"|"&amp;TEXT(AT601,"yyyymmdd"))</f>
        <v/>
      </c>
      <c r="BB601" s="66" t="str">
        <f>IF(B601="","",TEXT(AZ601,"00")&amp;"|"&amp;B601&amp;"|"&amp;TEXT(AV601,"yyyymmdd"))</f>
        <v/>
      </c>
      <c r="BC601" s="66">
        <f>IF(OR(AQ601="YES",AQ601="Yes",AQ601="Y",AQ601=1),1,0)</f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17">
        <f>SUM(H602,J602,L602,N602,P602,R602,T602,V602,X602,Z602,AB602,AD602,AF602,AH602,AJ602,AL602,AN602)</f>
        <v>0</v>
      </c>
      <c r="AT602" s="67" t="str">
        <f>IF(C602="","",DATE(YEAR(C602),MONTH(C602),1))</f>
        <v/>
      </c>
      <c r="AU602" s="66" t="str">
        <f>IF(AT602="","",TEXT(AT602,"mmmm yyyy"))</f>
        <v/>
      </c>
      <c r="AV602" s="67" t="str">
        <f>IF(C602="","",C602-WEEKDAY(C602,2)+1)</f>
        <v/>
      </c>
      <c r="AW602" s="67" t="str">
        <f>IF(AV602="","",AV602+6)</f>
        <v/>
      </c>
      <c r="AX602" s="66" t="str">
        <f>IF(AV602="","",TEXT(AV602,"dd/mm/yyyy")&amp;" - "&amp;TEXT(AW602,"dd/mm/yyyy"))</f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>IF(B602="","",TEXT(AY602,"00")&amp;"|"&amp;B602&amp;"|"&amp;TEXT(AT602,"yyyymmdd"))</f>
        <v/>
      </c>
      <c r="BB602" s="66" t="str">
        <f>IF(B602="","",TEXT(AZ602,"00")&amp;"|"&amp;B602&amp;"|"&amp;TEXT(AV602,"yyyymmdd"))</f>
        <v/>
      </c>
      <c r="BC602" s="66">
        <f>IF(OR(AQ602="YES",AQ602="Yes",AQ602="Y",AQ602=1),1,0)</f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17">
        <f>SUM(H603,J603,L603,N603,P603,R603,T603,V603,X603,Z603,AB603,AD603,AF603,AH603,AJ603,AL603,AN603)</f>
        <v>0</v>
      </c>
      <c r="AT603" s="67" t="str">
        <f>IF(C603="","",DATE(YEAR(C603),MONTH(C603),1))</f>
        <v/>
      </c>
      <c r="AU603" s="66" t="str">
        <f>IF(AT603="","",TEXT(AT603,"mmmm yyyy"))</f>
        <v/>
      </c>
      <c r="AV603" s="67" t="str">
        <f>IF(C603="","",C603-WEEKDAY(C603,2)+1)</f>
        <v/>
      </c>
      <c r="AW603" s="67" t="str">
        <f>IF(AV603="","",AV603+6)</f>
        <v/>
      </c>
      <c r="AX603" s="66" t="str">
        <f>IF(AV603="","",TEXT(AV603,"dd/mm/yyyy")&amp;" - "&amp;TEXT(AW603,"dd/mm/yyyy"))</f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>IF(B603="","",TEXT(AY603,"00")&amp;"|"&amp;B603&amp;"|"&amp;TEXT(AT603,"yyyymmdd"))</f>
        <v/>
      </c>
      <c r="BB603" s="66" t="str">
        <f>IF(B603="","",TEXT(AZ603,"00")&amp;"|"&amp;B603&amp;"|"&amp;TEXT(AV603,"yyyymmdd"))</f>
        <v/>
      </c>
      <c r="BC603" s="66">
        <f>IF(OR(AQ603="YES",AQ603="Yes",AQ603="Y",AQ603=1),1,0)</f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17">
        <f>SUM(H604,J604,L604,N604,P604,R604,T604,V604,X604,Z604,AB604,AD604,AF604,AH604,AJ604,AL604,AN604)</f>
        <v>0</v>
      </c>
      <c r="AT604" s="67" t="str">
        <f>IF(C604="","",DATE(YEAR(C604),MONTH(C604),1))</f>
        <v/>
      </c>
      <c r="AU604" s="66" t="str">
        <f>IF(AT604="","",TEXT(AT604,"mmmm yyyy"))</f>
        <v/>
      </c>
      <c r="AV604" s="67" t="str">
        <f>IF(C604="","",C604-WEEKDAY(C604,2)+1)</f>
        <v/>
      </c>
      <c r="AW604" s="67" t="str">
        <f>IF(AV604="","",AV604+6)</f>
        <v/>
      </c>
      <c r="AX604" s="66" t="str">
        <f>IF(AV604="","",TEXT(AV604,"dd/mm/yyyy")&amp;" - "&amp;TEXT(AW604,"dd/mm/yyyy"))</f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>IF(B604="","",TEXT(AY604,"00")&amp;"|"&amp;B604&amp;"|"&amp;TEXT(AT604,"yyyymmdd"))</f>
        <v/>
      </c>
      <c r="BB604" s="66" t="str">
        <f>IF(B604="","",TEXT(AZ604,"00")&amp;"|"&amp;B604&amp;"|"&amp;TEXT(AV604,"yyyymmdd"))</f>
        <v/>
      </c>
      <c r="BC604" s="66">
        <f>IF(OR(AQ604="YES",AQ604="Yes",AQ604="Y",AQ604=1),1,0)</f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17">
        <f>SUM(H605,J605,L605,N605,P605,R605,T605,V605,X605,Z605,AB605,AD605,AF605,AH605,AJ605,AL605,AN605)</f>
        <v>0</v>
      </c>
      <c r="AT605" s="67" t="str">
        <f>IF(C605="","",DATE(YEAR(C605),MONTH(C605),1))</f>
        <v/>
      </c>
      <c r="AU605" s="66" t="str">
        <f>IF(AT605="","",TEXT(AT605,"mmmm yyyy"))</f>
        <v/>
      </c>
      <c r="AV605" s="67" t="str">
        <f>IF(C605="","",C605-WEEKDAY(C605,2)+1)</f>
        <v/>
      </c>
      <c r="AW605" s="67" t="str">
        <f>IF(AV605="","",AV605+6)</f>
        <v/>
      </c>
      <c r="AX605" s="66" t="str">
        <f>IF(AV605="","",TEXT(AV605,"dd/mm/yyyy")&amp;" - "&amp;TEXT(AW605,"dd/mm/yyyy"))</f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>IF(B605="","",TEXT(AY605,"00")&amp;"|"&amp;B605&amp;"|"&amp;TEXT(AT605,"yyyymmdd"))</f>
        <v/>
      </c>
      <c r="BB605" s="66" t="str">
        <f>IF(B605="","",TEXT(AZ605,"00")&amp;"|"&amp;B605&amp;"|"&amp;TEXT(AV605,"yyyymmdd"))</f>
        <v/>
      </c>
      <c r="BC605" s="66">
        <f>IF(OR(AQ605="YES",AQ605="Yes",AQ605="Y",AQ605=1),1,0)</f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17">
        <f>SUM(H606,J606,L606,N606,P606,R606,T606,V606,X606,Z606,AB606,AD606,AF606,AH606,AJ606,AL606,AN606)</f>
        <v>0</v>
      </c>
      <c r="AT606" s="67" t="str">
        <f>IF(C606="","",DATE(YEAR(C606),MONTH(C606),1))</f>
        <v/>
      </c>
      <c r="AU606" s="66" t="str">
        <f>IF(AT606="","",TEXT(AT606,"mmmm yyyy"))</f>
        <v/>
      </c>
      <c r="AV606" s="67" t="str">
        <f>IF(C606="","",C606-WEEKDAY(C606,2)+1)</f>
        <v/>
      </c>
      <c r="AW606" s="67" t="str">
        <f>IF(AV606="","",AV606+6)</f>
        <v/>
      </c>
      <c r="AX606" s="66" t="str">
        <f>IF(AV606="","",TEXT(AV606,"dd/mm/yyyy")&amp;" - "&amp;TEXT(AW606,"dd/mm/yyyy"))</f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>IF(B606="","",TEXT(AY606,"00")&amp;"|"&amp;B606&amp;"|"&amp;TEXT(AT606,"yyyymmdd"))</f>
        <v/>
      </c>
      <c r="BB606" s="66" t="str">
        <f>IF(B606="","",TEXT(AZ606,"00")&amp;"|"&amp;B606&amp;"|"&amp;TEXT(AV606,"yyyymmdd"))</f>
        <v/>
      </c>
      <c r="BC606" s="66">
        <f>IF(OR(AQ606="YES",AQ606="Yes",AQ606="Y",AQ606=1),1,0)</f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17">
        <f>SUM(H607,J607,L607,N607,P607,R607,T607,V607,X607,Z607,AB607,AD607,AF607,AH607,AJ607,AL607,AN607)</f>
        <v>0</v>
      </c>
      <c r="AT607" s="67" t="str">
        <f>IF(C607="","",DATE(YEAR(C607),MONTH(C607),1))</f>
        <v/>
      </c>
      <c r="AU607" s="66" t="str">
        <f>IF(AT607="","",TEXT(AT607,"mmmm yyyy"))</f>
        <v/>
      </c>
      <c r="AV607" s="67" t="str">
        <f>IF(C607="","",C607-WEEKDAY(C607,2)+1)</f>
        <v/>
      </c>
      <c r="AW607" s="67" t="str">
        <f>IF(AV607="","",AV607+6)</f>
        <v/>
      </c>
      <c r="AX607" s="66" t="str">
        <f>IF(AV607="","",TEXT(AV607,"dd/mm/yyyy")&amp;" - "&amp;TEXT(AW607,"dd/mm/yyyy"))</f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>IF(B607="","",TEXT(AY607,"00")&amp;"|"&amp;B607&amp;"|"&amp;TEXT(AT607,"yyyymmdd"))</f>
        <v/>
      </c>
      <c r="BB607" s="66" t="str">
        <f>IF(B607="","",TEXT(AZ607,"00")&amp;"|"&amp;B607&amp;"|"&amp;TEXT(AV607,"yyyymmdd"))</f>
        <v/>
      </c>
      <c r="BC607" s="66">
        <f>IF(OR(AQ607="YES",AQ607="Yes",AQ607="Y",AQ607=1),1,0)</f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17">
        <f>SUM(H608,J608,L608,N608,P608,R608,T608,V608,X608,Z608,AB608,AD608,AF608,AH608,AJ608,AL608,AN608)</f>
        <v>0</v>
      </c>
      <c r="AT608" s="67" t="str">
        <f>IF(C608="","",DATE(YEAR(C608),MONTH(C608),1))</f>
        <v/>
      </c>
      <c r="AU608" s="66" t="str">
        <f>IF(AT608="","",TEXT(AT608,"mmmm yyyy"))</f>
        <v/>
      </c>
      <c r="AV608" s="67" t="str">
        <f>IF(C608="","",C608-WEEKDAY(C608,2)+1)</f>
        <v/>
      </c>
      <c r="AW608" s="67" t="str">
        <f>IF(AV608="","",AV608+6)</f>
        <v/>
      </c>
      <c r="AX608" s="66" t="str">
        <f>IF(AV608="","",TEXT(AV608,"dd/mm/yyyy")&amp;" - "&amp;TEXT(AW608,"dd/mm/yyyy"))</f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>IF(B608="","",TEXT(AY608,"00")&amp;"|"&amp;B608&amp;"|"&amp;TEXT(AT608,"yyyymmdd"))</f>
        <v/>
      </c>
      <c r="BB608" s="66" t="str">
        <f>IF(B608="","",TEXT(AZ608,"00")&amp;"|"&amp;B608&amp;"|"&amp;TEXT(AV608,"yyyymmdd"))</f>
        <v/>
      </c>
      <c r="BC608" s="66">
        <f>IF(OR(AQ608="YES",AQ608="Yes",AQ608="Y",AQ608=1),1,0)</f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17">
        <f>SUM(H609,J609,L609,N609,P609,R609,T609,V609,X609,Z609,AB609,AD609,AF609,AH609,AJ609,AL609,AN609)</f>
        <v>0</v>
      </c>
      <c r="AT609" s="67" t="str">
        <f>IF(C609="","",DATE(YEAR(C609),MONTH(C609),1))</f>
        <v/>
      </c>
      <c r="AU609" s="66" t="str">
        <f>IF(AT609="","",TEXT(AT609,"mmmm yyyy"))</f>
        <v/>
      </c>
      <c r="AV609" s="67" t="str">
        <f>IF(C609="","",C609-WEEKDAY(C609,2)+1)</f>
        <v/>
      </c>
      <c r="AW609" s="67" t="str">
        <f>IF(AV609="","",AV609+6)</f>
        <v/>
      </c>
      <c r="AX609" s="66" t="str">
        <f>IF(AV609="","",TEXT(AV609,"dd/mm/yyyy")&amp;" - "&amp;TEXT(AW609,"dd/mm/yyyy"))</f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>IF(B609="","",TEXT(AY609,"00")&amp;"|"&amp;B609&amp;"|"&amp;TEXT(AT609,"yyyymmdd"))</f>
        <v/>
      </c>
      <c r="BB609" s="66" t="str">
        <f>IF(B609="","",TEXT(AZ609,"00")&amp;"|"&amp;B609&amp;"|"&amp;TEXT(AV609,"yyyymmdd"))</f>
        <v/>
      </c>
      <c r="BC609" s="66">
        <f>IF(OR(AQ609="YES",AQ609="Yes",AQ609="Y",AQ609=1),1,0)</f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17">
        <f>SUM(H610,J610,L610,N610,P610,R610,T610,V610,X610,Z610,AB610,AD610,AF610,AH610,AJ610,AL610,AN610)</f>
        <v>0</v>
      </c>
      <c r="AT610" s="67" t="str">
        <f>IF(C610="","",DATE(YEAR(C610),MONTH(C610),1))</f>
        <v/>
      </c>
      <c r="AU610" s="66" t="str">
        <f>IF(AT610="","",TEXT(AT610,"mmmm yyyy"))</f>
        <v/>
      </c>
      <c r="AV610" s="67" t="str">
        <f>IF(C610="","",C610-WEEKDAY(C610,2)+1)</f>
        <v/>
      </c>
      <c r="AW610" s="67" t="str">
        <f>IF(AV610="","",AV610+6)</f>
        <v/>
      </c>
      <c r="AX610" s="66" t="str">
        <f>IF(AV610="","",TEXT(AV610,"dd/mm/yyyy")&amp;" - "&amp;TEXT(AW610,"dd/mm/yyyy"))</f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>IF(B610="","",TEXT(AY610,"00")&amp;"|"&amp;B610&amp;"|"&amp;TEXT(AT610,"yyyymmdd"))</f>
        <v/>
      </c>
      <c r="BB610" s="66" t="str">
        <f>IF(B610="","",TEXT(AZ610,"00")&amp;"|"&amp;B610&amp;"|"&amp;TEXT(AV610,"yyyymmdd"))</f>
        <v/>
      </c>
      <c r="BC610" s="66">
        <f>IF(OR(AQ610="YES",AQ610="Yes",AQ610="Y",AQ610=1),1,0)</f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17">
        <f>SUM(H611,J611,L611,N611,P611,R611,T611,V611,X611,Z611,AB611,AD611,AF611,AH611,AJ611,AL611,AN611)</f>
        <v>0</v>
      </c>
      <c r="AT611" s="67" t="str">
        <f>IF(C611="","",DATE(YEAR(C611),MONTH(C611),1))</f>
        <v/>
      </c>
      <c r="AU611" s="66" t="str">
        <f>IF(AT611="","",TEXT(AT611,"mmmm yyyy"))</f>
        <v/>
      </c>
      <c r="AV611" s="67" t="str">
        <f>IF(C611="","",C611-WEEKDAY(C611,2)+1)</f>
        <v/>
      </c>
      <c r="AW611" s="67" t="str">
        <f>IF(AV611="","",AV611+6)</f>
        <v/>
      </c>
      <c r="AX611" s="66" t="str">
        <f>IF(AV611="","",TEXT(AV611,"dd/mm/yyyy")&amp;" - "&amp;TEXT(AW611,"dd/mm/yyyy"))</f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>IF(B611="","",TEXT(AY611,"00")&amp;"|"&amp;B611&amp;"|"&amp;TEXT(AT611,"yyyymmdd"))</f>
        <v/>
      </c>
      <c r="BB611" s="66" t="str">
        <f>IF(B611="","",TEXT(AZ611,"00")&amp;"|"&amp;B611&amp;"|"&amp;TEXT(AV611,"yyyymmdd"))</f>
        <v/>
      </c>
      <c r="BC611" s="66">
        <f>IF(OR(AQ611="YES",AQ611="Yes",AQ611="Y",AQ611=1),1,0)</f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17">
        <f>SUM(H612,J612,L612,N612,P612,R612,T612,V612,X612,Z612,AB612,AD612,AF612,AH612,AJ612,AL612,AN612)</f>
        <v>0</v>
      </c>
      <c r="AT612" s="67" t="str">
        <f>IF(C612="","",DATE(YEAR(C612),MONTH(C612),1))</f>
        <v/>
      </c>
      <c r="AU612" s="66" t="str">
        <f>IF(AT612="","",TEXT(AT612,"mmmm yyyy"))</f>
        <v/>
      </c>
      <c r="AV612" s="67" t="str">
        <f>IF(C612="","",C612-WEEKDAY(C612,2)+1)</f>
        <v/>
      </c>
      <c r="AW612" s="67" t="str">
        <f>IF(AV612="","",AV612+6)</f>
        <v/>
      </c>
      <c r="AX612" s="66" t="str">
        <f>IF(AV612="","",TEXT(AV612,"dd/mm/yyyy")&amp;" - "&amp;TEXT(AW612,"dd/mm/yyyy"))</f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>IF(B612="","",TEXT(AY612,"00")&amp;"|"&amp;B612&amp;"|"&amp;TEXT(AT612,"yyyymmdd"))</f>
        <v/>
      </c>
      <c r="BB612" s="66" t="str">
        <f>IF(B612="","",TEXT(AZ612,"00")&amp;"|"&amp;B612&amp;"|"&amp;TEXT(AV612,"yyyymmdd"))</f>
        <v/>
      </c>
      <c r="BC612" s="66">
        <f>IF(OR(AQ612="YES",AQ612="Yes",AQ612="Y",AQ612=1),1,0)</f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17">
        <f>SUM(H613,J613,L613,N613,P613,R613,T613,V613,X613,Z613,AB613,AD613,AF613,AH613,AJ613,AL613,AN613)</f>
        <v>0</v>
      </c>
      <c r="AT613" s="67" t="str">
        <f>IF(C613="","",DATE(YEAR(C613),MONTH(C613),1))</f>
        <v/>
      </c>
      <c r="AU613" s="66" t="str">
        <f>IF(AT613="","",TEXT(AT613,"mmmm yyyy"))</f>
        <v/>
      </c>
      <c r="AV613" s="67" t="str">
        <f>IF(C613="","",C613-WEEKDAY(C613,2)+1)</f>
        <v/>
      </c>
      <c r="AW613" s="67" t="str">
        <f>IF(AV613="","",AV613+6)</f>
        <v/>
      </c>
      <c r="AX613" s="66" t="str">
        <f>IF(AV613="","",TEXT(AV613,"dd/mm/yyyy")&amp;" - "&amp;TEXT(AW613,"dd/mm/yyyy"))</f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>IF(B613="","",TEXT(AY613,"00")&amp;"|"&amp;B613&amp;"|"&amp;TEXT(AT613,"yyyymmdd"))</f>
        <v/>
      </c>
      <c r="BB613" s="66" t="str">
        <f>IF(B613="","",TEXT(AZ613,"00")&amp;"|"&amp;B613&amp;"|"&amp;TEXT(AV613,"yyyymmdd"))</f>
        <v/>
      </c>
      <c r="BC613" s="66">
        <f>IF(OR(AQ613="YES",AQ613="Yes",AQ613="Y",AQ613=1),1,0)</f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17">
        <f>SUM(H614,J614,L614,N614,P614,R614,T614,V614,X614,Z614,AB614,AD614,AF614,AH614,AJ614,AL614,AN614)</f>
        <v>0</v>
      </c>
      <c r="AT614" s="67" t="str">
        <f>IF(C614="","",DATE(YEAR(C614),MONTH(C614),1))</f>
        <v/>
      </c>
      <c r="AU614" s="66" t="str">
        <f>IF(AT614="","",TEXT(AT614,"mmmm yyyy"))</f>
        <v/>
      </c>
      <c r="AV614" s="67" t="str">
        <f>IF(C614="","",C614-WEEKDAY(C614,2)+1)</f>
        <v/>
      </c>
      <c r="AW614" s="67" t="str">
        <f>IF(AV614="","",AV614+6)</f>
        <v/>
      </c>
      <c r="AX614" s="66" t="str">
        <f>IF(AV614="","",TEXT(AV614,"dd/mm/yyyy")&amp;" - "&amp;TEXT(AW614,"dd/mm/yyyy"))</f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>IF(B614="","",TEXT(AY614,"00")&amp;"|"&amp;B614&amp;"|"&amp;TEXT(AT614,"yyyymmdd"))</f>
        <v/>
      </c>
      <c r="BB614" s="66" t="str">
        <f>IF(B614="","",TEXT(AZ614,"00")&amp;"|"&amp;B614&amp;"|"&amp;TEXT(AV614,"yyyymmdd"))</f>
        <v/>
      </c>
      <c r="BC614" s="66">
        <f>IF(OR(AQ614="YES",AQ614="Yes",AQ614="Y",AQ614=1),1,0)</f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17">
        <f>SUM(H615,J615,L615,N615,P615,R615,T615,V615,X615,Z615,AB615,AD615,AF615,AH615,AJ615,AL615,AN615)</f>
        <v>0</v>
      </c>
      <c r="AT615" s="67" t="str">
        <f>IF(C615="","",DATE(YEAR(C615),MONTH(C615),1))</f>
        <v/>
      </c>
      <c r="AU615" s="66" t="str">
        <f>IF(AT615="","",TEXT(AT615,"mmmm yyyy"))</f>
        <v/>
      </c>
      <c r="AV615" s="67" t="str">
        <f>IF(C615="","",C615-WEEKDAY(C615,2)+1)</f>
        <v/>
      </c>
      <c r="AW615" s="67" t="str">
        <f>IF(AV615="","",AV615+6)</f>
        <v/>
      </c>
      <c r="AX615" s="66" t="str">
        <f>IF(AV615="","",TEXT(AV615,"dd/mm/yyyy")&amp;" - "&amp;TEXT(AW615,"dd/mm/yyyy"))</f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>IF(B615="","",TEXT(AY615,"00")&amp;"|"&amp;B615&amp;"|"&amp;TEXT(AT615,"yyyymmdd"))</f>
        <v/>
      </c>
      <c r="BB615" s="66" t="str">
        <f>IF(B615="","",TEXT(AZ615,"00")&amp;"|"&amp;B615&amp;"|"&amp;TEXT(AV615,"yyyymmdd"))</f>
        <v/>
      </c>
      <c r="BC615" s="66">
        <f>IF(OR(AQ615="YES",AQ615="Yes",AQ615="Y",AQ615=1),1,0)</f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17">
        <f>SUM(H616,J616,L616,N616,P616,R616,T616,V616,X616,Z616,AB616,AD616,AF616,AH616,AJ616,AL616,AN616)</f>
        <v>0</v>
      </c>
      <c r="AT616" s="67" t="str">
        <f>IF(C616="","",DATE(YEAR(C616),MONTH(C616),1))</f>
        <v/>
      </c>
      <c r="AU616" s="66" t="str">
        <f>IF(AT616="","",TEXT(AT616,"mmmm yyyy"))</f>
        <v/>
      </c>
      <c r="AV616" s="67" t="str">
        <f>IF(C616="","",C616-WEEKDAY(C616,2)+1)</f>
        <v/>
      </c>
      <c r="AW616" s="67" t="str">
        <f>IF(AV616="","",AV616+6)</f>
        <v/>
      </c>
      <c r="AX616" s="66" t="str">
        <f>IF(AV616="","",TEXT(AV616,"dd/mm/yyyy")&amp;" - "&amp;TEXT(AW616,"dd/mm/yyyy"))</f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>IF(B616="","",TEXT(AY616,"00")&amp;"|"&amp;B616&amp;"|"&amp;TEXT(AT616,"yyyymmdd"))</f>
        <v/>
      </c>
      <c r="BB616" s="66" t="str">
        <f>IF(B616="","",TEXT(AZ616,"00")&amp;"|"&amp;B616&amp;"|"&amp;TEXT(AV616,"yyyymmdd"))</f>
        <v/>
      </c>
      <c r="BC616" s="66">
        <f>IF(OR(AQ616="YES",AQ616="Yes",AQ616="Y",AQ616=1),1,0)</f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17">
        <f>SUM(H617,J617,L617,N617,P617,R617,T617,V617,X617,Z617,AB617,AD617,AF617,AH617,AJ617,AL617,AN617)</f>
        <v>0</v>
      </c>
      <c r="AT617" s="67" t="str">
        <f>IF(C617="","",DATE(YEAR(C617),MONTH(C617),1))</f>
        <v/>
      </c>
      <c r="AU617" s="66" t="str">
        <f>IF(AT617="","",TEXT(AT617,"mmmm yyyy"))</f>
        <v/>
      </c>
      <c r="AV617" s="67" t="str">
        <f>IF(C617="","",C617-WEEKDAY(C617,2)+1)</f>
        <v/>
      </c>
      <c r="AW617" s="67" t="str">
        <f>IF(AV617="","",AV617+6)</f>
        <v/>
      </c>
      <c r="AX617" s="66" t="str">
        <f>IF(AV617="","",TEXT(AV617,"dd/mm/yyyy")&amp;" - "&amp;TEXT(AW617,"dd/mm/yyyy"))</f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>IF(B617="","",TEXT(AY617,"00")&amp;"|"&amp;B617&amp;"|"&amp;TEXT(AT617,"yyyymmdd"))</f>
        <v/>
      </c>
      <c r="BB617" s="66" t="str">
        <f>IF(B617="","",TEXT(AZ617,"00")&amp;"|"&amp;B617&amp;"|"&amp;TEXT(AV617,"yyyymmdd"))</f>
        <v/>
      </c>
      <c r="BC617" s="66">
        <f>IF(OR(AQ617="YES",AQ617="Yes",AQ617="Y",AQ617=1),1,0)</f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17">
        <f>SUM(H618,J618,L618,N618,P618,R618,T618,V618,X618,Z618,AB618,AD618,AF618,AH618,AJ618,AL618,AN618)</f>
        <v>0</v>
      </c>
      <c r="AT618" s="67" t="str">
        <f>IF(C618="","",DATE(YEAR(C618),MONTH(C618),1))</f>
        <v/>
      </c>
      <c r="AU618" s="66" t="str">
        <f>IF(AT618="","",TEXT(AT618,"mmmm yyyy"))</f>
        <v/>
      </c>
      <c r="AV618" s="67" t="str">
        <f>IF(C618="","",C618-WEEKDAY(C618,2)+1)</f>
        <v/>
      </c>
      <c r="AW618" s="67" t="str">
        <f>IF(AV618="","",AV618+6)</f>
        <v/>
      </c>
      <c r="AX618" s="66" t="str">
        <f>IF(AV618="","",TEXT(AV618,"dd/mm/yyyy")&amp;" - "&amp;TEXT(AW618,"dd/mm/yyyy"))</f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>IF(B618="","",TEXT(AY618,"00")&amp;"|"&amp;B618&amp;"|"&amp;TEXT(AT618,"yyyymmdd"))</f>
        <v/>
      </c>
      <c r="BB618" s="66" t="str">
        <f>IF(B618="","",TEXT(AZ618,"00")&amp;"|"&amp;B618&amp;"|"&amp;TEXT(AV618,"yyyymmdd"))</f>
        <v/>
      </c>
      <c r="BC618" s="66">
        <f>IF(OR(AQ618="YES",AQ618="Yes",AQ618="Y",AQ618=1),1,0)</f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17">
        <f>SUM(H619,J619,L619,N619,P619,R619,T619,V619,X619,Z619,AB619,AD619,AF619,AH619,AJ619,AL619,AN619)</f>
        <v>0</v>
      </c>
      <c r="AT619" s="67" t="str">
        <f>IF(C619="","",DATE(YEAR(C619),MONTH(C619),1))</f>
        <v/>
      </c>
      <c r="AU619" s="66" t="str">
        <f>IF(AT619="","",TEXT(AT619,"mmmm yyyy"))</f>
        <v/>
      </c>
      <c r="AV619" s="67" t="str">
        <f>IF(C619="","",C619-WEEKDAY(C619,2)+1)</f>
        <v/>
      </c>
      <c r="AW619" s="67" t="str">
        <f>IF(AV619="","",AV619+6)</f>
        <v/>
      </c>
      <c r="AX619" s="66" t="str">
        <f>IF(AV619="","",TEXT(AV619,"dd/mm/yyyy")&amp;" - "&amp;TEXT(AW619,"dd/mm/yyyy"))</f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>IF(B619="","",TEXT(AY619,"00")&amp;"|"&amp;B619&amp;"|"&amp;TEXT(AT619,"yyyymmdd"))</f>
        <v/>
      </c>
      <c r="BB619" s="66" t="str">
        <f>IF(B619="","",TEXT(AZ619,"00")&amp;"|"&amp;B619&amp;"|"&amp;TEXT(AV619,"yyyymmdd"))</f>
        <v/>
      </c>
      <c r="BC619" s="66">
        <f>IF(OR(AQ619="YES",AQ619="Yes",AQ619="Y",AQ619=1),1,0)</f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17">
        <f>SUM(H620,J620,L620,N620,P620,R620,T620,V620,X620,Z620,AB620,AD620,AF620,AH620,AJ620,AL620,AN620)</f>
        <v>0</v>
      </c>
      <c r="AT620" s="67" t="str">
        <f>IF(C620="","",DATE(YEAR(C620),MONTH(C620),1))</f>
        <v/>
      </c>
      <c r="AU620" s="66" t="str">
        <f>IF(AT620="","",TEXT(AT620,"mmmm yyyy"))</f>
        <v/>
      </c>
      <c r="AV620" s="67" t="str">
        <f>IF(C620="","",C620-WEEKDAY(C620,2)+1)</f>
        <v/>
      </c>
      <c r="AW620" s="67" t="str">
        <f>IF(AV620="","",AV620+6)</f>
        <v/>
      </c>
      <c r="AX620" s="66" t="str">
        <f>IF(AV620="","",TEXT(AV620,"dd/mm/yyyy")&amp;" - "&amp;TEXT(AW620,"dd/mm/yyyy"))</f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>IF(B620="","",TEXT(AY620,"00")&amp;"|"&amp;B620&amp;"|"&amp;TEXT(AT620,"yyyymmdd"))</f>
        <v/>
      </c>
      <c r="BB620" s="66" t="str">
        <f>IF(B620="","",TEXT(AZ620,"00")&amp;"|"&amp;B620&amp;"|"&amp;TEXT(AV620,"yyyymmdd"))</f>
        <v/>
      </c>
      <c r="BC620" s="66">
        <f>IF(OR(AQ620="YES",AQ620="Yes",AQ620="Y",AQ620=1),1,0)</f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17">
        <f>SUM(H621,J621,L621,N621,P621,R621,T621,V621,X621,Z621,AB621,AD621,AF621,AH621,AJ621,AL621,AN621)</f>
        <v>0</v>
      </c>
      <c r="AT621" s="67" t="str">
        <f>IF(C621="","",DATE(YEAR(C621),MONTH(C621),1))</f>
        <v/>
      </c>
      <c r="AU621" s="66" t="str">
        <f>IF(AT621="","",TEXT(AT621,"mmmm yyyy"))</f>
        <v/>
      </c>
      <c r="AV621" s="67" t="str">
        <f>IF(C621="","",C621-WEEKDAY(C621,2)+1)</f>
        <v/>
      </c>
      <c r="AW621" s="67" t="str">
        <f>IF(AV621="","",AV621+6)</f>
        <v/>
      </c>
      <c r="AX621" s="66" t="str">
        <f>IF(AV621="","",TEXT(AV621,"dd/mm/yyyy")&amp;" - "&amp;TEXT(AW621,"dd/mm/yyyy"))</f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>IF(B621="","",TEXT(AY621,"00")&amp;"|"&amp;B621&amp;"|"&amp;TEXT(AT621,"yyyymmdd"))</f>
        <v/>
      </c>
      <c r="BB621" s="66" t="str">
        <f>IF(B621="","",TEXT(AZ621,"00")&amp;"|"&amp;B621&amp;"|"&amp;TEXT(AV621,"yyyymmdd"))</f>
        <v/>
      </c>
      <c r="BC621" s="66">
        <f>IF(OR(AQ621="YES",AQ621="Yes",AQ621="Y",AQ621=1),1,0)</f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17">
        <f>SUM(H622,J622,L622,N622,P622,R622,T622,V622,X622,Z622,AB622,AD622,AF622,AH622,AJ622,AL622,AN622)</f>
        <v>0</v>
      </c>
      <c r="AT622" s="67" t="str">
        <f>IF(C622="","",DATE(YEAR(C622),MONTH(C622),1))</f>
        <v/>
      </c>
      <c r="AU622" s="66" t="str">
        <f>IF(AT622="","",TEXT(AT622,"mmmm yyyy"))</f>
        <v/>
      </c>
      <c r="AV622" s="67" t="str">
        <f>IF(C622="","",C622-WEEKDAY(C622,2)+1)</f>
        <v/>
      </c>
      <c r="AW622" s="67" t="str">
        <f>IF(AV622="","",AV622+6)</f>
        <v/>
      </c>
      <c r="AX622" s="66" t="str">
        <f>IF(AV622="","",TEXT(AV622,"dd/mm/yyyy")&amp;" - "&amp;TEXT(AW622,"dd/mm/yyyy"))</f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>IF(B622="","",TEXT(AY622,"00")&amp;"|"&amp;B622&amp;"|"&amp;TEXT(AT622,"yyyymmdd"))</f>
        <v/>
      </c>
      <c r="BB622" s="66" t="str">
        <f>IF(B622="","",TEXT(AZ622,"00")&amp;"|"&amp;B622&amp;"|"&amp;TEXT(AV622,"yyyymmdd"))</f>
        <v/>
      </c>
      <c r="BC622" s="66">
        <f>IF(OR(AQ622="YES",AQ622="Yes",AQ622="Y",AQ622=1),1,0)</f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17">
        <f>SUM(H623,J623,L623,N623,P623,R623,T623,V623,X623,Z623,AB623,AD623,AF623,AH623,AJ623,AL623,AN623)</f>
        <v>0</v>
      </c>
      <c r="AT623" s="67" t="str">
        <f>IF(C623="","",DATE(YEAR(C623),MONTH(C623),1))</f>
        <v/>
      </c>
      <c r="AU623" s="66" t="str">
        <f>IF(AT623="","",TEXT(AT623,"mmmm yyyy"))</f>
        <v/>
      </c>
      <c r="AV623" s="67" t="str">
        <f>IF(C623="","",C623-WEEKDAY(C623,2)+1)</f>
        <v/>
      </c>
      <c r="AW623" s="67" t="str">
        <f>IF(AV623="","",AV623+6)</f>
        <v/>
      </c>
      <c r="AX623" s="66" t="str">
        <f>IF(AV623="","",TEXT(AV623,"dd/mm/yyyy")&amp;" - "&amp;TEXT(AW623,"dd/mm/yyyy"))</f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>IF(B623="","",TEXT(AY623,"00")&amp;"|"&amp;B623&amp;"|"&amp;TEXT(AT623,"yyyymmdd"))</f>
        <v/>
      </c>
      <c r="BB623" s="66" t="str">
        <f>IF(B623="","",TEXT(AZ623,"00")&amp;"|"&amp;B623&amp;"|"&amp;TEXT(AV623,"yyyymmdd"))</f>
        <v/>
      </c>
      <c r="BC623" s="66">
        <f>IF(OR(AQ623="YES",AQ623="Yes",AQ623="Y",AQ623=1),1,0)</f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17">
        <f>SUM(H624,J624,L624,N624,P624,R624,T624,V624,X624,Z624,AB624,AD624,AF624,AH624,AJ624,AL624,AN624)</f>
        <v>0</v>
      </c>
      <c r="AT624" s="67" t="str">
        <f>IF(C624="","",DATE(YEAR(C624),MONTH(C624),1))</f>
        <v/>
      </c>
      <c r="AU624" s="66" t="str">
        <f>IF(AT624="","",TEXT(AT624,"mmmm yyyy"))</f>
        <v/>
      </c>
      <c r="AV624" s="67" t="str">
        <f>IF(C624="","",C624-WEEKDAY(C624,2)+1)</f>
        <v/>
      </c>
      <c r="AW624" s="67" t="str">
        <f>IF(AV624="","",AV624+6)</f>
        <v/>
      </c>
      <c r="AX624" s="66" t="str">
        <f>IF(AV624="","",TEXT(AV624,"dd/mm/yyyy")&amp;" - "&amp;TEXT(AW624,"dd/mm/yyyy"))</f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>IF(B624="","",TEXT(AY624,"00")&amp;"|"&amp;B624&amp;"|"&amp;TEXT(AT624,"yyyymmdd"))</f>
        <v/>
      </c>
      <c r="BB624" s="66" t="str">
        <f>IF(B624="","",TEXT(AZ624,"00")&amp;"|"&amp;B624&amp;"|"&amp;TEXT(AV624,"yyyymmdd"))</f>
        <v/>
      </c>
      <c r="BC624" s="66">
        <f>IF(OR(AQ624="YES",AQ624="Yes",AQ624="Y",AQ624=1),1,0)</f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17">
        <f>SUM(H625,J625,L625,N625,P625,R625,T625,V625,X625,Z625,AB625,AD625,AF625,AH625,AJ625,AL625,AN625)</f>
        <v>0</v>
      </c>
      <c r="AT625" s="67" t="str">
        <f>IF(C625="","",DATE(YEAR(C625),MONTH(C625),1))</f>
        <v/>
      </c>
      <c r="AU625" s="66" t="str">
        <f>IF(AT625="","",TEXT(AT625,"mmmm yyyy"))</f>
        <v/>
      </c>
      <c r="AV625" s="67" t="str">
        <f>IF(C625="","",C625-WEEKDAY(C625,2)+1)</f>
        <v/>
      </c>
      <c r="AW625" s="67" t="str">
        <f>IF(AV625="","",AV625+6)</f>
        <v/>
      </c>
      <c r="AX625" s="66" t="str">
        <f>IF(AV625="","",TEXT(AV625,"dd/mm/yyyy")&amp;" - "&amp;TEXT(AW625,"dd/mm/yyyy"))</f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>IF(B625="","",TEXT(AY625,"00")&amp;"|"&amp;B625&amp;"|"&amp;TEXT(AT625,"yyyymmdd"))</f>
        <v/>
      </c>
      <c r="BB625" s="66" t="str">
        <f>IF(B625="","",TEXT(AZ625,"00")&amp;"|"&amp;B625&amp;"|"&amp;TEXT(AV625,"yyyymmdd"))</f>
        <v/>
      </c>
      <c r="BC625" s="66">
        <f>IF(OR(AQ625="YES",AQ625="Yes",AQ625="Y",AQ625=1),1,0)</f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17">
        <f>SUM(H626,J626,L626,N626,P626,R626,T626,V626,X626,Z626,AB626,AD626,AF626,AH626,AJ626,AL626,AN626)</f>
        <v>0</v>
      </c>
      <c r="AT626" s="67" t="str">
        <f>IF(C626="","",DATE(YEAR(C626),MONTH(C626),1))</f>
        <v/>
      </c>
      <c r="AU626" s="66" t="str">
        <f>IF(AT626="","",TEXT(AT626,"mmmm yyyy"))</f>
        <v/>
      </c>
      <c r="AV626" s="67" t="str">
        <f>IF(C626="","",C626-WEEKDAY(C626,2)+1)</f>
        <v/>
      </c>
      <c r="AW626" s="67" t="str">
        <f>IF(AV626="","",AV626+6)</f>
        <v/>
      </c>
      <c r="AX626" s="66" t="str">
        <f>IF(AV626="","",TEXT(AV626,"dd/mm/yyyy")&amp;" - "&amp;TEXT(AW626,"dd/mm/yyyy"))</f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>IF(B626="","",TEXT(AY626,"00")&amp;"|"&amp;B626&amp;"|"&amp;TEXT(AT626,"yyyymmdd"))</f>
        <v/>
      </c>
      <c r="BB626" s="66" t="str">
        <f>IF(B626="","",TEXT(AZ626,"00")&amp;"|"&amp;B626&amp;"|"&amp;TEXT(AV626,"yyyymmdd"))</f>
        <v/>
      </c>
      <c r="BC626" s="66">
        <f>IF(OR(AQ626="YES",AQ626="Yes",AQ626="Y",AQ626=1),1,0)</f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17">
        <f>SUM(H627,J627,L627,N627,P627,R627,T627,V627,X627,Z627,AB627,AD627,AF627,AH627,AJ627,AL627,AN627)</f>
        <v>0</v>
      </c>
      <c r="AT627" s="67" t="str">
        <f>IF(C627="","",DATE(YEAR(C627),MONTH(C627),1))</f>
        <v/>
      </c>
      <c r="AU627" s="66" t="str">
        <f>IF(AT627="","",TEXT(AT627,"mmmm yyyy"))</f>
        <v/>
      </c>
      <c r="AV627" s="67" t="str">
        <f>IF(C627="","",C627-WEEKDAY(C627,2)+1)</f>
        <v/>
      </c>
      <c r="AW627" s="67" t="str">
        <f>IF(AV627="","",AV627+6)</f>
        <v/>
      </c>
      <c r="AX627" s="66" t="str">
        <f>IF(AV627="","",TEXT(AV627,"dd/mm/yyyy")&amp;" - "&amp;TEXT(AW627,"dd/mm/yyyy"))</f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>IF(B627="","",TEXT(AY627,"00")&amp;"|"&amp;B627&amp;"|"&amp;TEXT(AT627,"yyyymmdd"))</f>
        <v/>
      </c>
      <c r="BB627" s="66" t="str">
        <f>IF(B627="","",TEXT(AZ627,"00")&amp;"|"&amp;B627&amp;"|"&amp;TEXT(AV627,"yyyymmdd"))</f>
        <v/>
      </c>
      <c r="BC627" s="66">
        <f>IF(OR(AQ627="YES",AQ627="Yes",AQ627="Y",AQ627=1),1,0)</f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17">
        <f>SUM(H628,J628,L628,N628,P628,R628,T628,V628,X628,Z628,AB628,AD628,AF628,AH628,AJ628,AL628,AN628)</f>
        <v>0</v>
      </c>
      <c r="AT628" s="67" t="str">
        <f>IF(C628="","",DATE(YEAR(C628),MONTH(C628),1))</f>
        <v/>
      </c>
      <c r="AU628" s="66" t="str">
        <f>IF(AT628="","",TEXT(AT628,"mmmm yyyy"))</f>
        <v/>
      </c>
      <c r="AV628" s="67" t="str">
        <f>IF(C628="","",C628-WEEKDAY(C628,2)+1)</f>
        <v/>
      </c>
      <c r="AW628" s="67" t="str">
        <f>IF(AV628="","",AV628+6)</f>
        <v/>
      </c>
      <c r="AX628" s="66" t="str">
        <f>IF(AV628="","",TEXT(AV628,"dd/mm/yyyy")&amp;" - "&amp;TEXT(AW628,"dd/mm/yyyy"))</f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>IF(B628="","",TEXT(AY628,"00")&amp;"|"&amp;B628&amp;"|"&amp;TEXT(AT628,"yyyymmdd"))</f>
        <v/>
      </c>
      <c r="BB628" s="66" t="str">
        <f>IF(B628="","",TEXT(AZ628,"00")&amp;"|"&amp;B628&amp;"|"&amp;TEXT(AV628,"yyyymmdd"))</f>
        <v/>
      </c>
      <c r="BC628" s="66">
        <f>IF(OR(AQ628="YES",AQ628="Yes",AQ628="Y",AQ628=1),1,0)</f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17">
        <f>SUM(H629,J629,L629,N629,P629,R629,T629,V629,X629,Z629,AB629,AD629,AF629,AH629,AJ629,AL629,AN629)</f>
        <v>0</v>
      </c>
      <c r="AT629" s="67" t="str">
        <f>IF(C629="","",DATE(YEAR(C629),MONTH(C629),1))</f>
        <v/>
      </c>
      <c r="AU629" s="66" t="str">
        <f>IF(AT629="","",TEXT(AT629,"mmmm yyyy"))</f>
        <v/>
      </c>
      <c r="AV629" s="67" t="str">
        <f>IF(C629="","",C629-WEEKDAY(C629,2)+1)</f>
        <v/>
      </c>
      <c r="AW629" s="67" t="str">
        <f>IF(AV629="","",AV629+6)</f>
        <v/>
      </c>
      <c r="AX629" s="66" t="str">
        <f>IF(AV629="","",TEXT(AV629,"dd/mm/yyyy")&amp;" - "&amp;TEXT(AW629,"dd/mm/yyyy"))</f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>IF(B629="","",TEXT(AY629,"00")&amp;"|"&amp;B629&amp;"|"&amp;TEXT(AT629,"yyyymmdd"))</f>
        <v/>
      </c>
      <c r="BB629" s="66" t="str">
        <f>IF(B629="","",TEXT(AZ629,"00")&amp;"|"&amp;B629&amp;"|"&amp;TEXT(AV629,"yyyymmdd"))</f>
        <v/>
      </c>
      <c r="BC629" s="66">
        <f>IF(OR(AQ629="YES",AQ629="Yes",AQ629="Y",AQ629=1),1,0)</f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17">
        <f>SUM(H630,J630,L630,N630,P630,R630,T630,V630,X630,Z630,AB630,AD630,AF630,AH630,AJ630,AL630,AN630)</f>
        <v>0</v>
      </c>
      <c r="AT630" s="67" t="str">
        <f>IF(C630="","",DATE(YEAR(C630),MONTH(C630),1))</f>
        <v/>
      </c>
      <c r="AU630" s="66" t="str">
        <f>IF(AT630="","",TEXT(AT630,"mmmm yyyy"))</f>
        <v/>
      </c>
      <c r="AV630" s="67" t="str">
        <f>IF(C630="","",C630-WEEKDAY(C630,2)+1)</f>
        <v/>
      </c>
      <c r="AW630" s="67" t="str">
        <f>IF(AV630="","",AV630+6)</f>
        <v/>
      </c>
      <c r="AX630" s="66" t="str">
        <f>IF(AV630="","",TEXT(AV630,"dd/mm/yyyy")&amp;" - "&amp;TEXT(AW630,"dd/mm/yyyy"))</f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>IF(B630="","",TEXT(AY630,"00")&amp;"|"&amp;B630&amp;"|"&amp;TEXT(AT630,"yyyymmdd"))</f>
        <v/>
      </c>
      <c r="BB630" s="66" t="str">
        <f>IF(B630="","",TEXT(AZ630,"00")&amp;"|"&amp;B630&amp;"|"&amp;TEXT(AV630,"yyyymmdd"))</f>
        <v/>
      </c>
      <c r="BC630" s="66">
        <f>IF(OR(AQ630="YES",AQ630="Yes",AQ630="Y",AQ630=1),1,0)</f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17">
        <f>SUM(H631,J631,L631,N631,P631,R631,T631,V631,X631,Z631,AB631,AD631,AF631,AH631,AJ631,AL631,AN631)</f>
        <v>0</v>
      </c>
      <c r="AT631" s="67" t="str">
        <f>IF(C631="","",DATE(YEAR(C631),MONTH(C631),1))</f>
        <v/>
      </c>
      <c r="AU631" s="66" t="str">
        <f>IF(AT631="","",TEXT(AT631,"mmmm yyyy"))</f>
        <v/>
      </c>
      <c r="AV631" s="67" t="str">
        <f>IF(C631="","",C631-WEEKDAY(C631,2)+1)</f>
        <v/>
      </c>
      <c r="AW631" s="67" t="str">
        <f>IF(AV631="","",AV631+6)</f>
        <v/>
      </c>
      <c r="AX631" s="66" t="str">
        <f>IF(AV631="","",TEXT(AV631,"dd/mm/yyyy")&amp;" - "&amp;TEXT(AW631,"dd/mm/yyyy"))</f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>IF(B631="","",TEXT(AY631,"00")&amp;"|"&amp;B631&amp;"|"&amp;TEXT(AT631,"yyyymmdd"))</f>
        <v/>
      </c>
      <c r="BB631" s="66" t="str">
        <f>IF(B631="","",TEXT(AZ631,"00")&amp;"|"&amp;B631&amp;"|"&amp;TEXT(AV631,"yyyymmdd"))</f>
        <v/>
      </c>
      <c r="BC631" s="66">
        <f>IF(OR(AQ631="YES",AQ631="Yes",AQ631="Y",AQ631=1),1,0)</f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17">
        <f>SUM(H632,J632,L632,N632,P632,R632,T632,V632,X632,Z632,AB632,AD632,AF632,AH632,AJ632,AL632,AN632)</f>
        <v>0</v>
      </c>
      <c r="AT632" s="67" t="str">
        <f>IF(C632="","",DATE(YEAR(C632),MONTH(C632),1))</f>
        <v/>
      </c>
      <c r="AU632" s="66" t="str">
        <f>IF(AT632="","",TEXT(AT632,"mmmm yyyy"))</f>
        <v/>
      </c>
      <c r="AV632" s="67" t="str">
        <f>IF(C632="","",C632-WEEKDAY(C632,2)+1)</f>
        <v/>
      </c>
      <c r="AW632" s="67" t="str">
        <f>IF(AV632="","",AV632+6)</f>
        <v/>
      </c>
      <c r="AX632" s="66" t="str">
        <f>IF(AV632="","",TEXT(AV632,"dd/mm/yyyy")&amp;" - "&amp;TEXT(AW632,"dd/mm/yyyy"))</f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>IF(B632="","",TEXT(AY632,"00")&amp;"|"&amp;B632&amp;"|"&amp;TEXT(AT632,"yyyymmdd"))</f>
        <v/>
      </c>
      <c r="BB632" s="66" t="str">
        <f>IF(B632="","",TEXT(AZ632,"00")&amp;"|"&amp;B632&amp;"|"&amp;TEXT(AV632,"yyyymmdd"))</f>
        <v/>
      </c>
      <c r="BC632" s="66">
        <f>IF(OR(AQ632="YES",AQ632="Yes",AQ632="Y",AQ632=1),1,0)</f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17">
        <f>SUM(H633,J633,L633,N633,P633,R633,T633,V633,X633,Z633,AB633,AD633,AF633,AH633,AJ633,AL633,AN633)</f>
        <v>0</v>
      </c>
      <c r="AT633" s="67" t="str">
        <f>IF(C633="","",DATE(YEAR(C633),MONTH(C633),1))</f>
        <v/>
      </c>
      <c r="AU633" s="66" t="str">
        <f>IF(AT633="","",TEXT(AT633,"mmmm yyyy"))</f>
        <v/>
      </c>
      <c r="AV633" s="67" t="str">
        <f>IF(C633="","",C633-WEEKDAY(C633,2)+1)</f>
        <v/>
      </c>
      <c r="AW633" s="67" t="str">
        <f>IF(AV633="","",AV633+6)</f>
        <v/>
      </c>
      <c r="AX633" s="66" t="str">
        <f>IF(AV633="","",TEXT(AV633,"dd/mm/yyyy")&amp;" - "&amp;TEXT(AW633,"dd/mm/yyyy"))</f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>IF(B633="","",TEXT(AY633,"00")&amp;"|"&amp;B633&amp;"|"&amp;TEXT(AT633,"yyyymmdd"))</f>
        <v/>
      </c>
      <c r="BB633" s="66" t="str">
        <f>IF(B633="","",TEXT(AZ633,"00")&amp;"|"&amp;B633&amp;"|"&amp;TEXT(AV633,"yyyymmdd"))</f>
        <v/>
      </c>
      <c r="BC633" s="66">
        <f>IF(OR(AQ633="YES",AQ633="Yes",AQ633="Y",AQ633=1),1,0)</f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17">
        <f>SUM(H634,J634,L634,N634,P634,R634,T634,V634,X634,Z634,AB634,AD634,AF634,AH634,AJ634,AL634,AN634)</f>
        <v>0</v>
      </c>
      <c r="AT634" s="67" t="str">
        <f>IF(C634="","",DATE(YEAR(C634),MONTH(C634),1))</f>
        <v/>
      </c>
      <c r="AU634" s="66" t="str">
        <f>IF(AT634="","",TEXT(AT634,"mmmm yyyy"))</f>
        <v/>
      </c>
      <c r="AV634" s="67" t="str">
        <f>IF(C634="","",C634-WEEKDAY(C634,2)+1)</f>
        <v/>
      </c>
      <c r="AW634" s="67" t="str">
        <f>IF(AV634="","",AV634+6)</f>
        <v/>
      </c>
      <c r="AX634" s="66" t="str">
        <f>IF(AV634="","",TEXT(AV634,"dd/mm/yyyy")&amp;" - "&amp;TEXT(AW634,"dd/mm/yyyy"))</f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>IF(B634="","",TEXT(AY634,"00")&amp;"|"&amp;B634&amp;"|"&amp;TEXT(AT634,"yyyymmdd"))</f>
        <v/>
      </c>
      <c r="BB634" s="66" t="str">
        <f>IF(B634="","",TEXT(AZ634,"00")&amp;"|"&amp;B634&amp;"|"&amp;TEXT(AV634,"yyyymmdd"))</f>
        <v/>
      </c>
      <c r="BC634" s="66">
        <f>IF(OR(AQ634="YES",AQ634="Yes",AQ634="Y",AQ634=1),1,0)</f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17">
        <f>SUM(H635,J635,L635,N635,P635,R635,T635,V635,X635,Z635,AB635,AD635,AF635,AH635,AJ635,AL635,AN635)</f>
        <v>0</v>
      </c>
      <c r="AT635" s="67" t="str">
        <f>IF(C635="","",DATE(YEAR(C635),MONTH(C635),1))</f>
        <v/>
      </c>
      <c r="AU635" s="66" t="str">
        <f>IF(AT635="","",TEXT(AT635,"mmmm yyyy"))</f>
        <v/>
      </c>
      <c r="AV635" s="67" t="str">
        <f>IF(C635="","",C635-WEEKDAY(C635,2)+1)</f>
        <v/>
      </c>
      <c r="AW635" s="67" t="str">
        <f>IF(AV635="","",AV635+6)</f>
        <v/>
      </c>
      <c r="AX635" s="66" t="str">
        <f>IF(AV635="","",TEXT(AV635,"dd/mm/yyyy")&amp;" - "&amp;TEXT(AW635,"dd/mm/yyyy"))</f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>IF(B635="","",TEXT(AY635,"00")&amp;"|"&amp;B635&amp;"|"&amp;TEXT(AT635,"yyyymmdd"))</f>
        <v/>
      </c>
      <c r="BB635" s="66" t="str">
        <f>IF(B635="","",TEXT(AZ635,"00")&amp;"|"&amp;B635&amp;"|"&amp;TEXT(AV635,"yyyymmdd"))</f>
        <v/>
      </c>
      <c r="BC635" s="66">
        <f>IF(OR(AQ635="YES",AQ635="Yes",AQ635="Y",AQ635=1),1,0)</f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17">
        <f>SUM(H636,J636,L636,N636,P636,R636,T636,V636,X636,Z636,AB636,AD636,AF636,AH636,AJ636,AL636,AN636)</f>
        <v>0</v>
      </c>
      <c r="AT636" s="67" t="str">
        <f>IF(C636="","",DATE(YEAR(C636),MONTH(C636),1))</f>
        <v/>
      </c>
      <c r="AU636" s="66" t="str">
        <f>IF(AT636="","",TEXT(AT636,"mmmm yyyy"))</f>
        <v/>
      </c>
      <c r="AV636" s="67" t="str">
        <f>IF(C636="","",C636-WEEKDAY(C636,2)+1)</f>
        <v/>
      </c>
      <c r="AW636" s="67" t="str">
        <f>IF(AV636="","",AV636+6)</f>
        <v/>
      </c>
      <c r="AX636" s="66" t="str">
        <f>IF(AV636="","",TEXT(AV636,"dd/mm/yyyy")&amp;" - "&amp;TEXT(AW636,"dd/mm/yyyy"))</f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>IF(B636="","",TEXT(AY636,"00")&amp;"|"&amp;B636&amp;"|"&amp;TEXT(AT636,"yyyymmdd"))</f>
        <v/>
      </c>
      <c r="BB636" s="66" t="str">
        <f>IF(B636="","",TEXT(AZ636,"00")&amp;"|"&amp;B636&amp;"|"&amp;TEXT(AV636,"yyyymmdd"))</f>
        <v/>
      </c>
      <c r="BC636" s="66">
        <f>IF(OR(AQ636="YES",AQ636="Yes",AQ636="Y",AQ636=1),1,0)</f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17">
        <f>SUM(H637,J637,L637,N637,P637,R637,T637,V637,X637,Z637,AB637,AD637,AF637,AH637,AJ637,AL637,AN637)</f>
        <v>0</v>
      </c>
      <c r="AT637" s="67" t="str">
        <f>IF(C637="","",DATE(YEAR(C637),MONTH(C637),1))</f>
        <v/>
      </c>
      <c r="AU637" s="66" t="str">
        <f>IF(AT637="","",TEXT(AT637,"mmmm yyyy"))</f>
        <v/>
      </c>
      <c r="AV637" s="67" t="str">
        <f>IF(C637="","",C637-WEEKDAY(C637,2)+1)</f>
        <v/>
      </c>
      <c r="AW637" s="67" t="str">
        <f>IF(AV637="","",AV637+6)</f>
        <v/>
      </c>
      <c r="AX637" s="66" t="str">
        <f>IF(AV637="","",TEXT(AV637,"dd/mm/yyyy")&amp;" - "&amp;TEXT(AW637,"dd/mm/yyyy"))</f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>IF(B637="","",TEXT(AY637,"00")&amp;"|"&amp;B637&amp;"|"&amp;TEXT(AT637,"yyyymmdd"))</f>
        <v/>
      </c>
      <c r="BB637" s="66" t="str">
        <f>IF(B637="","",TEXT(AZ637,"00")&amp;"|"&amp;B637&amp;"|"&amp;TEXT(AV637,"yyyymmdd"))</f>
        <v/>
      </c>
      <c r="BC637" s="66">
        <f>IF(OR(AQ637="YES",AQ637="Yes",AQ637="Y",AQ637=1),1,0)</f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17">
        <f>SUM(H638,J638,L638,N638,P638,R638,T638,V638,X638,Z638,AB638,AD638,AF638,AH638,AJ638,AL638,AN638)</f>
        <v>0</v>
      </c>
      <c r="AT638" s="67" t="str">
        <f>IF(C638="","",DATE(YEAR(C638),MONTH(C638),1))</f>
        <v/>
      </c>
      <c r="AU638" s="66" t="str">
        <f>IF(AT638="","",TEXT(AT638,"mmmm yyyy"))</f>
        <v/>
      </c>
      <c r="AV638" s="67" t="str">
        <f>IF(C638="","",C638-WEEKDAY(C638,2)+1)</f>
        <v/>
      </c>
      <c r="AW638" s="67" t="str">
        <f>IF(AV638="","",AV638+6)</f>
        <v/>
      </c>
      <c r="AX638" s="66" t="str">
        <f>IF(AV638="","",TEXT(AV638,"dd/mm/yyyy")&amp;" - "&amp;TEXT(AW638,"dd/mm/yyyy"))</f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>IF(B638="","",TEXT(AY638,"00")&amp;"|"&amp;B638&amp;"|"&amp;TEXT(AT638,"yyyymmdd"))</f>
        <v/>
      </c>
      <c r="BB638" s="66" t="str">
        <f>IF(B638="","",TEXT(AZ638,"00")&amp;"|"&amp;B638&amp;"|"&amp;TEXT(AV638,"yyyymmdd"))</f>
        <v/>
      </c>
      <c r="BC638" s="66">
        <f>IF(OR(AQ638="YES",AQ638="Yes",AQ638="Y",AQ638=1),1,0)</f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17">
        <f>SUM(H639,J639,L639,N639,P639,R639,T639,V639,X639,Z639,AB639,AD639,AF639,AH639,AJ639,AL639,AN639)</f>
        <v>0</v>
      </c>
      <c r="AT639" s="67" t="str">
        <f>IF(C639="","",DATE(YEAR(C639),MONTH(C639),1))</f>
        <v/>
      </c>
      <c r="AU639" s="66" t="str">
        <f>IF(AT639="","",TEXT(AT639,"mmmm yyyy"))</f>
        <v/>
      </c>
      <c r="AV639" s="67" t="str">
        <f>IF(C639="","",C639-WEEKDAY(C639,2)+1)</f>
        <v/>
      </c>
      <c r="AW639" s="67" t="str">
        <f>IF(AV639="","",AV639+6)</f>
        <v/>
      </c>
      <c r="AX639" s="66" t="str">
        <f>IF(AV639="","",TEXT(AV639,"dd/mm/yyyy")&amp;" - "&amp;TEXT(AW639,"dd/mm/yyyy"))</f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>IF(B639="","",TEXT(AY639,"00")&amp;"|"&amp;B639&amp;"|"&amp;TEXT(AT639,"yyyymmdd"))</f>
        <v/>
      </c>
      <c r="BB639" s="66" t="str">
        <f>IF(B639="","",TEXT(AZ639,"00")&amp;"|"&amp;B639&amp;"|"&amp;TEXT(AV639,"yyyymmdd"))</f>
        <v/>
      </c>
      <c r="BC639" s="66">
        <f>IF(OR(AQ639="YES",AQ639="Yes",AQ639="Y",AQ639=1),1,0)</f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17">
        <f>SUM(H640,J640,L640,N640,P640,R640,T640,V640,X640,Z640,AB640,AD640,AF640,AH640,AJ640,AL640,AN640)</f>
        <v>0</v>
      </c>
      <c r="AT640" s="67" t="str">
        <f>IF(C640="","",DATE(YEAR(C640),MONTH(C640),1))</f>
        <v/>
      </c>
      <c r="AU640" s="66" t="str">
        <f>IF(AT640="","",TEXT(AT640,"mmmm yyyy"))</f>
        <v/>
      </c>
      <c r="AV640" s="67" t="str">
        <f>IF(C640="","",C640-WEEKDAY(C640,2)+1)</f>
        <v/>
      </c>
      <c r="AW640" s="67" t="str">
        <f>IF(AV640="","",AV640+6)</f>
        <v/>
      </c>
      <c r="AX640" s="66" t="str">
        <f>IF(AV640="","",TEXT(AV640,"dd/mm/yyyy")&amp;" - "&amp;TEXT(AW640,"dd/mm/yyyy"))</f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>IF(B640="","",TEXT(AY640,"00")&amp;"|"&amp;B640&amp;"|"&amp;TEXT(AT640,"yyyymmdd"))</f>
        <v/>
      </c>
      <c r="BB640" s="66" t="str">
        <f>IF(B640="","",TEXT(AZ640,"00")&amp;"|"&amp;B640&amp;"|"&amp;TEXT(AV640,"yyyymmdd"))</f>
        <v/>
      </c>
      <c r="BC640" s="66">
        <f>IF(OR(AQ640="YES",AQ640="Yes",AQ640="Y",AQ640=1),1,0)</f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17">
        <f>SUM(H641,J641,L641,N641,P641,R641,T641,V641,X641,Z641,AB641,AD641,AF641,AH641,AJ641,AL641,AN641)</f>
        <v>0</v>
      </c>
      <c r="AT641" s="67" t="str">
        <f>IF(C641="","",DATE(YEAR(C641),MONTH(C641),1))</f>
        <v/>
      </c>
      <c r="AU641" s="66" t="str">
        <f>IF(AT641="","",TEXT(AT641,"mmmm yyyy"))</f>
        <v/>
      </c>
      <c r="AV641" s="67" t="str">
        <f>IF(C641="","",C641-WEEKDAY(C641,2)+1)</f>
        <v/>
      </c>
      <c r="AW641" s="67" t="str">
        <f>IF(AV641="","",AV641+6)</f>
        <v/>
      </c>
      <c r="AX641" s="66" t="str">
        <f>IF(AV641="","",TEXT(AV641,"dd/mm/yyyy")&amp;" - "&amp;TEXT(AW641,"dd/mm/yyyy"))</f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>IF(B641="","",TEXT(AY641,"00")&amp;"|"&amp;B641&amp;"|"&amp;TEXT(AT641,"yyyymmdd"))</f>
        <v/>
      </c>
      <c r="BB641" s="66" t="str">
        <f>IF(B641="","",TEXT(AZ641,"00")&amp;"|"&amp;B641&amp;"|"&amp;TEXT(AV641,"yyyymmdd"))</f>
        <v/>
      </c>
      <c r="BC641" s="66">
        <f>IF(OR(AQ641="YES",AQ641="Yes",AQ641="Y",AQ641=1),1,0)</f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17">
        <f>SUM(H642,J642,L642,N642,P642,R642,T642,V642,X642,Z642,AB642,AD642,AF642,AH642,AJ642,AL642,AN642)</f>
        <v>0</v>
      </c>
      <c r="AT642" s="67" t="str">
        <f>IF(C642="","",DATE(YEAR(C642),MONTH(C642),1))</f>
        <v/>
      </c>
      <c r="AU642" s="66" t="str">
        <f>IF(AT642="","",TEXT(AT642,"mmmm yyyy"))</f>
        <v/>
      </c>
      <c r="AV642" s="67" t="str">
        <f>IF(C642="","",C642-WEEKDAY(C642,2)+1)</f>
        <v/>
      </c>
      <c r="AW642" s="67" t="str">
        <f>IF(AV642="","",AV642+6)</f>
        <v/>
      </c>
      <c r="AX642" s="66" t="str">
        <f>IF(AV642="","",TEXT(AV642,"dd/mm/yyyy")&amp;" - "&amp;TEXT(AW642,"dd/mm/yyyy"))</f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>IF(B642="","",TEXT(AY642,"00")&amp;"|"&amp;B642&amp;"|"&amp;TEXT(AT642,"yyyymmdd"))</f>
        <v/>
      </c>
      <c r="BB642" s="66" t="str">
        <f>IF(B642="","",TEXT(AZ642,"00")&amp;"|"&amp;B642&amp;"|"&amp;TEXT(AV642,"yyyymmdd"))</f>
        <v/>
      </c>
      <c r="BC642" s="66">
        <f>IF(OR(AQ642="YES",AQ642="Yes",AQ642="Y",AQ642=1),1,0)</f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17">
        <f>SUM(H643,J643,L643,N643,P643,R643,T643,V643,X643,Z643,AB643,AD643,AF643,AH643,AJ643,AL643,AN643)</f>
        <v>0</v>
      </c>
      <c r="AT643" s="67" t="str">
        <f>IF(C643="","",DATE(YEAR(C643),MONTH(C643),1))</f>
        <v/>
      </c>
      <c r="AU643" s="66" t="str">
        <f>IF(AT643="","",TEXT(AT643,"mmmm yyyy"))</f>
        <v/>
      </c>
      <c r="AV643" s="67" t="str">
        <f>IF(C643="","",C643-WEEKDAY(C643,2)+1)</f>
        <v/>
      </c>
      <c r="AW643" s="67" t="str">
        <f>IF(AV643="","",AV643+6)</f>
        <v/>
      </c>
      <c r="AX643" s="66" t="str">
        <f>IF(AV643="","",TEXT(AV643,"dd/mm/yyyy")&amp;" - "&amp;TEXT(AW643,"dd/mm/yyyy"))</f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>IF(B643="","",TEXT(AY643,"00")&amp;"|"&amp;B643&amp;"|"&amp;TEXT(AT643,"yyyymmdd"))</f>
        <v/>
      </c>
      <c r="BB643" s="66" t="str">
        <f>IF(B643="","",TEXT(AZ643,"00")&amp;"|"&amp;B643&amp;"|"&amp;TEXT(AV643,"yyyymmdd"))</f>
        <v/>
      </c>
      <c r="BC643" s="66">
        <f>IF(OR(AQ643="YES",AQ643="Yes",AQ643="Y",AQ643=1),1,0)</f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17">
        <f>SUM(H644,J644,L644,N644,P644,R644,T644,V644,X644,Z644,AB644,AD644,AF644,AH644,AJ644,AL644,AN644)</f>
        <v>0</v>
      </c>
      <c r="AT644" s="67" t="str">
        <f>IF(C644="","",DATE(YEAR(C644),MONTH(C644),1))</f>
        <v/>
      </c>
      <c r="AU644" s="66" t="str">
        <f>IF(AT644="","",TEXT(AT644,"mmmm yyyy"))</f>
        <v/>
      </c>
      <c r="AV644" s="67" t="str">
        <f>IF(C644="","",C644-WEEKDAY(C644,2)+1)</f>
        <v/>
      </c>
      <c r="AW644" s="67" t="str">
        <f>IF(AV644="","",AV644+6)</f>
        <v/>
      </c>
      <c r="AX644" s="66" t="str">
        <f>IF(AV644="","",TEXT(AV644,"dd/mm/yyyy")&amp;" - "&amp;TEXT(AW644,"dd/mm/yyyy"))</f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>IF(B644="","",TEXT(AY644,"00")&amp;"|"&amp;B644&amp;"|"&amp;TEXT(AT644,"yyyymmdd"))</f>
        <v/>
      </c>
      <c r="BB644" s="66" t="str">
        <f>IF(B644="","",TEXT(AZ644,"00")&amp;"|"&amp;B644&amp;"|"&amp;TEXT(AV644,"yyyymmdd"))</f>
        <v/>
      </c>
      <c r="BC644" s="66">
        <f>IF(OR(AQ644="YES",AQ644="Yes",AQ644="Y",AQ644=1),1,0)</f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17">
        <f>SUM(H645,J645,L645,N645,P645,R645,T645,V645,X645,Z645,AB645,AD645,AF645,AH645,AJ645,AL645,AN645)</f>
        <v>0</v>
      </c>
      <c r="AT645" s="67" t="str">
        <f>IF(C645="","",DATE(YEAR(C645),MONTH(C645),1))</f>
        <v/>
      </c>
      <c r="AU645" s="66" t="str">
        <f>IF(AT645="","",TEXT(AT645,"mmmm yyyy"))</f>
        <v/>
      </c>
      <c r="AV645" s="67" t="str">
        <f>IF(C645="","",C645-WEEKDAY(C645,2)+1)</f>
        <v/>
      </c>
      <c r="AW645" s="67" t="str">
        <f>IF(AV645="","",AV645+6)</f>
        <v/>
      </c>
      <c r="AX645" s="66" t="str">
        <f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>IF(B645="","",TEXT(AY645,"00")&amp;"|"&amp;B645&amp;"|"&amp;TEXT(AT645,"yyyymmdd"))</f>
        <v/>
      </c>
      <c r="BB645" s="66" t="str">
        <f>IF(B645="","",TEXT(AZ645,"00")&amp;"|"&amp;B645&amp;"|"&amp;TEXT(AV645,"yyyymmdd"))</f>
        <v/>
      </c>
      <c r="BC645" s="66">
        <f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17">
        <f>SUM(H646,J646,L646,N646,P646,R646,T646,V646,X646,Z646,AB646,AD646,AF646,AH646,AJ646,AL646,AN646)</f>
        <v>0</v>
      </c>
      <c r="AT646" s="67" t="str">
        <f>IF(C646="","",DATE(YEAR(C646),MONTH(C646),1))</f>
        <v/>
      </c>
      <c r="AU646" s="66" t="str">
        <f>IF(AT646="","",TEXT(AT646,"mmmm yyyy"))</f>
        <v/>
      </c>
      <c r="AV646" s="67" t="str">
        <f>IF(C646="","",C646-WEEKDAY(C646,2)+1)</f>
        <v/>
      </c>
      <c r="AW646" s="67" t="str">
        <f>IF(AV646="","",AV646+6)</f>
        <v/>
      </c>
      <c r="AX646" s="66" t="str">
        <f>IF(AV646="","",TEXT(AV646,"dd/mm/yyyy")&amp;" - "&amp;TEXT(AW646,"dd/mm/yyyy"))</f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>IF(B646="","",TEXT(AY646,"00")&amp;"|"&amp;B646&amp;"|"&amp;TEXT(AT646,"yyyymmdd"))</f>
        <v/>
      </c>
      <c r="BB646" s="66" t="str">
        <f>IF(B646="","",TEXT(AZ646,"00")&amp;"|"&amp;B646&amp;"|"&amp;TEXT(AV646,"yyyymmdd"))</f>
        <v/>
      </c>
      <c r="BC646" s="66">
        <f>IF(OR(AQ646="YES",AQ646="Yes",AQ646="Y",AQ646=1),1,0)</f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17">
        <f>SUM(H647,J647,L647,N647,P647,R647,T647,V647,X647,Z647,AB647,AD647,AF647,AH647,AJ647,AL647,AN647)</f>
        <v>0</v>
      </c>
      <c r="AT647" s="67" t="str">
        <f>IF(C647="","",DATE(YEAR(C647),MONTH(C647),1))</f>
        <v/>
      </c>
      <c r="AU647" s="66" t="str">
        <f>IF(AT647="","",TEXT(AT647,"mmmm yyyy"))</f>
        <v/>
      </c>
      <c r="AV647" s="67" t="str">
        <f>IF(C647="","",C647-WEEKDAY(C647,2)+1)</f>
        <v/>
      </c>
      <c r="AW647" s="67" t="str">
        <f>IF(AV647="","",AV647+6)</f>
        <v/>
      </c>
      <c r="AX647" s="66" t="str">
        <f>IF(AV647="","",TEXT(AV647,"dd/mm/yyyy")&amp;" - "&amp;TEXT(AW647,"dd/mm/yyyy"))</f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>IF(B647="","",TEXT(AY647,"00")&amp;"|"&amp;B647&amp;"|"&amp;TEXT(AT647,"yyyymmdd"))</f>
        <v/>
      </c>
      <c r="BB647" s="66" t="str">
        <f>IF(B647="","",TEXT(AZ647,"00")&amp;"|"&amp;B647&amp;"|"&amp;TEXT(AV647,"yyyymmdd"))</f>
        <v/>
      </c>
      <c r="BC647" s="66">
        <f>IF(OR(AQ647="YES",AQ647="Yes",AQ647="Y",AQ647=1),1,0)</f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17">
        <f>SUM(H648,J648,L648,N648,P648,R648,T648,V648,X648,Z648,AB648,AD648,AF648,AH648,AJ648,AL648,AN648)</f>
        <v>0</v>
      </c>
      <c r="AT648" s="67" t="str">
        <f>IF(C648="","",DATE(YEAR(C648),MONTH(C648),1))</f>
        <v/>
      </c>
      <c r="AU648" s="66" t="str">
        <f>IF(AT648="","",TEXT(AT648,"mmmm yyyy"))</f>
        <v/>
      </c>
      <c r="AV648" s="67" t="str">
        <f>IF(C648="","",C648-WEEKDAY(C648,2)+1)</f>
        <v/>
      </c>
      <c r="AW648" s="67" t="str">
        <f>IF(AV648="","",AV648+6)</f>
        <v/>
      </c>
      <c r="AX648" s="66" t="str">
        <f>IF(AV648="","",TEXT(AV648,"dd/mm/yyyy")&amp;" - "&amp;TEXT(AW648,"dd/mm/yyyy"))</f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>IF(B648="","",TEXT(AY648,"00")&amp;"|"&amp;B648&amp;"|"&amp;TEXT(AT648,"yyyymmdd"))</f>
        <v/>
      </c>
      <c r="BB648" s="66" t="str">
        <f>IF(B648="","",TEXT(AZ648,"00")&amp;"|"&amp;B648&amp;"|"&amp;TEXT(AV648,"yyyymmdd"))</f>
        <v/>
      </c>
      <c r="BC648" s="66">
        <f>IF(OR(AQ648="YES",AQ648="Yes",AQ648="Y",AQ648=1),1,0)</f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17">
        <f>SUM(H649,J649,L649,N649,P649,R649,T649,V649,X649,Z649,AB649,AD649,AF649,AH649,AJ649,AL649,AN649)</f>
        <v>0</v>
      </c>
      <c r="AT649" s="67" t="str">
        <f>IF(C649="","",DATE(YEAR(C649),MONTH(C649),1))</f>
        <v/>
      </c>
      <c r="AU649" s="66" t="str">
        <f>IF(AT649="","",TEXT(AT649,"mmmm yyyy"))</f>
        <v/>
      </c>
      <c r="AV649" s="67" t="str">
        <f>IF(C649="","",C649-WEEKDAY(C649,2)+1)</f>
        <v/>
      </c>
      <c r="AW649" s="67" t="str">
        <f>IF(AV649="","",AV649+6)</f>
        <v/>
      </c>
      <c r="AX649" s="66" t="str">
        <f>IF(AV649="","",TEXT(AV649,"dd/mm/yyyy")&amp;" - "&amp;TEXT(AW649,"dd/mm/yyyy"))</f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>IF(B649="","",TEXT(AY649,"00")&amp;"|"&amp;B649&amp;"|"&amp;TEXT(AT649,"yyyymmdd"))</f>
        <v/>
      </c>
      <c r="BB649" s="66" t="str">
        <f>IF(B649="","",TEXT(AZ649,"00")&amp;"|"&amp;B649&amp;"|"&amp;TEXT(AV649,"yyyymmdd"))</f>
        <v/>
      </c>
      <c r="BC649" s="66">
        <f>IF(OR(AQ649="YES",AQ649="Yes",AQ649="Y",AQ649=1),1,0)</f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17">
        <f>SUM(H650,J650,L650,N650,P650,R650,T650,V650,X650,Z650,AB650,AD650,AF650,AH650,AJ650,AL650,AN650)</f>
        <v>0</v>
      </c>
      <c r="AT650" s="67" t="str">
        <f>IF(C650="","",DATE(YEAR(C650),MONTH(C650),1))</f>
        <v/>
      </c>
      <c r="AU650" s="66" t="str">
        <f>IF(AT650="","",TEXT(AT650,"mmmm yyyy"))</f>
        <v/>
      </c>
      <c r="AV650" s="67" t="str">
        <f>IF(C650="","",C650-WEEKDAY(C650,2)+1)</f>
        <v/>
      </c>
      <c r="AW650" s="67" t="str">
        <f>IF(AV650="","",AV650+6)</f>
        <v/>
      </c>
      <c r="AX650" s="66" t="str">
        <f>IF(AV650="","",TEXT(AV650,"dd/mm/yyyy")&amp;" - "&amp;TEXT(AW650,"dd/mm/yyyy"))</f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>IF(B650="","",TEXT(AY650,"00")&amp;"|"&amp;B650&amp;"|"&amp;TEXT(AT650,"yyyymmdd"))</f>
        <v/>
      </c>
      <c r="BB650" s="66" t="str">
        <f>IF(B650="","",TEXT(AZ650,"00")&amp;"|"&amp;B650&amp;"|"&amp;TEXT(AV650,"yyyymmdd"))</f>
        <v/>
      </c>
      <c r="BC650" s="66">
        <f>IF(OR(AQ650="YES",AQ650="Yes",AQ650="Y",AQ650=1),1,0)</f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17">
        <f>SUM(H651,J651,L651,N651,P651,R651,T651,V651,X651,Z651,AB651,AD651,AF651,AH651,AJ651,AL651,AN651)</f>
        <v>0</v>
      </c>
      <c r="AT651" s="67" t="str">
        <f>IF(C651="","",DATE(YEAR(C651),MONTH(C651),1))</f>
        <v/>
      </c>
      <c r="AU651" s="66" t="str">
        <f>IF(AT651="","",TEXT(AT651,"mmmm yyyy"))</f>
        <v/>
      </c>
      <c r="AV651" s="67" t="str">
        <f>IF(C651="","",C651-WEEKDAY(C651,2)+1)</f>
        <v/>
      </c>
      <c r="AW651" s="67" t="str">
        <f>IF(AV651="","",AV651+6)</f>
        <v/>
      </c>
      <c r="AX651" s="66" t="str">
        <f>IF(AV651="","",TEXT(AV651,"dd/mm/yyyy")&amp;" - "&amp;TEXT(AW651,"dd/mm/yyyy"))</f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>IF(B651="","",TEXT(AY651,"00")&amp;"|"&amp;B651&amp;"|"&amp;TEXT(AT651,"yyyymmdd"))</f>
        <v/>
      </c>
      <c r="BB651" s="66" t="str">
        <f>IF(B651="","",TEXT(AZ651,"00")&amp;"|"&amp;B651&amp;"|"&amp;TEXT(AV651,"yyyymmdd"))</f>
        <v/>
      </c>
      <c r="BC651" s="66">
        <f>IF(OR(AQ651="YES",AQ651="Yes",AQ651="Y",AQ651=1),1,0)</f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17">
        <f>SUM(H652,J652,L652,N652,P652,R652,T652,V652,X652,Z652,AB652,AD652,AF652,AH652,AJ652,AL652,AN652)</f>
        <v>0</v>
      </c>
      <c r="AT652" s="67" t="str">
        <f>IF(C652="","",DATE(YEAR(C652),MONTH(C652),1))</f>
        <v/>
      </c>
      <c r="AU652" s="66" t="str">
        <f>IF(AT652="","",TEXT(AT652,"mmmm yyyy"))</f>
        <v/>
      </c>
      <c r="AV652" s="67" t="str">
        <f>IF(C652="","",C652-WEEKDAY(C652,2)+1)</f>
        <v/>
      </c>
      <c r="AW652" s="67" t="str">
        <f>IF(AV652="","",AV652+6)</f>
        <v/>
      </c>
      <c r="AX652" s="66" t="str">
        <f>IF(AV652="","",TEXT(AV652,"dd/mm/yyyy")&amp;" - "&amp;TEXT(AW652,"dd/mm/yyyy"))</f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>IF(B652="","",TEXT(AY652,"00")&amp;"|"&amp;B652&amp;"|"&amp;TEXT(AT652,"yyyymmdd"))</f>
        <v/>
      </c>
      <c r="BB652" s="66" t="str">
        <f>IF(B652="","",TEXT(AZ652,"00")&amp;"|"&amp;B652&amp;"|"&amp;TEXT(AV652,"yyyymmdd"))</f>
        <v/>
      </c>
      <c r="BC652" s="66">
        <f>IF(OR(AQ652="YES",AQ652="Yes",AQ652="Y",AQ652=1),1,0)</f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17">
        <f>SUM(H653,J653,L653,N653,P653,R653,T653,V653,X653,Z653,AB653,AD653,AF653,AH653,AJ653,AL653,AN653)</f>
        <v>0</v>
      </c>
      <c r="AT653" s="67" t="str">
        <f>IF(C653="","",DATE(YEAR(C653),MONTH(C653),1))</f>
        <v/>
      </c>
      <c r="AU653" s="66" t="str">
        <f>IF(AT653="","",TEXT(AT653,"mmmm yyyy"))</f>
        <v/>
      </c>
      <c r="AV653" s="67" t="str">
        <f>IF(C653="","",C653-WEEKDAY(C653,2)+1)</f>
        <v/>
      </c>
      <c r="AW653" s="67" t="str">
        <f>IF(AV653="","",AV653+6)</f>
        <v/>
      </c>
      <c r="AX653" s="66" t="str">
        <f>IF(AV653="","",TEXT(AV653,"dd/mm/yyyy")&amp;" - "&amp;TEXT(AW653,"dd/mm/yyyy"))</f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>IF(B653="","",TEXT(AY653,"00")&amp;"|"&amp;B653&amp;"|"&amp;TEXT(AT653,"yyyymmdd"))</f>
        <v/>
      </c>
      <c r="BB653" s="66" t="str">
        <f>IF(B653="","",TEXT(AZ653,"00")&amp;"|"&amp;B653&amp;"|"&amp;TEXT(AV653,"yyyymmdd"))</f>
        <v/>
      </c>
      <c r="BC653" s="66">
        <f>IF(OR(AQ653="YES",AQ653="Yes",AQ653="Y",AQ653=1),1,0)</f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17">
        <f>SUM(H654,J654,L654,N654,P654,R654,T654,V654,X654,Z654,AB654,AD654,AF654,AH654,AJ654,AL654,AN654)</f>
        <v>0</v>
      </c>
      <c r="AT654" s="67" t="str">
        <f>IF(C654="","",DATE(YEAR(C654),MONTH(C654),1))</f>
        <v/>
      </c>
      <c r="AU654" s="66" t="str">
        <f>IF(AT654="","",TEXT(AT654,"mmmm yyyy"))</f>
        <v/>
      </c>
      <c r="AV654" s="67" t="str">
        <f>IF(C654="","",C654-WEEKDAY(C654,2)+1)</f>
        <v/>
      </c>
      <c r="AW654" s="67" t="str">
        <f>IF(AV654="","",AV654+6)</f>
        <v/>
      </c>
      <c r="AX654" s="66" t="str">
        <f>IF(AV654="","",TEXT(AV654,"dd/mm/yyyy")&amp;" - "&amp;TEXT(AW654,"dd/mm/yyyy"))</f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>IF(B654="","",TEXT(AY654,"00")&amp;"|"&amp;B654&amp;"|"&amp;TEXT(AT654,"yyyymmdd"))</f>
        <v/>
      </c>
      <c r="BB654" s="66" t="str">
        <f>IF(B654="","",TEXT(AZ654,"00")&amp;"|"&amp;B654&amp;"|"&amp;TEXT(AV654,"yyyymmdd"))</f>
        <v/>
      </c>
      <c r="BC654" s="66">
        <f>IF(OR(AQ654="YES",AQ654="Yes",AQ654="Y",AQ654=1),1,0)</f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17">
        <f>SUM(H655,J655,L655,N655,P655,R655,T655,V655,X655,Z655,AB655,AD655,AF655,AH655,AJ655,AL655,AN655)</f>
        <v>0</v>
      </c>
      <c r="AT655" s="67" t="str">
        <f>IF(C655="","",DATE(YEAR(C655),MONTH(C655),1))</f>
        <v/>
      </c>
      <c r="AU655" s="66" t="str">
        <f>IF(AT655="","",TEXT(AT655,"mmmm yyyy"))</f>
        <v/>
      </c>
      <c r="AV655" s="67" t="str">
        <f>IF(C655="","",C655-WEEKDAY(C655,2)+1)</f>
        <v/>
      </c>
      <c r="AW655" s="67" t="str">
        <f>IF(AV655="","",AV655+6)</f>
        <v/>
      </c>
      <c r="AX655" s="66" t="str">
        <f>IF(AV655="","",TEXT(AV655,"dd/mm/yyyy")&amp;" - "&amp;TEXT(AW655,"dd/mm/yyyy"))</f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>IF(B655="","",TEXT(AY655,"00")&amp;"|"&amp;B655&amp;"|"&amp;TEXT(AT655,"yyyymmdd"))</f>
        <v/>
      </c>
      <c r="BB655" s="66" t="str">
        <f>IF(B655="","",TEXT(AZ655,"00")&amp;"|"&amp;B655&amp;"|"&amp;TEXT(AV655,"yyyymmdd"))</f>
        <v/>
      </c>
      <c r="BC655" s="66">
        <f>IF(OR(AQ655="YES",AQ655="Yes",AQ655="Y",AQ655=1),1,0)</f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17">
        <f>SUM(H656,J656,L656,N656,P656,R656,T656,V656,X656,Z656,AB656,AD656,AF656,AH656,AJ656,AL656,AN656)</f>
        <v>0</v>
      </c>
      <c r="AT656" s="67" t="str">
        <f>IF(C656="","",DATE(YEAR(C656),MONTH(C656),1))</f>
        <v/>
      </c>
      <c r="AU656" s="66" t="str">
        <f>IF(AT656="","",TEXT(AT656,"mmmm yyyy"))</f>
        <v/>
      </c>
      <c r="AV656" s="67" t="str">
        <f>IF(C656="","",C656-WEEKDAY(C656,2)+1)</f>
        <v/>
      </c>
      <c r="AW656" s="67" t="str">
        <f>IF(AV656="","",AV656+6)</f>
        <v/>
      </c>
      <c r="AX656" s="66" t="str">
        <f>IF(AV656="","",TEXT(AV656,"dd/mm/yyyy")&amp;" - "&amp;TEXT(AW656,"dd/mm/yyyy"))</f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>IF(B656="","",TEXT(AY656,"00")&amp;"|"&amp;B656&amp;"|"&amp;TEXT(AT656,"yyyymmdd"))</f>
        <v/>
      </c>
      <c r="BB656" s="66" t="str">
        <f>IF(B656="","",TEXT(AZ656,"00")&amp;"|"&amp;B656&amp;"|"&amp;TEXT(AV656,"yyyymmdd"))</f>
        <v/>
      </c>
      <c r="BC656" s="66">
        <f>IF(OR(AQ656="YES",AQ656="Yes",AQ656="Y",AQ656=1),1,0)</f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17">
        <f>SUM(H657,J657,L657,N657,P657,R657,T657,V657,X657,Z657,AB657,AD657,AF657,AH657,AJ657,AL657,AN657)</f>
        <v>0</v>
      </c>
      <c r="AT657" s="67" t="str">
        <f>IF(C657="","",DATE(YEAR(C657),MONTH(C657),1))</f>
        <v/>
      </c>
      <c r="AU657" s="66" t="str">
        <f>IF(AT657="","",TEXT(AT657,"mmmm yyyy"))</f>
        <v/>
      </c>
      <c r="AV657" s="67" t="str">
        <f>IF(C657="","",C657-WEEKDAY(C657,2)+1)</f>
        <v/>
      </c>
      <c r="AW657" s="67" t="str">
        <f>IF(AV657="","",AV657+6)</f>
        <v/>
      </c>
      <c r="AX657" s="66" t="str">
        <f>IF(AV657="","",TEXT(AV657,"dd/mm/yyyy")&amp;" - "&amp;TEXT(AW657,"dd/mm/yyyy"))</f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>IF(B657="","",TEXT(AY657,"00")&amp;"|"&amp;B657&amp;"|"&amp;TEXT(AT657,"yyyymmdd"))</f>
        <v/>
      </c>
      <c r="BB657" s="66" t="str">
        <f>IF(B657="","",TEXT(AZ657,"00")&amp;"|"&amp;B657&amp;"|"&amp;TEXT(AV657,"yyyymmdd"))</f>
        <v/>
      </c>
      <c r="BC657" s="66">
        <f>IF(OR(AQ657="YES",AQ657="Yes",AQ657="Y",AQ657=1),1,0)</f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17">
        <f>SUM(H658,J658,L658,N658,P658,R658,T658,V658,X658,Z658,AB658,AD658,AF658,AH658,AJ658,AL658,AN658)</f>
        <v>0</v>
      </c>
      <c r="AT658" s="67" t="str">
        <f>IF(C658="","",DATE(YEAR(C658),MONTH(C658),1))</f>
        <v/>
      </c>
      <c r="AU658" s="66" t="str">
        <f>IF(AT658="","",TEXT(AT658,"mmmm yyyy"))</f>
        <v/>
      </c>
      <c r="AV658" s="67" t="str">
        <f>IF(C658="","",C658-WEEKDAY(C658,2)+1)</f>
        <v/>
      </c>
      <c r="AW658" s="67" t="str">
        <f>IF(AV658="","",AV658+6)</f>
        <v/>
      </c>
      <c r="AX658" s="66" t="str">
        <f>IF(AV658="","",TEXT(AV658,"dd/mm/yyyy")&amp;" - "&amp;TEXT(AW658,"dd/mm/yyyy"))</f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>IF(B658="","",TEXT(AY658,"00")&amp;"|"&amp;B658&amp;"|"&amp;TEXT(AT658,"yyyymmdd"))</f>
        <v/>
      </c>
      <c r="BB658" s="66" t="str">
        <f>IF(B658="","",TEXT(AZ658,"00")&amp;"|"&amp;B658&amp;"|"&amp;TEXT(AV658,"yyyymmdd"))</f>
        <v/>
      </c>
      <c r="BC658" s="66">
        <f>IF(OR(AQ658="YES",AQ658="Yes",AQ658="Y",AQ658=1),1,0)</f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17">
        <f>SUM(H659,J659,L659,N659,P659,R659,T659,V659,X659,Z659,AB659,AD659,AF659,AH659,AJ659,AL659,AN659)</f>
        <v>0</v>
      </c>
      <c r="AT659" s="67" t="str">
        <f>IF(C659="","",DATE(YEAR(C659),MONTH(C659),1))</f>
        <v/>
      </c>
      <c r="AU659" s="66" t="str">
        <f>IF(AT659="","",TEXT(AT659,"mmmm yyyy"))</f>
        <v/>
      </c>
      <c r="AV659" s="67" t="str">
        <f>IF(C659="","",C659-WEEKDAY(C659,2)+1)</f>
        <v/>
      </c>
      <c r="AW659" s="67" t="str">
        <f>IF(AV659="","",AV659+6)</f>
        <v/>
      </c>
      <c r="AX659" s="66" t="str">
        <f>IF(AV659="","",TEXT(AV659,"dd/mm/yyyy")&amp;" - "&amp;TEXT(AW659,"dd/mm/yyyy"))</f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>IF(B659="","",TEXT(AY659,"00")&amp;"|"&amp;B659&amp;"|"&amp;TEXT(AT659,"yyyymmdd"))</f>
        <v/>
      </c>
      <c r="BB659" s="66" t="str">
        <f>IF(B659="","",TEXT(AZ659,"00")&amp;"|"&amp;B659&amp;"|"&amp;TEXT(AV659,"yyyymmdd"))</f>
        <v/>
      </c>
      <c r="BC659" s="66">
        <f>IF(OR(AQ659="YES",AQ659="Yes",AQ659="Y",AQ659=1),1,0)</f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17">
        <f>SUM(H660,J660,L660,N660,P660,R660,T660,V660,X660,Z660,AB660,AD660,AF660,AH660,AJ660,AL660,AN660)</f>
        <v>0</v>
      </c>
      <c r="AT660" s="67" t="str">
        <f>IF(C660="","",DATE(YEAR(C660),MONTH(C660),1))</f>
        <v/>
      </c>
      <c r="AU660" s="66" t="str">
        <f>IF(AT660="","",TEXT(AT660,"mmmm yyyy"))</f>
        <v/>
      </c>
      <c r="AV660" s="67" t="str">
        <f>IF(C660="","",C660-WEEKDAY(C660,2)+1)</f>
        <v/>
      </c>
      <c r="AW660" s="67" t="str">
        <f>IF(AV660="","",AV660+6)</f>
        <v/>
      </c>
      <c r="AX660" s="66" t="str">
        <f>IF(AV660="","",TEXT(AV660,"dd/mm/yyyy")&amp;" - "&amp;TEXT(AW660,"dd/mm/yyyy"))</f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>IF(B660="","",TEXT(AY660,"00")&amp;"|"&amp;B660&amp;"|"&amp;TEXT(AT660,"yyyymmdd"))</f>
        <v/>
      </c>
      <c r="BB660" s="66" t="str">
        <f>IF(B660="","",TEXT(AZ660,"00")&amp;"|"&amp;B660&amp;"|"&amp;TEXT(AV660,"yyyymmdd"))</f>
        <v/>
      </c>
      <c r="BC660" s="66">
        <f>IF(OR(AQ660="YES",AQ660="Yes",AQ660="Y",AQ660=1),1,0)</f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17">
        <f>SUM(H661,J661,L661,N661,P661,R661,T661,V661,X661,Z661,AB661,AD661,AF661,AH661,AJ661,AL661,AN661)</f>
        <v>0</v>
      </c>
      <c r="AT661" s="67" t="str">
        <f>IF(C661="","",DATE(YEAR(C661),MONTH(C661),1))</f>
        <v/>
      </c>
      <c r="AU661" s="66" t="str">
        <f>IF(AT661="","",TEXT(AT661,"mmmm yyyy"))</f>
        <v/>
      </c>
      <c r="AV661" s="67" t="str">
        <f>IF(C661="","",C661-WEEKDAY(C661,2)+1)</f>
        <v/>
      </c>
      <c r="AW661" s="67" t="str">
        <f>IF(AV661="","",AV661+6)</f>
        <v/>
      </c>
      <c r="AX661" s="66" t="str">
        <f>IF(AV661="","",TEXT(AV661,"dd/mm/yyyy")&amp;" - "&amp;TEXT(AW661,"dd/mm/yyyy"))</f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>IF(B661="","",TEXT(AY661,"00")&amp;"|"&amp;B661&amp;"|"&amp;TEXT(AT661,"yyyymmdd"))</f>
        <v/>
      </c>
      <c r="BB661" s="66" t="str">
        <f>IF(B661="","",TEXT(AZ661,"00")&amp;"|"&amp;B661&amp;"|"&amp;TEXT(AV661,"yyyymmdd"))</f>
        <v/>
      </c>
      <c r="BC661" s="66">
        <f>IF(OR(AQ661="YES",AQ661="Yes",AQ661="Y",AQ661=1),1,0)</f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17">
        <f>SUM(H662,J662,L662,N662,P662,R662,T662,V662,X662,Z662,AB662,AD662,AF662,AH662,AJ662,AL662,AN662)</f>
        <v>0</v>
      </c>
      <c r="AT662" s="67" t="str">
        <f>IF(C662="","",DATE(YEAR(C662),MONTH(C662),1))</f>
        <v/>
      </c>
      <c r="AU662" s="66" t="str">
        <f>IF(AT662="","",TEXT(AT662,"mmmm yyyy"))</f>
        <v/>
      </c>
      <c r="AV662" s="67" t="str">
        <f>IF(C662="","",C662-WEEKDAY(C662,2)+1)</f>
        <v/>
      </c>
      <c r="AW662" s="67" t="str">
        <f>IF(AV662="","",AV662+6)</f>
        <v/>
      </c>
      <c r="AX662" s="66" t="str">
        <f>IF(AV662="","",TEXT(AV662,"dd/mm/yyyy")&amp;" - "&amp;TEXT(AW662,"dd/mm/yyyy"))</f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>IF(B662="","",TEXT(AY662,"00")&amp;"|"&amp;B662&amp;"|"&amp;TEXT(AT662,"yyyymmdd"))</f>
        <v/>
      </c>
      <c r="BB662" s="66" t="str">
        <f>IF(B662="","",TEXT(AZ662,"00")&amp;"|"&amp;B662&amp;"|"&amp;TEXT(AV662,"yyyymmdd"))</f>
        <v/>
      </c>
      <c r="BC662" s="66">
        <f>IF(OR(AQ662="YES",AQ662="Yes",AQ662="Y",AQ662=1),1,0)</f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17">
        <f>SUM(H663,J663,L663,N663,P663,R663,T663,V663,X663,Z663,AB663,AD663,AF663,AH663,AJ663,AL663,AN663)</f>
        <v>0</v>
      </c>
      <c r="AT663" s="67" t="str">
        <f>IF(C663="","",DATE(YEAR(C663),MONTH(C663),1))</f>
        <v/>
      </c>
      <c r="AU663" s="66" t="str">
        <f>IF(AT663="","",TEXT(AT663,"mmmm yyyy"))</f>
        <v/>
      </c>
      <c r="AV663" s="67" t="str">
        <f>IF(C663="","",C663-WEEKDAY(C663,2)+1)</f>
        <v/>
      </c>
      <c r="AW663" s="67" t="str">
        <f>IF(AV663="","",AV663+6)</f>
        <v/>
      </c>
      <c r="AX663" s="66" t="str">
        <f>IF(AV663="","",TEXT(AV663,"dd/mm/yyyy")&amp;" - "&amp;TEXT(AW663,"dd/mm/yyyy"))</f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>IF(B663="","",TEXT(AY663,"00")&amp;"|"&amp;B663&amp;"|"&amp;TEXT(AT663,"yyyymmdd"))</f>
        <v/>
      </c>
      <c r="BB663" s="66" t="str">
        <f>IF(B663="","",TEXT(AZ663,"00")&amp;"|"&amp;B663&amp;"|"&amp;TEXT(AV663,"yyyymmdd"))</f>
        <v/>
      </c>
      <c r="BC663" s="66">
        <f>IF(OR(AQ663="YES",AQ663="Yes",AQ663="Y",AQ663=1),1,0)</f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17">
        <f>SUM(H664,J664,L664,N664,P664,R664,T664,V664,X664,Z664,AB664,AD664,AF664,AH664,AJ664,AL664,AN664)</f>
        <v>0</v>
      </c>
      <c r="AT664" s="67" t="str">
        <f>IF(C664="","",DATE(YEAR(C664),MONTH(C664),1))</f>
        <v/>
      </c>
      <c r="AU664" s="66" t="str">
        <f>IF(AT664="","",TEXT(AT664,"mmmm yyyy"))</f>
        <v/>
      </c>
      <c r="AV664" s="67" t="str">
        <f>IF(C664="","",C664-WEEKDAY(C664,2)+1)</f>
        <v/>
      </c>
      <c r="AW664" s="67" t="str">
        <f>IF(AV664="","",AV664+6)</f>
        <v/>
      </c>
      <c r="AX664" s="66" t="str">
        <f>IF(AV664="","",TEXT(AV664,"dd/mm/yyyy")&amp;" - "&amp;TEXT(AW664,"dd/mm/yyyy"))</f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>IF(B664="","",TEXT(AY664,"00")&amp;"|"&amp;B664&amp;"|"&amp;TEXT(AT664,"yyyymmdd"))</f>
        <v/>
      </c>
      <c r="BB664" s="66" t="str">
        <f>IF(B664="","",TEXT(AZ664,"00")&amp;"|"&amp;B664&amp;"|"&amp;TEXT(AV664,"yyyymmdd"))</f>
        <v/>
      </c>
      <c r="BC664" s="66">
        <f>IF(OR(AQ664="YES",AQ664="Yes",AQ664="Y",AQ664=1),1,0)</f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17">
        <f>SUM(H665,J665,L665,N665,P665,R665,T665,V665,X665,Z665,AB665,AD665,AF665,AH665,AJ665,AL665,AN665)</f>
        <v>0</v>
      </c>
      <c r="AT665" s="67" t="str">
        <f>IF(C665="","",DATE(YEAR(C665),MONTH(C665),1))</f>
        <v/>
      </c>
      <c r="AU665" s="66" t="str">
        <f>IF(AT665="","",TEXT(AT665,"mmmm yyyy"))</f>
        <v/>
      </c>
      <c r="AV665" s="67" t="str">
        <f>IF(C665="","",C665-WEEKDAY(C665,2)+1)</f>
        <v/>
      </c>
      <c r="AW665" s="67" t="str">
        <f>IF(AV665="","",AV665+6)</f>
        <v/>
      </c>
      <c r="AX665" s="66" t="str">
        <f>IF(AV665="","",TEXT(AV665,"dd/mm/yyyy")&amp;" - "&amp;TEXT(AW665,"dd/mm/yyyy"))</f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>IF(B665="","",TEXT(AY665,"00")&amp;"|"&amp;B665&amp;"|"&amp;TEXT(AT665,"yyyymmdd"))</f>
        <v/>
      </c>
      <c r="BB665" s="66" t="str">
        <f>IF(B665="","",TEXT(AZ665,"00")&amp;"|"&amp;B665&amp;"|"&amp;TEXT(AV665,"yyyymmdd"))</f>
        <v/>
      </c>
      <c r="BC665" s="66">
        <f>IF(OR(AQ665="YES",AQ665="Yes",AQ665="Y",AQ665=1),1,0)</f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17">
        <f>SUM(H666,J666,L666,N666,P666,R666,T666,V666,X666,Z666,AB666,AD666,AF666,AH666,AJ666,AL666,AN666)</f>
        <v>0</v>
      </c>
      <c r="AT666" s="67" t="str">
        <f>IF(C666="","",DATE(YEAR(C666),MONTH(C666),1))</f>
        <v/>
      </c>
      <c r="AU666" s="66" t="str">
        <f>IF(AT666="","",TEXT(AT666,"mmmm yyyy"))</f>
        <v/>
      </c>
      <c r="AV666" s="67" t="str">
        <f>IF(C666="","",C666-WEEKDAY(C666,2)+1)</f>
        <v/>
      </c>
      <c r="AW666" s="67" t="str">
        <f>IF(AV666="","",AV666+6)</f>
        <v/>
      </c>
      <c r="AX666" s="66" t="str">
        <f>IF(AV666="","",TEXT(AV666,"dd/mm/yyyy")&amp;" - "&amp;TEXT(AW666,"dd/mm/yyyy"))</f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>IF(B666="","",TEXT(AY666,"00")&amp;"|"&amp;B666&amp;"|"&amp;TEXT(AT666,"yyyymmdd"))</f>
        <v/>
      </c>
      <c r="BB666" s="66" t="str">
        <f>IF(B666="","",TEXT(AZ666,"00")&amp;"|"&amp;B666&amp;"|"&amp;TEXT(AV666,"yyyymmdd"))</f>
        <v/>
      </c>
      <c r="BC666" s="66">
        <f>IF(OR(AQ666="YES",AQ666="Yes",AQ666="Y",AQ666=1),1,0)</f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17">
        <f>SUM(H667,J667,L667,N667,P667,R667,T667,V667,X667,Z667,AB667,AD667,AF667,AH667,AJ667,AL667,AN667)</f>
        <v>0</v>
      </c>
      <c r="AT667" s="67" t="str">
        <f>IF(C667="","",DATE(YEAR(C667),MONTH(C667),1))</f>
        <v/>
      </c>
      <c r="AU667" s="66" t="str">
        <f>IF(AT667="","",TEXT(AT667,"mmmm yyyy"))</f>
        <v/>
      </c>
      <c r="AV667" s="67" t="str">
        <f>IF(C667="","",C667-WEEKDAY(C667,2)+1)</f>
        <v/>
      </c>
      <c r="AW667" s="67" t="str">
        <f>IF(AV667="","",AV667+6)</f>
        <v/>
      </c>
      <c r="AX667" s="66" t="str">
        <f>IF(AV667="","",TEXT(AV667,"dd/mm/yyyy")&amp;" - "&amp;TEXT(AW667,"dd/mm/yyyy"))</f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>IF(B667="","",TEXT(AY667,"00")&amp;"|"&amp;B667&amp;"|"&amp;TEXT(AT667,"yyyymmdd"))</f>
        <v/>
      </c>
      <c r="BB667" s="66" t="str">
        <f>IF(B667="","",TEXT(AZ667,"00")&amp;"|"&amp;B667&amp;"|"&amp;TEXT(AV667,"yyyymmdd"))</f>
        <v/>
      </c>
      <c r="BC667" s="66">
        <f>IF(OR(AQ667="YES",AQ667="Yes",AQ667="Y",AQ667=1),1,0)</f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17">
        <f>SUM(H668,J668,L668,N668,P668,R668,T668,V668,X668,Z668,AB668,AD668,AF668,AH668,AJ668,AL668,AN668)</f>
        <v>0</v>
      </c>
      <c r="AT668" s="67" t="str">
        <f>IF(C668="","",DATE(YEAR(C668),MONTH(C668),1))</f>
        <v/>
      </c>
      <c r="AU668" s="66" t="str">
        <f>IF(AT668="","",TEXT(AT668,"mmmm yyyy"))</f>
        <v/>
      </c>
      <c r="AV668" s="67" t="str">
        <f>IF(C668="","",C668-WEEKDAY(C668,2)+1)</f>
        <v/>
      </c>
      <c r="AW668" s="67" t="str">
        <f>IF(AV668="","",AV668+6)</f>
        <v/>
      </c>
      <c r="AX668" s="66" t="str">
        <f>IF(AV668="","",TEXT(AV668,"dd/mm/yyyy")&amp;" - "&amp;TEXT(AW668,"dd/mm/yyyy"))</f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>IF(B668="","",TEXT(AY668,"00")&amp;"|"&amp;B668&amp;"|"&amp;TEXT(AT668,"yyyymmdd"))</f>
        <v/>
      </c>
      <c r="BB668" s="66" t="str">
        <f>IF(B668="","",TEXT(AZ668,"00")&amp;"|"&amp;B668&amp;"|"&amp;TEXT(AV668,"yyyymmdd"))</f>
        <v/>
      </c>
      <c r="BC668" s="66">
        <f>IF(OR(AQ668="YES",AQ668="Yes",AQ668="Y",AQ668=1),1,0)</f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17">
        <f>SUM(H669,J669,L669,N669,P669,R669,T669,V669,X669,Z669,AB669,AD669,AF669,AH669,AJ669,AL669,AN669)</f>
        <v>0</v>
      </c>
      <c r="AT669" s="67" t="str">
        <f>IF(C669="","",DATE(YEAR(C669),MONTH(C669),1))</f>
        <v/>
      </c>
      <c r="AU669" s="66" t="str">
        <f>IF(AT669="","",TEXT(AT669,"mmmm yyyy"))</f>
        <v/>
      </c>
      <c r="AV669" s="67" t="str">
        <f>IF(C669="","",C669-WEEKDAY(C669,2)+1)</f>
        <v/>
      </c>
      <c r="AW669" s="67" t="str">
        <f>IF(AV669="","",AV669+6)</f>
        <v/>
      </c>
      <c r="AX669" s="66" t="str">
        <f>IF(AV669="","",TEXT(AV669,"dd/mm/yyyy")&amp;" - "&amp;TEXT(AW669,"dd/mm/yyyy"))</f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>IF(B669="","",TEXT(AY669,"00")&amp;"|"&amp;B669&amp;"|"&amp;TEXT(AT669,"yyyymmdd"))</f>
        <v/>
      </c>
      <c r="BB669" s="66" t="str">
        <f>IF(B669="","",TEXT(AZ669,"00")&amp;"|"&amp;B669&amp;"|"&amp;TEXT(AV669,"yyyymmdd"))</f>
        <v/>
      </c>
      <c r="BC669" s="66">
        <f>IF(OR(AQ669="YES",AQ669="Yes",AQ669="Y",AQ669=1),1,0)</f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17">
        <f>SUM(H670,J670,L670,N670,P670,R670,T670,V670,X670,Z670,AB670,AD670,AF670,AH670,AJ670,AL670,AN670)</f>
        <v>0</v>
      </c>
      <c r="AT670" s="67" t="str">
        <f>IF(C670="","",DATE(YEAR(C670),MONTH(C670),1))</f>
        <v/>
      </c>
      <c r="AU670" s="66" t="str">
        <f>IF(AT670="","",TEXT(AT670,"mmmm yyyy"))</f>
        <v/>
      </c>
      <c r="AV670" s="67" t="str">
        <f>IF(C670="","",C670-WEEKDAY(C670,2)+1)</f>
        <v/>
      </c>
      <c r="AW670" s="67" t="str">
        <f>IF(AV670="","",AV670+6)</f>
        <v/>
      </c>
      <c r="AX670" s="66" t="str">
        <f>IF(AV670="","",TEXT(AV670,"dd/mm/yyyy")&amp;" - "&amp;TEXT(AW670,"dd/mm/yyyy"))</f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>IF(B670="","",TEXT(AY670,"00")&amp;"|"&amp;B670&amp;"|"&amp;TEXT(AT670,"yyyymmdd"))</f>
        <v/>
      </c>
      <c r="BB670" s="66" t="str">
        <f>IF(B670="","",TEXT(AZ670,"00")&amp;"|"&amp;B670&amp;"|"&amp;TEXT(AV670,"yyyymmdd"))</f>
        <v/>
      </c>
      <c r="BC670" s="66">
        <f>IF(OR(AQ670="YES",AQ670="Yes",AQ670="Y",AQ670=1),1,0)</f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17">
        <f>SUM(H671,J671,L671,N671,P671,R671,T671,V671,X671,Z671,AB671,AD671,AF671,AH671,AJ671,AL671,AN671)</f>
        <v>0</v>
      </c>
      <c r="AT671" s="67" t="str">
        <f>IF(C671="","",DATE(YEAR(C671),MONTH(C671),1))</f>
        <v/>
      </c>
      <c r="AU671" s="66" t="str">
        <f>IF(AT671="","",TEXT(AT671,"mmmm yyyy"))</f>
        <v/>
      </c>
      <c r="AV671" s="67" t="str">
        <f>IF(C671="","",C671-WEEKDAY(C671,2)+1)</f>
        <v/>
      </c>
      <c r="AW671" s="67" t="str">
        <f>IF(AV671="","",AV671+6)</f>
        <v/>
      </c>
      <c r="AX671" s="66" t="str">
        <f>IF(AV671="","",TEXT(AV671,"dd/mm/yyyy")&amp;" - "&amp;TEXT(AW671,"dd/mm/yyyy"))</f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>IF(B671="","",TEXT(AY671,"00")&amp;"|"&amp;B671&amp;"|"&amp;TEXT(AT671,"yyyymmdd"))</f>
        <v/>
      </c>
      <c r="BB671" s="66" t="str">
        <f>IF(B671="","",TEXT(AZ671,"00")&amp;"|"&amp;B671&amp;"|"&amp;TEXT(AV671,"yyyymmdd"))</f>
        <v/>
      </c>
      <c r="BC671" s="66">
        <f>IF(OR(AQ671="YES",AQ671="Yes",AQ671="Y",AQ671=1),1,0)</f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17">
        <f>SUM(H672,J672,L672,N672,P672,R672,T672,V672,X672,Z672,AB672,AD672,AF672,AH672,AJ672,AL672,AN672)</f>
        <v>0</v>
      </c>
      <c r="AT672" s="67" t="str">
        <f>IF(C672="","",DATE(YEAR(C672),MONTH(C672),1))</f>
        <v/>
      </c>
      <c r="AU672" s="66" t="str">
        <f>IF(AT672="","",TEXT(AT672,"mmmm yyyy"))</f>
        <v/>
      </c>
      <c r="AV672" s="67" t="str">
        <f>IF(C672="","",C672-WEEKDAY(C672,2)+1)</f>
        <v/>
      </c>
      <c r="AW672" s="67" t="str">
        <f>IF(AV672="","",AV672+6)</f>
        <v/>
      </c>
      <c r="AX672" s="66" t="str">
        <f>IF(AV672="","",TEXT(AV672,"dd/mm/yyyy")&amp;" - "&amp;TEXT(AW672,"dd/mm/yyyy"))</f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>IF(B672="","",TEXT(AY672,"00")&amp;"|"&amp;B672&amp;"|"&amp;TEXT(AT672,"yyyymmdd"))</f>
        <v/>
      </c>
      <c r="BB672" s="66" t="str">
        <f>IF(B672="","",TEXT(AZ672,"00")&amp;"|"&amp;B672&amp;"|"&amp;TEXT(AV672,"yyyymmdd"))</f>
        <v/>
      </c>
      <c r="BC672" s="66">
        <f>IF(OR(AQ672="YES",AQ672="Yes",AQ672="Y",AQ672=1),1,0)</f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17">
        <f>SUM(H673,J673,L673,N673,P673,R673,T673,V673,X673,Z673,AB673,AD673,AF673,AH673,AJ673,AL673,AN673)</f>
        <v>0</v>
      </c>
      <c r="AT673" s="67" t="str">
        <f>IF(C673="","",DATE(YEAR(C673),MONTH(C673),1))</f>
        <v/>
      </c>
      <c r="AU673" s="66" t="str">
        <f>IF(AT673="","",TEXT(AT673,"mmmm yyyy"))</f>
        <v/>
      </c>
      <c r="AV673" s="67" t="str">
        <f>IF(C673="","",C673-WEEKDAY(C673,2)+1)</f>
        <v/>
      </c>
      <c r="AW673" s="67" t="str">
        <f>IF(AV673="","",AV673+6)</f>
        <v/>
      </c>
      <c r="AX673" s="66" t="str">
        <f>IF(AV673="","",TEXT(AV673,"dd/mm/yyyy")&amp;" - "&amp;TEXT(AW673,"dd/mm/yyyy"))</f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>IF(B673="","",TEXT(AY673,"00")&amp;"|"&amp;B673&amp;"|"&amp;TEXT(AT673,"yyyymmdd"))</f>
        <v/>
      </c>
      <c r="BB673" s="66" t="str">
        <f>IF(B673="","",TEXT(AZ673,"00")&amp;"|"&amp;B673&amp;"|"&amp;TEXT(AV673,"yyyymmdd"))</f>
        <v/>
      </c>
      <c r="BC673" s="66">
        <f>IF(OR(AQ673="YES",AQ673="Yes",AQ673="Y",AQ673=1),1,0)</f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17">
        <f>SUM(H674,J674,L674,N674,P674,R674,T674,V674,X674,Z674,AB674,AD674,AF674,AH674,AJ674,AL674,AN674)</f>
        <v>0</v>
      </c>
      <c r="AT674" s="67" t="str">
        <f>IF(C674="","",DATE(YEAR(C674),MONTH(C674),1))</f>
        <v/>
      </c>
      <c r="AU674" s="66" t="str">
        <f>IF(AT674="","",TEXT(AT674,"mmmm yyyy"))</f>
        <v/>
      </c>
      <c r="AV674" s="67" t="str">
        <f>IF(C674="","",C674-WEEKDAY(C674,2)+1)</f>
        <v/>
      </c>
      <c r="AW674" s="67" t="str">
        <f>IF(AV674="","",AV674+6)</f>
        <v/>
      </c>
      <c r="AX674" s="66" t="str">
        <f>IF(AV674="","",TEXT(AV674,"dd/mm/yyyy")&amp;" - "&amp;TEXT(AW674,"dd/mm/yyyy"))</f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>IF(B674="","",TEXT(AY674,"00")&amp;"|"&amp;B674&amp;"|"&amp;TEXT(AT674,"yyyymmdd"))</f>
        <v/>
      </c>
      <c r="BB674" s="66" t="str">
        <f>IF(B674="","",TEXT(AZ674,"00")&amp;"|"&amp;B674&amp;"|"&amp;TEXT(AV674,"yyyymmdd"))</f>
        <v/>
      </c>
      <c r="BC674" s="66">
        <f>IF(OR(AQ674="YES",AQ674="Yes",AQ674="Y",AQ674=1),1,0)</f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17">
        <f>SUM(H675,J675,L675,N675,P675,R675,T675,V675,X675,Z675,AB675,AD675,AF675,AH675,AJ675,AL675,AN675)</f>
        <v>0</v>
      </c>
      <c r="AT675" s="67" t="str">
        <f>IF(C675="","",DATE(YEAR(C675),MONTH(C675),1))</f>
        <v/>
      </c>
      <c r="AU675" s="66" t="str">
        <f>IF(AT675="","",TEXT(AT675,"mmmm yyyy"))</f>
        <v/>
      </c>
      <c r="AV675" s="67" t="str">
        <f>IF(C675="","",C675-WEEKDAY(C675,2)+1)</f>
        <v/>
      </c>
      <c r="AW675" s="67" t="str">
        <f>IF(AV675="","",AV675+6)</f>
        <v/>
      </c>
      <c r="AX675" s="66" t="str">
        <f>IF(AV675="","",TEXT(AV675,"dd/mm/yyyy")&amp;" - "&amp;TEXT(AW675,"dd/mm/yyyy"))</f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>IF(B675="","",TEXT(AY675,"00")&amp;"|"&amp;B675&amp;"|"&amp;TEXT(AT675,"yyyymmdd"))</f>
        <v/>
      </c>
      <c r="BB675" s="66" t="str">
        <f>IF(B675="","",TEXT(AZ675,"00")&amp;"|"&amp;B675&amp;"|"&amp;TEXT(AV675,"yyyymmdd"))</f>
        <v/>
      </c>
      <c r="BC675" s="66">
        <f>IF(OR(AQ675="YES",AQ675="Yes",AQ675="Y",AQ675=1),1,0)</f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17">
        <f>SUM(H676,J676,L676,N676,P676,R676,T676,V676,X676,Z676,AB676,AD676,AF676,AH676,AJ676,AL676,AN676)</f>
        <v>0</v>
      </c>
      <c r="AT676" s="67" t="str">
        <f>IF(C676="","",DATE(YEAR(C676),MONTH(C676),1))</f>
        <v/>
      </c>
      <c r="AU676" s="66" t="str">
        <f>IF(AT676="","",TEXT(AT676,"mmmm yyyy"))</f>
        <v/>
      </c>
      <c r="AV676" s="67" t="str">
        <f>IF(C676="","",C676-WEEKDAY(C676,2)+1)</f>
        <v/>
      </c>
      <c r="AW676" s="67" t="str">
        <f>IF(AV676="","",AV676+6)</f>
        <v/>
      </c>
      <c r="AX676" s="66" t="str">
        <f>IF(AV676="","",TEXT(AV676,"dd/mm/yyyy")&amp;" - "&amp;TEXT(AW676,"dd/mm/yyyy"))</f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>IF(B676="","",TEXT(AY676,"00")&amp;"|"&amp;B676&amp;"|"&amp;TEXT(AT676,"yyyymmdd"))</f>
        <v/>
      </c>
      <c r="BB676" s="66" t="str">
        <f>IF(B676="","",TEXT(AZ676,"00")&amp;"|"&amp;B676&amp;"|"&amp;TEXT(AV676,"yyyymmdd"))</f>
        <v/>
      </c>
      <c r="BC676" s="66">
        <f>IF(OR(AQ676="YES",AQ676="Yes",AQ676="Y",AQ676=1),1,0)</f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17">
        <f>SUM(H677,J677,L677,N677,P677,R677,T677,V677,X677,Z677,AB677,AD677,AF677,AH677,AJ677,AL677,AN677)</f>
        <v>0</v>
      </c>
      <c r="AT677" s="67" t="str">
        <f>IF(C677="","",DATE(YEAR(C677),MONTH(C677),1))</f>
        <v/>
      </c>
      <c r="AU677" s="66" t="str">
        <f>IF(AT677="","",TEXT(AT677,"mmmm yyyy"))</f>
        <v/>
      </c>
      <c r="AV677" s="67" t="str">
        <f>IF(C677="","",C677-WEEKDAY(C677,2)+1)</f>
        <v/>
      </c>
      <c r="AW677" s="67" t="str">
        <f>IF(AV677="","",AV677+6)</f>
        <v/>
      </c>
      <c r="AX677" s="66" t="str">
        <f>IF(AV677="","",TEXT(AV677,"dd/mm/yyyy")&amp;" - "&amp;TEXT(AW677,"dd/mm/yyyy"))</f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>IF(B677="","",TEXT(AY677,"00")&amp;"|"&amp;B677&amp;"|"&amp;TEXT(AT677,"yyyymmdd"))</f>
        <v/>
      </c>
      <c r="BB677" s="66" t="str">
        <f>IF(B677="","",TEXT(AZ677,"00")&amp;"|"&amp;B677&amp;"|"&amp;TEXT(AV677,"yyyymmdd"))</f>
        <v/>
      </c>
      <c r="BC677" s="66">
        <f>IF(OR(AQ677="YES",AQ677="Yes",AQ677="Y",AQ677=1),1,0)</f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17">
        <f>SUM(H678,J678,L678,N678,P678,R678,T678,V678,X678,Z678,AB678,AD678,AF678,AH678,AJ678,AL678,AN678)</f>
        <v>0</v>
      </c>
      <c r="AT678" s="67" t="str">
        <f>IF(C678="","",DATE(YEAR(C678),MONTH(C678),1))</f>
        <v/>
      </c>
      <c r="AU678" s="66" t="str">
        <f>IF(AT678="","",TEXT(AT678,"mmmm yyyy"))</f>
        <v/>
      </c>
      <c r="AV678" s="67" t="str">
        <f>IF(C678="","",C678-WEEKDAY(C678,2)+1)</f>
        <v/>
      </c>
      <c r="AW678" s="67" t="str">
        <f>IF(AV678="","",AV678+6)</f>
        <v/>
      </c>
      <c r="AX678" s="66" t="str">
        <f>IF(AV678="","",TEXT(AV678,"dd/mm/yyyy")&amp;" - "&amp;TEXT(AW678,"dd/mm/yyyy"))</f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>IF(B678="","",TEXT(AY678,"00")&amp;"|"&amp;B678&amp;"|"&amp;TEXT(AT678,"yyyymmdd"))</f>
        <v/>
      </c>
      <c r="BB678" s="66" t="str">
        <f>IF(B678="","",TEXT(AZ678,"00")&amp;"|"&amp;B678&amp;"|"&amp;TEXT(AV678,"yyyymmdd"))</f>
        <v/>
      </c>
      <c r="BC678" s="66">
        <f>IF(OR(AQ678="YES",AQ678="Yes",AQ678="Y",AQ678=1),1,0)</f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17">
        <f>SUM(H679,J679,L679,N679,P679,R679,T679,V679,X679,Z679,AB679,AD679,AF679,AH679,AJ679,AL679,AN679)</f>
        <v>0</v>
      </c>
      <c r="AT679" s="67" t="str">
        <f>IF(C679="","",DATE(YEAR(C679),MONTH(C679),1))</f>
        <v/>
      </c>
      <c r="AU679" s="66" t="str">
        <f>IF(AT679="","",TEXT(AT679,"mmmm yyyy"))</f>
        <v/>
      </c>
      <c r="AV679" s="67" t="str">
        <f>IF(C679="","",C679-WEEKDAY(C679,2)+1)</f>
        <v/>
      </c>
      <c r="AW679" s="67" t="str">
        <f>IF(AV679="","",AV679+6)</f>
        <v/>
      </c>
      <c r="AX679" s="66" t="str">
        <f>IF(AV679="","",TEXT(AV679,"dd/mm/yyyy")&amp;" - "&amp;TEXT(AW679,"dd/mm/yyyy"))</f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>IF(B679="","",TEXT(AY679,"00")&amp;"|"&amp;B679&amp;"|"&amp;TEXT(AT679,"yyyymmdd"))</f>
        <v/>
      </c>
      <c r="BB679" s="66" t="str">
        <f>IF(B679="","",TEXT(AZ679,"00")&amp;"|"&amp;B679&amp;"|"&amp;TEXT(AV679,"yyyymmdd"))</f>
        <v/>
      </c>
      <c r="BC679" s="66">
        <f>IF(OR(AQ679="YES",AQ679="Yes",AQ679="Y",AQ679=1),1,0)</f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17">
        <f>SUM(H680,J680,L680,N680,P680,R680,T680,V680,X680,Z680,AB680,AD680,AF680,AH680,AJ680,AL680,AN680)</f>
        <v>0</v>
      </c>
      <c r="AT680" s="67" t="str">
        <f>IF(C680="","",DATE(YEAR(C680),MONTH(C680),1))</f>
        <v/>
      </c>
      <c r="AU680" s="66" t="str">
        <f>IF(AT680="","",TEXT(AT680,"mmmm yyyy"))</f>
        <v/>
      </c>
      <c r="AV680" s="67" t="str">
        <f>IF(C680="","",C680-WEEKDAY(C680,2)+1)</f>
        <v/>
      </c>
      <c r="AW680" s="67" t="str">
        <f>IF(AV680="","",AV680+6)</f>
        <v/>
      </c>
      <c r="AX680" s="66" t="str">
        <f>IF(AV680="","",TEXT(AV680,"dd/mm/yyyy")&amp;" - "&amp;TEXT(AW680,"dd/mm/yyyy"))</f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>IF(B680="","",TEXT(AY680,"00")&amp;"|"&amp;B680&amp;"|"&amp;TEXT(AT680,"yyyymmdd"))</f>
        <v/>
      </c>
      <c r="BB680" s="66" t="str">
        <f>IF(B680="","",TEXT(AZ680,"00")&amp;"|"&amp;B680&amp;"|"&amp;TEXT(AV680,"yyyymmdd"))</f>
        <v/>
      </c>
      <c r="BC680" s="66">
        <f>IF(OR(AQ680="YES",AQ680="Yes",AQ680="Y",AQ680=1),1,0)</f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17">
        <f>SUM(H681,J681,L681,N681,P681,R681,T681,V681,X681,Z681,AB681,AD681,AF681,AH681,AJ681,AL681,AN681)</f>
        <v>0</v>
      </c>
      <c r="AT681" s="67" t="str">
        <f>IF(C681="","",DATE(YEAR(C681),MONTH(C681),1))</f>
        <v/>
      </c>
      <c r="AU681" s="66" t="str">
        <f>IF(AT681="","",TEXT(AT681,"mmmm yyyy"))</f>
        <v/>
      </c>
      <c r="AV681" s="67" t="str">
        <f>IF(C681="","",C681-WEEKDAY(C681,2)+1)</f>
        <v/>
      </c>
      <c r="AW681" s="67" t="str">
        <f>IF(AV681="","",AV681+6)</f>
        <v/>
      </c>
      <c r="AX681" s="66" t="str">
        <f>IF(AV681="","",TEXT(AV681,"dd/mm/yyyy")&amp;" - "&amp;TEXT(AW681,"dd/mm/yyyy"))</f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>IF(B681="","",TEXT(AY681,"00")&amp;"|"&amp;B681&amp;"|"&amp;TEXT(AT681,"yyyymmdd"))</f>
        <v/>
      </c>
      <c r="BB681" s="66" t="str">
        <f>IF(B681="","",TEXT(AZ681,"00")&amp;"|"&amp;B681&amp;"|"&amp;TEXT(AV681,"yyyymmdd"))</f>
        <v/>
      </c>
      <c r="BC681" s="66">
        <f>IF(OR(AQ681="YES",AQ681="Yes",AQ681="Y",AQ681=1),1,0)</f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17">
        <f>SUM(H682,J682,L682,N682,P682,R682,T682,V682,X682,Z682,AB682,AD682,AF682,AH682,AJ682,AL682,AN682)</f>
        <v>0</v>
      </c>
      <c r="AT682" s="67" t="str">
        <f>IF(C682="","",DATE(YEAR(C682),MONTH(C682),1))</f>
        <v/>
      </c>
      <c r="AU682" s="66" t="str">
        <f>IF(AT682="","",TEXT(AT682,"mmmm yyyy"))</f>
        <v/>
      </c>
      <c r="AV682" s="67" t="str">
        <f>IF(C682="","",C682-WEEKDAY(C682,2)+1)</f>
        <v/>
      </c>
      <c r="AW682" s="67" t="str">
        <f>IF(AV682="","",AV682+6)</f>
        <v/>
      </c>
      <c r="AX682" s="66" t="str">
        <f>IF(AV682="","",TEXT(AV682,"dd/mm/yyyy")&amp;" - "&amp;TEXT(AW682,"dd/mm/yyyy"))</f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>IF(B682="","",TEXT(AY682,"00")&amp;"|"&amp;B682&amp;"|"&amp;TEXT(AT682,"yyyymmdd"))</f>
        <v/>
      </c>
      <c r="BB682" s="66" t="str">
        <f>IF(B682="","",TEXT(AZ682,"00")&amp;"|"&amp;B682&amp;"|"&amp;TEXT(AV682,"yyyymmdd"))</f>
        <v/>
      </c>
      <c r="BC682" s="66">
        <f>IF(OR(AQ682="YES",AQ682="Yes",AQ682="Y",AQ682=1),1,0)</f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17">
        <f>SUM(H683,J683,L683,N683,P683,R683,T683,V683,X683,Z683,AB683,AD683,AF683,AH683,AJ683,AL683,AN683)</f>
        <v>0</v>
      </c>
      <c r="AT683" s="67" t="str">
        <f>IF(C683="","",DATE(YEAR(C683),MONTH(C683),1))</f>
        <v/>
      </c>
      <c r="AU683" s="66" t="str">
        <f>IF(AT683="","",TEXT(AT683,"mmmm yyyy"))</f>
        <v/>
      </c>
      <c r="AV683" s="67" t="str">
        <f>IF(C683="","",C683-WEEKDAY(C683,2)+1)</f>
        <v/>
      </c>
      <c r="AW683" s="67" t="str">
        <f>IF(AV683="","",AV683+6)</f>
        <v/>
      </c>
      <c r="AX683" s="66" t="str">
        <f>IF(AV683="","",TEXT(AV683,"dd/mm/yyyy")&amp;" - "&amp;TEXT(AW683,"dd/mm/yyyy"))</f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>IF(B683="","",TEXT(AY683,"00")&amp;"|"&amp;B683&amp;"|"&amp;TEXT(AT683,"yyyymmdd"))</f>
        <v/>
      </c>
      <c r="BB683" s="66" t="str">
        <f>IF(B683="","",TEXT(AZ683,"00")&amp;"|"&amp;B683&amp;"|"&amp;TEXT(AV683,"yyyymmdd"))</f>
        <v/>
      </c>
      <c r="BC683" s="66">
        <f>IF(OR(AQ683="YES",AQ683="Yes",AQ683="Y",AQ683=1),1,0)</f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17">
        <f>SUM(H684,J684,L684,N684,P684,R684,T684,V684,X684,Z684,AB684,AD684,AF684,AH684,AJ684,AL684,AN684)</f>
        <v>0</v>
      </c>
      <c r="AT684" s="67" t="str">
        <f>IF(C684="","",DATE(YEAR(C684),MONTH(C684),1))</f>
        <v/>
      </c>
      <c r="AU684" s="66" t="str">
        <f>IF(AT684="","",TEXT(AT684,"mmmm yyyy"))</f>
        <v/>
      </c>
      <c r="AV684" s="67" t="str">
        <f>IF(C684="","",C684-WEEKDAY(C684,2)+1)</f>
        <v/>
      </c>
      <c r="AW684" s="67" t="str">
        <f>IF(AV684="","",AV684+6)</f>
        <v/>
      </c>
      <c r="AX684" s="66" t="str">
        <f>IF(AV684="","",TEXT(AV684,"dd/mm/yyyy")&amp;" - "&amp;TEXT(AW684,"dd/mm/yyyy"))</f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>IF(B684="","",TEXT(AY684,"00")&amp;"|"&amp;B684&amp;"|"&amp;TEXT(AT684,"yyyymmdd"))</f>
        <v/>
      </c>
      <c r="BB684" s="66" t="str">
        <f>IF(B684="","",TEXT(AZ684,"00")&amp;"|"&amp;B684&amp;"|"&amp;TEXT(AV684,"yyyymmdd"))</f>
        <v/>
      </c>
      <c r="BC684" s="66">
        <f>IF(OR(AQ684="YES",AQ684="Yes",AQ684="Y",AQ684=1),1,0)</f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17">
        <f>SUM(H685,J685,L685,N685,P685,R685,T685,V685,X685,Z685,AB685,AD685,AF685,AH685,AJ685,AL685,AN685)</f>
        <v>0</v>
      </c>
      <c r="AT685" s="67" t="str">
        <f>IF(C685="","",DATE(YEAR(C685),MONTH(C685),1))</f>
        <v/>
      </c>
      <c r="AU685" s="66" t="str">
        <f>IF(AT685="","",TEXT(AT685,"mmmm yyyy"))</f>
        <v/>
      </c>
      <c r="AV685" s="67" t="str">
        <f>IF(C685="","",C685-WEEKDAY(C685,2)+1)</f>
        <v/>
      </c>
      <c r="AW685" s="67" t="str">
        <f>IF(AV685="","",AV685+6)</f>
        <v/>
      </c>
      <c r="AX685" s="66" t="str">
        <f>IF(AV685="","",TEXT(AV685,"dd/mm/yyyy")&amp;" - "&amp;TEXT(AW685,"dd/mm/yyyy"))</f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>IF(B685="","",TEXT(AY685,"00")&amp;"|"&amp;B685&amp;"|"&amp;TEXT(AT685,"yyyymmdd"))</f>
        <v/>
      </c>
      <c r="BB685" s="66" t="str">
        <f>IF(B685="","",TEXT(AZ685,"00")&amp;"|"&amp;B685&amp;"|"&amp;TEXT(AV685,"yyyymmdd"))</f>
        <v/>
      </c>
      <c r="BC685" s="66">
        <f>IF(OR(AQ685="YES",AQ685="Yes",AQ685="Y",AQ685=1),1,0)</f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17">
        <f>SUM(H686,J686,L686,N686,P686,R686,T686,V686,X686,Z686,AB686,AD686,AF686,AH686,AJ686,AL686,AN686)</f>
        <v>0</v>
      </c>
      <c r="AT686" s="67" t="str">
        <f>IF(C686="","",DATE(YEAR(C686),MONTH(C686),1))</f>
        <v/>
      </c>
      <c r="AU686" s="66" t="str">
        <f>IF(AT686="","",TEXT(AT686,"mmmm yyyy"))</f>
        <v/>
      </c>
      <c r="AV686" s="67" t="str">
        <f>IF(C686="","",C686-WEEKDAY(C686,2)+1)</f>
        <v/>
      </c>
      <c r="AW686" s="67" t="str">
        <f>IF(AV686="","",AV686+6)</f>
        <v/>
      </c>
      <c r="AX686" s="66" t="str">
        <f>IF(AV686="","",TEXT(AV686,"dd/mm/yyyy")&amp;" - "&amp;TEXT(AW686,"dd/mm/yyyy"))</f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>IF(B686="","",TEXT(AY686,"00")&amp;"|"&amp;B686&amp;"|"&amp;TEXT(AT686,"yyyymmdd"))</f>
        <v/>
      </c>
      <c r="BB686" s="66" t="str">
        <f>IF(B686="","",TEXT(AZ686,"00")&amp;"|"&amp;B686&amp;"|"&amp;TEXT(AV686,"yyyymmdd"))</f>
        <v/>
      </c>
      <c r="BC686" s="66">
        <f>IF(OR(AQ686="YES",AQ686="Yes",AQ686="Y",AQ686=1),1,0)</f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17">
        <f>SUM(H687,J687,L687,N687,P687,R687,T687,V687,X687,Z687,AB687,AD687,AF687,AH687,AJ687,AL687,AN687)</f>
        <v>0</v>
      </c>
      <c r="AT687" s="67" t="str">
        <f>IF(C687="","",DATE(YEAR(C687),MONTH(C687),1))</f>
        <v/>
      </c>
      <c r="AU687" s="66" t="str">
        <f>IF(AT687="","",TEXT(AT687,"mmmm yyyy"))</f>
        <v/>
      </c>
      <c r="AV687" s="67" t="str">
        <f>IF(C687="","",C687-WEEKDAY(C687,2)+1)</f>
        <v/>
      </c>
      <c r="AW687" s="67" t="str">
        <f>IF(AV687="","",AV687+6)</f>
        <v/>
      </c>
      <c r="AX687" s="66" t="str">
        <f>IF(AV687="","",TEXT(AV687,"dd/mm/yyyy")&amp;" - "&amp;TEXT(AW687,"dd/mm/yyyy"))</f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>IF(B687="","",TEXT(AY687,"00")&amp;"|"&amp;B687&amp;"|"&amp;TEXT(AT687,"yyyymmdd"))</f>
        <v/>
      </c>
      <c r="BB687" s="66" t="str">
        <f>IF(B687="","",TEXT(AZ687,"00")&amp;"|"&amp;B687&amp;"|"&amp;TEXT(AV687,"yyyymmdd"))</f>
        <v/>
      </c>
      <c r="BC687" s="66">
        <f>IF(OR(AQ687="YES",AQ687="Yes",AQ687="Y",AQ687=1),1,0)</f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17">
        <f>SUM(H688,J688,L688,N688,P688,R688,T688,V688,X688,Z688,AB688,AD688,AF688,AH688,AJ688,AL688,AN688)</f>
        <v>0</v>
      </c>
      <c r="AT688" s="67" t="str">
        <f>IF(C688="","",DATE(YEAR(C688),MONTH(C688),1))</f>
        <v/>
      </c>
      <c r="AU688" s="66" t="str">
        <f>IF(AT688="","",TEXT(AT688,"mmmm yyyy"))</f>
        <v/>
      </c>
      <c r="AV688" s="67" t="str">
        <f>IF(C688="","",C688-WEEKDAY(C688,2)+1)</f>
        <v/>
      </c>
      <c r="AW688" s="67" t="str">
        <f>IF(AV688="","",AV688+6)</f>
        <v/>
      </c>
      <c r="AX688" s="66" t="str">
        <f>IF(AV688="","",TEXT(AV688,"dd/mm/yyyy")&amp;" - "&amp;TEXT(AW688,"dd/mm/yyyy"))</f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>IF(B688="","",TEXT(AY688,"00")&amp;"|"&amp;B688&amp;"|"&amp;TEXT(AT688,"yyyymmdd"))</f>
        <v/>
      </c>
      <c r="BB688" s="66" t="str">
        <f>IF(B688="","",TEXT(AZ688,"00")&amp;"|"&amp;B688&amp;"|"&amp;TEXT(AV688,"yyyymmdd"))</f>
        <v/>
      </c>
      <c r="BC688" s="66">
        <f>IF(OR(AQ688="YES",AQ688="Yes",AQ688="Y",AQ688=1),1,0)</f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17">
        <f>SUM(H689,J689,L689,N689,P689,R689,T689,V689,X689,Z689,AB689,AD689,AF689,AH689,AJ689,AL689,AN689)</f>
        <v>0</v>
      </c>
      <c r="AT689" s="67" t="str">
        <f>IF(C689="","",DATE(YEAR(C689),MONTH(C689),1))</f>
        <v/>
      </c>
      <c r="AU689" s="66" t="str">
        <f>IF(AT689="","",TEXT(AT689,"mmmm yyyy"))</f>
        <v/>
      </c>
      <c r="AV689" s="67" t="str">
        <f>IF(C689="","",C689-WEEKDAY(C689,2)+1)</f>
        <v/>
      </c>
      <c r="AW689" s="67" t="str">
        <f>IF(AV689="","",AV689+6)</f>
        <v/>
      </c>
      <c r="AX689" s="66" t="str">
        <f>IF(AV689="","",TEXT(AV689,"dd/mm/yyyy")&amp;" - "&amp;TEXT(AW689,"dd/mm/yyyy"))</f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>IF(B689="","",TEXT(AY689,"00")&amp;"|"&amp;B689&amp;"|"&amp;TEXT(AT689,"yyyymmdd"))</f>
        <v/>
      </c>
      <c r="BB689" s="66" t="str">
        <f>IF(B689="","",TEXT(AZ689,"00")&amp;"|"&amp;B689&amp;"|"&amp;TEXT(AV689,"yyyymmdd"))</f>
        <v/>
      </c>
      <c r="BC689" s="66">
        <f>IF(OR(AQ689="YES",AQ689="Yes",AQ689="Y",AQ689=1),1,0)</f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17">
        <f>SUM(H690,J690,L690,N690,P690,R690,T690,V690,X690,Z690,AB690,AD690,AF690,AH690,AJ690,AL690,AN690)</f>
        <v>0</v>
      </c>
      <c r="AT690" s="67" t="str">
        <f>IF(C690="","",DATE(YEAR(C690),MONTH(C690),1))</f>
        <v/>
      </c>
      <c r="AU690" s="66" t="str">
        <f>IF(AT690="","",TEXT(AT690,"mmmm yyyy"))</f>
        <v/>
      </c>
      <c r="AV690" s="67" t="str">
        <f>IF(C690="","",C690-WEEKDAY(C690,2)+1)</f>
        <v/>
      </c>
      <c r="AW690" s="67" t="str">
        <f>IF(AV690="","",AV690+6)</f>
        <v/>
      </c>
      <c r="AX690" s="66" t="str">
        <f>IF(AV690="","",TEXT(AV690,"dd/mm/yyyy")&amp;" - "&amp;TEXT(AW690,"dd/mm/yyyy"))</f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>IF(B690="","",TEXT(AY690,"00")&amp;"|"&amp;B690&amp;"|"&amp;TEXT(AT690,"yyyymmdd"))</f>
        <v/>
      </c>
      <c r="BB690" s="66" t="str">
        <f>IF(B690="","",TEXT(AZ690,"00")&amp;"|"&amp;B690&amp;"|"&amp;TEXT(AV690,"yyyymmdd"))</f>
        <v/>
      </c>
      <c r="BC690" s="66">
        <f>IF(OR(AQ690="YES",AQ690="Yes",AQ690="Y",AQ690=1),1,0)</f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17">
        <f>SUM(H691,J691,L691,N691,P691,R691,T691,V691,X691,Z691,AB691,AD691,AF691,AH691,AJ691,AL691,AN691)</f>
        <v>0</v>
      </c>
      <c r="AT691" s="67" t="str">
        <f>IF(C691="","",DATE(YEAR(C691),MONTH(C691),1))</f>
        <v/>
      </c>
      <c r="AU691" s="66" t="str">
        <f>IF(AT691="","",TEXT(AT691,"mmmm yyyy"))</f>
        <v/>
      </c>
      <c r="AV691" s="67" t="str">
        <f>IF(C691="","",C691-WEEKDAY(C691,2)+1)</f>
        <v/>
      </c>
      <c r="AW691" s="67" t="str">
        <f>IF(AV691="","",AV691+6)</f>
        <v/>
      </c>
      <c r="AX691" s="66" t="str">
        <f>IF(AV691="","",TEXT(AV691,"dd/mm/yyyy")&amp;" - "&amp;TEXT(AW691,"dd/mm/yyyy"))</f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>IF(B691="","",TEXT(AY691,"00")&amp;"|"&amp;B691&amp;"|"&amp;TEXT(AT691,"yyyymmdd"))</f>
        <v/>
      </c>
      <c r="BB691" s="66" t="str">
        <f>IF(B691="","",TEXT(AZ691,"00")&amp;"|"&amp;B691&amp;"|"&amp;TEXT(AV691,"yyyymmdd"))</f>
        <v/>
      </c>
      <c r="BC691" s="66">
        <f>IF(OR(AQ691="YES",AQ691="Yes",AQ691="Y",AQ691=1),1,0)</f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17">
        <f>SUM(H692,J692,L692,N692,P692,R692,T692,V692,X692,Z692,AB692,AD692,AF692,AH692,AJ692,AL692,AN692)</f>
        <v>0</v>
      </c>
      <c r="AT692" s="67" t="str">
        <f>IF(C692="","",DATE(YEAR(C692),MONTH(C692),1))</f>
        <v/>
      </c>
      <c r="AU692" s="66" t="str">
        <f>IF(AT692="","",TEXT(AT692,"mmmm yyyy"))</f>
        <v/>
      </c>
      <c r="AV692" s="67" t="str">
        <f>IF(C692="","",C692-WEEKDAY(C692,2)+1)</f>
        <v/>
      </c>
      <c r="AW692" s="67" t="str">
        <f>IF(AV692="","",AV692+6)</f>
        <v/>
      </c>
      <c r="AX692" s="66" t="str">
        <f>IF(AV692="","",TEXT(AV692,"dd/mm/yyyy")&amp;" - "&amp;TEXT(AW692,"dd/mm/yyyy"))</f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>IF(B692="","",TEXT(AY692,"00")&amp;"|"&amp;B692&amp;"|"&amp;TEXT(AT692,"yyyymmdd"))</f>
        <v/>
      </c>
      <c r="BB692" s="66" t="str">
        <f>IF(B692="","",TEXT(AZ692,"00")&amp;"|"&amp;B692&amp;"|"&amp;TEXT(AV692,"yyyymmdd"))</f>
        <v/>
      </c>
      <c r="BC692" s="66">
        <f>IF(OR(AQ692="YES",AQ692="Yes",AQ692="Y",AQ692=1),1,0)</f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17">
        <f>SUM(H693,J693,L693,N693,P693,R693,T693,V693,X693,Z693,AB693,AD693,AF693,AH693,AJ693,AL693,AN693)</f>
        <v>0</v>
      </c>
      <c r="AT693" s="67" t="str">
        <f>IF(C693="","",DATE(YEAR(C693),MONTH(C693),1))</f>
        <v/>
      </c>
      <c r="AU693" s="66" t="str">
        <f>IF(AT693="","",TEXT(AT693,"mmmm yyyy"))</f>
        <v/>
      </c>
      <c r="AV693" s="67" t="str">
        <f>IF(C693="","",C693-WEEKDAY(C693,2)+1)</f>
        <v/>
      </c>
      <c r="AW693" s="67" t="str">
        <f>IF(AV693="","",AV693+6)</f>
        <v/>
      </c>
      <c r="AX693" s="66" t="str">
        <f>IF(AV693="","",TEXT(AV693,"dd/mm/yyyy")&amp;" - "&amp;TEXT(AW693,"dd/mm/yyyy"))</f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>IF(B693="","",TEXT(AY693,"00")&amp;"|"&amp;B693&amp;"|"&amp;TEXT(AT693,"yyyymmdd"))</f>
        <v/>
      </c>
      <c r="BB693" s="66" t="str">
        <f>IF(B693="","",TEXT(AZ693,"00")&amp;"|"&amp;B693&amp;"|"&amp;TEXT(AV693,"yyyymmdd"))</f>
        <v/>
      </c>
      <c r="BC693" s="66">
        <f>IF(OR(AQ693="YES",AQ693="Yes",AQ693="Y",AQ693=1),1,0)</f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17">
        <f>SUM(H694,J694,L694,N694,P694,R694,T694,V694,X694,Z694,AB694,AD694,AF694,AH694,AJ694,AL694,AN694)</f>
        <v>0</v>
      </c>
      <c r="AT694" s="67" t="str">
        <f>IF(C694="","",DATE(YEAR(C694),MONTH(C694),1))</f>
        <v/>
      </c>
      <c r="AU694" s="66" t="str">
        <f>IF(AT694="","",TEXT(AT694,"mmmm yyyy"))</f>
        <v/>
      </c>
      <c r="AV694" s="67" t="str">
        <f>IF(C694="","",C694-WEEKDAY(C694,2)+1)</f>
        <v/>
      </c>
      <c r="AW694" s="67" t="str">
        <f>IF(AV694="","",AV694+6)</f>
        <v/>
      </c>
      <c r="AX694" s="66" t="str">
        <f>IF(AV694="","",TEXT(AV694,"dd/mm/yyyy")&amp;" - "&amp;TEXT(AW694,"dd/mm/yyyy"))</f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>IF(B694="","",TEXT(AY694,"00")&amp;"|"&amp;B694&amp;"|"&amp;TEXT(AT694,"yyyymmdd"))</f>
        <v/>
      </c>
      <c r="BB694" s="66" t="str">
        <f>IF(B694="","",TEXT(AZ694,"00")&amp;"|"&amp;B694&amp;"|"&amp;TEXT(AV694,"yyyymmdd"))</f>
        <v/>
      </c>
      <c r="BC694" s="66">
        <f>IF(OR(AQ694="YES",AQ694="Yes",AQ694="Y",AQ694=1),1,0)</f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17">
        <f>SUM(H695,J695,L695,N695,P695,R695,T695,V695,X695,Z695,AB695,AD695,AF695,AH695,AJ695,AL695,AN695)</f>
        <v>0</v>
      </c>
      <c r="AT695" s="67" t="str">
        <f>IF(C695="","",DATE(YEAR(C695),MONTH(C695),1))</f>
        <v/>
      </c>
      <c r="AU695" s="66" t="str">
        <f>IF(AT695="","",TEXT(AT695,"mmmm yyyy"))</f>
        <v/>
      </c>
      <c r="AV695" s="67" t="str">
        <f>IF(C695="","",C695-WEEKDAY(C695,2)+1)</f>
        <v/>
      </c>
      <c r="AW695" s="67" t="str">
        <f>IF(AV695="","",AV695+6)</f>
        <v/>
      </c>
      <c r="AX695" s="66" t="str">
        <f>IF(AV695="","",TEXT(AV695,"dd/mm/yyyy")&amp;" - "&amp;TEXT(AW695,"dd/mm/yyyy"))</f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>IF(B695="","",TEXT(AY695,"00")&amp;"|"&amp;B695&amp;"|"&amp;TEXT(AT695,"yyyymmdd"))</f>
        <v/>
      </c>
      <c r="BB695" s="66" t="str">
        <f>IF(B695="","",TEXT(AZ695,"00")&amp;"|"&amp;B695&amp;"|"&amp;TEXT(AV695,"yyyymmdd"))</f>
        <v/>
      </c>
      <c r="BC695" s="66">
        <f>IF(OR(AQ695="YES",AQ695="Yes",AQ695="Y",AQ695=1),1,0)</f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17">
        <f>SUM(H696,J696,L696,N696,P696,R696,T696,V696,X696,Z696,AB696,AD696,AF696,AH696,AJ696,AL696,AN696)</f>
        <v>0</v>
      </c>
      <c r="AT696" s="67" t="str">
        <f>IF(C696="","",DATE(YEAR(C696),MONTH(C696),1))</f>
        <v/>
      </c>
      <c r="AU696" s="66" t="str">
        <f>IF(AT696="","",TEXT(AT696,"mmmm yyyy"))</f>
        <v/>
      </c>
      <c r="AV696" s="67" t="str">
        <f>IF(C696="","",C696-WEEKDAY(C696,2)+1)</f>
        <v/>
      </c>
      <c r="AW696" s="67" t="str">
        <f>IF(AV696="","",AV696+6)</f>
        <v/>
      </c>
      <c r="AX696" s="66" t="str">
        <f>IF(AV696="","",TEXT(AV696,"dd/mm/yyyy")&amp;" - "&amp;TEXT(AW696,"dd/mm/yyyy"))</f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>IF(B696="","",TEXT(AY696,"00")&amp;"|"&amp;B696&amp;"|"&amp;TEXT(AT696,"yyyymmdd"))</f>
        <v/>
      </c>
      <c r="BB696" s="66" t="str">
        <f>IF(B696="","",TEXT(AZ696,"00")&amp;"|"&amp;B696&amp;"|"&amp;TEXT(AV696,"yyyymmdd"))</f>
        <v/>
      </c>
      <c r="BC696" s="66">
        <f>IF(OR(AQ696="YES",AQ696="Yes",AQ696="Y",AQ696=1),1,0)</f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17">
        <f>SUM(H697,J697,L697,N697,P697,R697,T697,V697,X697,Z697,AB697,AD697,AF697,AH697,AJ697,AL697,AN697)</f>
        <v>0</v>
      </c>
      <c r="AT697" s="67" t="str">
        <f>IF(C697="","",DATE(YEAR(C697),MONTH(C697),1))</f>
        <v/>
      </c>
      <c r="AU697" s="66" t="str">
        <f>IF(AT697="","",TEXT(AT697,"mmmm yyyy"))</f>
        <v/>
      </c>
      <c r="AV697" s="67" t="str">
        <f>IF(C697="","",C697-WEEKDAY(C697,2)+1)</f>
        <v/>
      </c>
      <c r="AW697" s="67" t="str">
        <f>IF(AV697="","",AV697+6)</f>
        <v/>
      </c>
      <c r="AX697" s="66" t="str">
        <f>IF(AV697="","",TEXT(AV697,"dd/mm/yyyy")&amp;" - "&amp;TEXT(AW697,"dd/mm/yyyy"))</f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>IF(B697="","",TEXT(AY697,"00")&amp;"|"&amp;B697&amp;"|"&amp;TEXT(AT697,"yyyymmdd"))</f>
        <v/>
      </c>
      <c r="BB697" s="66" t="str">
        <f>IF(B697="","",TEXT(AZ697,"00")&amp;"|"&amp;B697&amp;"|"&amp;TEXT(AV697,"yyyymmdd"))</f>
        <v/>
      </c>
      <c r="BC697" s="66">
        <f>IF(OR(AQ697="YES",AQ697="Yes",AQ697="Y",AQ697=1),1,0)</f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17">
        <f>SUM(H698,J698,L698,N698,P698,R698,T698,V698,X698,Z698,AB698,AD698,AF698,AH698,AJ698,AL698,AN698)</f>
        <v>0</v>
      </c>
      <c r="AT698" s="67" t="str">
        <f>IF(C698="","",DATE(YEAR(C698),MONTH(C698),1))</f>
        <v/>
      </c>
      <c r="AU698" s="66" t="str">
        <f>IF(AT698="","",TEXT(AT698,"mmmm yyyy"))</f>
        <v/>
      </c>
      <c r="AV698" s="67" t="str">
        <f>IF(C698="","",C698-WEEKDAY(C698,2)+1)</f>
        <v/>
      </c>
      <c r="AW698" s="67" t="str">
        <f>IF(AV698="","",AV698+6)</f>
        <v/>
      </c>
      <c r="AX698" s="66" t="str">
        <f>IF(AV698="","",TEXT(AV698,"dd/mm/yyyy")&amp;" - "&amp;TEXT(AW698,"dd/mm/yyyy"))</f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>IF(B698="","",TEXT(AY698,"00")&amp;"|"&amp;B698&amp;"|"&amp;TEXT(AT698,"yyyymmdd"))</f>
        <v/>
      </c>
      <c r="BB698" s="66" t="str">
        <f>IF(B698="","",TEXT(AZ698,"00")&amp;"|"&amp;B698&amp;"|"&amp;TEXT(AV698,"yyyymmdd"))</f>
        <v/>
      </c>
      <c r="BC698" s="66">
        <f>IF(OR(AQ698="YES",AQ698="Yes",AQ698="Y",AQ698=1),1,0)</f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17">
        <f>SUM(H699,J699,L699,N699,P699,R699,T699,V699,X699,Z699,AB699,AD699,AF699,AH699,AJ699,AL699,AN699)</f>
        <v>0</v>
      </c>
      <c r="AT699" s="67" t="str">
        <f>IF(C699="","",DATE(YEAR(C699),MONTH(C699),1))</f>
        <v/>
      </c>
      <c r="AU699" s="66" t="str">
        <f>IF(AT699="","",TEXT(AT699,"mmmm yyyy"))</f>
        <v/>
      </c>
      <c r="AV699" s="67" t="str">
        <f>IF(C699="","",C699-WEEKDAY(C699,2)+1)</f>
        <v/>
      </c>
      <c r="AW699" s="67" t="str">
        <f>IF(AV699="","",AV699+6)</f>
        <v/>
      </c>
      <c r="AX699" s="66" t="str">
        <f>IF(AV699="","",TEXT(AV699,"dd/mm/yyyy")&amp;" - "&amp;TEXT(AW699,"dd/mm/yyyy"))</f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>IF(B699="","",TEXT(AY699,"00")&amp;"|"&amp;B699&amp;"|"&amp;TEXT(AT699,"yyyymmdd"))</f>
        <v/>
      </c>
      <c r="BB699" s="66" t="str">
        <f>IF(B699="","",TEXT(AZ699,"00")&amp;"|"&amp;B699&amp;"|"&amp;TEXT(AV699,"yyyymmdd"))</f>
        <v/>
      </c>
      <c r="BC699" s="66">
        <f>IF(OR(AQ699="YES",AQ699="Yes",AQ699="Y",AQ699=1),1,0)</f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17">
        <f>SUM(H700,J700,L700,N700,P700,R700,T700,V700,X700,Z700,AB700,AD700,AF700,AH700,AJ700,AL700,AN700)</f>
        <v>0</v>
      </c>
      <c r="AT700" s="67" t="str">
        <f>IF(C700="","",DATE(YEAR(C700),MONTH(C700),1))</f>
        <v/>
      </c>
      <c r="AU700" s="66" t="str">
        <f>IF(AT700="","",TEXT(AT700,"mmmm yyyy"))</f>
        <v/>
      </c>
      <c r="AV700" s="67" t="str">
        <f>IF(C700="","",C700-WEEKDAY(C700,2)+1)</f>
        <v/>
      </c>
      <c r="AW700" s="67" t="str">
        <f>IF(AV700="","",AV700+6)</f>
        <v/>
      </c>
      <c r="AX700" s="66" t="str">
        <f>IF(AV700="","",TEXT(AV700,"dd/mm/yyyy")&amp;" - "&amp;TEXT(AW700,"dd/mm/yyyy"))</f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>IF(B700="","",TEXT(AY700,"00")&amp;"|"&amp;B700&amp;"|"&amp;TEXT(AT700,"yyyymmdd"))</f>
        <v/>
      </c>
      <c r="BB700" s="66" t="str">
        <f>IF(B700="","",TEXT(AZ700,"00")&amp;"|"&amp;B700&amp;"|"&amp;TEXT(AV700,"yyyymmdd"))</f>
        <v/>
      </c>
      <c r="BC700" s="66">
        <f>IF(OR(AQ700="YES",AQ700="Yes",AQ700="Y",AQ700=1),1,0)</f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17">
        <f>SUM(H701,J701,L701,N701,P701,R701,T701,V701,X701,Z701,AB701,AD701,AF701,AH701,AJ701,AL701,AN701)</f>
        <v>0</v>
      </c>
      <c r="AT701" s="67" t="str">
        <f>IF(C701="","",DATE(YEAR(C701),MONTH(C701),1))</f>
        <v/>
      </c>
      <c r="AU701" s="66" t="str">
        <f>IF(AT701="","",TEXT(AT701,"mmmm yyyy"))</f>
        <v/>
      </c>
      <c r="AV701" s="67" t="str">
        <f>IF(C701="","",C701-WEEKDAY(C701,2)+1)</f>
        <v/>
      </c>
      <c r="AW701" s="67" t="str">
        <f>IF(AV701="","",AV701+6)</f>
        <v/>
      </c>
      <c r="AX701" s="66" t="str">
        <f>IF(AV701="","",TEXT(AV701,"dd/mm/yyyy")&amp;" - "&amp;TEXT(AW701,"dd/mm/yyyy"))</f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>IF(B701="","",TEXT(AY701,"00")&amp;"|"&amp;B701&amp;"|"&amp;TEXT(AT701,"yyyymmdd"))</f>
        <v/>
      </c>
      <c r="BB701" s="66" t="str">
        <f>IF(B701="","",TEXT(AZ701,"00")&amp;"|"&amp;B701&amp;"|"&amp;TEXT(AV701,"yyyymmdd"))</f>
        <v/>
      </c>
      <c r="BC701" s="66">
        <f>IF(OR(AQ701="YES",AQ701="Yes",AQ701="Y",AQ701=1),1,0)</f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17">
        <f>SUM(H702,J702,L702,N702,P702,R702,T702,V702,X702,Z702,AB702,AD702,AF702,AH702,AJ702,AL702,AN702)</f>
        <v>0</v>
      </c>
      <c r="AT702" s="67" t="str">
        <f>IF(C702="","",DATE(YEAR(C702),MONTH(C702),1))</f>
        <v/>
      </c>
      <c r="AU702" s="66" t="str">
        <f>IF(AT702="","",TEXT(AT702,"mmmm yyyy"))</f>
        <v/>
      </c>
      <c r="AV702" s="67" t="str">
        <f>IF(C702="","",C702-WEEKDAY(C702,2)+1)</f>
        <v/>
      </c>
      <c r="AW702" s="67" t="str">
        <f>IF(AV702="","",AV702+6)</f>
        <v/>
      </c>
      <c r="AX702" s="66" t="str">
        <f>IF(AV702="","",TEXT(AV702,"dd/mm/yyyy")&amp;" - "&amp;TEXT(AW702,"dd/mm/yyyy"))</f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>IF(B702="","",TEXT(AY702,"00")&amp;"|"&amp;B702&amp;"|"&amp;TEXT(AT702,"yyyymmdd"))</f>
        <v/>
      </c>
      <c r="BB702" s="66" t="str">
        <f>IF(B702="","",TEXT(AZ702,"00")&amp;"|"&amp;B702&amp;"|"&amp;TEXT(AV702,"yyyymmdd"))</f>
        <v/>
      </c>
      <c r="BC702" s="66">
        <f>IF(OR(AQ702="YES",AQ702="Yes",AQ702="Y",AQ702=1),1,0)</f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17">
        <f>SUM(H703,J703,L703,N703,P703,R703,T703,V703,X703,Z703,AB703,AD703,AF703,AH703,AJ703,AL703,AN703)</f>
        <v>0</v>
      </c>
      <c r="AT703" s="67" t="str">
        <f>IF(C703="","",DATE(YEAR(C703),MONTH(C703),1))</f>
        <v/>
      </c>
      <c r="AU703" s="66" t="str">
        <f>IF(AT703="","",TEXT(AT703,"mmmm yyyy"))</f>
        <v/>
      </c>
      <c r="AV703" s="67" t="str">
        <f>IF(C703="","",C703-WEEKDAY(C703,2)+1)</f>
        <v/>
      </c>
      <c r="AW703" s="67" t="str">
        <f>IF(AV703="","",AV703+6)</f>
        <v/>
      </c>
      <c r="AX703" s="66" t="str">
        <f>IF(AV703="","",TEXT(AV703,"dd/mm/yyyy")&amp;" - "&amp;TEXT(AW703,"dd/mm/yyyy"))</f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>IF(B703="","",TEXT(AY703,"00")&amp;"|"&amp;B703&amp;"|"&amp;TEXT(AT703,"yyyymmdd"))</f>
        <v/>
      </c>
      <c r="BB703" s="66" t="str">
        <f>IF(B703="","",TEXT(AZ703,"00")&amp;"|"&amp;B703&amp;"|"&amp;TEXT(AV703,"yyyymmdd"))</f>
        <v/>
      </c>
      <c r="BC703" s="66">
        <f>IF(OR(AQ703="YES",AQ703="Yes",AQ703="Y",AQ703=1),1,0)</f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17">
        <f>SUM(H704,J704,L704,N704,P704,R704,T704,V704,X704,Z704,AB704,AD704,AF704,AH704,AJ704,AL704,AN704)</f>
        <v>0</v>
      </c>
      <c r="AT704" s="67" t="str">
        <f>IF(C704="","",DATE(YEAR(C704),MONTH(C704),1))</f>
        <v/>
      </c>
      <c r="AU704" s="66" t="str">
        <f>IF(AT704="","",TEXT(AT704,"mmmm yyyy"))</f>
        <v/>
      </c>
      <c r="AV704" s="67" t="str">
        <f>IF(C704="","",C704-WEEKDAY(C704,2)+1)</f>
        <v/>
      </c>
      <c r="AW704" s="67" t="str">
        <f>IF(AV704="","",AV704+6)</f>
        <v/>
      </c>
      <c r="AX704" s="66" t="str">
        <f>IF(AV704="","",TEXT(AV704,"dd/mm/yyyy")&amp;" - "&amp;TEXT(AW704,"dd/mm/yyyy"))</f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>IF(B704="","",TEXT(AY704,"00")&amp;"|"&amp;B704&amp;"|"&amp;TEXT(AT704,"yyyymmdd"))</f>
        <v/>
      </c>
      <c r="BB704" s="66" t="str">
        <f>IF(B704="","",TEXT(AZ704,"00")&amp;"|"&amp;B704&amp;"|"&amp;TEXT(AV704,"yyyymmdd"))</f>
        <v/>
      </c>
      <c r="BC704" s="66">
        <f>IF(OR(AQ704="YES",AQ704="Yes",AQ704="Y",AQ704=1),1,0)</f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17">
        <f>SUM(H705,J705,L705,N705,P705,R705,T705,V705,X705,Z705,AB705,AD705,AF705,AH705,AJ705,AL705,AN705)</f>
        <v>0</v>
      </c>
      <c r="AT705" s="67" t="str">
        <f>IF(C705="","",DATE(YEAR(C705),MONTH(C705),1))</f>
        <v/>
      </c>
      <c r="AU705" s="66" t="str">
        <f>IF(AT705="","",TEXT(AT705,"mmmm yyyy"))</f>
        <v/>
      </c>
      <c r="AV705" s="67" t="str">
        <f>IF(C705="","",C705-WEEKDAY(C705,2)+1)</f>
        <v/>
      </c>
      <c r="AW705" s="67" t="str">
        <f>IF(AV705="","",AV705+6)</f>
        <v/>
      </c>
      <c r="AX705" s="66" t="str">
        <f>IF(AV705="","",TEXT(AV705,"dd/mm/yyyy")&amp;" - "&amp;TEXT(AW705,"dd/mm/yyyy"))</f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>IF(B705="","",TEXT(AY705,"00")&amp;"|"&amp;B705&amp;"|"&amp;TEXT(AT705,"yyyymmdd"))</f>
        <v/>
      </c>
      <c r="BB705" s="66" t="str">
        <f>IF(B705="","",TEXT(AZ705,"00")&amp;"|"&amp;B705&amp;"|"&amp;TEXT(AV705,"yyyymmdd"))</f>
        <v/>
      </c>
      <c r="BC705" s="66">
        <f>IF(OR(AQ705="YES",AQ705="Yes",AQ705="Y",AQ705=1),1,0)</f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17">
        <f>SUM(H706,J706,L706,N706,P706,R706,T706,V706,X706,Z706,AB706,AD706,AF706,AH706,AJ706,AL706,AN706)</f>
        <v>0</v>
      </c>
      <c r="AT706" s="67" t="str">
        <f>IF(C706="","",DATE(YEAR(C706),MONTH(C706),1))</f>
        <v/>
      </c>
      <c r="AU706" s="66" t="str">
        <f>IF(AT706="","",TEXT(AT706,"mmmm yyyy"))</f>
        <v/>
      </c>
      <c r="AV706" s="67" t="str">
        <f>IF(C706="","",C706-WEEKDAY(C706,2)+1)</f>
        <v/>
      </c>
      <c r="AW706" s="67" t="str">
        <f>IF(AV706="","",AV706+6)</f>
        <v/>
      </c>
      <c r="AX706" s="66" t="str">
        <f>IF(AV706="","",TEXT(AV706,"dd/mm/yyyy")&amp;" - "&amp;TEXT(AW706,"dd/mm/yyyy"))</f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>IF(B706="","",TEXT(AY706,"00")&amp;"|"&amp;B706&amp;"|"&amp;TEXT(AT706,"yyyymmdd"))</f>
        <v/>
      </c>
      <c r="BB706" s="66" t="str">
        <f>IF(B706="","",TEXT(AZ706,"00")&amp;"|"&amp;B706&amp;"|"&amp;TEXT(AV706,"yyyymmdd"))</f>
        <v/>
      </c>
      <c r="BC706" s="66">
        <f>IF(OR(AQ706="YES",AQ706="Yes",AQ706="Y",AQ706=1),1,0)</f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17">
        <f>SUM(H707,J707,L707,N707,P707,R707,T707,V707,X707,Z707,AB707,AD707,AF707,AH707,AJ707,AL707,AN707)</f>
        <v>0</v>
      </c>
      <c r="AT707" s="67" t="str">
        <f>IF(C707="","",DATE(YEAR(C707),MONTH(C707),1))</f>
        <v/>
      </c>
      <c r="AU707" s="66" t="str">
        <f>IF(AT707="","",TEXT(AT707,"mmmm yyyy"))</f>
        <v/>
      </c>
      <c r="AV707" s="67" t="str">
        <f>IF(C707="","",C707-WEEKDAY(C707,2)+1)</f>
        <v/>
      </c>
      <c r="AW707" s="67" t="str">
        <f>IF(AV707="","",AV707+6)</f>
        <v/>
      </c>
      <c r="AX707" s="66" t="str">
        <f>IF(AV707="","",TEXT(AV707,"dd/mm/yyyy")&amp;" - "&amp;TEXT(AW707,"dd/mm/yyyy"))</f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>IF(B707="","",TEXT(AY707,"00")&amp;"|"&amp;B707&amp;"|"&amp;TEXT(AT707,"yyyymmdd"))</f>
        <v/>
      </c>
      <c r="BB707" s="66" t="str">
        <f>IF(B707="","",TEXT(AZ707,"00")&amp;"|"&amp;B707&amp;"|"&amp;TEXT(AV707,"yyyymmdd"))</f>
        <v/>
      </c>
      <c r="BC707" s="66">
        <f>IF(OR(AQ707="YES",AQ707="Yes",AQ707="Y",AQ707=1),1,0)</f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17">
        <f>SUM(H708,J708,L708,N708,P708,R708,T708,V708,X708,Z708,AB708,AD708,AF708,AH708,AJ708,AL708,AN708)</f>
        <v>0</v>
      </c>
      <c r="AT708" s="67" t="str">
        <f>IF(C708="","",DATE(YEAR(C708),MONTH(C708),1))</f>
        <v/>
      </c>
      <c r="AU708" s="66" t="str">
        <f>IF(AT708="","",TEXT(AT708,"mmmm yyyy"))</f>
        <v/>
      </c>
      <c r="AV708" s="67" t="str">
        <f>IF(C708="","",C708-WEEKDAY(C708,2)+1)</f>
        <v/>
      </c>
      <c r="AW708" s="67" t="str">
        <f>IF(AV708="","",AV708+6)</f>
        <v/>
      </c>
      <c r="AX708" s="66" t="str">
        <f>IF(AV708="","",TEXT(AV708,"dd/mm/yyyy")&amp;" - "&amp;TEXT(AW708,"dd/mm/yyyy"))</f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>IF(B708="","",TEXT(AY708,"00")&amp;"|"&amp;B708&amp;"|"&amp;TEXT(AT708,"yyyymmdd"))</f>
        <v/>
      </c>
      <c r="BB708" s="66" t="str">
        <f>IF(B708="","",TEXT(AZ708,"00")&amp;"|"&amp;B708&amp;"|"&amp;TEXT(AV708,"yyyymmdd"))</f>
        <v/>
      </c>
      <c r="BC708" s="66">
        <f>IF(OR(AQ708="YES",AQ708="Yes",AQ708="Y",AQ708=1),1,0)</f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17">
        <f>SUM(H709,J709,L709,N709,P709,R709,T709,V709,X709,Z709,AB709,AD709,AF709,AH709,AJ709,AL709,AN709)</f>
        <v>0</v>
      </c>
      <c r="AT709" s="67" t="str">
        <f>IF(C709="","",DATE(YEAR(C709),MONTH(C709),1))</f>
        <v/>
      </c>
      <c r="AU709" s="66" t="str">
        <f>IF(AT709="","",TEXT(AT709,"mmmm yyyy"))</f>
        <v/>
      </c>
      <c r="AV709" s="67" t="str">
        <f>IF(C709="","",C709-WEEKDAY(C709,2)+1)</f>
        <v/>
      </c>
      <c r="AW709" s="67" t="str">
        <f>IF(AV709="","",AV709+6)</f>
        <v/>
      </c>
      <c r="AX709" s="66" t="str">
        <f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>IF(B709="","",TEXT(AY709,"00")&amp;"|"&amp;B709&amp;"|"&amp;TEXT(AT709,"yyyymmdd"))</f>
        <v/>
      </c>
      <c r="BB709" s="66" t="str">
        <f>IF(B709="","",TEXT(AZ709,"00")&amp;"|"&amp;B709&amp;"|"&amp;TEXT(AV709,"yyyymmdd"))</f>
        <v/>
      </c>
      <c r="BC709" s="66">
        <f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17">
        <f>SUM(H710,J710,L710,N710,P710,R710,T710,V710,X710,Z710,AB710,AD710,AF710,AH710,AJ710,AL710,AN710)</f>
        <v>0</v>
      </c>
      <c r="AT710" s="67" t="str">
        <f>IF(C710="","",DATE(YEAR(C710),MONTH(C710),1))</f>
        <v/>
      </c>
      <c r="AU710" s="66" t="str">
        <f>IF(AT710="","",TEXT(AT710,"mmmm yyyy"))</f>
        <v/>
      </c>
      <c r="AV710" s="67" t="str">
        <f>IF(C710="","",C710-WEEKDAY(C710,2)+1)</f>
        <v/>
      </c>
      <c r="AW710" s="67" t="str">
        <f>IF(AV710="","",AV710+6)</f>
        <v/>
      </c>
      <c r="AX710" s="66" t="str">
        <f>IF(AV710="","",TEXT(AV710,"dd/mm/yyyy")&amp;" - "&amp;TEXT(AW710,"dd/mm/yyyy"))</f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>IF(B710="","",TEXT(AY710,"00")&amp;"|"&amp;B710&amp;"|"&amp;TEXT(AT710,"yyyymmdd"))</f>
        <v/>
      </c>
      <c r="BB710" s="66" t="str">
        <f>IF(B710="","",TEXT(AZ710,"00")&amp;"|"&amp;B710&amp;"|"&amp;TEXT(AV710,"yyyymmdd"))</f>
        <v/>
      </c>
      <c r="BC710" s="66">
        <f>IF(OR(AQ710="YES",AQ710="Yes",AQ710="Y",AQ710=1),1,0)</f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17">
        <f>SUM(H711,J711,L711,N711,P711,R711,T711,V711,X711,Z711,AB711,AD711,AF711,AH711,AJ711,AL711,AN711)</f>
        <v>0</v>
      </c>
      <c r="AT711" s="67" t="str">
        <f>IF(C711="","",DATE(YEAR(C711),MONTH(C711),1))</f>
        <v/>
      </c>
      <c r="AU711" s="66" t="str">
        <f>IF(AT711="","",TEXT(AT711,"mmmm yyyy"))</f>
        <v/>
      </c>
      <c r="AV711" s="67" t="str">
        <f>IF(C711="","",C711-WEEKDAY(C711,2)+1)</f>
        <v/>
      </c>
      <c r="AW711" s="67" t="str">
        <f>IF(AV711="","",AV711+6)</f>
        <v/>
      </c>
      <c r="AX711" s="66" t="str">
        <f>IF(AV711="","",TEXT(AV711,"dd/mm/yyyy")&amp;" - "&amp;TEXT(AW711,"dd/mm/yyyy"))</f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>IF(B711="","",TEXT(AY711,"00")&amp;"|"&amp;B711&amp;"|"&amp;TEXT(AT711,"yyyymmdd"))</f>
        <v/>
      </c>
      <c r="BB711" s="66" t="str">
        <f>IF(B711="","",TEXT(AZ711,"00")&amp;"|"&amp;B711&amp;"|"&amp;TEXT(AV711,"yyyymmdd"))</f>
        <v/>
      </c>
      <c r="BC711" s="66">
        <f>IF(OR(AQ711="YES",AQ711="Yes",AQ711="Y",AQ711=1),1,0)</f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17">
        <f>SUM(H712,J712,L712,N712,P712,R712,T712,V712,X712,Z712,AB712,AD712,AF712,AH712,AJ712,AL712,AN712)</f>
        <v>0</v>
      </c>
      <c r="AT712" s="67" t="str">
        <f>IF(C712="","",DATE(YEAR(C712),MONTH(C712),1))</f>
        <v/>
      </c>
      <c r="AU712" s="66" t="str">
        <f>IF(AT712="","",TEXT(AT712,"mmmm yyyy"))</f>
        <v/>
      </c>
      <c r="AV712" s="67" t="str">
        <f>IF(C712="","",C712-WEEKDAY(C712,2)+1)</f>
        <v/>
      </c>
      <c r="AW712" s="67" t="str">
        <f>IF(AV712="","",AV712+6)</f>
        <v/>
      </c>
      <c r="AX712" s="66" t="str">
        <f>IF(AV712="","",TEXT(AV712,"dd/mm/yyyy")&amp;" - "&amp;TEXT(AW712,"dd/mm/yyyy"))</f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>IF(B712="","",TEXT(AY712,"00")&amp;"|"&amp;B712&amp;"|"&amp;TEXT(AT712,"yyyymmdd"))</f>
        <v/>
      </c>
      <c r="BB712" s="66" t="str">
        <f>IF(B712="","",TEXT(AZ712,"00")&amp;"|"&amp;B712&amp;"|"&amp;TEXT(AV712,"yyyymmdd"))</f>
        <v/>
      </c>
      <c r="BC712" s="66">
        <f>IF(OR(AQ712="YES",AQ712="Yes",AQ712="Y",AQ712=1),1,0)</f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17">
        <f>SUM(H713,J713,L713,N713,P713,R713,T713,V713,X713,Z713,AB713,AD713,AF713,AH713,AJ713,AL713,AN713)</f>
        <v>0</v>
      </c>
      <c r="AT713" s="67" t="str">
        <f>IF(C713="","",DATE(YEAR(C713),MONTH(C713),1))</f>
        <v/>
      </c>
      <c r="AU713" s="66" t="str">
        <f>IF(AT713="","",TEXT(AT713,"mmmm yyyy"))</f>
        <v/>
      </c>
      <c r="AV713" s="67" t="str">
        <f>IF(C713="","",C713-WEEKDAY(C713,2)+1)</f>
        <v/>
      </c>
      <c r="AW713" s="67" t="str">
        <f>IF(AV713="","",AV713+6)</f>
        <v/>
      </c>
      <c r="AX713" s="66" t="str">
        <f>IF(AV713="","",TEXT(AV713,"dd/mm/yyyy")&amp;" - "&amp;TEXT(AW713,"dd/mm/yyyy"))</f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>IF(B713="","",TEXT(AY713,"00")&amp;"|"&amp;B713&amp;"|"&amp;TEXT(AT713,"yyyymmdd"))</f>
        <v/>
      </c>
      <c r="BB713" s="66" t="str">
        <f>IF(B713="","",TEXT(AZ713,"00")&amp;"|"&amp;B713&amp;"|"&amp;TEXT(AV713,"yyyymmdd"))</f>
        <v/>
      </c>
      <c r="BC713" s="66">
        <f>IF(OR(AQ713="YES",AQ713="Yes",AQ713="Y",AQ713=1),1,0)</f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17">
        <f>SUM(H714,J714,L714,N714,P714,R714,T714,V714,X714,Z714,AB714,AD714,AF714,AH714,AJ714,AL714,AN714)</f>
        <v>0</v>
      </c>
      <c r="AT714" s="67" t="str">
        <f>IF(C714="","",DATE(YEAR(C714),MONTH(C714),1))</f>
        <v/>
      </c>
      <c r="AU714" s="66" t="str">
        <f>IF(AT714="","",TEXT(AT714,"mmmm yyyy"))</f>
        <v/>
      </c>
      <c r="AV714" s="67" t="str">
        <f>IF(C714="","",C714-WEEKDAY(C714,2)+1)</f>
        <v/>
      </c>
      <c r="AW714" s="67" t="str">
        <f>IF(AV714="","",AV714+6)</f>
        <v/>
      </c>
      <c r="AX714" s="66" t="str">
        <f>IF(AV714="","",TEXT(AV714,"dd/mm/yyyy")&amp;" - "&amp;TEXT(AW714,"dd/mm/yyyy"))</f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>IF(B714="","",TEXT(AY714,"00")&amp;"|"&amp;B714&amp;"|"&amp;TEXT(AT714,"yyyymmdd"))</f>
        <v/>
      </c>
      <c r="BB714" s="66" t="str">
        <f>IF(B714="","",TEXT(AZ714,"00")&amp;"|"&amp;B714&amp;"|"&amp;TEXT(AV714,"yyyymmdd"))</f>
        <v/>
      </c>
      <c r="BC714" s="66">
        <f>IF(OR(AQ714="YES",AQ714="Yes",AQ714="Y",AQ714=1),1,0)</f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17">
        <f>SUM(H715,J715,L715,N715,P715,R715,T715,V715,X715,Z715,AB715,AD715,AF715,AH715,AJ715,AL715,AN715)</f>
        <v>0</v>
      </c>
      <c r="AT715" s="67" t="str">
        <f>IF(C715="","",DATE(YEAR(C715),MONTH(C715),1))</f>
        <v/>
      </c>
      <c r="AU715" s="66" t="str">
        <f>IF(AT715="","",TEXT(AT715,"mmmm yyyy"))</f>
        <v/>
      </c>
      <c r="AV715" s="67" t="str">
        <f>IF(C715="","",C715-WEEKDAY(C715,2)+1)</f>
        <v/>
      </c>
      <c r="AW715" s="67" t="str">
        <f>IF(AV715="","",AV715+6)</f>
        <v/>
      </c>
      <c r="AX715" s="66" t="str">
        <f>IF(AV715="","",TEXT(AV715,"dd/mm/yyyy")&amp;" - "&amp;TEXT(AW715,"dd/mm/yyyy"))</f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>IF(B715="","",TEXT(AY715,"00")&amp;"|"&amp;B715&amp;"|"&amp;TEXT(AT715,"yyyymmdd"))</f>
        <v/>
      </c>
      <c r="BB715" s="66" t="str">
        <f>IF(B715="","",TEXT(AZ715,"00")&amp;"|"&amp;B715&amp;"|"&amp;TEXT(AV715,"yyyymmdd"))</f>
        <v/>
      </c>
      <c r="BC715" s="66">
        <f>IF(OR(AQ715="YES",AQ715="Yes",AQ715="Y",AQ715=1),1,0)</f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17">
        <f>SUM(H716,J716,L716,N716,P716,R716,T716,V716,X716,Z716,AB716,AD716,AF716,AH716,AJ716,AL716,AN716)</f>
        <v>0</v>
      </c>
      <c r="AT716" s="67" t="str">
        <f>IF(C716="","",DATE(YEAR(C716),MONTH(C716),1))</f>
        <v/>
      </c>
      <c r="AU716" s="66" t="str">
        <f>IF(AT716="","",TEXT(AT716,"mmmm yyyy"))</f>
        <v/>
      </c>
      <c r="AV716" s="67" t="str">
        <f>IF(C716="","",C716-WEEKDAY(C716,2)+1)</f>
        <v/>
      </c>
      <c r="AW716" s="67" t="str">
        <f>IF(AV716="","",AV716+6)</f>
        <v/>
      </c>
      <c r="AX716" s="66" t="str">
        <f>IF(AV716="","",TEXT(AV716,"dd/mm/yyyy")&amp;" - "&amp;TEXT(AW716,"dd/mm/yyyy"))</f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>IF(B716="","",TEXT(AY716,"00")&amp;"|"&amp;B716&amp;"|"&amp;TEXT(AT716,"yyyymmdd"))</f>
        <v/>
      </c>
      <c r="BB716" s="66" t="str">
        <f>IF(B716="","",TEXT(AZ716,"00")&amp;"|"&amp;B716&amp;"|"&amp;TEXT(AV716,"yyyymmdd"))</f>
        <v/>
      </c>
      <c r="BC716" s="66">
        <f>IF(OR(AQ716="YES",AQ716="Yes",AQ716="Y",AQ716=1),1,0)</f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17">
        <f>SUM(H717,J717,L717,N717,P717,R717,T717,V717,X717,Z717,AB717,AD717,AF717,AH717,AJ717,AL717,AN717)</f>
        <v>0</v>
      </c>
      <c r="AT717" s="67" t="str">
        <f>IF(C717="","",DATE(YEAR(C717),MONTH(C717),1))</f>
        <v/>
      </c>
      <c r="AU717" s="66" t="str">
        <f>IF(AT717="","",TEXT(AT717,"mmmm yyyy"))</f>
        <v/>
      </c>
      <c r="AV717" s="67" t="str">
        <f>IF(C717="","",C717-WEEKDAY(C717,2)+1)</f>
        <v/>
      </c>
      <c r="AW717" s="67" t="str">
        <f>IF(AV717="","",AV717+6)</f>
        <v/>
      </c>
      <c r="AX717" s="66" t="str">
        <f>IF(AV717="","",TEXT(AV717,"dd/mm/yyyy")&amp;" - "&amp;TEXT(AW717,"dd/mm/yyyy"))</f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>IF(B717="","",TEXT(AY717,"00")&amp;"|"&amp;B717&amp;"|"&amp;TEXT(AT717,"yyyymmdd"))</f>
        <v/>
      </c>
      <c r="BB717" s="66" t="str">
        <f>IF(B717="","",TEXT(AZ717,"00")&amp;"|"&amp;B717&amp;"|"&amp;TEXT(AV717,"yyyymmdd"))</f>
        <v/>
      </c>
      <c r="BC717" s="66">
        <f>IF(OR(AQ717="YES",AQ717="Yes",AQ717="Y",AQ717=1),1,0)</f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17">
        <f>SUM(H718,J718,L718,N718,P718,R718,T718,V718,X718,Z718,AB718,AD718,AF718,AH718,AJ718,AL718,AN718)</f>
        <v>0</v>
      </c>
      <c r="AT718" s="67" t="str">
        <f>IF(C718="","",DATE(YEAR(C718),MONTH(C718),1))</f>
        <v/>
      </c>
      <c r="AU718" s="66" t="str">
        <f>IF(AT718="","",TEXT(AT718,"mmmm yyyy"))</f>
        <v/>
      </c>
      <c r="AV718" s="67" t="str">
        <f>IF(C718="","",C718-WEEKDAY(C718,2)+1)</f>
        <v/>
      </c>
      <c r="AW718" s="67" t="str">
        <f>IF(AV718="","",AV718+6)</f>
        <v/>
      </c>
      <c r="AX718" s="66" t="str">
        <f>IF(AV718="","",TEXT(AV718,"dd/mm/yyyy")&amp;" - "&amp;TEXT(AW718,"dd/mm/yyyy"))</f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>IF(B718="","",TEXT(AY718,"00")&amp;"|"&amp;B718&amp;"|"&amp;TEXT(AT718,"yyyymmdd"))</f>
        <v/>
      </c>
      <c r="BB718" s="66" t="str">
        <f>IF(B718="","",TEXT(AZ718,"00")&amp;"|"&amp;B718&amp;"|"&amp;TEXT(AV718,"yyyymmdd"))</f>
        <v/>
      </c>
      <c r="BC718" s="66">
        <f>IF(OR(AQ718="YES",AQ718="Yes",AQ718="Y",AQ718=1),1,0)</f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17">
        <f>SUM(H719,J719,L719,N719,P719,R719,T719,V719,X719,Z719,AB719,AD719,AF719,AH719,AJ719,AL719,AN719)</f>
        <v>0</v>
      </c>
      <c r="AT719" s="67" t="str">
        <f>IF(C719="","",DATE(YEAR(C719),MONTH(C719),1))</f>
        <v/>
      </c>
      <c r="AU719" s="66" t="str">
        <f>IF(AT719="","",TEXT(AT719,"mmmm yyyy"))</f>
        <v/>
      </c>
      <c r="AV719" s="67" t="str">
        <f>IF(C719="","",C719-WEEKDAY(C719,2)+1)</f>
        <v/>
      </c>
      <c r="AW719" s="67" t="str">
        <f>IF(AV719="","",AV719+6)</f>
        <v/>
      </c>
      <c r="AX719" s="66" t="str">
        <f>IF(AV719="","",TEXT(AV719,"dd/mm/yyyy")&amp;" - "&amp;TEXT(AW719,"dd/mm/yyyy"))</f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>IF(B719="","",TEXT(AY719,"00")&amp;"|"&amp;B719&amp;"|"&amp;TEXT(AT719,"yyyymmdd"))</f>
        <v/>
      </c>
      <c r="BB719" s="66" t="str">
        <f>IF(B719="","",TEXT(AZ719,"00")&amp;"|"&amp;B719&amp;"|"&amp;TEXT(AV719,"yyyymmdd"))</f>
        <v/>
      </c>
      <c r="BC719" s="66">
        <f>IF(OR(AQ719="YES",AQ719="Yes",AQ719="Y",AQ719=1),1,0)</f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17">
        <f>SUM(H720,J720,L720,N720,P720,R720,T720,V720,X720,Z720,AB720,AD720,AF720,AH720,AJ720,AL720,AN720)</f>
        <v>0</v>
      </c>
      <c r="AT720" s="67" t="str">
        <f>IF(C720="","",DATE(YEAR(C720),MONTH(C720),1))</f>
        <v/>
      </c>
      <c r="AU720" s="66" t="str">
        <f>IF(AT720="","",TEXT(AT720,"mmmm yyyy"))</f>
        <v/>
      </c>
      <c r="AV720" s="67" t="str">
        <f>IF(C720="","",C720-WEEKDAY(C720,2)+1)</f>
        <v/>
      </c>
      <c r="AW720" s="67" t="str">
        <f>IF(AV720="","",AV720+6)</f>
        <v/>
      </c>
      <c r="AX720" s="66" t="str">
        <f>IF(AV720="","",TEXT(AV720,"dd/mm/yyyy")&amp;" - "&amp;TEXT(AW720,"dd/mm/yyyy"))</f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>IF(B720="","",TEXT(AY720,"00")&amp;"|"&amp;B720&amp;"|"&amp;TEXT(AT720,"yyyymmdd"))</f>
        <v/>
      </c>
      <c r="BB720" s="66" t="str">
        <f>IF(B720="","",TEXT(AZ720,"00")&amp;"|"&amp;B720&amp;"|"&amp;TEXT(AV720,"yyyymmdd"))</f>
        <v/>
      </c>
      <c r="BC720" s="66">
        <f>IF(OR(AQ720="YES",AQ720="Yes",AQ720="Y",AQ720=1),1,0)</f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17">
        <f>SUM(H721,J721,L721,N721,P721,R721,T721,V721,X721,Z721,AB721,AD721,AF721,AH721,AJ721,AL721,AN721)</f>
        <v>0</v>
      </c>
      <c r="AT721" s="67" t="str">
        <f>IF(C721="","",DATE(YEAR(C721),MONTH(C721),1))</f>
        <v/>
      </c>
      <c r="AU721" s="66" t="str">
        <f>IF(AT721="","",TEXT(AT721,"mmmm yyyy"))</f>
        <v/>
      </c>
      <c r="AV721" s="67" t="str">
        <f>IF(C721="","",C721-WEEKDAY(C721,2)+1)</f>
        <v/>
      </c>
      <c r="AW721" s="67" t="str">
        <f>IF(AV721="","",AV721+6)</f>
        <v/>
      </c>
      <c r="AX721" s="66" t="str">
        <f>IF(AV721="","",TEXT(AV721,"dd/mm/yyyy")&amp;" - "&amp;TEXT(AW721,"dd/mm/yyyy"))</f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>IF(B721="","",TEXT(AY721,"00")&amp;"|"&amp;B721&amp;"|"&amp;TEXT(AT721,"yyyymmdd"))</f>
        <v/>
      </c>
      <c r="BB721" s="66" t="str">
        <f>IF(B721="","",TEXT(AZ721,"00")&amp;"|"&amp;B721&amp;"|"&amp;TEXT(AV721,"yyyymmdd"))</f>
        <v/>
      </c>
      <c r="BC721" s="66">
        <f>IF(OR(AQ721="YES",AQ721="Yes",AQ721="Y",AQ721=1),1,0)</f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17">
        <f>SUM(H722,J722,L722,N722,P722,R722,T722,V722,X722,Z722,AB722,AD722,AF722,AH722,AJ722,AL722,AN722)</f>
        <v>0</v>
      </c>
      <c r="AT722" s="67" t="str">
        <f>IF(C722="","",DATE(YEAR(C722),MONTH(C722),1))</f>
        <v/>
      </c>
      <c r="AU722" s="66" t="str">
        <f>IF(AT722="","",TEXT(AT722,"mmmm yyyy"))</f>
        <v/>
      </c>
      <c r="AV722" s="67" t="str">
        <f>IF(C722="","",C722-WEEKDAY(C722,2)+1)</f>
        <v/>
      </c>
      <c r="AW722" s="67" t="str">
        <f>IF(AV722="","",AV722+6)</f>
        <v/>
      </c>
      <c r="AX722" s="66" t="str">
        <f>IF(AV722="","",TEXT(AV722,"dd/mm/yyyy")&amp;" - "&amp;TEXT(AW722,"dd/mm/yyyy"))</f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>IF(B722="","",TEXT(AY722,"00")&amp;"|"&amp;B722&amp;"|"&amp;TEXT(AT722,"yyyymmdd"))</f>
        <v/>
      </c>
      <c r="BB722" s="66" t="str">
        <f>IF(B722="","",TEXT(AZ722,"00")&amp;"|"&amp;B722&amp;"|"&amp;TEXT(AV722,"yyyymmdd"))</f>
        <v/>
      </c>
      <c r="BC722" s="66">
        <f>IF(OR(AQ722="YES",AQ722="Yes",AQ722="Y",AQ722=1),1,0)</f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17">
        <f>SUM(H723,J723,L723,N723,P723,R723,T723,V723,X723,Z723,AB723,AD723,AF723,AH723,AJ723,AL723,AN723)</f>
        <v>0</v>
      </c>
      <c r="AT723" s="67" t="str">
        <f>IF(C723="","",DATE(YEAR(C723),MONTH(C723),1))</f>
        <v/>
      </c>
      <c r="AU723" s="66" t="str">
        <f>IF(AT723="","",TEXT(AT723,"mmmm yyyy"))</f>
        <v/>
      </c>
      <c r="AV723" s="67" t="str">
        <f>IF(C723="","",C723-WEEKDAY(C723,2)+1)</f>
        <v/>
      </c>
      <c r="AW723" s="67" t="str">
        <f>IF(AV723="","",AV723+6)</f>
        <v/>
      </c>
      <c r="AX723" s="66" t="str">
        <f>IF(AV723="","",TEXT(AV723,"dd/mm/yyyy")&amp;" - "&amp;TEXT(AW723,"dd/mm/yyyy"))</f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>IF(B723="","",TEXT(AY723,"00")&amp;"|"&amp;B723&amp;"|"&amp;TEXT(AT723,"yyyymmdd"))</f>
        <v/>
      </c>
      <c r="BB723" s="66" t="str">
        <f>IF(B723="","",TEXT(AZ723,"00")&amp;"|"&amp;B723&amp;"|"&amp;TEXT(AV723,"yyyymmdd"))</f>
        <v/>
      </c>
      <c r="BC723" s="66">
        <f>IF(OR(AQ723="YES",AQ723="Yes",AQ723="Y",AQ723=1),1,0)</f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17">
        <f>SUM(H724,J724,L724,N724,P724,R724,T724,V724,X724,Z724,AB724,AD724,AF724,AH724,AJ724,AL724,AN724)</f>
        <v>0</v>
      </c>
      <c r="AT724" s="67" t="str">
        <f>IF(C724="","",DATE(YEAR(C724),MONTH(C724),1))</f>
        <v/>
      </c>
      <c r="AU724" s="66" t="str">
        <f>IF(AT724="","",TEXT(AT724,"mmmm yyyy"))</f>
        <v/>
      </c>
      <c r="AV724" s="67" t="str">
        <f>IF(C724="","",C724-WEEKDAY(C724,2)+1)</f>
        <v/>
      </c>
      <c r="AW724" s="67" t="str">
        <f>IF(AV724="","",AV724+6)</f>
        <v/>
      </c>
      <c r="AX724" s="66" t="str">
        <f>IF(AV724="","",TEXT(AV724,"dd/mm/yyyy")&amp;" - "&amp;TEXT(AW724,"dd/mm/yyyy"))</f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>IF(B724="","",TEXT(AY724,"00")&amp;"|"&amp;B724&amp;"|"&amp;TEXT(AT724,"yyyymmdd"))</f>
        <v/>
      </c>
      <c r="BB724" s="66" t="str">
        <f>IF(B724="","",TEXT(AZ724,"00")&amp;"|"&amp;B724&amp;"|"&amp;TEXT(AV724,"yyyymmdd"))</f>
        <v/>
      </c>
      <c r="BC724" s="66">
        <f>IF(OR(AQ724="YES",AQ724="Yes",AQ724="Y",AQ724=1),1,0)</f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17">
        <f>SUM(H725,J725,L725,N725,P725,R725,T725,V725,X725,Z725,AB725,AD725,AF725,AH725,AJ725,AL725,AN725)</f>
        <v>0</v>
      </c>
      <c r="AT725" s="67" t="str">
        <f>IF(C725="","",DATE(YEAR(C725),MONTH(C725),1))</f>
        <v/>
      </c>
      <c r="AU725" s="66" t="str">
        <f>IF(AT725="","",TEXT(AT725,"mmmm yyyy"))</f>
        <v/>
      </c>
      <c r="AV725" s="67" t="str">
        <f>IF(C725="","",C725-WEEKDAY(C725,2)+1)</f>
        <v/>
      </c>
      <c r="AW725" s="67" t="str">
        <f>IF(AV725="","",AV725+6)</f>
        <v/>
      </c>
      <c r="AX725" s="66" t="str">
        <f>IF(AV725="","",TEXT(AV725,"dd/mm/yyyy")&amp;" - "&amp;TEXT(AW725,"dd/mm/yyyy"))</f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>IF(B725="","",TEXT(AY725,"00")&amp;"|"&amp;B725&amp;"|"&amp;TEXT(AT725,"yyyymmdd"))</f>
        <v/>
      </c>
      <c r="BB725" s="66" t="str">
        <f>IF(B725="","",TEXT(AZ725,"00")&amp;"|"&amp;B725&amp;"|"&amp;TEXT(AV725,"yyyymmdd"))</f>
        <v/>
      </c>
      <c r="BC725" s="66">
        <f>IF(OR(AQ725="YES",AQ725="Yes",AQ725="Y",AQ725=1),1,0)</f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17">
        <f>SUM(H726,J726,L726,N726,P726,R726,T726,V726,X726,Z726,AB726,AD726,AF726,AH726,AJ726,AL726,AN726)</f>
        <v>0</v>
      </c>
      <c r="AT726" s="67" t="str">
        <f>IF(C726="","",DATE(YEAR(C726),MONTH(C726),1))</f>
        <v/>
      </c>
      <c r="AU726" s="66" t="str">
        <f>IF(AT726="","",TEXT(AT726,"mmmm yyyy"))</f>
        <v/>
      </c>
      <c r="AV726" s="67" t="str">
        <f>IF(C726="","",C726-WEEKDAY(C726,2)+1)</f>
        <v/>
      </c>
      <c r="AW726" s="67" t="str">
        <f>IF(AV726="","",AV726+6)</f>
        <v/>
      </c>
      <c r="AX726" s="66" t="str">
        <f>IF(AV726="","",TEXT(AV726,"dd/mm/yyyy")&amp;" - "&amp;TEXT(AW726,"dd/mm/yyyy"))</f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>IF(B726="","",TEXT(AY726,"00")&amp;"|"&amp;B726&amp;"|"&amp;TEXT(AT726,"yyyymmdd"))</f>
        <v/>
      </c>
      <c r="BB726" s="66" t="str">
        <f>IF(B726="","",TEXT(AZ726,"00")&amp;"|"&amp;B726&amp;"|"&amp;TEXT(AV726,"yyyymmdd"))</f>
        <v/>
      </c>
      <c r="BC726" s="66">
        <f>IF(OR(AQ726="YES",AQ726="Yes",AQ726="Y",AQ726=1),1,0)</f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17">
        <f>SUM(H727,J727,L727,N727,P727,R727,T727,V727,X727,Z727,AB727,AD727,AF727,AH727,AJ727,AL727,AN727)</f>
        <v>0</v>
      </c>
      <c r="AT727" s="67" t="str">
        <f>IF(C727="","",DATE(YEAR(C727),MONTH(C727),1))</f>
        <v/>
      </c>
      <c r="AU727" s="66" t="str">
        <f>IF(AT727="","",TEXT(AT727,"mmmm yyyy"))</f>
        <v/>
      </c>
      <c r="AV727" s="67" t="str">
        <f>IF(C727="","",C727-WEEKDAY(C727,2)+1)</f>
        <v/>
      </c>
      <c r="AW727" s="67" t="str">
        <f>IF(AV727="","",AV727+6)</f>
        <v/>
      </c>
      <c r="AX727" s="66" t="str">
        <f>IF(AV727="","",TEXT(AV727,"dd/mm/yyyy")&amp;" - "&amp;TEXT(AW727,"dd/mm/yyyy"))</f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>IF(B727="","",TEXT(AY727,"00")&amp;"|"&amp;B727&amp;"|"&amp;TEXT(AT727,"yyyymmdd"))</f>
        <v/>
      </c>
      <c r="BB727" s="66" t="str">
        <f>IF(B727="","",TEXT(AZ727,"00")&amp;"|"&amp;B727&amp;"|"&amp;TEXT(AV727,"yyyymmdd"))</f>
        <v/>
      </c>
      <c r="BC727" s="66">
        <f>IF(OR(AQ727="YES",AQ727="Yes",AQ727="Y",AQ727=1),1,0)</f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17">
        <f>SUM(H728,J728,L728,N728,P728,R728,T728,V728,X728,Z728,AB728,AD728,AF728,AH728,AJ728,AL728,AN728)</f>
        <v>0</v>
      </c>
      <c r="AT728" s="67" t="str">
        <f>IF(C728="","",DATE(YEAR(C728),MONTH(C728),1))</f>
        <v/>
      </c>
      <c r="AU728" s="66" t="str">
        <f>IF(AT728="","",TEXT(AT728,"mmmm yyyy"))</f>
        <v/>
      </c>
      <c r="AV728" s="67" t="str">
        <f>IF(C728="","",C728-WEEKDAY(C728,2)+1)</f>
        <v/>
      </c>
      <c r="AW728" s="67" t="str">
        <f>IF(AV728="","",AV728+6)</f>
        <v/>
      </c>
      <c r="AX728" s="66" t="str">
        <f>IF(AV728="","",TEXT(AV728,"dd/mm/yyyy")&amp;" - "&amp;TEXT(AW728,"dd/mm/yyyy"))</f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>IF(B728="","",TEXT(AY728,"00")&amp;"|"&amp;B728&amp;"|"&amp;TEXT(AT728,"yyyymmdd"))</f>
        <v/>
      </c>
      <c r="BB728" s="66" t="str">
        <f>IF(B728="","",TEXT(AZ728,"00")&amp;"|"&amp;B728&amp;"|"&amp;TEXT(AV728,"yyyymmdd"))</f>
        <v/>
      </c>
      <c r="BC728" s="66">
        <f>IF(OR(AQ728="YES",AQ728="Yes",AQ728="Y",AQ728=1),1,0)</f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17">
        <f>SUM(H729,J729,L729,N729,P729,R729,T729,V729,X729,Z729,AB729,AD729,AF729,AH729,AJ729,AL729,AN729)</f>
        <v>0</v>
      </c>
      <c r="AT729" s="67" t="str">
        <f>IF(C729="","",DATE(YEAR(C729),MONTH(C729),1))</f>
        <v/>
      </c>
      <c r="AU729" s="66" t="str">
        <f>IF(AT729="","",TEXT(AT729,"mmmm yyyy"))</f>
        <v/>
      </c>
      <c r="AV729" s="67" t="str">
        <f>IF(C729="","",C729-WEEKDAY(C729,2)+1)</f>
        <v/>
      </c>
      <c r="AW729" s="67" t="str">
        <f>IF(AV729="","",AV729+6)</f>
        <v/>
      </c>
      <c r="AX729" s="66" t="str">
        <f>IF(AV729="","",TEXT(AV729,"dd/mm/yyyy")&amp;" - "&amp;TEXT(AW729,"dd/mm/yyyy"))</f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>IF(B729="","",TEXT(AY729,"00")&amp;"|"&amp;B729&amp;"|"&amp;TEXT(AT729,"yyyymmdd"))</f>
        <v/>
      </c>
      <c r="BB729" s="66" t="str">
        <f>IF(B729="","",TEXT(AZ729,"00")&amp;"|"&amp;B729&amp;"|"&amp;TEXT(AV729,"yyyymmdd"))</f>
        <v/>
      </c>
      <c r="BC729" s="66">
        <f>IF(OR(AQ729="YES",AQ729="Yes",AQ729="Y",AQ729=1),1,0)</f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17">
        <f>SUM(H730,J730,L730,N730,P730,R730,T730,V730,X730,Z730,AB730,AD730,AF730,AH730,AJ730,AL730,AN730)</f>
        <v>0</v>
      </c>
      <c r="AT730" s="67" t="str">
        <f>IF(C730="","",DATE(YEAR(C730),MONTH(C730),1))</f>
        <v/>
      </c>
      <c r="AU730" s="66" t="str">
        <f>IF(AT730="","",TEXT(AT730,"mmmm yyyy"))</f>
        <v/>
      </c>
      <c r="AV730" s="67" t="str">
        <f>IF(C730="","",C730-WEEKDAY(C730,2)+1)</f>
        <v/>
      </c>
      <c r="AW730" s="67" t="str">
        <f>IF(AV730="","",AV730+6)</f>
        <v/>
      </c>
      <c r="AX730" s="66" t="str">
        <f>IF(AV730="","",TEXT(AV730,"dd/mm/yyyy")&amp;" - "&amp;TEXT(AW730,"dd/mm/yyyy"))</f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>IF(B730="","",TEXT(AY730,"00")&amp;"|"&amp;B730&amp;"|"&amp;TEXT(AT730,"yyyymmdd"))</f>
        <v/>
      </c>
      <c r="BB730" s="66" t="str">
        <f>IF(B730="","",TEXT(AZ730,"00")&amp;"|"&amp;B730&amp;"|"&amp;TEXT(AV730,"yyyymmdd"))</f>
        <v/>
      </c>
      <c r="BC730" s="66">
        <f>IF(OR(AQ730="YES",AQ730="Yes",AQ730="Y",AQ730=1),1,0)</f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17">
        <f>SUM(H731,J731,L731,N731,P731,R731,T731,V731,X731,Z731,AB731,AD731,AF731,AH731,AJ731,AL731,AN731)</f>
        <v>0</v>
      </c>
      <c r="AT731" s="67" t="str">
        <f>IF(C731="","",DATE(YEAR(C731),MONTH(C731),1))</f>
        <v/>
      </c>
      <c r="AU731" s="66" t="str">
        <f>IF(AT731="","",TEXT(AT731,"mmmm yyyy"))</f>
        <v/>
      </c>
      <c r="AV731" s="67" t="str">
        <f>IF(C731="","",C731-WEEKDAY(C731,2)+1)</f>
        <v/>
      </c>
      <c r="AW731" s="67" t="str">
        <f>IF(AV731="","",AV731+6)</f>
        <v/>
      </c>
      <c r="AX731" s="66" t="str">
        <f>IF(AV731="","",TEXT(AV731,"dd/mm/yyyy")&amp;" - "&amp;TEXT(AW731,"dd/mm/yyyy"))</f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>IF(B731="","",TEXT(AY731,"00")&amp;"|"&amp;B731&amp;"|"&amp;TEXT(AT731,"yyyymmdd"))</f>
        <v/>
      </c>
      <c r="BB731" s="66" t="str">
        <f>IF(B731="","",TEXT(AZ731,"00")&amp;"|"&amp;B731&amp;"|"&amp;TEXT(AV731,"yyyymmdd"))</f>
        <v/>
      </c>
      <c r="BC731" s="66">
        <f>IF(OR(AQ731="YES",AQ731="Yes",AQ731="Y",AQ731=1),1,0)</f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17">
        <f>SUM(H732,J732,L732,N732,P732,R732,T732,V732,X732,Z732,AB732,AD732,AF732,AH732,AJ732,AL732,AN732)</f>
        <v>0</v>
      </c>
      <c r="AT732" s="67" t="str">
        <f>IF(C732="","",DATE(YEAR(C732),MONTH(C732),1))</f>
        <v/>
      </c>
      <c r="AU732" s="66" t="str">
        <f>IF(AT732="","",TEXT(AT732,"mmmm yyyy"))</f>
        <v/>
      </c>
      <c r="AV732" s="67" t="str">
        <f>IF(C732="","",C732-WEEKDAY(C732,2)+1)</f>
        <v/>
      </c>
      <c r="AW732" s="67" t="str">
        <f>IF(AV732="","",AV732+6)</f>
        <v/>
      </c>
      <c r="AX732" s="66" t="str">
        <f>IF(AV732="","",TEXT(AV732,"dd/mm/yyyy")&amp;" - "&amp;TEXT(AW732,"dd/mm/yyyy"))</f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>IF(B732="","",TEXT(AY732,"00")&amp;"|"&amp;B732&amp;"|"&amp;TEXT(AT732,"yyyymmdd"))</f>
        <v/>
      </c>
      <c r="BB732" s="66" t="str">
        <f>IF(B732="","",TEXT(AZ732,"00")&amp;"|"&amp;B732&amp;"|"&amp;TEXT(AV732,"yyyymmdd"))</f>
        <v/>
      </c>
      <c r="BC732" s="66">
        <f>IF(OR(AQ732="YES",AQ732="Yes",AQ732="Y",AQ732=1),1,0)</f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17">
        <f>SUM(H733,J733,L733,N733,P733,R733,T733,V733,X733,Z733,AB733,AD733,AF733,AH733,AJ733,AL733,AN733)</f>
        <v>0</v>
      </c>
      <c r="AT733" s="67" t="str">
        <f>IF(C733="","",DATE(YEAR(C733),MONTH(C733),1))</f>
        <v/>
      </c>
      <c r="AU733" s="66" t="str">
        <f>IF(AT733="","",TEXT(AT733,"mmmm yyyy"))</f>
        <v/>
      </c>
      <c r="AV733" s="67" t="str">
        <f>IF(C733="","",C733-WEEKDAY(C733,2)+1)</f>
        <v/>
      </c>
      <c r="AW733" s="67" t="str">
        <f>IF(AV733="","",AV733+6)</f>
        <v/>
      </c>
      <c r="AX733" s="66" t="str">
        <f>IF(AV733="","",TEXT(AV733,"dd/mm/yyyy")&amp;" - "&amp;TEXT(AW733,"dd/mm/yyyy"))</f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>IF(B733="","",TEXT(AY733,"00")&amp;"|"&amp;B733&amp;"|"&amp;TEXT(AT733,"yyyymmdd"))</f>
        <v/>
      </c>
      <c r="BB733" s="66" t="str">
        <f>IF(B733="","",TEXT(AZ733,"00")&amp;"|"&amp;B733&amp;"|"&amp;TEXT(AV733,"yyyymmdd"))</f>
        <v/>
      </c>
      <c r="BC733" s="66">
        <f>IF(OR(AQ733="YES",AQ733="Yes",AQ733="Y",AQ733=1),1,0)</f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17">
        <f>SUM(H734,J734,L734,N734,P734,R734,T734,V734,X734,Z734,AB734,AD734,AF734,AH734,AJ734,AL734,AN734)</f>
        <v>0</v>
      </c>
      <c r="AT734" s="67" t="str">
        <f>IF(C734="","",DATE(YEAR(C734),MONTH(C734),1))</f>
        <v/>
      </c>
      <c r="AU734" s="66" t="str">
        <f>IF(AT734="","",TEXT(AT734,"mmmm yyyy"))</f>
        <v/>
      </c>
      <c r="AV734" s="67" t="str">
        <f>IF(C734="","",C734-WEEKDAY(C734,2)+1)</f>
        <v/>
      </c>
      <c r="AW734" s="67" t="str">
        <f>IF(AV734="","",AV734+6)</f>
        <v/>
      </c>
      <c r="AX734" s="66" t="str">
        <f>IF(AV734="","",TEXT(AV734,"dd/mm/yyyy")&amp;" - "&amp;TEXT(AW734,"dd/mm/yyyy"))</f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>IF(B734="","",TEXT(AY734,"00")&amp;"|"&amp;B734&amp;"|"&amp;TEXT(AT734,"yyyymmdd"))</f>
        <v/>
      </c>
      <c r="BB734" s="66" t="str">
        <f>IF(B734="","",TEXT(AZ734,"00")&amp;"|"&amp;B734&amp;"|"&amp;TEXT(AV734,"yyyymmdd"))</f>
        <v/>
      </c>
      <c r="BC734" s="66">
        <f>IF(OR(AQ734="YES",AQ734="Yes",AQ734="Y",AQ734=1),1,0)</f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17">
        <f>SUM(H735,J735,L735,N735,P735,R735,T735,V735,X735,Z735,AB735,AD735,AF735,AH735,AJ735,AL735,AN735)</f>
        <v>0</v>
      </c>
      <c r="AT735" s="67" t="str">
        <f>IF(C735="","",DATE(YEAR(C735),MONTH(C735),1))</f>
        <v/>
      </c>
      <c r="AU735" s="66" t="str">
        <f>IF(AT735="","",TEXT(AT735,"mmmm yyyy"))</f>
        <v/>
      </c>
      <c r="AV735" s="67" t="str">
        <f>IF(C735="","",C735-WEEKDAY(C735,2)+1)</f>
        <v/>
      </c>
      <c r="AW735" s="67" t="str">
        <f>IF(AV735="","",AV735+6)</f>
        <v/>
      </c>
      <c r="AX735" s="66" t="str">
        <f>IF(AV735="","",TEXT(AV735,"dd/mm/yyyy")&amp;" - "&amp;TEXT(AW735,"dd/mm/yyyy"))</f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>IF(B735="","",TEXT(AY735,"00")&amp;"|"&amp;B735&amp;"|"&amp;TEXT(AT735,"yyyymmdd"))</f>
        <v/>
      </c>
      <c r="BB735" s="66" t="str">
        <f>IF(B735="","",TEXT(AZ735,"00")&amp;"|"&amp;B735&amp;"|"&amp;TEXT(AV735,"yyyymmdd"))</f>
        <v/>
      </c>
      <c r="BC735" s="66">
        <f>IF(OR(AQ735="YES",AQ735="Yes",AQ735="Y",AQ735=1),1,0)</f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17">
        <f>SUM(H736,J736,L736,N736,P736,R736,T736,V736,X736,Z736,AB736,AD736,AF736,AH736,AJ736,AL736,AN736)</f>
        <v>0</v>
      </c>
      <c r="AT736" s="67" t="str">
        <f>IF(C736="","",DATE(YEAR(C736),MONTH(C736),1))</f>
        <v/>
      </c>
      <c r="AU736" s="66" t="str">
        <f>IF(AT736="","",TEXT(AT736,"mmmm yyyy"))</f>
        <v/>
      </c>
      <c r="AV736" s="67" t="str">
        <f>IF(C736="","",C736-WEEKDAY(C736,2)+1)</f>
        <v/>
      </c>
      <c r="AW736" s="67" t="str">
        <f>IF(AV736="","",AV736+6)</f>
        <v/>
      </c>
      <c r="AX736" s="66" t="str">
        <f>IF(AV736="","",TEXT(AV736,"dd/mm/yyyy")&amp;" - "&amp;TEXT(AW736,"dd/mm/yyyy"))</f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>IF(B736="","",TEXT(AY736,"00")&amp;"|"&amp;B736&amp;"|"&amp;TEXT(AT736,"yyyymmdd"))</f>
        <v/>
      </c>
      <c r="BB736" s="66" t="str">
        <f>IF(B736="","",TEXT(AZ736,"00")&amp;"|"&amp;B736&amp;"|"&amp;TEXT(AV736,"yyyymmdd"))</f>
        <v/>
      </c>
      <c r="BC736" s="66">
        <f>IF(OR(AQ736="YES",AQ736="Yes",AQ736="Y",AQ736=1),1,0)</f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17">
        <f>SUM(H737,J737,L737,N737,P737,R737,T737,V737,X737,Z737,AB737,AD737,AF737,AH737,AJ737,AL737,AN737)</f>
        <v>0</v>
      </c>
      <c r="AT737" s="67" t="str">
        <f>IF(C737="","",DATE(YEAR(C737),MONTH(C737),1))</f>
        <v/>
      </c>
      <c r="AU737" s="66" t="str">
        <f>IF(AT737="","",TEXT(AT737,"mmmm yyyy"))</f>
        <v/>
      </c>
      <c r="AV737" s="67" t="str">
        <f>IF(C737="","",C737-WEEKDAY(C737,2)+1)</f>
        <v/>
      </c>
      <c r="AW737" s="67" t="str">
        <f>IF(AV737="","",AV737+6)</f>
        <v/>
      </c>
      <c r="AX737" s="66" t="str">
        <f>IF(AV737="","",TEXT(AV737,"dd/mm/yyyy")&amp;" - "&amp;TEXT(AW737,"dd/mm/yyyy"))</f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>IF(B737="","",TEXT(AY737,"00")&amp;"|"&amp;B737&amp;"|"&amp;TEXT(AT737,"yyyymmdd"))</f>
        <v/>
      </c>
      <c r="BB737" s="66" t="str">
        <f>IF(B737="","",TEXT(AZ737,"00")&amp;"|"&amp;B737&amp;"|"&amp;TEXT(AV737,"yyyymmdd"))</f>
        <v/>
      </c>
      <c r="BC737" s="66">
        <f>IF(OR(AQ737="YES",AQ737="Yes",AQ737="Y",AQ737=1),1,0)</f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17">
        <f>SUM(H738,J738,L738,N738,P738,R738,T738,V738,X738,Z738,AB738,AD738,AF738,AH738,AJ738,AL738,AN738)</f>
        <v>0</v>
      </c>
      <c r="AT738" s="67" t="str">
        <f>IF(C738="","",DATE(YEAR(C738),MONTH(C738),1))</f>
        <v/>
      </c>
      <c r="AU738" s="66" t="str">
        <f>IF(AT738="","",TEXT(AT738,"mmmm yyyy"))</f>
        <v/>
      </c>
      <c r="AV738" s="67" t="str">
        <f>IF(C738="","",C738-WEEKDAY(C738,2)+1)</f>
        <v/>
      </c>
      <c r="AW738" s="67" t="str">
        <f>IF(AV738="","",AV738+6)</f>
        <v/>
      </c>
      <c r="AX738" s="66" t="str">
        <f>IF(AV738="","",TEXT(AV738,"dd/mm/yyyy")&amp;" - "&amp;TEXT(AW738,"dd/mm/yyyy"))</f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>IF(B738="","",TEXT(AY738,"00")&amp;"|"&amp;B738&amp;"|"&amp;TEXT(AT738,"yyyymmdd"))</f>
        <v/>
      </c>
      <c r="BB738" s="66" t="str">
        <f>IF(B738="","",TEXT(AZ738,"00")&amp;"|"&amp;B738&amp;"|"&amp;TEXT(AV738,"yyyymmdd"))</f>
        <v/>
      </c>
      <c r="BC738" s="66">
        <f>IF(OR(AQ738="YES",AQ738="Yes",AQ738="Y",AQ738=1),1,0)</f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17">
        <f>SUM(H739,J739,L739,N739,P739,R739,T739,V739,X739,Z739,AB739,AD739,AF739,AH739,AJ739,AL739,AN739)</f>
        <v>0</v>
      </c>
      <c r="AT739" s="67" t="str">
        <f>IF(C739="","",DATE(YEAR(C739),MONTH(C739),1))</f>
        <v/>
      </c>
      <c r="AU739" s="66" t="str">
        <f>IF(AT739="","",TEXT(AT739,"mmmm yyyy"))</f>
        <v/>
      </c>
      <c r="AV739" s="67" t="str">
        <f>IF(C739="","",C739-WEEKDAY(C739,2)+1)</f>
        <v/>
      </c>
      <c r="AW739" s="67" t="str">
        <f>IF(AV739="","",AV739+6)</f>
        <v/>
      </c>
      <c r="AX739" s="66" t="str">
        <f>IF(AV739="","",TEXT(AV739,"dd/mm/yyyy")&amp;" - "&amp;TEXT(AW739,"dd/mm/yyyy"))</f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>IF(B739="","",TEXT(AY739,"00")&amp;"|"&amp;B739&amp;"|"&amp;TEXT(AT739,"yyyymmdd"))</f>
        <v/>
      </c>
      <c r="BB739" s="66" t="str">
        <f>IF(B739="","",TEXT(AZ739,"00")&amp;"|"&amp;B739&amp;"|"&amp;TEXT(AV739,"yyyymmdd"))</f>
        <v/>
      </c>
      <c r="BC739" s="66">
        <f>IF(OR(AQ739="YES",AQ739="Yes",AQ739="Y",AQ739=1),1,0)</f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17">
        <f>SUM(H740,J740,L740,N740,P740,R740,T740,V740,X740,Z740,AB740,AD740,AF740,AH740,AJ740,AL740,AN740)</f>
        <v>0</v>
      </c>
      <c r="AT740" s="67" t="str">
        <f>IF(C740="","",DATE(YEAR(C740),MONTH(C740),1))</f>
        <v/>
      </c>
      <c r="AU740" s="66" t="str">
        <f>IF(AT740="","",TEXT(AT740,"mmmm yyyy"))</f>
        <v/>
      </c>
      <c r="AV740" s="67" t="str">
        <f>IF(C740="","",C740-WEEKDAY(C740,2)+1)</f>
        <v/>
      </c>
      <c r="AW740" s="67" t="str">
        <f>IF(AV740="","",AV740+6)</f>
        <v/>
      </c>
      <c r="AX740" s="66" t="str">
        <f>IF(AV740="","",TEXT(AV740,"dd/mm/yyyy")&amp;" - "&amp;TEXT(AW740,"dd/mm/yyyy"))</f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>IF(B740="","",TEXT(AY740,"00")&amp;"|"&amp;B740&amp;"|"&amp;TEXT(AT740,"yyyymmdd"))</f>
        <v/>
      </c>
      <c r="BB740" s="66" t="str">
        <f>IF(B740="","",TEXT(AZ740,"00")&amp;"|"&amp;B740&amp;"|"&amp;TEXT(AV740,"yyyymmdd"))</f>
        <v/>
      </c>
      <c r="BC740" s="66">
        <f>IF(OR(AQ740="YES",AQ740="Yes",AQ740="Y",AQ740=1),1,0)</f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17">
        <f>SUM(H741,J741,L741,N741,P741,R741,T741,V741,X741,Z741,AB741,AD741,AF741,AH741,AJ741,AL741,AN741)</f>
        <v>0</v>
      </c>
      <c r="AT741" s="67" t="str">
        <f>IF(C741="","",DATE(YEAR(C741),MONTH(C741),1))</f>
        <v/>
      </c>
      <c r="AU741" s="66" t="str">
        <f>IF(AT741="","",TEXT(AT741,"mmmm yyyy"))</f>
        <v/>
      </c>
      <c r="AV741" s="67" t="str">
        <f>IF(C741="","",C741-WEEKDAY(C741,2)+1)</f>
        <v/>
      </c>
      <c r="AW741" s="67" t="str">
        <f>IF(AV741="","",AV741+6)</f>
        <v/>
      </c>
      <c r="AX741" s="66" t="str">
        <f>IF(AV741="","",TEXT(AV741,"dd/mm/yyyy")&amp;" - "&amp;TEXT(AW741,"dd/mm/yyyy"))</f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>IF(B741="","",TEXT(AY741,"00")&amp;"|"&amp;B741&amp;"|"&amp;TEXT(AT741,"yyyymmdd"))</f>
        <v/>
      </c>
      <c r="BB741" s="66" t="str">
        <f>IF(B741="","",TEXT(AZ741,"00")&amp;"|"&amp;B741&amp;"|"&amp;TEXT(AV741,"yyyymmdd"))</f>
        <v/>
      </c>
      <c r="BC741" s="66">
        <f>IF(OR(AQ741="YES",AQ741="Yes",AQ741="Y",AQ741=1),1,0)</f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17">
        <f>SUM(H742,J742,L742,N742,P742,R742,T742,V742,X742,Z742,AB742,AD742,AF742,AH742,AJ742,AL742,AN742)</f>
        <v>0</v>
      </c>
      <c r="AT742" s="67" t="str">
        <f>IF(C742="","",DATE(YEAR(C742),MONTH(C742),1))</f>
        <v/>
      </c>
      <c r="AU742" s="66" t="str">
        <f>IF(AT742="","",TEXT(AT742,"mmmm yyyy"))</f>
        <v/>
      </c>
      <c r="AV742" s="67" t="str">
        <f>IF(C742="","",C742-WEEKDAY(C742,2)+1)</f>
        <v/>
      </c>
      <c r="AW742" s="67" t="str">
        <f>IF(AV742="","",AV742+6)</f>
        <v/>
      </c>
      <c r="AX742" s="66" t="str">
        <f>IF(AV742="","",TEXT(AV742,"dd/mm/yyyy")&amp;" - "&amp;TEXT(AW742,"dd/mm/yyyy"))</f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>IF(B742="","",TEXT(AY742,"00")&amp;"|"&amp;B742&amp;"|"&amp;TEXT(AT742,"yyyymmdd"))</f>
        <v/>
      </c>
      <c r="BB742" s="66" t="str">
        <f>IF(B742="","",TEXT(AZ742,"00")&amp;"|"&amp;B742&amp;"|"&amp;TEXT(AV742,"yyyymmdd"))</f>
        <v/>
      </c>
      <c r="BC742" s="66">
        <f>IF(OR(AQ742="YES",AQ742="Yes",AQ742="Y",AQ742=1),1,0)</f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17">
        <f>SUM(H743,J743,L743,N743,P743,R743,T743,V743,X743,Z743,AB743,AD743,AF743,AH743,AJ743,AL743,AN743)</f>
        <v>0</v>
      </c>
      <c r="AT743" s="67" t="str">
        <f>IF(C743="","",DATE(YEAR(C743),MONTH(C743),1))</f>
        <v/>
      </c>
      <c r="AU743" s="66" t="str">
        <f>IF(AT743="","",TEXT(AT743,"mmmm yyyy"))</f>
        <v/>
      </c>
      <c r="AV743" s="67" t="str">
        <f>IF(C743="","",C743-WEEKDAY(C743,2)+1)</f>
        <v/>
      </c>
      <c r="AW743" s="67" t="str">
        <f>IF(AV743="","",AV743+6)</f>
        <v/>
      </c>
      <c r="AX743" s="66" t="str">
        <f>IF(AV743="","",TEXT(AV743,"dd/mm/yyyy")&amp;" - "&amp;TEXT(AW743,"dd/mm/yyyy"))</f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>IF(B743="","",TEXT(AY743,"00")&amp;"|"&amp;B743&amp;"|"&amp;TEXT(AT743,"yyyymmdd"))</f>
        <v/>
      </c>
      <c r="BB743" s="66" t="str">
        <f>IF(B743="","",TEXT(AZ743,"00")&amp;"|"&amp;B743&amp;"|"&amp;TEXT(AV743,"yyyymmdd"))</f>
        <v/>
      </c>
      <c r="BC743" s="66">
        <f>IF(OR(AQ743="YES",AQ743="Yes",AQ743="Y",AQ743=1),1,0)</f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17">
        <f>SUM(H744,J744,L744,N744,P744,R744,T744,V744,X744,Z744,AB744,AD744,AF744,AH744,AJ744,AL744,AN744)</f>
        <v>0</v>
      </c>
      <c r="AT744" s="67" t="str">
        <f>IF(C744="","",DATE(YEAR(C744),MONTH(C744),1))</f>
        <v/>
      </c>
      <c r="AU744" s="66" t="str">
        <f>IF(AT744="","",TEXT(AT744,"mmmm yyyy"))</f>
        <v/>
      </c>
      <c r="AV744" s="67" t="str">
        <f>IF(C744="","",C744-WEEKDAY(C744,2)+1)</f>
        <v/>
      </c>
      <c r="AW744" s="67" t="str">
        <f>IF(AV744="","",AV744+6)</f>
        <v/>
      </c>
      <c r="AX744" s="66" t="str">
        <f>IF(AV744="","",TEXT(AV744,"dd/mm/yyyy")&amp;" - "&amp;TEXT(AW744,"dd/mm/yyyy"))</f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>IF(B744="","",TEXT(AY744,"00")&amp;"|"&amp;B744&amp;"|"&amp;TEXT(AT744,"yyyymmdd"))</f>
        <v/>
      </c>
      <c r="BB744" s="66" t="str">
        <f>IF(B744="","",TEXT(AZ744,"00")&amp;"|"&amp;B744&amp;"|"&amp;TEXT(AV744,"yyyymmdd"))</f>
        <v/>
      </c>
      <c r="BC744" s="66">
        <f>IF(OR(AQ744="YES",AQ744="Yes",AQ744="Y",AQ744=1),1,0)</f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17">
        <f>SUM(H745,J745,L745,N745,P745,R745,T745,V745,X745,Z745,AB745,AD745,AF745,AH745,AJ745,AL745,AN745)</f>
        <v>0</v>
      </c>
      <c r="AT745" s="67" t="str">
        <f>IF(C745="","",DATE(YEAR(C745),MONTH(C745),1))</f>
        <v/>
      </c>
      <c r="AU745" s="66" t="str">
        <f>IF(AT745="","",TEXT(AT745,"mmmm yyyy"))</f>
        <v/>
      </c>
      <c r="AV745" s="67" t="str">
        <f>IF(C745="","",C745-WEEKDAY(C745,2)+1)</f>
        <v/>
      </c>
      <c r="AW745" s="67" t="str">
        <f>IF(AV745="","",AV745+6)</f>
        <v/>
      </c>
      <c r="AX745" s="66" t="str">
        <f>IF(AV745="","",TEXT(AV745,"dd/mm/yyyy")&amp;" - "&amp;TEXT(AW745,"dd/mm/yyyy"))</f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>IF(B745="","",TEXT(AY745,"00")&amp;"|"&amp;B745&amp;"|"&amp;TEXT(AT745,"yyyymmdd"))</f>
        <v/>
      </c>
      <c r="BB745" s="66" t="str">
        <f>IF(B745="","",TEXT(AZ745,"00")&amp;"|"&amp;B745&amp;"|"&amp;TEXT(AV745,"yyyymmdd"))</f>
        <v/>
      </c>
      <c r="BC745" s="66">
        <f>IF(OR(AQ745="YES",AQ745="Yes",AQ745="Y",AQ745=1),1,0)</f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17">
        <f>SUM(H746,J746,L746,N746,P746,R746,T746,V746,X746,Z746,AB746,AD746,AF746,AH746,AJ746,AL746,AN746)</f>
        <v>0</v>
      </c>
      <c r="AT746" s="67" t="str">
        <f>IF(C746="","",DATE(YEAR(C746),MONTH(C746),1))</f>
        <v/>
      </c>
      <c r="AU746" s="66" t="str">
        <f>IF(AT746="","",TEXT(AT746,"mmmm yyyy"))</f>
        <v/>
      </c>
      <c r="AV746" s="67" t="str">
        <f>IF(C746="","",C746-WEEKDAY(C746,2)+1)</f>
        <v/>
      </c>
      <c r="AW746" s="67" t="str">
        <f>IF(AV746="","",AV746+6)</f>
        <v/>
      </c>
      <c r="AX746" s="66" t="str">
        <f>IF(AV746="","",TEXT(AV746,"dd/mm/yyyy")&amp;" - "&amp;TEXT(AW746,"dd/mm/yyyy"))</f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>IF(B746="","",TEXT(AY746,"00")&amp;"|"&amp;B746&amp;"|"&amp;TEXT(AT746,"yyyymmdd"))</f>
        <v/>
      </c>
      <c r="BB746" s="66" t="str">
        <f>IF(B746="","",TEXT(AZ746,"00")&amp;"|"&amp;B746&amp;"|"&amp;TEXT(AV746,"yyyymmdd"))</f>
        <v/>
      </c>
      <c r="BC746" s="66">
        <f>IF(OR(AQ746="YES",AQ746="Yes",AQ746="Y",AQ746=1),1,0)</f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17">
        <f>SUM(H747,J747,L747,N747,P747,R747,T747,V747,X747,Z747,AB747,AD747,AF747,AH747,AJ747,AL747,AN747)</f>
        <v>0</v>
      </c>
      <c r="AT747" s="67" t="str">
        <f>IF(C747="","",DATE(YEAR(C747),MONTH(C747),1))</f>
        <v/>
      </c>
      <c r="AU747" s="66" t="str">
        <f>IF(AT747="","",TEXT(AT747,"mmmm yyyy"))</f>
        <v/>
      </c>
      <c r="AV747" s="67" t="str">
        <f>IF(C747="","",C747-WEEKDAY(C747,2)+1)</f>
        <v/>
      </c>
      <c r="AW747" s="67" t="str">
        <f>IF(AV747="","",AV747+6)</f>
        <v/>
      </c>
      <c r="AX747" s="66" t="str">
        <f>IF(AV747="","",TEXT(AV747,"dd/mm/yyyy")&amp;" - "&amp;TEXT(AW747,"dd/mm/yyyy"))</f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>IF(B747="","",TEXT(AY747,"00")&amp;"|"&amp;B747&amp;"|"&amp;TEXT(AT747,"yyyymmdd"))</f>
        <v/>
      </c>
      <c r="BB747" s="66" t="str">
        <f>IF(B747="","",TEXT(AZ747,"00")&amp;"|"&amp;B747&amp;"|"&amp;TEXT(AV747,"yyyymmdd"))</f>
        <v/>
      </c>
      <c r="BC747" s="66">
        <f>IF(OR(AQ747="YES",AQ747="Yes",AQ747="Y",AQ747=1),1,0)</f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17">
        <f>SUM(H748,J748,L748,N748,P748,R748,T748,V748,X748,Z748,AB748,AD748,AF748,AH748,AJ748,AL748,AN748)</f>
        <v>0</v>
      </c>
      <c r="AT748" s="67" t="str">
        <f>IF(C748="","",DATE(YEAR(C748),MONTH(C748),1))</f>
        <v/>
      </c>
      <c r="AU748" s="66" t="str">
        <f>IF(AT748="","",TEXT(AT748,"mmmm yyyy"))</f>
        <v/>
      </c>
      <c r="AV748" s="67" t="str">
        <f>IF(C748="","",C748-WEEKDAY(C748,2)+1)</f>
        <v/>
      </c>
      <c r="AW748" s="67" t="str">
        <f>IF(AV748="","",AV748+6)</f>
        <v/>
      </c>
      <c r="AX748" s="66" t="str">
        <f>IF(AV748="","",TEXT(AV748,"dd/mm/yyyy")&amp;" - "&amp;TEXT(AW748,"dd/mm/yyyy"))</f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>IF(B748="","",TEXT(AY748,"00")&amp;"|"&amp;B748&amp;"|"&amp;TEXT(AT748,"yyyymmdd"))</f>
        <v/>
      </c>
      <c r="BB748" s="66" t="str">
        <f>IF(B748="","",TEXT(AZ748,"00")&amp;"|"&amp;B748&amp;"|"&amp;TEXT(AV748,"yyyymmdd"))</f>
        <v/>
      </c>
      <c r="BC748" s="66">
        <f>IF(OR(AQ748="YES",AQ748="Yes",AQ748="Y",AQ748=1),1,0)</f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17">
        <f>SUM(H749,J749,L749,N749,P749,R749,T749,V749,X749,Z749,AB749,AD749,AF749,AH749,AJ749,AL749,AN749)</f>
        <v>0</v>
      </c>
      <c r="AT749" s="67" t="str">
        <f>IF(C749="","",DATE(YEAR(C749),MONTH(C749),1))</f>
        <v/>
      </c>
      <c r="AU749" s="66" t="str">
        <f>IF(AT749="","",TEXT(AT749,"mmmm yyyy"))</f>
        <v/>
      </c>
      <c r="AV749" s="67" t="str">
        <f>IF(C749="","",C749-WEEKDAY(C749,2)+1)</f>
        <v/>
      </c>
      <c r="AW749" s="67" t="str">
        <f>IF(AV749="","",AV749+6)</f>
        <v/>
      </c>
      <c r="AX749" s="66" t="str">
        <f>IF(AV749="","",TEXT(AV749,"dd/mm/yyyy")&amp;" - "&amp;TEXT(AW749,"dd/mm/yyyy"))</f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>IF(B749="","",TEXT(AY749,"00")&amp;"|"&amp;B749&amp;"|"&amp;TEXT(AT749,"yyyymmdd"))</f>
        <v/>
      </c>
      <c r="BB749" s="66" t="str">
        <f>IF(B749="","",TEXT(AZ749,"00")&amp;"|"&amp;B749&amp;"|"&amp;TEXT(AV749,"yyyymmdd"))</f>
        <v/>
      </c>
      <c r="BC749" s="66">
        <f>IF(OR(AQ749="YES",AQ749="Yes",AQ749="Y",AQ749=1),1,0)</f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17">
        <f>SUM(H750,J750,L750,N750,P750,R750,T750,V750,X750,Z750,AB750,AD750,AF750,AH750,AJ750,AL750,AN750)</f>
        <v>0</v>
      </c>
      <c r="AT750" s="67" t="str">
        <f>IF(C750="","",DATE(YEAR(C750),MONTH(C750),1))</f>
        <v/>
      </c>
      <c r="AU750" s="66" t="str">
        <f>IF(AT750="","",TEXT(AT750,"mmmm yyyy"))</f>
        <v/>
      </c>
      <c r="AV750" s="67" t="str">
        <f>IF(C750="","",C750-WEEKDAY(C750,2)+1)</f>
        <v/>
      </c>
      <c r="AW750" s="67" t="str">
        <f>IF(AV750="","",AV750+6)</f>
        <v/>
      </c>
      <c r="AX750" s="66" t="str">
        <f>IF(AV750="","",TEXT(AV750,"dd/mm/yyyy")&amp;" - "&amp;TEXT(AW750,"dd/mm/yyyy"))</f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>IF(B750="","",TEXT(AY750,"00")&amp;"|"&amp;B750&amp;"|"&amp;TEXT(AT750,"yyyymmdd"))</f>
        <v/>
      </c>
      <c r="BB750" s="66" t="str">
        <f>IF(B750="","",TEXT(AZ750,"00")&amp;"|"&amp;B750&amp;"|"&amp;TEXT(AV750,"yyyymmdd"))</f>
        <v/>
      </c>
      <c r="BC750" s="66">
        <f>IF(OR(AQ750="YES",AQ750="Yes",AQ750="Y",AQ750=1),1,0)</f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17">
        <f>SUM(H751,J751,L751,N751,P751,R751,T751,V751,X751,Z751,AB751,AD751,AF751,AH751,AJ751,AL751,AN751)</f>
        <v>0</v>
      </c>
      <c r="AT751" s="67" t="str">
        <f>IF(C751="","",DATE(YEAR(C751),MONTH(C751),1))</f>
        <v/>
      </c>
      <c r="AU751" s="66" t="str">
        <f>IF(AT751="","",TEXT(AT751,"mmmm yyyy"))</f>
        <v/>
      </c>
      <c r="AV751" s="67" t="str">
        <f>IF(C751="","",C751-WEEKDAY(C751,2)+1)</f>
        <v/>
      </c>
      <c r="AW751" s="67" t="str">
        <f>IF(AV751="","",AV751+6)</f>
        <v/>
      </c>
      <c r="AX751" s="66" t="str">
        <f>IF(AV751="","",TEXT(AV751,"dd/mm/yyyy")&amp;" - "&amp;TEXT(AW751,"dd/mm/yyyy"))</f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>IF(B751="","",TEXT(AY751,"00")&amp;"|"&amp;B751&amp;"|"&amp;TEXT(AT751,"yyyymmdd"))</f>
        <v/>
      </c>
      <c r="BB751" s="66" t="str">
        <f>IF(B751="","",TEXT(AZ751,"00")&amp;"|"&amp;B751&amp;"|"&amp;TEXT(AV751,"yyyymmdd"))</f>
        <v/>
      </c>
      <c r="BC751" s="66">
        <f>IF(OR(AQ751="YES",AQ751="Yes",AQ751="Y",AQ751=1),1,0)</f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17">
        <f>SUM(H752,J752,L752,N752,P752,R752,T752,V752,X752,Z752,AB752,AD752,AF752,AH752,AJ752,AL752,AN752)</f>
        <v>0</v>
      </c>
      <c r="AT752" s="67" t="str">
        <f>IF(C752="","",DATE(YEAR(C752),MONTH(C752),1))</f>
        <v/>
      </c>
      <c r="AU752" s="66" t="str">
        <f>IF(AT752="","",TEXT(AT752,"mmmm yyyy"))</f>
        <v/>
      </c>
      <c r="AV752" s="67" t="str">
        <f>IF(C752="","",C752-WEEKDAY(C752,2)+1)</f>
        <v/>
      </c>
      <c r="AW752" s="67" t="str">
        <f>IF(AV752="","",AV752+6)</f>
        <v/>
      </c>
      <c r="AX752" s="66" t="str">
        <f>IF(AV752="","",TEXT(AV752,"dd/mm/yyyy")&amp;" - "&amp;TEXT(AW752,"dd/mm/yyyy"))</f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>IF(B752="","",TEXT(AY752,"00")&amp;"|"&amp;B752&amp;"|"&amp;TEXT(AT752,"yyyymmdd"))</f>
        <v/>
      </c>
      <c r="BB752" s="66" t="str">
        <f>IF(B752="","",TEXT(AZ752,"00")&amp;"|"&amp;B752&amp;"|"&amp;TEXT(AV752,"yyyymmdd"))</f>
        <v/>
      </c>
      <c r="BC752" s="66">
        <f>IF(OR(AQ752="YES",AQ752="Yes",AQ752="Y",AQ752=1),1,0)</f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17">
        <f>SUM(H753,J753,L753,N753,P753,R753,T753,V753,X753,Z753,AB753,AD753,AF753,AH753,AJ753,AL753,AN753)</f>
        <v>0</v>
      </c>
      <c r="AT753" s="67" t="str">
        <f>IF(C753="","",DATE(YEAR(C753),MONTH(C753),1))</f>
        <v/>
      </c>
      <c r="AU753" s="66" t="str">
        <f>IF(AT753="","",TEXT(AT753,"mmmm yyyy"))</f>
        <v/>
      </c>
      <c r="AV753" s="67" t="str">
        <f>IF(C753="","",C753-WEEKDAY(C753,2)+1)</f>
        <v/>
      </c>
      <c r="AW753" s="67" t="str">
        <f>IF(AV753="","",AV753+6)</f>
        <v/>
      </c>
      <c r="AX753" s="66" t="str">
        <f>IF(AV753="","",TEXT(AV753,"dd/mm/yyyy")&amp;" - "&amp;TEXT(AW753,"dd/mm/yyyy"))</f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>IF(B753="","",TEXT(AY753,"00")&amp;"|"&amp;B753&amp;"|"&amp;TEXT(AT753,"yyyymmdd"))</f>
        <v/>
      </c>
      <c r="BB753" s="66" t="str">
        <f>IF(B753="","",TEXT(AZ753,"00")&amp;"|"&amp;B753&amp;"|"&amp;TEXT(AV753,"yyyymmdd"))</f>
        <v/>
      </c>
      <c r="BC753" s="66">
        <f>IF(OR(AQ753="YES",AQ753="Yes",AQ753="Y",AQ753=1),1,0)</f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17">
        <f>SUM(H754,J754,L754,N754,P754,R754,T754,V754,X754,Z754,AB754,AD754,AF754,AH754,AJ754,AL754,AN754)</f>
        <v>0</v>
      </c>
      <c r="AT754" s="67" t="str">
        <f>IF(C754="","",DATE(YEAR(C754),MONTH(C754),1))</f>
        <v/>
      </c>
      <c r="AU754" s="66" t="str">
        <f>IF(AT754="","",TEXT(AT754,"mmmm yyyy"))</f>
        <v/>
      </c>
      <c r="AV754" s="67" t="str">
        <f>IF(C754="","",C754-WEEKDAY(C754,2)+1)</f>
        <v/>
      </c>
      <c r="AW754" s="67" t="str">
        <f>IF(AV754="","",AV754+6)</f>
        <v/>
      </c>
      <c r="AX754" s="66" t="str">
        <f>IF(AV754="","",TEXT(AV754,"dd/mm/yyyy")&amp;" - "&amp;TEXT(AW754,"dd/mm/yyyy"))</f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>IF(B754="","",TEXT(AY754,"00")&amp;"|"&amp;B754&amp;"|"&amp;TEXT(AT754,"yyyymmdd"))</f>
        <v/>
      </c>
      <c r="BB754" s="66" t="str">
        <f>IF(B754="","",TEXT(AZ754,"00")&amp;"|"&amp;B754&amp;"|"&amp;TEXT(AV754,"yyyymmdd"))</f>
        <v/>
      </c>
      <c r="BC754" s="66">
        <f>IF(OR(AQ754="YES",AQ754="Yes",AQ754="Y",AQ754=1),1,0)</f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17">
        <f>SUM(H755,J755,L755,N755,P755,R755,T755,V755,X755,Z755,AB755,AD755,AF755,AH755,AJ755,AL755,AN755)</f>
        <v>0</v>
      </c>
      <c r="AT755" s="67" t="str">
        <f>IF(C755="","",DATE(YEAR(C755),MONTH(C755),1))</f>
        <v/>
      </c>
      <c r="AU755" s="66" t="str">
        <f>IF(AT755="","",TEXT(AT755,"mmmm yyyy"))</f>
        <v/>
      </c>
      <c r="AV755" s="67" t="str">
        <f>IF(C755="","",C755-WEEKDAY(C755,2)+1)</f>
        <v/>
      </c>
      <c r="AW755" s="67" t="str">
        <f>IF(AV755="","",AV755+6)</f>
        <v/>
      </c>
      <c r="AX755" s="66" t="str">
        <f>IF(AV755="","",TEXT(AV755,"dd/mm/yyyy")&amp;" - "&amp;TEXT(AW755,"dd/mm/yyyy"))</f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>IF(B755="","",TEXT(AY755,"00")&amp;"|"&amp;B755&amp;"|"&amp;TEXT(AT755,"yyyymmdd"))</f>
        <v/>
      </c>
      <c r="BB755" s="66" t="str">
        <f>IF(B755="","",TEXT(AZ755,"00")&amp;"|"&amp;B755&amp;"|"&amp;TEXT(AV755,"yyyymmdd"))</f>
        <v/>
      </c>
      <c r="BC755" s="66">
        <f>IF(OR(AQ755="YES",AQ755="Yes",AQ755="Y",AQ755=1),1,0)</f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17">
        <f>SUM(H756,J756,L756,N756,P756,R756,T756,V756,X756,Z756,AB756,AD756,AF756,AH756,AJ756,AL756,AN756)</f>
        <v>0</v>
      </c>
      <c r="AT756" s="67" t="str">
        <f>IF(C756="","",DATE(YEAR(C756),MONTH(C756),1))</f>
        <v/>
      </c>
      <c r="AU756" s="66" t="str">
        <f>IF(AT756="","",TEXT(AT756,"mmmm yyyy"))</f>
        <v/>
      </c>
      <c r="AV756" s="67" t="str">
        <f>IF(C756="","",C756-WEEKDAY(C756,2)+1)</f>
        <v/>
      </c>
      <c r="AW756" s="67" t="str">
        <f>IF(AV756="","",AV756+6)</f>
        <v/>
      </c>
      <c r="AX756" s="66" t="str">
        <f>IF(AV756="","",TEXT(AV756,"dd/mm/yyyy")&amp;" - "&amp;TEXT(AW756,"dd/mm/yyyy"))</f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>IF(B756="","",TEXT(AY756,"00")&amp;"|"&amp;B756&amp;"|"&amp;TEXT(AT756,"yyyymmdd"))</f>
        <v/>
      </c>
      <c r="BB756" s="66" t="str">
        <f>IF(B756="","",TEXT(AZ756,"00")&amp;"|"&amp;B756&amp;"|"&amp;TEXT(AV756,"yyyymmdd"))</f>
        <v/>
      </c>
      <c r="BC756" s="66">
        <f>IF(OR(AQ756="YES",AQ756="Yes",AQ756="Y",AQ756=1),1,0)</f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17">
        <f>SUM(H757,J757,L757,N757,P757,R757,T757,V757,X757,Z757,AB757,AD757,AF757,AH757,AJ757,AL757,AN757)</f>
        <v>0</v>
      </c>
      <c r="AT757" s="67" t="str">
        <f>IF(C757="","",DATE(YEAR(C757),MONTH(C757),1))</f>
        <v/>
      </c>
      <c r="AU757" s="66" t="str">
        <f>IF(AT757="","",TEXT(AT757,"mmmm yyyy"))</f>
        <v/>
      </c>
      <c r="AV757" s="67" t="str">
        <f>IF(C757="","",C757-WEEKDAY(C757,2)+1)</f>
        <v/>
      </c>
      <c r="AW757" s="67" t="str">
        <f>IF(AV757="","",AV757+6)</f>
        <v/>
      </c>
      <c r="AX757" s="66" t="str">
        <f>IF(AV757="","",TEXT(AV757,"dd/mm/yyyy")&amp;" - "&amp;TEXT(AW757,"dd/mm/yyyy"))</f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>IF(B757="","",TEXT(AY757,"00")&amp;"|"&amp;B757&amp;"|"&amp;TEXT(AT757,"yyyymmdd"))</f>
        <v/>
      </c>
      <c r="BB757" s="66" t="str">
        <f>IF(B757="","",TEXT(AZ757,"00")&amp;"|"&amp;B757&amp;"|"&amp;TEXT(AV757,"yyyymmdd"))</f>
        <v/>
      </c>
      <c r="BC757" s="66">
        <f>IF(OR(AQ757="YES",AQ757="Yes",AQ757="Y",AQ757=1),1,0)</f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17">
        <f>SUM(H758,J758,L758,N758,P758,R758,T758,V758,X758,Z758,AB758,AD758,AF758,AH758,AJ758,AL758,AN758)</f>
        <v>0</v>
      </c>
      <c r="AT758" s="67" t="str">
        <f>IF(C758="","",DATE(YEAR(C758),MONTH(C758),1))</f>
        <v/>
      </c>
      <c r="AU758" s="66" t="str">
        <f>IF(AT758="","",TEXT(AT758,"mmmm yyyy"))</f>
        <v/>
      </c>
      <c r="AV758" s="67" t="str">
        <f>IF(C758="","",C758-WEEKDAY(C758,2)+1)</f>
        <v/>
      </c>
      <c r="AW758" s="67" t="str">
        <f>IF(AV758="","",AV758+6)</f>
        <v/>
      </c>
      <c r="AX758" s="66" t="str">
        <f>IF(AV758="","",TEXT(AV758,"dd/mm/yyyy")&amp;" - "&amp;TEXT(AW758,"dd/mm/yyyy"))</f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>IF(B758="","",TEXT(AY758,"00")&amp;"|"&amp;B758&amp;"|"&amp;TEXT(AT758,"yyyymmdd"))</f>
        <v/>
      </c>
      <c r="BB758" s="66" t="str">
        <f>IF(B758="","",TEXT(AZ758,"00")&amp;"|"&amp;B758&amp;"|"&amp;TEXT(AV758,"yyyymmdd"))</f>
        <v/>
      </c>
      <c r="BC758" s="66">
        <f>IF(OR(AQ758="YES",AQ758="Yes",AQ758="Y",AQ758=1),1,0)</f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17">
        <f>SUM(H759,J759,L759,N759,P759,R759,T759,V759,X759,Z759,AB759,AD759,AF759,AH759,AJ759,AL759,AN759)</f>
        <v>0</v>
      </c>
      <c r="AT759" s="67" t="str">
        <f>IF(C759="","",DATE(YEAR(C759),MONTH(C759),1))</f>
        <v/>
      </c>
      <c r="AU759" s="66" t="str">
        <f>IF(AT759="","",TEXT(AT759,"mmmm yyyy"))</f>
        <v/>
      </c>
      <c r="AV759" s="67" t="str">
        <f>IF(C759="","",C759-WEEKDAY(C759,2)+1)</f>
        <v/>
      </c>
      <c r="AW759" s="67" t="str">
        <f>IF(AV759="","",AV759+6)</f>
        <v/>
      </c>
      <c r="AX759" s="66" t="str">
        <f>IF(AV759="","",TEXT(AV759,"dd/mm/yyyy")&amp;" - "&amp;TEXT(AW759,"dd/mm/yyyy"))</f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>IF(B759="","",TEXT(AY759,"00")&amp;"|"&amp;B759&amp;"|"&amp;TEXT(AT759,"yyyymmdd"))</f>
        <v/>
      </c>
      <c r="BB759" s="66" t="str">
        <f>IF(B759="","",TEXT(AZ759,"00")&amp;"|"&amp;B759&amp;"|"&amp;TEXT(AV759,"yyyymmdd"))</f>
        <v/>
      </c>
      <c r="BC759" s="66">
        <f>IF(OR(AQ759="YES",AQ759="Yes",AQ759="Y",AQ759=1),1,0)</f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17">
        <f>SUM(H760,J760,L760,N760,P760,R760,T760,V760,X760,Z760,AB760,AD760,AF760,AH760,AJ760,AL760,AN760)</f>
        <v>0</v>
      </c>
      <c r="AT760" s="67" t="str">
        <f>IF(C760="","",DATE(YEAR(C760),MONTH(C760),1))</f>
        <v/>
      </c>
      <c r="AU760" s="66" t="str">
        <f>IF(AT760="","",TEXT(AT760,"mmmm yyyy"))</f>
        <v/>
      </c>
      <c r="AV760" s="67" t="str">
        <f>IF(C760="","",C760-WEEKDAY(C760,2)+1)</f>
        <v/>
      </c>
      <c r="AW760" s="67" t="str">
        <f>IF(AV760="","",AV760+6)</f>
        <v/>
      </c>
      <c r="AX760" s="66" t="str">
        <f>IF(AV760="","",TEXT(AV760,"dd/mm/yyyy")&amp;" - "&amp;TEXT(AW760,"dd/mm/yyyy"))</f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>IF(B760="","",TEXT(AY760,"00")&amp;"|"&amp;B760&amp;"|"&amp;TEXT(AT760,"yyyymmdd"))</f>
        <v/>
      </c>
      <c r="BB760" s="66" t="str">
        <f>IF(B760="","",TEXT(AZ760,"00")&amp;"|"&amp;B760&amp;"|"&amp;TEXT(AV760,"yyyymmdd"))</f>
        <v/>
      </c>
      <c r="BC760" s="66">
        <f>IF(OR(AQ760="YES",AQ760="Yes",AQ760="Y",AQ760=1),1,0)</f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17">
        <f>SUM(H761,J761,L761,N761,P761,R761,T761,V761,X761,Z761,AB761,AD761,AF761,AH761,AJ761,AL761,AN761)</f>
        <v>0</v>
      </c>
      <c r="AT761" s="67" t="str">
        <f>IF(C761="","",DATE(YEAR(C761),MONTH(C761),1))</f>
        <v/>
      </c>
      <c r="AU761" s="66" t="str">
        <f>IF(AT761="","",TEXT(AT761,"mmmm yyyy"))</f>
        <v/>
      </c>
      <c r="AV761" s="67" t="str">
        <f>IF(C761="","",C761-WEEKDAY(C761,2)+1)</f>
        <v/>
      </c>
      <c r="AW761" s="67" t="str">
        <f>IF(AV761="","",AV761+6)</f>
        <v/>
      </c>
      <c r="AX761" s="66" t="str">
        <f>IF(AV761="","",TEXT(AV761,"dd/mm/yyyy")&amp;" - "&amp;TEXT(AW761,"dd/mm/yyyy"))</f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>IF(B761="","",TEXT(AY761,"00")&amp;"|"&amp;B761&amp;"|"&amp;TEXT(AT761,"yyyymmdd"))</f>
        <v/>
      </c>
      <c r="BB761" s="66" t="str">
        <f>IF(B761="","",TEXT(AZ761,"00")&amp;"|"&amp;B761&amp;"|"&amp;TEXT(AV761,"yyyymmdd"))</f>
        <v/>
      </c>
      <c r="BC761" s="66">
        <f>IF(OR(AQ761="YES",AQ761="Yes",AQ761="Y",AQ761=1),1,0)</f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17">
        <f>SUM(H762,J762,L762,N762,P762,R762,T762,V762,X762,Z762,AB762,AD762,AF762,AH762,AJ762,AL762,AN762)</f>
        <v>0</v>
      </c>
      <c r="AT762" s="67" t="str">
        <f>IF(C762="","",DATE(YEAR(C762),MONTH(C762),1))</f>
        <v/>
      </c>
      <c r="AU762" s="66" t="str">
        <f>IF(AT762="","",TEXT(AT762,"mmmm yyyy"))</f>
        <v/>
      </c>
      <c r="AV762" s="67" t="str">
        <f>IF(C762="","",C762-WEEKDAY(C762,2)+1)</f>
        <v/>
      </c>
      <c r="AW762" s="67" t="str">
        <f>IF(AV762="","",AV762+6)</f>
        <v/>
      </c>
      <c r="AX762" s="66" t="str">
        <f>IF(AV762="","",TEXT(AV762,"dd/mm/yyyy")&amp;" - "&amp;TEXT(AW762,"dd/mm/yyyy"))</f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>IF(B762="","",TEXT(AY762,"00")&amp;"|"&amp;B762&amp;"|"&amp;TEXT(AT762,"yyyymmdd"))</f>
        <v/>
      </c>
      <c r="BB762" s="66" t="str">
        <f>IF(B762="","",TEXT(AZ762,"00")&amp;"|"&amp;B762&amp;"|"&amp;TEXT(AV762,"yyyymmdd"))</f>
        <v/>
      </c>
      <c r="BC762" s="66">
        <f>IF(OR(AQ762="YES",AQ762="Yes",AQ762="Y",AQ762=1),1,0)</f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17">
        <f>SUM(H763,J763,L763,N763,P763,R763,T763,V763,X763,Z763,AB763,AD763,AF763,AH763,AJ763,AL763,AN763)</f>
        <v>0</v>
      </c>
      <c r="AT763" s="67" t="str">
        <f>IF(C763="","",DATE(YEAR(C763),MONTH(C763),1))</f>
        <v/>
      </c>
      <c r="AU763" s="66" t="str">
        <f>IF(AT763="","",TEXT(AT763,"mmmm yyyy"))</f>
        <v/>
      </c>
      <c r="AV763" s="67" t="str">
        <f>IF(C763="","",C763-WEEKDAY(C763,2)+1)</f>
        <v/>
      </c>
      <c r="AW763" s="67" t="str">
        <f>IF(AV763="","",AV763+6)</f>
        <v/>
      </c>
      <c r="AX763" s="66" t="str">
        <f>IF(AV763="","",TEXT(AV763,"dd/mm/yyyy")&amp;" - "&amp;TEXT(AW763,"dd/mm/yyyy"))</f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>IF(B763="","",TEXT(AY763,"00")&amp;"|"&amp;B763&amp;"|"&amp;TEXT(AT763,"yyyymmdd"))</f>
        <v/>
      </c>
      <c r="BB763" s="66" t="str">
        <f>IF(B763="","",TEXT(AZ763,"00")&amp;"|"&amp;B763&amp;"|"&amp;TEXT(AV763,"yyyymmdd"))</f>
        <v/>
      </c>
      <c r="BC763" s="66">
        <f>IF(OR(AQ763="YES",AQ763="Yes",AQ763="Y",AQ763=1),1,0)</f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17">
        <f>SUM(H764,J764,L764,N764,P764,R764,T764,V764,X764,Z764,AB764,AD764,AF764,AH764,AJ764,AL764,AN764)</f>
        <v>0</v>
      </c>
      <c r="AT764" s="67" t="str">
        <f>IF(C764="","",DATE(YEAR(C764),MONTH(C764),1))</f>
        <v/>
      </c>
      <c r="AU764" s="66" t="str">
        <f>IF(AT764="","",TEXT(AT764,"mmmm yyyy"))</f>
        <v/>
      </c>
      <c r="AV764" s="67" t="str">
        <f>IF(C764="","",C764-WEEKDAY(C764,2)+1)</f>
        <v/>
      </c>
      <c r="AW764" s="67" t="str">
        <f>IF(AV764="","",AV764+6)</f>
        <v/>
      </c>
      <c r="AX764" s="66" t="str">
        <f>IF(AV764="","",TEXT(AV764,"dd/mm/yyyy")&amp;" - "&amp;TEXT(AW764,"dd/mm/yyyy"))</f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>IF(B764="","",TEXT(AY764,"00")&amp;"|"&amp;B764&amp;"|"&amp;TEXT(AT764,"yyyymmdd"))</f>
        <v/>
      </c>
      <c r="BB764" s="66" t="str">
        <f>IF(B764="","",TEXT(AZ764,"00")&amp;"|"&amp;B764&amp;"|"&amp;TEXT(AV764,"yyyymmdd"))</f>
        <v/>
      </c>
      <c r="BC764" s="66">
        <f>IF(OR(AQ764="YES",AQ764="Yes",AQ764="Y",AQ764=1),1,0)</f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17">
        <f>SUM(H765,J765,L765,N765,P765,R765,T765,V765,X765,Z765,AB765,AD765,AF765,AH765,AJ765,AL765,AN765)</f>
        <v>0</v>
      </c>
      <c r="AT765" s="67" t="str">
        <f>IF(C765="","",DATE(YEAR(C765),MONTH(C765),1))</f>
        <v/>
      </c>
      <c r="AU765" s="66" t="str">
        <f>IF(AT765="","",TEXT(AT765,"mmmm yyyy"))</f>
        <v/>
      </c>
      <c r="AV765" s="67" t="str">
        <f>IF(C765="","",C765-WEEKDAY(C765,2)+1)</f>
        <v/>
      </c>
      <c r="AW765" s="67" t="str">
        <f>IF(AV765="","",AV765+6)</f>
        <v/>
      </c>
      <c r="AX765" s="66" t="str">
        <f>IF(AV765="","",TEXT(AV765,"dd/mm/yyyy")&amp;" - "&amp;TEXT(AW765,"dd/mm/yyyy"))</f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>IF(B765="","",TEXT(AY765,"00")&amp;"|"&amp;B765&amp;"|"&amp;TEXT(AT765,"yyyymmdd"))</f>
        <v/>
      </c>
      <c r="BB765" s="66" t="str">
        <f>IF(B765="","",TEXT(AZ765,"00")&amp;"|"&amp;B765&amp;"|"&amp;TEXT(AV765,"yyyymmdd"))</f>
        <v/>
      </c>
      <c r="BC765" s="66">
        <f>IF(OR(AQ765="YES",AQ765="Yes",AQ765="Y",AQ765=1),1,0)</f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17">
        <f>SUM(H766,J766,L766,N766,P766,R766,T766,V766,X766,Z766,AB766,AD766,AF766,AH766,AJ766,AL766,AN766)</f>
        <v>0</v>
      </c>
      <c r="AT766" s="67" t="str">
        <f>IF(C766="","",DATE(YEAR(C766),MONTH(C766),1))</f>
        <v/>
      </c>
      <c r="AU766" s="66" t="str">
        <f>IF(AT766="","",TEXT(AT766,"mmmm yyyy"))</f>
        <v/>
      </c>
      <c r="AV766" s="67" t="str">
        <f>IF(C766="","",C766-WEEKDAY(C766,2)+1)</f>
        <v/>
      </c>
      <c r="AW766" s="67" t="str">
        <f>IF(AV766="","",AV766+6)</f>
        <v/>
      </c>
      <c r="AX766" s="66" t="str">
        <f>IF(AV766="","",TEXT(AV766,"dd/mm/yyyy")&amp;" - "&amp;TEXT(AW766,"dd/mm/yyyy"))</f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>IF(B766="","",TEXT(AY766,"00")&amp;"|"&amp;B766&amp;"|"&amp;TEXT(AT766,"yyyymmdd"))</f>
        <v/>
      </c>
      <c r="BB766" s="66" t="str">
        <f>IF(B766="","",TEXT(AZ766,"00")&amp;"|"&amp;B766&amp;"|"&amp;TEXT(AV766,"yyyymmdd"))</f>
        <v/>
      </c>
      <c r="BC766" s="66">
        <f>IF(OR(AQ766="YES",AQ766="Yes",AQ766="Y",AQ766=1),1,0)</f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17">
        <f>SUM(H767,J767,L767,N767,P767,R767,T767,V767,X767,Z767,AB767,AD767,AF767,AH767,AJ767,AL767,AN767)</f>
        <v>0</v>
      </c>
      <c r="AT767" s="67" t="str">
        <f>IF(C767="","",DATE(YEAR(C767),MONTH(C767),1))</f>
        <v/>
      </c>
      <c r="AU767" s="66" t="str">
        <f>IF(AT767="","",TEXT(AT767,"mmmm yyyy"))</f>
        <v/>
      </c>
      <c r="AV767" s="67" t="str">
        <f>IF(C767="","",C767-WEEKDAY(C767,2)+1)</f>
        <v/>
      </c>
      <c r="AW767" s="67" t="str">
        <f>IF(AV767="","",AV767+6)</f>
        <v/>
      </c>
      <c r="AX767" s="66" t="str">
        <f>IF(AV767="","",TEXT(AV767,"dd/mm/yyyy")&amp;" - "&amp;TEXT(AW767,"dd/mm/yyyy"))</f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>IF(B767="","",TEXT(AY767,"00")&amp;"|"&amp;B767&amp;"|"&amp;TEXT(AT767,"yyyymmdd"))</f>
        <v/>
      </c>
      <c r="BB767" s="66" t="str">
        <f>IF(B767="","",TEXT(AZ767,"00")&amp;"|"&amp;B767&amp;"|"&amp;TEXT(AV767,"yyyymmdd"))</f>
        <v/>
      </c>
      <c r="BC767" s="66">
        <f>IF(OR(AQ767="YES",AQ767="Yes",AQ767="Y",AQ767=1),1,0)</f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17">
        <f>SUM(H768,J768,L768,N768,P768,R768,T768,V768,X768,Z768,AB768,AD768,AF768,AH768,AJ768,AL768,AN768)</f>
        <v>0</v>
      </c>
      <c r="AT768" s="67" t="str">
        <f>IF(C768="","",DATE(YEAR(C768),MONTH(C768),1))</f>
        <v/>
      </c>
      <c r="AU768" s="66" t="str">
        <f>IF(AT768="","",TEXT(AT768,"mmmm yyyy"))</f>
        <v/>
      </c>
      <c r="AV768" s="67" t="str">
        <f>IF(C768="","",C768-WEEKDAY(C768,2)+1)</f>
        <v/>
      </c>
      <c r="AW768" s="67" t="str">
        <f>IF(AV768="","",AV768+6)</f>
        <v/>
      </c>
      <c r="AX768" s="66" t="str">
        <f>IF(AV768="","",TEXT(AV768,"dd/mm/yyyy")&amp;" - "&amp;TEXT(AW768,"dd/mm/yyyy"))</f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>IF(B768="","",TEXT(AY768,"00")&amp;"|"&amp;B768&amp;"|"&amp;TEXT(AT768,"yyyymmdd"))</f>
        <v/>
      </c>
      <c r="BB768" s="66" t="str">
        <f>IF(B768="","",TEXT(AZ768,"00")&amp;"|"&amp;B768&amp;"|"&amp;TEXT(AV768,"yyyymmdd"))</f>
        <v/>
      </c>
      <c r="BC768" s="66">
        <f>IF(OR(AQ768="YES",AQ768="Yes",AQ768="Y",AQ768=1),1,0)</f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17">
        <f>SUM(H769,J769,L769,N769,P769,R769,T769,V769,X769,Z769,AB769,AD769,AF769,AH769,AJ769,AL769,AN769)</f>
        <v>0</v>
      </c>
      <c r="AT769" s="67" t="str">
        <f>IF(C769="","",DATE(YEAR(C769),MONTH(C769),1))</f>
        <v/>
      </c>
      <c r="AU769" s="66" t="str">
        <f>IF(AT769="","",TEXT(AT769,"mmmm yyyy"))</f>
        <v/>
      </c>
      <c r="AV769" s="67" t="str">
        <f>IF(C769="","",C769-WEEKDAY(C769,2)+1)</f>
        <v/>
      </c>
      <c r="AW769" s="67" t="str">
        <f>IF(AV769="","",AV769+6)</f>
        <v/>
      </c>
      <c r="AX769" s="66" t="str">
        <f>IF(AV769="","",TEXT(AV769,"dd/mm/yyyy")&amp;" - "&amp;TEXT(AW769,"dd/mm/yyyy"))</f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>IF(B769="","",TEXT(AY769,"00")&amp;"|"&amp;B769&amp;"|"&amp;TEXT(AT769,"yyyymmdd"))</f>
        <v/>
      </c>
      <c r="BB769" s="66" t="str">
        <f>IF(B769="","",TEXT(AZ769,"00")&amp;"|"&amp;B769&amp;"|"&amp;TEXT(AV769,"yyyymmdd"))</f>
        <v/>
      </c>
      <c r="BC769" s="66">
        <f>IF(OR(AQ769="YES",AQ769="Yes",AQ769="Y",AQ769=1),1,0)</f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17">
        <f>SUM(H770,J770,L770,N770,P770,R770,T770,V770,X770,Z770,AB770,AD770,AF770,AH770,AJ770,AL770,AN770)</f>
        <v>0</v>
      </c>
      <c r="AT770" s="67" t="str">
        <f>IF(C770="","",DATE(YEAR(C770),MONTH(C770),1))</f>
        <v/>
      </c>
      <c r="AU770" s="66" t="str">
        <f>IF(AT770="","",TEXT(AT770,"mmmm yyyy"))</f>
        <v/>
      </c>
      <c r="AV770" s="67" t="str">
        <f>IF(C770="","",C770-WEEKDAY(C770,2)+1)</f>
        <v/>
      </c>
      <c r="AW770" s="67" t="str">
        <f>IF(AV770="","",AV770+6)</f>
        <v/>
      </c>
      <c r="AX770" s="66" t="str">
        <f>IF(AV770="","",TEXT(AV770,"dd/mm/yyyy")&amp;" - "&amp;TEXT(AW770,"dd/mm/yyyy"))</f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>IF(B770="","",TEXT(AY770,"00")&amp;"|"&amp;B770&amp;"|"&amp;TEXT(AT770,"yyyymmdd"))</f>
        <v/>
      </c>
      <c r="BB770" s="66" t="str">
        <f>IF(B770="","",TEXT(AZ770,"00")&amp;"|"&amp;B770&amp;"|"&amp;TEXT(AV770,"yyyymmdd"))</f>
        <v/>
      </c>
      <c r="BC770" s="66">
        <f>IF(OR(AQ770="YES",AQ770="Yes",AQ770="Y",AQ770=1),1,0)</f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17">
        <f>SUM(H771,J771,L771,N771,P771,R771,T771,V771,X771,Z771,AB771,AD771,AF771,AH771,AJ771,AL771,AN771)</f>
        <v>0</v>
      </c>
      <c r="AT771" s="67" t="str">
        <f>IF(C771="","",DATE(YEAR(C771),MONTH(C771),1))</f>
        <v/>
      </c>
      <c r="AU771" s="66" t="str">
        <f>IF(AT771="","",TEXT(AT771,"mmmm yyyy"))</f>
        <v/>
      </c>
      <c r="AV771" s="67" t="str">
        <f>IF(C771="","",C771-WEEKDAY(C771,2)+1)</f>
        <v/>
      </c>
      <c r="AW771" s="67" t="str">
        <f>IF(AV771="","",AV771+6)</f>
        <v/>
      </c>
      <c r="AX771" s="66" t="str">
        <f>IF(AV771="","",TEXT(AV771,"dd/mm/yyyy")&amp;" - "&amp;TEXT(AW771,"dd/mm/yyyy"))</f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>IF(B771="","",TEXT(AY771,"00")&amp;"|"&amp;B771&amp;"|"&amp;TEXT(AT771,"yyyymmdd"))</f>
        <v/>
      </c>
      <c r="BB771" s="66" t="str">
        <f>IF(B771="","",TEXT(AZ771,"00")&amp;"|"&amp;B771&amp;"|"&amp;TEXT(AV771,"yyyymmdd"))</f>
        <v/>
      </c>
      <c r="BC771" s="66">
        <f>IF(OR(AQ771="YES",AQ771="Yes",AQ771="Y",AQ771=1),1,0)</f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17">
        <f>SUM(H772,J772,L772,N772,P772,R772,T772,V772,X772,Z772,AB772,AD772,AF772,AH772,AJ772,AL772,AN772)</f>
        <v>0</v>
      </c>
      <c r="AT772" s="67" t="str">
        <f>IF(C772="","",DATE(YEAR(C772),MONTH(C772),1))</f>
        <v/>
      </c>
      <c r="AU772" s="66" t="str">
        <f>IF(AT772="","",TEXT(AT772,"mmmm yyyy"))</f>
        <v/>
      </c>
      <c r="AV772" s="67" t="str">
        <f>IF(C772="","",C772-WEEKDAY(C772,2)+1)</f>
        <v/>
      </c>
      <c r="AW772" s="67" t="str">
        <f>IF(AV772="","",AV772+6)</f>
        <v/>
      </c>
      <c r="AX772" s="66" t="str">
        <f>IF(AV772="","",TEXT(AV772,"dd/mm/yyyy")&amp;" - "&amp;TEXT(AW772,"dd/mm/yyyy"))</f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>IF(B772="","",TEXT(AY772,"00")&amp;"|"&amp;B772&amp;"|"&amp;TEXT(AT772,"yyyymmdd"))</f>
        <v/>
      </c>
      <c r="BB772" s="66" t="str">
        <f>IF(B772="","",TEXT(AZ772,"00")&amp;"|"&amp;B772&amp;"|"&amp;TEXT(AV772,"yyyymmdd"))</f>
        <v/>
      </c>
      <c r="BC772" s="66">
        <f>IF(OR(AQ772="YES",AQ772="Yes",AQ772="Y",AQ772=1),1,0)</f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17">
        <f>SUM(H773,J773,L773,N773,P773,R773,T773,V773,X773,Z773,AB773,AD773,AF773,AH773,AJ773,AL773,AN773)</f>
        <v>0</v>
      </c>
      <c r="AT773" s="67" t="str">
        <f>IF(C773="","",DATE(YEAR(C773),MONTH(C773),1))</f>
        <v/>
      </c>
      <c r="AU773" s="66" t="str">
        <f>IF(AT773="","",TEXT(AT773,"mmmm yyyy"))</f>
        <v/>
      </c>
      <c r="AV773" s="67" t="str">
        <f>IF(C773="","",C773-WEEKDAY(C773,2)+1)</f>
        <v/>
      </c>
      <c r="AW773" s="67" t="str">
        <f>IF(AV773="","",AV773+6)</f>
        <v/>
      </c>
      <c r="AX773" s="66" t="str">
        <f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>IF(B773="","",TEXT(AY773,"00")&amp;"|"&amp;B773&amp;"|"&amp;TEXT(AT773,"yyyymmdd"))</f>
        <v/>
      </c>
      <c r="BB773" s="66" t="str">
        <f>IF(B773="","",TEXT(AZ773,"00")&amp;"|"&amp;B773&amp;"|"&amp;TEXT(AV773,"yyyymmdd"))</f>
        <v/>
      </c>
      <c r="BC773" s="66">
        <f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17">
        <f>SUM(H774,J774,L774,N774,P774,R774,T774,V774,X774,Z774,AB774,AD774,AF774,AH774,AJ774,AL774,AN774)</f>
        <v>0</v>
      </c>
      <c r="AT774" s="67" t="str">
        <f>IF(C774="","",DATE(YEAR(C774),MONTH(C774),1))</f>
        <v/>
      </c>
      <c r="AU774" s="66" t="str">
        <f>IF(AT774="","",TEXT(AT774,"mmmm yyyy"))</f>
        <v/>
      </c>
      <c r="AV774" s="67" t="str">
        <f>IF(C774="","",C774-WEEKDAY(C774,2)+1)</f>
        <v/>
      </c>
      <c r="AW774" s="67" t="str">
        <f>IF(AV774="","",AV774+6)</f>
        <v/>
      </c>
      <c r="AX774" s="66" t="str">
        <f>IF(AV774="","",TEXT(AV774,"dd/mm/yyyy")&amp;" - "&amp;TEXT(AW774,"dd/mm/yyyy"))</f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>IF(B774="","",TEXT(AY774,"00")&amp;"|"&amp;B774&amp;"|"&amp;TEXT(AT774,"yyyymmdd"))</f>
        <v/>
      </c>
      <c r="BB774" s="66" t="str">
        <f>IF(B774="","",TEXT(AZ774,"00")&amp;"|"&amp;B774&amp;"|"&amp;TEXT(AV774,"yyyymmdd"))</f>
        <v/>
      </c>
      <c r="BC774" s="66">
        <f>IF(OR(AQ774="YES",AQ774="Yes",AQ774="Y",AQ774=1),1,0)</f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17">
        <f>SUM(H775,J775,L775,N775,P775,R775,T775,V775,X775,Z775,AB775,AD775,AF775,AH775,AJ775,AL775,AN775)</f>
        <v>0</v>
      </c>
      <c r="AT775" s="67" t="str">
        <f>IF(C775="","",DATE(YEAR(C775),MONTH(C775),1))</f>
        <v/>
      </c>
      <c r="AU775" s="66" t="str">
        <f>IF(AT775="","",TEXT(AT775,"mmmm yyyy"))</f>
        <v/>
      </c>
      <c r="AV775" s="67" t="str">
        <f>IF(C775="","",C775-WEEKDAY(C775,2)+1)</f>
        <v/>
      </c>
      <c r="AW775" s="67" t="str">
        <f>IF(AV775="","",AV775+6)</f>
        <v/>
      </c>
      <c r="AX775" s="66" t="str">
        <f>IF(AV775="","",TEXT(AV775,"dd/mm/yyyy")&amp;" - "&amp;TEXT(AW775,"dd/mm/yyyy"))</f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>IF(B775="","",TEXT(AY775,"00")&amp;"|"&amp;B775&amp;"|"&amp;TEXT(AT775,"yyyymmdd"))</f>
        <v/>
      </c>
      <c r="BB775" s="66" t="str">
        <f>IF(B775="","",TEXT(AZ775,"00")&amp;"|"&amp;B775&amp;"|"&amp;TEXT(AV775,"yyyymmdd"))</f>
        <v/>
      </c>
      <c r="BC775" s="66">
        <f>IF(OR(AQ775="YES",AQ775="Yes",AQ775="Y",AQ775=1),1,0)</f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17">
        <f>SUM(H776,J776,L776,N776,P776,R776,T776,V776,X776,Z776,AB776,AD776,AF776,AH776,AJ776,AL776,AN776)</f>
        <v>0</v>
      </c>
      <c r="AT776" s="67" t="str">
        <f>IF(C776="","",DATE(YEAR(C776),MONTH(C776),1))</f>
        <v/>
      </c>
      <c r="AU776" s="66" t="str">
        <f>IF(AT776="","",TEXT(AT776,"mmmm yyyy"))</f>
        <v/>
      </c>
      <c r="AV776" s="67" t="str">
        <f>IF(C776="","",C776-WEEKDAY(C776,2)+1)</f>
        <v/>
      </c>
      <c r="AW776" s="67" t="str">
        <f>IF(AV776="","",AV776+6)</f>
        <v/>
      </c>
      <c r="AX776" s="66" t="str">
        <f>IF(AV776="","",TEXT(AV776,"dd/mm/yyyy")&amp;" - "&amp;TEXT(AW776,"dd/mm/yyyy"))</f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>IF(B776="","",TEXT(AY776,"00")&amp;"|"&amp;B776&amp;"|"&amp;TEXT(AT776,"yyyymmdd"))</f>
        <v/>
      </c>
      <c r="BB776" s="66" t="str">
        <f>IF(B776="","",TEXT(AZ776,"00")&amp;"|"&amp;B776&amp;"|"&amp;TEXT(AV776,"yyyymmdd"))</f>
        <v/>
      </c>
      <c r="BC776" s="66">
        <f>IF(OR(AQ776="YES",AQ776="Yes",AQ776="Y",AQ776=1),1,0)</f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17">
        <f>SUM(H777,J777,L777,N777,P777,R777,T777,V777,X777,Z777,AB777,AD777,AF777,AH777,AJ777,AL777,AN777)</f>
        <v>0</v>
      </c>
      <c r="AT777" s="67" t="str">
        <f>IF(C777="","",DATE(YEAR(C777),MONTH(C777),1))</f>
        <v/>
      </c>
      <c r="AU777" s="66" t="str">
        <f>IF(AT777="","",TEXT(AT777,"mmmm yyyy"))</f>
        <v/>
      </c>
      <c r="AV777" s="67" t="str">
        <f>IF(C777="","",C777-WEEKDAY(C777,2)+1)</f>
        <v/>
      </c>
      <c r="AW777" s="67" t="str">
        <f>IF(AV777="","",AV777+6)</f>
        <v/>
      </c>
      <c r="AX777" s="66" t="str">
        <f>IF(AV777="","",TEXT(AV777,"dd/mm/yyyy")&amp;" - "&amp;TEXT(AW777,"dd/mm/yyyy"))</f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>IF(B777="","",TEXT(AY777,"00")&amp;"|"&amp;B777&amp;"|"&amp;TEXT(AT777,"yyyymmdd"))</f>
        <v/>
      </c>
      <c r="BB777" s="66" t="str">
        <f>IF(B777="","",TEXT(AZ777,"00")&amp;"|"&amp;B777&amp;"|"&amp;TEXT(AV777,"yyyymmdd"))</f>
        <v/>
      </c>
      <c r="BC777" s="66">
        <f>IF(OR(AQ777="YES",AQ777="Yes",AQ777="Y",AQ777=1),1,0)</f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17">
        <f>SUM(H778,J778,L778,N778,P778,R778,T778,V778,X778,Z778,AB778,AD778,AF778,AH778,AJ778,AL778,AN778)</f>
        <v>0</v>
      </c>
      <c r="AT778" s="67" t="str">
        <f>IF(C778="","",DATE(YEAR(C778),MONTH(C778),1))</f>
        <v/>
      </c>
      <c r="AU778" s="66" t="str">
        <f>IF(AT778="","",TEXT(AT778,"mmmm yyyy"))</f>
        <v/>
      </c>
      <c r="AV778" s="67" t="str">
        <f>IF(C778="","",C778-WEEKDAY(C778,2)+1)</f>
        <v/>
      </c>
      <c r="AW778" s="67" t="str">
        <f>IF(AV778="","",AV778+6)</f>
        <v/>
      </c>
      <c r="AX778" s="66" t="str">
        <f>IF(AV778="","",TEXT(AV778,"dd/mm/yyyy")&amp;" - "&amp;TEXT(AW778,"dd/mm/yyyy"))</f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>IF(B778="","",TEXT(AY778,"00")&amp;"|"&amp;B778&amp;"|"&amp;TEXT(AT778,"yyyymmdd"))</f>
        <v/>
      </c>
      <c r="BB778" s="66" t="str">
        <f>IF(B778="","",TEXT(AZ778,"00")&amp;"|"&amp;B778&amp;"|"&amp;TEXT(AV778,"yyyymmdd"))</f>
        <v/>
      </c>
      <c r="BC778" s="66">
        <f>IF(OR(AQ778="YES",AQ778="Yes",AQ778="Y",AQ778=1),1,0)</f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17">
        <f>SUM(H779,J779,L779,N779,P779,R779,T779,V779,X779,Z779,AB779,AD779,AF779,AH779,AJ779,AL779,AN779)</f>
        <v>0</v>
      </c>
      <c r="AT779" s="67" t="str">
        <f>IF(C779="","",DATE(YEAR(C779),MONTH(C779),1))</f>
        <v/>
      </c>
      <c r="AU779" s="66" t="str">
        <f>IF(AT779="","",TEXT(AT779,"mmmm yyyy"))</f>
        <v/>
      </c>
      <c r="AV779" s="67" t="str">
        <f>IF(C779="","",C779-WEEKDAY(C779,2)+1)</f>
        <v/>
      </c>
      <c r="AW779" s="67" t="str">
        <f>IF(AV779="","",AV779+6)</f>
        <v/>
      </c>
      <c r="AX779" s="66" t="str">
        <f>IF(AV779="","",TEXT(AV779,"dd/mm/yyyy")&amp;" - "&amp;TEXT(AW779,"dd/mm/yyyy"))</f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>IF(B779="","",TEXT(AY779,"00")&amp;"|"&amp;B779&amp;"|"&amp;TEXT(AT779,"yyyymmdd"))</f>
        <v/>
      </c>
      <c r="BB779" s="66" t="str">
        <f>IF(B779="","",TEXT(AZ779,"00")&amp;"|"&amp;B779&amp;"|"&amp;TEXT(AV779,"yyyymmdd"))</f>
        <v/>
      </c>
      <c r="BC779" s="66">
        <f>IF(OR(AQ779="YES",AQ779="Yes",AQ779="Y",AQ779=1),1,0)</f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17">
        <f>SUM(H780,J780,L780,N780,P780,R780,T780,V780,X780,Z780,AB780,AD780,AF780,AH780,AJ780,AL780,AN780)</f>
        <v>0</v>
      </c>
      <c r="AT780" s="67" t="str">
        <f>IF(C780="","",DATE(YEAR(C780),MONTH(C780),1))</f>
        <v/>
      </c>
      <c r="AU780" s="66" t="str">
        <f>IF(AT780="","",TEXT(AT780,"mmmm yyyy"))</f>
        <v/>
      </c>
      <c r="AV780" s="67" t="str">
        <f>IF(C780="","",C780-WEEKDAY(C780,2)+1)</f>
        <v/>
      </c>
      <c r="AW780" s="67" t="str">
        <f>IF(AV780="","",AV780+6)</f>
        <v/>
      </c>
      <c r="AX780" s="66" t="str">
        <f>IF(AV780="","",TEXT(AV780,"dd/mm/yyyy")&amp;" - "&amp;TEXT(AW780,"dd/mm/yyyy"))</f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>IF(B780="","",TEXT(AY780,"00")&amp;"|"&amp;B780&amp;"|"&amp;TEXT(AT780,"yyyymmdd"))</f>
        <v/>
      </c>
      <c r="BB780" s="66" t="str">
        <f>IF(B780="","",TEXT(AZ780,"00")&amp;"|"&amp;B780&amp;"|"&amp;TEXT(AV780,"yyyymmdd"))</f>
        <v/>
      </c>
      <c r="BC780" s="66">
        <f>IF(OR(AQ780="YES",AQ780="Yes",AQ780="Y",AQ780=1),1,0)</f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17">
        <f>SUM(H781,J781,L781,N781,P781,R781,T781,V781,X781,Z781,AB781,AD781,AF781,AH781,AJ781,AL781,AN781)</f>
        <v>0</v>
      </c>
      <c r="AT781" s="67" t="str">
        <f>IF(C781="","",DATE(YEAR(C781),MONTH(C781),1))</f>
        <v/>
      </c>
      <c r="AU781" s="66" t="str">
        <f>IF(AT781="","",TEXT(AT781,"mmmm yyyy"))</f>
        <v/>
      </c>
      <c r="AV781" s="67" t="str">
        <f>IF(C781="","",C781-WEEKDAY(C781,2)+1)</f>
        <v/>
      </c>
      <c r="AW781" s="67" t="str">
        <f>IF(AV781="","",AV781+6)</f>
        <v/>
      </c>
      <c r="AX781" s="66" t="str">
        <f>IF(AV781="","",TEXT(AV781,"dd/mm/yyyy")&amp;" - "&amp;TEXT(AW781,"dd/mm/yyyy"))</f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>IF(B781="","",TEXT(AY781,"00")&amp;"|"&amp;B781&amp;"|"&amp;TEXT(AT781,"yyyymmdd"))</f>
        <v/>
      </c>
      <c r="BB781" s="66" t="str">
        <f>IF(B781="","",TEXT(AZ781,"00")&amp;"|"&amp;B781&amp;"|"&amp;TEXT(AV781,"yyyymmdd"))</f>
        <v/>
      </c>
      <c r="BC781" s="66">
        <f>IF(OR(AQ781="YES",AQ781="Yes",AQ781="Y",AQ781=1),1,0)</f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17">
        <f>SUM(H782,J782,L782,N782,P782,R782,T782,V782,X782,Z782,AB782,AD782,AF782,AH782,AJ782,AL782,AN782)</f>
        <v>0</v>
      </c>
      <c r="AT782" s="67" t="str">
        <f>IF(C782="","",DATE(YEAR(C782),MONTH(C782),1))</f>
        <v/>
      </c>
      <c r="AU782" s="66" t="str">
        <f>IF(AT782="","",TEXT(AT782,"mmmm yyyy"))</f>
        <v/>
      </c>
      <c r="AV782" s="67" t="str">
        <f>IF(C782="","",C782-WEEKDAY(C782,2)+1)</f>
        <v/>
      </c>
      <c r="AW782" s="67" t="str">
        <f>IF(AV782="","",AV782+6)</f>
        <v/>
      </c>
      <c r="AX782" s="66" t="str">
        <f>IF(AV782="","",TEXT(AV782,"dd/mm/yyyy")&amp;" - "&amp;TEXT(AW782,"dd/mm/yyyy"))</f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>IF(B782="","",TEXT(AY782,"00")&amp;"|"&amp;B782&amp;"|"&amp;TEXT(AT782,"yyyymmdd"))</f>
        <v/>
      </c>
      <c r="BB782" s="66" t="str">
        <f>IF(B782="","",TEXT(AZ782,"00")&amp;"|"&amp;B782&amp;"|"&amp;TEXT(AV782,"yyyymmdd"))</f>
        <v/>
      </c>
      <c r="BC782" s="66">
        <f>IF(OR(AQ782="YES",AQ782="Yes",AQ782="Y",AQ782=1),1,0)</f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17">
        <f>SUM(H783,J783,L783,N783,P783,R783,T783,V783,X783,Z783,AB783,AD783,AF783,AH783,AJ783,AL783,AN783)</f>
        <v>0</v>
      </c>
      <c r="AT783" s="67" t="str">
        <f>IF(C783="","",DATE(YEAR(C783),MONTH(C783),1))</f>
        <v/>
      </c>
      <c r="AU783" s="66" t="str">
        <f>IF(AT783="","",TEXT(AT783,"mmmm yyyy"))</f>
        <v/>
      </c>
      <c r="AV783" s="67" t="str">
        <f>IF(C783="","",C783-WEEKDAY(C783,2)+1)</f>
        <v/>
      </c>
      <c r="AW783" s="67" t="str">
        <f>IF(AV783="","",AV783+6)</f>
        <v/>
      </c>
      <c r="AX783" s="66" t="str">
        <f>IF(AV783="","",TEXT(AV783,"dd/mm/yyyy")&amp;" - "&amp;TEXT(AW783,"dd/mm/yyyy"))</f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>IF(B783="","",TEXT(AY783,"00")&amp;"|"&amp;B783&amp;"|"&amp;TEXT(AT783,"yyyymmdd"))</f>
        <v/>
      </c>
      <c r="BB783" s="66" t="str">
        <f>IF(B783="","",TEXT(AZ783,"00")&amp;"|"&amp;B783&amp;"|"&amp;TEXT(AV783,"yyyymmdd"))</f>
        <v/>
      </c>
      <c r="BC783" s="66">
        <f>IF(OR(AQ783="YES",AQ783="Yes",AQ783="Y",AQ783=1),1,0)</f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17">
        <f>SUM(H784,J784,L784,N784,P784,R784,T784,V784,X784,Z784,AB784,AD784,AF784,AH784,AJ784,AL784,AN784)</f>
        <v>0</v>
      </c>
      <c r="AT784" s="67" t="str">
        <f>IF(C784="","",DATE(YEAR(C784),MONTH(C784),1))</f>
        <v/>
      </c>
      <c r="AU784" s="66" t="str">
        <f>IF(AT784="","",TEXT(AT784,"mmmm yyyy"))</f>
        <v/>
      </c>
      <c r="AV784" s="67" t="str">
        <f>IF(C784="","",C784-WEEKDAY(C784,2)+1)</f>
        <v/>
      </c>
      <c r="AW784" s="67" t="str">
        <f>IF(AV784="","",AV784+6)</f>
        <v/>
      </c>
      <c r="AX784" s="66" t="str">
        <f>IF(AV784="","",TEXT(AV784,"dd/mm/yyyy")&amp;" - "&amp;TEXT(AW784,"dd/mm/yyyy"))</f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>IF(B784="","",TEXT(AY784,"00")&amp;"|"&amp;B784&amp;"|"&amp;TEXT(AT784,"yyyymmdd"))</f>
        <v/>
      </c>
      <c r="BB784" s="66" t="str">
        <f>IF(B784="","",TEXT(AZ784,"00")&amp;"|"&amp;B784&amp;"|"&amp;TEXT(AV784,"yyyymmdd"))</f>
        <v/>
      </c>
      <c r="BC784" s="66">
        <f>IF(OR(AQ784="YES",AQ784="Yes",AQ784="Y",AQ784=1),1,0)</f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17">
        <f>SUM(H785,J785,L785,N785,P785,R785,T785,V785,X785,Z785,AB785,AD785,AF785,AH785,AJ785,AL785,AN785)</f>
        <v>0</v>
      </c>
      <c r="AT785" s="67" t="str">
        <f>IF(C785="","",DATE(YEAR(C785),MONTH(C785),1))</f>
        <v/>
      </c>
      <c r="AU785" s="66" t="str">
        <f>IF(AT785="","",TEXT(AT785,"mmmm yyyy"))</f>
        <v/>
      </c>
      <c r="AV785" s="67" t="str">
        <f>IF(C785="","",C785-WEEKDAY(C785,2)+1)</f>
        <v/>
      </c>
      <c r="AW785" s="67" t="str">
        <f>IF(AV785="","",AV785+6)</f>
        <v/>
      </c>
      <c r="AX785" s="66" t="str">
        <f>IF(AV785="","",TEXT(AV785,"dd/mm/yyyy")&amp;" - "&amp;TEXT(AW785,"dd/mm/yyyy"))</f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>IF(B785="","",TEXT(AY785,"00")&amp;"|"&amp;B785&amp;"|"&amp;TEXT(AT785,"yyyymmdd"))</f>
        <v/>
      </c>
      <c r="BB785" s="66" t="str">
        <f>IF(B785="","",TEXT(AZ785,"00")&amp;"|"&amp;B785&amp;"|"&amp;TEXT(AV785,"yyyymmdd"))</f>
        <v/>
      </c>
      <c r="BC785" s="66">
        <f>IF(OR(AQ785="YES",AQ785="Yes",AQ785="Y",AQ785=1),1,0)</f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17">
        <f>SUM(H786,J786,L786,N786,P786,R786,T786,V786,X786,Z786,AB786,AD786,AF786,AH786,AJ786,AL786,AN786)</f>
        <v>0</v>
      </c>
      <c r="AT786" s="67" t="str">
        <f>IF(C786="","",DATE(YEAR(C786),MONTH(C786),1))</f>
        <v/>
      </c>
      <c r="AU786" s="66" t="str">
        <f>IF(AT786="","",TEXT(AT786,"mmmm yyyy"))</f>
        <v/>
      </c>
      <c r="AV786" s="67" t="str">
        <f>IF(C786="","",C786-WEEKDAY(C786,2)+1)</f>
        <v/>
      </c>
      <c r="AW786" s="67" t="str">
        <f>IF(AV786="","",AV786+6)</f>
        <v/>
      </c>
      <c r="AX786" s="66" t="str">
        <f>IF(AV786="","",TEXT(AV786,"dd/mm/yyyy")&amp;" - "&amp;TEXT(AW786,"dd/mm/yyyy"))</f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>IF(B786="","",TEXT(AY786,"00")&amp;"|"&amp;B786&amp;"|"&amp;TEXT(AT786,"yyyymmdd"))</f>
        <v/>
      </c>
      <c r="BB786" s="66" t="str">
        <f>IF(B786="","",TEXT(AZ786,"00")&amp;"|"&amp;B786&amp;"|"&amp;TEXT(AV786,"yyyymmdd"))</f>
        <v/>
      </c>
      <c r="BC786" s="66">
        <f>IF(OR(AQ786="YES",AQ786="Yes",AQ786="Y",AQ786=1),1,0)</f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17">
        <f>SUM(H787,J787,L787,N787,P787,R787,T787,V787,X787,Z787,AB787,AD787,AF787,AH787,AJ787,AL787,AN787)</f>
        <v>0</v>
      </c>
      <c r="AT787" s="67" t="str">
        <f>IF(C787="","",DATE(YEAR(C787),MONTH(C787),1))</f>
        <v/>
      </c>
      <c r="AU787" s="66" t="str">
        <f>IF(AT787="","",TEXT(AT787,"mmmm yyyy"))</f>
        <v/>
      </c>
      <c r="AV787" s="67" t="str">
        <f>IF(C787="","",C787-WEEKDAY(C787,2)+1)</f>
        <v/>
      </c>
      <c r="AW787" s="67" t="str">
        <f>IF(AV787="","",AV787+6)</f>
        <v/>
      </c>
      <c r="AX787" s="66" t="str">
        <f>IF(AV787="","",TEXT(AV787,"dd/mm/yyyy")&amp;" - "&amp;TEXT(AW787,"dd/mm/yyyy"))</f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>IF(B787="","",TEXT(AY787,"00")&amp;"|"&amp;B787&amp;"|"&amp;TEXT(AT787,"yyyymmdd"))</f>
        <v/>
      </c>
      <c r="BB787" s="66" t="str">
        <f>IF(B787="","",TEXT(AZ787,"00")&amp;"|"&amp;B787&amp;"|"&amp;TEXT(AV787,"yyyymmdd"))</f>
        <v/>
      </c>
      <c r="BC787" s="66">
        <f>IF(OR(AQ787="YES",AQ787="Yes",AQ787="Y",AQ787=1),1,0)</f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17">
        <f>SUM(H788,J788,L788,N788,P788,R788,T788,V788,X788,Z788,AB788,AD788,AF788,AH788,AJ788,AL788,AN788)</f>
        <v>0</v>
      </c>
      <c r="AT788" s="67" t="str">
        <f>IF(C788="","",DATE(YEAR(C788),MONTH(C788),1))</f>
        <v/>
      </c>
      <c r="AU788" s="66" t="str">
        <f>IF(AT788="","",TEXT(AT788,"mmmm yyyy"))</f>
        <v/>
      </c>
      <c r="AV788" s="67" t="str">
        <f>IF(C788="","",C788-WEEKDAY(C788,2)+1)</f>
        <v/>
      </c>
      <c r="AW788" s="67" t="str">
        <f>IF(AV788="","",AV788+6)</f>
        <v/>
      </c>
      <c r="AX788" s="66" t="str">
        <f>IF(AV788="","",TEXT(AV788,"dd/mm/yyyy")&amp;" - "&amp;TEXT(AW788,"dd/mm/yyyy"))</f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>IF(B788="","",TEXT(AY788,"00")&amp;"|"&amp;B788&amp;"|"&amp;TEXT(AT788,"yyyymmdd"))</f>
        <v/>
      </c>
      <c r="BB788" s="66" t="str">
        <f>IF(B788="","",TEXT(AZ788,"00")&amp;"|"&amp;B788&amp;"|"&amp;TEXT(AV788,"yyyymmdd"))</f>
        <v/>
      </c>
      <c r="BC788" s="66">
        <f>IF(OR(AQ788="YES",AQ788="Yes",AQ788="Y",AQ788=1),1,0)</f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17">
        <f>SUM(H789,J789,L789,N789,P789,R789,T789,V789,X789,Z789,AB789,AD789,AF789,AH789,AJ789,AL789,AN789)</f>
        <v>0</v>
      </c>
      <c r="AT789" s="67" t="str">
        <f>IF(C789="","",DATE(YEAR(C789),MONTH(C789),1))</f>
        <v/>
      </c>
      <c r="AU789" s="66" t="str">
        <f>IF(AT789="","",TEXT(AT789,"mmmm yyyy"))</f>
        <v/>
      </c>
      <c r="AV789" s="67" t="str">
        <f>IF(C789="","",C789-WEEKDAY(C789,2)+1)</f>
        <v/>
      </c>
      <c r="AW789" s="67" t="str">
        <f>IF(AV789="","",AV789+6)</f>
        <v/>
      </c>
      <c r="AX789" s="66" t="str">
        <f>IF(AV789="","",TEXT(AV789,"dd/mm/yyyy")&amp;" - "&amp;TEXT(AW789,"dd/mm/yyyy"))</f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>IF(B789="","",TEXT(AY789,"00")&amp;"|"&amp;B789&amp;"|"&amp;TEXT(AT789,"yyyymmdd"))</f>
        <v/>
      </c>
      <c r="BB789" s="66" t="str">
        <f>IF(B789="","",TEXT(AZ789,"00")&amp;"|"&amp;B789&amp;"|"&amp;TEXT(AV789,"yyyymmdd"))</f>
        <v/>
      </c>
      <c r="BC789" s="66">
        <f>IF(OR(AQ789="YES",AQ789="Yes",AQ789="Y",AQ789=1),1,0)</f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17">
        <f>SUM(H790,J790,L790,N790,P790,R790,T790,V790,X790,Z790,AB790,AD790,AF790,AH790,AJ790,AL790,AN790)</f>
        <v>0</v>
      </c>
      <c r="AT790" s="67" t="str">
        <f>IF(C790="","",DATE(YEAR(C790),MONTH(C790),1))</f>
        <v/>
      </c>
      <c r="AU790" s="66" t="str">
        <f>IF(AT790="","",TEXT(AT790,"mmmm yyyy"))</f>
        <v/>
      </c>
      <c r="AV790" s="67" t="str">
        <f>IF(C790="","",C790-WEEKDAY(C790,2)+1)</f>
        <v/>
      </c>
      <c r="AW790" s="67" t="str">
        <f>IF(AV790="","",AV790+6)</f>
        <v/>
      </c>
      <c r="AX790" s="66" t="str">
        <f>IF(AV790="","",TEXT(AV790,"dd/mm/yyyy")&amp;" - "&amp;TEXT(AW790,"dd/mm/yyyy"))</f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>IF(B790="","",TEXT(AY790,"00")&amp;"|"&amp;B790&amp;"|"&amp;TEXT(AT790,"yyyymmdd"))</f>
        <v/>
      </c>
      <c r="BB790" s="66" t="str">
        <f>IF(B790="","",TEXT(AZ790,"00")&amp;"|"&amp;B790&amp;"|"&amp;TEXT(AV790,"yyyymmdd"))</f>
        <v/>
      </c>
      <c r="BC790" s="66">
        <f>IF(OR(AQ790="YES",AQ790="Yes",AQ790="Y",AQ790=1),1,0)</f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17">
        <f>SUM(H791,J791,L791,N791,P791,R791,T791,V791,X791,Z791,AB791,AD791,AF791,AH791,AJ791,AL791,AN791)</f>
        <v>0</v>
      </c>
      <c r="AT791" s="67" t="str">
        <f>IF(C791="","",DATE(YEAR(C791),MONTH(C791),1))</f>
        <v/>
      </c>
      <c r="AU791" s="66" t="str">
        <f>IF(AT791="","",TEXT(AT791,"mmmm yyyy"))</f>
        <v/>
      </c>
      <c r="AV791" s="67" t="str">
        <f>IF(C791="","",C791-WEEKDAY(C791,2)+1)</f>
        <v/>
      </c>
      <c r="AW791" s="67" t="str">
        <f>IF(AV791="","",AV791+6)</f>
        <v/>
      </c>
      <c r="AX791" s="66" t="str">
        <f>IF(AV791="","",TEXT(AV791,"dd/mm/yyyy")&amp;" - "&amp;TEXT(AW791,"dd/mm/yyyy"))</f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>IF(B791="","",TEXT(AY791,"00")&amp;"|"&amp;B791&amp;"|"&amp;TEXT(AT791,"yyyymmdd"))</f>
        <v/>
      </c>
      <c r="BB791" s="66" t="str">
        <f>IF(B791="","",TEXT(AZ791,"00")&amp;"|"&amp;B791&amp;"|"&amp;TEXT(AV791,"yyyymmdd"))</f>
        <v/>
      </c>
      <c r="BC791" s="66">
        <f>IF(OR(AQ791="YES",AQ791="Yes",AQ791="Y",AQ791=1),1,0)</f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17">
        <f>SUM(H792,J792,L792,N792,P792,R792,T792,V792,X792,Z792,AB792,AD792,AF792,AH792,AJ792,AL792,AN792)</f>
        <v>0</v>
      </c>
      <c r="AT792" s="67" t="str">
        <f>IF(C792="","",DATE(YEAR(C792),MONTH(C792),1))</f>
        <v/>
      </c>
      <c r="AU792" s="66" t="str">
        <f>IF(AT792="","",TEXT(AT792,"mmmm yyyy"))</f>
        <v/>
      </c>
      <c r="AV792" s="67" t="str">
        <f>IF(C792="","",C792-WEEKDAY(C792,2)+1)</f>
        <v/>
      </c>
      <c r="AW792" s="67" t="str">
        <f>IF(AV792="","",AV792+6)</f>
        <v/>
      </c>
      <c r="AX792" s="66" t="str">
        <f>IF(AV792="","",TEXT(AV792,"dd/mm/yyyy")&amp;" - "&amp;TEXT(AW792,"dd/mm/yyyy"))</f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>IF(B792="","",TEXT(AY792,"00")&amp;"|"&amp;B792&amp;"|"&amp;TEXT(AT792,"yyyymmdd"))</f>
        <v/>
      </c>
      <c r="BB792" s="66" t="str">
        <f>IF(B792="","",TEXT(AZ792,"00")&amp;"|"&amp;B792&amp;"|"&amp;TEXT(AV792,"yyyymmdd"))</f>
        <v/>
      </c>
      <c r="BC792" s="66">
        <f>IF(OR(AQ792="YES",AQ792="Yes",AQ792="Y",AQ792=1),1,0)</f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17">
        <f>SUM(H793,J793,L793,N793,P793,R793,T793,V793,X793,Z793,AB793,AD793,AF793,AH793,AJ793,AL793,AN793)</f>
        <v>0</v>
      </c>
      <c r="AT793" s="67" t="str">
        <f>IF(C793="","",DATE(YEAR(C793),MONTH(C793),1))</f>
        <v/>
      </c>
      <c r="AU793" s="66" t="str">
        <f>IF(AT793="","",TEXT(AT793,"mmmm yyyy"))</f>
        <v/>
      </c>
      <c r="AV793" s="67" t="str">
        <f>IF(C793="","",C793-WEEKDAY(C793,2)+1)</f>
        <v/>
      </c>
      <c r="AW793" s="67" t="str">
        <f>IF(AV793="","",AV793+6)</f>
        <v/>
      </c>
      <c r="AX793" s="66" t="str">
        <f>IF(AV793="","",TEXT(AV793,"dd/mm/yyyy")&amp;" - "&amp;TEXT(AW793,"dd/mm/yyyy"))</f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>IF(B793="","",TEXT(AY793,"00")&amp;"|"&amp;B793&amp;"|"&amp;TEXT(AT793,"yyyymmdd"))</f>
        <v/>
      </c>
      <c r="BB793" s="66" t="str">
        <f>IF(B793="","",TEXT(AZ793,"00")&amp;"|"&amp;B793&amp;"|"&amp;TEXT(AV793,"yyyymmdd"))</f>
        <v/>
      </c>
      <c r="BC793" s="66">
        <f>IF(OR(AQ793="YES",AQ793="Yes",AQ793="Y",AQ793=1),1,0)</f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17">
        <f>SUM(H794,J794,L794,N794,P794,R794,T794,V794,X794,Z794,AB794,AD794,AF794,AH794,AJ794,AL794,AN794)</f>
        <v>0</v>
      </c>
      <c r="AT794" s="67" t="str">
        <f>IF(C794="","",DATE(YEAR(C794),MONTH(C794),1))</f>
        <v/>
      </c>
      <c r="AU794" s="66" t="str">
        <f>IF(AT794="","",TEXT(AT794,"mmmm yyyy"))</f>
        <v/>
      </c>
      <c r="AV794" s="67" t="str">
        <f>IF(C794="","",C794-WEEKDAY(C794,2)+1)</f>
        <v/>
      </c>
      <c r="AW794" s="67" t="str">
        <f>IF(AV794="","",AV794+6)</f>
        <v/>
      </c>
      <c r="AX794" s="66" t="str">
        <f>IF(AV794="","",TEXT(AV794,"dd/mm/yyyy")&amp;" - "&amp;TEXT(AW794,"dd/mm/yyyy"))</f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>IF(B794="","",TEXT(AY794,"00")&amp;"|"&amp;B794&amp;"|"&amp;TEXT(AT794,"yyyymmdd"))</f>
        <v/>
      </c>
      <c r="BB794" s="66" t="str">
        <f>IF(B794="","",TEXT(AZ794,"00")&amp;"|"&amp;B794&amp;"|"&amp;TEXT(AV794,"yyyymmdd"))</f>
        <v/>
      </c>
      <c r="BC794" s="66">
        <f>IF(OR(AQ794="YES",AQ794="Yes",AQ794="Y",AQ794=1),1,0)</f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17">
        <f>SUM(H795,J795,L795,N795,P795,R795,T795,V795,X795,Z795,AB795,AD795,AF795,AH795,AJ795,AL795,AN795)</f>
        <v>0</v>
      </c>
      <c r="AT795" s="67" t="str">
        <f>IF(C795="","",DATE(YEAR(C795),MONTH(C795),1))</f>
        <v/>
      </c>
      <c r="AU795" s="66" t="str">
        <f>IF(AT795="","",TEXT(AT795,"mmmm yyyy"))</f>
        <v/>
      </c>
      <c r="AV795" s="67" t="str">
        <f>IF(C795="","",C795-WEEKDAY(C795,2)+1)</f>
        <v/>
      </c>
      <c r="AW795" s="67" t="str">
        <f>IF(AV795="","",AV795+6)</f>
        <v/>
      </c>
      <c r="AX795" s="66" t="str">
        <f>IF(AV795="","",TEXT(AV795,"dd/mm/yyyy")&amp;" - "&amp;TEXT(AW795,"dd/mm/yyyy"))</f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>IF(B795="","",TEXT(AY795,"00")&amp;"|"&amp;B795&amp;"|"&amp;TEXT(AT795,"yyyymmdd"))</f>
        <v/>
      </c>
      <c r="BB795" s="66" t="str">
        <f>IF(B795="","",TEXT(AZ795,"00")&amp;"|"&amp;B795&amp;"|"&amp;TEXT(AV795,"yyyymmdd"))</f>
        <v/>
      </c>
      <c r="BC795" s="66">
        <f>IF(OR(AQ795="YES",AQ795="Yes",AQ795="Y",AQ795=1),1,0)</f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17">
        <f>SUM(H796,J796,L796,N796,P796,R796,T796,V796,X796,Z796,AB796,AD796,AF796,AH796,AJ796,AL796,AN796)</f>
        <v>0</v>
      </c>
      <c r="AT796" s="67" t="str">
        <f>IF(C796="","",DATE(YEAR(C796),MONTH(C796),1))</f>
        <v/>
      </c>
      <c r="AU796" s="66" t="str">
        <f>IF(AT796="","",TEXT(AT796,"mmmm yyyy"))</f>
        <v/>
      </c>
      <c r="AV796" s="67" t="str">
        <f>IF(C796="","",C796-WEEKDAY(C796,2)+1)</f>
        <v/>
      </c>
      <c r="AW796" s="67" t="str">
        <f>IF(AV796="","",AV796+6)</f>
        <v/>
      </c>
      <c r="AX796" s="66" t="str">
        <f>IF(AV796="","",TEXT(AV796,"dd/mm/yyyy")&amp;" - "&amp;TEXT(AW796,"dd/mm/yyyy"))</f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>IF(B796="","",TEXT(AY796,"00")&amp;"|"&amp;B796&amp;"|"&amp;TEXT(AT796,"yyyymmdd"))</f>
        <v/>
      </c>
      <c r="BB796" s="66" t="str">
        <f>IF(B796="","",TEXT(AZ796,"00")&amp;"|"&amp;B796&amp;"|"&amp;TEXT(AV796,"yyyymmdd"))</f>
        <v/>
      </c>
      <c r="BC796" s="66">
        <f>IF(OR(AQ796="YES",AQ796="Yes",AQ796="Y",AQ796=1),1,0)</f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17">
        <f>SUM(H797,J797,L797,N797,P797,R797,T797,V797,X797,Z797,AB797,AD797,AF797,AH797,AJ797,AL797,AN797)</f>
        <v>0</v>
      </c>
      <c r="AT797" s="67" t="str">
        <f>IF(C797="","",DATE(YEAR(C797),MONTH(C797),1))</f>
        <v/>
      </c>
      <c r="AU797" s="66" t="str">
        <f>IF(AT797="","",TEXT(AT797,"mmmm yyyy"))</f>
        <v/>
      </c>
      <c r="AV797" s="67" t="str">
        <f>IF(C797="","",C797-WEEKDAY(C797,2)+1)</f>
        <v/>
      </c>
      <c r="AW797" s="67" t="str">
        <f>IF(AV797="","",AV797+6)</f>
        <v/>
      </c>
      <c r="AX797" s="66" t="str">
        <f>IF(AV797="","",TEXT(AV797,"dd/mm/yyyy")&amp;" - "&amp;TEXT(AW797,"dd/mm/yyyy"))</f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>IF(B797="","",TEXT(AY797,"00")&amp;"|"&amp;B797&amp;"|"&amp;TEXT(AT797,"yyyymmdd"))</f>
        <v/>
      </c>
      <c r="BB797" s="66" t="str">
        <f>IF(B797="","",TEXT(AZ797,"00")&amp;"|"&amp;B797&amp;"|"&amp;TEXT(AV797,"yyyymmdd"))</f>
        <v/>
      </c>
      <c r="BC797" s="66">
        <f>IF(OR(AQ797="YES",AQ797="Yes",AQ797="Y",AQ797=1),1,0)</f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17">
        <f>SUM(H798,J798,L798,N798,P798,R798,T798,V798,X798,Z798,AB798,AD798,AF798,AH798,AJ798,AL798,AN798)</f>
        <v>0</v>
      </c>
      <c r="AT798" s="67" t="str">
        <f>IF(C798="","",DATE(YEAR(C798),MONTH(C798),1))</f>
        <v/>
      </c>
      <c r="AU798" s="66" t="str">
        <f>IF(AT798="","",TEXT(AT798,"mmmm yyyy"))</f>
        <v/>
      </c>
      <c r="AV798" s="67" t="str">
        <f>IF(C798="","",C798-WEEKDAY(C798,2)+1)</f>
        <v/>
      </c>
      <c r="AW798" s="67" t="str">
        <f>IF(AV798="","",AV798+6)</f>
        <v/>
      </c>
      <c r="AX798" s="66" t="str">
        <f>IF(AV798="","",TEXT(AV798,"dd/mm/yyyy")&amp;" - "&amp;TEXT(AW798,"dd/mm/yyyy"))</f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>IF(B798="","",TEXT(AY798,"00")&amp;"|"&amp;B798&amp;"|"&amp;TEXT(AT798,"yyyymmdd"))</f>
        <v/>
      </c>
      <c r="BB798" s="66" t="str">
        <f>IF(B798="","",TEXT(AZ798,"00")&amp;"|"&amp;B798&amp;"|"&amp;TEXT(AV798,"yyyymmdd"))</f>
        <v/>
      </c>
      <c r="BC798" s="66">
        <f>IF(OR(AQ798="YES",AQ798="Yes",AQ798="Y",AQ798=1),1,0)</f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17">
        <f>SUM(H799,J799,L799,N799,P799,R799,T799,V799,X799,Z799,AB799,AD799,AF799,AH799,AJ799,AL799,AN799)</f>
        <v>0</v>
      </c>
      <c r="AT799" s="67" t="str">
        <f>IF(C799="","",DATE(YEAR(C799),MONTH(C799),1))</f>
        <v/>
      </c>
      <c r="AU799" s="66" t="str">
        <f>IF(AT799="","",TEXT(AT799,"mmmm yyyy"))</f>
        <v/>
      </c>
      <c r="AV799" s="67" t="str">
        <f>IF(C799="","",C799-WEEKDAY(C799,2)+1)</f>
        <v/>
      </c>
      <c r="AW799" s="67" t="str">
        <f>IF(AV799="","",AV799+6)</f>
        <v/>
      </c>
      <c r="AX799" s="66" t="str">
        <f>IF(AV799="","",TEXT(AV799,"dd/mm/yyyy")&amp;" - "&amp;TEXT(AW799,"dd/mm/yyyy"))</f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>IF(B799="","",TEXT(AY799,"00")&amp;"|"&amp;B799&amp;"|"&amp;TEXT(AT799,"yyyymmdd"))</f>
        <v/>
      </c>
      <c r="BB799" s="66" t="str">
        <f>IF(B799="","",TEXT(AZ799,"00")&amp;"|"&amp;B799&amp;"|"&amp;TEXT(AV799,"yyyymmdd"))</f>
        <v/>
      </c>
      <c r="BC799" s="66">
        <f>IF(OR(AQ799="YES",AQ799="Yes",AQ799="Y",AQ799=1),1,0)</f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17">
        <f>SUM(H800,J800,L800,N800,P800,R800,T800,V800,X800,Z800,AB800,AD800,AF800,AH800,AJ800,AL800,AN800)</f>
        <v>0</v>
      </c>
      <c r="AT800" s="67" t="str">
        <f>IF(C800="","",DATE(YEAR(C800),MONTH(C800),1))</f>
        <v/>
      </c>
      <c r="AU800" s="66" t="str">
        <f>IF(AT800="","",TEXT(AT800,"mmmm yyyy"))</f>
        <v/>
      </c>
      <c r="AV800" s="67" t="str">
        <f>IF(C800="","",C800-WEEKDAY(C800,2)+1)</f>
        <v/>
      </c>
      <c r="AW800" s="67" t="str">
        <f>IF(AV800="","",AV800+6)</f>
        <v/>
      </c>
      <c r="AX800" s="66" t="str">
        <f>IF(AV800="","",TEXT(AV800,"dd/mm/yyyy")&amp;" - "&amp;TEXT(AW800,"dd/mm/yyyy"))</f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>IF(B800="","",TEXT(AY800,"00")&amp;"|"&amp;B800&amp;"|"&amp;TEXT(AT800,"yyyymmdd"))</f>
        <v/>
      </c>
      <c r="BB800" s="66" t="str">
        <f>IF(B800="","",TEXT(AZ800,"00")&amp;"|"&amp;B800&amp;"|"&amp;TEXT(AV800,"yyyymmdd"))</f>
        <v/>
      </c>
      <c r="BC800" s="66">
        <f>IF(OR(AQ800="YES",AQ800="Yes",AQ800="Y",AQ800=1),1,0)</f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17">
        <f>SUM(H801,J801,L801,N801,P801,R801,T801,V801,X801,Z801,AB801,AD801,AF801,AH801,AJ801,AL801,AN801)</f>
        <v>0</v>
      </c>
      <c r="AT801" s="67" t="str">
        <f>IF(C801="","",DATE(YEAR(C801),MONTH(C801),1))</f>
        <v/>
      </c>
      <c r="AU801" s="66" t="str">
        <f>IF(AT801="","",TEXT(AT801,"mmmm yyyy"))</f>
        <v/>
      </c>
      <c r="AV801" s="67" t="str">
        <f>IF(C801="","",C801-WEEKDAY(C801,2)+1)</f>
        <v/>
      </c>
      <c r="AW801" s="67" t="str">
        <f>IF(AV801="","",AV801+6)</f>
        <v/>
      </c>
      <c r="AX801" s="66" t="str">
        <f>IF(AV801="","",TEXT(AV801,"dd/mm/yyyy")&amp;" - "&amp;TEXT(AW801,"dd/mm/yyyy"))</f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>IF(B801="","",TEXT(AY801,"00")&amp;"|"&amp;B801&amp;"|"&amp;TEXT(AT801,"yyyymmdd"))</f>
        <v/>
      </c>
      <c r="BB801" s="66" t="str">
        <f>IF(B801="","",TEXT(AZ801,"00")&amp;"|"&amp;B801&amp;"|"&amp;TEXT(AV801,"yyyymmdd"))</f>
        <v/>
      </c>
      <c r="BC801" s="66">
        <f>IF(OR(AQ801="YES",AQ801="Yes",AQ801="Y",AQ801=1),1,0)</f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17">
        <f>SUM(H802,J802,L802,N802,P802,R802,T802,V802,X802,Z802,AB802,AD802,AF802,AH802,AJ802,AL802,AN802)</f>
        <v>0</v>
      </c>
      <c r="AT802" s="67" t="str">
        <f>IF(C802="","",DATE(YEAR(C802),MONTH(C802),1))</f>
        <v/>
      </c>
      <c r="AU802" s="66" t="str">
        <f>IF(AT802="","",TEXT(AT802,"mmmm yyyy"))</f>
        <v/>
      </c>
      <c r="AV802" s="67" t="str">
        <f>IF(C802="","",C802-WEEKDAY(C802,2)+1)</f>
        <v/>
      </c>
      <c r="AW802" s="67" t="str">
        <f>IF(AV802="","",AV802+6)</f>
        <v/>
      </c>
      <c r="AX802" s="66" t="str">
        <f>IF(AV802="","",TEXT(AV802,"dd/mm/yyyy")&amp;" - "&amp;TEXT(AW802,"dd/mm/yyyy"))</f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>IF(B802="","",TEXT(AY802,"00")&amp;"|"&amp;B802&amp;"|"&amp;TEXT(AT802,"yyyymmdd"))</f>
        <v/>
      </c>
      <c r="BB802" s="66" t="str">
        <f>IF(B802="","",TEXT(AZ802,"00")&amp;"|"&amp;B802&amp;"|"&amp;TEXT(AV802,"yyyymmdd"))</f>
        <v/>
      </c>
      <c r="BC802" s="66">
        <f>IF(OR(AQ802="YES",AQ802="Yes",AQ802="Y",AQ802=1),1,0)</f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17">
        <f>SUM(H803,J803,L803,N803,P803,R803,T803,V803,X803,Z803,AB803,AD803,AF803,AH803,AJ803,AL803,AN803)</f>
        <v>0</v>
      </c>
      <c r="AT803" s="67" t="str">
        <f>IF(C803="","",DATE(YEAR(C803),MONTH(C803),1))</f>
        <v/>
      </c>
      <c r="AU803" s="66" t="str">
        <f>IF(AT803="","",TEXT(AT803,"mmmm yyyy"))</f>
        <v/>
      </c>
      <c r="AV803" s="67" t="str">
        <f>IF(C803="","",C803-WEEKDAY(C803,2)+1)</f>
        <v/>
      </c>
      <c r="AW803" s="67" t="str">
        <f>IF(AV803="","",AV803+6)</f>
        <v/>
      </c>
      <c r="AX803" s="66" t="str">
        <f>IF(AV803="","",TEXT(AV803,"dd/mm/yyyy")&amp;" - "&amp;TEXT(AW803,"dd/mm/yyyy"))</f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>IF(B803="","",TEXT(AY803,"00")&amp;"|"&amp;B803&amp;"|"&amp;TEXT(AT803,"yyyymmdd"))</f>
        <v/>
      </c>
      <c r="BB803" s="66" t="str">
        <f>IF(B803="","",TEXT(AZ803,"00")&amp;"|"&amp;B803&amp;"|"&amp;TEXT(AV803,"yyyymmdd"))</f>
        <v/>
      </c>
      <c r="BC803" s="66">
        <f>IF(OR(AQ803="YES",AQ803="Yes",AQ803="Y",AQ803=1),1,0)</f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17">
        <f>SUM(H804,J804,L804,N804,P804,R804,T804,V804,X804,Z804,AB804,AD804,AF804,AH804,AJ804,AL804,AN804)</f>
        <v>0</v>
      </c>
      <c r="AT804" s="67" t="str">
        <f>IF(C804="","",DATE(YEAR(C804),MONTH(C804),1))</f>
        <v/>
      </c>
      <c r="AU804" s="66" t="str">
        <f>IF(AT804="","",TEXT(AT804,"mmmm yyyy"))</f>
        <v/>
      </c>
      <c r="AV804" s="67" t="str">
        <f>IF(C804="","",C804-WEEKDAY(C804,2)+1)</f>
        <v/>
      </c>
      <c r="AW804" s="67" t="str">
        <f>IF(AV804="","",AV804+6)</f>
        <v/>
      </c>
      <c r="AX804" s="66" t="str">
        <f>IF(AV804="","",TEXT(AV804,"dd/mm/yyyy")&amp;" - "&amp;TEXT(AW804,"dd/mm/yyyy"))</f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>IF(B804="","",TEXT(AY804,"00")&amp;"|"&amp;B804&amp;"|"&amp;TEXT(AT804,"yyyymmdd"))</f>
        <v/>
      </c>
      <c r="BB804" s="66" t="str">
        <f>IF(B804="","",TEXT(AZ804,"00")&amp;"|"&amp;B804&amp;"|"&amp;TEXT(AV804,"yyyymmdd"))</f>
        <v/>
      </c>
      <c r="BC804" s="66">
        <f>IF(OR(AQ804="YES",AQ804="Yes",AQ804="Y",AQ804=1),1,0)</f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17">
        <f>SUM(H805,J805,L805,N805,P805,R805,T805,V805,X805,Z805,AB805,AD805,AF805,AH805,AJ805,AL805,AN805)</f>
        <v>0</v>
      </c>
      <c r="AT805" s="67" t="str">
        <f>IF(C805="","",DATE(YEAR(C805),MONTH(C805),1))</f>
        <v/>
      </c>
      <c r="AU805" s="66" t="str">
        <f>IF(AT805="","",TEXT(AT805,"mmmm yyyy"))</f>
        <v/>
      </c>
      <c r="AV805" s="67" t="str">
        <f>IF(C805="","",C805-WEEKDAY(C805,2)+1)</f>
        <v/>
      </c>
      <c r="AW805" s="67" t="str">
        <f>IF(AV805="","",AV805+6)</f>
        <v/>
      </c>
      <c r="AX805" s="66" t="str">
        <f>IF(AV805="","",TEXT(AV805,"dd/mm/yyyy")&amp;" - "&amp;TEXT(AW805,"dd/mm/yyyy"))</f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>IF(B805="","",TEXT(AY805,"00")&amp;"|"&amp;B805&amp;"|"&amp;TEXT(AT805,"yyyymmdd"))</f>
        <v/>
      </c>
      <c r="BB805" s="66" t="str">
        <f>IF(B805="","",TEXT(AZ805,"00")&amp;"|"&amp;B805&amp;"|"&amp;TEXT(AV805,"yyyymmdd"))</f>
        <v/>
      </c>
      <c r="BC805" s="66">
        <f>IF(OR(AQ805="YES",AQ805="Yes",AQ805="Y",AQ805=1),1,0)</f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17">
        <f>SUM(H806,J806,L806,N806,P806,R806,T806,V806,X806,Z806,AB806,AD806,AF806,AH806,AJ806,AL806,AN806)</f>
        <v>0</v>
      </c>
      <c r="AT806" s="67" t="str">
        <f>IF(C806="","",DATE(YEAR(C806),MONTH(C806),1))</f>
        <v/>
      </c>
      <c r="AU806" s="66" t="str">
        <f>IF(AT806="","",TEXT(AT806,"mmmm yyyy"))</f>
        <v/>
      </c>
      <c r="AV806" s="67" t="str">
        <f>IF(C806="","",C806-WEEKDAY(C806,2)+1)</f>
        <v/>
      </c>
      <c r="AW806" s="67" t="str">
        <f>IF(AV806="","",AV806+6)</f>
        <v/>
      </c>
      <c r="AX806" s="66" t="str">
        <f>IF(AV806="","",TEXT(AV806,"dd/mm/yyyy")&amp;" - "&amp;TEXT(AW806,"dd/mm/yyyy"))</f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>IF(B806="","",TEXT(AY806,"00")&amp;"|"&amp;B806&amp;"|"&amp;TEXT(AT806,"yyyymmdd"))</f>
        <v/>
      </c>
      <c r="BB806" s="66" t="str">
        <f>IF(B806="","",TEXT(AZ806,"00")&amp;"|"&amp;B806&amp;"|"&amp;TEXT(AV806,"yyyymmdd"))</f>
        <v/>
      </c>
      <c r="BC806" s="66">
        <f>IF(OR(AQ806="YES",AQ806="Yes",AQ806="Y",AQ806=1),1,0)</f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17">
        <f>SUM(H807,J807,L807,N807,P807,R807,T807,V807,X807,Z807,AB807,AD807,AF807,AH807,AJ807,AL807,AN807)</f>
        <v>0</v>
      </c>
      <c r="AT807" s="67" t="str">
        <f>IF(C807="","",DATE(YEAR(C807),MONTH(C807),1))</f>
        <v/>
      </c>
      <c r="AU807" s="66" t="str">
        <f>IF(AT807="","",TEXT(AT807,"mmmm yyyy"))</f>
        <v/>
      </c>
      <c r="AV807" s="67" t="str">
        <f>IF(C807="","",C807-WEEKDAY(C807,2)+1)</f>
        <v/>
      </c>
      <c r="AW807" s="67" t="str">
        <f>IF(AV807="","",AV807+6)</f>
        <v/>
      </c>
      <c r="AX807" s="66" t="str">
        <f>IF(AV807="","",TEXT(AV807,"dd/mm/yyyy")&amp;" - "&amp;TEXT(AW807,"dd/mm/yyyy"))</f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>IF(B807="","",TEXT(AY807,"00")&amp;"|"&amp;B807&amp;"|"&amp;TEXT(AT807,"yyyymmdd"))</f>
        <v/>
      </c>
      <c r="BB807" s="66" t="str">
        <f>IF(B807="","",TEXT(AZ807,"00")&amp;"|"&amp;B807&amp;"|"&amp;TEXT(AV807,"yyyymmdd"))</f>
        <v/>
      </c>
      <c r="BC807" s="66">
        <f>IF(OR(AQ807="YES",AQ807="Yes",AQ807="Y",AQ807=1),1,0)</f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17">
        <f>SUM(H808,J808,L808,N808,P808,R808,T808,V808,X808,Z808,AB808,AD808,AF808,AH808,AJ808,AL808,AN808)</f>
        <v>0</v>
      </c>
      <c r="AT808" s="67" t="str">
        <f>IF(C808="","",DATE(YEAR(C808),MONTH(C808),1))</f>
        <v/>
      </c>
      <c r="AU808" s="66" t="str">
        <f>IF(AT808="","",TEXT(AT808,"mmmm yyyy"))</f>
        <v/>
      </c>
      <c r="AV808" s="67" t="str">
        <f>IF(C808="","",C808-WEEKDAY(C808,2)+1)</f>
        <v/>
      </c>
      <c r="AW808" s="67" t="str">
        <f>IF(AV808="","",AV808+6)</f>
        <v/>
      </c>
      <c r="AX808" s="66" t="str">
        <f>IF(AV808="","",TEXT(AV808,"dd/mm/yyyy")&amp;" - "&amp;TEXT(AW808,"dd/mm/yyyy"))</f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>IF(B808="","",TEXT(AY808,"00")&amp;"|"&amp;B808&amp;"|"&amp;TEXT(AT808,"yyyymmdd"))</f>
        <v/>
      </c>
      <c r="BB808" s="66" t="str">
        <f>IF(B808="","",TEXT(AZ808,"00")&amp;"|"&amp;B808&amp;"|"&amp;TEXT(AV808,"yyyymmdd"))</f>
        <v/>
      </c>
      <c r="BC808" s="66">
        <f>IF(OR(AQ808="YES",AQ808="Yes",AQ808="Y",AQ808=1),1,0)</f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17">
        <f>SUM(H809,J809,L809,N809,P809,R809,T809,V809,X809,Z809,AB809,AD809,AF809,AH809,AJ809,AL809,AN809)</f>
        <v>0</v>
      </c>
      <c r="AT809" s="67" t="str">
        <f>IF(C809="","",DATE(YEAR(C809),MONTH(C809),1))</f>
        <v/>
      </c>
      <c r="AU809" s="66" t="str">
        <f>IF(AT809="","",TEXT(AT809,"mmmm yyyy"))</f>
        <v/>
      </c>
      <c r="AV809" s="67" t="str">
        <f>IF(C809="","",C809-WEEKDAY(C809,2)+1)</f>
        <v/>
      </c>
      <c r="AW809" s="67" t="str">
        <f>IF(AV809="","",AV809+6)</f>
        <v/>
      </c>
      <c r="AX809" s="66" t="str">
        <f>IF(AV809="","",TEXT(AV809,"dd/mm/yyyy")&amp;" - "&amp;TEXT(AW809,"dd/mm/yyyy"))</f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>IF(B809="","",TEXT(AY809,"00")&amp;"|"&amp;B809&amp;"|"&amp;TEXT(AT809,"yyyymmdd"))</f>
        <v/>
      </c>
      <c r="BB809" s="66" t="str">
        <f>IF(B809="","",TEXT(AZ809,"00")&amp;"|"&amp;B809&amp;"|"&amp;TEXT(AV809,"yyyymmdd"))</f>
        <v/>
      </c>
      <c r="BC809" s="66">
        <f>IF(OR(AQ809="YES",AQ809="Yes",AQ809="Y",AQ809=1),1,0)</f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17">
        <f>SUM(H810,J810,L810,N810,P810,R810,T810,V810,X810,Z810,AB810,AD810,AF810,AH810,AJ810,AL810,AN810)</f>
        <v>0</v>
      </c>
      <c r="AT810" s="67" t="str">
        <f>IF(C810="","",DATE(YEAR(C810),MONTH(C810),1))</f>
        <v/>
      </c>
      <c r="AU810" s="66" t="str">
        <f>IF(AT810="","",TEXT(AT810,"mmmm yyyy"))</f>
        <v/>
      </c>
      <c r="AV810" s="67" t="str">
        <f>IF(C810="","",C810-WEEKDAY(C810,2)+1)</f>
        <v/>
      </c>
      <c r="AW810" s="67" t="str">
        <f>IF(AV810="","",AV810+6)</f>
        <v/>
      </c>
      <c r="AX810" s="66" t="str">
        <f>IF(AV810="","",TEXT(AV810,"dd/mm/yyyy")&amp;" - "&amp;TEXT(AW810,"dd/mm/yyyy"))</f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>IF(B810="","",TEXT(AY810,"00")&amp;"|"&amp;B810&amp;"|"&amp;TEXT(AT810,"yyyymmdd"))</f>
        <v/>
      </c>
      <c r="BB810" s="66" t="str">
        <f>IF(B810="","",TEXT(AZ810,"00")&amp;"|"&amp;B810&amp;"|"&amp;TEXT(AV810,"yyyymmdd"))</f>
        <v/>
      </c>
      <c r="BC810" s="66">
        <f>IF(OR(AQ810="YES",AQ810="Yes",AQ810="Y",AQ810=1),1,0)</f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17">
        <f>SUM(H811,J811,L811,N811,P811,R811,T811,V811,X811,Z811,AB811,AD811,AF811,AH811,AJ811,AL811,AN811)</f>
        <v>0</v>
      </c>
      <c r="AT811" s="67" t="str">
        <f>IF(C811="","",DATE(YEAR(C811),MONTH(C811),1))</f>
        <v/>
      </c>
      <c r="AU811" s="66" t="str">
        <f>IF(AT811="","",TEXT(AT811,"mmmm yyyy"))</f>
        <v/>
      </c>
      <c r="AV811" s="67" t="str">
        <f>IF(C811="","",C811-WEEKDAY(C811,2)+1)</f>
        <v/>
      </c>
      <c r="AW811" s="67" t="str">
        <f>IF(AV811="","",AV811+6)</f>
        <v/>
      </c>
      <c r="AX811" s="66" t="str">
        <f>IF(AV811="","",TEXT(AV811,"dd/mm/yyyy")&amp;" - "&amp;TEXT(AW811,"dd/mm/yyyy"))</f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>IF(B811="","",TEXT(AY811,"00")&amp;"|"&amp;B811&amp;"|"&amp;TEXT(AT811,"yyyymmdd"))</f>
        <v/>
      </c>
      <c r="BB811" s="66" t="str">
        <f>IF(B811="","",TEXT(AZ811,"00")&amp;"|"&amp;B811&amp;"|"&amp;TEXT(AV811,"yyyymmdd"))</f>
        <v/>
      </c>
      <c r="BC811" s="66">
        <f>IF(OR(AQ811="YES",AQ811="Yes",AQ811="Y",AQ811=1),1,0)</f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17">
        <f>SUM(H812,J812,L812,N812,P812,R812,T812,V812,X812,Z812,AB812,AD812,AF812,AH812,AJ812,AL812,AN812)</f>
        <v>0</v>
      </c>
      <c r="AT812" s="67" t="str">
        <f>IF(C812="","",DATE(YEAR(C812),MONTH(C812),1))</f>
        <v/>
      </c>
      <c r="AU812" s="66" t="str">
        <f>IF(AT812="","",TEXT(AT812,"mmmm yyyy"))</f>
        <v/>
      </c>
      <c r="AV812" s="67" t="str">
        <f>IF(C812="","",C812-WEEKDAY(C812,2)+1)</f>
        <v/>
      </c>
      <c r="AW812" s="67" t="str">
        <f>IF(AV812="","",AV812+6)</f>
        <v/>
      </c>
      <c r="AX812" s="66" t="str">
        <f>IF(AV812="","",TEXT(AV812,"dd/mm/yyyy")&amp;" - "&amp;TEXT(AW812,"dd/mm/yyyy"))</f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>IF(B812="","",TEXT(AY812,"00")&amp;"|"&amp;B812&amp;"|"&amp;TEXT(AT812,"yyyymmdd"))</f>
        <v/>
      </c>
      <c r="BB812" s="66" t="str">
        <f>IF(B812="","",TEXT(AZ812,"00")&amp;"|"&amp;B812&amp;"|"&amp;TEXT(AV812,"yyyymmdd"))</f>
        <v/>
      </c>
      <c r="BC812" s="66">
        <f>IF(OR(AQ812="YES",AQ812="Yes",AQ812="Y",AQ812=1),1,0)</f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17">
        <f>SUM(H813,J813,L813,N813,P813,R813,T813,V813,X813,Z813,AB813,AD813,AF813,AH813,AJ813,AL813,AN813)</f>
        <v>0</v>
      </c>
      <c r="AT813" s="67" t="str">
        <f>IF(C813="","",DATE(YEAR(C813),MONTH(C813),1))</f>
        <v/>
      </c>
      <c r="AU813" s="66" t="str">
        <f>IF(AT813="","",TEXT(AT813,"mmmm yyyy"))</f>
        <v/>
      </c>
      <c r="AV813" s="67" t="str">
        <f>IF(C813="","",C813-WEEKDAY(C813,2)+1)</f>
        <v/>
      </c>
      <c r="AW813" s="67" t="str">
        <f>IF(AV813="","",AV813+6)</f>
        <v/>
      </c>
      <c r="AX813" s="66" t="str">
        <f>IF(AV813="","",TEXT(AV813,"dd/mm/yyyy")&amp;" - "&amp;TEXT(AW813,"dd/mm/yyyy"))</f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>IF(B813="","",TEXT(AY813,"00")&amp;"|"&amp;B813&amp;"|"&amp;TEXT(AT813,"yyyymmdd"))</f>
        <v/>
      </c>
      <c r="BB813" s="66" t="str">
        <f>IF(B813="","",TEXT(AZ813,"00")&amp;"|"&amp;B813&amp;"|"&amp;TEXT(AV813,"yyyymmdd"))</f>
        <v/>
      </c>
      <c r="BC813" s="66">
        <f>IF(OR(AQ813="YES",AQ813="Yes",AQ813="Y",AQ813=1),1,0)</f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17">
        <f>SUM(H814,J814,L814,N814,P814,R814,T814,V814,X814,Z814,AB814,AD814,AF814,AH814,AJ814,AL814,AN814)</f>
        <v>0</v>
      </c>
      <c r="AT814" s="67" t="str">
        <f>IF(C814="","",DATE(YEAR(C814),MONTH(C814),1))</f>
        <v/>
      </c>
      <c r="AU814" s="66" t="str">
        <f>IF(AT814="","",TEXT(AT814,"mmmm yyyy"))</f>
        <v/>
      </c>
      <c r="AV814" s="67" t="str">
        <f>IF(C814="","",C814-WEEKDAY(C814,2)+1)</f>
        <v/>
      </c>
      <c r="AW814" s="67" t="str">
        <f>IF(AV814="","",AV814+6)</f>
        <v/>
      </c>
      <c r="AX814" s="66" t="str">
        <f>IF(AV814="","",TEXT(AV814,"dd/mm/yyyy")&amp;" - "&amp;TEXT(AW814,"dd/mm/yyyy"))</f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>IF(B814="","",TEXT(AY814,"00")&amp;"|"&amp;B814&amp;"|"&amp;TEXT(AT814,"yyyymmdd"))</f>
        <v/>
      </c>
      <c r="BB814" s="66" t="str">
        <f>IF(B814="","",TEXT(AZ814,"00")&amp;"|"&amp;B814&amp;"|"&amp;TEXT(AV814,"yyyymmdd"))</f>
        <v/>
      </c>
      <c r="BC814" s="66">
        <f>IF(OR(AQ814="YES",AQ814="Yes",AQ814="Y",AQ814=1),1,0)</f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17">
        <f>SUM(H815,J815,L815,N815,P815,R815,T815,V815,X815,Z815,AB815,AD815,AF815,AH815,AJ815,AL815,AN815)</f>
        <v>0</v>
      </c>
      <c r="AT815" s="67" t="str">
        <f>IF(C815="","",DATE(YEAR(C815),MONTH(C815),1))</f>
        <v/>
      </c>
      <c r="AU815" s="66" t="str">
        <f>IF(AT815="","",TEXT(AT815,"mmmm yyyy"))</f>
        <v/>
      </c>
      <c r="AV815" s="67" t="str">
        <f>IF(C815="","",C815-WEEKDAY(C815,2)+1)</f>
        <v/>
      </c>
      <c r="AW815" s="67" t="str">
        <f>IF(AV815="","",AV815+6)</f>
        <v/>
      </c>
      <c r="AX815" s="66" t="str">
        <f>IF(AV815="","",TEXT(AV815,"dd/mm/yyyy")&amp;" - "&amp;TEXT(AW815,"dd/mm/yyyy"))</f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>IF(B815="","",TEXT(AY815,"00")&amp;"|"&amp;B815&amp;"|"&amp;TEXT(AT815,"yyyymmdd"))</f>
        <v/>
      </c>
      <c r="BB815" s="66" t="str">
        <f>IF(B815="","",TEXT(AZ815,"00")&amp;"|"&amp;B815&amp;"|"&amp;TEXT(AV815,"yyyymmdd"))</f>
        <v/>
      </c>
      <c r="BC815" s="66">
        <f>IF(OR(AQ815="YES",AQ815="Yes",AQ815="Y",AQ815=1),1,0)</f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17">
        <f>SUM(H816,J816,L816,N816,P816,R816,T816,V816,X816,Z816,AB816,AD816,AF816,AH816,AJ816,AL816,AN816)</f>
        <v>0</v>
      </c>
      <c r="AT816" s="67" t="str">
        <f>IF(C816="","",DATE(YEAR(C816),MONTH(C816),1))</f>
        <v/>
      </c>
      <c r="AU816" s="66" t="str">
        <f>IF(AT816="","",TEXT(AT816,"mmmm yyyy"))</f>
        <v/>
      </c>
      <c r="AV816" s="67" t="str">
        <f>IF(C816="","",C816-WEEKDAY(C816,2)+1)</f>
        <v/>
      </c>
      <c r="AW816" s="67" t="str">
        <f>IF(AV816="","",AV816+6)</f>
        <v/>
      </c>
      <c r="AX816" s="66" t="str">
        <f>IF(AV816="","",TEXT(AV816,"dd/mm/yyyy")&amp;" - "&amp;TEXT(AW816,"dd/mm/yyyy"))</f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>IF(B816="","",TEXT(AY816,"00")&amp;"|"&amp;B816&amp;"|"&amp;TEXT(AT816,"yyyymmdd"))</f>
        <v/>
      </c>
      <c r="BB816" s="66" t="str">
        <f>IF(B816="","",TEXT(AZ816,"00")&amp;"|"&amp;B816&amp;"|"&amp;TEXT(AV816,"yyyymmdd"))</f>
        <v/>
      </c>
      <c r="BC816" s="66">
        <f>IF(OR(AQ816="YES",AQ816="Yes",AQ816="Y",AQ816=1),1,0)</f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17">
        <f>SUM(H817,J817,L817,N817,P817,R817,T817,V817,X817,Z817,AB817,AD817,AF817,AH817,AJ817,AL817,AN817)</f>
        <v>0</v>
      </c>
      <c r="AT817" s="67" t="str">
        <f>IF(C817="","",DATE(YEAR(C817),MONTH(C817),1))</f>
        <v/>
      </c>
      <c r="AU817" s="66" t="str">
        <f>IF(AT817="","",TEXT(AT817,"mmmm yyyy"))</f>
        <v/>
      </c>
      <c r="AV817" s="67" t="str">
        <f>IF(C817="","",C817-WEEKDAY(C817,2)+1)</f>
        <v/>
      </c>
      <c r="AW817" s="67" t="str">
        <f>IF(AV817="","",AV817+6)</f>
        <v/>
      </c>
      <c r="AX817" s="66" t="str">
        <f>IF(AV817="","",TEXT(AV817,"dd/mm/yyyy")&amp;" - "&amp;TEXT(AW817,"dd/mm/yyyy"))</f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>IF(B817="","",TEXT(AY817,"00")&amp;"|"&amp;B817&amp;"|"&amp;TEXT(AT817,"yyyymmdd"))</f>
        <v/>
      </c>
      <c r="BB817" s="66" t="str">
        <f>IF(B817="","",TEXT(AZ817,"00")&amp;"|"&amp;B817&amp;"|"&amp;TEXT(AV817,"yyyymmdd"))</f>
        <v/>
      </c>
      <c r="BC817" s="66">
        <f>IF(OR(AQ817="YES",AQ817="Yes",AQ817="Y",AQ817=1),1,0)</f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17">
        <f>SUM(H818,J818,L818,N818,P818,R818,T818,V818,X818,Z818,AB818,AD818,AF818,AH818,AJ818,AL818,AN818)</f>
        <v>0</v>
      </c>
      <c r="AT818" s="67" t="str">
        <f>IF(C818="","",DATE(YEAR(C818),MONTH(C818),1))</f>
        <v/>
      </c>
      <c r="AU818" s="66" t="str">
        <f>IF(AT818="","",TEXT(AT818,"mmmm yyyy"))</f>
        <v/>
      </c>
      <c r="AV818" s="67" t="str">
        <f>IF(C818="","",C818-WEEKDAY(C818,2)+1)</f>
        <v/>
      </c>
      <c r="AW818" s="67" t="str">
        <f>IF(AV818="","",AV818+6)</f>
        <v/>
      </c>
      <c r="AX818" s="66" t="str">
        <f>IF(AV818="","",TEXT(AV818,"dd/mm/yyyy")&amp;" - "&amp;TEXT(AW818,"dd/mm/yyyy"))</f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>IF(B818="","",TEXT(AY818,"00")&amp;"|"&amp;B818&amp;"|"&amp;TEXT(AT818,"yyyymmdd"))</f>
        <v/>
      </c>
      <c r="BB818" s="66" t="str">
        <f>IF(B818="","",TEXT(AZ818,"00")&amp;"|"&amp;B818&amp;"|"&amp;TEXT(AV818,"yyyymmdd"))</f>
        <v/>
      </c>
      <c r="BC818" s="66">
        <f>IF(OR(AQ818="YES",AQ818="Yes",AQ818="Y",AQ818=1),1,0)</f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17">
        <f>SUM(H819,J819,L819,N819,P819,R819,T819,V819,X819,Z819,AB819,AD819,AF819,AH819,AJ819,AL819,AN819)</f>
        <v>0</v>
      </c>
      <c r="AT819" s="67" t="str">
        <f>IF(C819="","",DATE(YEAR(C819),MONTH(C819),1))</f>
        <v/>
      </c>
      <c r="AU819" s="66" t="str">
        <f>IF(AT819="","",TEXT(AT819,"mmmm yyyy"))</f>
        <v/>
      </c>
      <c r="AV819" s="67" t="str">
        <f>IF(C819="","",C819-WEEKDAY(C819,2)+1)</f>
        <v/>
      </c>
      <c r="AW819" s="67" t="str">
        <f>IF(AV819="","",AV819+6)</f>
        <v/>
      </c>
      <c r="AX819" s="66" t="str">
        <f>IF(AV819="","",TEXT(AV819,"dd/mm/yyyy")&amp;" - "&amp;TEXT(AW819,"dd/mm/yyyy"))</f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>IF(B819="","",TEXT(AY819,"00")&amp;"|"&amp;B819&amp;"|"&amp;TEXT(AT819,"yyyymmdd"))</f>
        <v/>
      </c>
      <c r="BB819" s="66" t="str">
        <f>IF(B819="","",TEXT(AZ819,"00")&amp;"|"&amp;B819&amp;"|"&amp;TEXT(AV819,"yyyymmdd"))</f>
        <v/>
      </c>
      <c r="BC819" s="66">
        <f>IF(OR(AQ819="YES",AQ819="Yes",AQ819="Y",AQ819=1),1,0)</f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17">
        <f>SUM(H820,J820,L820,N820,P820,R820,T820,V820,X820,Z820,AB820,AD820,AF820,AH820,AJ820,AL820,AN820)</f>
        <v>0</v>
      </c>
      <c r="AT820" s="67" t="str">
        <f>IF(C820="","",DATE(YEAR(C820),MONTH(C820),1))</f>
        <v/>
      </c>
      <c r="AU820" s="66" t="str">
        <f>IF(AT820="","",TEXT(AT820,"mmmm yyyy"))</f>
        <v/>
      </c>
      <c r="AV820" s="67" t="str">
        <f>IF(C820="","",C820-WEEKDAY(C820,2)+1)</f>
        <v/>
      </c>
      <c r="AW820" s="67" t="str">
        <f>IF(AV820="","",AV820+6)</f>
        <v/>
      </c>
      <c r="AX820" s="66" t="str">
        <f>IF(AV820="","",TEXT(AV820,"dd/mm/yyyy")&amp;" - "&amp;TEXT(AW820,"dd/mm/yyyy"))</f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>IF(B820="","",TEXT(AY820,"00")&amp;"|"&amp;B820&amp;"|"&amp;TEXT(AT820,"yyyymmdd"))</f>
        <v/>
      </c>
      <c r="BB820" s="66" t="str">
        <f>IF(B820="","",TEXT(AZ820,"00")&amp;"|"&amp;B820&amp;"|"&amp;TEXT(AV820,"yyyymmdd"))</f>
        <v/>
      </c>
      <c r="BC820" s="66">
        <f>IF(OR(AQ820="YES",AQ820="Yes",AQ820="Y",AQ820=1),1,0)</f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17">
        <f>SUM(H821,J821,L821,N821,P821,R821,T821,V821,X821,Z821,AB821,AD821,AF821,AH821,AJ821,AL821,AN821)</f>
        <v>0</v>
      </c>
      <c r="AT821" s="67" t="str">
        <f>IF(C821="","",DATE(YEAR(C821),MONTH(C821),1))</f>
        <v/>
      </c>
      <c r="AU821" s="66" t="str">
        <f>IF(AT821="","",TEXT(AT821,"mmmm yyyy"))</f>
        <v/>
      </c>
      <c r="AV821" s="67" t="str">
        <f>IF(C821="","",C821-WEEKDAY(C821,2)+1)</f>
        <v/>
      </c>
      <c r="AW821" s="67" t="str">
        <f>IF(AV821="","",AV821+6)</f>
        <v/>
      </c>
      <c r="AX821" s="66" t="str">
        <f>IF(AV821="","",TEXT(AV821,"dd/mm/yyyy")&amp;" - "&amp;TEXT(AW821,"dd/mm/yyyy"))</f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>IF(B821="","",TEXT(AY821,"00")&amp;"|"&amp;B821&amp;"|"&amp;TEXT(AT821,"yyyymmdd"))</f>
        <v/>
      </c>
      <c r="BB821" s="66" t="str">
        <f>IF(B821="","",TEXT(AZ821,"00")&amp;"|"&amp;B821&amp;"|"&amp;TEXT(AV821,"yyyymmdd"))</f>
        <v/>
      </c>
      <c r="BC821" s="66">
        <f>IF(OR(AQ821="YES",AQ821="Yes",AQ821="Y",AQ821=1),1,0)</f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17">
        <f>SUM(H822,J822,L822,N822,P822,R822,T822,V822,X822,Z822,AB822,AD822,AF822,AH822,AJ822,AL822,AN822)</f>
        <v>0</v>
      </c>
      <c r="AT822" s="67" t="str">
        <f>IF(C822="","",DATE(YEAR(C822),MONTH(C822),1))</f>
        <v/>
      </c>
      <c r="AU822" s="66" t="str">
        <f>IF(AT822="","",TEXT(AT822,"mmmm yyyy"))</f>
        <v/>
      </c>
      <c r="AV822" s="67" t="str">
        <f>IF(C822="","",C822-WEEKDAY(C822,2)+1)</f>
        <v/>
      </c>
      <c r="AW822" s="67" t="str">
        <f>IF(AV822="","",AV822+6)</f>
        <v/>
      </c>
      <c r="AX822" s="66" t="str">
        <f>IF(AV822="","",TEXT(AV822,"dd/mm/yyyy")&amp;" - "&amp;TEXT(AW822,"dd/mm/yyyy"))</f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>IF(B822="","",TEXT(AY822,"00")&amp;"|"&amp;B822&amp;"|"&amp;TEXT(AT822,"yyyymmdd"))</f>
        <v/>
      </c>
      <c r="BB822" s="66" t="str">
        <f>IF(B822="","",TEXT(AZ822,"00")&amp;"|"&amp;B822&amp;"|"&amp;TEXT(AV822,"yyyymmdd"))</f>
        <v/>
      </c>
      <c r="BC822" s="66">
        <f>IF(OR(AQ822="YES",AQ822="Yes",AQ822="Y",AQ822=1),1,0)</f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17">
        <f>SUM(H823,J823,L823,N823,P823,R823,T823,V823,X823,Z823,AB823,AD823,AF823,AH823,AJ823,AL823,AN823)</f>
        <v>0</v>
      </c>
      <c r="AT823" s="67" t="str">
        <f>IF(C823="","",DATE(YEAR(C823),MONTH(C823),1))</f>
        <v/>
      </c>
      <c r="AU823" s="66" t="str">
        <f>IF(AT823="","",TEXT(AT823,"mmmm yyyy"))</f>
        <v/>
      </c>
      <c r="AV823" s="67" t="str">
        <f>IF(C823="","",C823-WEEKDAY(C823,2)+1)</f>
        <v/>
      </c>
      <c r="AW823" s="67" t="str">
        <f>IF(AV823="","",AV823+6)</f>
        <v/>
      </c>
      <c r="AX823" s="66" t="str">
        <f>IF(AV823="","",TEXT(AV823,"dd/mm/yyyy")&amp;" - "&amp;TEXT(AW823,"dd/mm/yyyy"))</f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>IF(B823="","",TEXT(AY823,"00")&amp;"|"&amp;B823&amp;"|"&amp;TEXT(AT823,"yyyymmdd"))</f>
        <v/>
      </c>
      <c r="BB823" s="66" t="str">
        <f>IF(B823="","",TEXT(AZ823,"00")&amp;"|"&amp;B823&amp;"|"&amp;TEXT(AV823,"yyyymmdd"))</f>
        <v/>
      </c>
      <c r="BC823" s="66">
        <f>IF(OR(AQ823="YES",AQ823="Yes",AQ823="Y",AQ823=1),1,0)</f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17">
        <f>SUM(H824,J824,L824,N824,P824,R824,T824,V824,X824,Z824,AB824,AD824,AF824,AH824,AJ824,AL824,AN824)</f>
        <v>0</v>
      </c>
      <c r="AT824" s="67" t="str">
        <f>IF(C824="","",DATE(YEAR(C824),MONTH(C824),1))</f>
        <v/>
      </c>
      <c r="AU824" s="66" t="str">
        <f>IF(AT824="","",TEXT(AT824,"mmmm yyyy"))</f>
        <v/>
      </c>
      <c r="AV824" s="67" t="str">
        <f>IF(C824="","",C824-WEEKDAY(C824,2)+1)</f>
        <v/>
      </c>
      <c r="AW824" s="67" t="str">
        <f>IF(AV824="","",AV824+6)</f>
        <v/>
      </c>
      <c r="AX824" s="66" t="str">
        <f>IF(AV824="","",TEXT(AV824,"dd/mm/yyyy")&amp;" - "&amp;TEXT(AW824,"dd/mm/yyyy"))</f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>IF(B824="","",TEXT(AY824,"00")&amp;"|"&amp;B824&amp;"|"&amp;TEXT(AT824,"yyyymmdd"))</f>
        <v/>
      </c>
      <c r="BB824" s="66" t="str">
        <f>IF(B824="","",TEXT(AZ824,"00")&amp;"|"&amp;B824&amp;"|"&amp;TEXT(AV824,"yyyymmdd"))</f>
        <v/>
      </c>
      <c r="BC824" s="66">
        <f>IF(OR(AQ824="YES",AQ824="Yes",AQ824="Y",AQ824=1),1,0)</f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17">
        <f>SUM(H825,J825,L825,N825,P825,R825,T825,V825,X825,Z825,AB825,AD825,AF825,AH825,AJ825,AL825,AN825)</f>
        <v>0</v>
      </c>
      <c r="AT825" s="67" t="str">
        <f>IF(C825="","",DATE(YEAR(C825),MONTH(C825),1))</f>
        <v/>
      </c>
      <c r="AU825" s="66" t="str">
        <f>IF(AT825="","",TEXT(AT825,"mmmm yyyy"))</f>
        <v/>
      </c>
      <c r="AV825" s="67" t="str">
        <f>IF(C825="","",C825-WEEKDAY(C825,2)+1)</f>
        <v/>
      </c>
      <c r="AW825" s="67" t="str">
        <f>IF(AV825="","",AV825+6)</f>
        <v/>
      </c>
      <c r="AX825" s="66" t="str">
        <f>IF(AV825="","",TEXT(AV825,"dd/mm/yyyy")&amp;" - "&amp;TEXT(AW825,"dd/mm/yyyy"))</f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>IF(B825="","",TEXT(AY825,"00")&amp;"|"&amp;B825&amp;"|"&amp;TEXT(AT825,"yyyymmdd"))</f>
        <v/>
      </c>
      <c r="BB825" s="66" t="str">
        <f>IF(B825="","",TEXT(AZ825,"00")&amp;"|"&amp;B825&amp;"|"&amp;TEXT(AV825,"yyyymmdd"))</f>
        <v/>
      </c>
      <c r="BC825" s="66">
        <f>IF(OR(AQ825="YES",AQ825="Yes",AQ825="Y",AQ825=1),1,0)</f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17">
        <f>SUM(H826,J826,L826,N826,P826,R826,T826,V826,X826,Z826,AB826,AD826,AF826,AH826,AJ826,AL826,AN826)</f>
        <v>0</v>
      </c>
      <c r="AT826" s="67" t="str">
        <f>IF(C826="","",DATE(YEAR(C826),MONTH(C826),1))</f>
        <v/>
      </c>
      <c r="AU826" s="66" t="str">
        <f>IF(AT826="","",TEXT(AT826,"mmmm yyyy"))</f>
        <v/>
      </c>
      <c r="AV826" s="67" t="str">
        <f>IF(C826="","",C826-WEEKDAY(C826,2)+1)</f>
        <v/>
      </c>
      <c r="AW826" s="67" t="str">
        <f>IF(AV826="","",AV826+6)</f>
        <v/>
      </c>
      <c r="AX826" s="66" t="str">
        <f>IF(AV826="","",TEXT(AV826,"dd/mm/yyyy")&amp;" - "&amp;TEXT(AW826,"dd/mm/yyyy"))</f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>IF(B826="","",TEXT(AY826,"00")&amp;"|"&amp;B826&amp;"|"&amp;TEXT(AT826,"yyyymmdd"))</f>
        <v/>
      </c>
      <c r="BB826" s="66" t="str">
        <f>IF(B826="","",TEXT(AZ826,"00")&amp;"|"&amp;B826&amp;"|"&amp;TEXT(AV826,"yyyymmdd"))</f>
        <v/>
      </c>
      <c r="BC826" s="66">
        <f>IF(OR(AQ826="YES",AQ826="Yes",AQ826="Y",AQ826=1),1,0)</f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17">
        <f>SUM(H827,J827,L827,N827,P827,R827,T827,V827,X827,Z827,AB827,AD827,AF827,AH827,AJ827,AL827,AN827)</f>
        <v>0</v>
      </c>
      <c r="AT827" s="67" t="str">
        <f>IF(C827="","",DATE(YEAR(C827),MONTH(C827),1))</f>
        <v/>
      </c>
      <c r="AU827" s="66" t="str">
        <f>IF(AT827="","",TEXT(AT827,"mmmm yyyy"))</f>
        <v/>
      </c>
      <c r="AV827" s="67" t="str">
        <f>IF(C827="","",C827-WEEKDAY(C827,2)+1)</f>
        <v/>
      </c>
      <c r="AW827" s="67" t="str">
        <f>IF(AV827="","",AV827+6)</f>
        <v/>
      </c>
      <c r="AX827" s="66" t="str">
        <f>IF(AV827="","",TEXT(AV827,"dd/mm/yyyy")&amp;" - "&amp;TEXT(AW827,"dd/mm/yyyy"))</f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>IF(B827="","",TEXT(AY827,"00")&amp;"|"&amp;B827&amp;"|"&amp;TEXT(AT827,"yyyymmdd"))</f>
        <v/>
      </c>
      <c r="BB827" s="66" t="str">
        <f>IF(B827="","",TEXT(AZ827,"00")&amp;"|"&amp;B827&amp;"|"&amp;TEXT(AV827,"yyyymmdd"))</f>
        <v/>
      </c>
      <c r="BC827" s="66">
        <f>IF(OR(AQ827="YES",AQ827="Yes",AQ827="Y",AQ827=1),1,0)</f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17">
        <f>SUM(H828,J828,L828,N828,P828,R828,T828,V828,X828,Z828,AB828,AD828,AF828,AH828,AJ828,AL828,AN828)</f>
        <v>0</v>
      </c>
      <c r="AT828" s="67" t="str">
        <f>IF(C828="","",DATE(YEAR(C828),MONTH(C828),1))</f>
        <v/>
      </c>
      <c r="AU828" s="66" t="str">
        <f>IF(AT828="","",TEXT(AT828,"mmmm yyyy"))</f>
        <v/>
      </c>
      <c r="AV828" s="67" t="str">
        <f>IF(C828="","",C828-WEEKDAY(C828,2)+1)</f>
        <v/>
      </c>
      <c r="AW828" s="67" t="str">
        <f>IF(AV828="","",AV828+6)</f>
        <v/>
      </c>
      <c r="AX828" s="66" t="str">
        <f>IF(AV828="","",TEXT(AV828,"dd/mm/yyyy")&amp;" - "&amp;TEXT(AW828,"dd/mm/yyyy"))</f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>IF(B828="","",TEXT(AY828,"00")&amp;"|"&amp;B828&amp;"|"&amp;TEXT(AT828,"yyyymmdd"))</f>
        <v/>
      </c>
      <c r="BB828" s="66" t="str">
        <f>IF(B828="","",TEXT(AZ828,"00")&amp;"|"&amp;B828&amp;"|"&amp;TEXT(AV828,"yyyymmdd"))</f>
        <v/>
      </c>
      <c r="BC828" s="66">
        <f>IF(OR(AQ828="YES",AQ828="Yes",AQ828="Y",AQ828=1),1,0)</f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17">
        <f>SUM(H829,J829,L829,N829,P829,R829,T829,V829,X829,Z829,AB829,AD829,AF829,AH829,AJ829,AL829,AN829)</f>
        <v>0</v>
      </c>
      <c r="AT829" s="67" t="str">
        <f>IF(C829="","",DATE(YEAR(C829),MONTH(C829),1))</f>
        <v/>
      </c>
      <c r="AU829" s="66" t="str">
        <f>IF(AT829="","",TEXT(AT829,"mmmm yyyy"))</f>
        <v/>
      </c>
      <c r="AV829" s="67" t="str">
        <f>IF(C829="","",C829-WEEKDAY(C829,2)+1)</f>
        <v/>
      </c>
      <c r="AW829" s="67" t="str">
        <f>IF(AV829="","",AV829+6)</f>
        <v/>
      </c>
      <c r="AX829" s="66" t="str">
        <f>IF(AV829="","",TEXT(AV829,"dd/mm/yyyy")&amp;" - "&amp;TEXT(AW829,"dd/mm/yyyy"))</f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>IF(B829="","",TEXT(AY829,"00")&amp;"|"&amp;B829&amp;"|"&amp;TEXT(AT829,"yyyymmdd"))</f>
        <v/>
      </c>
      <c r="BB829" s="66" t="str">
        <f>IF(B829="","",TEXT(AZ829,"00")&amp;"|"&amp;B829&amp;"|"&amp;TEXT(AV829,"yyyymmdd"))</f>
        <v/>
      </c>
      <c r="BC829" s="66">
        <f>IF(OR(AQ829="YES",AQ829="Yes",AQ829="Y",AQ829=1),1,0)</f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17">
        <f>SUM(H830,J830,L830,N830,P830,R830,T830,V830,X830,Z830,AB830,AD830,AF830,AH830,AJ830,AL830,AN830)</f>
        <v>0</v>
      </c>
      <c r="AT830" s="67" t="str">
        <f>IF(C830="","",DATE(YEAR(C830),MONTH(C830),1))</f>
        <v/>
      </c>
      <c r="AU830" s="66" t="str">
        <f>IF(AT830="","",TEXT(AT830,"mmmm yyyy"))</f>
        <v/>
      </c>
      <c r="AV830" s="67" t="str">
        <f>IF(C830="","",C830-WEEKDAY(C830,2)+1)</f>
        <v/>
      </c>
      <c r="AW830" s="67" t="str">
        <f>IF(AV830="","",AV830+6)</f>
        <v/>
      </c>
      <c r="AX830" s="66" t="str">
        <f>IF(AV830="","",TEXT(AV830,"dd/mm/yyyy")&amp;" - "&amp;TEXT(AW830,"dd/mm/yyyy"))</f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>IF(B830="","",TEXT(AY830,"00")&amp;"|"&amp;B830&amp;"|"&amp;TEXT(AT830,"yyyymmdd"))</f>
        <v/>
      </c>
      <c r="BB830" s="66" t="str">
        <f>IF(B830="","",TEXT(AZ830,"00")&amp;"|"&amp;B830&amp;"|"&amp;TEXT(AV830,"yyyymmdd"))</f>
        <v/>
      </c>
      <c r="BC830" s="66">
        <f>IF(OR(AQ830="YES",AQ830="Yes",AQ830="Y",AQ830=1),1,0)</f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17">
        <f>SUM(H831,J831,L831,N831,P831,R831,T831,V831,X831,Z831,AB831,AD831,AF831,AH831,AJ831,AL831,AN831)</f>
        <v>0</v>
      </c>
      <c r="AT831" s="67" t="str">
        <f>IF(C831="","",DATE(YEAR(C831),MONTH(C831),1))</f>
        <v/>
      </c>
      <c r="AU831" s="66" t="str">
        <f>IF(AT831="","",TEXT(AT831,"mmmm yyyy"))</f>
        <v/>
      </c>
      <c r="AV831" s="67" t="str">
        <f>IF(C831="","",C831-WEEKDAY(C831,2)+1)</f>
        <v/>
      </c>
      <c r="AW831" s="67" t="str">
        <f>IF(AV831="","",AV831+6)</f>
        <v/>
      </c>
      <c r="AX831" s="66" t="str">
        <f>IF(AV831="","",TEXT(AV831,"dd/mm/yyyy")&amp;" - "&amp;TEXT(AW831,"dd/mm/yyyy"))</f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>IF(B831="","",TEXT(AY831,"00")&amp;"|"&amp;B831&amp;"|"&amp;TEXT(AT831,"yyyymmdd"))</f>
        <v/>
      </c>
      <c r="BB831" s="66" t="str">
        <f>IF(B831="","",TEXT(AZ831,"00")&amp;"|"&amp;B831&amp;"|"&amp;TEXT(AV831,"yyyymmdd"))</f>
        <v/>
      </c>
      <c r="BC831" s="66">
        <f>IF(OR(AQ831="YES",AQ831="Yes",AQ831="Y",AQ831=1),1,0)</f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17">
        <f>SUM(H832,J832,L832,N832,P832,R832,T832,V832,X832,Z832,AB832,AD832,AF832,AH832,AJ832,AL832,AN832)</f>
        <v>0</v>
      </c>
      <c r="AT832" s="67" t="str">
        <f>IF(C832="","",DATE(YEAR(C832),MONTH(C832),1))</f>
        <v/>
      </c>
      <c r="AU832" s="66" t="str">
        <f>IF(AT832="","",TEXT(AT832,"mmmm yyyy"))</f>
        <v/>
      </c>
      <c r="AV832" s="67" t="str">
        <f>IF(C832="","",C832-WEEKDAY(C832,2)+1)</f>
        <v/>
      </c>
      <c r="AW832" s="67" t="str">
        <f>IF(AV832="","",AV832+6)</f>
        <v/>
      </c>
      <c r="AX832" s="66" t="str">
        <f>IF(AV832="","",TEXT(AV832,"dd/mm/yyyy")&amp;" - "&amp;TEXT(AW832,"dd/mm/yyyy"))</f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>IF(B832="","",TEXT(AY832,"00")&amp;"|"&amp;B832&amp;"|"&amp;TEXT(AT832,"yyyymmdd"))</f>
        <v/>
      </c>
      <c r="BB832" s="66" t="str">
        <f>IF(B832="","",TEXT(AZ832,"00")&amp;"|"&amp;B832&amp;"|"&amp;TEXT(AV832,"yyyymmdd"))</f>
        <v/>
      </c>
      <c r="BC832" s="66">
        <f>IF(OR(AQ832="YES",AQ832="Yes",AQ832="Y",AQ832=1),1,0)</f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17">
        <f>SUM(H833,J833,L833,N833,P833,R833,T833,V833,X833,Z833,AB833,AD833,AF833,AH833,AJ833,AL833,AN833)</f>
        <v>0</v>
      </c>
      <c r="AT833" s="67" t="str">
        <f>IF(C833="","",DATE(YEAR(C833),MONTH(C833),1))</f>
        <v/>
      </c>
      <c r="AU833" s="66" t="str">
        <f>IF(AT833="","",TEXT(AT833,"mmmm yyyy"))</f>
        <v/>
      </c>
      <c r="AV833" s="67" t="str">
        <f>IF(C833="","",C833-WEEKDAY(C833,2)+1)</f>
        <v/>
      </c>
      <c r="AW833" s="67" t="str">
        <f>IF(AV833="","",AV833+6)</f>
        <v/>
      </c>
      <c r="AX833" s="66" t="str">
        <f>IF(AV833="","",TEXT(AV833,"dd/mm/yyyy")&amp;" - "&amp;TEXT(AW833,"dd/mm/yyyy"))</f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>IF(B833="","",TEXT(AY833,"00")&amp;"|"&amp;B833&amp;"|"&amp;TEXT(AT833,"yyyymmdd"))</f>
        <v/>
      </c>
      <c r="BB833" s="66" t="str">
        <f>IF(B833="","",TEXT(AZ833,"00")&amp;"|"&amp;B833&amp;"|"&amp;TEXT(AV833,"yyyymmdd"))</f>
        <v/>
      </c>
      <c r="BC833" s="66">
        <f>IF(OR(AQ833="YES",AQ833="Yes",AQ833="Y",AQ833=1),1,0)</f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17">
        <f>SUM(H834,J834,L834,N834,P834,R834,T834,V834,X834,Z834,AB834,AD834,AF834,AH834,AJ834,AL834,AN834)</f>
        <v>0</v>
      </c>
      <c r="AT834" s="67" t="str">
        <f>IF(C834="","",DATE(YEAR(C834),MONTH(C834),1))</f>
        <v/>
      </c>
      <c r="AU834" s="66" t="str">
        <f>IF(AT834="","",TEXT(AT834,"mmmm yyyy"))</f>
        <v/>
      </c>
      <c r="AV834" s="67" t="str">
        <f>IF(C834="","",C834-WEEKDAY(C834,2)+1)</f>
        <v/>
      </c>
      <c r="AW834" s="67" t="str">
        <f>IF(AV834="","",AV834+6)</f>
        <v/>
      </c>
      <c r="AX834" s="66" t="str">
        <f>IF(AV834="","",TEXT(AV834,"dd/mm/yyyy")&amp;" - "&amp;TEXT(AW834,"dd/mm/yyyy"))</f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>IF(B834="","",TEXT(AY834,"00")&amp;"|"&amp;B834&amp;"|"&amp;TEXT(AT834,"yyyymmdd"))</f>
        <v/>
      </c>
      <c r="BB834" s="66" t="str">
        <f>IF(B834="","",TEXT(AZ834,"00")&amp;"|"&amp;B834&amp;"|"&amp;TEXT(AV834,"yyyymmdd"))</f>
        <v/>
      </c>
      <c r="BC834" s="66">
        <f>IF(OR(AQ834="YES",AQ834="Yes",AQ834="Y",AQ834=1),1,0)</f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17">
        <f>SUM(H835,J835,L835,N835,P835,R835,T835,V835,X835,Z835,AB835,AD835,AF835,AH835,AJ835,AL835,AN835)</f>
        <v>0</v>
      </c>
      <c r="AT835" s="67" t="str">
        <f>IF(C835="","",DATE(YEAR(C835),MONTH(C835),1))</f>
        <v/>
      </c>
      <c r="AU835" s="66" t="str">
        <f>IF(AT835="","",TEXT(AT835,"mmmm yyyy"))</f>
        <v/>
      </c>
      <c r="AV835" s="67" t="str">
        <f>IF(C835="","",C835-WEEKDAY(C835,2)+1)</f>
        <v/>
      </c>
      <c r="AW835" s="67" t="str">
        <f>IF(AV835="","",AV835+6)</f>
        <v/>
      </c>
      <c r="AX835" s="66" t="str">
        <f>IF(AV835="","",TEXT(AV835,"dd/mm/yyyy")&amp;" - "&amp;TEXT(AW835,"dd/mm/yyyy"))</f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>IF(B835="","",TEXT(AY835,"00")&amp;"|"&amp;B835&amp;"|"&amp;TEXT(AT835,"yyyymmdd"))</f>
        <v/>
      </c>
      <c r="BB835" s="66" t="str">
        <f>IF(B835="","",TEXT(AZ835,"00")&amp;"|"&amp;B835&amp;"|"&amp;TEXT(AV835,"yyyymmdd"))</f>
        <v/>
      </c>
      <c r="BC835" s="66">
        <f>IF(OR(AQ835="YES",AQ835="Yes",AQ835="Y",AQ835=1),1,0)</f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17">
        <f>SUM(H836,J836,L836,N836,P836,R836,T836,V836,X836,Z836,AB836,AD836,AF836,AH836,AJ836,AL836,AN836)</f>
        <v>0</v>
      </c>
      <c r="AT836" s="67" t="str">
        <f>IF(C836="","",DATE(YEAR(C836),MONTH(C836),1))</f>
        <v/>
      </c>
      <c r="AU836" s="66" t="str">
        <f>IF(AT836="","",TEXT(AT836,"mmmm yyyy"))</f>
        <v/>
      </c>
      <c r="AV836" s="67" t="str">
        <f>IF(C836="","",C836-WEEKDAY(C836,2)+1)</f>
        <v/>
      </c>
      <c r="AW836" s="67" t="str">
        <f>IF(AV836="","",AV836+6)</f>
        <v/>
      </c>
      <c r="AX836" s="66" t="str">
        <f>IF(AV836="","",TEXT(AV836,"dd/mm/yyyy")&amp;" - "&amp;TEXT(AW836,"dd/mm/yyyy"))</f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>IF(B836="","",TEXT(AY836,"00")&amp;"|"&amp;B836&amp;"|"&amp;TEXT(AT836,"yyyymmdd"))</f>
        <v/>
      </c>
      <c r="BB836" s="66" t="str">
        <f>IF(B836="","",TEXT(AZ836,"00")&amp;"|"&amp;B836&amp;"|"&amp;TEXT(AV836,"yyyymmdd"))</f>
        <v/>
      </c>
      <c r="BC836" s="66">
        <f>IF(OR(AQ836="YES",AQ836="Yes",AQ836="Y",AQ836=1),1,0)</f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17">
        <f>SUM(H837,J837,L837,N837,P837,R837,T837,V837,X837,Z837,AB837,AD837,AF837,AH837,AJ837,AL837,AN837)</f>
        <v>0</v>
      </c>
      <c r="AT837" s="67" t="str">
        <f>IF(C837="","",DATE(YEAR(C837),MONTH(C837),1))</f>
        <v/>
      </c>
      <c r="AU837" s="66" t="str">
        <f>IF(AT837="","",TEXT(AT837,"mmmm yyyy"))</f>
        <v/>
      </c>
      <c r="AV837" s="67" t="str">
        <f>IF(C837="","",C837-WEEKDAY(C837,2)+1)</f>
        <v/>
      </c>
      <c r="AW837" s="67" t="str">
        <f>IF(AV837="","",AV837+6)</f>
        <v/>
      </c>
      <c r="AX837" s="66" t="str">
        <f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>IF(B837="","",TEXT(AY837,"00")&amp;"|"&amp;B837&amp;"|"&amp;TEXT(AT837,"yyyymmdd"))</f>
        <v/>
      </c>
      <c r="BB837" s="66" t="str">
        <f>IF(B837="","",TEXT(AZ837,"00")&amp;"|"&amp;B837&amp;"|"&amp;TEXT(AV837,"yyyymmdd"))</f>
        <v/>
      </c>
      <c r="BC837" s="66">
        <f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17">
        <f>SUM(H838,J838,L838,N838,P838,R838,T838,V838,X838,Z838,AB838,AD838,AF838,AH838,AJ838,AL838,AN838)</f>
        <v>0</v>
      </c>
      <c r="AT838" s="67" t="str">
        <f>IF(C838="","",DATE(YEAR(C838),MONTH(C838),1))</f>
        <v/>
      </c>
      <c r="AU838" s="66" t="str">
        <f>IF(AT838="","",TEXT(AT838,"mmmm yyyy"))</f>
        <v/>
      </c>
      <c r="AV838" s="67" t="str">
        <f>IF(C838="","",C838-WEEKDAY(C838,2)+1)</f>
        <v/>
      </c>
      <c r="AW838" s="67" t="str">
        <f>IF(AV838="","",AV838+6)</f>
        <v/>
      </c>
      <c r="AX838" s="66" t="str">
        <f>IF(AV838="","",TEXT(AV838,"dd/mm/yyyy")&amp;" - "&amp;TEXT(AW838,"dd/mm/yyyy"))</f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>IF(B838="","",TEXT(AY838,"00")&amp;"|"&amp;B838&amp;"|"&amp;TEXT(AT838,"yyyymmdd"))</f>
        <v/>
      </c>
      <c r="BB838" s="66" t="str">
        <f>IF(B838="","",TEXT(AZ838,"00")&amp;"|"&amp;B838&amp;"|"&amp;TEXT(AV838,"yyyymmdd"))</f>
        <v/>
      </c>
      <c r="BC838" s="66">
        <f>IF(OR(AQ838="YES",AQ838="Yes",AQ838="Y",AQ838=1),1,0)</f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17">
        <f>SUM(H839,J839,L839,N839,P839,R839,T839,V839,X839,Z839,AB839,AD839,AF839,AH839,AJ839,AL839,AN839)</f>
        <v>0</v>
      </c>
      <c r="AT839" s="67" t="str">
        <f>IF(C839="","",DATE(YEAR(C839),MONTH(C839),1))</f>
        <v/>
      </c>
      <c r="AU839" s="66" t="str">
        <f>IF(AT839="","",TEXT(AT839,"mmmm yyyy"))</f>
        <v/>
      </c>
      <c r="AV839" s="67" t="str">
        <f>IF(C839="","",C839-WEEKDAY(C839,2)+1)</f>
        <v/>
      </c>
      <c r="AW839" s="67" t="str">
        <f>IF(AV839="","",AV839+6)</f>
        <v/>
      </c>
      <c r="AX839" s="66" t="str">
        <f>IF(AV839="","",TEXT(AV839,"dd/mm/yyyy")&amp;" - "&amp;TEXT(AW839,"dd/mm/yyyy"))</f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>IF(B839="","",TEXT(AY839,"00")&amp;"|"&amp;B839&amp;"|"&amp;TEXT(AT839,"yyyymmdd"))</f>
        <v/>
      </c>
      <c r="BB839" s="66" t="str">
        <f>IF(B839="","",TEXT(AZ839,"00")&amp;"|"&amp;B839&amp;"|"&amp;TEXT(AV839,"yyyymmdd"))</f>
        <v/>
      </c>
      <c r="BC839" s="66">
        <f>IF(OR(AQ839="YES",AQ839="Yes",AQ839="Y",AQ839=1),1,0)</f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17">
        <f>SUM(H840,J840,L840,N840,P840,R840,T840,V840,X840,Z840,AB840,AD840,AF840,AH840,AJ840,AL840,AN840)</f>
        <v>0</v>
      </c>
      <c r="AT840" s="67" t="str">
        <f>IF(C840="","",DATE(YEAR(C840),MONTH(C840),1))</f>
        <v/>
      </c>
      <c r="AU840" s="66" t="str">
        <f>IF(AT840="","",TEXT(AT840,"mmmm yyyy"))</f>
        <v/>
      </c>
      <c r="AV840" s="67" t="str">
        <f>IF(C840="","",C840-WEEKDAY(C840,2)+1)</f>
        <v/>
      </c>
      <c r="AW840" s="67" t="str">
        <f>IF(AV840="","",AV840+6)</f>
        <v/>
      </c>
      <c r="AX840" s="66" t="str">
        <f>IF(AV840="","",TEXT(AV840,"dd/mm/yyyy")&amp;" - "&amp;TEXT(AW840,"dd/mm/yyyy"))</f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>IF(B840="","",TEXT(AY840,"00")&amp;"|"&amp;B840&amp;"|"&amp;TEXT(AT840,"yyyymmdd"))</f>
        <v/>
      </c>
      <c r="BB840" s="66" t="str">
        <f>IF(B840="","",TEXT(AZ840,"00")&amp;"|"&amp;B840&amp;"|"&amp;TEXT(AV840,"yyyymmdd"))</f>
        <v/>
      </c>
      <c r="BC840" s="66">
        <f>IF(OR(AQ840="YES",AQ840="Yes",AQ840="Y",AQ840=1),1,0)</f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17">
        <f>SUM(H841,J841,L841,N841,P841,R841,T841,V841,X841,Z841,AB841,AD841,AF841,AH841,AJ841,AL841,AN841)</f>
        <v>0</v>
      </c>
      <c r="AT841" s="67" t="str">
        <f>IF(C841="","",DATE(YEAR(C841),MONTH(C841),1))</f>
        <v/>
      </c>
      <c r="AU841" s="66" t="str">
        <f>IF(AT841="","",TEXT(AT841,"mmmm yyyy"))</f>
        <v/>
      </c>
      <c r="AV841" s="67" t="str">
        <f>IF(C841="","",C841-WEEKDAY(C841,2)+1)</f>
        <v/>
      </c>
      <c r="AW841" s="67" t="str">
        <f>IF(AV841="","",AV841+6)</f>
        <v/>
      </c>
      <c r="AX841" s="66" t="str">
        <f>IF(AV841="","",TEXT(AV841,"dd/mm/yyyy")&amp;" - "&amp;TEXT(AW841,"dd/mm/yyyy"))</f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>IF(B841="","",TEXT(AY841,"00")&amp;"|"&amp;B841&amp;"|"&amp;TEXT(AT841,"yyyymmdd"))</f>
        <v/>
      </c>
      <c r="BB841" s="66" t="str">
        <f>IF(B841="","",TEXT(AZ841,"00")&amp;"|"&amp;B841&amp;"|"&amp;TEXT(AV841,"yyyymmdd"))</f>
        <v/>
      </c>
      <c r="BC841" s="66">
        <f>IF(OR(AQ841="YES",AQ841="Yes",AQ841="Y",AQ841=1),1,0)</f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17">
        <f>SUM(H842,J842,L842,N842,P842,R842,T842,V842,X842,Z842,AB842,AD842,AF842,AH842,AJ842,AL842,AN842)</f>
        <v>0</v>
      </c>
      <c r="AT842" s="67" t="str">
        <f>IF(C842="","",DATE(YEAR(C842),MONTH(C842),1))</f>
        <v/>
      </c>
      <c r="AU842" s="66" t="str">
        <f>IF(AT842="","",TEXT(AT842,"mmmm yyyy"))</f>
        <v/>
      </c>
      <c r="AV842" s="67" t="str">
        <f>IF(C842="","",C842-WEEKDAY(C842,2)+1)</f>
        <v/>
      </c>
      <c r="AW842" s="67" t="str">
        <f>IF(AV842="","",AV842+6)</f>
        <v/>
      </c>
      <c r="AX842" s="66" t="str">
        <f>IF(AV842="","",TEXT(AV842,"dd/mm/yyyy")&amp;" - "&amp;TEXT(AW842,"dd/mm/yyyy"))</f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>IF(B842="","",TEXT(AY842,"00")&amp;"|"&amp;B842&amp;"|"&amp;TEXT(AT842,"yyyymmdd"))</f>
        <v/>
      </c>
      <c r="BB842" s="66" t="str">
        <f>IF(B842="","",TEXT(AZ842,"00")&amp;"|"&amp;B842&amp;"|"&amp;TEXT(AV842,"yyyymmdd"))</f>
        <v/>
      </c>
      <c r="BC842" s="66">
        <f>IF(OR(AQ842="YES",AQ842="Yes",AQ842="Y",AQ842=1),1,0)</f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17">
        <f>SUM(H843,J843,L843,N843,P843,R843,T843,V843,X843,Z843,AB843,AD843,AF843,AH843,AJ843,AL843,AN843)</f>
        <v>0</v>
      </c>
      <c r="AT843" s="67" t="str">
        <f>IF(C843="","",DATE(YEAR(C843),MONTH(C843),1))</f>
        <v/>
      </c>
      <c r="AU843" s="66" t="str">
        <f>IF(AT843="","",TEXT(AT843,"mmmm yyyy"))</f>
        <v/>
      </c>
      <c r="AV843" s="67" t="str">
        <f>IF(C843="","",C843-WEEKDAY(C843,2)+1)</f>
        <v/>
      </c>
      <c r="AW843" s="67" t="str">
        <f>IF(AV843="","",AV843+6)</f>
        <v/>
      </c>
      <c r="AX843" s="66" t="str">
        <f>IF(AV843="","",TEXT(AV843,"dd/mm/yyyy")&amp;" - "&amp;TEXT(AW843,"dd/mm/yyyy"))</f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>IF(B843="","",TEXT(AY843,"00")&amp;"|"&amp;B843&amp;"|"&amp;TEXT(AT843,"yyyymmdd"))</f>
        <v/>
      </c>
      <c r="BB843" s="66" t="str">
        <f>IF(B843="","",TEXT(AZ843,"00")&amp;"|"&amp;B843&amp;"|"&amp;TEXT(AV843,"yyyymmdd"))</f>
        <v/>
      </c>
      <c r="BC843" s="66">
        <f>IF(OR(AQ843="YES",AQ843="Yes",AQ843="Y",AQ843=1),1,0)</f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17">
        <f>SUM(H844,J844,L844,N844,P844,R844,T844,V844,X844,Z844,AB844,AD844,AF844,AH844,AJ844,AL844,AN844)</f>
        <v>0</v>
      </c>
      <c r="AT844" s="67" t="str">
        <f>IF(C844="","",DATE(YEAR(C844),MONTH(C844),1))</f>
        <v/>
      </c>
      <c r="AU844" s="66" t="str">
        <f>IF(AT844="","",TEXT(AT844,"mmmm yyyy"))</f>
        <v/>
      </c>
      <c r="AV844" s="67" t="str">
        <f>IF(C844="","",C844-WEEKDAY(C844,2)+1)</f>
        <v/>
      </c>
      <c r="AW844" s="67" t="str">
        <f>IF(AV844="","",AV844+6)</f>
        <v/>
      </c>
      <c r="AX844" s="66" t="str">
        <f>IF(AV844="","",TEXT(AV844,"dd/mm/yyyy")&amp;" - "&amp;TEXT(AW844,"dd/mm/yyyy"))</f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>IF(B844="","",TEXT(AY844,"00")&amp;"|"&amp;B844&amp;"|"&amp;TEXT(AT844,"yyyymmdd"))</f>
        <v/>
      </c>
      <c r="BB844" s="66" t="str">
        <f>IF(B844="","",TEXT(AZ844,"00")&amp;"|"&amp;B844&amp;"|"&amp;TEXT(AV844,"yyyymmdd"))</f>
        <v/>
      </c>
      <c r="BC844" s="66">
        <f>IF(OR(AQ844="YES",AQ844="Yes",AQ844="Y",AQ844=1),1,0)</f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17">
        <f>SUM(H845,J845,L845,N845,P845,R845,T845,V845,X845,Z845,AB845,AD845,AF845,AH845,AJ845,AL845,AN845)</f>
        <v>0</v>
      </c>
      <c r="AT845" s="67" t="str">
        <f>IF(C845="","",DATE(YEAR(C845),MONTH(C845),1))</f>
        <v/>
      </c>
      <c r="AU845" s="66" t="str">
        <f>IF(AT845="","",TEXT(AT845,"mmmm yyyy"))</f>
        <v/>
      </c>
      <c r="AV845" s="67" t="str">
        <f>IF(C845="","",C845-WEEKDAY(C845,2)+1)</f>
        <v/>
      </c>
      <c r="AW845" s="67" t="str">
        <f>IF(AV845="","",AV845+6)</f>
        <v/>
      </c>
      <c r="AX845" s="66" t="str">
        <f>IF(AV845="","",TEXT(AV845,"dd/mm/yyyy")&amp;" - "&amp;TEXT(AW845,"dd/mm/yyyy"))</f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>IF(B845="","",TEXT(AY845,"00")&amp;"|"&amp;B845&amp;"|"&amp;TEXT(AT845,"yyyymmdd"))</f>
        <v/>
      </c>
      <c r="BB845" s="66" t="str">
        <f>IF(B845="","",TEXT(AZ845,"00")&amp;"|"&amp;B845&amp;"|"&amp;TEXT(AV845,"yyyymmdd"))</f>
        <v/>
      </c>
      <c r="BC845" s="66">
        <f>IF(OR(AQ845="YES",AQ845="Yes",AQ845="Y",AQ845=1),1,0)</f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17">
        <f>SUM(H846,J846,L846,N846,P846,R846,T846,V846,X846,Z846,AB846,AD846,AF846,AH846,AJ846,AL846,AN846)</f>
        <v>0</v>
      </c>
      <c r="AT846" s="67" t="str">
        <f>IF(C846="","",DATE(YEAR(C846),MONTH(C846),1))</f>
        <v/>
      </c>
      <c r="AU846" s="66" t="str">
        <f>IF(AT846="","",TEXT(AT846,"mmmm yyyy"))</f>
        <v/>
      </c>
      <c r="AV846" s="67" t="str">
        <f>IF(C846="","",C846-WEEKDAY(C846,2)+1)</f>
        <v/>
      </c>
      <c r="AW846" s="67" t="str">
        <f>IF(AV846="","",AV846+6)</f>
        <v/>
      </c>
      <c r="AX846" s="66" t="str">
        <f>IF(AV846="","",TEXT(AV846,"dd/mm/yyyy")&amp;" - "&amp;TEXT(AW846,"dd/mm/yyyy"))</f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>IF(B846="","",TEXT(AY846,"00")&amp;"|"&amp;B846&amp;"|"&amp;TEXT(AT846,"yyyymmdd"))</f>
        <v/>
      </c>
      <c r="BB846" s="66" t="str">
        <f>IF(B846="","",TEXT(AZ846,"00")&amp;"|"&amp;B846&amp;"|"&amp;TEXT(AV846,"yyyymmdd"))</f>
        <v/>
      </c>
      <c r="BC846" s="66">
        <f>IF(OR(AQ846="YES",AQ846="Yes",AQ846="Y",AQ846=1),1,0)</f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17">
        <f>SUM(H847,J847,L847,N847,P847,R847,T847,V847,X847,Z847,AB847,AD847,AF847,AH847,AJ847,AL847,AN847)</f>
        <v>0</v>
      </c>
      <c r="AT847" s="67" t="str">
        <f>IF(C847="","",DATE(YEAR(C847),MONTH(C847),1))</f>
        <v/>
      </c>
      <c r="AU847" s="66" t="str">
        <f>IF(AT847="","",TEXT(AT847,"mmmm yyyy"))</f>
        <v/>
      </c>
      <c r="AV847" s="67" t="str">
        <f>IF(C847="","",C847-WEEKDAY(C847,2)+1)</f>
        <v/>
      </c>
      <c r="AW847" s="67" t="str">
        <f>IF(AV847="","",AV847+6)</f>
        <v/>
      </c>
      <c r="AX847" s="66" t="str">
        <f>IF(AV847="","",TEXT(AV847,"dd/mm/yyyy")&amp;" - "&amp;TEXT(AW847,"dd/mm/yyyy"))</f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>IF(B847="","",TEXT(AY847,"00")&amp;"|"&amp;B847&amp;"|"&amp;TEXT(AT847,"yyyymmdd"))</f>
        <v/>
      </c>
      <c r="BB847" s="66" t="str">
        <f>IF(B847="","",TEXT(AZ847,"00")&amp;"|"&amp;B847&amp;"|"&amp;TEXT(AV847,"yyyymmdd"))</f>
        <v/>
      </c>
      <c r="BC847" s="66">
        <f>IF(OR(AQ847="YES",AQ847="Yes",AQ847="Y",AQ847=1),1,0)</f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17">
        <f>SUM(H848,J848,L848,N848,P848,R848,T848,V848,X848,Z848,AB848,AD848,AF848,AH848,AJ848,AL848,AN848)</f>
        <v>0</v>
      </c>
      <c r="AT848" s="67" t="str">
        <f>IF(C848="","",DATE(YEAR(C848),MONTH(C848),1))</f>
        <v/>
      </c>
      <c r="AU848" s="66" t="str">
        <f>IF(AT848="","",TEXT(AT848,"mmmm yyyy"))</f>
        <v/>
      </c>
      <c r="AV848" s="67" t="str">
        <f>IF(C848="","",C848-WEEKDAY(C848,2)+1)</f>
        <v/>
      </c>
      <c r="AW848" s="67" t="str">
        <f>IF(AV848="","",AV848+6)</f>
        <v/>
      </c>
      <c r="AX848" s="66" t="str">
        <f>IF(AV848="","",TEXT(AV848,"dd/mm/yyyy")&amp;" - "&amp;TEXT(AW848,"dd/mm/yyyy"))</f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>IF(B848="","",TEXT(AY848,"00")&amp;"|"&amp;B848&amp;"|"&amp;TEXT(AT848,"yyyymmdd"))</f>
        <v/>
      </c>
      <c r="BB848" s="66" t="str">
        <f>IF(B848="","",TEXT(AZ848,"00")&amp;"|"&amp;B848&amp;"|"&amp;TEXT(AV848,"yyyymmdd"))</f>
        <v/>
      </c>
      <c r="BC848" s="66">
        <f>IF(OR(AQ848="YES",AQ848="Yes",AQ848="Y",AQ848=1),1,0)</f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17">
        <f>SUM(H849,J849,L849,N849,P849,R849,T849,V849,X849,Z849,AB849,AD849,AF849,AH849,AJ849,AL849,AN849)</f>
        <v>0</v>
      </c>
      <c r="AT849" s="67" t="str">
        <f>IF(C849="","",DATE(YEAR(C849),MONTH(C849),1))</f>
        <v/>
      </c>
      <c r="AU849" s="66" t="str">
        <f>IF(AT849="","",TEXT(AT849,"mmmm yyyy"))</f>
        <v/>
      </c>
      <c r="AV849" s="67" t="str">
        <f>IF(C849="","",C849-WEEKDAY(C849,2)+1)</f>
        <v/>
      </c>
      <c r="AW849" s="67" t="str">
        <f>IF(AV849="","",AV849+6)</f>
        <v/>
      </c>
      <c r="AX849" s="66" t="str">
        <f>IF(AV849="","",TEXT(AV849,"dd/mm/yyyy")&amp;" - "&amp;TEXT(AW849,"dd/mm/yyyy"))</f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>IF(B849="","",TEXT(AY849,"00")&amp;"|"&amp;B849&amp;"|"&amp;TEXT(AT849,"yyyymmdd"))</f>
        <v/>
      </c>
      <c r="BB849" s="66" t="str">
        <f>IF(B849="","",TEXT(AZ849,"00")&amp;"|"&amp;B849&amp;"|"&amp;TEXT(AV849,"yyyymmdd"))</f>
        <v/>
      </c>
      <c r="BC849" s="66">
        <f>IF(OR(AQ849="YES",AQ849="Yes",AQ849="Y",AQ849=1),1,0)</f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17">
        <f>SUM(H850,J850,L850,N850,P850,R850,T850,V850,X850,Z850,AB850,AD850,AF850,AH850,AJ850,AL850,AN850)</f>
        <v>0</v>
      </c>
      <c r="AT850" s="67" t="str">
        <f>IF(C850="","",DATE(YEAR(C850),MONTH(C850),1))</f>
        <v/>
      </c>
      <c r="AU850" s="66" t="str">
        <f>IF(AT850="","",TEXT(AT850,"mmmm yyyy"))</f>
        <v/>
      </c>
      <c r="AV850" s="67" t="str">
        <f>IF(C850="","",C850-WEEKDAY(C850,2)+1)</f>
        <v/>
      </c>
      <c r="AW850" s="67" t="str">
        <f>IF(AV850="","",AV850+6)</f>
        <v/>
      </c>
      <c r="AX850" s="66" t="str">
        <f>IF(AV850="","",TEXT(AV850,"dd/mm/yyyy")&amp;" - "&amp;TEXT(AW850,"dd/mm/yyyy"))</f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>IF(B850="","",TEXT(AY850,"00")&amp;"|"&amp;B850&amp;"|"&amp;TEXT(AT850,"yyyymmdd"))</f>
        <v/>
      </c>
      <c r="BB850" s="66" t="str">
        <f>IF(B850="","",TEXT(AZ850,"00")&amp;"|"&amp;B850&amp;"|"&amp;TEXT(AV850,"yyyymmdd"))</f>
        <v/>
      </c>
      <c r="BC850" s="66">
        <f>IF(OR(AQ850="YES",AQ850="Yes",AQ850="Y",AQ850=1),1,0)</f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17">
        <f>SUM(H851,J851,L851,N851,P851,R851,T851,V851,X851,Z851,AB851,AD851,AF851,AH851,AJ851,AL851,AN851)</f>
        <v>0</v>
      </c>
      <c r="AT851" s="67" t="str">
        <f>IF(C851="","",DATE(YEAR(C851),MONTH(C851),1))</f>
        <v/>
      </c>
      <c r="AU851" s="66" t="str">
        <f>IF(AT851="","",TEXT(AT851,"mmmm yyyy"))</f>
        <v/>
      </c>
      <c r="AV851" s="67" t="str">
        <f>IF(C851="","",C851-WEEKDAY(C851,2)+1)</f>
        <v/>
      </c>
      <c r="AW851" s="67" t="str">
        <f>IF(AV851="","",AV851+6)</f>
        <v/>
      </c>
      <c r="AX851" s="66" t="str">
        <f>IF(AV851="","",TEXT(AV851,"dd/mm/yyyy")&amp;" - "&amp;TEXT(AW851,"dd/mm/yyyy"))</f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>IF(B851="","",TEXT(AY851,"00")&amp;"|"&amp;B851&amp;"|"&amp;TEXT(AT851,"yyyymmdd"))</f>
        <v/>
      </c>
      <c r="BB851" s="66" t="str">
        <f>IF(B851="","",TEXT(AZ851,"00")&amp;"|"&amp;B851&amp;"|"&amp;TEXT(AV851,"yyyymmdd"))</f>
        <v/>
      </c>
      <c r="BC851" s="66">
        <f>IF(OR(AQ851="YES",AQ851="Yes",AQ851="Y",AQ851=1),1,0)</f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17">
        <f>SUM(H852,J852,L852,N852,P852,R852,T852,V852,X852,Z852,AB852,AD852,AF852,AH852,AJ852,AL852,AN852)</f>
        <v>0</v>
      </c>
      <c r="AT852" s="67" t="str">
        <f>IF(C852="","",DATE(YEAR(C852),MONTH(C852),1))</f>
        <v/>
      </c>
      <c r="AU852" s="66" t="str">
        <f>IF(AT852="","",TEXT(AT852,"mmmm yyyy"))</f>
        <v/>
      </c>
      <c r="AV852" s="67" t="str">
        <f>IF(C852="","",C852-WEEKDAY(C852,2)+1)</f>
        <v/>
      </c>
      <c r="AW852" s="67" t="str">
        <f>IF(AV852="","",AV852+6)</f>
        <v/>
      </c>
      <c r="AX852" s="66" t="str">
        <f>IF(AV852="","",TEXT(AV852,"dd/mm/yyyy")&amp;" - "&amp;TEXT(AW852,"dd/mm/yyyy"))</f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>IF(B852="","",TEXT(AY852,"00")&amp;"|"&amp;B852&amp;"|"&amp;TEXT(AT852,"yyyymmdd"))</f>
        <v/>
      </c>
      <c r="BB852" s="66" t="str">
        <f>IF(B852="","",TEXT(AZ852,"00")&amp;"|"&amp;B852&amp;"|"&amp;TEXT(AV852,"yyyymmdd"))</f>
        <v/>
      </c>
      <c r="BC852" s="66">
        <f>IF(OR(AQ852="YES",AQ852="Yes",AQ852="Y",AQ852=1),1,0)</f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17">
        <f>SUM(H853,J853,L853,N853,P853,R853,T853,V853,X853,Z853,AB853,AD853,AF853,AH853,AJ853,AL853,AN853)</f>
        <v>0</v>
      </c>
      <c r="AT853" s="67" t="str">
        <f>IF(C853="","",DATE(YEAR(C853),MONTH(C853),1))</f>
        <v/>
      </c>
      <c r="AU853" s="66" t="str">
        <f>IF(AT853="","",TEXT(AT853,"mmmm yyyy"))</f>
        <v/>
      </c>
      <c r="AV853" s="67" t="str">
        <f>IF(C853="","",C853-WEEKDAY(C853,2)+1)</f>
        <v/>
      </c>
      <c r="AW853" s="67" t="str">
        <f>IF(AV853="","",AV853+6)</f>
        <v/>
      </c>
      <c r="AX853" s="66" t="str">
        <f>IF(AV853="","",TEXT(AV853,"dd/mm/yyyy")&amp;" - "&amp;TEXT(AW853,"dd/mm/yyyy"))</f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>IF(B853="","",TEXT(AY853,"00")&amp;"|"&amp;B853&amp;"|"&amp;TEXT(AT853,"yyyymmdd"))</f>
        <v/>
      </c>
      <c r="BB853" s="66" t="str">
        <f>IF(B853="","",TEXT(AZ853,"00")&amp;"|"&amp;B853&amp;"|"&amp;TEXT(AV853,"yyyymmdd"))</f>
        <v/>
      </c>
      <c r="BC853" s="66">
        <f>IF(OR(AQ853="YES",AQ853="Yes",AQ853="Y",AQ853=1),1,0)</f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17">
        <f>SUM(H854,J854,L854,N854,P854,R854,T854,V854,X854,Z854,AB854,AD854,AF854,AH854,AJ854,AL854,AN854)</f>
        <v>0</v>
      </c>
      <c r="AT854" s="67" t="str">
        <f>IF(C854="","",DATE(YEAR(C854),MONTH(C854),1))</f>
        <v/>
      </c>
      <c r="AU854" s="66" t="str">
        <f>IF(AT854="","",TEXT(AT854,"mmmm yyyy"))</f>
        <v/>
      </c>
      <c r="AV854" s="67" t="str">
        <f>IF(C854="","",C854-WEEKDAY(C854,2)+1)</f>
        <v/>
      </c>
      <c r="AW854" s="67" t="str">
        <f>IF(AV854="","",AV854+6)</f>
        <v/>
      </c>
      <c r="AX854" s="66" t="str">
        <f>IF(AV854="","",TEXT(AV854,"dd/mm/yyyy")&amp;" - "&amp;TEXT(AW854,"dd/mm/yyyy"))</f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>IF(B854="","",TEXT(AY854,"00")&amp;"|"&amp;B854&amp;"|"&amp;TEXT(AT854,"yyyymmdd"))</f>
        <v/>
      </c>
      <c r="BB854" s="66" t="str">
        <f>IF(B854="","",TEXT(AZ854,"00")&amp;"|"&amp;B854&amp;"|"&amp;TEXT(AV854,"yyyymmdd"))</f>
        <v/>
      </c>
      <c r="BC854" s="66">
        <f>IF(OR(AQ854="YES",AQ854="Yes",AQ854="Y",AQ854=1),1,0)</f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17">
        <f>SUM(H855,J855,L855,N855,P855,R855,T855,V855,X855,Z855,AB855,AD855,AF855,AH855,AJ855,AL855,AN855)</f>
        <v>0</v>
      </c>
      <c r="AT855" s="67" t="str">
        <f>IF(C855="","",DATE(YEAR(C855),MONTH(C855),1))</f>
        <v/>
      </c>
      <c r="AU855" s="66" t="str">
        <f>IF(AT855="","",TEXT(AT855,"mmmm yyyy"))</f>
        <v/>
      </c>
      <c r="AV855" s="67" t="str">
        <f>IF(C855="","",C855-WEEKDAY(C855,2)+1)</f>
        <v/>
      </c>
      <c r="AW855" s="67" t="str">
        <f>IF(AV855="","",AV855+6)</f>
        <v/>
      </c>
      <c r="AX855" s="66" t="str">
        <f>IF(AV855="","",TEXT(AV855,"dd/mm/yyyy")&amp;" - "&amp;TEXT(AW855,"dd/mm/yyyy"))</f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>IF(B855="","",TEXT(AY855,"00")&amp;"|"&amp;B855&amp;"|"&amp;TEXT(AT855,"yyyymmdd"))</f>
        <v/>
      </c>
      <c r="BB855" s="66" t="str">
        <f>IF(B855="","",TEXT(AZ855,"00")&amp;"|"&amp;B855&amp;"|"&amp;TEXT(AV855,"yyyymmdd"))</f>
        <v/>
      </c>
      <c r="BC855" s="66">
        <f>IF(OR(AQ855="YES",AQ855="Yes",AQ855="Y",AQ855=1),1,0)</f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17">
        <f>SUM(H856,J856,L856,N856,P856,R856,T856,V856,X856,Z856,AB856,AD856,AF856,AH856,AJ856,AL856,AN856)</f>
        <v>0</v>
      </c>
      <c r="AT856" s="67" t="str">
        <f>IF(C856="","",DATE(YEAR(C856),MONTH(C856),1))</f>
        <v/>
      </c>
      <c r="AU856" s="66" t="str">
        <f>IF(AT856="","",TEXT(AT856,"mmmm yyyy"))</f>
        <v/>
      </c>
      <c r="AV856" s="67" t="str">
        <f>IF(C856="","",C856-WEEKDAY(C856,2)+1)</f>
        <v/>
      </c>
      <c r="AW856" s="67" t="str">
        <f>IF(AV856="","",AV856+6)</f>
        <v/>
      </c>
      <c r="AX856" s="66" t="str">
        <f>IF(AV856="","",TEXT(AV856,"dd/mm/yyyy")&amp;" - "&amp;TEXT(AW856,"dd/mm/yyyy"))</f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>IF(B856="","",TEXT(AY856,"00")&amp;"|"&amp;B856&amp;"|"&amp;TEXT(AT856,"yyyymmdd"))</f>
        <v/>
      </c>
      <c r="BB856" s="66" t="str">
        <f>IF(B856="","",TEXT(AZ856,"00")&amp;"|"&amp;B856&amp;"|"&amp;TEXT(AV856,"yyyymmdd"))</f>
        <v/>
      </c>
      <c r="BC856" s="66">
        <f>IF(OR(AQ856="YES",AQ856="Yes",AQ856="Y",AQ856=1),1,0)</f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17">
        <f>SUM(H857,J857,L857,N857,P857,R857,T857,V857,X857,Z857,AB857,AD857,AF857,AH857,AJ857,AL857,AN857)</f>
        <v>0</v>
      </c>
      <c r="AT857" s="67" t="str">
        <f>IF(C857="","",DATE(YEAR(C857),MONTH(C857),1))</f>
        <v/>
      </c>
      <c r="AU857" s="66" t="str">
        <f>IF(AT857="","",TEXT(AT857,"mmmm yyyy"))</f>
        <v/>
      </c>
      <c r="AV857" s="67" t="str">
        <f>IF(C857="","",C857-WEEKDAY(C857,2)+1)</f>
        <v/>
      </c>
      <c r="AW857" s="67" t="str">
        <f>IF(AV857="","",AV857+6)</f>
        <v/>
      </c>
      <c r="AX857" s="66" t="str">
        <f>IF(AV857="","",TEXT(AV857,"dd/mm/yyyy")&amp;" - "&amp;TEXT(AW857,"dd/mm/yyyy"))</f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>IF(B857="","",TEXT(AY857,"00")&amp;"|"&amp;B857&amp;"|"&amp;TEXT(AT857,"yyyymmdd"))</f>
        <v/>
      </c>
      <c r="BB857" s="66" t="str">
        <f>IF(B857="","",TEXT(AZ857,"00")&amp;"|"&amp;B857&amp;"|"&amp;TEXT(AV857,"yyyymmdd"))</f>
        <v/>
      </c>
      <c r="BC857" s="66">
        <f>IF(OR(AQ857="YES",AQ857="Yes",AQ857="Y",AQ857=1),1,0)</f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17">
        <f>SUM(H858,J858,L858,N858,P858,R858,T858,V858,X858,Z858,AB858,AD858,AF858,AH858,AJ858,AL858,AN858)</f>
        <v>0</v>
      </c>
      <c r="AT858" s="67" t="str">
        <f>IF(C858="","",DATE(YEAR(C858),MONTH(C858),1))</f>
        <v/>
      </c>
      <c r="AU858" s="66" t="str">
        <f>IF(AT858="","",TEXT(AT858,"mmmm yyyy"))</f>
        <v/>
      </c>
      <c r="AV858" s="67" t="str">
        <f>IF(C858="","",C858-WEEKDAY(C858,2)+1)</f>
        <v/>
      </c>
      <c r="AW858" s="67" t="str">
        <f>IF(AV858="","",AV858+6)</f>
        <v/>
      </c>
      <c r="AX858" s="66" t="str">
        <f>IF(AV858="","",TEXT(AV858,"dd/mm/yyyy")&amp;" - "&amp;TEXT(AW858,"dd/mm/yyyy"))</f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>IF(B858="","",TEXT(AY858,"00")&amp;"|"&amp;B858&amp;"|"&amp;TEXT(AT858,"yyyymmdd"))</f>
        <v/>
      </c>
      <c r="BB858" s="66" t="str">
        <f>IF(B858="","",TEXT(AZ858,"00")&amp;"|"&amp;B858&amp;"|"&amp;TEXT(AV858,"yyyymmdd"))</f>
        <v/>
      </c>
      <c r="BC858" s="66">
        <f>IF(OR(AQ858="YES",AQ858="Yes",AQ858="Y",AQ858=1),1,0)</f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17">
        <f>SUM(H859,J859,L859,N859,P859,R859,T859,V859,X859,Z859,AB859,AD859,AF859,AH859,AJ859,AL859,AN859)</f>
        <v>0</v>
      </c>
      <c r="AT859" s="67" t="str">
        <f>IF(C859="","",DATE(YEAR(C859),MONTH(C859),1))</f>
        <v/>
      </c>
      <c r="AU859" s="66" t="str">
        <f>IF(AT859="","",TEXT(AT859,"mmmm yyyy"))</f>
        <v/>
      </c>
      <c r="AV859" s="67" t="str">
        <f>IF(C859="","",C859-WEEKDAY(C859,2)+1)</f>
        <v/>
      </c>
      <c r="AW859" s="67" t="str">
        <f>IF(AV859="","",AV859+6)</f>
        <v/>
      </c>
      <c r="AX859" s="66" t="str">
        <f>IF(AV859="","",TEXT(AV859,"dd/mm/yyyy")&amp;" - "&amp;TEXT(AW859,"dd/mm/yyyy"))</f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>IF(B859="","",TEXT(AY859,"00")&amp;"|"&amp;B859&amp;"|"&amp;TEXT(AT859,"yyyymmdd"))</f>
        <v/>
      </c>
      <c r="BB859" s="66" t="str">
        <f>IF(B859="","",TEXT(AZ859,"00")&amp;"|"&amp;B859&amp;"|"&amp;TEXT(AV859,"yyyymmdd"))</f>
        <v/>
      </c>
      <c r="BC859" s="66">
        <f>IF(OR(AQ859="YES",AQ859="Yes",AQ859="Y",AQ859=1),1,0)</f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17">
        <f>SUM(H860,J860,L860,N860,P860,R860,T860,V860,X860,Z860,AB860,AD860,AF860,AH860,AJ860,AL860,AN860)</f>
        <v>0</v>
      </c>
      <c r="AT860" s="67" t="str">
        <f>IF(C860="","",DATE(YEAR(C860),MONTH(C860),1))</f>
        <v/>
      </c>
      <c r="AU860" s="66" t="str">
        <f>IF(AT860="","",TEXT(AT860,"mmmm yyyy"))</f>
        <v/>
      </c>
      <c r="AV860" s="67" t="str">
        <f>IF(C860="","",C860-WEEKDAY(C860,2)+1)</f>
        <v/>
      </c>
      <c r="AW860" s="67" t="str">
        <f>IF(AV860="","",AV860+6)</f>
        <v/>
      </c>
      <c r="AX860" s="66" t="str">
        <f>IF(AV860="","",TEXT(AV860,"dd/mm/yyyy")&amp;" - "&amp;TEXT(AW860,"dd/mm/yyyy"))</f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>IF(B860="","",TEXT(AY860,"00")&amp;"|"&amp;B860&amp;"|"&amp;TEXT(AT860,"yyyymmdd"))</f>
        <v/>
      </c>
      <c r="BB860" s="66" t="str">
        <f>IF(B860="","",TEXT(AZ860,"00")&amp;"|"&amp;B860&amp;"|"&amp;TEXT(AV860,"yyyymmdd"))</f>
        <v/>
      </c>
      <c r="BC860" s="66">
        <f>IF(OR(AQ860="YES",AQ860="Yes",AQ860="Y",AQ860=1),1,0)</f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17">
        <f>SUM(H861,J861,L861,N861,P861,R861,T861,V861,X861,Z861,AB861,AD861,AF861,AH861,AJ861,AL861,AN861)</f>
        <v>0</v>
      </c>
      <c r="AT861" s="67" t="str">
        <f>IF(C861="","",DATE(YEAR(C861),MONTH(C861),1))</f>
        <v/>
      </c>
      <c r="AU861" s="66" t="str">
        <f>IF(AT861="","",TEXT(AT861,"mmmm yyyy"))</f>
        <v/>
      </c>
      <c r="AV861" s="67" t="str">
        <f>IF(C861="","",C861-WEEKDAY(C861,2)+1)</f>
        <v/>
      </c>
      <c r="AW861" s="67" t="str">
        <f>IF(AV861="","",AV861+6)</f>
        <v/>
      </c>
      <c r="AX861" s="66" t="str">
        <f>IF(AV861="","",TEXT(AV861,"dd/mm/yyyy")&amp;" - "&amp;TEXT(AW861,"dd/mm/yyyy"))</f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>IF(B861="","",TEXT(AY861,"00")&amp;"|"&amp;B861&amp;"|"&amp;TEXT(AT861,"yyyymmdd"))</f>
        <v/>
      </c>
      <c r="BB861" s="66" t="str">
        <f>IF(B861="","",TEXT(AZ861,"00")&amp;"|"&amp;B861&amp;"|"&amp;TEXT(AV861,"yyyymmdd"))</f>
        <v/>
      </c>
      <c r="BC861" s="66">
        <f>IF(OR(AQ861="YES",AQ861="Yes",AQ861="Y",AQ861=1),1,0)</f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17">
        <f>SUM(H862,J862,L862,N862,P862,R862,T862,V862,X862,Z862,AB862,AD862,AF862,AH862,AJ862,AL862,AN862)</f>
        <v>0</v>
      </c>
      <c r="AT862" s="67" t="str">
        <f>IF(C862="","",DATE(YEAR(C862),MONTH(C862),1))</f>
        <v/>
      </c>
      <c r="AU862" s="66" t="str">
        <f>IF(AT862="","",TEXT(AT862,"mmmm yyyy"))</f>
        <v/>
      </c>
      <c r="AV862" s="67" t="str">
        <f>IF(C862="","",C862-WEEKDAY(C862,2)+1)</f>
        <v/>
      </c>
      <c r="AW862" s="67" t="str">
        <f>IF(AV862="","",AV862+6)</f>
        <v/>
      </c>
      <c r="AX862" s="66" t="str">
        <f>IF(AV862="","",TEXT(AV862,"dd/mm/yyyy")&amp;" - "&amp;TEXT(AW862,"dd/mm/yyyy"))</f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>IF(B862="","",TEXT(AY862,"00")&amp;"|"&amp;B862&amp;"|"&amp;TEXT(AT862,"yyyymmdd"))</f>
        <v/>
      </c>
      <c r="BB862" s="66" t="str">
        <f>IF(B862="","",TEXT(AZ862,"00")&amp;"|"&amp;B862&amp;"|"&amp;TEXT(AV862,"yyyymmdd"))</f>
        <v/>
      </c>
      <c r="BC862" s="66">
        <f>IF(OR(AQ862="YES",AQ862="Yes",AQ862="Y",AQ862=1),1,0)</f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17">
        <f>SUM(H863,J863,L863,N863,P863,R863,T863,V863,X863,Z863,AB863,AD863,AF863,AH863,AJ863,AL863,AN863)</f>
        <v>0</v>
      </c>
      <c r="AT863" s="67" t="str">
        <f>IF(C863="","",DATE(YEAR(C863),MONTH(C863),1))</f>
        <v/>
      </c>
      <c r="AU863" s="66" t="str">
        <f>IF(AT863="","",TEXT(AT863,"mmmm yyyy"))</f>
        <v/>
      </c>
      <c r="AV863" s="67" t="str">
        <f>IF(C863="","",C863-WEEKDAY(C863,2)+1)</f>
        <v/>
      </c>
      <c r="AW863" s="67" t="str">
        <f>IF(AV863="","",AV863+6)</f>
        <v/>
      </c>
      <c r="AX863" s="66" t="str">
        <f>IF(AV863="","",TEXT(AV863,"dd/mm/yyyy")&amp;" - "&amp;TEXT(AW863,"dd/mm/yyyy"))</f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>IF(B863="","",TEXT(AY863,"00")&amp;"|"&amp;B863&amp;"|"&amp;TEXT(AT863,"yyyymmdd"))</f>
        <v/>
      </c>
      <c r="BB863" s="66" t="str">
        <f>IF(B863="","",TEXT(AZ863,"00")&amp;"|"&amp;B863&amp;"|"&amp;TEXT(AV863,"yyyymmdd"))</f>
        <v/>
      </c>
      <c r="BC863" s="66">
        <f>IF(OR(AQ863="YES",AQ863="Yes",AQ863="Y",AQ863=1),1,0)</f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17">
        <f>SUM(H864,J864,L864,N864,P864,R864,T864,V864,X864,Z864,AB864,AD864,AF864,AH864,AJ864,AL864,AN864)</f>
        <v>0</v>
      </c>
      <c r="AT864" s="67" t="str">
        <f>IF(C864="","",DATE(YEAR(C864),MONTH(C864),1))</f>
        <v/>
      </c>
      <c r="AU864" s="66" t="str">
        <f>IF(AT864="","",TEXT(AT864,"mmmm yyyy"))</f>
        <v/>
      </c>
      <c r="AV864" s="67" t="str">
        <f>IF(C864="","",C864-WEEKDAY(C864,2)+1)</f>
        <v/>
      </c>
      <c r="AW864" s="67" t="str">
        <f>IF(AV864="","",AV864+6)</f>
        <v/>
      </c>
      <c r="AX864" s="66" t="str">
        <f>IF(AV864="","",TEXT(AV864,"dd/mm/yyyy")&amp;" - "&amp;TEXT(AW864,"dd/mm/yyyy"))</f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>IF(B864="","",TEXT(AY864,"00")&amp;"|"&amp;B864&amp;"|"&amp;TEXT(AT864,"yyyymmdd"))</f>
        <v/>
      </c>
      <c r="BB864" s="66" t="str">
        <f>IF(B864="","",TEXT(AZ864,"00")&amp;"|"&amp;B864&amp;"|"&amp;TEXT(AV864,"yyyymmdd"))</f>
        <v/>
      </c>
      <c r="BC864" s="66">
        <f>IF(OR(AQ864="YES",AQ864="Yes",AQ864="Y",AQ864=1),1,0)</f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17">
        <f>SUM(H865,J865,L865,N865,P865,R865,T865,V865,X865,Z865,AB865,AD865,AF865,AH865,AJ865,AL865,AN865)</f>
        <v>0</v>
      </c>
      <c r="AT865" s="67" t="str">
        <f>IF(C865="","",DATE(YEAR(C865),MONTH(C865),1))</f>
        <v/>
      </c>
      <c r="AU865" s="66" t="str">
        <f>IF(AT865="","",TEXT(AT865,"mmmm yyyy"))</f>
        <v/>
      </c>
      <c r="AV865" s="67" t="str">
        <f>IF(C865="","",C865-WEEKDAY(C865,2)+1)</f>
        <v/>
      </c>
      <c r="AW865" s="67" t="str">
        <f>IF(AV865="","",AV865+6)</f>
        <v/>
      </c>
      <c r="AX865" s="66" t="str">
        <f>IF(AV865="","",TEXT(AV865,"dd/mm/yyyy")&amp;" - "&amp;TEXT(AW865,"dd/mm/yyyy"))</f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>IF(B865="","",TEXT(AY865,"00")&amp;"|"&amp;B865&amp;"|"&amp;TEXT(AT865,"yyyymmdd"))</f>
        <v/>
      </c>
      <c r="BB865" s="66" t="str">
        <f>IF(B865="","",TEXT(AZ865,"00")&amp;"|"&amp;B865&amp;"|"&amp;TEXT(AV865,"yyyymmdd"))</f>
        <v/>
      </c>
      <c r="BC865" s="66">
        <f>IF(OR(AQ865="YES",AQ865="Yes",AQ865="Y",AQ865=1),1,0)</f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17">
        <f>SUM(H866,J866,L866,N866,P866,R866,T866,V866,X866,Z866,AB866,AD866,AF866,AH866,AJ866,AL866,AN866)</f>
        <v>0</v>
      </c>
      <c r="AT866" s="67" t="str">
        <f>IF(C866="","",DATE(YEAR(C866),MONTH(C866),1))</f>
        <v/>
      </c>
      <c r="AU866" s="66" t="str">
        <f>IF(AT866="","",TEXT(AT866,"mmmm yyyy"))</f>
        <v/>
      </c>
      <c r="AV866" s="67" t="str">
        <f>IF(C866="","",C866-WEEKDAY(C866,2)+1)</f>
        <v/>
      </c>
      <c r="AW866" s="67" t="str">
        <f>IF(AV866="","",AV866+6)</f>
        <v/>
      </c>
      <c r="AX866" s="66" t="str">
        <f>IF(AV866="","",TEXT(AV866,"dd/mm/yyyy")&amp;" - "&amp;TEXT(AW866,"dd/mm/yyyy"))</f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>IF(B866="","",TEXT(AY866,"00")&amp;"|"&amp;B866&amp;"|"&amp;TEXT(AT866,"yyyymmdd"))</f>
        <v/>
      </c>
      <c r="BB866" s="66" t="str">
        <f>IF(B866="","",TEXT(AZ866,"00")&amp;"|"&amp;B866&amp;"|"&amp;TEXT(AV866,"yyyymmdd"))</f>
        <v/>
      </c>
      <c r="BC866" s="66">
        <f>IF(OR(AQ866="YES",AQ866="Yes",AQ866="Y",AQ866=1),1,0)</f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17">
        <f>SUM(H867,J867,L867,N867,P867,R867,T867,V867,X867,Z867,AB867,AD867,AF867,AH867,AJ867,AL867,AN867)</f>
        <v>0</v>
      </c>
      <c r="AT867" s="67" t="str">
        <f>IF(C867="","",DATE(YEAR(C867),MONTH(C867),1))</f>
        <v/>
      </c>
      <c r="AU867" s="66" t="str">
        <f>IF(AT867="","",TEXT(AT867,"mmmm yyyy"))</f>
        <v/>
      </c>
      <c r="AV867" s="67" t="str">
        <f>IF(C867="","",C867-WEEKDAY(C867,2)+1)</f>
        <v/>
      </c>
      <c r="AW867" s="67" t="str">
        <f>IF(AV867="","",AV867+6)</f>
        <v/>
      </c>
      <c r="AX867" s="66" t="str">
        <f>IF(AV867="","",TEXT(AV867,"dd/mm/yyyy")&amp;" - "&amp;TEXT(AW867,"dd/mm/yyyy"))</f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>IF(B867="","",TEXT(AY867,"00")&amp;"|"&amp;B867&amp;"|"&amp;TEXT(AT867,"yyyymmdd"))</f>
        <v/>
      </c>
      <c r="BB867" s="66" t="str">
        <f>IF(B867="","",TEXT(AZ867,"00")&amp;"|"&amp;B867&amp;"|"&amp;TEXT(AV867,"yyyymmdd"))</f>
        <v/>
      </c>
      <c r="BC867" s="66">
        <f>IF(OR(AQ867="YES",AQ867="Yes",AQ867="Y",AQ867=1),1,0)</f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17">
        <f>SUM(H868,J868,L868,N868,P868,R868,T868,V868,X868,Z868,AB868,AD868,AF868,AH868,AJ868,AL868,AN868)</f>
        <v>0</v>
      </c>
      <c r="AT868" s="67" t="str">
        <f>IF(C868="","",DATE(YEAR(C868),MONTH(C868),1))</f>
        <v/>
      </c>
      <c r="AU868" s="66" t="str">
        <f>IF(AT868="","",TEXT(AT868,"mmmm yyyy"))</f>
        <v/>
      </c>
      <c r="AV868" s="67" t="str">
        <f>IF(C868="","",C868-WEEKDAY(C868,2)+1)</f>
        <v/>
      </c>
      <c r="AW868" s="67" t="str">
        <f>IF(AV868="","",AV868+6)</f>
        <v/>
      </c>
      <c r="AX868" s="66" t="str">
        <f>IF(AV868="","",TEXT(AV868,"dd/mm/yyyy")&amp;" - "&amp;TEXT(AW868,"dd/mm/yyyy"))</f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>IF(B868="","",TEXT(AY868,"00")&amp;"|"&amp;B868&amp;"|"&amp;TEXT(AT868,"yyyymmdd"))</f>
        <v/>
      </c>
      <c r="BB868" s="66" t="str">
        <f>IF(B868="","",TEXT(AZ868,"00")&amp;"|"&amp;B868&amp;"|"&amp;TEXT(AV868,"yyyymmdd"))</f>
        <v/>
      </c>
      <c r="BC868" s="66">
        <f>IF(OR(AQ868="YES",AQ868="Yes",AQ868="Y",AQ868=1),1,0)</f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17">
        <f>SUM(H869,J869,L869,N869,P869,R869,T869,V869,X869,Z869,AB869,AD869,AF869,AH869,AJ869,AL869,AN869)</f>
        <v>0</v>
      </c>
      <c r="AT869" s="67" t="str">
        <f>IF(C869="","",DATE(YEAR(C869),MONTH(C869),1))</f>
        <v/>
      </c>
      <c r="AU869" s="66" t="str">
        <f>IF(AT869="","",TEXT(AT869,"mmmm yyyy"))</f>
        <v/>
      </c>
      <c r="AV869" s="67" t="str">
        <f>IF(C869="","",C869-WEEKDAY(C869,2)+1)</f>
        <v/>
      </c>
      <c r="AW869" s="67" t="str">
        <f>IF(AV869="","",AV869+6)</f>
        <v/>
      </c>
      <c r="AX869" s="66" t="str">
        <f>IF(AV869="","",TEXT(AV869,"dd/mm/yyyy")&amp;" - "&amp;TEXT(AW869,"dd/mm/yyyy"))</f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>IF(B869="","",TEXT(AY869,"00")&amp;"|"&amp;B869&amp;"|"&amp;TEXT(AT869,"yyyymmdd"))</f>
        <v/>
      </c>
      <c r="BB869" s="66" t="str">
        <f>IF(B869="","",TEXT(AZ869,"00")&amp;"|"&amp;B869&amp;"|"&amp;TEXT(AV869,"yyyymmdd"))</f>
        <v/>
      </c>
      <c r="BC869" s="66">
        <f>IF(OR(AQ869="YES",AQ869="Yes",AQ869="Y",AQ869=1),1,0)</f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17">
        <f>SUM(H870,J870,L870,N870,P870,R870,T870,V870,X870,Z870,AB870,AD870,AF870,AH870,AJ870,AL870,AN870)</f>
        <v>0</v>
      </c>
      <c r="AT870" s="67" t="str">
        <f>IF(C870="","",DATE(YEAR(C870),MONTH(C870),1))</f>
        <v/>
      </c>
      <c r="AU870" s="66" t="str">
        <f>IF(AT870="","",TEXT(AT870,"mmmm yyyy"))</f>
        <v/>
      </c>
      <c r="AV870" s="67" t="str">
        <f>IF(C870="","",C870-WEEKDAY(C870,2)+1)</f>
        <v/>
      </c>
      <c r="AW870" s="67" t="str">
        <f>IF(AV870="","",AV870+6)</f>
        <v/>
      </c>
      <c r="AX870" s="66" t="str">
        <f>IF(AV870="","",TEXT(AV870,"dd/mm/yyyy")&amp;" - "&amp;TEXT(AW870,"dd/mm/yyyy"))</f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>IF(B870="","",TEXT(AY870,"00")&amp;"|"&amp;B870&amp;"|"&amp;TEXT(AT870,"yyyymmdd"))</f>
        <v/>
      </c>
      <c r="BB870" s="66" t="str">
        <f>IF(B870="","",TEXT(AZ870,"00")&amp;"|"&amp;B870&amp;"|"&amp;TEXT(AV870,"yyyymmdd"))</f>
        <v/>
      </c>
      <c r="BC870" s="66">
        <f>IF(OR(AQ870="YES",AQ870="Yes",AQ870="Y",AQ870=1),1,0)</f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17">
        <f>SUM(H871,J871,L871,N871,P871,R871,T871,V871,X871,Z871,AB871,AD871,AF871,AH871,AJ871,AL871,AN871)</f>
        <v>0</v>
      </c>
      <c r="AT871" s="67" t="str">
        <f>IF(C871="","",DATE(YEAR(C871),MONTH(C871),1))</f>
        <v/>
      </c>
      <c r="AU871" s="66" t="str">
        <f>IF(AT871="","",TEXT(AT871,"mmmm yyyy"))</f>
        <v/>
      </c>
      <c r="AV871" s="67" t="str">
        <f>IF(C871="","",C871-WEEKDAY(C871,2)+1)</f>
        <v/>
      </c>
      <c r="AW871" s="67" t="str">
        <f>IF(AV871="","",AV871+6)</f>
        <v/>
      </c>
      <c r="AX871" s="66" t="str">
        <f>IF(AV871="","",TEXT(AV871,"dd/mm/yyyy")&amp;" - "&amp;TEXT(AW871,"dd/mm/yyyy"))</f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>IF(B871="","",TEXT(AY871,"00")&amp;"|"&amp;B871&amp;"|"&amp;TEXT(AT871,"yyyymmdd"))</f>
        <v/>
      </c>
      <c r="BB871" s="66" t="str">
        <f>IF(B871="","",TEXT(AZ871,"00")&amp;"|"&amp;B871&amp;"|"&amp;TEXT(AV871,"yyyymmdd"))</f>
        <v/>
      </c>
      <c r="BC871" s="66">
        <f>IF(OR(AQ871="YES",AQ871="Yes",AQ871="Y",AQ871=1),1,0)</f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17">
        <f>SUM(H872,J872,L872,N872,P872,R872,T872,V872,X872,Z872,AB872,AD872,AF872,AH872,AJ872,AL872,AN872)</f>
        <v>0</v>
      </c>
      <c r="AT872" s="67" t="str">
        <f>IF(C872="","",DATE(YEAR(C872),MONTH(C872),1))</f>
        <v/>
      </c>
      <c r="AU872" s="66" t="str">
        <f>IF(AT872="","",TEXT(AT872,"mmmm yyyy"))</f>
        <v/>
      </c>
      <c r="AV872" s="67" t="str">
        <f>IF(C872="","",C872-WEEKDAY(C872,2)+1)</f>
        <v/>
      </c>
      <c r="AW872" s="67" t="str">
        <f>IF(AV872="","",AV872+6)</f>
        <v/>
      </c>
      <c r="AX872" s="66" t="str">
        <f>IF(AV872="","",TEXT(AV872,"dd/mm/yyyy")&amp;" - "&amp;TEXT(AW872,"dd/mm/yyyy"))</f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>IF(B872="","",TEXT(AY872,"00")&amp;"|"&amp;B872&amp;"|"&amp;TEXT(AT872,"yyyymmdd"))</f>
        <v/>
      </c>
      <c r="BB872" s="66" t="str">
        <f>IF(B872="","",TEXT(AZ872,"00")&amp;"|"&amp;B872&amp;"|"&amp;TEXT(AV872,"yyyymmdd"))</f>
        <v/>
      </c>
      <c r="BC872" s="66">
        <f>IF(OR(AQ872="YES",AQ872="Yes",AQ872="Y",AQ872=1),1,0)</f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17">
        <f>SUM(H873,J873,L873,N873,P873,R873,T873,V873,X873,Z873,AB873,AD873,AF873,AH873,AJ873,AL873,AN873)</f>
        <v>0</v>
      </c>
      <c r="AT873" s="67" t="str">
        <f>IF(C873="","",DATE(YEAR(C873),MONTH(C873),1))</f>
        <v/>
      </c>
      <c r="AU873" s="66" t="str">
        <f>IF(AT873="","",TEXT(AT873,"mmmm yyyy"))</f>
        <v/>
      </c>
      <c r="AV873" s="67" t="str">
        <f>IF(C873="","",C873-WEEKDAY(C873,2)+1)</f>
        <v/>
      </c>
      <c r="AW873" s="67" t="str">
        <f>IF(AV873="","",AV873+6)</f>
        <v/>
      </c>
      <c r="AX873" s="66" t="str">
        <f>IF(AV873="","",TEXT(AV873,"dd/mm/yyyy")&amp;" - "&amp;TEXT(AW873,"dd/mm/yyyy"))</f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>IF(B873="","",TEXT(AY873,"00")&amp;"|"&amp;B873&amp;"|"&amp;TEXT(AT873,"yyyymmdd"))</f>
        <v/>
      </c>
      <c r="BB873" s="66" t="str">
        <f>IF(B873="","",TEXT(AZ873,"00")&amp;"|"&amp;B873&amp;"|"&amp;TEXT(AV873,"yyyymmdd"))</f>
        <v/>
      </c>
      <c r="BC873" s="66">
        <f>IF(OR(AQ873="YES",AQ873="Yes",AQ873="Y",AQ873=1),1,0)</f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17">
        <f>SUM(H874,J874,L874,N874,P874,R874,T874,V874,X874,Z874,AB874,AD874,AF874,AH874,AJ874,AL874,AN874)</f>
        <v>0</v>
      </c>
      <c r="AT874" s="67" t="str">
        <f>IF(C874="","",DATE(YEAR(C874),MONTH(C874),1))</f>
        <v/>
      </c>
      <c r="AU874" s="66" t="str">
        <f>IF(AT874="","",TEXT(AT874,"mmmm yyyy"))</f>
        <v/>
      </c>
      <c r="AV874" s="67" t="str">
        <f>IF(C874="","",C874-WEEKDAY(C874,2)+1)</f>
        <v/>
      </c>
      <c r="AW874" s="67" t="str">
        <f>IF(AV874="","",AV874+6)</f>
        <v/>
      </c>
      <c r="AX874" s="66" t="str">
        <f>IF(AV874="","",TEXT(AV874,"dd/mm/yyyy")&amp;" - "&amp;TEXT(AW874,"dd/mm/yyyy"))</f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>IF(B874="","",TEXT(AY874,"00")&amp;"|"&amp;B874&amp;"|"&amp;TEXT(AT874,"yyyymmdd"))</f>
        <v/>
      </c>
      <c r="BB874" s="66" t="str">
        <f>IF(B874="","",TEXT(AZ874,"00")&amp;"|"&amp;B874&amp;"|"&amp;TEXT(AV874,"yyyymmdd"))</f>
        <v/>
      </c>
      <c r="BC874" s="66">
        <f>IF(OR(AQ874="YES",AQ874="Yes",AQ874="Y",AQ874=1),1,0)</f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17">
        <f>SUM(H875,J875,L875,N875,P875,R875,T875,V875,X875,Z875,AB875,AD875,AF875,AH875,AJ875,AL875,AN875)</f>
        <v>0</v>
      </c>
      <c r="AT875" s="67" t="str">
        <f>IF(C875="","",DATE(YEAR(C875),MONTH(C875),1))</f>
        <v/>
      </c>
      <c r="AU875" s="66" t="str">
        <f>IF(AT875="","",TEXT(AT875,"mmmm yyyy"))</f>
        <v/>
      </c>
      <c r="AV875" s="67" t="str">
        <f>IF(C875="","",C875-WEEKDAY(C875,2)+1)</f>
        <v/>
      </c>
      <c r="AW875" s="67" t="str">
        <f>IF(AV875="","",AV875+6)</f>
        <v/>
      </c>
      <c r="AX875" s="66" t="str">
        <f>IF(AV875="","",TEXT(AV875,"dd/mm/yyyy")&amp;" - "&amp;TEXT(AW875,"dd/mm/yyyy"))</f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>IF(B875="","",TEXT(AY875,"00")&amp;"|"&amp;B875&amp;"|"&amp;TEXT(AT875,"yyyymmdd"))</f>
        <v/>
      </c>
      <c r="BB875" s="66" t="str">
        <f>IF(B875="","",TEXT(AZ875,"00")&amp;"|"&amp;B875&amp;"|"&amp;TEXT(AV875,"yyyymmdd"))</f>
        <v/>
      </c>
      <c r="BC875" s="66">
        <f>IF(OR(AQ875="YES",AQ875="Yes",AQ875="Y",AQ875=1),1,0)</f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17">
        <f>SUM(H876,J876,L876,N876,P876,R876,T876,V876,X876,Z876,AB876,AD876,AF876,AH876,AJ876,AL876,AN876)</f>
        <v>0</v>
      </c>
      <c r="AT876" s="67" t="str">
        <f>IF(C876="","",DATE(YEAR(C876),MONTH(C876),1))</f>
        <v/>
      </c>
      <c r="AU876" s="66" t="str">
        <f>IF(AT876="","",TEXT(AT876,"mmmm yyyy"))</f>
        <v/>
      </c>
      <c r="AV876" s="67" t="str">
        <f>IF(C876="","",C876-WEEKDAY(C876,2)+1)</f>
        <v/>
      </c>
      <c r="AW876" s="67" t="str">
        <f>IF(AV876="","",AV876+6)</f>
        <v/>
      </c>
      <c r="AX876" s="66" t="str">
        <f>IF(AV876="","",TEXT(AV876,"dd/mm/yyyy")&amp;" - "&amp;TEXT(AW876,"dd/mm/yyyy"))</f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>IF(B876="","",TEXT(AY876,"00")&amp;"|"&amp;B876&amp;"|"&amp;TEXT(AT876,"yyyymmdd"))</f>
        <v/>
      </c>
      <c r="BB876" s="66" t="str">
        <f>IF(B876="","",TEXT(AZ876,"00")&amp;"|"&amp;B876&amp;"|"&amp;TEXT(AV876,"yyyymmdd"))</f>
        <v/>
      </c>
      <c r="BC876" s="66">
        <f>IF(OR(AQ876="YES",AQ876="Yes",AQ876="Y",AQ876=1),1,0)</f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17">
        <f>SUM(H877,J877,L877,N877,P877,R877,T877,V877,X877,Z877,AB877,AD877,AF877,AH877,AJ877,AL877,AN877)</f>
        <v>0</v>
      </c>
      <c r="AT877" s="67" t="str">
        <f>IF(C877="","",DATE(YEAR(C877),MONTH(C877),1))</f>
        <v/>
      </c>
      <c r="AU877" s="66" t="str">
        <f>IF(AT877="","",TEXT(AT877,"mmmm yyyy"))</f>
        <v/>
      </c>
      <c r="AV877" s="67" t="str">
        <f>IF(C877="","",C877-WEEKDAY(C877,2)+1)</f>
        <v/>
      </c>
      <c r="AW877" s="67" t="str">
        <f>IF(AV877="","",AV877+6)</f>
        <v/>
      </c>
      <c r="AX877" s="66" t="str">
        <f>IF(AV877="","",TEXT(AV877,"dd/mm/yyyy")&amp;" - "&amp;TEXT(AW877,"dd/mm/yyyy"))</f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>IF(B877="","",TEXT(AY877,"00")&amp;"|"&amp;B877&amp;"|"&amp;TEXT(AT877,"yyyymmdd"))</f>
        <v/>
      </c>
      <c r="BB877" s="66" t="str">
        <f>IF(B877="","",TEXT(AZ877,"00")&amp;"|"&amp;B877&amp;"|"&amp;TEXT(AV877,"yyyymmdd"))</f>
        <v/>
      </c>
      <c r="BC877" s="66">
        <f>IF(OR(AQ877="YES",AQ877="Yes",AQ877="Y",AQ877=1),1,0)</f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17">
        <f>SUM(H878,J878,L878,N878,P878,R878,T878,V878,X878,Z878,AB878,AD878,AF878,AH878,AJ878,AL878,AN878)</f>
        <v>0</v>
      </c>
      <c r="AT878" s="67" t="str">
        <f>IF(C878="","",DATE(YEAR(C878),MONTH(C878),1))</f>
        <v/>
      </c>
      <c r="AU878" s="66" t="str">
        <f>IF(AT878="","",TEXT(AT878,"mmmm yyyy"))</f>
        <v/>
      </c>
      <c r="AV878" s="67" t="str">
        <f>IF(C878="","",C878-WEEKDAY(C878,2)+1)</f>
        <v/>
      </c>
      <c r="AW878" s="67" t="str">
        <f>IF(AV878="","",AV878+6)</f>
        <v/>
      </c>
      <c r="AX878" s="66" t="str">
        <f>IF(AV878="","",TEXT(AV878,"dd/mm/yyyy")&amp;" - "&amp;TEXT(AW878,"dd/mm/yyyy"))</f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>IF(B878="","",TEXT(AY878,"00")&amp;"|"&amp;B878&amp;"|"&amp;TEXT(AT878,"yyyymmdd"))</f>
        <v/>
      </c>
      <c r="BB878" s="66" t="str">
        <f>IF(B878="","",TEXT(AZ878,"00")&amp;"|"&amp;B878&amp;"|"&amp;TEXT(AV878,"yyyymmdd"))</f>
        <v/>
      </c>
      <c r="BC878" s="66">
        <f>IF(OR(AQ878="YES",AQ878="Yes",AQ878="Y",AQ878=1),1,0)</f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17">
        <f>SUM(H879,J879,L879,N879,P879,R879,T879,V879,X879,Z879,AB879,AD879,AF879,AH879,AJ879,AL879,AN879)</f>
        <v>0</v>
      </c>
      <c r="AT879" s="67" t="str">
        <f>IF(C879="","",DATE(YEAR(C879),MONTH(C879),1))</f>
        <v/>
      </c>
      <c r="AU879" s="66" t="str">
        <f>IF(AT879="","",TEXT(AT879,"mmmm yyyy"))</f>
        <v/>
      </c>
      <c r="AV879" s="67" t="str">
        <f>IF(C879="","",C879-WEEKDAY(C879,2)+1)</f>
        <v/>
      </c>
      <c r="AW879" s="67" t="str">
        <f>IF(AV879="","",AV879+6)</f>
        <v/>
      </c>
      <c r="AX879" s="66" t="str">
        <f>IF(AV879="","",TEXT(AV879,"dd/mm/yyyy")&amp;" - "&amp;TEXT(AW879,"dd/mm/yyyy"))</f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>IF(B879="","",TEXT(AY879,"00")&amp;"|"&amp;B879&amp;"|"&amp;TEXT(AT879,"yyyymmdd"))</f>
        <v/>
      </c>
      <c r="BB879" s="66" t="str">
        <f>IF(B879="","",TEXT(AZ879,"00")&amp;"|"&amp;B879&amp;"|"&amp;TEXT(AV879,"yyyymmdd"))</f>
        <v/>
      </c>
      <c r="BC879" s="66">
        <f>IF(OR(AQ879="YES",AQ879="Yes",AQ879="Y",AQ879=1),1,0)</f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17">
        <f>SUM(H880,J880,L880,N880,P880,R880,T880,V880,X880,Z880,AB880,AD880,AF880,AH880,AJ880,AL880,AN880)</f>
        <v>0</v>
      </c>
      <c r="AT880" s="67" t="str">
        <f>IF(C880="","",DATE(YEAR(C880),MONTH(C880),1))</f>
        <v/>
      </c>
      <c r="AU880" s="66" t="str">
        <f>IF(AT880="","",TEXT(AT880,"mmmm yyyy"))</f>
        <v/>
      </c>
      <c r="AV880" s="67" t="str">
        <f>IF(C880="","",C880-WEEKDAY(C880,2)+1)</f>
        <v/>
      </c>
      <c r="AW880" s="67" t="str">
        <f>IF(AV880="","",AV880+6)</f>
        <v/>
      </c>
      <c r="AX880" s="66" t="str">
        <f>IF(AV880="","",TEXT(AV880,"dd/mm/yyyy")&amp;" - "&amp;TEXT(AW880,"dd/mm/yyyy"))</f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>IF(B880="","",TEXT(AY880,"00")&amp;"|"&amp;B880&amp;"|"&amp;TEXT(AT880,"yyyymmdd"))</f>
        <v/>
      </c>
      <c r="BB880" s="66" t="str">
        <f>IF(B880="","",TEXT(AZ880,"00")&amp;"|"&amp;B880&amp;"|"&amp;TEXT(AV880,"yyyymmdd"))</f>
        <v/>
      </c>
      <c r="BC880" s="66">
        <f>IF(OR(AQ880="YES",AQ880="Yes",AQ880="Y",AQ880=1),1,0)</f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17">
        <f>SUM(H881,J881,L881,N881,P881,R881,T881,V881,X881,Z881,AB881,AD881,AF881,AH881,AJ881,AL881,AN881)</f>
        <v>0</v>
      </c>
      <c r="AT881" s="67" t="str">
        <f>IF(C881="","",DATE(YEAR(C881),MONTH(C881),1))</f>
        <v/>
      </c>
      <c r="AU881" s="66" t="str">
        <f>IF(AT881="","",TEXT(AT881,"mmmm yyyy"))</f>
        <v/>
      </c>
      <c r="AV881" s="67" t="str">
        <f>IF(C881="","",C881-WEEKDAY(C881,2)+1)</f>
        <v/>
      </c>
      <c r="AW881" s="67" t="str">
        <f>IF(AV881="","",AV881+6)</f>
        <v/>
      </c>
      <c r="AX881" s="66" t="str">
        <f>IF(AV881="","",TEXT(AV881,"dd/mm/yyyy")&amp;" - "&amp;TEXT(AW881,"dd/mm/yyyy"))</f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>IF(B881="","",TEXT(AY881,"00")&amp;"|"&amp;B881&amp;"|"&amp;TEXT(AT881,"yyyymmdd"))</f>
        <v/>
      </c>
      <c r="BB881" s="66" t="str">
        <f>IF(B881="","",TEXT(AZ881,"00")&amp;"|"&amp;B881&amp;"|"&amp;TEXT(AV881,"yyyymmdd"))</f>
        <v/>
      </c>
      <c r="BC881" s="66">
        <f>IF(OR(AQ881="YES",AQ881="Yes",AQ881="Y",AQ881=1),1,0)</f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17">
        <f>SUM(H882,J882,L882,N882,P882,R882,T882,V882,X882,Z882,AB882,AD882,AF882,AH882,AJ882,AL882,AN882)</f>
        <v>0</v>
      </c>
      <c r="AT882" s="67" t="str">
        <f>IF(C882="","",DATE(YEAR(C882),MONTH(C882),1))</f>
        <v/>
      </c>
      <c r="AU882" s="66" t="str">
        <f>IF(AT882="","",TEXT(AT882,"mmmm yyyy"))</f>
        <v/>
      </c>
      <c r="AV882" s="67" t="str">
        <f>IF(C882="","",C882-WEEKDAY(C882,2)+1)</f>
        <v/>
      </c>
      <c r="AW882" s="67" t="str">
        <f>IF(AV882="","",AV882+6)</f>
        <v/>
      </c>
      <c r="AX882" s="66" t="str">
        <f>IF(AV882="","",TEXT(AV882,"dd/mm/yyyy")&amp;" - "&amp;TEXT(AW882,"dd/mm/yyyy"))</f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>IF(B882="","",TEXT(AY882,"00")&amp;"|"&amp;B882&amp;"|"&amp;TEXT(AT882,"yyyymmdd"))</f>
        <v/>
      </c>
      <c r="BB882" s="66" t="str">
        <f>IF(B882="","",TEXT(AZ882,"00")&amp;"|"&amp;B882&amp;"|"&amp;TEXT(AV882,"yyyymmdd"))</f>
        <v/>
      </c>
      <c r="BC882" s="66">
        <f>IF(OR(AQ882="YES",AQ882="Yes",AQ882="Y",AQ882=1),1,0)</f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17">
        <f>SUM(H883,J883,L883,N883,P883,R883,T883,V883,X883,Z883,AB883,AD883,AF883,AH883,AJ883,AL883,AN883)</f>
        <v>0</v>
      </c>
      <c r="AT883" s="67" t="str">
        <f>IF(C883="","",DATE(YEAR(C883),MONTH(C883),1))</f>
        <v/>
      </c>
      <c r="AU883" s="66" t="str">
        <f>IF(AT883="","",TEXT(AT883,"mmmm yyyy"))</f>
        <v/>
      </c>
      <c r="AV883" s="67" t="str">
        <f>IF(C883="","",C883-WEEKDAY(C883,2)+1)</f>
        <v/>
      </c>
      <c r="AW883" s="67" t="str">
        <f>IF(AV883="","",AV883+6)</f>
        <v/>
      </c>
      <c r="AX883" s="66" t="str">
        <f>IF(AV883="","",TEXT(AV883,"dd/mm/yyyy")&amp;" - "&amp;TEXT(AW883,"dd/mm/yyyy"))</f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>IF(B883="","",TEXT(AY883,"00")&amp;"|"&amp;B883&amp;"|"&amp;TEXT(AT883,"yyyymmdd"))</f>
        <v/>
      </c>
      <c r="BB883" s="66" t="str">
        <f>IF(B883="","",TEXT(AZ883,"00")&amp;"|"&amp;B883&amp;"|"&amp;TEXT(AV883,"yyyymmdd"))</f>
        <v/>
      </c>
      <c r="BC883" s="66">
        <f>IF(OR(AQ883="YES",AQ883="Yes",AQ883="Y",AQ883=1),1,0)</f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17">
        <f>SUM(H884,J884,L884,N884,P884,R884,T884,V884,X884,Z884,AB884,AD884,AF884,AH884,AJ884,AL884,AN884)</f>
        <v>0</v>
      </c>
      <c r="AT884" s="67" t="str">
        <f>IF(C884="","",DATE(YEAR(C884),MONTH(C884),1))</f>
        <v/>
      </c>
      <c r="AU884" s="66" t="str">
        <f>IF(AT884="","",TEXT(AT884,"mmmm yyyy"))</f>
        <v/>
      </c>
      <c r="AV884" s="67" t="str">
        <f>IF(C884="","",C884-WEEKDAY(C884,2)+1)</f>
        <v/>
      </c>
      <c r="AW884" s="67" t="str">
        <f>IF(AV884="","",AV884+6)</f>
        <v/>
      </c>
      <c r="AX884" s="66" t="str">
        <f>IF(AV884="","",TEXT(AV884,"dd/mm/yyyy")&amp;" - "&amp;TEXT(AW884,"dd/mm/yyyy"))</f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>IF(B884="","",TEXT(AY884,"00")&amp;"|"&amp;B884&amp;"|"&amp;TEXT(AT884,"yyyymmdd"))</f>
        <v/>
      </c>
      <c r="BB884" s="66" t="str">
        <f>IF(B884="","",TEXT(AZ884,"00")&amp;"|"&amp;B884&amp;"|"&amp;TEXT(AV884,"yyyymmdd"))</f>
        <v/>
      </c>
      <c r="BC884" s="66">
        <f>IF(OR(AQ884="YES",AQ884="Yes",AQ884="Y",AQ884=1),1,0)</f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17">
        <f>SUM(H885,J885,L885,N885,P885,R885,T885,V885,X885,Z885,AB885,AD885,AF885,AH885,AJ885,AL885,AN885)</f>
        <v>0</v>
      </c>
      <c r="AT885" s="67" t="str">
        <f>IF(C885="","",DATE(YEAR(C885),MONTH(C885),1))</f>
        <v/>
      </c>
      <c r="AU885" s="66" t="str">
        <f>IF(AT885="","",TEXT(AT885,"mmmm yyyy"))</f>
        <v/>
      </c>
      <c r="AV885" s="67" t="str">
        <f>IF(C885="","",C885-WEEKDAY(C885,2)+1)</f>
        <v/>
      </c>
      <c r="AW885" s="67" t="str">
        <f>IF(AV885="","",AV885+6)</f>
        <v/>
      </c>
      <c r="AX885" s="66" t="str">
        <f>IF(AV885="","",TEXT(AV885,"dd/mm/yyyy")&amp;" - "&amp;TEXT(AW885,"dd/mm/yyyy"))</f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>IF(B885="","",TEXT(AY885,"00")&amp;"|"&amp;B885&amp;"|"&amp;TEXT(AT885,"yyyymmdd"))</f>
        <v/>
      </c>
      <c r="BB885" s="66" t="str">
        <f>IF(B885="","",TEXT(AZ885,"00")&amp;"|"&amp;B885&amp;"|"&amp;TEXT(AV885,"yyyymmdd"))</f>
        <v/>
      </c>
      <c r="BC885" s="66">
        <f>IF(OR(AQ885="YES",AQ885="Yes",AQ885="Y",AQ885=1),1,0)</f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17">
        <f>SUM(H886,J886,L886,N886,P886,R886,T886,V886,X886,Z886,AB886,AD886,AF886,AH886,AJ886,AL886,AN886)</f>
        <v>0</v>
      </c>
      <c r="AT886" s="67" t="str">
        <f>IF(C886="","",DATE(YEAR(C886),MONTH(C886),1))</f>
        <v/>
      </c>
      <c r="AU886" s="66" t="str">
        <f>IF(AT886="","",TEXT(AT886,"mmmm yyyy"))</f>
        <v/>
      </c>
      <c r="AV886" s="67" t="str">
        <f>IF(C886="","",C886-WEEKDAY(C886,2)+1)</f>
        <v/>
      </c>
      <c r="AW886" s="67" t="str">
        <f>IF(AV886="","",AV886+6)</f>
        <v/>
      </c>
      <c r="AX886" s="66" t="str">
        <f>IF(AV886="","",TEXT(AV886,"dd/mm/yyyy")&amp;" - "&amp;TEXT(AW886,"dd/mm/yyyy"))</f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>IF(B886="","",TEXT(AY886,"00")&amp;"|"&amp;B886&amp;"|"&amp;TEXT(AT886,"yyyymmdd"))</f>
        <v/>
      </c>
      <c r="BB886" s="66" t="str">
        <f>IF(B886="","",TEXT(AZ886,"00")&amp;"|"&amp;B886&amp;"|"&amp;TEXT(AV886,"yyyymmdd"))</f>
        <v/>
      </c>
      <c r="BC886" s="66">
        <f>IF(OR(AQ886="YES",AQ886="Yes",AQ886="Y",AQ886=1),1,0)</f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17">
        <f>SUM(H887,J887,L887,N887,P887,R887,T887,V887,X887,Z887,AB887,AD887,AF887,AH887,AJ887,AL887,AN887)</f>
        <v>0</v>
      </c>
      <c r="AT887" s="67" t="str">
        <f>IF(C887="","",DATE(YEAR(C887),MONTH(C887),1))</f>
        <v/>
      </c>
      <c r="AU887" s="66" t="str">
        <f>IF(AT887="","",TEXT(AT887,"mmmm yyyy"))</f>
        <v/>
      </c>
      <c r="AV887" s="67" t="str">
        <f>IF(C887="","",C887-WEEKDAY(C887,2)+1)</f>
        <v/>
      </c>
      <c r="AW887" s="67" t="str">
        <f>IF(AV887="","",AV887+6)</f>
        <v/>
      </c>
      <c r="AX887" s="66" t="str">
        <f>IF(AV887="","",TEXT(AV887,"dd/mm/yyyy")&amp;" - "&amp;TEXT(AW887,"dd/mm/yyyy"))</f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>IF(B887="","",TEXT(AY887,"00")&amp;"|"&amp;B887&amp;"|"&amp;TEXT(AT887,"yyyymmdd"))</f>
        <v/>
      </c>
      <c r="BB887" s="66" t="str">
        <f>IF(B887="","",TEXT(AZ887,"00")&amp;"|"&amp;B887&amp;"|"&amp;TEXT(AV887,"yyyymmdd"))</f>
        <v/>
      </c>
      <c r="BC887" s="66">
        <f>IF(OR(AQ887="YES",AQ887="Yes",AQ887="Y",AQ887=1),1,0)</f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17">
        <f>SUM(H888,J888,L888,N888,P888,R888,T888,V888,X888,Z888,AB888,AD888,AF888,AH888,AJ888,AL888,AN888)</f>
        <v>0</v>
      </c>
      <c r="AT888" s="67" t="str">
        <f>IF(C888="","",DATE(YEAR(C888),MONTH(C888),1))</f>
        <v/>
      </c>
      <c r="AU888" s="66" t="str">
        <f>IF(AT888="","",TEXT(AT888,"mmmm yyyy"))</f>
        <v/>
      </c>
      <c r="AV888" s="67" t="str">
        <f>IF(C888="","",C888-WEEKDAY(C888,2)+1)</f>
        <v/>
      </c>
      <c r="AW888" s="67" t="str">
        <f>IF(AV888="","",AV888+6)</f>
        <v/>
      </c>
      <c r="AX888" s="66" t="str">
        <f>IF(AV888="","",TEXT(AV888,"dd/mm/yyyy")&amp;" - "&amp;TEXT(AW888,"dd/mm/yyyy"))</f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>IF(B888="","",TEXT(AY888,"00")&amp;"|"&amp;B888&amp;"|"&amp;TEXT(AT888,"yyyymmdd"))</f>
        <v/>
      </c>
      <c r="BB888" s="66" t="str">
        <f>IF(B888="","",TEXT(AZ888,"00")&amp;"|"&amp;B888&amp;"|"&amp;TEXT(AV888,"yyyymmdd"))</f>
        <v/>
      </c>
      <c r="BC888" s="66">
        <f>IF(OR(AQ888="YES",AQ888="Yes",AQ888="Y",AQ888=1),1,0)</f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17">
        <f>SUM(H889,J889,L889,N889,P889,R889,T889,V889,X889,Z889,AB889,AD889,AF889,AH889,AJ889,AL889,AN889)</f>
        <v>0</v>
      </c>
      <c r="AT889" s="67" t="str">
        <f>IF(C889="","",DATE(YEAR(C889),MONTH(C889),1))</f>
        <v/>
      </c>
      <c r="AU889" s="66" t="str">
        <f>IF(AT889="","",TEXT(AT889,"mmmm yyyy"))</f>
        <v/>
      </c>
      <c r="AV889" s="67" t="str">
        <f>IF(C889="","",C889-WEEKDAY(C889,2)+1)</f>
        <v/>
      </c>
      <c r="AW889" s="67" t="str">
        <f>IF(AV889="","",AV889+6)</f>
        <v/>
      </c>
      <c r="AX889" s="66" t="str">
        <f>IF(AV889="","",TEXT(AV889,"dd/mm/yyyy")&amp;" - "&amp;TEXT(AW889,"dd/mm/yyyy"))</f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>IF(B889="","",TEXT(AY889,"00")&amp;"|"&amp;B889&amp;"|"&amp;TEXT(AT889,"yyyymmdd"))</f>
        <v/>
      </c>
      <c r="BB889" s="66" t="str">
        <f>IF(B889="","",TEXT(AZ889,"00")&amp;"|"&amp;B889&amp;"|"&amp;TEXT(AV889,"yyyymmdd"))</f>
        <v/>
      </c>
      <c r="BC889" s="66">
        <f>IF(OR(AQ889="YES",AQ889="Yes",AQ889="Y",AQ889=1),1,0)</f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17">
        <f>SUM(H890,J890,L890,N890,P890,R890,T890,V890,X890,Z890,AB890,AD890,AF890,AH890,AJ890,AL890,AN890)</f>
        <v>0</v>
      </c>
      <c r="AT890" s="67" t="str">
        <f>IF(C890="","",DATE(YEAR(C890),MONTH(C890),1))</f>
        <v/>
      </c>
      <c r="AU890" s="66" t="str">
        <f>IF(AT890="","",TEXT(AT890,"mmmm yyyy"))</f>
        <v/>
      </c>
      <c r="AV890" s="67" t="str">
        <f>IF(C890="","",C890-WEEKDAY(C890,2)+1)</f>
        <v/>
      </c>
      <c r="AW890" s="67" t="str">
        <f>IF(AV890="","",AV890+6)</f>
        <v/>
      </c>
      <c r="AX890" s="66" t="str">
        <f>IF(AV890="","",TEXT(AV890,"dd/mm/yyyy")&amp;" - "&amp;TEXT(AW890,"dd/mm/yyyy"))</f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>IF(B890="","",TEXT(AY890,"00")&amp;"|"&amp;B890&amp;"|"&amp;TEXT(AT890,"yyyymmdd"))</f>
        <v/>
      </c>
      <c r="BB890" s="66" t="str">
        <f>IF(B890="","",TEXT(AZ890,"00")&amp;"|"&amp;B890&amp;"|"&amp;TEXT(AV890,"yyyymmdd"))</f>
        <v/>
      </c>
      <c r="BC890" s="66">
        <f>IF(OR(AQ890="YES",AQ890="Yes",AQ890="Y",AQ890=1),1,0)</f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17">
        <f>SUM(H891,J891,L891,N891,P891,R891,T891,V891,X891,Z891,AB891,AD891,AF891,AH891,AJ891,AL891,AN891)</f>
        <v>0</v>
      </c>
      <c r="AT891" s="67" t="str">
        <f>IF(C891="","",DATE(YEAR(C891),MONTH(C891),1))</f>
        <v/>
      </c>
      <c r="AU891" s="66" t="str">
        <f>IF(AT891="","",TEXT(AT891,"mmmm yyyy"))</f>
        <v/>
      </c>
      <c r="AV891" s="67" t="str">
        <f>IF(C891="","",C891-WEEKDAY(C891,2)+1)</f>
        <v/>
      </c>
      <c r="AW891" s="67" t="str">
        <f>IF(AV891="","",AV891+6)</f>
        <v/>
      </c>
      <c r="AX891" s="66" t="str">
        <f>IF(AV891="","",TEXT(AV891,"dd/mm/yyyy")&amp;" - "&amp;TEXT(AW891,"dd/mm/yyyy"))</f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>IF(B891="","",TEXT(AY891,"00")&amp;"|"&amp;B891&amp;"|"&amp;TEXT(AT891,"yyyymmdd"))</f>
        <v/>
      </c>
      <c r="BB891" s="66" t="str">
        <f>IF(B891="","",TEXT(AZ891,"00")&amp;"|"&amp;B891&amp;"|"&amp;TEXT(AV891,"yyyymmdd"))</f>
        <v/>
      </c>
      <c r="BC891" s="66">
        <f>IF(OR(AQ891="YES",AQ891="Yes",AQ891="Y",AQ891=1),1,0)</f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17">
        <f>SUM(H892,J892,L892,N892,P892,R892,T892,V892,X892,Z892,AB892,AD892,AF892,AH892,AJ892,AL892,AN892)</f>
        <v>0</v>
      </c>
      <c r="AT892" s="67" t="str">
        <f>IF(C892="","",DATE(YEAR(C892),MONTH(C892),1))</f>
        <v/>
      </c>
      <c r="AU892" s="66" t="str">
        <f>IF(AT892="","",TEXT(AT892,"mmmm yyyy"))</f>
        <v/>
      </c>
      <c r="AV892" s="67" t="str">
        <f>IF(C892="","",C892-WEEKDAY(C892,2)+1)</f>
        <v/>
      </c>
      <c r="AW892" s="67" t="str">
        <f>IF(AV892="","",AV892+6)</f>
        <v/>
      </c>
      <c r="AX892" s="66" t="str">
        <f>IF(AV892="","",TEXT(AV892,"dd/mm/yyyy")&amp;" - "&amp;TEXT(AW892,"dd/mm/yyyy"))</f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>IF(B892="","",TEXT(AY892,"00")&amp;"|"&amp;B892&amp;"|"&amp;TEXT(AT892,"yyyymmdd"))</f>
        <v/>
      </c>
      <c r="BB892" s="66" t="str">
        <f>IF(B892="","",TEXT(AZ892,"00")&amp;"|"&amp;B892&amp;"|"&amp;TEXT(AV892,"yyyymmdd"))</f>
        <v/>
      </c>
      <c r="BC892" s="66">
        <f>IF(OR(AQ892="YES",AQ892="Yes",AQ892="Y",AQ892=1),1,0)</f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17">
        <f>SUM(H893,J893,L893,N893,P893,R893,T893,V893,X893,Z893,AB893,AD893,AF893,AH893,AJ893,AL893,AN893)</f>
        <v>0</v>
      </c>
      <c r="AT893" s="67" t="str">
        <f>IF(C893="","",DATE(YEAR(C893),MONTH(C893),1))</f>
        <v/>
      </c>
      <c r="AU893" s="66" t="str">
        <f>IF(AT893="","",TEXT(AT893,"mmmm yyyy"))</f>
        <v/>
      </c>
      <c r="AV893" s="67" t="str">
        <f>IF(C893="","",C893-WEEKDAY(C893,2)+1)</f>
        <v/>
      </c>
      <c r="AW893" s="67" t="str">
        <f>IF(AV893="","",AV893+6)</f>
        <v/>
      </c>
      <c r="AX893" s="66" t="str">
        <f>IF(AV893="","",TEXT(AV893,"dd/mm/yyyy")&amp;" - "&amp;TEXT(AW893,"dd/mm/yyyy"))</f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>IF(B893="","",TEXT(AY893,"00")&amp;"|"&amp;B893&amp;"|"&amp;TEXT(AT893,"yyyymmdd"))</f>
        <v/>
      </c>
      <c r="BB893" s="66" t="str">
        <f>IF(B893="","",TEXT(AZ893,"00")&amp;"|"&amp;B893&amp;"|"&amp;TEXT(AV893,"yyyymmdd"))</f>
        <v/>
      </c>
      <c r="BC893" s="66">
        <f>IF(OR(AQ893="YES",AQ893="Yes",AQ893="Y",AQ893=1),1,0)</f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17">
        <f>SUM(H894,J894,L894,N894,P894,R894,T894,V894,X894,Z894,AB894,AD894,AF894,AH894,AJ894,AL894,AN894)</f>
        <v>0</v>
      </c>
      <c r="AT894" s="67" t="str">
        <f>IF(C894="","",DATE(YEAR(C894),MONTH(C894),1))</f>
        <v/>
      </c>
      <c r="AU894" s="66" t="str">
        <f>IF(AT894="","",TEXT(AT894,"mmmm yyyy"))</f>
        <v/>
      </c>
      <c r="AV894" s="67" t="str">
        <f>IF(C894="","",C894-WEEKDAY(C894,2)+1)</f>
        <v/>
      </c>
      <c r="AW894" s="67" t="str">
        <f>IF(AV894="","",AV894+6)</f>
        <v/>
      </c>
      <c r="AX894" s="66" t="str">
        <f>IF(AV894="","",TEXT(AV894,"dd/mm/yyyy")&amp;" - "&amp;TEXT(AW894,"dd/mm/yyyy"))</f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>IF(B894="","",TEXT(AY894,"00")&amp;"|"&amp;B894&amp;"|"&amp;TEXT(AT894,"yyyymmdd"))</f>
        <v/>
      </c>
      <c r="BB894" s="66" t="str">
        <f>IF(B894="","",TEXT(AZ894,"00")&amp;"|"&amp;B894&amp;"|"&amp;TEXT(AV894,"yyyymmdd"))</f>
        <v/>
      </c>
      <c r="BC894" s="66">
        <f>IF(OR(AQ894="YES",AQ894="Yes",AQ894="Y",AQ894=1),1,0)</f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17">
        <f>SUM(H895,J895,L895,N895,P895,R895,T895,V895,X895,Z895,AB895,AD895,AF895,AH895,AJ895,AL895,AN895)</f>
        <v>0</v>
      </c>
      <c r="AT895" s="67" t="str">
        <f>IF(C895="","",DATE(YEAR(C895),MONTH(C895),1))</f>
        <v/>
      </c>
      <c r="AU895" s="66" t="str">
        <f>IF(AT895="","",TEXT(AT895,"mmmm yyyy"))</f>
        <v/>
      </c>
      <c r="AV895" s="67" t="str">
        <f>IF(C895="","",C895-WEEKDAY(C895,2)+1)</f>
        <v/>
      </c>
      <c r="AW895" s="67" t="str">
        <f>IF(AV895="","",AV895+6)</f>
        <v/>
      </c>
      <c r="AX895" s="66" t="str">
        <f>IF(AV895="","",TEXT(AV895,"dd/mm/yyyy")&amp;" - "&amp;TEXT(AW895,"dd/mm/yyyy"))</f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>IF(B895="","",TEXT(AY895,"00")&amp;"|"&amp;B895&amp;"|"&amp;TEXT(AT895,"yyyymmdd"))</f>
        <v/>
      </c>
      <c r="BB895" s="66" t="str">
        <f>IF(B895="","",TEXT(AZ895,"00")&amp;"|"&amp;B895&amp;"|"&amp;TEXT(AV895,"yyyymmdd"))</f>
        <v/>
      </c>
      <c r="BC895" s="66">
        <f>IF(OR(AQ895="YES",AQ895="Yes",AQ895="Y",AQ895=1),1,0)</f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17">
        <f>SUM(H896,J896,L896,N896,P896,R896,T896,V896,X896,Z896,AB896,AD896,AF896,AH896,AJ896,AL896,AN896)</f>
        <v>0</v>
      </c>
      <c r="AT896" s="67" t="str">
        <f>IF(C896="","",DATE(YEAR(C896),MONTH(C896),1))</f>
        <v/>
      </c>
      <c r="AU896" s="66" t="str">
        <f>IF(AT896="","",TEXT(AT896,"mmmm yyyy"))</f>
        <v/>
      </c>
      <c r="AV896" s="67" t="str">
        <f>IF(C896="","",C896-WEEKDAY(C896,2)+1)</f>
        <v/>
      </c>
      <c r="AW896" s="67" t="str">
        <f>IF(AV896="","",AV896+6)</f>
        <v/>
      </c>
      <c r="AX896" s="66" t="str">
        <f>IF(AV896="","",TEXT(AV896,"dd/mm/yyyy")&amp;" - "&amp;TEXT(AW896,"dd/mm/yyyy"))</f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>IF(B896="","",TEXT(AY896,"00")&amp;"|"&amp;B896&amp;"|"&amp;TEXT(AT896,"yyyymmdd"))</f>
        <v/>
      </c>
      <c r="BB896" s="66" t="str">
        <f>IF(B896="","",TEXT(AZ896,"00")&amp;"|"&amp;B896&amp;"|"&amp;TEXT(AV896,"yyyymmdd"))</f>
        <v/>
      </c>
      <c r="BC896" s="66">
        <f>IF(OR(AQ896="YES",AQ896="Yes",AQ896="Y",AQ896=1),1,0)</f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17">
        <f>SUM(H897,J897,L897,N897,P897,R897,T897,V897,X897,Z897,AB897,AD897,AF897,AH897,AJ897,AL897,AN897)</f>
        <v>0</v>
      </c>
      <c r="AT897" s="67" t="str">
        <f>IF(C897="","",DATE(YEAR(C897),MONTH(C897),1))</f>
        <v/>
      </c>
      <c r="AU897" s="66" t="str">
        <f>IF(AT897="","",TEXT(AT897,"mmmm yyyy"))</f>
        <v/>
      </c>
      <c r="AV897" s="67" t="str">
        <f>IF(C897="","",C897-WEEKDAY(C897,2)+1)</f>
        <v/>
      </c>
      <c r="AW897" s="67" t="str">
        <f>IF(AV897="","",AV897+6)</f>
        <v/>
      </c>
      <c r="AX897" s="66" t="str">
        <f>IF(AV897="","",TEXT(AV897,"dd/mm/yyyy")&amp;" - "&amp;TEXT(AW897,"dd/mm/yyyy"))</f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>IF(B897="","",TEXT(AY897,"00")&amp;"|"&amp;B897&amp;"|"&amp;TEXT(AT897,"yyyymmdd"))</f>
        <v/>
      </c>
      <c r="BB897" s="66" t="str">
        <f>IF(B897="","",TEXT(AZ897,"00")&amp;"|"&amp;B897&amp;"|"&amp;TEXT(AV897,"yyyymmdd"))</f>
        <v/>
      </c>
      <c r="BC897" s="66">
        <f>IF(OR(AQ897="YES",AQ897="Yes",AQ897="Y",AQ897=1),1,0)</f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17">
        <f>SUM(H898,J898,L898,N898,P898,R898,T898,V898,X898,Z898,AB898,AD898,AF898,AH898,AJ898,AL898,AN898)</f>
        <v>0</v>
      </c>
      <c r="AT898" s="67" t="str">
        <f>IF(C898="","",DATE(YEAR(C898),MONTH(C898),1))</f>
        <v/>
      </c>
      <c r="AU898" s="66" t="str">
        <f>IF(AT898="","",TEXT(AT898,"mmmm yyyy"))</f>
        <v/>
      </c>
      <c r="AV898" s="67" t="str">
        <f>IF(C898="","",C898-WEEKDAY(C898,2)+1)</f>
        <v/>
      </c>
      <c r="AW898" s="67" t="str">
        <f>IF(AV898="","",AV898+6)</f>
        <v/>
      </c>
      <c r="AX898" s="66" t="str">
        <f>IF(AV898="","",TEXT(AV898,"dd/mm/yyyy")&amp;" - "&amp;TEXT(AW898,"dd/mm/yyyy"))</f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>IF(B898="","",TEXT(AY898,"00")&amp;"|"&amp;B898&amp;"|"&amp;TEXT(AT898,"yyyymmdd"))</f>
        <v/>
      </c>
      <c r="BB898" s="66" t="str">
        <f>IF(B898="","",TEXT(AZ898,"00")&amp;"|"&amp;B898&amp;"|"&amp;TEXT(AV898,"yyyymmdd"))</f>
        <v/>
      </c>
      <c r="BC898" s="66">
        <f>IF(OR(AQ898="YES",AQ898="Yes",AQ898="Y",AQ898=1),1,0)</f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17">
        <f>SUM(H899,J899,L899,N899,P899,R899,T899,V899,X899,Z899,AB899,AD899,AF899,AH899,AJ899,AL899,AN899)</f>
        <v>0</v>
      </c>
      <c r="AT899" s="67" t="str">
        <f>IF(C899="","",DATE(YEAR(C899),MONTH(C899),1))</f>
        <v/>
      </c>
      <c r="AU899" s="66" t="str">
        <f>IF(AT899="","",TEXT(AT899,"mmmm yyyy"))</f>
        <v/>
      </c>
      <c r="AV899" s="67" t="str">
        <f>IF(C899="","",C899-WEEKDAY(C899,2)+1)</f>
        <v/>
      </c>
      <c r="AW899" s="67" t="str">
        <f>IF(AV899="","",AV899+6)</f>
        <v/>
      </c>
      <c r="AX899" s="66" t="str">
        <f>IF(AV899="","",TEXT(AV899,"dd/mm/yyyy")&amp;" - "&amp;TEXT(AW899,"dd/mm/yyyy"))</f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>IF(B899="","",TEXT(AY899,"00")&amp;"|"&amp;B899&amp;"|"&amp;TEXT(AT899,"yyyymmdd"))</f>
        <v/>
      </c>
      <c r="BB899" s="66" t="str">
        <f>IF(B899="","",TEXT(AZ899,"00")&amp;"|"&amp;B899&amp;"|"&amp;TEXT(AV899,"yyyymmdd"))</f>
        <v/>
      </c>
      <c r="BC899" s="66">
        <f>IF(OR(AQ899="YES",AQ899="Yes",AQ899="Y",AQ899=1),1,0)</f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17">
        <f>SUM(H900,J900,L900,N900,P900,R900,T900,V900,X900,Z900,AB900,AD900,AF900,AH900,AJ900,AL900,AN900)</f>
        <v>0</v>
      </c>
      <c r="AT900" s="67" t="str">
        <f>IF(C900="","",DATE(YEAR(C900),MONTH(C900),1))</f>
        <v/>
      </c>
      <c r="AU900" s="66" t="str">
        <f>IF(AT900="","",TEXT(AT900,"mmmm yyyy"))</f>
        <v/>
      </c>
      <c r="AV900" s="67" t="str">
        <f>IF(C900="","",C900-WEEKDAY(C900,2)+1)</f>
        <v/>
      </c>
      <c r="AW900" s="67" t="str">
        <f>IF(AV900="","",AV900+6)</f>
        <v/>
      </c>
      <c r="AX900" s="66" t="str">
        <f>IF(AV900="","",TEXT(AV900,"dd/mm/yyyy")&amp;" - "&amp;TEXT(AW900,"dd/mm/yyyy"))</f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>IF(B900="","",TEXT(AY900,"00")&amp;"|"&amp;B900&amp;"|"&amp;TEXT(AT900,"yyyymmdd"))</f>
        <v/>
      </c>
      <c r="BB900" s="66" t="str">
        <f>IF(B900="","",TEXT(AZ900,"00")&amp;"|"&amp;B900&amp;"|"&amp;TEXT(AV900,"yyyymmdd"))</f>
        <v/>
      </c>
      <c r="BC900" s="66">
        <f>IF(OR(AQ900="YES",AQ900="Yes",AQ900="Y",AQ900=1),1,0)</f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17">
        <f>SUM(H901,J901,L901,N901,P901,R901,T901,V901,X901,Z901,AB901,AD901,AF901,AH901,AJ901,AL901,AN901)</f>
        <v>0</v>
      </c>
      <c r="AT901" s="67" t="str">
        <f>IF(C901="","",DATE(YEAR(C901),MONTH(C901),1))</f>
        <v/>
      </c>
      <c r="AU901" s="66" t="str">
        <f>IF(AT901="","",TEXT(AT901,"mmmm yyyy"))</f>
        <v/>
      </c>
      <c r="AV901" s="67" t="str">
        <f>IF(C901="","",C901-WEEKDAY(C901,2)+1)</f>
        <v/>
      </c>
      <c r="AW901" s="67" t="str">
        <f>IF(AV901="","",AV901+6)</f>
        <v/>
      </c>
      <c r="AX901" s="66" t="str">
        <f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>IF(B901="","",TEXT(AY901,"00")&amp;"|"&amp;B901&amp;"|"&amp;TEXT(AT901,"yyyymmdd"))</f>
        <v/>
      </c>
      <c r="BB901" s="66" t="str">
        <f>IF(B901="","",TEXT(AZ901,"00")&amp;"|"&amp;B901&amp;"|"&amp;TEXT(AV901,"yyyymmdd"))</f>
        <v/>
      </c>
      <c r="BC901" s="66">
        <f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17">
        <f>SUM(H902,J902,L902,N902,P902,R902,T902,V902,X902,Z902,AB902,AD902,AF902,AH902,AJ902,AL902,AN902)</f>
        <v>0</v>
      </c>
      <c r="AT902" s="67" t="str">
        <f>IF(C902="","",DATE(YEAR(C902),MONTH(C902),1))</f>
        <v/>
      </c>
      <c r="AU902" s="66" t="str">
        <f>IF(AT902="","",TEXT(AT902,"mmmm yyyy"))</f>
        <v/>
      </c>
      <c r="AV902" s="67" t="str">
        <f>IF(C902="","",C902-WEEKDAY(C902,2)+1)</f>
        <v/>
      </c>
      <c r="AW902" s="67" t="str">
        <f>IF(AV902="","",AV902+6)</f>
        <v/>
      </c>
      <c r="AX902" s="66" t="str">
        <f>IF(AV902="","",TEXT(AV902,"dd/mm/yyyy")&amp;" - "&amp;TEXT(AW902,"dd/mm/yyyy"))</f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>IF(B902="","",TEXT(AY902,"00")&amp;"|"&amp;B902&amp;"|"&amp;TEXT(AT902,"yyyymmdd"))</f>
        <v/>
      </c>
      <c r="BB902" s="66" t="str">
        <f>IF(B902="","",TEXT(AZ902,"00")&amp;"|"&amp;B902&amp;"|"&amp;TEXT(AV902,"yyyymmdd"))</f>
        <v/>
      </c>
      <c r="BC902" s="66">
        <f>IF(OR(AQ902="YES",AQ902="Yes",AQ902="Y",AQ902=1),1,0)</f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17">
        <f>SUM(H903,J903,L903,N903,P903,R903,T903,V903,X903,Z903,AB903,AD903,AF903,AH903,AJ903,AL903,AN903)</f>
        <v>0</v>
      </c>
      <c r="AT903" s="67" t="str">
        <f>IF(C903="","",DATE(YEAR(C903),MONTH(C903),1))</f>
        <v/>
      </c>
      <c r="AU903" s="66" t="str">
        <f>IF(AT903="","",TEXT(AT903,"mmmm yyyy"))</f>
        <v/>
      </c>
      <c r="AV903" s="67" t="str">
        <f>IF(C903="","",C903-WEEKDAY(C903,2)+1)</f>
        <v/>
      </c>
      <c r="AW903" s="67" t="str">
        <f>IF(AV903="","",AV903+6)</f>
        <v/>
      </c>
      <c r="AX903" s="66" t="str">
        <f>IF(AV903="","",TEXT(AV903,"dd/mm/yyyy")&amp;" - "&amp;TEXT(AW903,"dd/mm/yyyy"))</f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>IF(B903="","",TEXT(AY903,"00")&amp;"|"&amp;B903&amp;"|"&amp;TEXT(AT903,"yyyymmdd"))</f>
        <v/>
      </c>
      <c r="BB903" s="66" t="str">
        <f>IF(B903="","",TEXT(AZ903,"00")&amp;"|"&amp;B903&amp;"|"&amp;TEXT(AV903,"yyyymmdd"))</f>
        <v/>
      </c>
      <c r="BC903" s="66">
        <f>IF(OR(AQ903="YES",AQ903="Yes",AQ903="Y",AQ903=1),1,0)</f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17">
        <f>SUM(H904,J904,L904,N904,P904,R904,T904,V904,X904,Z904,AB904,AD904,AF904,AH904,AJ904,AL904,AN904)</f>
        <v>0</v>
      </c>
      <c r="AT904" s="67" t="str">
        <f>IF(C904="","",DATE(YEAR(C904),MONTH(C904),1))</f>
        <v/>
      </c>
      <c r="AU904" s="66" t="str">
        <f>IF(AT904="","",TEXT(AT904,"mmmm yyyy"))</f>
        <v/>
      </c>
      <c r="AV904" s="67" t="str">
        <f>IF(C904="","",C904-WEEKDAY(C904,2)+1)</f>
        <v/>
      </c>
      <c r="AW904" s="67" t="str">
        <f>IF(AV904="","",AV904+6)</f>
        <v/>
      </c>
      <c r="AX904" s="66" t="str">
        <f>IF(AV904="","",TEXT(AV904,"dd/mm/yyyy")&amp;" - "&amp;TEXT(AW904,"dd/mm/yyyy"))</f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>IF(B904="","",TEXT(AY904,"00")&amp;"|"&amp;B904&amp;"|"&amp;TEXT(AT904,"yyyymmdd"))</f>
        <v/>
      </c>
      <c r="BB904" s="66" t="str">
        <f>IF(B904="","",TEXT(AZ904,"00")&amp;"|"&amp;B904&amp;"|"&amp;TEXT(AV904,"yyyymmdd"))</f>
        <v/>
      </c>
      <c r="BC904" s="66">
        <f>IF(OR(AQ904="YES",AQ904="Yes",AQ904="Y",AQ904=1),1,0)</f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17">
        <f>SUM(H905,J905,L905,N905,P905,R905,T905,V905,X905,Z905,AB905,AD905,AF905,AH905,AJ905,AL905,AN905)</f>
        <v>0</v>
      </c>
      <c r="AT905" s="67" t="str">
        <f>IF(C905="","",DATE(YEAR(C905),MONTH(C905),1))</f>
        <v/>
      </c>
      <c r="AU905" s="66" t="str">
        <f>IF(AT905="","",TEXT(AT905,"mmmm yyyy"))</f>
        <v/>
      </c>
      <c r="AV905" s="67" t="str">
        <f>IF(C905="","",C905-WEEKDAY(C905,2)+1)</f>
        <v/>
      </c>
      <c r="AW905" s="67" t="str">
        <f>IF(AV905="","",AV905+6)</f>
        <v/>
      </c>
      <c r="AX905" s="66" t="str">
        <f>IF(AV905="","",TEXT(AV905,"dd/mm/yyyy")&amp;" - "&amp;TEXT(AW905,"dd/mm/yyyy"))</f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>IF(B905="","",TEXT(AY905,"00")&amp;"|"&amp;B905&amp;"|"&amp;TEXT(AT905,"yyyymmdd"))</f>
        <v/>
      </c>
      <c r="BB905" s="66" t="str">
        <f>IF(B905="","",TEXT(AZ905,"00")&amp;"|"&amp;B905&amp;"|"&amp;TEXT(AV905,"yyyymmdd"))</f>
        <v/>
      </c>
      <c r="BC905" s="66">
        <f>IF(OR(AQ905="YES",AQ905="Yes",AQ905="Y",AQ905=1),1,0)</f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17">
        <f>SUM(H906,J906,L906,N906,P906,R906,T906,V906,X906,Z906,AB906,AD906,AF906,AH906,AJ906,AL906,AN906)</f>
        <v>0</v>
      </c>
      <c r="AT906" s="67" t="str">
        <f>IF(C906="","",DATE(YEAR(C906),MONTH(C906),1))</f>
        <v/>
      </c>
      <c r="AU906" s="66" t="str">
        <f>IF(AT906="","",TEXT(AT906,"mmmm yyyy"))</f>
        <v/>
      </c>
      <c r="AV906" s="67" t="str">
        <f>IF(C906="","",C906-WEEKDAY(C906,2)+1)</f>
        <v/>
      </c>
      <c r="AW906" s="67" t="str">
        <f>IF(AV906="","",AV906+6)</f>
        <v/>
      </c>
      <c r="AX906" s="66" t="str">
        <f>IF(AV906="","",TEXT(AV906,"dd/mm/yyyy")&amp;" - "&amp;TEXT(AW906,"dd/mm/yyyy"))</f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>IF(B906="","",TEXT(AY906,"00")&amp;"|"&amp;B906&amp;"|"&amp;TEXT(AT906,"yyyymmdd"))</f>
        <v/>
      </c>
      <c r="BB906" s="66" t="str">
        <f>IF(B906="","",TEXT(AZ906,"00")&amp;"|"&amp;B906&amp;"|"&amp;TEXT(AV906,"yyyymmdd"))</f>
        <v/>
      </c>
      <c r="BC906" s="66">
        <f>IF(OR(AQ906="YES",AQ906="Yes",AQ906="Y",AQ906=1),1,0)</f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17">
        <f>SUM(H907,J907,L907,N907,P907,R907,T907,V907,X907,Z907,AB907,AD907,AF907,AH907,AJ907,AL907,AN907)</f>
        <v>0</v>
      </c>
      <c r="AT907" s="67" t="str">
        <f>IF(C907="","",DATE(YEAR(C907),MONTH(C907),1))</f>
        <v/>
      </c>
      <c r="AU907" s="66" t="str">
        <f>IF(AT907="","",TEXT(AT907,"mmmm yyyy"))</f>
        <v/>
      </c>
      <c r="AV907" s="67" t="str">
        <f>IF(C907="","",C907-WEEKDAY(C907,2)+1)</f>
        <v/>
      </c>
      <c r="AW907" s="67" t="str">
        <f>IF(AV907="","",AV907+6)</f>
        <v/>
      </c>
      <c r="AX907" s="66" t="str">
        <f>IF(AV907="","",TEXT(AV907,"dd/mm/yyyy")&amp;" - "&amp;TEXT(AW907,"dd/mm/yyyy"))</f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>IF(B907="","",TEXT(AY907,"00")&amp;"|"&amp;B907&amp;"|"&amp;TEXT(AT907,"yyyymmdd"))</f>
        <v/>
      </c>
      <c r="BB907" s="66" t="str">
        <f>IF(B907="","",TEXT(AZ907,"00")&amp;"|"&amp;B907&amp;"|"&amp;TEXT(AV907,"yyyymmdd"))</f>
        <v/>
      </c>
      <c r="BC907" s="66">
        <f>IF(OR(AQ907="YES",AQ907="Yes",AQ907="Y",AQ907=1),1,0)</f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17">
        <f>SUM(H908,J908,L908,N908,P908,R908,T908,V908,X908,Z908,AB908,AD908,AF908,AH908,AJ908,AL908,AN908)</f>
        <v>0</v>
      </c>
      <c r="AT908" s="67" t="str">
        <f>IF(C908="","",DATE(YEAR(C908),MONTH(C908),1))</f>
        <v/>
      </c>
      <c r="AU908" s="66" t="str">
        <f>IF(AT908="","",TEXT(AT908,"mmmm yyyy"))</f>
        <v/>
      </c>
      <c r="AV908" s="67" t="str">
        <f>IF(C908="","",C908-WEEKDAY(C908,2)+1)</f>
        <v/>
      </c>
      <c r="AW908" s="67" t="str">
        <f>IF(AV908="","",AV908+6)</f>
        <v/>
      </c>
      <c r="AX908" s="66" t="str">
        <f>IF(AV908="","",TEXT(AV908,"dd/mm/yyyy")&amp;" - "&amp;TEXT(AW908,"dd/mm/yyyy"))</f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>IF(B908="","",TEXT(AY908,"00")&amp;"|"&amp;B908&amp;"|"&amp;TEXT(AT908,"yyyymmdd"))</f>
        <v/>
      </c>
      <c r="BB908" s="66" t="str">
        <f>IF(B908="","",TEXT(AZ908,"00")&amp;"|"&amp;B908&amp;"|"&amp;TEXT(AV908,"yyyymmdd"))</f>
        <v/>
      </c>
      <c r="BC908" s="66">
        <f>IF(OR(AQ908="YES",AQ908="Yes",AQ908="Y",AQ908=1),1,0)</f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17">
        <f>SUM(H909,J909,L909,N909,P909,R909,T909,V909,X909,Z909,AB909,AD909,AF909,AH909,AJ909,AL909,AN909)</f>
        <v>0</v>
      </c>
      <c r="AT909" s="67" t="str">
        <f>IF(C909="","",DATE(YEAR(C909),MONTH(C909),1))</f>
        <v/>
      </c>
      <c r="AU909" s="66" t="str">
        <f>IF(AT909="","",TEXT(AT909,"mmmm yyyy"))</f>
        <v/>
      </c>
      <c r="AV909" s="67" t="str">
        <f>IF(C909="","",C909-WEEKDAY(C909,2)+1)</f>
        <v/>
      </c>
      <c r="AW909" s="67" t="str">
        <f>IF(AV909="","",AV909+6)</f>
        <v/>
      </c>
      <c r="AX909" s="66" t="str">
        <f>IF(AV909="","",TEXT(AV909,"dd/mm/yyyy")&amp;" - "&amp;TEXT(AW909,"dd/mm/yyyy"))</f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>IF(B909="","",TEXT(AY909,"00")&amp;"|"&amp;B909&amp;"|"&amp;TEXT(AT909,"yyyymmdd"))</f>
        <v/>
      </c>
      <c r="BB909" s="66" t="str">
        <f>IF(B909="","",TEXT(AZ909,"00")&amp;"|"&amp;B909&amp;"|"&amp;TEXT(AV909,"yyyymmdd"))</f>
        <v/>
      </c>
      <c r="BC909" s="66">
        <f>IF(OR(AQ909="YES",AQ909="Yes",AQ909="Y",AQ909=1),1,0)</f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17">
        <f>SUM(H910,J910,L910,N910,P910,R910,T910,V910,X910,Z910,AB910,AD910,AF910,AH910,AJ910,AL910,AN910)</f>
        <v>0</v>
      </c>
      <c r="AT910" s="67" t="str">
        <f>IF(C910="","",DATE(YEAR(C910),MONTH(C910),1))</f>
        <v/>
      </c>
      <c r="AU910" s="66" t="str">
        <f>IF(AT910="","",TEXT(AT910,"mmmm yyyy"))</f>
        <v/>
      </c>
      <c r="AV910" s="67" t="str">
        <f>IF(C910="","",C910-WEEKDAY(C910,2)+1)</f>
        <v/>
      </c>
      <c r="AW910" s="67" t="str">
        <f>IF(AV910="","",AV910+6)</f>
        <v/>
      </c>
      <c r="AX910" s="66" t="str">
        <f>IF(AV910="","",TEXT(AV910,"dd/mm/yyyy")&amp;" - "&amp;TEXT(AW910,"dd/mm/yyyy"))</f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>IF(B910="","",TEXT(AY910,"00")&amp;"|"&amp;B910&amp;"|"&amp;TEXT(AT910,"yyyymmdd"))</f>
        <v/>
      </c>
      <c r="BB910" s="66" t="str">
        <f>IF(B910="","",TEXT(AZ910,"00")&amp;"|"&amp;B910&amp;"|"&amp;TEXT(AV910,"yyyymmdd"))</f>
        <v/>
      </c>
      <c r="BC910" s="66">
        <f>IF(OR(AQ910="YES",AQ910="Yes",AQ910="Y",AQ910=1),1,0)</f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17">
        <f>SUM(H911,J911,L911,N911,P911,R911,T911,V911,X911,Z911,AB911,AD911,AF911,AH911,AJ911,AL911,AN911)</f>
        <v>0</v>
      </c>
      <c r="AT911" s="67" t="str">
        <f>IF(C911="","",DATE(YEAR(C911),MONTH(C911),1))</f>
        <v/>
      </c>
      <c r="AU911" s="66" t="str">
        <f>IF(AT911="","",TEXT(AT911,"mmmm yyyy"))</f>
        <v/>
      </c>
      <c r="AV911" s="67" t="str">
        <f>IF(C911="","",C911-WEEKDAY(C911,2)+1)</f>
        <v/>
      </c>
      <c r="AW911" s="67" t="str">
        <f>IF(AV911="","",AV911+6)</f>
        <v/>
      </c>
      <c r="AX911" s="66" t="str">
        <f>IF(AV911="","",TEXT(AV911,"dd/mm/yyyy")&amp;" - "&amp;TEXT(AW911,"dd/mm/yyyy"))</f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>IF(B911="","",TEXT(AY911,"00")&amp;"|"&amp;B911&amp;"|"&amp;TEXT(AT911,"yyyymmdd"))</f>
        <v/>
      </c>
      <c r="BB911" s="66" t="str">
        <f>IF(B911="","",TEXT(AZ911,"00")&amp;"|"&amp;B911&amp;"|"&amp;TEXT(AV911,"yyyymmdd"))</f>
        <v/>
      </c>
      <c r="BC911" s="66">
        <f>IF(OR(AQ911="YES",AQ911="Yes",AQ911="Y",AQ911=1),1,0)</f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17">
        <f>SUM(H912,J912,L912,N912,P912,R912,T912,V912,X912,Z912,AB912,AD912,AF912,AH912,AJ912,AL912,AN912)</f>
        <v>0</v>
      </c>
      <c r="AT912" s="67" t="str">
        <f>IF(C912="","",DATE(YEAR(C912),MONTH(C912),1))</f>
        <v/>
      </c>
      <c r="AU912" s="66" t="str">
        <f>IF(AT912="","",TEXT(AT912,"mmmm yyyy"))</f>
        <v/>
      </c>
      <c r="AV912" s="67" t="str">
        <f>IF(C912="","",C912-WEEKDAY(C912,2)+1)</f>
        <v/>
      </c>
      <c r="AW912" s="67" t="str">
        <f>IF(AV912="","",AV912+6)</f>
        <v/>
      </c>
      <c r="AX912" s="66" t="str">
        <f>IF(AV912="","",TEXT(AV912,"dd/mm/yyyy")&amp;" - "&amp;TEXT(AW912,"dd/mm/yyyy"))</f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>IF(B912="","",TEXT(AY912,"00")&amp;"|"&amp;B912&amp;"|"&amp;TEXT(AT912,"yyyymmdd"))</f>
        <v/>
      </c>
      <c r="BB912" s="66" t="str">
        <f>IF(B912="","",TEXT(AZ912,"00")&amp;"|"&amp;B912&amp;"|"&amp;TEXT(AV912,"yyyymmdd"))</f>
        <v/>
      </c>
      <c r="BC912" s="66">
        <f>IF(OR(AQ912="YES",AQ912="Yes",AQ912="Y",AQ912=1),1,0)</f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17">
        <f>SUM(H913,J913,L913,N913,P913,R913,T913,V913,X913,Z913,AB913,AD913,AF913,AH913,AJ913,AL913,AN913)</f>
        <v>0</v>
      </c>
      <c r="AT913" s="67" t="str">
        <f>IF(C913="","",DATE(YEAR(C913),MONTH(C913),1))</f>
        <v/>
      </c>
      <c r="AU913" s="66" t="str">
        <f>IF(AT913="","",TEXT(AT913,"mmmm yyyy"))</f>
        <v/>
      </c>
      <c r="AV913" s="67" t="str">
        <f>IF(C913="","",C913-WEEKDAY(C913,2)+1)</f>
        <v/>
      </c>
      <c r="AW913" s="67" t="str">
        <f>IF(AV913="","",AV913+6)</f>
        <v/>
      </c>
      <c r="AX913" s="66" t="str">
        <f>IF(AV913="","",TEXT(AV913,"dd/mm/yyyy")&amp;" - "&amp;TEXT(AW913,"dd/mm/yyyy"))</f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>IF(B913="","",TEXT(AY913,"00")&amp;"|"&amp;B913&amp;"|"&amp;TEXT(AT913,"yyyymmdd"))</f>
        <v/>
      </c>
      <c r="BB913" s="66" t="str">
        <f>IF(B913="","",TEXT(AZ913,"00")&amp;"|"&amp;B913&amp;"|"&amp;TEXT(AV913,"yyyymmdd"))</f>
        <v/>
      </c>
      <c r="BC913" s="66">
        <f>IF(OR(AQ913="YES",AQ913="Yes",AQ913="Y",AQ913=1),1,0)</f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17">
        <f>SUM(H914,J914,L914,N914,P914,R914,T914,V914,X914,Z914,AB914,AD914,AF914,AH914,AJ914,AL914,AN914)</f>
        <v>0</v>
      </c>
      <c r="AT914" s="67" t="str">
        <f>IF(C914="","",DATE(YEAR(C914),MONTH(C914),1))</f>
        <v/>
      </c>
      <c r="AU914" s="66" t="str">
        <f>IF(AT914="","",TEXT(AT914,"mmmm yyyy"))</f>
        <v/>
      </c>
      <c r="AV914" s="67" t="str">
        <f>IF(C914="","",C914-WEEKDAY(C914,2)+1)</f>
        <v/>
      </c>
      <c r="AW914" s="67" t="str">
        <f>IF(AV914="","",AV914+6)</f>
        <v/>
      </c>
      <c r="AX914" s="66" t="str">
        <f>IF(AV914="","",TEXT(AV914,"dd/mm/yyyy")&amp;" - "&amp;TEXT(AW914,"dd/mm/yyyy"))</f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>IF(B914="","",TEXT(AY914,"00")&amp;"|"&amp;B914&amp;"|"&amp;TEXT(AT914,"yyyymmdd"))</f>
        <v/>
      </c>
      <c r="BB914" s="66" t="str">
        <f>IF(B914="","",TEXT(AZ914,"00")&amp;"|"&amp;B914&amp;"|"&amp;TEXT(AV914,"yyyymmdd"))</f>
        <v/>
      </c>
      <c r="BC914" s="66">
        <f>IF(OR(AQ914="YES",AQ914="Yes",AQ914="Y",AQ914=1),1,0)</f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17">
        <f>SUM(H915,J915,L915,N915,P915,R915,T915,V915,X915,Z915,AB915,AD915,AF915,AH915,AJ915,AL915,AN915)</f>
        <v>0</v>
      </c>
      <c r="AT915" s="67" t="str">
        <f>IF(C915="","",DATE(YEAR(C915),MONTH(C915),1))</f>
        <v/>
      </c>
      <c r="AU915" s="66" t="str">
        <f>IF(AT915="","",TEXT(AT915,"mmmm yyyy"))</f>
        <v/>
      </c>
      <c r="AV915" s="67" t="str">
        <f>IF(C915="","",C915-WEEKDAY(C915,2)+1)</f>
        <v/>
      </c>
      <c r="AW915" s="67" t="str">
        <f>IF(AV915="","",AV915+6)</f>
        <v/>
      </c>
      <c r="AX915" s="66" t="str">
        <f>IF(AV915="","",TEXT(AV915,"dd/mm/yyyy")&amp;" - "&amp;TEXT(AW915,"dd/mm/yyyy"))</f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>IF(B915="","",TEXT(AY915,"00")&amp;"|"&amp;B915&amp;"|"&amp;TEXT(AT915,"yyyymmdd"))</f>
        <v/>
      </c>
      <c r="BB915" s="66" t="str">
        <f>IF(B915="","",TEXT(AZ915,"00")&amp;"|"&amp;B915&amp;"|"&amp;TEXT(AV915,"yyyymmdd"))</f>
        <v/>
      </c>
      <c r="BC915" s="66">
        <f>IF(OR(AQ915="YES",AQ915="Yes",AQ915="Y",AQ915=1),1,0)</f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17">
        <f>SUM(H916,J916,L916,N916,P916,R916,T916,V916,X916,Z916,AB916,AD916,AF916,AH916,AJ916,AL916,AN916)</f>
        <v>0</v>
      </c>
      <c r="AT916" s="67" t="str">
        <f>IF(C916="","",DATE(YEAR(C916),MONTH(C916),1))</f>
        <v/>
      </c>
      <c r="AU916" s="66" t="str">
        <f>IF(AT916="","",TEXT(AT916,"mmmm yyyy"))</f>
        <v/>
      </c>
      <c r="AV916" s="67" t="str">
        <f>IF(C916="","",C916-WEEKDAY(C916,2)+1)</f>
        <v/>
      </c>
      <c r="AW916" s="67" t="str">
        <f>IF(AV916="","",AV916+6)</f>
        <v/>
      </c>
      <c r="AX916" s="66" t="str">
        <f>IF(AV916="","",TEXT(AV916,"dd/mm/yyyy")&amp;" - "&amp;TEXT(AW916,"dd/mm/yyyy"))</f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>IF(B916="","",TEXT(AY916,"00")&amp;"|"&amp;B916&amp;"|"&amp;TEXT(AT916,"yyyymmdd"))</f>
        <v/>
      </c>
      <c r="BB916" s="66" t="str">
        <f>IF(B916="","",TEXT(AZ916,"00")&amp;"|"&amp;B916&amp;"|"&amp;TEXT(AV916,"yyyymmdd"))</f>
        <v/>
      </c>
      <c r="BC916" s="66">
        <f>IF(OR(AQ916="YES",AQ916="Yes",AQ916="Y",AQ916=1),1,0)</f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17">
        <f>SUM(H917,J917,L917,N917,P917,R917,T917,V917,X917,Z917,AB917,AD917,AF917,AH917,AJ917,AL917,AN917)</f>
        <v>0</v>
      </c>
      <c r="AT917" s="67" t="str">
        <f>IF(C917="","",DATE(YEAR(C917),MONTH(C917),1))</f>
        <v/>
      </c>
      <c r="AU917" s="66" t="str">
        <f>IF(AT917="","",TEXT(AT917,"mmmm yyyy"))</f>
        <v/>
      </c>
      <c r="AV917" s="67" t="str">
        <f>IF(C917="","",C917-WEEKDAY(C917,2)+1)</f>
        <v/>
      </c>
      <c r="AW917" s="67" t="str">
        <f>IF(AV917="","",AV917+6)</f>
        <v/>
      </c>
      <c r="AX917" s="66" t="str">
        <f>IF(AV917="","",TEXT(AV917,"dd/mm/yyyy")&amp;" - "&amp;TEXT(AW917,"dd/mm/yyyy"))</f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>IF(B917="","",TEXT(AY917,"00")&amp;"|"&amp;B917&amp;"|"&amp;TEXT(AT917,"yyyymmdd"))</f>
        <v/>
      </c>
      <c r="BB917" s="66" t="str">
        <f>IF(B917="","",TEXT(AZ917,"00")&amp;"|"&amp;B917&amp;"|"&amp;TEXT(AV917,"yyyymmdd"))</f>
        <v/>
      </c>
      <c r="BC917" s="66">
        <f>IF(OR(AQ917="YES",AQ917="Yes",AQ917="Y",AQ917=1),1,0)</f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17">
        <f>SUM(H918,J918,L918,N918,P918,R918,T918,V918,X918,Z918,AB918,AD918,AF918,AH918,AJ918,AL918,AN918)</f>
        <v>0</v>
      </c>
      <c r="AT918" s="67" t="str">
        <f>IF(C918="","",DATE(YEAR(C918),MONTH(C918),1))</f>
        <v/>
      </c>
      <c r="AU918" s="66" t="str">
        <f>IF(AT918="","",TEXT(AT918,"mmmm yyyy"))</f>
        <v/>
      </c>
      <c r="AV918" s="67" t="str">
        <f>IF(C918="","",C918-WEEKDAY(C918,2)+1)</f>
        <v/>
      </c>
      <c r="AW918" s="67" t="str">
        <f>IF(AV918="","",AV918+6)</f>
        <v/>
      </c>
      <c r="AX918" s="66" t="str">
        <f>IF(AV918="","",TEXT(AV918,"dd/mm/yyyy")&amp;" - "&amp;TEXT(AW918,"dd/mm/yyyy"))</f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>IF(B918="","",TEXT(AY918,"00")&amp;"|"&amp;B918&amp;"|"&amp;TEXT(AT918,"yyyymmdd"))</f>
        <v/>
      </c>
      <c r="BB918" s="66" t="str">
        <f>IF(B918="","",TEXT(AZ918,"00")&amp;"|"&amp;B918&amp;"|"&amp;TEXT(AV918,"yyyymmdd"))</f>
        <v/>
      </c>
      <c r="BC918" s="66">
        <f>IF(OR(AQ918="YES",AQ918="Yes",AQ918="Y",AQ918=1),1,0)</f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17">
        <f>SUM(H919,J919,L919,N919,P919,R919,T919,V919,X919,Z919,AB919,AD919,AF919,AH919,AJ919,AL919,AN919)</f>
        <v>0</v>
      </c>
      <c r="AT919" s="67" t="str">
        <f>IF(C919="","",DATE(YEAR(C919),MONTH(C919),1))</f>
        <v/>
      </c>
      <c r="AU919" s="66" t="str">
        <f>IF(AT919="","",TEXT(AT919,"mmmm yyyy"))</f>
        <v/>
      </c>
      <c r="AV919" s="67" t="str">
        <f>IF(C919="","",C919-WEEKDAY(C919,2)+1)</f>
        <v/>
      </c>
      <c r="AW919" s="67" t="str">
        <f>IF(AV919="","",AV919+6)</f>
        <v/>
      </c>
      <c r="AX919" s="66" t="str">
        <f>IF(AV919="","",TEXT(AV919,"dd/mm/yyyy")&amp;" - "&amp;TEXT(AW919,"dd/mm/yyyy"))</f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>IF(B919="","",TEXT(AY919,"00")&amp;"|"&amp;B919&amp;"|"&amp;TEXT(AT919,"yyyymmdd"))</f>
        <v/>
      </c>
      <c r="BB919" s="66" t="str">
        <f>IF(B919="","",TEXT(AZ919,"00")&amp;"|"&amp;B919&amp;"|"&amp;TEXT(AV919,"yyyymmdd"))</f>
        <v/>
      </c>
      <c r="BC919" s="66">
        <f>IF(OR(AQ919="YES",AQ919="Yes",AQ919="Y",AQ919=1),1,0)</f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17">
        <f>SUM(H920,J920,L920,N920,P920,R920,T920,V920,X920,Z920,AB920,AD920,AF920,AH920,AJ920,AL920,AN920)</f>
        <v>0</v>
      </c>
      <c r="AT920" s="67" t="str">
        <f>IF(C920="","",DATE(YEAR(C920),MONTH(C920),1))</f>
        <v/>
      </c>
      <c r="AU920" s="66" t="str">
        <f>IF(AT920="","",TEXT(AT920,"mmmm yyyy"))</f>
        <v/>
      </c>
      <c r="AV920" s="67" t="str">
        <f>IF(C920="","",C920-WEEKDAY(C920,2)+1)</f>
        <v/>
      </c>
      <c r="AW920" s="67" t="str">
        <f>IF(AV920="","",AV920+6)</f>
        <v/>
      </c>
      <c r="AX920" s="66" t="str">
        <f>IF(AV920="","",TEXT(AV920,"dd/mm/yyyy")&amp;" - "&amp;TEXT(AW920,"dd/mm/yyyy"))</f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>IF(B920="","",TEXT(AY920,"00")&amp;"|"&amp;B920&amp;"|"&amp;TEXT(AT920,"yyyymmdd"))</f>
        <v/>
      </c>
      <c r="BB920" s="66" t="str">
        <f>IF(B920="","",TEXT(AZ920,"00")&amp;"|"&amp;B920&amp;"|"&amp;TEXT(AV920,"yyyymmdd"))</f>
        <v/>
      </c>
      <c r="BC920" s="66">
        <f>IF(OR(AQ920="YES",AQ920="Yes",AQ920="Y",AQ920=1),1,0)</f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17">
        <f>SUM(H921,J921,L921,N921,P921,R921,T921,V921,X921,Z921,AB921,AD921,AF921,AH921,AJ921,AL921,AN921)</f>
        <v>0</v>
      </c>
      <c r="AT921" s="67" t="str">
        <f>IF(C921="","",DATE(YEAR(C921),MONTH(C921),1))</f>
        <v/>
      </c>
      <c r="AU921" s="66" t="str">
        <f>IF(AT921="","",TEXT(AT921,"mmmm yyyy"))</f>
        <v/>
      </c>
      <c r="AV921" s="67" t="str">
        <f>IF(C921="","",C921-WEEKDAY(C921,2)+1)</f>
        <v/>
      </c>
      <c r="AW921" s="67" t="str">
        <f>IF(AV921="","",AV921+6)</f>
        <v/>
      </c>
      <c r="AX921" s="66" t="str">
        <f>IF(AV921="","",TEXT(AV921,"dd/mm/yyyy")&amp;" - "&amp;TEXT(AW921,"dd/mm/yyyy"))</f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>IF(B921="","",TEXT(AY921,"00")&amp;"|"&amp;B921&amp;"|"&amp;TEXT(AT921,"yyyymmdd"))</f>
        <v/>
      </c>
      <c r="BB921" s="66" t="str">
        <f>IF(B921="","",TEXT(AZ921,"00")&amp;"|"&amp;B921&amp;"|"&amp;TEXT(AV921,"yyyymmdd"))</f>
        <v/>
      </c>
      <c r="BC921" s="66">
        <f>IF(OR(AQ921="YES",AQ921="Yes",AQ921="Y",AQ921=1),1,0)</f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17">
        <f>SUM(H922,J922,L922,N922,P922,R922,T922,V922,X922,Z922,AB922,AD922,AF922,AH922,AJ922,AL922,AN922)</f>
        <v>0</v>
      </c>
      <c r="AT922" s="67" t="str">
        <f>IF(C922="","",DATE(YEAR(C922),MONTH(C922),1))</f>
        <v/>
      </c>
      <c r="AU922" s="66" t="str">
        <f>IF(AT922="","",TEXT(AT922,"mmmm yyyy"))</f>
        <v/>
      </c>
      <c r="AV922" s="67" t="str">
        <f>IF(C922="","",C922-WEEKDAY(C922,2)+1)</f>
        <v/>
      </c>
      <c r="AW922" s="67" t="str">
        <f>IF(AV922="","",AV922+6)</f>
        <v/>
      </c>
      <c r="AX922" s="66" t="str">
        <f>IF(AV922="","",TEXT(AV922,"dd/mm/yyyy")&amp;" - "&amp;TEXT(AW922,"dd/mm/yyyy"))</f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>IF(B922="","",TEXT(AY922,"00")&amp;"|"&amp;B922&amp;"|"&amp;TEXT(AT922,"yyyymmdd"))</f>
        <v/>
      </c>
      <c r="BB922" s="66" t="str">
        <f>IF(B922="","",TEXT(AZ922,"00")&amp;"|"&amp;B922&amp;"|"&amp;TEXT(AV922,"yyyymmdd"))</f>
        <v/>
      </c>
      <c r="BC922" s="66">
        <f>IF(OR(AQ922="YES",AQ922="Yes",AQ922="Y",AQ922=1),1,0)</f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17">
        <f>SUM(H923,J923,L923,N923,P923,R923,T923,V923,X923,Z923,AB923,AD923,AF923,AH923,AJ923,AL923,AN923)</f>
        <v>0</v>
      </c>
      <c r="AT923" s="67" t="str">
        <f>IF(C923="","",DATE(YEAR(C923),MONTH(C923),1))</f>
        <v/>
      </c>
      <c r="AU923" s="66" t="str">
        <f>IF(AT923="","",TEXT(AT923,"mmmm yyyy"))</f>
        <v/>
      </c>
      <c r="AV923" s="67" t="str">
        <f>IF(C923="","",C923-WEEKDAY(C923,2)+1)</f>
        <v/>
      </c>
      <c r="AW923" s="67" t="str">
        <f>IF(AV923="","",AV923+6)</f>
        <v/>
      </c>
      <c r="AX923" s="66" t="str">
        <f>IF(AV923="","",TEXT(AV923,"dd/mm/yyyy")&amp;" - "&amp;TEXT(AW923,"dd/mm/yyyy"))</f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>IF(B923="","",TEXT(AY923,"00")&amp;"|"&amp;B923&amp;"|"&amp;TEXT(AT923,"yyyymmdd"))</f>
        <v/>
      </c>
      <c r="BB923" s="66" t="str">
        <f>IF(B923="","",TEXT(AZ923,"00")&amp;"|"&amp;B923&amp;"|"&amp;TEXT(AV923,"yyyymmdd"))</f>
        <v/>
      </c>
      <c r="BC923" s="66">
        <f>IF(OR(AQ923="YES",AQ923="Yes",AQ923="Y",AQ923=1),1,0)</f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17">
        <f>SUM(H924,J924,L924,N924,P924,R924,T924,V924,X924,Z924,AB924,AD924,AF924,AH924,AJ924,AL924,AN924)</f>
        <v>0</v>
      </c>
      <c r="AT924" s="67" t="str">
        <f>IF(C924="","",DATE(YEAR(C924),MONTH(C924),1))</f>
        <v/>
      </c>
      <c r="AU924" s="66" t="str">
        <f>IF(AT924="","",TEXT(AT924,"mmmm yyyy"))</f>
        <v/>
      </c>
      <c r="AV924" s="67" t="str">
        <f>IF(C924="","",C924-WEEKDAY(C924,2)+1)</f>
        <v/>
      </c>
      <c r="AW924" s="67" t="str">
        <f>IF(AV924="","",AV924+6)</f>
        <v/>
      </c>
      <c r="AX924" s="66" t="str">
        <f>IF(AV924="","",TEXT(AV924,"dd/mm/yyyy")&amp;" - "&amp;TEXT(AW924,"dd/mm/yyyy"))</f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>IF(B924="","",TEXT(AY924,"00")&amp;"|"&amp;B924&amp;"|"&amp;TEXT(AT924,"yyyymmdd"))</f>
        <v/>
      </c>
      <c r="BB924" s="66" t="str">
        <f>IF(B924="","",TEXT(AZ924,"00")&amp;"|"&amp;B924&amp;"|"&amp;TEXT(AV924,"yyyymmdd"))</f>
        <v/>
      </c>
      <c r="BC924" s="66">
        <f>IF(OR(AQ924="YES",AQ924="Yes",AQ924="Y",AQ924=1),1,0)</f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17">
        <f>SUM(H925,J925,L925,N925,P925,R925,T925,V925,X925,Z925,AB925,AD925,AF925,AH925,AJ925,AL925,AN925)</f>
        <v>0</v>
      </c>
      <c r="AT925" s="67" t="str">
        <f>IF(C925="","",DATE(YEAR(C925),MONTH(C925),1))</f>
        <v/>
      </c>
      <c r="AU925" s="66" t="str">
        <f>IF(AT925="","",TEXT(AT925,"mmmm yyyy"))</f>
        <v/>
      </c>
      <c r="AV925" s="67" t="str">
        <f>IF(C925="","",C925-WEEKDAY(C925,2)+1)</f>
        <v/>
      </c>
      <c r="AW925" s="67" t="str">
        <f>IF(AV925="","",AV925+6)</f>
        <v/>
      </c>
      <c r="AX925" s="66" t="str">
        <f>IF(AV925="","",TEXT(AV925,"dd/mm/yyyy")&amp;" - "&amp;TEXT(AW925,"dd/mm/yyyy"))</f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>IF(B925="","",TEXT(AY925,"00")&amp;"|"&amp;B925&amp;"|"&amp;TEXT(AT925,"yyyymmdd"))</f>
        <v/>
      </c>
      <c r="BB925" s="66" t="str">
        <f>IF(B925="","",TEXT(AZ925,"00")&amp;"|"&amp;B925&amp;"|"&amp;TEXT(AV925,"yyyymmdd"))</f>
        <v/>
      </c>
      <c r="BC925" s="66">
        <f>IF(OR(AQ925="YES",AQ925="Yes",AQ925="Y",AQ925=1),1,0)</f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17">
        <f>SUM(H926,J926,L926,N926,P926,R926,T926,V926,X926,Z926,AB926,AD926,AF926,AH926,AJ926,AL926,AN926)</f>
        <v>0</v>
      </c>
      <c r="AT926" s="67" t="str">
        <f>IF(C926="","",DATE(YEAR(C926),MONTH(C926),1))</f>
        <v/>
      </c>
      <c r="AU926" s="66" t="str">
        <f>IF(AT926="","",TEXT(AT926,"mmmm yyyy"))</f>
        <v/>
      </c>
      <c r="AV926" s="67" t="str">
        <f>IF(C926="","",C926-WEEKDAY(C926,2)+1)</f>
        <v/>
      </c>
      <c r="AW926" s="67" t="str">
        <f>IF(AV926="","",AV926+6)</f>
        <v/>
      </c>
      <c r="AX926" s="66" t="str">
        <f>IF(AV926="","",TEXT(AV926,"dd/mm/yyyy")&amp;" - "&amp;TEXT(AW926,"dd/mm/yyyy"))</f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>IF(B926="","",TEXT(AY926,"00")&amp;"|"&amp;B926&amp;"|"&amp;TEXT(AT926,"yyyymmdd"))</f>
        <v/>
      </c>
      <c r="BB926" s="66" t="str">
        <f>IF(B926="","",TEXT(AZ926,"00")&amp;"|"&amp;B926&amp;"|"&amp;TEXT(AV926,"yyyymmdd"))</f>
        <v/>
      </c>
      <c r="BC926" s="66">
        <f>IF(OR(AQ926="YES",AQ926="Yes",AQ926="Y",AQ926=1),1,0)</f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17">
        <f>SUM(H927,J927,L927,N927,P927,R927,T927,V927,X927,Z927,AB927,AD927,AF927,AH927,AJ927,AL927,AN927)</f>
        <v>0</v>
      </c>
      <c r="AT927" s="67" t="str">
        <f>IF(C927="","",DATE(YEAR(C927),MONTH(C927),1))</f>
        <v/>
      </c>
      <c r="AU927" s="66" t="str">
        <f>IF(AT927="","",TEXT(AT927,"mmmm yyyy"))</f>
        <v/>
      </c>
      <c r="AV927" s="67" t="str">
        <f>IF(C927="","",C927-WEEKDAY(C927,2)+1)</f>
        <v/>
      </c>
      <c r="AW927" s="67" t="str">
        <f>IF(AV927="","",AV927+6)</f>
        <v/>
      </c>
      <c r="AX927" s="66" t="str">
        <f>IF(AV927="","",TEXT(AV927,"dd/mm/yyyy")&amp;" - "&amp;TEXT(AW927,"dd/mm/yyyy"))</f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>IF(B927="","",TEXT(AY927,"00")&amp;"|"&amp;B927&amp;"|"&amp;TEXT(AT927,"yyyymmdd"))</f>
        <v/>
      </c>
      <c r="BB927" s="66" t="str">
        <f>IF(B927="","",TEXT(AZ927,"00")&amp;"|"&amp;B927&amp;"|"&amp;TEXT(AV927,"yyyymmdd"))</f>
        <v/>
      </c>
      <c r="BC927" s="66">
        <f>IF(OR(AQ927="YES",AQ927="Yes",AQ927="Y",AQ927=1),1,0)</f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17">
        <f>SUM(H928,J928,L928,N928,P928,R928,T928,V928,X928,Z928,AB928,AD928,AF928,AH928,AJ928,AL928,AN928)</f>
        <v>0</v>
      </c>
      <c r="AT928" s="67" t="str">
        <f>IF(C928="","",DATE(YEAR(C928),MONTH(C928),1))</f>
        <v/>
      </c>
      <c r="AU928" s="66" t="str">
        <f>IF(AT928="","",TEXT(AT928,"mmmm yyyy"))</f>
        <v/>
      </c>
      <c r="AV928" s="67" t="str">
        <f>IF(C928="","",C928-WEEKDAY(C928,2)+1)</f>
        <v/>
      </c>
      <c r="AW928" s="67" t="str">
        <f>IF(AV928="","",AV928+6)</f>
        <v/>
      </c>
      <c r="AX928" s="66" t="str">
        <f>IF(AV928="","",TEXT(AV928,"dd/mm/yyyy")&amp;" - "&amp;TEXT(AW928,"dd/mm/yyyy"))</f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>IF(B928="","",TEXT(AY928,"00")&amp;"|"&amp;B928&amp;"|"&amp;TEXT(AT928,"yyyymmdd"))</f>
        <v/>
      </c>
      <c r="BB928" s="66" t="str">
        <f>IF(B928="","",TEXT(AZ928,"00")&amp;"|"&amp;B928&amp;"|"&amp;TEXT(AV928,"yyyymmdd"))</f>
        <v/>
      </c>
      <c r="BC928" s="66">
        <f>IF(OR(AQ928="YES",AQ928="Yes",AQ928="Y",AQ928=1),1,0)</f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17">
        <f>SUM(H929,J929,L929,N929,P929,R929,T929,V929,X929,Z929,AB929,AD929,AF929,AH929,AJ929,AL929,AN929)</f>
        <v>0</v>
      </c>
      <c r="AT929" s="67" t="str">
        <f>IF(C929="","",DATE(YEAR(C929),MONTH(C929),1))</f>
        <v/>
      </c>
      <c r="AU929" s="66" t="str">
        <f>IF(AT929="","",TEXT(AT929,"mmmm yyyy"))</f>
        <v/>
      </c>
      <c r="AV929" s="67" t="str">
        <f>IF(C929="","",C929-WEEKDAY(C929,2)+1)</f>
        <v/>
      </c>
      <c r="AW929" s="67" t="str">
        <f>IF(AV929="","",AV929+6)</f>
        <v/>
      </c>
      <c r="AX929" s="66" t="str">
        <f>IF(AV929="","",TEXT(AV929,"dd/mm/yyyy")&amp;" - "&amp;TEXT(AW929,"dd/mm/yyyy"))</f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>IF(B929="","",TEXT(AY929,"00")&amp;"|"&amp;B929&amp;"|"&amp;TEXT(AT929,"yyyymmdd"))</f>
        <v/>
      </c>
      <c r="BB929" s="66" t="str">
        <f>IF(B929="","",TEXT(AZ929,"00")&amp;"|"&amp;B929&amp;"|"&amp;TEXT(AV929,"yyyymmdd"))</f>
        <v/>
      </c>
      <c r="BC929" s="66">
        <f>IF(OR(AQ929="YES",AQ929="Yes",AQ929="Y",AQ929=1),1,0)</f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17">
        <f>SUM(H930,J930,L930,N930,P930,R930,T930,V930,X930,Z930,AB930,AD930,AF930,AH930,AJ930,AL930,AN930)</f>
        <v>0</v>
      </c>
      <c r="AT930" s="67" t="str">
        <f>IF(C930="","",DATE(YEAR(C930),MONTH(C930),1))</f>
        <v/>
      </c>
      <c r="AU930" s="66" t="str">
        <f>IF(AT930="","",TEXT(AT930,"mmmm yyyy"))</f>
        <v/>
      </c>
      <c r="AV930" s="67" t="str">
        <f>IF(C930="","",C930-WEEKDAY(C930,2)+1)</f>
        <v/>
      </c>
      <c r="AW930" s="67" t="str">
        <f>IF(AV930="","",AV930+6)</f>
        <v/>
      </c>
      <c r="AX930" s="66" t="str">
        <f>IF(AV930="","",TEXT(AV930,"dd/mm/yyyy")&amp;" - "&amp;TEXT(AW930,"dd/mm/yyyy"))</f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>IF(B930="","",TEXT(AY930,"00")&amp;"|"&amp;B930&amp;"|"&amp;TEXT(AT930,"yyyymmdd"))</f>
        <v/>
      </c>
      <c r="BB930" s="66" t="str">
        <f>IF(B930="","",TEXT(AZ930,"00")&amp;"|"&amp;B930&amp;"|"&amp;TEXT(AV930,"yyyymmdd"))</f>
        <v/>
      </c>
      <c r="BC930" s="66">
        <f>IF(OR(AQ930="YES",AQ930="Yes",AQ930="Y",AQ930=1),1,0)</f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17">
        <f>SUM(H931,J931,L931,N931,P931,R931,T931,V931,X931,Z931,AB931,AD931,AF931,AH931,AJ931,AL931,AN931)</f>
        <v>0</v>
      </c>
      <c r="AT931" s="67" t="str">
        <f>IF(C931="","",DATE(YEAR(C931),MONTH(C931),1))</f>
        <v/>
      </c>
      <c r="AU931" s="66" t="str">
        <f>IF(AT931="","",TEXT(AT931,"mmmm yyyy"))</f>
        <v/>
      </c>
      <c r="AV931" s="67" t="str">
        <f>IF(C931="","",C931-WEEKDAY(C931,2)+1)</f>
        <v/>
      </c>
      <c r="AW931" s="67" t="str">
        <f>IF(AV931="","",AV931+6)</f>
        <v/>
      </c>
      <c r="AX931" s="66" t="str">
        <f>IF(AV931="","",TEXT(AV931,"dd/mm/yyyy")&amp;" - "&amp;TEXT(AW931,"dd/mm/yyyy"))</f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>IF(B931="","",TEXT(AY931,"00")&amp;"|"&amp;B931&amp;"|"&amp;TEXT(AT931,"yyyymmdd"))</f>
        <v/>
      </c>
      <c r="BB931" s="66" t="str">
        <f>IF(B931="","",TEXT(AZ931,"00")&amp;"|"&amp;B931&amp;"|"&amp;TEXT(AV931,"yyyymmdd"))</f>
        <v/>
      </c>
      <c r="BC931" s="66">
        <f>IF(OR(AQ931="YES",AQ931="Yes",AQ931="Y",AQ931=1),1,0)</f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17">
        <f>SUM(H932,J932,L932,N932,P932,R932,T932,V932,X932,Z932,AB932,AD932,AF932,AH932,AJ932,AL932,AN932)</f>
        <v>0</v>
      </c>
      <c r="AT932" s="67" t="str">
        <f>IF(C932="","",DATE(YEAR(C932),MONTH(C932),1))</f>
        <v/>
      </c>
      <c r="AU932" s="66" t="str">
        <f>IF(AT932="","",TEXT(AT932,"mmmm yyyy"))</f>
        <v/>
      </c>
      <c r="AV932" s="67" t="str">
        <f>IF(C932="","",C932-WEEKDAY(C932,2)+1)</f>
        <v/>
      </c>
      <c r="AW932" s="67" t="str">
        <f>IF(AV932="","",AV932+6)</f>
        <v/>
      </c>
      <c r="AX932" s="66" t="str">
        <f>IF(AV932="","",TEXT(AV932,"dd/mm/yyyy")&amp;" - "&amp;TEXT(AW932,"dd/mm/yyyy"))</f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>IF(B932="","",TEXT(AY932,"00")&amp;"|"&amp;B932&amp;"|"&amp;TEXT(AT932,"yyyymmdd"))</f>
        <v/>
      </c>
      <c r="BB932" s="66" t="str">
        <f>IF(B932="","",TEXT(AZ932,"00")&amp;"|"&amp;B932&amp;"|"&amp;TEXT(AV932,"yyyymmdd"))</f>
        <v/>
      </c>
      <c r="BC932" s="66">
        <f>IF(OR(AQ932="YES",AQ932="Yes",AQ932="Y",AQ932=1),1,0)</f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17">
        <f>SUM(H933,J933,L933,N933,P933,R933,T933,V933,X933,Z933,AB933,AD933,AF933,AH933,AJ933,AL933,AN933)</f>
        <v>0</v>
      </c>
      <c r="AT933" s="67" t="str">
        <f>IF(C933="","",DATE(YEAR(C933),MONTH(C933),1))</f>
        <v/>
      </c>
      <c r="AU933" s="66" t="str">
        <f>IF(AT933="","",TEXT(AT933,"mmmm yyyy"))</f>
        <v/>
      </c>
      <c r="AV933" s="67" t="str">
        <f>IF(C933="","",C933-WEEKDAY(C933,2)+1)</f>
        <v/>
      </c>
      <c r="AW933" s="67" t="str">
        <f>IF(AV933="","",AV933+6)</f>
        <v/>
      </c>
      <c r="AX933" s="66" t="str">
        <f>IF(AV933="","",TEXT(AV933,"dd/mm/yyyy")&amp;" - "&amp;TEXT(AW933,"dd/mm/yyyy"))</f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>IF(B933="","",TEXT(AY933,"00")&amp;"|"&amp;B933&amp;"|"&amp;TEXT(AT933,"yyyymmdd"))</f>
        <v/>
      </c>
      <c r="BB933" s="66" t="str">
        <f>IF(B933="","",TEXT(AZ933,"00")&amp;"|"&amp;B933&amp;"|"&amp;TEXT(AV933,"yyyymmdd"))</f>
        <v/>
      </c>
      <c r="BC933" s="66">
        <f>IF(OR(AQ933="YES",AQ933="Yes",AQ933="Y",AQ933=1),1,0)</f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17">
        <f>SUM(H934,J934,L934,N934,P934,R934,T934,V934,X934,Z934,AB934,AD934,AF934,AH934,AJ934,AL934,AN934)</f>
        <v>0</v>
      </c>
      <c r="AT934" s="67" t="str">
        <f>IF(C934="","",DATE(YEAR(C934),MONTH(C934),1))</f>
        <v/>
      </c>
      <c r="AU934" s="66" t="str">
        <f>IF(AT934="","",TEXT(AT934,"mmmm yyyy"))</f>
        <v/>
      </c>
      <c r="AV934" s="67" t="str">
        <f>IF(C934="","",C934-WEEKDAY(C934,2)+1)</f>
        <v/>
      </c>
      <c r="AW934" s="67" t="str">
        <f>IF(AV934="","",AV934+6)</f>
        <v/>
      </c>
      <c r="AX934" s="66" t="str">
        <f>IF(AV934="","",TEXT(AV934,"dd/mm/yyyy")&amp;" - "&amp;TEXT(AW934,"dd/mm/yyyy"))</f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>IF(B934="","",TEXT(AY934,"00")&amp;"|"&amp;B934&amp;"|"&amp;TEXT(AT934,"yyyymmdd"))</f>
        <v/>
      </c>
      <c r="BB934" s="66" t="str">
        <f>IF(B934="","",TEXT(AZ934,"00")&amp;"|"&amp;B934&amp;"|"&amp;TEXT(AV934,"yyyymmdd"))</f>
        <v/>
      </c>
      <c r="BC934" s="66">
        <f>IF(OR(AQ934="YES",AQ934="Yes",AQ934="Y",AQ934=1),1,0)</f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17">
        <f>SUM(H935,J935,L935,N935,P935,R935,T935,V935,X935,Z935,AB935,AD935,AF935,AH935,AJ935,AL935,AN935)</f>
        <v>0</v>
      </c>
      <c r="AT935" s="67" t="str">
        <f>IF(C935="","",DATE(YEAR(C935),MONTH(C935),1))</f>
        <v/>
      </c>
      <c r="AU935" s="66" t="str">
        <f>IF(AT935="","",TEXT(AT935,"mmmm yyyy"))</f>
        <v/>
      </c>
      <c r="AV935" s="67" t="str">
        <f>IF(C935="","",C935-WEEKDAY(C935,2)+1)</f>
        <v/>
      </c>
      <c r="AW935" s="67" t="str">
        <f>IF(AV935="","",AV935+6)</f>
        <v/>
      </c>
      <c r="AX935" s="66" t="str">
        <f>IF(AV935="","",TEXT(AV935,"dd/mm/yyyy")&amp;" - "&amp;TEXT(AW935,"dd/mm/yyyy"))</f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>IF(B935="","",TEXT(AY935,"00")&amp;"|"&amp;B935&amp;"|"&amp;TEXT(AT935,"yyyymmdd"))</f>
        <v/>
      </c>
      <c r="BB935" s="66" t="str">
        <f>IF(B935="","",TEXT(AZ935,"00")&amp;"|"&amp;B935&amp;"|"&amp;TEXT(AV935,"yyyymmdd"))</f>
        <v/>
      </c>
      <c r="BC935" s="66">
        <f>IF(OR(AQ935="YES",AQ935="Yes",AQ935="Y",AQ935=1),1,0)</f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17">
        <f>SUM(H936,J936,L936,N936,P936,R936,T936,V936,X936,Z936,AB936,AD936,AF936,AH936,AJ936,AL936,AN936)</f>
        <v>0</v>
      </c>
      <c r="AT936" s="67" t="str">
        <f>IF(C936="","",DATE(YEAR(C936),MONTH(C936),1))</f>
        <v/>
      </c>
      <c r="AU936" s="66" t="str">
        <f>IF(AT936="","",TEXT(AT936,"mmmm yyyy"))</f>
        <v/>
      </c>
      <c r="AV936" s="67" t="str">
        <f>IF(C936="","",C936-WEEKDAY(C936,2)+1)</f>
        <v/>
      </c>
      <c r="AW936" s="67" t="str">
        <f>IF(AV936="","",AV936+6)</f>
        <v/>
      </c>
      <c r="AX936" s="66" t="str">
        <f>IF(AV936="","",TEXT(AV936,"dd/mm/yyyy")&amp;" - "&amp;TEXT(AW936,"dd/mm/yyyy"))</f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>IF(B936="","",TEXT(AY936,"00")&amp;"|"&amp;B936&amp;"|"&amp;TEXT(AT936,"yyyymmdd"))</f>
        <v/>
      </c>
      <c r="BB936" s="66" t="str">
        <f>IF(B936="","",TEXT(AZ936,"00")&amp;"|"&amp;B936&amp;"|"&amp;TEXT(AV936,"yyyymmdd"))</f>
        <v/>
      </c>
      <c r="BC936" s="66">
        <f>IF(OR(AQ936="YES",AQ936="Yes",AQ936="Y",AQ936=1),1,0)</f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17">
        <f>SUM(H937,J937,L937,N937,P937,R937,T937,V937,X937,Z937,AB937,AD937,AF937,AH937,AJ937,AL937,AN937)</f>
        <v>0</v>
      </c>
      <c r="AT937" s="67" t="str">
        <f>IF(C937="","",DATE(YEAR(C937),MONTH(C937),1))</f>
        <v/>
      </c>
      <c r="AU937" s="66" t="str">
        <f>IF(AT937="","",TEXT(AT937,"mmmm yyyy"))</f>
        <v/>
      </c>
      <c r="AV937" s="67" t="str">
        <f>IF(C937="","",C937-WEEKDAY(C937,2)+1)</f>
        <v/>
      </c>
      <c r="AW937" s="67" t="str">
        <f>IF(AV937="","",AV937+6)</f>
        <v/>
      </c>
      <c r="AX937" s="66" t="str">
        <f>IF(AV937="","",TEXT(AV937,"dd/mm/yyyy")&amp;" - "&amp;TEXT(AW937,"dd/mm/yyyy"))</f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>IF(B937="","",TEXT(AY937,"00")&amp;"|"&amp;B937&amp;"|"&amp;TEXT(AT937,"yyyymmdd"))</f>
        <v/>
      </c>
      <c r="BB937" s="66" t="str">
        <f>IF(B937="","",TEXT(AZ937,"00")&amp;"|"&amp;B937&amp;"|"&amp;TEXT(AV937,"yyyymmdd"))</f>
        <v/>
      </c>
      <c r="BC937" s="66">
        <f>IF(OR(AQ937="YES",AQ937="Yes",AQ937="Y",AQ937=1),1,0)</f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17">
        <f>SUM(H938,J938,L938,N938,P938,R938,T938,V938,X938,Z938,AB938,AD938,AF938,AH938,AJ938,AL938,AN938)</f>
        <v>0</v>
      </c>
      <c r="AT938" s="67" t="str">
        <f>IF(C938="","",DATE(YEAR(C938),MONTH(C938),1))</f>
        <v/>
      </c>
      <c r="AU938" s="66" t="str">
        <f>IF(AT938="","",TEXT(AT938,"mmmm yyyy"))</f>
        <v/>
      </c>
      <c r="AV938" s="67" t="str">
        <f>IF(C938="","",C938-WEEKDAY(C938,2)+1)</f>
        <v/>
      </c>
      <c r="AW938" s="67" t="str">
        <f>IF(AV938="","",AV938+6)</f>
        <v/>
      </c>
      <c r="AX938" s="66" t="str">
        <f>IF(AV938="","",TEXT(AV938,"dd/mm/yyyy")&amp;" - "&amp;TEXT(AW938,"dd/mm/yyyy"))</f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>IF(B938="","",TEXT(AY938,"00")&amp;"|"&amp;B938&amp;"|"&amp;TEXT(AT938,"yyyymmdd"))</f>
        <v/>
      </c>
      <c r="BB938" s="66" t="str">
        <f>IF(B938="","",TEXT(AZ938,"00")&amp;"|"&amp;B938&amp;"|"&amp;TEXT(AV938,"yyyymmdd"))</f>
        <v/>
      </c>
      <c r="BC938" s="66">
        <f>IF(OR(AQ938="YES",AQ938="Yes",AQ938="Y",AQ938=1),1,0)</f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17">
        <f>SUM(H939,J939,L939,N939,P939,R939,T939,V939,X939,Z939,AB939,AD939,AF939,AH939,AJ939,AL939,AN939)</f>
        <v>0</v>
      </c>
      <c r="AT939" s="67" t="str">
        <f>IF(C939="","",DATE(YEAR(C939),MONTH(C939),1))</f>
        <v/>
      </c>
      <c r="AU939" s="66" t="str">
        <f>IF(AT939="","",TEXT(AT939,"mmmm yyyy"))</f>
        <v/>
      </c>
      <c r="AV939" s="67" t="str">
        <f>IF(C939="","",C939-WEEKDAY(C939,2)+1)</f>
        <v/>
      </c>
      <c r="AW939" s="67" t="str">
        <f>IF(AV939="","",AV939+6)</f>
        <v/>
      </c>
      <c r="AX939" s="66" t="str">
        <f>IF(AV939="","",TEXT(AV939,"dd/mm/yyyy")&amp;" - "&amp;TEXT(AW939,"dd/mm/yyyy"))</f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>IF(B939="","",TEXT(AY939,"00")&amp;"|"&amp;B939&amp;"|"&amp;TEXT(AT939,"yyyymmdd"))</f>
        <v/>
      </c>
      <c r="BB939" s="66" t="str">
        <f>IF(B939="","",TEXT(AZ939,"00")&amp;"|"&amp;B939&amp;"|"&amp;TEXT(AV939,"yyyymmdd"))</f>
        <v/>
      </c>
      <c r="BC939" s="66">
        <f>IF(OR(AQ939="YES",AQ939="Yes",AQ939="Y",AQ939=1),1,0)</f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17">
        <f>SUM(H940,J940,L940,N940,P940,R940,T940,V940,X940,Z940,AB940,AD940,AF940,AH940,AJ940,AL940,AN940)</f>
        <v>0</v>
      </c>
      <c r="AT940" s="67" t="str">
        <f>IF(C940="","",DATE(YEAR(C940),MONTH(C940),1))</f>
        <v/>
      </c>
      <c r="AU940" s="66" t="str">
        <f>IF(AT940="","",TEXT(AT940,"mmmm yyyy"))</f>
        <v/>
      </c>
      <c r="AV940" s="67" t="str">
        <f>IF(C940="","",C940-WEEKDAY(C940,2)+1)</f>
        <v/>
      </c>
      <c r="AW940" s="67" t="str">
        <f>IF(AV940="","",AV940+6)</f>
        <v/>
      </c>
      <c r="AX940" s="66" t="str">
        <f>IF(AV940="","",TEXT(AV940,"dd/mm/yyyy")&amp;" - "&amp;TEXT(AW940,"dd/mm/yyyy"))</f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>IF(B940="","",TEXT(AY940,"00")&amp;"|"&amp;B940&amp;"|"&amp;TEXT(AT940,"yyyymmdd"))</f>
        <v/>
      </c>
      <c r="BB940" s="66" t="str">
        <f>IF(B940="","",TEXT(AZ940,"00")&amp;"|"&amp;B940&amp;"|"&amp;TEXT(AV940,"yyyymmdd"))</f>
        <v/>
      </c>
      <c r="BC940" s="66">
        <f>IF(OR(AQ940="YES",AQ940="Yes",AQ940="Y",AQ940=1),1,0)</f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17">
        <f>SUM(H941,J941,L941,N941,P941,R941,T941,V941,X941,Z941,AB941,AD941,AF941,AH941,AJ941,AL941,AN941)</f>
        <v>0</v>
      </c>
      <c r="AT941" s="67" t="str">
        <f>IF(C941="","",DATE(YEAR(C941),MONTH(C941),1))</f>
        <v/>
      </c>
      <c r="AU941" s="66" t="str">
        <f>IF(AT941="","",TEXT(AT941,"mmmm yyyy"))</f>
        <v/>
      </c>
      <c r="AV941" s="67" t="str">
        <f>IF(C941="","",C941-WEEKDAY(C941,2)+1)</f>
        <v/>
      </c>
      <c r="AW941" s="67" t="str">
        <f>IF(AV941="","",AV941+6)</f>
        <v/>
      </c>
      <c r="AX941" s="66" t="str">
        <f>IF(AV941="","",TEXT(AV941,"dd/mm/yyyy")&amp;" - "&amp;TEXT(AW941,"dd/mm/yyyy"))</f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>IF(B941="","",TEXT(AY941,"00")&amp;"|"&amp;B941&amp;"|"&amp;TEXT(AT941,"yyyymmdd"))</f>
        <v/>
      </c>
      <c r="BB941" s="66" t="str">
        <f>IF(B941="","",TEXT(AZ941,"00")&amp;"|"&amp;B941&amp;"|"&amp;TEXT(AV941,"yyyymmdd"))</f>
        <v/>
      </c>
      <c r="BC941" s="66">
        <f>IF(OR(AQ941="YES",AQ941="Yes",AQ941="Y",AQ941=1),1,0)</f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17">
        <f>SUM(H942,J942,L942,N942,P942,R942,T942,V942,X942,Z942,AB942,AD942,AF942,AH942,AJ942,AL942,AN942)</f>
        <v>0</v>
      </c>
      <c r="AT942" s="67" t="str">
        <f>IF(C942="","",DATE(YEAR(C942),MONTH(C942),1))</f>
        <v/>
      </c>
      <c r="AU942" s="66" t="str">
        <f>IF(AT942="","",TEXT(AT942,"mmmm yyyy"))</f>
        <v/>
      </c>
      <c r="AV942" s="67" t="str">
        <f>IF(C942="","",C942-WEEKDAY(C942,2)+1)</f>
        <v/>
      </c>
      <c r="AW942" s="67" t="str">
        <f>IF(AV942="","",AV942+6)</f>
        <v/>
      </c>
      <c r="AX942" s="66" t="str">
        <f>IF(AV942="","",TEXT(AV942,"dd/mm/yyyy")&amp;" - "&amp;TEXT(AW942,"dd/mm/yyyy"))</f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>IF(B942="","",TEXT(AY942,"00")&amp;"|"&amp;B942&amp;"|"&amp;TEXT(AT942,"yyyymmdd"))</f>
        <v/>
      </c>
      <c r="BB942" s="66" t="str">
        <f>IF(B942="","",TEXT(AZ942,"00")&amp;"|"&amp;B942&amp;"|"&amp;TEXT(AV942,"yyyymmdd"))</f>
        <v/>
      </c>
      <c r="BC942" s="66">
        <f>IF(OR(AQ942="YES",AQ942="Yes",AQ942="Y",AQ942=1),1,0)</f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17">
        <f>SUM(H943,J943,L943,N943,P943,R943,T943,V943,X943,Z943,AB943,AD943,AF943,AH943,AJ943,AL943,AN943)</f>
        <v>0</v>
      </c>
      <c r="AT943" s="67" t="str">
        <f>IF(C943="","",DATE(YEAR(C943),MONTH(C943),1))</f>
        <v/>
      </c>
      <c r="AU943" s="66" t="str">
        <f>IF(AT943="","",TEXT(AT943,"mmmm yyyy"))</f>
        <v/>
      </c>
      <c r="AV943" s="67" t="str">
        <f>IF(C943="","",C943-WEEKDAY(C943,2)+1)</f>
        <v/>
      </c>
      <c r="AW943" s="67" t="str">
        <f>IF(AV943="","",AV943+6)</f>
        <v/>
      </c>
      <c r="AX943" s="66" t="str">
        <f>IF(AV943="","",TEXT(AV943,"dd/mm/yyyy")&amp;" - "&amp;TEXT(AW943,"dd/mm/yyyy"))</f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>IF(B943="","",TEXT(AY943,"00")&amp;"|"&amp;B943&amp;"|"&amp;TEXT(AT943,"yyyymmdd"))</f>
        <v/>
      </c>
      <c r="BB943" s="66" t="str">
        <f>IF(B943="","",TEXT(AZ943,"00")&amp;"|"&amp;B943&amp;"|"&amp;TEXT(AV943,"yyyymmdd"))</f>
        <v/>
      </c>
      <c r="BC943" s="66">
        <f>IF(OR(AQ943="YES",AQ943="Yes",AQ943="Y",AQ943=1),1,0)</f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17">
        <f>SUM(H944,J944,L944,N944,P944,R944,T944,V944,X944,Z944,AB944,AD944,AF944,AH944,AJ944,AL944,AN944)</f>
        <v>0</v>
      </c>
      <c r="AT944" s="67" t="str">
        <f>IF(C944="","",DATE(YEAR(C944),MONTH(C944),1))</f>
        <v/>
      </c>
      <c r="AU944" s="66" t="str">
        <f>IF(AT944="","",TEXT(AT944,"mmmm yyyy"))</f>
        <v/>
      </c>
      <c r="AV944" s="67" t="str">
        <f>IF(C944="","",C944-WEEKDAY(C944,2)+1)</f>
        <v/>
      </c>
      <c r="AW944" s="67" t="str">
        <f>IF(AV944="","",AV944+6)</f>
        <v/>
      </c>
      <c r="AX944" s="66" t="str">
        <f>IF(AV944="","",TEXT(AV944,"dd/mm/yyyy")&amp;" - "&amp;TEXT(AW944,"dd/mm/yyyy"))</f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>IF(B944="","",TEXT(AY944,"00")&amp;"|"&amp;B944&amp;"|"&amp;TEXT(AT944,"yyyymmdd"))</f>
        <v/>
      </c>
      <c r="BB944" s="66" t="str">
        <f>IF(B944="","",TEXT(AZ944,"00")&amp;"|"&amp;B944&amp;"|"&amp;TEXT(AV944,"yyyymmdd"))</f>
        <v/>
      </c>
      <c r="BC944" s="66">
        <f>IF(OR(AQ944="YES",AQ944="Yes",AQ944="Y",AQ944=1),1,0)</f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17">
        <f>SUM(H945,J945,L945,N945,P945,R945,T945,V945,X945,Z945,AB945,AD945,AF945,AH945,AJ945,AL945,AN945)</f>
        <v>0</v>
      </c>
      <c r="AT945" s="67" t="str">
        <f>IF(C945="","",DATE(YEAR(C945),MONTH(C945),1))</f>
        <v/>
      </c>
      <c r="AU945" s="66" t="str">
        <f>IF(AT945="","",TEXT(AT945,"mmmm yyyy"))</f>
        <v/>
      </c>
      <c r="AV945" s="67" t="str">
        <f>IF(C945="","",C945-WEEKDAY(C945,2)+1)</f>
        <v/>
      </c>
      <c r="AW945" s="67" t="str">
        <f>IF(AV945="","",AV945+6)</f>
        <v/>
      </c>
      <c r="AX945" s="66" t="str">
        <f>IF(AV945="","",TEXT(AV945,"dd/mm/yyyy")&amp;" - "&amp;TEXT(AW945,"dd/mm/yyyy"))</f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>IF(B945="","",TEXT(AY945,"00")&amp;"|"&amp;B945&amp;"|"&amp;TEXT(AT945,"yyyymmdd"))</f>
        <v/>
      </c>
      <c r="BB945" s="66" t="str">
        <f>IF(B945="","",TEXT(AZ945,"00")&amp;"|"&amp;B945&amp;"|"&amp;TEXT(AV945,"yyyymmdd"))</f>
        <v/>
      </c>
      <c r="BC945" s="66">
        <f>IF(OR(AQ945="YES",AQ945="Yes",AQ945="Y",AQ945=1),1,0)</f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17">
        <f>SUM(H946,J946,L946,N946,P946,R946,T946,V946,X946,Z946,AB946,AD946,AF946,AH946,AJ946,AL946,AN946)</f>
        <v>0</v>
      </c>
      <c r="AT946" s="67" t="str">
        <f>IF(C946="","",DATE(YEAR(C946),MONTH(C946),1))</f>
        <v/>
      </c>
      <c r="AU946" s="66" t="str">
        <f>IF(AT946="","",TEXT(AT946,"mmmm yyyy"))</f>
        <v/>
      </c>
      <c r="AV946" s="67" t="str">
        <f>IF(C946="","",C946-WEEKDAY(C946,2)+1)</f>
        <v/>
      </c>
      <c r="AW946" s="67" t="str">
        <f>IF(AV946="","",AV946+6)</f>
        <v/>
      </c>
      <c r="AX946" s="66" t="str">
        <f>IF(AV946="","",TEXT(AV946,"dd/mm/yyyy")&amp;" - "&amp;TEXT(AW946,"dd/mm/yyyy"))</f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>IF(B946="","",TEXT(AY946,"00")&amp;"|"&amp;B946&amp;"|"&amp;TEXT(AT946,"yyyymmdd"))</f>
        <v/>
      </c>
      <c r="BB946" s="66" t="str">
        <f>IF(B946="","",TEXT(AZ946,"00")&amp;"|"&amp;B946&amp;"|"&amp;TEXT(AV946,"yyyymmdd"))</f>
        <v/>
      </c>
      <c r="BC946" s="66">
        <f>IF(OR(AQ946="YES",AQ946="Yes",AQ946="Y",AQ946=1),1,0)</f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17">
        <f>SUM(H947,J947,L947,N947,P947,R947,T947,V947,X947,Z947,AB947,AD947,AF947,AH947,AJ947,AL947,AN947)</f>
        <v>0</v>
      </c>
      <c r="AT947" s="67" t="str">
        <f>IF(C947="","",DATE(YEAR(C947),MONTH(C947),1))</f>
        <v/>
      </c>
      <c r="AU947" s="66" t="str">
        <f>IF(AT947="","",TEXT(AT947,"mmmm yyyy"))</f>
        <v/>
      </c>
      <c r="AV947" s="67" t="str">
        <f>IF(C947="","",C947-WEEKDAY(C947,2)+1)</f>
        <v/>
      </c>
      <c r="AW947" s="67" t="str">
        <f>IF(AV947="","",AV947+6)</f>
        <v/>
      </c>
      <c r="AX947" s="66" t="str">
        <f>IF(AV947="","",TEXT(AV947,"dd/mm/yyyy")&amp;" - "&amp;TEXT(AW947,"dd/mm/yyyy"))</f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>IF(B947="","",TEXT(AY947,"00")&amp;"|"&amp;B947&amp;"|"&amp;TEXT(AT947,"yyyymmdd"))</f>
        <v/>
      </c>
      <c r="BB947" s="66" t="str">
        <f>IF(B947="","",TEXT(AZ947,"00")&amp;"|"&amp;B947&amp;"|"&amp;TEXT(AV947,"yyyymmdd"))</f>
        <v/>
      </c>
      <c r="BC947" s="66">
        <f>IF(OR(AQ947="YES",AQ947="Yes",AQ947="Y",AQ947=1),1,0)</f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17">
        <f>SUM(H948,J948,L948,N948,P948,R948,T948,V948,X948,Z948,AB948,AD948,AF948,AH948,AJ948,AL948,AN948)</f>
        <v>0</v>
      </c>
      <c r="AT948" s="67" t="str">
        <f>IF(C948="","",DATE(YEAR(C948),MONTH(C948),1))</f>
        <v/>
      </c>
      <c r="AU948" s="66" t="str">
        <f>IF(AT948="","",TEXT(AT948,"mmmm yyyy"))</f>
        <v/>
      </c>
      <c r="AV948" s="67" t="str">
        <f>IF(C948="","",C948-WEEKDAY(C948,2)+1)</f>
        <v/>
      </c>
      <c r="AW948" s="67" t="str">
        <f>IF(AV948="","",AV948+6)</f>
        <v/>
      </c>
      <c r="AX948" s="66" t="str">
        <f>IF(AV948="","",TEXT(AV948,"dd/mm/yyyy")&amp;" - "&amp;TEXT(AW948,"dd/mm/yyyy"))</f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>IF(B948="","",TEXT(AY948,"00")&amp;"|"&amp;B948&amp;"|"&amp;TEXT(AT948,"yyyymmdd"))</f>
        <v/>
      </c>
      <c r="BB948" s="66" t="str">
        <f>IF(B948="","",TEXT(AZ948,"00")&amp;"|"&amp;B948&amp;"|"&amp;TEXT(AV948,"yyyymmdd"))</f>
        <v/>
      </c>
      <c r="BC948" s="66">
        <f>IF(OR(AQ948="YES",AQ948="Yes",AQ948="Y",AQ948=1),1,0)</f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17">
        <f>SUM(H949,J949,L949,N949,P949,R949,T949,V949,X949,Z949,AB949,AD949,AF949,AH949,AJ949,AL949,AN949)</f>
        <v>0</v>
      </c>
      <c r="AT949" s="67" t="str">
        <f>IF(C949="","",DATE(YEAR(C949),MONTH(C949),1))</f>
        <v/>
      </c>
      <c r="AU949" s="66" t="str">
        <f>IF(AT949="","",TEXT(AT949,"mmmm yyyy"))</f>
        <v/>
      </c>
      <c r="AV949" s="67" t="str">
        <f>IF(C949="","",C949-WEEKDAY(C949,2)+1)</f>
        <v/>
      </c>
      <c r="AW949" s="67" t="str">
        <f>IF(AV949="","",AV949+6)</f>
        <v/>
      </c>
      <c r="AX949" s="66" t="str">
        <f>IF(AV949="","",TEXT(AV949,"dd/mm/yyyy")&amp;" - "&amp;TEXT(AW949,"dd/mm/yyyy"))</f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>IF(B949="","",TEXT(AY949,"00")&amp;"|"&amp;B949&amp;"|"&amp;TEXT(AT949,"yyyymmdd"))</f>
        <v/>
      </c>
      <c r="BB949" s="66" t="str">
        <f>IF(B949="","",TEXT(AZ949,"00")&amp;"|"&amp;B949&amp;"|"&amp;TEXT(AV949,"yyyymmdd"))</f>
        <v/>
      </c>
      <c r="BC949" s="66">
        <f>IF(OR(AQ949="YES",AQ949="Yes",AQ949="Y",AQ949=1),1,0)</f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17">
        <f>SUM(H950,J950,L950,N950,P950,R950,T950,V950,X950,Z950,AB950,AD950,AF950,AH950,AJ950,AL950,AN950)</f>
        <v>0</v>
      </c>
      <c r="AT950" s="67" t="str">
        <f>IF(C950="","",DATE(YEAR(C950),MONTH(C950),1))</f>
        <v/>
      </c>
      <c r="AU950" s="66" t="str">
        <f>IF(AT950="","",TEXT(AT950,"mmmm yyyy"))</f>
        <v/>
      </c>
      <c r="AV950" s="67" t="str">
        <f>IF(C950="","",C950-WEEKDAY(C950,2)+1)</f>
        <v/>
      </c>
      <c r="AW950" s="67" t="str">
        <f>IF(AV950="","",AV950+6)</f>
        <v/>
      </c>
      <c r="AX950" s="66" t="str">
        <f>IF(AV950="","",TEXT(AV950,"dd/mm/yyyy")&amp;" - "&amp;TEXT(AW950,"dd/mm/yyyy"))</f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>IF(B950="","",TEXT(AY950,"00")&amp;"|"&amp;B950&amp;"|"&amp;TEXT(AT950,"yyyymmdd"))</f>
        <v/>
      </c>
      <c r="BB950" s="66" t="str">
        <f>IF(B950="","",TEXT(AZ950,"00")&amp;"|"&amp;B950&amp;"|"&amp;TEXT(AV950,"yyyymmdd"))</f>
        <v/>
      </c>
      <c r="BC950" s="66">
        <f>IF(OR(AQ950="YES",AQ950="Yes",AQ950="Y",AQ950=1),1,0)</f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17">
        <f>SUM(H951,J951,L951,N951,P951,R951,T951,V951,X951,Z951,AB951,AD951,AF951,AH951,AJ951,AL951,AN951)</f>
        <v>0</v>
      </c>
      <c r="AT951" s="67" t="str">
        <f>IF(C951="","",DATE(YEAR(C951),MONTH(C951),1))</f>
        <v/>
      </c>
      <c r="AU951" s="66" t="str">
        <f>IF(AT951="","",TEXT(AT951,"mmmm yyyy"))</f>
        <v/>
      </c>
      <c r="AV951" s="67" t="str">
        <f>IF(C951="","",C951-WEEKDAY(C951,2)+1)</f>
        <v/>
      </c>
      <c r="AW951" s="67" t="str">
        <f>IF(AV951="","",AV951+6)</f>
        <v/>
      </c>
      <c r="AX951" s="66" t="str">
        <f>IF(AV951="","",TEXT(AV951,"dd/mm/yyyy")&amp;" - "&amp;TEXT(AW951,"dd/mm/yyyy"))</f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>IF(B951="","",TEXT(AY951,"00")&amp;"|"&amp;B951&amp;"|"&amp;TEXT(AT951,"yyyymmdd"))</f>
        <v/>
      </c>
      <c r="BB951" s="66" t="str">
        <f>IF(B951="","",TEXT(AZ951,"00")&amp;"|"&amp;B951&amp;"|"&amp;TEXT(AV951,"yyyymmdd"))</f>
        <v/>
      </c>
      <c r="BC951" s="66">
        <f>IF(OR(AQ951="YES",AQ951="Yes",AQ951="Y",AQ951=1),1,0)</f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17">
        <f>SUM(H952,J952,L952,N952,P952,R952,T952,V952,X952,Z952,AB952,AD952,AF952,AH952,AJ952,AL952,AN952)</f>
        <v>0</v>
      </c>
      <c r="AT952" s="67" t="str">
        <f>IF(C952="","",DATE(YEAR(C952),MONTH(C952),1))</f>
        <v/>
      </c>
      <c r="AU952" s="66" t="str">
        <f>IF(AT952="","",TEXT(AT952,"mmmm yyyy"))</f>
        <v/>
      </c>
      <c r="AV952" s="67" t="str">
        <f>IF(C952="","",C952-WEEKDAY(C952,2)+1)</f>
        <v/>
      </c>
      <c r="AW952" s="67" t="str">
        <f>IF(AV952="","",AV952+6)</f>
        <v/>
      </c>
      <c r="AX952" s="66" t="str">
        <f>IF(AV952="","",TEXT(AV952,"dd/mm/yyyy")&amp;" - "&amp;TEXT(AW952,"dd/mm/yyyy"))</f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>IF(B952="","",TEXT(AY952,"00")&amp;"|"&amp;B952&amp;"|"&amp;TEXT(AT952,"yyyymmdd"))</f>
        <v/>
      </c>
      <c r="BB952" s="66" t="str">
        <f>IF(B952="","",TEXT(AZ952,"00")&amp;"|"&amp;B952&amp;"|"&amp;TEXT(AV952,"yyyymmdd"))</f>
        <v/>
      </c>
      <c r="BC952" s="66">
        <f>IF(OR(AQ952="YES",AQ952="Yes",AQ952="Y",AQ952=1),1,0)</f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17">
        <f>SUM(H953,J953,L953,N953,P953,R953,T953,V953,X953,Z953,AB953,AD953,AF953,AH953,AJ953,AL953,AN953)</f>
        <v>0</v>
      </c>
      <c r="AT953" s="67" t="str">
        <f>IF(C953="","",DATE(YEAR(C953),MONTH(C953),1))</f>
        <v/>
      </c>
      <c r="AU953" s="66" t="str">
        <f>IF(AT953="","",TEXT(AT953,"mmmm yyyy"))</f>
        <v/>
      </c>
      <c r="AV953" s="67" t="str">
        <f>IF(C953="","",C953-WEEKDAY(C953,2)+1)</f>
        <v/>
      </c>
      <c r="AW953" s="67" t="str">
        <f>IF(AV953="","",AV953+6)</f>
        <v/>
      </c>
      <c r="AX953" s="66" t="str">
        <f>IF(AV953="","",TEXT(AV953,"dd/mm/yyyy")&amp;" - "&amp;TEXT(AW953,"dd/mm/yyyy"))</f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>IF(B953="","",TEXT(AY953,"00")&amp;"|"&amp;B953&amp;"|"&amp;TEXT(AT953,"yyyymmdd"))</f>
        <v/>
      </c>
      <c r="BB953" s="66" t="str">
        <f>IF(B953="","",TEXT(AZ953,"00")&amp;"|"&amp;B953&amp;"|"&amp;TEXT(AV953,"yyyymmdd"))</f>
        <v/>
      </c>
      <c r="BC953" s="66">
        <f>IF(OR(AQ953="YES",AQ953="Yes",AQ953="Y",AQ953=1),1,0)</f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17">
        <f>SUM(H954,J954,L954,N954,P954,R954,T954,V954,X954,Z954,AB954,AD954,AF954,AH954,AJ954,AL954,AN954)</f>
        <v>0</v>
      </c>
      <c r="AT954" s="67" t="str">
        <f>IF(C954="","",DATE(YEAR(C954),MONTH(C954),1))</f>
        <v/>
      </c>
      <c r="AU954" s="66" t="str">
        <f>IF(AT954="","",TEXT(AT954,"mmmm yyyy"))</f>
        <v/>
      </c>
      <c r="AV954" s="67" t="str">
        <f>IF(C954="","",C954-WEEKDAY(C954,2)+1)</f>
        <v/>
      </c>
      <c r="AW954" s="67" t="str">
        <f>IF(AV954="","",AV954+6)</f>
        <v/>
      </c>
      <c r="AX954" s="66" t="str">
        <f>IF(AV954="","",TEXT(AV954,"dd/mm/yyyy")&amp;" - "&amp;TEXT(AW954,"dd/mm/yyyy"))</f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>IF(B954="","",TEXT(AY954,"00")&amp;"|"&amp;B954&amp;"|"&amp;TEXT(AT954,"yyyymmdd"))</f>
        <v/>
      </c>
      <c r="BB954" s="66" t="str">
        <f>IF(B954="","",TEXT(AZ954,"00")&amp;"|"&amp;B954&amp;"|"&amp;TEXT(AV954,"yyyymmdd"))</f>
        <v/>
      </c>
      <c r="BC954" s="66">
        <f>IF(OR(AQ954="YES",AQ954="Yes",AQ954="Y",AQ954=1),1,0)</f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17">
        <f>SUM(H955,J955,L955,N955,P955,R955,T955,V955,X955,Z955,AB955,AD955,AF955,AH955,AJ955,AL955,AN955)</f>
        <v>0</v>
      </c>
      <c r="AT955" s="67" t="str">
        <f>IF(C955="","",DATE(YEAR(C955),MONTH(C955),1))</f>
        <v/>
      </c>
      <c r="AU955" s="66" t="str">
        <f>IF(AT955="","",TEXT(AT955,"mmmm yyyy"))</f>
        <v/>
      </c>
      <c r="AV955" s="67" t="str">
        <f>IF(C955="","",C955-WEEKDAY(C955,2)+1)</f>
        <v/>
      </c>
      <c r="AW955" s="67" t="str">
        <f>IF(AV955="","",AV955+6)</f>
        <v/>
      </c>
      <c r="AX955" s="66" t="str">
        <f>IF(AV955="","",TEXT(AV955,"dd/mm/yyyy")&amp;" - "&amp;TEXT(AW955,"dd/mm/yyyy"))</f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>IF(B955="","",TEXT(AY955,"00")&amp;"|"&amp;B955&amp;"|"&amp;TEXT(AT955,"yyyymmdd"))</f>
        <v/>
      </c>
      <c r="BB955" s="66" t="str">
        <f>IF(B955="","",TEXT(AZ955,"00")&amp;"|"&amp;B955&amp;"|"&amp;TEXT(AV955,"yyyymmdd"))</f>
        <v/>
      </c>
      <c r="BC955" s="66">
        <f>IF(OR(AQ955="YES",AQ955="Yes",AQ955="Y",AQ955=1),1,0)</f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17">
        <f>SUM(H956,J956,L956,N956,P956,R956,T956,V956,X956,Z956,AB956,AD956,AF956,AH956,AJ956,AL956,AN956)</f>
        <v>0</v>
      </c>
      <c r="AT956" s="67" t="str">
        <f>IF(C956="","",DATE(YEAR(C956),MONTH(C956),1))</f>
        <v/>
      </c>
      <c r="AU956" s="66" t="str">
        <f>IF(AT956="","",TEXT(AT956,"mmmm yyyy"))</f>
        <v/>
      </c>
      <c r="AV956" s="67" t="str">
        <f>IF(C956="","",C956-WEEKDAY(C956,2)+1)</f>
        <v/>
      </c>
      <c r="AW956" s="67" t="str">
        <f>IF(AV956="","",AV956+6)</f>
        <v/>
      </c>
      <c r="AX956" s="66" t="str">
        <f>IF(AV956="","",TEXT(AV956,"dd/mm/yyyy")&amp;" - "&amp;TEXT(AW956,"dd/mm/yyyy"))</f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>IF(B956="","",TEXT(AY956,"00")&amp;"|"&amp;B956&amp;"|"&amp;TEXT(AT956,"yyyymmdd"))</f>
        <v/>
      </c>
      <c r="BB956" s="66" t="str">
        <f>IF(B956="","",TEXT(AZ956,"00")&amp;"|"&amp;B956&amp;"|"&amp;TEXT(AV956,"yyyymmdd"))</f>
        <v/>
      </c>
      <c r="BC956" s="66">
        <f>IF(OR(AQ956="YES",AQ956="Yes",AQ956="Y",AQ956=1),1,0)</f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17">
        <f>SUM(H957,J957,L957,N957,P957,R957,T957,V957,X957,Z957,AB957,AD957,AF957,AH957,AJ957,AL957,AN957)</f>
        <v>0</v>
      </c>
      <c r="AT957" s="67" t="str">
        <f>IF(C957="","",DATE(YEAR(C957),MONTH(C957),1))</f>
        <v/>
      </c>
      <c r="AU957" s="66" t="str">
        <f>IF(AT957="","",TEXT(AT957,"mmmm yyyy"))</f>
        <v/>
      </c>
      <c r="AV957" s="67" t="str">
        <f>IF(C957="","",C957-WEEKDAY(C957,2)+1)</f>
        <v/>
      </c>
      <c r="AW957" s="67" t="str">
        <f>IF(AV957="","",AV957+6)</f>
        <v/>
      </c>
      <c r="AX957" s="66" t="str">
        <f>IF(AV957="","",TEXT(AV957,"dd/mm/yyyy")&amp;" - "&amp;TEXT(AW957,"dd/mm/yyyy"))</f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>IF(B957="","",TEXT(AY957,"00")&amp;"|"&amp;B957&amp;"|"&amp;TEXT(AT957,"yyyymmdd"))</f>
        <v/>
      </c>
      <c r="BB957" s="66" t="str">
        <f>IF(B957="","",TEXT(AZ957,"00")&amp;"|"&amp;B957&amp;"|"&amp;TEXT(AV957,"yyyymmdd"))</f>
        <v/>
      </c>
      <c r="BC957" s="66">
        <f>IF(OR(AQ957="YES",AQ957="Yes",AQ957="Y",AQ957=1),1,0)</f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17">
        <f>SUM(H958,J958,L958,N958,P958,R958,T958,V958,X958,Z958,AB958,AD958,AF958,AH958,AJ958,AL958,AN958)</f>
        <v>0</v>
      </c>
      <c r="AT958" s="67" t="str">
        <f>IF(C958="","",DATE(YEAR(C958),MONTH(C958),1))</f>
        <v/>
      </c>
      <c r="AU958" s="66" t="str">
        <f>IF(AT958="","",TEXT(AT958,"mmmm yyyy"))</f>
        <v/>
      </c>
      <c r="AV958" s="67" t="str">
        <f>IF(C958="","",C958-WEEKDAY(C958,2)+1)</f>
        <v/>
      </c>
      <c r="AW958" s="67" t="str">
        <f>IF(AV958="","",AV958+6)</f>
        <v/>
      </c>
      <c r="AX958" s="66" t="str">
        <f>IF(AV958="","",TEXT(AV958,"dd/mm/yyyy")&amp;" - "&amp;TEXT(AW958,"dd/mm/yyyy"))</f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>IF(B958="","",TEXT(AY958,"00")&amp;"|"&amp;B958&amp;"|"&amp;TEXT(AT958,"yyyymmdd"))</f>
        <v/>
      </c>
      <c r="BB958" s="66" t="str">
        <f>IF(B958="","",TEXT(AZ958,"00")&amp;"|"&amp;B958&amp;"|"&amp;TEXT(AV958,"yyyymmdd"))</f>
        <v/>
      </c>
      <c r="BC958" s="66">
        <f>IF(OR(AQ958="YES",AQ958="Yes",AQ958="Y",AQ958=1),1,0)</f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17">
        <f>SUM(H959,J959,L959,N959,P959,R959,T959,V959,X959,Z959,AB959,AD959,AF959,AH959,AJ959,AL959,AN959)</f>
        <v>0</v>
      </c>
      <c r="AT959" s="67" t="str">
        <f>IF(C959="","",DATE(YEAR(C959),MONTH(C959),1))</f>
        <v/>
      </c>
      <c r="AU959" s="66" t="str">
        <f>IF(AT959="","",TEXT(AT959,"mmmm yyyy"))</f>
        <v/>
      </c>
      <c r="AV959" s="67" t="str">
        <f>IF(C959="","",C959-WEEKDAY(C959,2)+1)</f>
        <v/>
      </c>
      <c r="AW959" s="67" t="str">
        <f>IF(AV959="","",AV959+6)</f>
        <v/>
      </c>
      <c r="AX959" s="66" t="str">
        <f>IF(AV959="","",TEXT(AV959,"dd/mm/yyyy")&amp;" - "&amp;TEXT(AW959,"dd/mm/yyyy"))</f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>IF(B959="","",TEXT(AY959,"00")&amp;"|"&amp;B959&amp;"|"&amp;TEXT(AT959,"yyyymmdd"))</f>
        <v/>
      </c>
      <c r="BB959" s="66" t="str">
        <f>IF(B959="","",TEXT(AZ959,"00")&amp;"|"&amp;B959&amp;"|"&amp;TEXT(AV959,"yyyymmdd"))</f>
        <v/>
      </c>
      <c r="BC959" s="66">
        <f>IF(OR(AQ959="YES",AQ959="Yes",AQ959="Y",AQ959=1),1,0)</f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17">
        <f>SUM(H960,J960,L960,N960,P960,R960,T960,V960,X960,Z960,AB960,AD960,AF960,AH960,AJ960,AL960,AN960)</f>
        <v>0</v>
      </c>
      <c r="AT960" s="67" t="str">
        <f>IF(C960="","",DATE(YEAR(C960),MONTH(C960),1))</f>
        <v/>
      </c>
      <c r="AU960" s="66" t="str">
        <f>IF(AT960="","",TEXT(AT960,"mmmm yyyy"))</f>
        <v/>
      </c>
      <c r="AV960" s="67" t="str">
        <f>IF(C960="","",C960-WEEKDAY(C960,2)+1)</f>
        <v/>
      </c>
      <c r="AW960" s="67" t="str">
        <f>IF(AV960="","",AV960+6)</f>
        <v/>
      </c>
      <c r="AX960" s="66" t="str">
        <f>IF(AV960="","",TEXT(AV960,"dd/mm/yyyy")&amp;" - "&amp;TEXT(AW960,"dd/mm/yyyy"))</f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>IF(B960="","",TEXT(AY960,"00")&amp;"|"&amp;B960&amp;"|"&amp;TEXT(AT960,"yyyymmdd"))</f>
        <v/>
      </c>
      <c r="BB960" s="66" t="str">
        <f>IF(B960="","",TEXT(AZ960,"00")&amp;"|"&amp;B960&amp;"|"&amp;TEXT(AV960,"yyyymmdd"))</f>
        <v/>
      </c>
      <c r="BC960" s="66">
        <f>IF(OR(AQ960="YES",AQ960="Yes",AQ960="Y",AQ960=1),1,0)</f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17">
        <f>SUM(H961,J961,L961,N961,P961,R961,T961,V961,X961,Z961,AB961,AD961,AF961,AH961,AJ961,AL961,AN961)</f>
        <v>0</v>
      </c>
      <c r="AT961" s="67" t="str">
        <f>IF(C961="","",DATE(YEAR(C961),MONTH(C961),1))</f>
        <v/>
      </c>
      <c r="AU961" s="66" t="str">
        <f>IF(AT961="","",TEXT(AT961,"mmmm yyyy"))</f>
        <v/>
      </c>
      <c r="AV961" s="67" t="str">
        <f>IF(C961="","",C961-WEEKDAY(C961,2)+1)</f>
        <v/>
      </c>
      <c r="AW961" s="67" t="str">
        <f>IF(AV961="","",AV961+6)</f>
        <v/>
      </c>
      <c r="AX961" s="66" t="str">
        <f>IF(AV961="","",TEXT(AV961,"dd/mm/yyyy")&amp;" - "&amp;TEXT(AW961,"dd/mm/yyyy"))</f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>IF(B961="","",TEXT(AY961,"00")&amp;"|"&amp;B961&amp;"|"&amp;TEXT(AT961,"yyyymmdd"))</f>
        <v/>
      </c>
      <c r="BB961" s="66" t="str">
        <f>IF(B961="","",TEXT(AZ961,"00")&amp;"|"&amp;B961&amp;"|"&amp;TEXT(AV961,"yyyymmdd"))</f>
        <v/>
      </c>
      <c r="BC961" s="66">
        <f>IF(OR(AQ961="YES",AQ961="Yes",AQ961="Y",AQ961=1),1,0)</f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17">
        <f>SUM(H962,J962,L962,N962,P962,R962,T962,V962,X962,Z962,AB962,AD962,AF962,AH962,AJ962,AL962,AN962)</f>
        <v>0</v>
      </c>
      <c r="AT962" s="67" t="str">
        <f>IF(C962="","",DATE(YEAR(C962),MONTH(C962),1))</f>
        <v/>
      </c>
      <c r="AU962" s="66" t="str">
        <f>IF(AT962="","",TEXT(AT962,"mmmm yyyy"))</f>
        <v/>
      </c>
      <c r="AV962" s="67" t="str">
        <f>IF(C962="","",C962-WEEKDAY(C962,2)+1)</f>
        <v/>
      </c>
      <c r="AW962" s="67" t="str">
        <f>IF(AV962="","",AV962+6)</f>
        <v/>
      </c>
      <c r="AX962" s="66" t="str">
        <f>IF(AV962="","",TEXT(AV962,"dd/mm/yyyy")&amp;" - "&amp;TEXT(AW962,"dd/mm/yyyy"))</f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>IF(B962="","",TEXT(AY962,"00")&amp;"|"&amp;B962&amp;"|"&amp;TEXT(AT962,"yyyymmdd"))</f>
        <v/>
      </c>
      <c r="BB962" s="66" t="str">
        <f>IF(B962="","",TEXT(AZ962,"00")&amp;"|"&amp;B962&amp;"|"&amp;TEXT(AV962,"yyyymmdd"))</f>
        <v/>
      </c>
      <c r="BC962" s="66">
        <f>IF(OR(AQ962="YES",AQ962="Yes",AQ962="Y",AQ962=1),1,0)</f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17">
        <f>SUM(H963,J963,L963,N963,P963,R963,T963,V963,X963,Z963,AB963,AD963,AF963,AH963,AJ963,AL963,AN963)</f>
        <v>0</v>
      </c>
      <c r="AT963" s="67" t="str">
        <f>IF(C963="","",DATE(YEAR(C963),MONTH(C963),1))</f>
        <v/>
      </c>
      <c r="AU963" s="66" t="str">
        <f>IF(AT963="","",TEXT(AT963,"mmmm yyyy"))</f>
        <v/>
      </c>
      <c r="AV963" s="67" t="str">
        <f>IF(C963="","",C963-WEEKDAY(C963,2)+1)</f>
        <v/>
      </c>
      <c r="AW963" s="67" t="str">
        <f>IF(AV963="","",AV963+6)</f>
        <v/>
      </c>
      <c r="AX963" s="66" t="str">
        <f>IF(AV963="","",TEXT(AV963,"dd/mm/yyyy")&amp;" - "&amp;TEXT(AW963,"dd/mm/yyyy"))</f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>IF(B963="","",TEXT(AY963,"00")&amp;"|"&amp;B963&amp;"|"&amp;TEXT(AT963,"yyyymmdd"))</f>
        <v/>
      </c>
      <c r="BB963" s="66" t="str">
        <f>IF(B963="","",TEXT(AZ963,"00")&amp;"|"&amp;B963&amp;"|"&amp;TEXT(AV963,"yyyymmdd"))</f>
        <v/>
      </c>
      <c r="BC963" s="66">
        <f>IF(OR(AQ963="YES",AQ963="Yes",AQ963="Y",AQ963=1),1,0)</f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17">
        <f>SUM(H964,J964,L964,N964,P964,R964,T964,V964,X964,Z964,AB964,AD964,AF964,AH964,AJ964,AL964,AN964)</f>
        <v>0</v>
      </c>
      <c r="AT964" s="67" t="str">
        <f>IF(C964="","",DATE(YEAR(C964),MONTH(C964),1))</f>
        <v/>
      </c>
      <c r="AU964" s="66" t="str">
        <f>IF(AT964="","",TEXT(AT964,"mmmm yyyy"))</f>
        <v/>
      </c>
      <c r="AV964" s="67" t="str">
        <f>IF(C964="","",C964-WEEKDAY(C964,2)+1)</f>
        <v/>
      </c>
      <c r="AW964" s="67" t="str">
        <f>IF(AV964="","",AV964+6)</f>
        <v/>
      </c>
      <c r="AX964" s="66" t="str">
        <f>IF(AV964="","",TEXT(AV964,"dd/mm/yyyy")&amp;" - "&amp;TEXT(AW964,"dd/mm/yyyy"))</f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>IF(B964="","",TEXT(AY964,"00")&amp;"|"&amp;B964&amp;"|"&amp;TEXT(AT964,"yyyymmdd"))</f>
        <v/>
      </c>
      <c r="BB964" s="66" t="str">
        <f>IF(B964="","",TEXT(AZ964,"00")&amp;"|"&amp;B964&amp;"|"&amp;TEXT(AV964,"yyyymmdd"))</f>
        <v/>
      </c>
      <c r="BC964" s="66">
        <f>IF(OR(AQ964="YES",AQ964="Yes",AQ964="Y",AQ964=1),1,0)</f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17">
        <f>SUM(H965,J965,L965,N965,P965,R965,T965,V965,X965,Z965,AB965,AD965,AF965,AH965,AJ965,AL965,AN965)</f>
        <v>0</v>
      </c>
      <c r="AT965" s="67" t="str">
        <f>IF(C965="","",DATE(YEAR(C965),MONTH(C965),1))</f>
        <v/>
      </c>
      <c r="AU965" s="66" t="str">
        <f>IF(AT965="","",TEXT(AT965,"mmmm yyyy"))</f>
        <v/>
      </c>
      <c r="AV965" s="67" t="str">
        <f>IF(C965="","",C965-WEEKDAY(C965,2)+1)</f>
        <v/>
      </c>
      <c r="AW965" s="67" t="str">
        <f>IF(AV965="","",AV965+6)</f>
        <v/>
      </c>
      <c r="AX965" s="66" t="str">
        <f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>IF(B965="","",TEXT(AY965,"00")&amp;"|"&amp;B965&amp;"|"&amp;TEXT(AT965,"yyyymmdd"))</f>
        <v/>
      </c>
      <c r="BB965" s="66" t="str">
        <f>IF(B965="","",TEXT(AZ965,"00")&amp;"|"&amp;B965&amp;"|"&amp;TEXT(AV965,"yyyymmdd"))</f>
        <v/>
      </c>
      <c r="BC965" s="66">
        <f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17">
        <f>SUM(H966,J966,L966,N966,P966,R966,T966,V966,X966,Z966,AB966,AD966,AF966,AH966,AJ966,AL966,AN966)</f>
        <v>0</v>
      </c>
      <c r="AT966" s="67" t="str">
        <f>IF(C966="","",DATE(YEAR(C966),MONTH(C966),1))</f>
        <v/>
      </c>
      <c r="AU966" s="66" t="str">
        <f>IF(AT966="","",TEXT(AT966,"mmmm yyyy"))</f>
        <v/>
      </c>
      <c r="AV966" s="67" t="str">
        <f>IF(C966="","",C966-WEEKDAY(C966,2)+1)</f>
        <v/>
      </c>
      <c r="AW966" s="67" t="str">
        <f>IF(AV966="","",AV966+6)</f>
        <v/>
      </c>
      <c r="AX966" s="66" t="str">
        <f>IF(AV966="","",TEXT(AV966,"dd/mm/yyyy")&amp;" - "&amp;TEXT(AW966,"dd/mm/yyyy"))</f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>IF(B966="","",TEXT(AY966,"00")&amp;"|"&amp;B966&amp;"|"&amp;TEXT(AT966,"yyyymmdd"))</f>
        <v/>
      </c>
      <c r="BB966" s="66" t="str">
        <f>IF(B966="","",TEXT(AZ966,"00")&amp;"|"&amp;B966&amp;"|"&amp;TEXT(AV966,"yyyymmdd"))</f>
        <v/>
      </c>
      <c r="BC966" s="66">
        <f>IF(OR(AQ966="YES",AQ966="Yes",AQ966="Y",AQ966=1),1,0)</f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17">
        <f>SUM(H967,J967,L967,N967,P967,R967,T967,V967,X967,Z967,AB967,AD967,AF967,AH967,AJ967,AL967,AN967)</f>
        <v>0</v>
      </c>
      <c r="AT967" s="67" t="str">
        <f>IF(C967="","",DATE(YEAR(C967),MONTH(C967),1))</f>
        <v/>
      </c>
      <c r="AU967" s="66" t="str">
        <f>IF(AT967="","",TEXT(AT967,"mmmm yyyy"))</f>
        <v/>
      </c>
      <c r="AV967" s="67" t="str">
        <f>IF(C967="","",C967-WEEKDAY(C967,2)+1)</f>
        <v/>
      </c>
      <c r="AW967" s="67" t="str">
        <f>IF(AV967="","",AV967+6)</f>
        <v/>
      </c>
      <c r="AX967" s="66" t="str">
        <f>IF(AV967="","",TEXT(AV967,"dd/mm/yyyy")&amp;" - "&amp;TEXT(AW967,"dd/mm/yyyy"))</f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>IF(B967="","",TEXT(AY967,"00")&amp;"|"&amp;B967&amp;"|"&amp;TEXT(AT967,"yyyymmdd"))</f>
        <v/>
      </c>
      <c r="BB967" s="66" t="str">
        <f>IF(B967="","",TEXT(AZ967,"00")&amp;"|"&amp;B967&amp;"|"&amp;TEXT(AV967,"yyyymmdd"))</f>
        <v/>
      </c>
      <c r="BC967" s="66">
        <f>IF(OR(AQ967="YES",AQ967="Yes",AQ967="Y",AQ967=1),1,0)</f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17">
        <f>SUM(H968,J968,L968,N968,P968,R968,T968,V968,X968,Z968,AB968,AD968,AF968,AH968,AJ968,AL968,AN968)</f>
        <v>0</v>
      </c>
      <c r="AT968" s="67" t="str">
        <f>IF(C968="","",DATE(YEAR(C968),MONTH(C968),1))</f>
        <v/>
      </c>
      <c r="AU968" s="66" t="str">
        <f>IF(AT968="","",TEXT(AT968,"mmmm yyyy"))</f>
        <v/>
      </c>
      <c r="AV968" s="67" t="str">
        <f>IF(C968="","",C968-WEEKDAY(C968,2)+1)</f>
        <v/>
      </c>
      <c r="AW968" s="67" t="str">
        <f>IF(AV968="","",AV968+6)</f>
        <v/>
      </c>
      <c r="AX968" s="66" t="str">
        <f>IF(AV968="","",TEXT(AV968,"dd/mm/yyyy")&amp;" - "&amp;TEXT(AW968,"dd/mm/yyyy"))</f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>IF(B968="","",TEXT(AY968,"00")&amp;"|"&amp;B968&amp;"|"&amp;TEXT(AT968,"yyyymmdd"))</f>
        <v/>
      </c>
      <c r="BB968" s="66" t="str">
        <f>IF(B968="","",TEXT(AZ968,"00")&amp;"|"&amp;B968&amp;"|"&amp;TEXT(AV968,"yyyymmdd"))</f>
        <v/>
      </c>
      <c r="BC968" s="66">
        <f>IF(OR(AQ968="YES",AQ968="Yes",AQ968="Y",AQ968=1),1,0)</f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17">
        <f>SUM(H969,J969,L969,N969,P969,R969,T969,V969,X969,Z969,AB969,AD969,AF969,AH969,AJ969,AL969,AN969)</f>
        <v>0</v>
      </c>
      <c r="AT969" s="67" t="str">
        <f>IF(C969="","",DATE(YEAR(C969),MONTH(C969),1))</f>
        <v/>
      </c>
      <c r="AU969" s="66" t="str">
        <f>IF(AT969="","",TEXT(AT969,"mmmm yyyy"))</f>
        <v/>
      </c>
      <c r="AV969" s="67" t="str">
        <f>IF(C969="","",C969-WEEKDAY(C969,2)+1)</f>
        <v/>
      </c>
      <c r="AW969" s="67" t="str">
        <f>IF(AV969="","",AV969+6)</f>
        <v/>
      </c>
      <c r="AX969" s="66" t="str">
        <f>IF(AV969="","",TEXT(AV969,"dd/mm/yyyy")&amp;" - "&amp;TEXT(AW969,"dd/mm/yyyy"))</f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>IF(B969="","",TEXT(AY969,"00")&amp;"|"&amp;B969&amp;"|"&amp;TEXT(AT969,"yyyymmdd"))</f>
        <v/>
      </c>
      <c r="BB969" s="66" t="str">
        <f>IF(B969="","",TEXT(AZ969,"00")&amp;"|"&amp;B969&amp;"|"&amp;TEXT(AV969,"yyyymmdd"))</f>
        <v/>
      </c>
      <c r="BC969" s="66">
        <f>IF(OR(AQ969="YES",AQ969="Yes",AQ969="Y",AQ969=1),1,0)</f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17">
        <f>SUM(H970,J970,L970,N970,P970,R970,T970,V970,X970,Z970,AB970,AD970,AF970,AH970,AJ970,AL970,AN970)</f>
        <v>0</v>
      </c>
      <c r="AT970" s="67" t="str">
        <f>IF(C970="","",DATE(YEAR(C970),MONTH(C970),1))</f>
        <v/>
      </c>
      <c r="AU970" s="66" t="str">
        <f>IF(AT970="","",TEXT(AT970,"mmmm yyyy"))</f>
        <v/>
      </c>
      <c r="AV970" s="67" t="str">
        <f>IF(C970="","",C970-WEEKDAY(C970,2)+1)</f>
        <v/>
      </c>
      <c r="AW970" s="67" t="str">
        <f>IF(AV970="","",AV970+6)</f>
        <v/>
      </c>
      <c r="AX970" s="66" t="str">
        <f>IF(AV970="","",TEXT(AV970,"dd/mm/yyyy")&amp;" - "&amp;TEXT(AW970,"dd/mm/yyyy"))</f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>IF(B970="","",TEXT(AY970,"00")&amp;"|"&amp;B970&amp;"|"&amp;TEXT(AT970,"yyyymmdd"))</f>
        <v/>
      </c>
      <c r="BB970" s="66" t="str">
        <f>IF(B970="","",TEXT(AZ970,"00")&amp;"|"&amp;B970&amp;"|"&amp;TEXT(AV970,"yyyymmdd"))</f>
        <v/>
      </c>
      <c r="BC970" s="66">
        <f>IF(OR(AQ970="YES",AQ970="Yes",AQ970="Y",AQ970=1),1,0)</f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17">
        <f>SUM(H971,J971,L971,N971,P971,R971,T971,V971,X971,Z971,AB971,AD971,AF971,AH971,AJ971,AL971,AN971)</f>
        <v>0</v>
      </c>
      <c r="AT971" s="67" t="str">
        <f>IF(C971="","",DATE(YEAR(C971),MONTH(C971),1))</f>
        <v/>
      </c>
      <c r="AU971" s="66" t="str">
        <f>IF(AT971="","",TEXT(AT971,"mmmm yyyy"))</f>
        <v/>
      </c>
      <c r="AV971" s="67" t="str">
        <f>IF(C971="","",C971-WEEKDAY(C971,2)+1)</f>
        <v/>
      </c>
      <c r="AW971" s="67" t="str">
        <f>IF(AV971="","",AV971+6)</f>
        <v/>
      </c>
      <c r="AX971" s="66" t="str">
        <f>IF(AV971="","",TEXT(AV971,"dd/mm/yyyy")&amp;" - "&amp;TEXT(AW971,"dd/mm/yyyy"))</f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>IF(B971="","",TEXT(AY971,"00")&amp;"|"&amp;B971&amp;"|"&amp;TEXT(AT971,"yyyymmdd"))</f>
        <v/>
      </c>
      <c r="BB971" s="66" t="str">
        <f>IF(B971="","",TEXT(AZ971,"00")&amp;"|"&amp;B971&amp;"|"&amp;TEXT(AV971,"yyyymmdd"))</f>
        <v/>
      </c>
      <c r="BC971" s="66">
        <f>IF(OR(AQ971="YES",AQ971="Yes",AQ971="Y",AQ971=1),1,0)</f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17">
        <f>SUM(H972,J972,L972,N972,P972,R972,T972,V972,X972,Z972,AB972,AD972,AF972,AH972,AJ972,AL972,AN972)</f>
        <v>0</v>
      </c>
      <c r="AT972" s="67" t="str">
        <f>IF(C972="","",DATE(YEAR(C972),MONTH(C972),1))</f>
        <v/>
      </c>
      <c r="AU972" s="66" t="str">
        <f>IF(AT972="","",TEXT(AT972,"mmmm yyyy"))</f>
        <v/>
      </c>
      <c r="AV972" s="67" t="str">
        <f>IF(C972="","",C972-WEEKDAY(C972,2)+1)</f>
        <v/>
      </c>
      <c r="AW972" s="67" t="str">
        <f>IF(AV972="","",AV972+6)</f>
        <v/>
      </c>
      <c r="AX972" s="66" t="str">
        <f>IF(AV972="","",TEXT(AV972,"dd/mm/yyyy")&amp;" - "&amp;TEXT(AW972,"dd/mm/yyyy"))</f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>IF(B972="","",TEXT(AY972,"00")&amp;"|"&amp;B972&amp;"|"&amp;TEXT(AT972,"yyyymmdd"))</f>
        <v/>
      </c>
      <c r="BB972" s="66" t="str">
        <f>IF(B972="","",TEXT(AZ972,"00")&amp;"|"&amp;B972&amp;"|"&amp;TEXT(AV972,"yyyymmdd"))</f>
        <v/>
      </c>
      <c r="BC972" s="66">
        <f>IF(OR(AQ972="YES",AQ972="Yes",AQ972="Y",AQ972=1),1,0)</f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17">
        <f>SUM(H973,J973,L973,N973,P973,R973,T973,V973,X973,Z973,AB973,AD973,AF973,AH973,AJ973,AL973,AN973)</f>
        <v>0</v>
      </c>
      <c r="AT973" s="67" t="str">
        <f>IF(C973="","",DATE(YEAR(C973),MONTH(C973),1))</f>
        <v/>
      </c>
      <c r="AU973" s="66" t="str">
        <f>IF(AT973="","",TEXT(AT973,"mmmm yyyy"))</f>
        <v/>
      </c>
      <c r="AV973" s="67" t="str">
        <f>IF(C973="","",C973-WEEKDAY(C973,2)+1)</f>
        <v/>
      </c>
      <c r="AW973" s="67" t="str">
        <f>IF(AV973="","",AV973+6)</f>
        <v/>
      </c>
      <c r="AX973" s="66" t="str">
        <f>IF(AV973="","",TEXT(AV973,"dd/mm/yyyy")&amp;" - "&amp;TEXT(AW973,"dd/mm/yyyy"))</f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>IF(B973="","",TEXT(AY973,"00")&amp;"|"&amp;B973&amp;"|"&amp;TEXT(AT973,"yyyymmdd"))</f>
        <v/>
      </c>
      <c r="BB973" s="66" t="str">
        <f>IF(B973="","",TEXT(AZ973,"00")&amp;"|"&amp;B973&amp;"|"&amp;TEXT(AV973,"yyyymmdd"))</f>
        <v/>
      </c>
      <c r="BC973" s="66">
        <f>IF(OR(AQ973="YES",AQ973="Yes",AQ973="Y",AQ973=1),1,0)</f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17">
        <f>SUM(H974,J974,L974,N974,P974,R974,T974,V974,X974,Z974,AB974,AD974,AF974,AH974,AJ974,AL974,AN974)</f>
        <v>0</v>
      </c>
      <c r="AT974" s="67" t="str">
        <f>IF(C974="","",DATE(YEAR(C974),MONTH(C974),1))</f>
        <v/>
      </c>
      <c r="AU974" s="66" t="str">
        <f>IF(AT974="","",TEXT(AT974,"mmmm yyyy"))</f>
        <v/>
      </c>
      <c r="AV974" s="67" t="str">
        <f>IF(C974="","",C974-WEEKDAY(C974,2)+1)</f>
        <v/>
      </c>
      <c r="AW974" s="67" t="str">
        <f>IF(AV974="","",AV974+6)</f>
        <v/>
      </c>
      <c r="AX974" s="66" t="str">
        <f>IF(AV974="","",TEXT(AV974,"dd/mm/yyyy")&amp;" - "&amp;TEXT(AW974,"dd/mm/yyyy"))</f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>IF(B974="","",TEXT(AY974,"00")&amp;"|"&amp;B974&amp;"|"&amp;TEXT(AT974,"yyyymmdd"))</f>
        <v/>
      </c>
      <c r="BB974" s="66" t="str">
        <f>IF(B974="","",TEXT(AZ974,"00")&amp;"|"&amp;B974&amp;"|"&amp;TEXT(AV974,"yyyymmdd"))</f>
        <v/>
      </c>
      <c r="BC974" s="66">
        <f>IF(OR(AQ974="YES",AQ974="Yes",AQ974="Y",AQ974=1),1,0)</f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17">
        <f>SUM(H975,J975,L975,N975,P975,R975,T975,V975,X975,Z975,AB975,AD975,AF975,AH975,AJ975,AL975,AN975)</f>
        <v>0</v>
      </c>
      <c r="AT975" s="67" t="str">
        <f>IF(C975="","",DATE(YEAR(C975),MONTH(C975),1))</f>
        <v/>
      </c>
      <c r="AU975" s="66" t="str">
        <f>IF(AT975="","",TEXT(AT975,"mmmm yyyy"))</f>
        <v/>
      </c>
      <c r="AV975" s="67" t="str">
        <f>IF(C975="","",C975-WEEKDAY(C975,2)+1)</f>
        <v/>
      </c>
      <c r="AW975" s="67" t="str">
        <f>IF(AV975="","",AV975+6)</f>
        <v/>
      </c>
      <c r="AX975" s="66" t="str">
        <f>IF(AV975="","",TEXT(AV975,"dd/mm/yyyy")&amp;" - "&amp;TEXT(AW975,"dd/mm/yyyy"))</f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>IF(B975="","",TEXT(AY975,"00")&amp;"|"&amp;B975&amp;"|"&amp;TEXT(AT975,"yyyymmdd"))</f>
        <v/>
      </c>
      <c r="BB975" s="66" t="str">
        <f>IF(B975="","",TEXT(AZ975,"00")&amp;"|"&amp;B975&amp;"|"&amp;TEXT(AV975,"yyyymmdd"))</f>
        <v/>
      </c>
      <c r="BC975" s="66">
        <f>IF(OR(AQ975="YES",AQ975="Yes",AQ975="Y",AQ975=1),1,0)</f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17">
        <f>SUM(H976,J976,L976,N976,P976,R976,T976,V976,X976,Z976,AB976,AD976,AF976,AH976,AJ976,AL976,AN976)</f>
        <v>0</v>
      </c>
      <c r="AT976" s="67" t="str">
        <f>IF(C976="","",DATE(YEAR(C976),MONTH(C976),1))</f>
        <v/>
      </c>
      <c r="AU976" s="66" t="str">
        <f>IF(AT976="","",TEXT(AT976,"mmmm yyyy"))</f>
        <v/>
      </c>
      <c r="AV976" s="67" t="str">
        <f>IF(C976="","",C976-WEEKDAY(C976,2)+1)</f>
        <v/>
      </c>
      <c r="AW976" s="67" t="str">
        <f>IF(AV976="","",AV976+6)</f>
        <v/>
      </c>
      <c r="AX976" s="66" t="str">
        <f>IF(AV976="","",TEXT(AV976,"dd/mm/yyyy")&amp;" - "&amp;TEXT(AW976,"dd/mm/yyyy"))</f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>IF(B976="","",TEXT(AY976,"00")&amp;"|"&amp;B976&amp;"|"&amp;TEXT(AT976,"yyyymmdd"))</f>
        <v/>
      </c>
      <c r="BB976" s="66" t="str">
        <f>IF(B976="","",TEXT(AZ976,"00")&amp;"|"&amp;B976&amp;"|"&amp;TEXT(AV976,"yyyymmdd"))</f>
        <v/>
      </c>
      <c r="BC976" s="66">
        <f>IF(OR(AQ976="YES",AQ976="Yes",AQ976="Y",AQ976=1),1,0)</f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17">
        <f>SUM(H977,J977,L977,N977,P977,R977,T977,V977,X977,Z977,AB977,AD977,AF977,AH977,AJ977,AL977,AN977)</f>
        <v>0</v>
      </c>
      <c r="AT977" s="67" t="str">
        <f>IF(C977="","",DATE(YEAR(C977),MONTH(C977),1))</f>
        <v/>
      </c>
      <c r="AU977" s="66" t="str">
        <f>IF(AT977="","",TEXT(AT977,"mmmm yyyy"))</f>
        <v/>
      </c>
      <c r="AV977" s="67" t="str">
        <f>IF(C977="","",C977-WEEKDAY(C977,2)+1)</f>
        <v/>
      </c>
      <c r="AW977" s="67" t="str">
        <f>IF(AV977="","",AV977+6)</f>
        <v/>
      </c>
      <c r="AX977" s="66" t="str">
        <f>IF(AV977="","",TEXT(AV977,"dd/mm/yyyy")&amp;" - "&amp;TEXT(AW977,"dd/mm/yyyy"))</f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>IF(B977="","",TEXT(AY977,"00")&amp;"|"&amp;B977&amp;"|"&amp;TEXT(AT977,"yyyymmdd"))</f>
        <v/>
      </c>
      <c r="BB977" s="66" t="str">
        <f>IF(B977="","",TEXT(AZ977,"00")&amp;"|"&amp;B977&amp;"|"&amp;TEXT(AV977,"yyyymmdd"))</f>
        <v/>
      </c>
      <c r="BC977" s="66">
        <f>IF(OR(AQ977="YES",AQ977="Yes",AQ977="Y",AQ977=1),1,0)</f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17">
        <f>SUM(H978,J978,L978,N978,P978,R978,T978,V978,X978,Z978,AB978,AD978,AF978,AH978,AJ978,AL978,AN978)</f>
        <v>0</v>
      </c>
      <c r="AT978" s="67" t="str">
        <f>IF(C978="","",DATE(YEAR(C978),MONTH(C978),1))</f>
        <v/>
      </c>
      <c r="AU978" s="66" t="str">
        <f>IF(AT978="","",TEXT(AT978,"mmmm yyyy"))</f>
        <v/>
      </c>
      <c r="AV978" s="67" t="str">
        <f>IF(C978="","",C978-WEEKDAY(C978,2)+1)</f>
        <v/>
      </c>
      <c r="AW978" s="67" t="str">
        <f>IF(AV978="","",AV978+6)</f>
        <v/>
      </c>
      <c r="AX978" s="66" t="str">
        <f>IF(AV978="","",TEXT(AV978,"dd/mm/yyyy")&amp;" - "&amp;TEXT(AW978,"dd/mm/yyyy"))</f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>IF(B978="","",TEXT(AY978,"00")&amp;"|"&amp;B978&amp;"|"&amp;TEXT(AT978,"yyyymmdd"))</f>
        <v/>
      </c>
      <c r="BB978" s="66" t="str">
        <f>IF(B978="","",TEXT(AZ978,"00")&amp;"|"&amp;B978&amp;"|"&amp;TEXT(AV978,"yyyymmdd"))</f>
        <v/>
      </c>
      <c r="BC978" s="66">
        <f>IF(OR(AQ978="YES",AQ978="Yes",AQ978="Y",AQ978=1),1,0)</f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17">
        <f>SUM(H979,J979,L979,N979,P979,R979,T979,V979,X979,Z979,AB979,AD979,AF979,AH979,AJ979,AL979,AN979)</f>
        <v>0</v>
      </c>
      <c r="AT979" s="67" t="str">
        <f>IF(C979="","",DATE(YEAR(C979),MONTH(C979),1))</f>
        <v/>
      </c>
      <c r="AU979" s="66" t="str">
        <f>IF(AT979="","",TEXT(AT979,"mmmm yyyy"))</f>
        <v/>
      </c>
      <c r="AV979" s="67" t="str">
        <f>IF(C979="","",C979-WEEKDAY(C979,2)+1)</f>
        <v/>
      </c>
      <c r="AW979" s="67" t="str">
        <f>IF(AV979="","",AV979+6)</f>
        <v/>
      </c>
      <c r="AX979" s="66" t="str">
        <f>IF(AV979="","",TEXT(AV979,"dd/mm/yyyy")&amp;" - "&amp;TEXT(AW979,"dd/mm/yyyy"))</f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>IF(B979="","",TEXT(AY979,"00")&amp;"|"&amp;B979&amp;"|"&amp;TEXT(AT979,"yyyymmdd"))</f>
        <v/>
      </c>
      <c r="BB979" s="66" t="str">
        <f>IF(B979="","",TEXT(AZ979,"00")&amp;"|"&amp;B979&amp;"|"&amp;TEXT(AV979,"yyyymmdd"))</f>
        <v/>
      </c>
      <c r="BC979" s="66">
        <f>IF(OR(AQ979="YES",AQ979="Yes",AQ979="Y",AQ979=1),1,0)</f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17">
        <f>SUM(H980,J980,L980,N980,P980,R980,T980,V980,X980,Z980,AB980,AD980,AF980,AH980,AJ980,AL980,AN980)</f>
        <v>0</v>
      </c>
      <c r="AT980" s="67" t="str">
        <f>IF(C980="","",DATE(YEAR(C980),MONTH(C980),1))</f>
        <v/>
      </c>
      <c r="AU980" s="66" t="str">
        <f>IF(AT980="","",TEXT(AT980,"mmmm yyyy"))</f>
        <v/>
      </c>
      <c r="AV980" s="67" t="str">
        <f>IF(C980="","",C980-WEEKDAY(C980,2)+1)</f>
        <v/>
      </c>
      <c r="AW980" s="67" t="str">
        <f>IF(AV980="","",AV980+6)</f>
        <v/>
      </c>
      <c r="AX980" s="66" t="str">
        <f>IF(AV980="","",TEXT(AV980,"dd/mm/yyyy")&amp;" - "&amp;TEXT(AW980,"dd/mm/yyyy"))</f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>IF(B980="","",TEXT(AY980,"00")&amp;"|"&amp;B980&amp;"|"&amp;TEXT(AT980,"yyyymmdd"))</f>
        <v/>
      </c>
      <c r="BB980" s="66" t="str">
        <f>IF(B980="","",TEXT(AZ980,"00")&amp;"|"&amp;B980&amp;"|"&amp;TEXT(AV980,"yyyymmdd"))</f>
        <v/>
      </c>
      <c r="BC980" s="66">
        <f>IF(OR(AQ980="YES",AQ980="Yes",AQ980="Y",AQ980=1),1,0)</f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17">
        <f>SUM(H981,J981,L981,N981,P981,R981,T981,V981,X981,Z981,AB981,AD981,AF981,AH981,AJ981,AL981,AN981)</f>
        <v>0</v>
      </c>
      <c r="AT981" s="67" t="str">
        <f>IF(C981="","",DATE(YEAR(C981),MONTH(C981),1))</f>
        <v/>
      </c>
      <c r="AU981" s="66" t="str">
        <f>IF(AT981="","",TEXT(AT981,"mmmm yyyy"))</f>
        <v/>
      </c>
      <c r="AV981" s="67" t="str">
        <f>IF(C981="","",C981-WEEKDAY(C981,2)+1)</f>
        <v/>
      </c>
      <c r="AW981" s="67" t="str">
        <f>IF(AV981="","",AV981+6)</f>
        <v/>
      </c>
      <c r="AX981" s="66" t="str">
        <f>IF(AV981="","",TEXT(AV981,"dd/mm/yyyy")&amp;" - "&amp;TEXT(AW981,"dd/mm/yyyy"))</f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>IF(B981="","",TEXT(AY981,"00")&amp;"|"&amp;B981&amp;"|"&amp;TEXT(AT981,"yyyymmdd"))</f>
        <v/>
      </c>
      <c r="BB981" s="66" t="str">
        <f>IF(B981="","",TEXT(AZ981,"00")&amp;"|"&amp;B981&amp;"|"&amp;TEXT(AV981,"yyyymmdd"))</f>
        <v/>
      </c>
      <c r="BC981" s="66">
        <f>IF(OR(AQ981="YES",AQ981="Yes",AQ981="Y",AQ981=1),1,0)</f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17">
        <f>SUM(H982,J982,L982,N982,P982,R982,T982,V982,X982,Z982,AB982,AD982,AF982,AH982,AJ982,AL982,AN982)</f>
        <v>0</v>
      </c>
      <c r="AT982" s="67" t="str">
        <f>IF(C982="","",DATE(YEAR(C982),MONTH(C982),1))</f>
        <v/>
      </c>
      <c r="AU982" s="66" t="str">
        <f>IF(AT982="","",TEXT(AT982,"mmmm yyyy"))</f>
        <v/>
      </c>
      <c r="AV982" s="67" t="str">
        <f>IF(C982="","",C982-WEEKDAY(C982,2)+1)</f>
        <v/>
      </c>
      <c r="AW982" s="67" t="str">
        <f>IF(AV982="","",AV982+6)</f>
        <v/>
      </c>
      <c r="AX982" s="66" t="str">
        <f>IF(AV982="","",TEXT(AV982,"dd/mm/yyyy")&amp;" - "&amp;TEXT(AW982,"dd/mm/yyyy"))</f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>IF(B982="","",TEXT(AY982,"00")&amp;"|"&amp;B982&amp;"|"&amp;TEXT(AT982,"yyyymmdd"))</f>
        <v/>
      </c>
      <c r="BB982" s="66" t="str">
        <f>IF(B982="","",TEXT(AZ982,"00")&amp;"|"&amp;B982&amp;"|"&amp;TEXT(AV982,"yyyymmdd"))</f>
        <v/>
      </c>
      <c r="BC982" s="66">
        <f>IF(OR(AQ982="YES",AQ982="Yes",AQ982="Y",AQ982=1),1,0)</f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17">
        <f>SUM(H983,J983,L983,N983,P983,R983,T983,V983,X983,Z983,AB983,AD983,AF983,AH983,AJ983,AL983,AN983)</f>
        <v>0</v>
      </c>
      <c r="AT983" s="67" t="str">
        <f>IF(C983="","",DATE(YEAR(C983),MONTH(C983),1))</f>
        <v/>
      </c>
      <c r="AU983" s="66" t="str">
        <f>IF(AT983="","",TEXT(AT983,"mmmm yyyy"))</f>
        <v/>
      </c>
      <c r="AV983" s="67" t="str">
        <f>IF(C983="","",C983-WEEKDAY(C983,2)+1)</f>
        <v/>
      </c>
      <c r="AW983" s="67" t="str">
        <f>IF(AV983="","",AV983+6)</f>
        <v/>
      </c>
      <c r="AX983" s="66" t="str">
        <f>IF(AV983="","",TEXT(AV983,"dd/mm/yyyy")&amp;" - "&amp;TEXT(AW983,"dd/mm/yyyy"))</f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>IF(B983="","",TEXT(AY983,"00")&amp;"|"&amp;B983&amp;"|"&amp;TEXT(AT983,"yyyymmdd"))</f>
        <v/>
      </c>
      <c r="BB983" s="66" t="str">
        <f>IF(B983="","",TEXT(AZ983,"00")&amp;"|"&amp;B983&amp;"|"&amp;TEXT(AV983,"yyyymmdd"))</f>
        <v/>
      </c>
      <c r="BC983" s="66">
        <f>IF(OR(AQ983="YES",AQ983="Yes",AQ983="Y",AQ983=1),1,0)</f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17">
        <f>SUM(H984,J984,L984,N984,P984,R984,T984,V984,X984,Z984,AB984,AD984,AF984,AH984,AJ984,AL984,AN984)</f>
        <v>0</v>
      </c>
      <c r="AT984" s="67" t="str">
        <f>IF(C984="","",DATE(YEAR(C984),MONTH(C984),1))</f>
        <v/>
      </c>
      <c r="AU984" s="66" t="str">
        <f>IF(AT984="","",TEXT(AT984,"mmmm yyyy"))</f>
        <v/>
      </c>
      <c r="AV984" s="67" t="str">
        <f>IF(C984="","",C984-WEEKDAY(C984,2)+1)</f>
        <v/>
      </c>
      <c r="AW984" s="67" t="str">
        <f>IF(AV984="","",AV984+6)</f>
        <v/>
      </c>
      <c r="AX984" s="66" t="str">
        <f>IF(AV984="","",TEXT(AV984,"dd/mm/yyyy")&amp;" - "&amp;TEXT(AW984,"dd/mm/yyyy"))</f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>IF(B984="","",TEXT(AY984,"00")&amp;"|"&amp;B984&amp;"|"&amp;TEXT(AT984,"yyyymmdd"))</f>
        <v/>
      </c>
      <c r="BB984" s="66" t="str">
        <f>IF(B984="","",TEXT(AZ984,"00")&amp;"|"&amp;B984&amp;"|"&amp;TEXT(AV984,"yyyymmdd"))</f>
        <v/>
      </c>
      <c r="BC984" s="66">
        <f>IF(OR(AQ984="YES",AQ984="Yes",AQ984="Y",AQ984=1),1,0)</f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17">
        <f>SUM(H985,J985,L985,N985,P985,R985,T985,V985,X985,Z985,AB985,AD985,AF985,AH985,AJ985,AL985,AN985)</f>
        <v>0</v>
      </c>
      <c r="AT985" s="67" t="str">
        <f>IF(C985="","",DATE(YEAR(C985),MONTH(C985),1))</f>
        <v/>
      </c>
      <c r="AU985" s="66" t="str">
        <f>IF(AT985="","",TEXT(AT985,"mmmm yyyy"))</f>
        <v/>
      </c>
      <c r="AV985" s="67" t="str">
        <f>IF(C985="","",C985-WEEKDAY(C985,2)+1)</f>
        <v/>
      </c>
      <c r="AW985" s="67" t="str">
        <f>IF(AV985="","",AV985+6)</f>
        <v/>
      </c>
      <c r="AX985" s="66" t="str">
        <f>IF(AV985="","",TEXT(AV985,"dd/mm/yyyy")&amp;" - "&amp;TEXT(AW985,"dd/mm/yyyy"))</f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>IF(B985="","",TEXT(AY985,"00")&amp;"|"&amp;B985&amp;"|"&amp;TEXT(AT985,"yyyymmdd"))</f>
        <v/>
      </c>
      <c r="BB985" s="66" t="str">
        <f>IF(B985="","",TEXT(AZ985,"00")&amp;"|"&amp;B985&amp;"|"&amp;TEXT(AV985,"yyyymmdd"))</f>
        <v/>
      </c>
      <c r="BC985" s="66">
        <f>IF(OR(AQ985="YES",AQ985="Yes",AQ985="Y",AQ985=1),1,0)</f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17">
        <f>SUM(H986,J986,L986,N986,P986,R986,T986,V986,X986,Z986,AB986,AD986,AF986,AH986,AJ986,AL986,AN986)</f>
        <v>0</v>
      </c>
      <c r="AT986" s="67" t="str">
        <f>IF(C986="","",DATE(YEAR(C986),MONTH(C986),1))</f>
        <v/>
      </c>
      <c r="AU986" s="66" t="str">
        <f>IF(AT986="","",TEXT(AT986,"mmmm yyyy"))</f>
        <v/>
      </c>
      <c r="AV986" s="67" t="str">
        <f>IF(C986="","",C986-WEEKDAY(C986,2)+1)</f>
        <v/>
      </c>
      <c r="AW986" s="67" t="str">
        <f>IF(AV986="","",AV986+6)</f>
        <v/>
      </c>
      <c r="AX986" s="66" t="str">
        <f>IF(AV986="","",TEXT(AV986,"dd/mm/yyyy")&amp;" - "&amp;TEXT(AW986,"dd/mm/yyyy"))</f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>IF(B986="","",TEXT(AY986,"00")&amp;"|"&amp;B986&amp;"|"&amp;TEXT(AT986,"yyyymmdd"))</f>
        <v/>
      </c>
      <c r="BB986" s="66" t="str">
        <f>IF(B986="","",TEXT(AZ986,"00")&amp;"|"&amp;B986&amp;"|"&amp;TEXT(AV986,"yyyymmdd"))</f>
        <v/>
      </c>
      <c r="BC986" s="66">
        <f>IF(OR(AQ986="YES",AQ986="Yes",AQ986="Y",AQ986=1),1,0)</f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17">
        <f>SUM(H987,J987,L987,N987,P987,R987,T987,V987,X987,Z987,AB987,AD987,AF987,AH987,AJ987,AL987,AN987)</f>
        <v>0</v>
      </c>
      <c r="AT987" s="67" t="str">
        <f>IF(C987="","",DATE(YEAR(C987),MONTH(C987),1))</f>
        <v/>
      </c>
      <c r="AU987" s="66" t="str">
        <f>IF(AT987="","",TEXT(AT987,"mmmm yyyy"))</f>
        <v/>
      </c>
      <c r="AV987" s="67" t="str">
        <f>IF(C987="","",C987-WEEKDAY(C987,2)+1)</f>
        <v/>
      </c>
      <c r="AW987" s="67" t="str">
        <f>IF(AV987="","",AV987+6)</f>
        <v/>
      </c>
      <c r="AX987" s="66" t="str">
        <f>IF(AV987="","",TEXT(AV987,"dd/mm/yyyy")&amp;" - "&amp;TEXT(AW987,"dd/mm/yyyy"))</f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>IF(B987="","",TEXT(AY987,"00")&amp;"|"&amp;B987&amp;"|"&amp;TEXT(AT987,"yyyymmdd"))</f>
        <v/>
      </c>
      <c r="BB987" s="66" t="str">
        <f>IF(B987="","",TEXT(AZ987,"00")&amp;"|"&amp;B987&amp;"|"&amp;TEXT(AV987,"yyyymmdd"))</f>
        <v/>
      </c>
      <c r="BC987" s="66">
        <f>IF(OR(AQ987="YES",AQ987="Yes",AQ987="Y",AQ987=1),1,0)</f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17">
        <f>SUM(H988,J988,L988,N988,P988,R988,T988,V988,X988,Z988,AB988,AD988,AF988,AH988,AJ988,AL988,AN988)</f>
        <v>0</v>
      </c>
      <c r="AT988" s="67" t="str">
        <f>IF(C988="","",DATE(YEAR(C988),MONTH(C988),1))</f>
        <v/>
      </c>
      <c r="AU988" s="66" t="str">
        <f>IF(AT988="","",TEXT(AT988,"mmmm yyyy"))</f>
        <v/>
      </c>
      <c r="AV988" s="67" t="str">
        <f>IF(C988="","",C988-WEEKDAY(C988,2)+1)</f>
        <v/>
      </c>
      <c r="AW988" s="67" t="str">
        <f>IF(AV988="","",AV988+6)</f>
        <v/>
      </c>
      <c r="AX988" s="66" t="str">
        <f>IF(AV988="","",TEXT(AV988,"dd/mm/yyyy")&amp;" - "&amp;TEXT(AW988,"dd/mm/yyyy"))</f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>IF(B988="","",TEXT(AY988,"00")&amp;"|"&amp;B988&amp;"|"&amp;TEXT(AT988,"yyyymmdd"))</f>
        <v/>
      </c>
      <c r="BB988" s="66" t="str">
        <f>IF(B988="","",TEXT(AZ988,"00")&amp;"|"&amp;B988&amp;"|"&amp;TEXT(AV988,"yyyymmdd"))</f>
        <v/>
      </c>
      <c r="BC988" s="66">
        <f>IF(OR(AQ988="YES",AQ988="Yes",AQ988="Y",AQ988=1),1,0)</f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17">
        <f>SUM(H989,J989,L989,N989,P989,R989,T989,V989,X989,Z989,AB989,AD989,AF989,AH989,AJ989,AL989,AN989)</f>
        <v>0</v>
      </c>
      <c r="AT989" s="67" t="str">
        <f>IF(C989="","",DATE(YEAR(C989),MONTH(C989),1))</f>
        <v/>
      </c>
      <c r="AU989" s="66" t="str">
        <f>IF(AT989="","",TEXT(AT989,"mmmm yyyy"))</f>
        <v/>
      </c>
      <c r="AV989" s="67" t="str">
        <f>IF(C989="","",C989-WEEKDAY(C989,2)+1)</f>
        <v/>
      </c>
      <c r="AW989" s="67" t="str">
        <f>IF(AV989="","",AV989+6)</f>
        <v/>
      </c>
      <c r="AX989" s="66" t="str">
        <f>IF(AV989="","",TEXT(AV989,"dd/mm/yyyy")&amp;" - "&amp;TEXT(AW989,"dd/mm/yyyy"))</f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>IF(B989="","",TEXT(AY989,"00")&amp;"|"&amp;B989&amp;"|"&amp;TEXT(AT989,"yyyymmdd"))</f>
        <v/>
      </c>
      <c r="BB989" s="66" t="str">
        <f>IF(B989="","",TEXT(AZ989,"00")&amp;"|"&amp;B989&amp;"|"&amp;TEXT(AV989,"yyyymmdd"))</f>
        <v/>
      </c>
      <c r="BC989" s="66">
        <f>IF(OR(AQ989="YES",AQ989="Yes",AQ989="Y",AQ989=1),1,0)</f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17">
        <f>SUM(H990,J990,L990,N990,P990,R990,T990,V990,X990,Z990,AB990,AD990,AF990,AH990,AJ990,AL990,AN990)</f>
        <v>0</v>
      </c>
      <c r="AT990" s="67" t="str">
        <f>IF(C990="","",DATE(YEAR(C990),MONTH(C990),1))</f>
        <v/>
      </c>
      <c r="AU990" s="66" t="str">
        <f>IF(AT990="","",TEXT(AT990,"mmmm yyyy"))</f>
        <v/>
      </c>
      <c r="AV990" s="67" t="str">
        <f>IF(C990="","",C990-WEEKDAY(C990,2)+1)</f>
        <v/>
      </c>
      <c r="AW990" s="67" t="str">
        <f>IF(AV990="","",AV990+6)</f>
        <v/>
      </c>
      <c r="AX990" s="66" t="str">
        <f>IF(AV990="","",TEXT(AV990,"dd/mm/yyyy")&amp;" - "&amp;TEXT(AW990,"dd/mm/yyyy"))</f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>IF(B990="","",TEXT(AY990,"00")&amp;"|"&amp;B990&amp;"|"&amp;TEXT(AT990,"yyyymmdd"))</f>
        <v/>
      </c>
      <c r="BB990" s="66" t="str">
        <f>IF(B990="","",TEXT(AZ990,"00")&amp;"|"&amp;B990&amp;"|"&amp;TEXT(AV990,"yyyymmdd"))</f>
        <v/>
      </c>
      <c r="BC990" s="66">
        <f>IF(OR(AQ990="YES",AQ990="Yes",AQ990="Y",AQ990=1),1,0)</f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17">
        <f>SUM(H991,J991,L991,N991,P991,R991,T991,V991,X991,Z991,AB991,AD991,AF991,AH991,AJ991,AL991,AN991)</f>
        <v>0</v>
      </c>
      <c r="AT991" s="67" t="str">
        <f>IF(C991="","",DATE(YEAR(C991),MONTH(C991),1))</f>
        <v/>
      </c>
      <c r="AU991" s="66" t="str">
        <f>IF(AT991="","",TEXT(AT991,"mmmm yyyy"))</f>
        <v/>
      </c>
      <c r="AV991" s="67" t="str">
        <f>IF(C991="","",C991-WEEKDAY(C991,2)+1)</f>
        <v/>
      </c>
      <c r="AW991" s="67" t="str">
        <f>IF(AV991="","",AV991+6)</f>
        <v/>
      </c>
      <c r="AX991" s="66" t="str">
        <f>IF(AV991="","",TEXT(AV991,"dd/mm/yyyy")&amp;" - "&amp;TEXT(AW991,"dd/mm/yyyy"))</f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>IF(B991="","",TEXT(AY991,"00")&amp;"|"&amp;B991&amp;"|"&amp;TEXT(AT991,"yyyymmdd"))</f>
        <v/>
      </c>
      <c r="BB991" s="66" t="str">
        <f>IF(B991="","",TEXT(AZ991,"00")&amp;"|"&amp;B991&amp;"|"&amp;TEXT(AV991,"yyyymmdd"))</f>
        <v/>
      </c>
      <c r="BC991" s="66">
        <f>IF(OR(AQ991="YES",AQ991="Yes",AQ991="Y",AQ991=1),1,0)</f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17">
        <f>SUM(H992,J992,L992,N992,P992,R992,T992,V992,X992,Z992,AB992,AD992,AF992,AH992,AJ992,AL992,AN992)</f>
        <v>0</v>
      </c>
      <c r="AT992" s="67" t="str">
        <f>IF(C992="","",DATE(YEAR(C992),MONTH(C992),1))</f>
        <v/>
      </c>
      <c r="AU992" s="66" t="str">
        <f>IF(AT992="","",TEXT(AT992,"mmmm yyyy"))</f>
        <v/>
      </c>
      <c r="AV992" s="67" t="str">
        <f>IF(C992="","",C992-WEEKDAY(C992,2)+1)</f>
        <v/>
      </c>
      <c r="AW992" s="67" t="str">
        <f>IF(AV992="","",AV992+6)</f>
        <v/>
      </c>
      <c r="AX992" s="66" t="str">
        <f>IF(AV992="","",TEXT(AV992,"dd/mm/yyyy")&amp;" - "&amp;TEXT(AW992,"dd/mm/yyyy"))</f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>IF(B992="","",TEXT(AY992,"00")&amp;"|"&amp;B992&amp;"|"&amp;TEXT(AT992,"yyyymmdd"))</f>
        <v/>
      </c>
      <c r="BB992" s="66" t="str">
        <f>IF(B992="","",TEXT(AZ992,"00")&amp;"|"&amp;B992&amp;"|"&amp;TEXT(AV992,"yyyymmdd"))</f>
        <v/>
      </c>
      <c r="BC992" s="66">
        <f>IF(OR(AQ992="YES",AQ992="Yes",AQ992="Y",AQ992=1),1,0)</f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17">
        <f>SUM(H993,J993,L993,N993,P993,R993,T993,V993,X993,Z993,AB993,AD993,AF993,AH993,AJ993,AL993,AN993)</f>
        <v>0</v>
      </c>
      <c r="AT993" s="67" t="str">
        <f>IF(C993="","",DATE(YEAR(C993),MONTH(C993),1))</f>
        <v/>
      </c>
      <c r="AU993" s="66" t="str">
        <f>IF(AT993="","",TEXT(AT993,"mmmm yyyy"))</f>
        <v/>
      </c>
      <c r="AV993" s="67" t="str">
        <f>IF(C993="","",C993-WEEKDAY(C993,2)+1)</f>
        <v/>
      </c>
      <c r="AW993" s="67" t="str">
        <f>IF(AV993="","",AV993+6)</f>
        <v/>
      </c>
      <c r="AX993" s="66" t="str">
        <f>IF(AV993="","",TEXT(AV993,"dd/mm/yyyy")&amp;" - "&amp;TEXT(AW993,"dd/mm/yyyy"))</f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>IF(B993="","",TEXT(AY993,"00")&amp;"|"&amp;B993&amp;"|"&amp;TEXT(AT993,"yyyymmdd"))</f>
        <v/>
      </c>
      <c r="BB993" s="66" t="str">
        <f>IF(B993="","",TEXT(AZ993,"00")&amp;"|"&amp;B993&amp;"|"&amp;TEXT(AV993,"yyyymmdd"))</f>
        <v/>
      </c>
      <c r="BC993" s="66">
        <f>IF(OR(AQ993="YES",AQ993="Yes",AQ993="Y",AQ993=1),1,0)</f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17">
        <f>SUM(H994,J994,L994,N994,P994,R994,T994,V994,X994,Z994,AB994,AD994,AF994,AH994,AJ994,AL994,AN994)</f>
        <v>0</v>
      </c>
      <c r="AT994" s="67" t="str">
        <f>IF(C994="","",DATE(YEAR(C994),MONTH(C994),1))</f>
        <v/>
      </c>
      <c r="AU994" s="66" t="str">
        <f>IF(AT994="","",TEXT(AT994,"mmmm yyyy"))</f>
        <v/>
      </c>
      <c r="AV994" s="67" t="str">
        <f>IF(C994="","",C994-WEEKDAY(C994,2)+1)</f>
        <v/>
      </c>
      <c r="AW994" s="67" t="str">
        <f>IF(AV994="","",AV994+6)</f>
        <v/>
      </c>
      <c r="AX994" s="66" t="str">
        <f>IF(AV994="","",TEXT(AV994,"dd/mm/yyyy")&amp;" - "&amp;TEXT(AW994,"dd/mm/yyyy"))</f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>IF(B994="","",TEXT(AY994,"00")&amp;"|"&amp;B994&amp;"|"&amp;TEXT(AT994,"yyyymmdd"))</f>
        <v/>
      </c>
      <c r="BB994" s="66" t="str">
        <f>IF(B994="","",TEXT(AZ994,"00")&amp;"|"&amp;B994&amp;"|"&amp;TEXT(AV994,"yyyymmdd"))</f>
        <v/>
      </c>
      <c r="BC994" s="66">
        <f>IF(OR(AQ994="YES",AQ994="Yes",AQ994="Y",AQ994=1),1,0)</f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17">
        <f>SUM(H995,J995,L995,N995,P995,R995,T995,V995,X995,Z995,AB995,AD995,AF995,AH995,AJ995,AL995,AN995)</f>
        <v>0</v>
      </c>
      <c r="AT995" s="67" t="str">
        <f>IF(C995="","",DATE(YEAR(C995),MONTH(C995),1))</f>
        <v/>
      </c>
      <c r="AU995" s="66" t="str">
        <f>IF(AT995="","",TEXT(AT995,"mmmm yyyy"))</f>
        <v/>
      </c>
      <c r="AV995" s="67" t="str">
        <f>IF(C995="","",C995-WEEKDAY(C995,2)+1)</f>
        <v/>
      </c>
      <c r="AW995" s="67" t="str">
        <f>IF(AV995="","",AV995+6)</f>
        <v/>
      </c>
      <c r="AX995" s="66" t="str">
        <f>IF(AV995="","",TEXT(AV995,"dd/mm/yyyy")&amp;" - "&amp;TEXT(AW995,"dd/mm/yyyy"))</f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>IF(B995="","",TEXT(AY995,"00")&amp;"|"&amp;B995&amp;"|"&amp;TEXT(AT995,"yyyymmdd"))</f>
        <v/>
      </c>
      <c r="BB995" s="66" t="str">
        <f>IF(B995="","",TEXT(AZ995,"00")&amp;"|"&amp;B995&amp;"|"&amp;TEXT(AV995,"yyyymmdd"))</f>
        <v/>
      </c>
      <c r="BC995" s="66">
        <f>IF(OR(AQ995="YES",AQ995="Yes",AQ995="Y",AQ995=1),1,0)</f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17">
        <f>SUM(H996,J996,L996,N996,P996,R996,T996,V996,X996,Z996,AB996,AD996,AF996,AH996,AJ996,AL996,AN996)</f>
        <v>0</v>
      </c>
      <c r="AT996" s="67" t="str">
        <f>IF(C996="","",DATE(YEAR(C996),MONTH(C996),1))</f>
        <v/>
      </c>
      <c r="AU996" s="66" t="str">
        <f>IF(AT996="","",TEXT(AT996,"mmmm yyyy"))</f>
        <v/>
      </c>
      <c r="AV996" s="67" t="str">
        <f>IF(C996="","",C996-WEEKDAY(C996,2)+1)</f>
        <v/>
      </c>
      <c r="AW996" s="67" t="str">
        <f>IF(AV996="","",AV996+6)</f>
        <v/>
      </c>
      <c r="AX996" s="66" t="str">
        <f>IF(AV996="","",TEXT(AV996,"dd/mm/yyyy")&amp;" - "&amp;TEXT(AW996,"dd/mm/yyyy"))</f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>IF(B996="","",TEXT(AY996,"00")&amp;"|"&amp;B996&amp;"|"&amp;TEXT(AT996,"yyyymmdd"))</f>
        <v/>
      </c>
      <c r="BB996" s="66" t="str">
        <f>IF(B996="","",TEXT(AZ996,"00")&amp;"|"&amp;B996&amp;"|"&amp;TEXT(AV996,"yyyymmdd"))</f>
        <v/>
      </c>
      <c r="BC996" s="66">
        <f>IF(OR(AQ996="YES",AQ996="Yes",AQ996="Y",AQ996=1),1,0)</f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17">
        <f>SUM(H997,J997,L997,N997,P997,R997,T997,V997,X997,Z997,AB997,AD997,AF997,AH997,AJ997,AL997,AN997)</f>
        <v>0</v>
      </c>
      <c r="AT997" s="67" t="str">
        <f>IF(C997="","",DATE(YEAR(C997),MONTH(C997),1))</f>
        <v/>
      </c>
      <c r="AU997" s="66" t="str">
        <f>IF(AT997="","",TEXT(AT997,"mmmm yyyy"))</f>
        <v/>
      </c>
      <c r="AV997" s="67" t="str">
        <f>IF(C997="","",C997-WEEKDAY(C997,2)+1)</f>
        <v/>
      </c>
      <c r="AW997" s="67" t="str">
        <f>IF(AV997="","",AV997+6)</f>
        <v/>
      </c>
      <c r="AX997" s="66" t="str">
        <f>IF(AV997="","",TEXT(AV997,"dd/mm/yyyy")&amp;" - "&amp;TEXT(AW997,"dd/mm/yyyy"))</f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>IF(B997="","",TEXT(AY997,"00")&amp;"|"&amp;B997&amp;"|"&amp;TEXT(AT997,"yyyymmdd"))</f>
        <v/>
      </c>
      <c r="BB997" s="66" t="str">
        <f>IF(B997="","",TEXT(AZ997,"00")&amp;"|"&amp;B997&amp;"|"&amp;TEXT(AV997,"yyyymmdd"))</f>
        <v/>
      </c>
      <c r="BC997" s="66">
        <f>IF(OR(AQ997="YES",AQ997="Yes",AQ997="Y",AQ997=1),1,0)</f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17">
        <f>SUM(H998,J998,L998,N998,P998,R998,T998,V998,X998,Z998,AB998,AD998,AF998,AH998,AJ998,AL998,AN998)</f>
        <v>0</v>
      </c>
      <c r="AT998" s="67" t="str">
        <f>IF(C998="","",DATE(YEAR(C998),MONTH(C998),1))</f>
        <v/>
      </c>
      <c r="AU998" s="66" t="str">
        <f>IF(AT998="","",TEXT(AT998,"mmmm yyyy"))</f>
        <v/>
      </c>
      <c r="AV998" s="67" t="str">
        <f>IF(C998="","",C998-WEEKDAY(C998,2)+1)</f>
        <v/>
      </c>
      <c r="AW998" s="67" t="str">
        <f>IF(AV998="","",AV998+6)</f>
        <v/>
      </c>
      <c r="AX998" s="66" t="str">
        <f>IF(AV998="","",TEXT(AV998,"dd/mm/yyyy")&amp;" - "&amp;TEXT(AW998,"dd/mm/yyyy"))</f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>IF(B998="","",TEXT(AY998,"00")&amp;"|"&amp;B998&amp;"|"&amp;TEXT(AT998,"yyyymmdd"))</f>
        <v/>
      </c>
      <c r="BB998" s="66" t="str">
        <f>IF(B998="","",TEXT(AZ998,"00")&amp;"|"&amp;B998&amp;"|"&amp;TEXT(AV998,"yyyymmdd"))</f>
        <v/>
      </c>
      <c r="BC998" s="66">
        <f>IF(OR(AQ998="YES",AQ998="Yes",AQ998="Y",AQ998=1),1,0)</f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17">
        <f>SUM(H999,J999,L999,N999,P999,R999,T999,V999,X999,Z999,AB999,AD999,AF999,AH999,AJ999,AL999,AN999)</f>
        <v>0</v>
      </c>
      <c r="AT999" s="67" t="str">
        <f>IF(C999="","",DATE(YEAR(C999),MONTH(C999),1))</f>
        <v/>
      </c>
      <c r="AU999" s="66" t="str">
        <f>IF(AT999="","",TEXT(AT999,"mmmm yyyy"))</f>
        <v/>
      </c>
      <c r="AV999" s="67" t="str">
        <f>IF(C999="","",C999-WEEKDAY(C999,2)+1)</f>
        <v/>
      </c>
      <c r="AW999" s="67" t="str">
        <f>IF(AV999="","",AV999+6)</f>
        <v/>
      </c>
      <c r="AX999" s="66" t="str">
        <f>IF(AV999="","",TEXT(AV999,"dd/mm/yyyy")&amp;" - "&amp;TEXT(AW999,"dd/mm/yyyy"))</f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>IF(B999="","",TEXT(AY999,"00")&amp;"|"&amp;B999&amp;"|"&amp;TEXT(AT999,"yyyymmdd"))</f>
        <v/>
      </c>
      <c r="BB999" s="66" t="str">
        <f>IF(B999="","",TEXT(AZ999,"00")&amp;"|"&amp;B999&amp;"|"&amp;TEXT(AV999,"yyyymmdd"))</f>
        <v/>
      </c>
      <c r="BC999" s="66">
        <f>IF(OR(AQ999="YES",AQ999="Yes",AQ999="Y",AQ999=1),1,0)</f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17">
        <f>SUM(H1000,J1000,L1000,N1000,P1000,R1000,T1000,V1000,X1000,Z1000,AB1000,AD1000,AF1000,AH1000,AJ1000,AL1000,AN1000)</f>
        <v>0</v>
      </c>
      <c r="AT1000" s="67" t="str">
        <f>IF(C1000="","",DATE(YEAR(C1000),MONTH(C1000),1))</f>
        <v/>
      </c>
      <c r="AU1000" s="66" t="str">
        <f>IF(AT1000="","",TEXT(AT1000,"mmmm yyyy"))</f>
        <v/>
      </c>
      <c r="AV1000" s="67" t="str">
        <f>IF(C1000="","",C1000-WEEKDAY(C1000,2)+1)</f>
        <v/>
      </c>
      <c r="AW1000" s="67" t="str">
        <f>IF(AV1000="","",AV1000+6)</f>
        <v/>
      </c>
      <c r="AX1000" s="66" t="str">
        <f>IF(AV1000="","",TEXT(AV1000,"dd/mm/yyyy")&amp;" - "&amp;TEXT(AW1000,"dd/mm/yyyy"))</f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>IF(B1000="","",TEXT(AY1000,"00")&amp;"|"&amp;B1000&amp;"|"&amp;TEXT(AT1000,"yyyymmdd"))</f>
        <v/>
      </c>
      <c r="BB1000" s="66" t="str">
        <f>IF(B1000="","",TEXT(AZ1000,"00")&amp;"|"&amp;B1000&amp;"|"&amp;TEXT(AV1000,"yyyymmdd"))</f>
        <v/>
      </c>
      <c r="BC1000" s="66">
        <f>IF(OR(AQ1000="YES",AQ1000="Yes",AQ1000="Y",AQ1000=1),1,0)</f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17">
        <f>SUM(H1001,J1001,L1001,N1001,P1001,R1001,T1001,V1001,X1001,Z1001,AB1001,AD1001,AF1001,AH1001,AJ1001,AL1001,AN1001)</f>
        <v>0</v>
      </c>
      <c r="AT1001" s="67" t="str">
        <f>IF(C1001="","",DATE(YEAR(C1001),MONTH(C1001),1))</f>
        <v/>
      </c>
      <c r="AU1001" s="66" t="str">
        <f>IF(AT1001="","",TEXT(AT1001,"mmmm yyyy"))</f>
        <v/>
      </c>
      <c r="AV1001" s="67" t="str">
        <f>IF(C1001="","",C1001-WEEKDAY(C1001,2)+1)</f>
        <v/>
      </c>
      <c r="AW1001" s="67" t="str">
        <f>IF(AV1001="","",AV1001+6)</f>
        <v/>
      </c>
      <c r="AX1001" s="66" t="str">
        <f>IF(AV1001="","",TEXT(AV1001,"dd/mm/yyyy")&amp;" - "&amp;TEXT(AW1001,"dd/mm/yyyy"))</f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>IF(B1001="","",TEXT(AY1001,"00")&amp;"|"&amp;B1001&amp;"|"&amp;TEXT(AT1001,"yyyymmdd"))</f>
        <v/>
      </c>
      <c r="BB1001" s="66" t="str">
        <f>IF(B1001="","",TEXT(AZ1001,"00")&amp;"|"&amp;B1001&amp;"|"&amp;TEXT(AV1001,"yyyymmdd"))</f>
        <v/>
      </c>
      <c r="BC1001" s="66">
        <f>IF(OR(AQ1001="YES",AQ1001="Yes",AQ1001="Y",AQ1001=1),1,0)</f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17">
        <f>SUM(H1002,J1002,L1002,N1002,P1002,R1002,T1002,V1002,X1002,Z1002,AB1002,AD1002,AF1002,AH1002,AJ1002,AL1002,AN1002)</f>
        <v>0</v>
      </c>
      <c r="AT1002" s="67" t="str">
        <f>IF(C1002="","",DATE(YEAR(C1002),MONTH(C1002),1))</f>
        <v/>
      </c>
      <c r="AU1002" s="66" t="str">
        <f>IF(AT1002="","",TEXT(AT1002,"mmmm yyyy"))</f>
        <v/>
      </c>
      <c r="AV1002" s="67" t="str">
        <f>IF(C1002="","",C1002-WEEKDAY(C1002,2)+1)</f>
        <v/>
      </c>
      <c r="AW1002" s="67" t="str">
        <f>IF(AV1002="","",AV1002+6)</f>
        <v/>
      </c>
      <c r="AX1002" s="66" t="str">
        <f>IF(AV1002="","",TEXT(AV1002,"dd/mm/yyyy")&amp;" - "&amp;TEXT(AW1002,"dd/mm/yyyy"))</f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>IF(B1002="","",TEXT(AY1002,"00")&amp;"|"&amp;B1002&amp;"|"&amp;TEXT(AT1002,"yyyymmdd"))</f>
        <v/>
      </c>
      <c r="BB1002" s="66" t="str">
        <f>IF(B1002="","",TEXT(AZ1002,"00")&amp;"|"&amp;B1002&amp;"|"&amp;TEXT(AV1002,"yyyymmdd"))</f>
        <v/>
      </c>
      <c r="BC1002" s="66">
        <f>IF(OR(AQ1002="YES",AQ1002="Yes",AQ1002="Y",AQ1002=1),1,0)</f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17">
        <f>SUM(H1003,J1003,L1003,N1003,P1003,R1003,T1003,V1003,X1003,Z1003,AB1003,AD1003,AF1003,AH1003,AJ1003,AL1003,AN1003)</f>
        <v>0</v>
      </c>
      <c r="AT1003" s="67" t="str">
        <f>IF(C1003="","",DATE(YEAR(C1003),MONTH(C1003),1))</f>
        <v/>
      </c>
      <c r="AU1003" s="66" t="str">
        <f>IF(AT1003="","",TEXT(AT1003,"mmmm yyyy"))</f>
        <v/>
      </c>
      <c r="AV1003" s="67" t="str">
        <f>IF(C1003="","",C1003-WEEKDAY(C1003,2)+1)</f>
        <v/>
      </c>
      <c r="AW1003" s="67" t="str">
        <f>IF(AV1003="","",AV1003+6)</f>
        <v/>
      </c>
      <c r="AX1003" s="66" t="str">
        <f>IF(AV1003="","",TEXT(AV1003,"dd/mm/yyyy")&amp;" - "&amp;TEXT(AW1003,"dd/mm/yyyy"))</f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>IF(B1003="","",TEXT(AY1003,"00")&amp;"|"&amp;B1003&amp;"|"&amp;TEXT(AT1003,"yyyymmdd"))</f>
        <v/>
      </c>
      <c r="BB1003" s="66" t="str">
        <f>IF(B1003="","",TEXT(AZ1003,"00")&amp;"|"&amp;B1003&amp;"|"&amp;TEXT(AV1003,"yyyymmdd"))</f>
        <v/>
      </c>
      <c r="BC1003" s="66">
        <f>IF(OR(AQ1003="YES",AQ1003="Yes",AQ1003="Y",AQ1003=1),1,0)</f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17">
        <f>SUM(H1004,J1004,L1004,N1004,P1004,R1004,T1004,V1004,X1004,Z1004,AB1004,AD1004,AF1004,AH1004,AJ1004,AL1004,AN1004)</f>
        <v>0</v>
      </c>
      <c r="AT1004" s="67" t="str">
        <f>IF(C1004="","",DATE(YEAR(C1004),MONTH(C1004),1))</f>
        <v/>
      </c>
      <c r="AU1004" s="66" t="str">
        <f>IF(AT1004="","",TEXT(AT1004,"mmmm yyyy"))</f>
        <v/>
      </c>
      <c r="AV1004" s="67" t="str">
        <f>IF(C1004="","",C1004-WEEKDAY(C1004,2)+1)</f>
        <v/>
      </c>
      <c r="AW1004" s="67" t="str">
        <f>IF(AV1004="","",AV1004+6)</f>
        <v/>
      </c>
      <c r="AX1004" s="66" t="str">
        <f>IF(AV1004="","",TEXT(AV1004,"dd/mm/yyyy")&amp;" - "&amp;TEXT(AW1004,"dd/mm/yyyy"))</f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>IF(B1004="","",TEXT(AY1004,"00")&amp;"|"&amp;B1004&amp;"|"&amp;TEXT(AT1004,"yyyymmdd"))</f>
        <v/>
      </c>
      <c r="BB1004" s="66" t="str">
        <f>IF(B1004="","",TEXT(AZ1004,"00")&amp;"|"&amp;B1004&amp;"|"&amp;TEXT(AV1004,"yyyymmdd"))</f>
        <v/>
      </c>
      <c r="BC1004" s="66">
        <f>IF(OR(AQ1004="YES",AQ1004="Yes",AQ1004="Y",AQ1004=1),1,0)</f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17">
        <f>SUM(H1005,J1005,L1005,N1005,P1005,R1005,T1005,V1005,X1005,Z1005,AB1005,AD1005,AF1005,AH1005,AJ1005,AL1005,AN1005)</f>
        <v>0</v>
      </c>
      <c r="AT1005" s="67" t="str">
        <f>IF(C1005="","",DATE(YEAR(C1005),MONTH(C1005),1))</f>
        <v/>
      </c>
      <c r="AU1005" s="66" t="str">
        <f>IF(AT1005="","",TEXT(AT1005,"mmmm yyyy"))</f>
        <v/>
      </c>
      <c r="AV1005" s="67" t="str">
        <f>IF(C1005="","",C1005-WEEKDAY(C1005,2)+1)</f>
        <v/>
      </c>
      <c r="AW1005" s="67" t="str">
        <f>IF(AV1005="","",AV1005+6)</f>
        <v/>
      </c>
      <c r="AX1005" s="66" t="str">
        <f>IF(AV1005="","",TEXT(AV1005,"dd/mm/yyyy")&amp;" - "&amp;TEXT(AW1005,"dd/mm/yyyy"))</f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>IF(B1005="","",TEXT(AY1005,"00")&amp;"|"&amp;B1005&amp;"|"&amp;TEXT(AT1005,"yyyymmdd"))</f>
        <v/>
      </c>
      <c r="BB1005" s="66" t="str">
        <f>IF(B1005="","",TEXT(AZ1005,"00")&amp;"|"&amp;B1005&amp;"|"&amp;TEXT(AV1005,"yyyymmdd"))</f>
        <v/>
      </c>
      <c r="BC1005" s="66">
        <f>IF(OR(AQ1005="YES",AQ1005="Yes",AQ1005="Y",AQ1005=1),1,0)</f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17">
        <f>SUM(H1006,J1006,L1006,N1006,P1006,R1006,T1006,V1006,X1006,Z1006,AB1006,AD1006,AF1006,AH1006,AJ1006,AL1006,AN1006)</f>
        <v>0</v>
      </c>
      <c r="AT1006" s="67" t="str">
        <f>IF(C1006="","",DATE(YEAR(C1006),MONTH(C1006),1))</f>
        <v/>
      </c>
      <c r="AU1006" s="66" t="str">
        <f>IF(AT1006="","",TEXT(AT1006,"mmmm yyyy"))</f>
        <v/>
      </c>
      <c r="AV1006" s="67" t="str">
        <f>IF(C1006="","",C1006-WEEKDAY(C1006,2)+1)</f>
        <v/>
      </c>
      <c r="AW1006" s="67" t="str">
        <f>IF(AV1006="","",AV1006+6)</f>
        <v/>
      </c>
      <c r="AX1006" s="66" t="str">
        <f>IF(AV1006="","",TEXT(AV1006,"dd/mm/yyyy")&amp;" - "&amp;TEXT(AW1006,"dd/mm/yyyy"))</f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>IF(B1006="","",TEXT(AY1006,"00")&amp;"|"&amp;B1006&amp;"|"&amp;TEXT(AT1006,"yyyymmdd"))</f>
        <v/>
      </c>
      <c r="BB1006" s="66" t="str">
        <f>IF(B1006="","",TEXT(AZ1006,"00")&amp;"|"&amp;B1006&amp;"|"&amp;TEXT(AV1006,"yyyymmdd"))</f>
        <v/>
      </c>
      <c r="BC1006" s="66">
        <f>IF(OR(AQ1006="YES",AQ1006="Yes",AQ1006="Y",AQ1006=1),1,0)</f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17">
        <f>SUM(H1007,J1007,L1007,N1007,P1007,R1007,T1007,V1007,X1007,Z1007,AB1007,AD1007,AF1007,AH1007,AJ1007,AL1007,AN1007)</f>
        <v>0</v>
      </c>
      <c r="AT1007" s="67" t="str">
        <f>IF(C1007="","",DATE(YEAR(C1007),MONTH(C1007),1))</f>
        <v/>
      </c>
      <c r="AU1007" s="66" t="str">
        <f>IF(AT1007="","",TEXT(AT1007,"mmmm yyyy"))</f>
        <v/>
      </c>
      <c r="AV1007" s="67" t="str">
        <f>IF(C1007="","",C1007-WEEKDAY(C1007,2)+1)</f>
        <v/>
      </c>
      <c r="AW1007" s="67" t="str">
        <f>IF(AV1007="","",AV1007+6)</f>
        <v/>
      </c>
      <c r="AX1007" s="66" t="str">
        <f>IF(AV1007="","",TEXT(AV1007,"dd/mm/yyyy")&amp;" - "&amp;TEXT(AW1007,"dd/mm/yyyy"))</f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>IF(B1007="","",TEXT(AY1007,"00")&amp;"|"&amp;B1007&amp;"|"&amp;TEXT(AT1007,"yyyymmdd"))</f>
        <v/>
      </c>
      <c r="BB1007" s="66" t="str">
        <f>IF(B1007="","",TEXT(AZ1007,"00")&amp;"|"&amp;B1007&amp;"|"&amp;TEXT(AV1007,"yyyymmdd"))</f>
        <v/>
      </c>
      <c r="BC1007" s="66">
        <f>IF(OR(AQ1007="YES",AQ1007="Yes",AQ1007="Y",AQ1007=1),1,0)</f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17">
        <f>SUM(H1008,J1008,L1008,N1008,P1008,R1008,T1008,V1008,X1008,Z1008,AB1008,AD1008,AF1008,AH1008,AJ1008,AL1008,AN1008)</f>
        <v>0</v>
      </c>
      <c r="AT1008" s="67" t="str">
        <f>IF(C1008="","",DATE(YEAR(C1008),MONTH(C1008),1))</f>
        <v/>
      </c>
      <c r="AU1008" s="66" t="str">
        <f>IF(AT1008="","",TEXT(AT1008,"mmmm yyyy"))</f>
        <v/>
      </c>
      <c r="AV1008" s="67" t="str">
        <f>IF(C1008="","",C1008-WEEKDAY(C1008,2)+1)</f>
        <v/>
      </c>
      <c r="AW1008" s="67" t="str">
        <f>IF(AV1008="","",AV1008+6)</f>
        <v/>
      </c>
      <c r="AX1008" s="66" t="str">
        <f>IF(AV1008="","",TEXT(AV1008,"dd/mm/yyyy")&amp;" - "&amp;TEXT(AW1008,"dd/mm/yyyy"))</f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>IF(B1008="","",TEXT(AY1008,"00")&amp;"|"&amp;B1008&amp;"|"&amp;TEXT(AT1008,"yyyymmdd"))</f>
        <v/>
      </c>
      <c r="BB1008" s="66" t="str">
        <f>IF(B1008="","",TEXT(AZ1008,"00")&amp;"|"&amp;B1008&amp;"|"&amp;TEXT(AV1008,"yyyymmdd"))</f>
        <v/>
      </c>
      <c r="BC1008" s="66">
        <f>IF(OR(AQ1008="YES",AQ1008="Yes",AQ1008="Y",AQ1008=1),1,0)</f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17">
        <f>SUM(H1009,J1009,L1009,N1009,P1009,R1009,T1009,V1009,X1009,Z1009,AB1009,AD1009,AF1009,AH1009,AJ1009,AL1009,AN1009)</f>
        <v>0</v>
      </c>
      <c r="AT1009" s="67" t="str">
        <f>IF(C1009="","",DATE(YEAR(C1009),MONTH(C1009),1))</f>
        <v/>
      </c>
      <c r="AU1009" s="66" t="str">
        <f>IF(AT1009="","",TEXT(AT1009,"mmmm yyyy"))</f>
        <v/>
      </c>
      <c r="AV1009" s="67" t="str">
        <f>IF(C1009="","",C1009-WEEKDAY(C1009,2)+1)</f>
        <v/>
      </c>
      <c r="AW1009" s="67" t="str">
        <f>IF(AV1009="","",AV1009+6)</f>
        <v/>
      </c>
      <c r="AX1009" s="66" t="str">
        <f>IF(AV1009="","",TEXT(AV1009,"dd/mm/yyyy")&amp;" - "&amp;TEXT(AW1009,"dd/mm/yyyy"))</f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>IF(B1009="","",TEXT(AY1009,"00")&amp;"|"&amp;B1009&amp;"|"&amp;TEXT(AT1009,"yyyymmdd"))</f>
        <v/>
      </c>
      <c r="BB1009" s="66" t="str">
        <f>IF(B1009="","",TEXT(AZ1009,"00")&amp;"|"&amp;B1009&amp;"|"&amp;TEXT(AV1009,"yyyymmdd"))</f>
        <v/>
      </c>
      <c r="BC1009" s="66">
        <f>IF(OR(AQ1009="YES",AQ1009="Yes",AQ1009="Y",AQ1009=1),1,0)</f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17">
        <f>SUM(H1010,J1010,L1010,N1010,P1010,R1010,T1010,V1010,X1010,Z1010,AB1010,AD1010,AF1010,AH1010,AJ1010,AL1010,AN1010)</f>
        <v>0</v>
      </c>
      <c r="AT1010" s="67" t="str">
        <f>IF(C1010="","",DATE(YEAR(C1010),MONTH(C1010),1))</f>
        <v/>
      </c>
      <c r="AU1010" s="66" t="str">
        <f>IF(AT1010="","",TEXT(AT1010,"mmmm yyyy"))</f>
        <v/>
      </c>
      <c r="AV1010" s="67" t="str">
        <f>IF(C1010="","",C1010-WEEKDAY(C1010,2)+1)</f>
        <v/>
      </c>
      <c r="AW1010" s="67" t="str">
        <f>IF(AV1010="","",AV1010+6)</f>
        <v/>
      </c>
      <c r="AX1010" s="66" t="str">
        <f>IF(AV1010="","",TEXT(AV1010,"dd/mm/yyyy")&amp;" - "&amp;TEXT(AW1010,"dd/mm/yyyy"))</f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>IF(B1010="","",TEXT(AY1010,"00")&amp;"|"&amp;B1010&amp;"|"&amp;TEXT(AT1010,"yyyymmdd"))</f>
        <v/>
      </c>
      <c r="BB1010" s="66" t="str">
        <f>IF(B1010="","",TEXT(AZ1010,"00")&amp;"|"&amp;B1010&amp;"|"&amp;TEXT(AV1010,"yyyymmdd"))</f>
        <v/>
      </c>
      <c r="BC1010" s="66">
        <f>IF(OR(AQ1010="YES",AQ1010="Yes",AQ1010="Y",AQ1010=1),1,0)</f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17">
        <f>SUM(H1011,J1011,L1011,N1011,P1011,R1011,T1011,V1011,X1011,Z1011,AB1011,AD1011,AF1011,AH1011,AJ1011,AL1011,AN1011)</f>
        <v>0</v>
      </c>
      <c r="AT1011" s="67" t="str">
        <f>IF(C1011="","",DATE(YEAR(C1011),MONTH(C1011),1))</f>
        <v/>
      </c>
      <c r="AU1011" s="66" t="str">
        <f>IF(AT1011="","",TEXT(AT1011,"mmmm yyyy"))</f>
        <v/>
      </c>
      <c r="AV1011" s="67" t="str">
        <f>IF(C1011="","",C1011-WEEKDAY(C1011,2)+1)</f>
        <v/>
      </c>
      <c r="AW1011" s="67" t="str">
        <f>IF(AV1011="","",AV1011+6)</f>
        <v/>
      </c>
      <c r="AX1011" s="66" t="str">
        <f>IF(AV1011="","",TEXT(AV1011,"dd/mm/yyyy")&amp;" - "&amp;TEXT(AW1011,"dd/mm/yyyy"))</f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>IF(B1011="","",TEXT(AY1011,"00")&amp;"|"&amp;B1011&amp;"|"&amp;TEXT(AT1011,"yyyymmdd"))</f>
        <v/>
      </c>
      <c r="BB1011" s="66" t="str">
        <f>IF(B1011="","",TEXT(AZ1011,"00")&amp;"|"&amp;B1011&amp;"|"&amp;TEXT(AV1011,"yyyymmdd"))</f>
        <v/>
      </c>
      <c r="BC1011" s="66">
        <f>IF(OR(AQ1011="YES",AQ1011="Yes",AQ1011="Y",AQ1011=1),1,0)</f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17">
        <f>SUM(H1012,J1012,L1012,N1012,P1012,R1012,T1012,V1012,X1012,Z1012,AB1012,AD1012,AF1012,AH1012,AJ1012,AL1012,AN1012)</f>
        <v>0</v>
      </c>
      <c r="AT1012" s="67" t="str">
        <f>IF(C1012="","",DATE(YEAR(C1012),MONTH(C1012),1))</f>
        <v/>
      </c>
      <c r="AU1012" s="66" t="str">
        <f>IF(AT1012="","",TEXT(AT1012,"mmmm yyyy"))</f>
        <v/>
      </c>
      <c r="AV1012" s="67" t="str">
        <f>IF(C1012="","",C1012-WEEKDAY(C1012,2)+1)</f>
        <v/>
      </c>
      <c r="AW1012" s="67" t="str">
        <f>IF(AV1012="","",AV1012+6)</f>
        <v/>
      </c>
      <c r="AX1012" s="66" t="str">
        <f>IF(AV1012="","",TEXT(AV1012,"dd/mm/yyyy")&amp;" - "&amp;TEXT(AW1012,"dd/mm/yyyy"))</f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>IF(B1012="","",TEXT(AY1012,"00")&amp;"|"&amp;B1012&amp;"|"&amp;TEXT(AT1012,"yyyymmdd"))</f>
        <v/>
      </c>
      <c r="BB1012" s="66" t="str">
        <f>IF(B1012="","",TEXT(AZ1012,"00")&amp;"|"&amp;B1012&amp;"|"&amp;TEXT(AV1012,"yyyymmdd"))</f>
        <v/>
      </c>
      <c r="BC1012" s="66">
        <f>IF(OR(AQ1012="YES",AQ1012="Yes",AQ1012="Y",AQ1012=1),1,0)</f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17">
        <f>SUM(H1013,J1013,L1013,N1013,P1013,R1013,T1013,V1013,X1013,Z1013,AB1013,AD1013,AF1013,AH1013,AJ1013,AL1013,AN1013)</f>
        <v>0</v>
      </c>
      <c r="AT1013" s="67" t="str">
        <f>IF(C1013="","",DATE(YEAR(C1013),MONTH(C1013),1))</f>
        <v/>
      </c>
      <c r="AU1013" s="66" t="str">
        <f>IF(AT1013="","",TEXT(AT1013,"mmmm yyyy"))</f>
        <v/>
      </c>
      <c r="AV1013" s="67" t="str">
        <f>IF(C1013="","",C1013-WEEKDAY(C1013,2)+1)</f>
        <v/>
      </c>
      <c r="AW1013" s="67" t="str">
        <f>IF(AV1013="","",AV1013+6)</f>
        <v/>
      </c>
      <c r="AX1013" s="66" t="str">
        <f>IF(AV1013="","",TEXT(AV1013,"dd/mm/yyyy")&amp;" - "&amp;TEXT(AW1013,"dd/mm/yyyy"))</f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>IF(B1013="","",TEXT(AY1013,"00")&amp;"|"&amp;B1013&amp;"|"&amp;TEXT(AT1013,"yyyymmdd"))</f>
        <v/>
      </c>
      <c r="BB1013" s="66" t="str">
        <f>IF(B1013="","",TEXT(AZ1013,"00")&amp;"|"&amp;B1013&amp;"|"&amp;TEXT(AV1013,"yyyymmdd"))</f>
        <v/>
      </c>
      <c r="BC1013" s="66">
        <f>IF(OR(AQ1013="YES",AQ1013="Yes",AQ1013="Y",AQ1013=1),1,0)</f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17">
        <f>SUM(H1014,J1014,L1014,N1014,P1014,R1014,T1014,V1014,X1014,Z1014,AB1014,AD1014,AF1014,AH1014,AJ1014,AL1014,AN1014)</f>
        <v>0</v>
      </c>
      <c r="AT1014" s="67" t="str">
        <f>IF(C1014="","",DATE(YEAR(C1014),MONTH(C1014),1))</f>
        <v/>
      </c>
      <c r="AU1014" s="66" t="str">
        <f>IF(AT1014="","",TEXT(AT1014,"mmmm yyyy"))</f>
        <v/>
      </c>
      <c r="AV1014" s="67" t="str">
        <f>IF(C1014="","",C1014-WEEKDAY(C1014,2)+1)</f>
        <v/>
      </c>
      <c r="AW1014" s="67" t="str">
        <f>IF(AV1014="","",AV1014+6)</f>
        <v/>
      </c>
      <c r="AX1014" s="66" t="str">
        <f>IF(AV1014="","",TEXT(AV1014,"dd/mm/yyyy")&amp;" - "&amp;TEXT(AW1014,"dd/mm/yyyy"))</f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>IF(B1014="","",TEXT(AY1014,"00")&amp;"|"&amp;B1014&amp;"|"&amp;TEXT(AT1014,"yyyymmdd"))</f>
        <v/>
      </c>
      <c r="BB1014" s="66" t="str">
        <f>IF(B1014="","",TEXT(AZ1014,"00")&amp;"|"&amp;B1014&amp;"|"&amp;TEXT(AV1014,"yyyymmdd"))</f>
        <v/>
      </c>
      <c r="BC1014" s="66">
        <f>IF(OR(AQ1014="YES",AQ1014="Yes",AQ1014="Y",AQ1014=1),1,0)</f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17">
        <f>SUM(H1015,J1015,L1015,N1015,P1015,R1015,T1015,V1015,X1015,Z1015,AB1015,AD1015,AF1015,AH1015,AJ1015,AL1015,AN1015)</f>
        <v>0</v>
      </c>
      <c r="AT1015" s="67" t="str">
        <f>IF(C1015="","",DATE(YEAR(C1015),MONTH(C1015),1))</f>
        <v/>
      </c>
      <c r="AU1015" s="66" t="str">
        <f>IF(AT1015="","",TEXT(AT1015,"mmmm yyyy"))</f>
        <v/>
      </c>
      <c r="AV1015" s="67" t="str">
        <f>IF(C1015="","",C1015-WEEKDAY(C1015,2)+1)</f>
        <v/>
      </c>
      <c r="AW1015" s="67" t="str">
        <f>IF(AV1015="","",AV1015+6)</f>
        <v/>
      </c>
      <c r="AX1015" s="66" t="str">
        <f>IF(AV1015="","",TEXT(AV1015,"dd/mm/yyyy")&amp;" - "&amp;TEXT(AW1015,"dd/mm/yyyy"))</f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>IF(B1015="","",TEXT(AY1015,"00")&amp;"|"&amp;B1015&amp;"|"&amp;TEXT(AT1015,"yyyymmdd"))</f>
        <v/>
      </c>
      <c r="BB1015" s="66" t="str">
        <f>IF(B1015="","",TEXT(AZ1015,"00")&amp;"|"&amp;B1015&amp;"|"&amp;TEXT(AV1015,"yyyymmdd"))</f>
        <v/>
      </c>
      <c r="BC1015" s="66">
        <f>IF(OR(AQ1015="YES",AQ1015="Yes",AQ1015="Y",AQ1015=1),1,0)</f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17">
        <f>SUM(H1016,J1016,L1016,N1016,P1016,R1016,T1016,V1016,X1016,Z1016,AB1016,AD1016,AF1016,AH1016,AJ1016,AL1016,AN1016)</f>
        <v>0</v>
      </c>
      <c r="AT1016" s="67" t="str">
        <f>IF(C1016="","",DATE(YEAR(C1016),MONTH(C1016),1))</f>
        <v/>
      </c>
      <c r="AU1016" s="66" t="str">
        <f>IF(AT1016="","",TEXT(AT1016,"mmmm yyyy"))</f>
        <v/>
      </c>
      <c r="AV1016" s="67" t="str">
        <f>IF(C1016="","",C1016-WEEKDAY(C1016,2)+1)</f>
        <v/>
      </c>
      <c r="AW1016" s="67" t="str">
        <f>IF(AV1016="","",AV1016+6)</f>
        <v/>
      </c>
      <c r="AX1016" s="66" t="str">
        <f>IF(AV1016="","",TEXT(AV1016,"dd/mm/yyyy")&amp;" - "&amp;TEXT(AW1016,"dd/mm/yyyy"))</f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>IF(B1016="","",TEXT(AY1016,"00")&amp;"|"&amp;B1016&amp;"|"&amp;TEXT(AT1016,"yyyymmdd"))</f>
        <v/>
      </c>
      <c r="BB1016" s="66" t="str">
        <f>IF(B1016="","",TEXT(AZ1016,"00")&amp;"|"&amp;B1016&amp;"|"&amp;TEXT(AV1016,"yyyymmdd"))</f>
        <v/>
      </c>
      <c r="BC1016" s="66">
        <f>IF(OR(AQ1016="YES",AQ1016="Yes",AQ1016="Y",AQ1016=1),1,0)</f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17">
        <f>SUM(H1017,J1017,L1017,N1017,P1017,R1017,T1017,V1017,X1017,Z1017,AB1017,AD1017,AF1017,AH1017,AJ1017,AL1017,AN1017)</f>
        <v>0</v>
      </c>
      <c r="AT1017" s="67" t="str">
        <f>IF(C1017="","",DATE(YEAR(C1017),MONTH(C1017),1))</f>
        <v/>
      </c>
      <c r="AU1017" s="66" t="str">
        <f>IF(AT1017="","",TEXT(AT1017,"mmmm yyyy"))</f>
        <v/>
      </c>
      <c r="AV1017" s="67" t="str">
        <f>IF(C1017="","",C1017-WEEKDAY(C1017,2)+1)</f>
        <v/>
      </c>
      <c r="AW1017" s="67" t="str">
        <f>IF(AV1017="","",AV1017+6)</f>
        <v/>
      </c>
      <c r="AX1017" s="66" t="str">
        <f>IF(AV1017="","",TEXT(AV1017,"dd/mm/yyyy")&amp;" - "&amp;TEXT(AW1017,"dd/mm/yyyy"))</f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>IF(B1017="","",TEXT(AY1017,"00")&amp;"|"&amp;B1017&amp;"|"&amp;TEXT(AT1017,"yyyymmdd"))</f>
        <v/>
      </c>
      <c r="BB1017" s="66" t="str">
        <f>IF(B1017="","",TEXT(AZ1017,"00")&amp;"|"&amp;B1017&amp;"|"&amp;TEXT(AV1017,"yyyymmdd"))</f>
        <v/>
      </c>
      <c r="BC1017" s="66">
        <f>IF(OR(AQ1017="YES",AQ1017="Yes",AQ1017="Y",AQ1017=1),1,0)</f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17">
        <f>SUM(H1018,J1018,L1018,N1018,P1018,R1018,T1018,V1018,X1018,Z1018,AB1018,AD1018,AF1018,AH1018,AJ1018,AL1018,AN1018)</f>
        <v>0</v>
      </c>
      <c r="AT1018" s="67" t="str">
        <f>IF(C1018="","",DATE(YEAR(C1018),MONTH(C1018),1))</f>
        <v/>
      </c>
      <c r="AU1018" s="66" t="str">
        <f>IF(AT1018="","",TEXT(AT1018,"mmmm yyyy"))</f>
        <v/>
      </c>
      <c r="AV1018" s="67" t="str">
        <f>IF(C1018="","",C1018-WEEKDAY(C1018,2)+1)</f>
        <v/>
      </c>
      <c r="AW1018" s="67" t="str">
        <f>IF(AV1018="","",AV1018+6)</f>
        <v/>
      </c>
      <c r="AX1018" s="66" t="str">
        <f>IF(AV1018="","",TEXT(AV1018,"dd/mm/yyyy")&amp;" - "&amp;TEXT(AW1018,"dd/mm/yyyy"))</f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>IF(B1018="","",TEXT(AY1018,"00")&amp;"|"&amp;B1018&amp;"|"&amp;TEXT(AT1018,"yyyymmdd"))</f>
        <v/>
      </c>
      <c r="BB1018" s="66" t="str">
        <f>IF(B1018="","",TEXT(AZ1018,"00")&amp;"|"&amp;B1018&amp;"|"&amp;TEXT(AV1018,"yyyymmdd"))</f>
        <v/>
      </c>
      <c r="BC1018" s="66">
        <f>IF(OR(AQ1018="YES",AQ1018="Yes",AQ1018="Y",AQ1018=1),1,0)</f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17">
        <f>SUM(H1019,J1019,L1019,N1019,P1019,R1019,T1019,V1019,X1019,Z1019,AB1019,AD1019,AF1019,AH1019,AJ1019,AL1019,AN1019)</f>
        <v>0</v>
      </c>
      <c r="AT1019" s="67" t="str">
        <f>IF(C1019="","",DATE(YEAR(C1019),MONTH(C1019),1))</f>
        <v/>
      </c>
      <c r="AU1019" s="66" t="str">
        <f>IF(AT1019="","",TEXT(AT1019,"mmmm yyyy"))</f>
        <v/>
      </c>
      <c r="AV1019" s="67" t="str">
        <f>IF(C1019="","",C1019-WEEKDAY(C1019,2)+1)</f>
        <v/>
      </c>
      <c r="AW1019" s="67" t="str">
        <f>IF(AV1019="","",AV1019+6)</f>
        <v/>
      </c>
      <c r="AX1019" s="66" t="str">
        <f>IF(AV1019="","",TEXT(AV1019,"dd/mm/yyyy")&amp;" - "&amp;TEXT(AW1019,"dd/mm/yyyy"))</f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>IF(B1019="","",TEXT(AY1019,"00")&amp;"|"&amp;B1019&amp;"|"&amp;TEXT(AT1019,"yyyymmdd"))</f>
        <v/>
      </c>
      <c r="BB1019" s="66" t="str">
        <f>IF(B1019="","",TEXT(AZ1019,"00")&amp;"|"&amp;B1019&amp;"|"&amp;TEXT(AV1019,"yyyymmdd"))</f>
        <v/>
      </c>
      <c r="BC1019" s="66">
        <f>IF(OR(AQ1019="YES",AQ1019="Yes",AQ1019="Y",AQ1019=1),1,0)</f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17">
        <f>SUM(H1020,J1020,L1020,N1020,P1020,R1020,T1020,V1020,X1020,Z1020,AB1020,AD1020,AF1020,AH1020,AJ1020,AL1020,AN1020)</f>
        <v>0</v>
      </c>
      <c r="AT1020" s="67" t="str">
        <f>IF(C1020="","",DATE(YEAR(C1020),MONTH(C1020),1))</f>
        <v/>
      </c>
      <c r="AU1020" s="66" t="str">
        <f>IF(AT1020="","",TEXT(AT1020,"mmmm yyyy"))</f>
        <v/>
      </c>
      <c r="AV1020" s="67" t="str">
        <f>IF(C1020="","",C1020-WEEKDAY(C1020,2)+1)</f>
        <v/>
      </c>
      <c r="AW1020" s="67" t="str">
        <f>IF(AV1020="","",AV1020+6)</f>
        <v/>
      </c>
      <c r="AX1020" s="66" t="str">
        <f>IF(AV1020="","",TEXT(AV1020,"dd/mm/yyyy")&amp;" - "&amp;TEXT(AW1020,"dd/mm/yyyy"))</f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>IF(B1020="","",TEXT(AY1020,"00")&amp;"|"&amp;B1020&amp;"|"&amp;TEXT(AT1020,"yyyymmdd"))</f>
        <v/>
      </c>
      <c r="BB1020" s="66" t="str">
        <f>IF(B1020="","",TEXT(AZ1020,"00")&amp;"|"&amp;B1020&amp;"|"&amp;TEXT(AV1020,"yyyymmdd"))</f>
        <v/>
      </c>
      <c r="BC1020" s="66">
        <f>IF(OR(AQ1020="YES",AQ1020="Yes",AQ1020="Y",AQ1020=1),1,0)</f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17">
        <f>SUM(H1021,J1021,L1021,N1021,P1021,R1021,T1021,V1021,X1021,Z1021,AB1021,AD1021,AF1021,AH1021,AJ1021,AL1021,AN1021)</f>
        <v>0</v>
      </c>
      <c r="AT1021" s="67" t="str">
        <f>IF(C1021="","",DATE(YEAR(C1021),MONTH(C1021),1))</f>
        <v/>
      </c>
      <c r="AU1021" s="66" t="str">
        <f>IF(AT1021="","",TEXT(AT1021,"mmmm yyyy"))</f>
        <v/>
      </c>
      <c r="AV1021" s="67" t="str">
        <f>IF(C1021="","",C1021-WEEKDAY(C1021,2)+1)</f>
        <v/>
      </c>
      <c r="AW1021" s="67" t="str">
        <f>IF(AV1021="","",AV1021+6)</f>
        <v/>
      </c>
      <c r="AX1021" s="66" t="str">
        <f>IF(AV1021="","",TEXT(AV1021,"dd/mm/yyyy")&amp;" - "&amp;TEXT(AW1021,"dd/mm/yyyy"))</f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>IF(B1021="","",TEXT(AY1021,"00")&amp;"|"&amp;B1021&amp;"|"&amp;TEXT(AT1021,"yyyymmdd"))</f>
        <v/>
      </c>
      <c r="BB1021" s="66" t="str">
        <f>IF(B1021="","",TEXT(AZ1021,"00")&amp;"|"&amp;B1021&amp;"|"&amp;TEXT(AV1021,"yyyymmdd"))</f>
        <v/>
      </c>
      <c r="BC1021" s="66">
        <f>IF(OR(AQ1021="YES",AQ1021="Yes",AQ1021="Y",AQ1021=1),1,0)</f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17">
        <f>SUM(H1022,J1022,L1022,N1022,P1022,R1022,T1022,V1022,X1022,Z1022,AB1022,AD1022,AF1022,AH1022,AJ1022,AL1022,AN1022)</f>
        <v>0</v>
      </c>
      <c r="AT1022" s="67" t="str">
        <f>IF(C1022="","",DATE(YEAR(C1022),MONTH(C1022),1))</f>
        <v/>
      </c>
      <c r="AU1022" s="66" t="str">
        <f>IF(AT1022="","",TEXT(AT1022,"mmmm yyyy"))</f>
        <v/>
      </c>
      <c r="AV1022" s="67" t="str">
        <f>IF(C1022="","",C1022-WEEKDAY(C1022,2)+1)</f>
        <v/>
      </c>
      <c r="AW1022" s="67" t="str">
        <f>IF(AV1022="","",AV1022+6)</f>
        <v/>
      </c>
      <c r="AX1022" s="66" t="str">
        <f>IF(AV1022="","",TEXT(AV1022,"dd/mm/yyyy")&amp;" - "&amp;TEXT(AW1022,"dd/mm/yyyy"))</f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>IF(B1022="","",TEXT(AY1022,"00")&amp;"|"&amp;B1022&amp;"|"&amp;TEXT(AT1022,"yyyymmdd"))</f>
        <v/>
      </c>
      <c r="BB1022" s="66" t="str">
        <f>IF(B1022="","",TEXT(AZ1022,"00")&amp;"|"&amp;B1022&amp;"|"&amp;TEXT(AV1022,"yyyymmdd"))</f>
        <v/>
      </c>
      <c r="BC1022" s="66">
        <f>IF(OR(AQ1022="YES",AQ1022="Yes",AQ1022="Y",AQ1022=1),1,0)</f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17">
        <f>SUM(H1023,J1023,L1023,N1023,P1023,R1023,T1023,V1023,X1023,Z1023,AB1023,AD1023,AF1023,AH1023,AJ1023,AL1023,AN1023)</f>
        <v>0</v>
      </c>
      <c r="AT1023" s="67" t="str">
        <f>IF(C1023="","",DATE(YEAR(C1023),MONTH(C1023),1))</f>
        <v/>
      </c>
      <c r="AU1023" s="66" t="str">
        <f>IF(AT1023="","",TEXT(AT1023,"mmmm yyyy"))</f>
        <v/>
      </c>
      <c r="AV1023" s="67" t="str">
        <f>IF(C1023="","",C1023-WEEKDAY(C1023,2)+1)</f>
        <v/>
      </c>
      <c r="AW1023" s="67" t="str">
        <f>IF(AV1023="","",AV1023+6)</f>
        <v/>
      </c>
      <c r="AX1023" s="66" t="str">
        <f>IF(AV1023="","",TEXT(AV1023,"dd/mm/yyyy")&amp;" - "&amp;TEXT(AW1023,"dd/mm/yyyy"))</f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>IF(B1023="","",TEXT(AY1023,"00")&amp;"|"&amp;B1023&amp;"|"&amp;TEXT(AT1023,"yyyymmdd"))</f>
        <v/>
      </c>
      <c r="BB1023" s="66" t="str">
        <f>IF(B1023="","",TEXT(AZ1023,"00")&amp;"|"&amp;B1023&amp;"|"&amp;TEXT(AV1023,"yyyymmdd"))</f>
        <v/>
      </c>
      <c r="BC1023" s="66">
        <f>IF(OR(AQ1023="YES",AQ1023="Yes",AQ1023="Y",AQ1023=1),1,0)</f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17">
        <f>SUM(H1024,J1024,L1024,N1024,P1024,R1024,T1024,V1024,X1024,Z1024,AB1024,AD1024,AF1024,AH1024,AJ1024,AL1024,AN1024)</f>
        <v>0</v>
      </c>
      <c r="AT1024" s="67" t="str">
        <f>IF(C1024="","",DATE(YEAR(C1024),MONTH(C1024),1))</f>
        <v/>
      </c>
      <c r="AU1024" s="66" t="str">
        <f>IF(AT1024="","",TEXT(AT1024,"mmmm yyyy"))</f>
        <v/>
      </c>
      <c r="AV1024" s="67" t="str">
        <f>IF(C1024="","",C1024-WEEKDAY(C1024,2)+1)</f>
        <v/>
      </c>
      <c r="AW1024" s="67" t="str">
        <f>IF(AV1024="","",AV1024+6)</f>
        <v/>
      </c>
      <c r="AX1024" s="66" t="str">
        <f>IF(AV1024="","",TEXT(AV1024,"dd/mm/yyyy")&amp;" - "&amp;TEXT(AW1024,"dd/mm/yyyy"))</f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>IF(B1024="","",TEXT(AY1024,"00")&amp;"|"&amp;B1024&amp;"|"&amp;TEXT(AT1024,"yyyymmdd"))</f>
        <v/>
      </c>
      <c r="BB1024" s="66" t="str">
        <f>IF(B1024="","",TEXT(AZ1024,"00")&amp;"|"&amp;B1024&amp;"|"&amp;TEXT(AV1024,"yyyymmdd"))</f>
        <v/>
      </c>
      <c r="BC1024" s="66">
        <f>IF(OR(AQ1024="YES",AQ1024="Yes",AQ1024="Y",AQ1024=1),1,0)</f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17">
        <f>SUM(H1025,J1025,L1025,N1025,P1025,R1025,T1025,V1025,X1025,Z1025,AB1025,AD1025,AF1025,AH1025,AJ1025,AL1025,AN1025)</f>
        <v>0</v>
      </c>
      <c r="AT1025" s="67" t="str">
        <f>IF(C1025="","",DATE(YEAR(C1025),MONTH(C1025),1))</f>
        <v/>
      </c>
      <c r="AU1025" s="66" t="str">
        <f>IF(AT1025="","",TEXT(AT1025,"mmmm yyyy"))</f>
        <v/>
      </c>
      <c r="AV1025" s="67" t="str">
        <f>IF(C1025="","",C1025-WEEKDAY(C1025,2)+1)</f>
        <v/>
      </c>
      <c r="AW1025" s="67" t="str">
        <f>IF(AV1025="","",AV1025+6)</f>
        <v/>
      </c>
      <c r="AX1025" s="66" t="str">
        <f>IF(AV1025="","",TEXT(AV1025,"dd/mm/yyyy")&amp;" - "&amp;TEXT(AW1025,"dd/mm/yyyy"))</f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>IF(B1025="","",TEXT(AY1025,"00")&amp;"|"&amp;B1025&amp;"|"&amp;TEXT(AT1025,"yyyymmdd"))</f>
        <v/>
      </c>
      <c r="BB1025" s="66" t="str">
        <f>IF(B1025="","",TEXT(AZ1025,"00")&amp;"|"&amp;B1025&amp;"|"&amp;TEXT(AV1025,"yyyymmdd"))</f>
        <v/>
      </c>
      <c r="BC1025" s="66">
        <f>IF(OR(AQ1025="YES",AQ1025="Yes",AQ1025="Y",AQ1025=1),1,0)</f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17">
        <f>SUM(H1026,J1026,L1026,N1026,P1026,R1026,T1026,V1026,X1026,Z1026,AB1026,AD1026,AF1026,AH1026,AJ1026,AL1026,AN1026)</f>
        <v>0</v>
      </c>
      <c r="AT1026" s="67" t="str">
        <f>IF(C1026="","",DATE(YEAR(C1026),MONTH(C1026),1))</f>
        <v/>
      </c>
      <c r="AU1026" s="66" t="str">
        <f>IF(AT1026="","",TEXT(AT1026,"mmmm yyyy"))</f>
        <v/>
      </c>
      <c r="AV1026" s="67" t="str">
        <f>IF(C1026="","",C1026-WEEKDAY(C1026,2)+1)</f>
        <v/>
      </c>
      <c r="AW1026" s="67" t="str">
        <f>IF(AV1026="","",AV1026+6)</f>
        <v/>
      </c>
      <c r="AX1026" s="66" t="str">
        <f>IF(AV1026="","",TEXT(AV1026,"dd/mm/yyyy")&amp;" - "&amp;TEXT(AW1026,"dd/mm/yyyy"))</f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>IF(B1026="","",TEXT(AY1026,"00")&amp;"|"&amp;B1026&amp;"|"&amp;TEXT(AT1026,"yyyymmdd"))</f>
        <v/>
      </c>
      <c r="BB1026" s="66" t="str">
        <f>IF(B1026="","",TEXT(AZ1026,"00")&amp;"|"&amp;B1026&amp;"|"&amp;TEXT(AV1026,"yyyymmdd"))</f>
        <v/>
      </c>
      <c r="BC1026" s="66">
        <f>IF(OR(AQ1026="YES",AQ1026="Yes",AQ1026="Y",AQ1026=1),1,0)</f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17">
        <f>SUM(H1027,J1027,L1027,N1027,P1027,R1027,T1027,V1027,X1027,Z1027,AB1027,AD1027,AF1027,AH1027,AJ1027,AL1027,AN1027)</f>
        <v>0</v>
      </c>
      <c r="AT1027" s="67" t="str">
        <f>IF(C1027="","",DATE(YEAR(C1027),MONTH(C1027),1))</f>
        <v/>
      </c>
      <c r="AU1027" s="66" t="str">
        <f>IF(AT1027="","",TEXT(AT1027,"mmmm yyyy"))</f>
        <v/>
      </c>
      <c r="AV1027" s="67" t="str">
        <f>IF(C1027="","",C1027-WEEKDAY(C1027,2)+1)</f>
        <v/>
      </c>
      <c r="AW1027" s="67" t="str">
        <f>IF(AV1027="","",AV1027+6)</f>
        <v/>
      </c>
      <c r="AX1027" s="66" t="str">
        <f>IF(AV1027="","",TEXT(AV1027,"dd/mm/yyyy")&amp;" - "&amp;TEXT(AW1027,"dd/mm/yyyy"))</f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>IF(B1027="","",TEXT(AY1027,"00")&amp;"|"&amp;B1027&amp;"|"&amp;TEXT(AT1027,"yyyymmdd"))</f>
        <v/>
      </c>
      <c r="BB1027" s="66" t="str">
        <f>IF(B1027="","",TEXT(AZ1027,"00")&amp;"|"&amp;B1027&amp;"|"&amp;TEXT(AV1027,"yyyymmdd"))</f>
        <v/>
      </c>
      <c r="BC1027" s="66">
        <f>IF(OR(AQ1027="YES",AQ1027="Yes",AQ1027="Y",AQ1027=1),1,0)</f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17">
        <f>SUM(H1028,J1028,L1028,N1028,P1028,R1028,T1028,V1028,X1028,Z1028,AB1028,AD1028,AF1028,AH1028,AJ1028,AL1028,AN1028)</f>
        <v>0</v>
      </c>
      <c r="AT1028" s="67" t="str">
        <f>IF(C1028="","",DATE(YEAR(C1028),MONTH(C1028),1))</f>
        <v/>
      </c>
      <c r="AU1028" s="66" t="str">
        <f>IF(AT1028="","",TEXT(AT1028,"mmmm yyyy"))</f>
        <v/>
      </c>
      <c r="AV1028" s="67" t="str">
        <f>IF(C1028="","",C1028-WEEKDAY(C1028,2)+1)</f>
        <v/>
      </c>
      <c r="AW1028" s="67" t="str">
        <f>IF(AV1028="","",AV1028+6)</f>
        <v/>
      </c>
      <c r="AX1028" s="66" t="str">
        <f>IF(AV1028="","",TEXT(AV1028,"dd/mm/yyyy")&amp;" - "&amp;TEXT(AW1028,"dd/mm/yyyy"))</f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>IF(B1028="","",TEXT(AY1028,"00")&amp;"|"&amp;B1028&amp;"|"&amp;TEXT(AT1028,"yyyymmdd"))</f>
        <v/>
      </c>
      <c r="BB1028" s="66" t="str">
        <f>IF(B1028="","",TEXT(AZ1028,"00")&amp;"|"&amp;B1028&amp;"|"&amp;TEXT(AV1028,"yyyymmdd"))</f>
        <v/>
      </c>
      <c r="BC1028" s="66">
        <f>IF(OR(AQ1028="YES",AQ1028="Yes",AQ1028="Y",AQ1028=1),1,0)</f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17">
        <f>SUM(H1029,J1029,L1029,N1029,P1029,R1029,T1029,V1029,X1029,Z1029,AB1029,AD1029,AF1029,AH1029,AJ1029,AL1029,AN1029)</f>
        <v>0</v>
      </c>
      <c r="AT1029" s="67" t="str">
        <f>IF(C1029="","",DATE(YEAR(C1029),MONTH(C1029),1))</f>
        <v/>
      </c>
      <c r="AU1029" s="66" t="str">
        <f>IF(AT1029="","",TEXT(AT1029,"mmmm yyyy"))</f>
        <v/>
      </c>
      <c r="AV1029" s="67" t="str">
        <f>IF(C1029="","",C1029-WEEKDAY(C1029,2)+1)</f>
        <v/>
      </c>
      <c r="AW1029" s="67" t="str">
        <f>IF(AV1029="","",AV1029+6)</f>
        <v/>
      </c>
      <c r="AX1029" s="66" t="str">
        <f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>IF(B1029="","",TEXT(AY1029,"00")&amp;"|"&amp;B1029&amp;"|"&amp;TEXT(AT1029,"yyyymmdd"))</f>
        <v/>
      </c>
      <c r="BB1029" s="66" t="str">
        <f>IF(B1029="","",TEXT(AZ1029,"00")&amp;"|"&amp;B1029&amp;"|"&amp;TEXT(AV1029,"yyyymmdd"))</f>
        <v/>
      </c>
      <c r="BC1029" s="66">
        <f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17">
        <f>SUM(H1030,J1030,L1030,N1030,P1030,R1030,T1030,V1030,X1030,Z1030,AB1030,AD1030,AF1030,AH1030,AJ1030,AL1030,AN1030)</f>
        <v>0</v>
      </c>
      <c r="AT1030" s="67" t="str">
        <f>IF(C1030="","",DATE(YEAR(C1030),MONTH(C1030),1))</f>
        <v/>
      </c>
      <c r="AU1030" s="66" t="str">
        <f>IF(AT1030="","",TEXT(AT1030,"mmmm yyyy"))</f>
        <v/>
      </c>
      <c r="AV1030" s="67" t="str">
        <f>IF(C1030="","",C1030-WEEKDAY(C1030,2)+1)</f>
        <v/>
      </c>
      <c r="AW1030" s="67" t="str">
        <f>IF(AV1030="","",AV1030+6)</f>
        <v/>
      </c>
      <c r="AX1030" s="66" t="str">
        <f>IF(AV1030="","",TEXT(AV1030,"dd/mm/yyyy")&amp;" - "&amp;TEXT(AW1030,"dd/mm/yyyy"))</f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>IF(B1030="","",TEXT(AY1030,"00")&amp;"|"&amp;B1030&amp;"|"&amp;TEXT(AT1030,"yyyymmdd"))</f>
        <v/>
      </c>
      <c r="BB1030" s="66" t="str">
        <f>IF(B1030="","",TEXT(AZ1030,"00")&amp;"|"&amp;B1030&amp;"|"&amp;TEXT(AV1030,"yyyymmdd"))</f>
        <v/>
      </c>
      <c r="BC1030" s="66">
        <f>IF(OR(AQ1030="YES",AQ1030="Yes",AQ1030="Y",AQ1030=1),1,0)</f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17">
        <f>SUM(H1031,J1031,L1031,N1031,P1031,R1031,T1031,V1031,X1031,Z1031,AB1031,AD1031,AF1031,AH1031,AJ1031,AL1031,AN1031)</f>
        <v>0</v>
      </c>
      <c r="AT1031" s="67" t="str">
        <f>IF(C1031="","",DATE(YEAR(C1031),MONTH(C1031),1))</f>
        <v/>
      </c>
      <c r="AU1031" s="66" t="str">
        <f>IF(AT1031="","",TEXT(AT1031,"mmmm yyyy"))</f>
        <v/>
      </c>
      <c r="AV1031" s="67" t="str">
        <f>IF(C1031="","",C1031-WEEKDAY(C1031,2)+1)</f>
        <v/>
      </c>
      <c r="AW1031" s="67" t="str">
        <f>IF(AV1031="","",AV1031+6)</f>
        <v/>
      </c>
      <c r="AX1031" s="66" t="str">
        <f>IF(AV1031="","",TEXT(AV1031,"dd/mm/yyyy")&amp;" - "&amp;TEXT(AW1031,"dd/mm/yyyy"))</f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>IF(B1031="","",TEXT(AY1031,"00")&amp;"|"&amp;B1031&amp;"|"&amp;TEXT(AT1031,"yyyymmdd"))</f>
        <v/>
      </c>
      <c r="BB1031" s="66" t="str">
        <f>IF(B1031="","",TEXT(AZ1031,"00")&amp;"|"&amp;B1031&amp;"|"&amp;TEXT(AV1031,"yyyymmdd"))</f>
        <v/>
      </c>
      <c r="BC1031" s="66">
        <f>IF(OR(AQ1031="YES",AQ1031="Yes",AQ1031="Y",AQ1031=1),1,0)</f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17">
        <f>SUM(H1032,J1032,L1032,N1032,P1032,R1032,T1032,V1032,X1032,Z1032,AB1032,AD1032,AF1032,AH1032,AJ1032,AL1032,AN1032)</f>
        <v>0</v>
      </c>
      <c r="AT1032" s="67" t="str">
        <f>IF(C1032="","",DATE(YEAR(C1032),MONTH(C1032),1))</f>
        <v/>
      </c>
      <c r="AU1032" s="66" t="str">
        <f>IF(AT1032="","",TEXT(AT1032,"mmmm yyyy"))</f>
        <v/>
      </c>
      <c r="AV1032" s="67" t="str">
        <f>IF(C1032="","",C1032-WEEKDAY(C1032,2)+1)</f>
        <v/>
      </c>
      <c r="AW1032" s="67" t="str">
        <f>IF(AV1032="","",AV1032+6)</f>
        <v/>
      </c>
      <c r="AX1032" s="66" t="str">
        <f>IF(AV1032="","",TEXT(AV1032,"dd/mm/yyyy")&amp;" - "&amp;TEXT(AW1032,"dd/mm/yyyy"))</f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>IF(B1032="","",TEXT(AY1032,"00")&amp;"|"&amp;B1032&amp;"|"&amp;TEXT(AT1032,"yyyymmdd"))</f>
        <v/>
      </c>
      <c r="BB1032" s="66" t="str">
        <f>IF(B1032="","",TEXT(AZ1032,"00")&amp;"|"&amp;B1032&amp;"|"&amp;TEXT(AV1032,"yyyymmdd"))</f>
        <v/>
      </c>
      <c r="BC1032" s="66">
        <f>IF(OR(AQ1032="YES",AQ1032="Yes",AQ1032="Y",AQ1032=1),1,0)</f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17">
        <f>SUM(H1033,J1033,L1033,N1033,P1033,R1033,T1033,V1033,X1033,Z1033,AB1033,AD1033,AF1033,AH1033,AJ1033,AL1033,AN1033)</f>
        <v>0</v>
      </c>
      <c r="AT1033" s="67" t="str">
        <f>IF(C1033="","",DATE(YEAR(C1033),MONTH(C1033),1))</f>
        <v/>
      </c>
      <c r="AU1033" s="66" t="str">
        <f>IF(AT1033="","",TEXT(AT1033,"mmmm yyyy"))</f>
        <v/>
      </c>
      <c r="AV1033" s="67" t="str">
        <f>IF(C1033="","",C1033-WEEKDAY(C1033,2)+1)</f>
        <v/>
      </c>
      <c r="AW1033" s="67" t="str">
        <f>IF(AV1033="","",AV1033+6)</f>
        <v/>
      </c>
      <c r="AX1033" s="66" t="str">
        <f>IF(AV1033="","",TEXT(AV1033,"dd/mm/yyyy")&amp;" - "&amp;TEXT(AW1033,"dd/mm/yyyy"))</f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>IF(B1033="","",TEXT(AY1033,"00")&amp;"|"&amp;B1033&amp;"|"&amp;TEXT(AT1033,"yyyymmdd"))</f>
        <v/>
      </c>
      <c r="BB1033" s="66" t="str">
        <f>IF(B1033="","",TEXT(AZ1033,"00")&amp;"|"&amp;B1033&amp;"|"&amp;TEXT(AV1033,"yyyymmdd"))</f>
        <v/>
      </c>
      <c r="BC1033" s="66">
        <f>IF(OR(AQ1033="YES",AQ1033="Yes",AQ1033="Y",AQ1033=1),1,0)</f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17">
        <f>SUM(H1034,J1034,L1034,N1034,P1034,R1034,T1034,V1034,X1034,Z1034,AB1034,AD1034,AF1034,AH1034,AJ1034,AL1034,AN1034)</f>
        <v>0</v>
      </c>
      <c r="AT1034" s="67" t="str">
        <f>IF(C1034="","",DATE(YEAR(C1034),MONTH(C1034),1))</f>
        <v/>
      </c>
      <c r="AU1034" s="66" t="str">
        <f>IF(AT1034="","",TEXT(AT1034,"mmmm yyyy"))</f>
        <v/>
      </c>
      <c r="AV1034" s="67" t="str">
        <f>IF(C1034="","",C1034-WEEKDAY(C1034,2)+1)</f>
        <v/>
      </c>
      <c r="AW1034" s="67" t="str">
        <f>IF(AV1034="","",AV1034+6)</f>
        <v/>
      </c>
      <c r="AX1034" s="66" t="str">
        <f>IF(AV1034="","",TEXT(AV1034,"dd/mm/yyyy")&amp;" - "&amp;TEXT(AW1034,"dd/mm/yyyy"))</f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>IF(B1034="","",TEXT(AY1034,"00")&amp;"|"&amp;B1034&amp;"|"&amp;TEXT(AT1034,"yyyymmdd"))</f>
        <v/>
      </c>
      <c r="BB1034" s="66" t="str">
        <f>IF(B1034="","",TEXT(AZ1034,"00")&amp;"|"&amp;B1034&amp;"|"&amp;TEXT(AV1034,"yyyymmdd"))</f>
        <v/>
      </c>
      <c r="BC1034" s="66">
        <f>IF(OR(AQ1034="YES",AQ1034="Yes",AQ1034="Y",AQ1034=1),1,0)</f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17">
        <f>SUM(H1035,J1035,L1035,N1035,P1035,R1035,T1035,V1035,X1035,Z1035,AB1035,AD1035,AF1035,AH1035,AJ1035,AL1035,AN1035)</f>
        <v>0</v>
      </c>
      <c r="AT1035" s="67" t="str">
        <f>IF(C1035="","",DATE(YEAR(C1035),MONTH(C1035),1))</f>
        <v/>
      </c>
      <c r="AU1035" s="66" t="str">
        <f>IF(AT1035="","",TEXT(AT1035,"mmmm yyyy"))</f>
        <v/>
      </c>
      <c r="AV1035" s="67" t="str">
        <f>IF(C1035="","",C1035-WEEKDAY(C1035,2)+1)</f>
        <v/>
      </c>
      <c r="AW1035" s="67" t="str">
        <f>IF(AV1035="","",AV1035+6)</f>
        <v/>
      </c>
      <c r="AX1035" s="66" t="str">
        <f>IF(AV1035="","",TEXT(AV1035,"dd/mm/yyyy")&amp;" - "&amp;TEXT(AW1035,"dd/mm/yyyy"))</f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>IF(B1035="","",TEXT(AY1035,"00")&amp;"|"&amp;B1035&amp;"|"&amp;TEXT(AT1035,"yyyymmdd"))</f>
        <v/>
      </c>
      <c r="BB1035" s="66" t="str">
        <f>IF(B1035="","",TEXT(AZ1035,"00")&amp;"|"&amp;B1035&amp;"|"&amp;TEXT(AV1035,"yyyymmdd"))</f>
        <v/>
      </c>
      <c r="BC1035" s="66">
        <f>IF(OR(AQ1035="YES",AQ1035="Yes",AQ1035="Y",AQ1035=1),1,0)</f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17">
        <f>SUM(H1036,J1036,L1036,N1036,P1036,R1036,T1036,V1036,X1036,Z1036,AB1036,AD1036,AF1036,AH1036,AJ1036,AL1036,AN1036)</f>
        <v>0</v>
      </c>
      <c r="AT1036" s="67" t="str">
        <f>IF(C1036="","",DATE(YEAR(C1036),MONTH(C1036),1))</f>
        <v/>
      </c>
      <c r="AU1036" s="66" t="str">
        <f>IF(AT1036="","",TEXT(AT1036,"mmmm yyyy"))</f>
        <v/>
      </c>
      <c r="AV1036" s="67" t="str">
        <f>IF(C1036="","",C1036-WEEKDAY(C1036,2)+1)</f>
        <v/>
      </c>
      <c r="AW1036" s="67" t="str">
        <f>IF(AV1036="","",AV1036+6)</f>
        <v/>
      </c>
      <c r="AX1036" s="66" t="str">
        <f>IF(AV1036="","",TEXT(AV1036,"dd/mm/yyyy")&amp;" - "&amp;TEXT(AW1036,"dd/mm/yyyy"))</f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>IF(B1036="","",TEXT(AY1036,"00")&amp;"|"&amp;B1036&amp;"|"&amp;TEXT(AT1036,"yyyymmdd"))</f>
        <v/>
      </c>
      <c r="BB1036" s="66" t="str">
        <f>IF(B1036="","",TEXT(AZ1036,"00")&amp;"|"&amp;B1036&amp;"|"&amp;TEXT(AV1036,"yyyymmdd"))</f>
        <v/>
      </c>
      <c r="BC1036" s="66">
        <f>IF(OR(AQ1036="YES",AQ1036="Yes",AQ1036="Y",AQ1036=1),1,0)</f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17">
        <f>SUM(H1037,J1037,L1037,N1037,P1037,R1037,T1037,V1037,X1037,Z1037,AB1037,AD1037,AF1037,AH1037,AJ1037,AL1037,AN1037)</f>
        <v>0</v>
      </c>
      <c r="AT1037" s="67" t="str">
        <f>IF(C1037="","",DATE(YEAR(C1037),MONTH(C1037),1))</f>
        <v/>
      </c>
      <c r="AU1037" s="66" t="str">
        <f>IF(AT1037="","",TEXT(AT1037,"mmmm yyyy"))</f>
        <v/>
      </c>
      <c r="AV1037" s="67" t="str">
        <f>IF(C1037="","",C1037-WEEKDAY(C1037,2)+1)</f>
        <v/>
      </c>
      <c r="AW1037" s="67" t="str">
        <f>IF(AV1037="","",AV1037+6)</f>
        <v/>
      </c>
      <c r="AX1037" s="66" t="str">
        <f>IF(AV1037="","",TEXT(AV1037,"dd/mm/yyyy")&amp;" - "&amp;TEXT(AW1037,"dd/mm/yyyy"))</f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>IF(B1037="","",TEXT(AY1037,"00")&amp;"|"&amp;B1037&amp;"|"&amp;TEXT(AT1037,"yyyymmdd"))</f>
        <v/>
      </c>
      <c r="BB1037" s="66" t="str">
        <f>IF(B1037="","",TEXT(AZ1037,"00")&amp;"|"&amp;B1037&amp;"|"&amp;TEXT(AV1037,"yyyymmdd"))</f>
        <v/>
      </c>
      <c r="BC1037" s="66">
        <f>IF(OR(AQ1037="YES",AQ1037="Yes",AQ1037="Y",AQ1037=1),1,0)</f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17">
        <f>SUM(H1038,J1038,L1038,N1038,P1038,R1038,T1038,V1038,X1038,Z1038,AB1038,AD1038,AF1038,AH1038,AJ1038,AL1038,AN1038)</f>
        <v>0</v>
      </c>
      <c r="AT1038" s="67" t="str">
        <f>IF(C1038="","",DATE(YEAR(C1038),MONTH(C1038),1))</f>
        <v/>
      </c>
      <c r="AU1038" s="66" t="str">
        <f>IF(AT1038="","",TEXT(AT1038,"mmmm yyyy"))</f>
        <v/>
      </c>
      <c r="AV1038" s="67" t="str">
        <f>IF(C1038="","",C1038-WEEKDAY(C1038,2)+1)</f>
        <v/>
      </c>
      <c r="AW1038" s="67" t="str">
        <f>IF(AV1038="","",AV1038+6)</f>
        <v/>
      </c>
      <c r="AX1038" s="66" t="str">
        <f>IF(AV1038="","",TEXT(AV1038,"dd/mm/yyyy")&amp;" - "&amp;TEXT(AW1038,"dd/mm/yyyy"))</f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>IF(B1038="","",TEXT(AY1038,"00")&amp;"|"&amp;B1038&amp;"|"&amp;TEXT(AT1038,"yyyymmdd"))</f>
        <v/>
      </c>
      <c r="BB1038" s="66" t="str">
        <f>IF(B1038="","",TEXT(AZ1038,"00")&amp;"|"&amp;B1038&amp;"|"&amp;TEXT(AV1038,"yyyymmdd"))</f>
        <v/>
      </c>
      <c r="BC1038" s="66">
        <f>IF(OR(AQ1038="YES",AQ1038="Yes",AQ1038="Y",AQ1038=1),1,0)</f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17">
        <f>SUM(H1039,J1039,L1039,N1039,P1039,R1039,T1039,V1039,X1039,Z1039,AB1039,AD1039,AF1039,AH1039,AJ1039,AL1039,AN1039)</f>
        <v>0</v>
      </c>
      <c r="AT1039" s="67" t="str">
        <f>IF(C1039="","",DATE(YEAR(C1039),MONTH(C1039),1))</f>
        <v/>
      </c>
      <c r="AU1039" s="66" t="str">
        <f>IF(AT1039="","",TEXT(AT1039,"mmmm yyyy"))</f>
        <v/>
      </c>
      <c r="AV1039" s="67" t="str">
        <f>IF(C1039="","",C1039-WEEKDAY(C1039,2)+1)</f>
        <v/>
      </c>
      <c r="AW1039" s="67" t="str">
        <f>IF(AV1039="","",AV1039+6)</f>
        <v/>
      </c>
      <c r="AX1039" s="66" t="str">
        <f>IF(AV1039="","",TEXT(AV1039,"dd/mm/yyyy")&amp;" - "&amp;TEXT(AW1039,"dd/mm/yyyy"))</f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>IF(B1039="","",TEXT(AY1039,"00")&amp;"|"&amp;B1039&amp;"|"&amp;TEXT(AT1039,"yyyymmdd"))</f>
        <v/>
      </c>
      <c r="BB1039" s="66" t="str">
        <f>IF(B1039="","",TEXT(AZ1039,"00")&amp;"|"&amp;B1039&amp;"|"&amp;TEXT(AV1039,"yyyymmdd"))</f>
        <v/>
      </c>
      <c r="BC1039" s="66">
        <f>IF(OR(AQ1039="YES",AQ1039="Yes",AQ1039="Y",AQ1039=1),1,0)</f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17">
        <f>SUM(H1040,J1040,L1040,N1040,P1040,R1040,T1040,V1040,X1040,Z1040,AB1040,AD1040,AF1040,AH1040,AJ1040,AL1040,AN1040)</f>
        <v>0</v>
      </c>
      <c r="AT1040" s="67" t="str">
        <f>IF(C1040="","",DATE(YEAR(C1040),MONTH(C1040),1))</f>
        <v/>
      </c>
      <c r="AU1040" s="66" t="str">
        <f>IF(AT1040="","",TEXT(AT1040,"mmmm yyyy"))</f>
        <v/>
      </c>
      <c r="AV1040" s="67" t="str">
        <f>IF(C1040="","",C1040-WEEKDAY(C1040,2)+1)</f>
        <v/>
      </c>
      <c r="AW1040" s="67" t="str">
        <f>IF(AV1040="","",AV1040+6)</f>
        <v/>
      </c>
      <c r="AX1040" s="66" t="str">
        <f>IF(AV1040="","",TEXT(AV1040,"dd/mm/yyyy")&amp;" - "&amp;TEXT(AW1040,"dd/mm/yyyy"))</f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>IF(B1040="","",TEXT(AY1040,"00")&amp;"|"&amp;B1040&amp;"|"&amp;TEXT(AT1040,"yyyymmdd"))</f>
        <v/>
      </c>
      <c r="BB1040" s="66" t="str">
        <f>IF(B1040="","",TEXT(AZ1040,"00")&amp;"|"&amp;B1040&amp;"|"&amp;TEXT(AV1040,"yyyymmdd"))</f>
        <v/>
      </c>
      <c r="BC1040" s="66">
        <f>IF(OR(AQ1040="YES",AQ1040="Yes",AQ1040="Y",AQ1040=1),1,0)</f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17">
        <f>SUM(H1041,J1041,L1041,N1041,P1041,R1041,T1041,V1041,X1041,Z1041,AB1041,AD1041,AF1041,AH1041,AJ1041,AL1041,AN1041)</f>
        <v>0</v>
      </c>
      <c r="AT1041" s="67" t="str">
        <f>IF(C1041="","",DATE(YEAR(C1041),MONTH(C1041),1))</f>
        <v/>
      </c>
      <c r="AU1041" s="66" t="str">
        <f>IF(AT1041="","",TEXT(AT1041,"mmmm yyyy"))</f>
        <v/>
      </c>
      <c r="AV1041" s="67" t="str">
        <f>IF(C1041="","",C1041-WEEKDAY(C1041,2)+1)</f>
        <v/>
      </c>
      <c r="AW1041" s="67" t="str">
        <f>IF(AV1041="","",AV1041+6)</f>
        <v/>
      </c>
      <c r="AX1041" s="66" t="str">
        <f>IF(AV1041="","",TEXT(AV1041,"dd/mm/yyyy")&amp;" - "&amp;TEXT(AW1041,"dd/mm/yyyy"))</f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>IF(B1041="","",TEXT(AY1041,"00")&amp;"|"&amp;B1041&amp;"|"&amp;TEXT(AT1041,"yyyymmdd"))</f>
        <v/>
      </c>
      <c r="BB1041" s="66" t="str">
        <f>IF(B1041="","",TEXT(AZ1041,"00")&amp;"|"&amp;B1041&amp;"|"&amp;TEXT(AV1041,"yyyymmdd"))</f>
        <v/>
      </c>
      <c r="BC1041" s="66">
        <f>IF(OR(AQ1041="YES",AQ1041="Yes",AQ1041="Y",AQ1041=1),1,0)</f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17">
        <f>SUM(H1042,J1042,L1042,N1042,P1042,R1042,T1042,V1042,X1042,Z1042,AB1042,AD1042,AF1042,AH1042,AJ1042,AL1042,AN1042)</f>
        <v>0</v>
      </c>
      <c r="AT1042" s="67" t="str">
        <f>IF(C1042="","",DATE(YEAR(C1042),MONTH(C1042),1))</f>
        <v/>
      </c>
      <c r="AU1042" s="66" t="str">
        <f>IF(AT1042="","",TEXT(AT1042,"mmmm yyyy"))</f>
        <v/>
      </c>
      <c r="AV1042" s="67" t="str">
        <f>IF(C1042="","",C1042-WEEKDAY(C1042,2)+1)</f>
        <v/>
      </c>
      <c r="AW1042" s="67" t="str">
        <f>IF(AV1042="","",AV1042+6)</f>
        <v/>
      </c>
      <c r="AX1042" s="66" t="str">
        <f>IF(AV1042="","",TEXT(AV1042,"dd/mm/yyyy")&amp;" - "&amp;TEXT(AW1042,"dd/mm/yyyy"))</f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>IF(B1042="","",TEXT(AY1042,"00")&amp;"|"&amp;B1042&amp;"|"&amp;TEXT(AT1042,"yyyymmdd"))</f>
        <v/>
      </c>
      <c r="BB1042" s="66" t="str">
        <f>IF(B1042="","",TEXT(AZ1042,"00")&amp;"|"&amp;B1042&amp;"|"&amp;TEXT(AV1042,"yyyymmdd"))</f>
        <v/>
      </c>
      <c r="BC1042" s="66">
        <f>IF(OR(AQ1042="YES",AQ1042="Yes",AQ1042="Y",AQ1042=1),1,0)</f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17">
        <f>SUM(H1043,J1043,L1043,N1043,P1043,R1043,T1043,V1043,X1043,Z1043,AB1043,AD1043,AF1043,AH1043,AJ1043,AL1043,AN1043)</f>
        <v>0</v>
      </c>
      <c r="AT1043" s="67" t="str">
        <f>IF(C1043="","",DATE(YEAR(C1043),MONTH(C1043),1))</f>
        <v/>
      </c>
      <c r="AU1043" s="66" t="str">
        <f>IF(AT1043="","",TEXT(AT1043,"mmmm yyyy"))</f>
        <v/>
      </c>
      <c r="AV1043" s="67" t="str">
        <f>IF(C1043="","",C1043-WEEKDAY(C1043,2)+1)</f>
        <v/>
      </c>
      <c r="AW1043" s="67" t="str">
        <f>IF(AV1043="","",AV1043+6)</f>
        <v/>
      </c>
      <c r="AX1043" s="66" t="str">
        <f>IF(AV1043="","",TEXT(AV1043,"dd/mm/yyyy")&amp;" - "&amp;TEXT(AW1043,"dd/mm/yyyy"))</f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>IF(B1043="","",TEXT(AY1043,"00")&amp;"|"&amp;B1043&amp;"|"&amp;TEXT(AT1043,"yyyymmdd"))</f>
        <v/>
      </c>
      <c r="BB1043" s="66" t="str">
        <f>IF(B1043="","",TEXT(AZ1043,"00")&amp;"|"&amp;B1043&amp;"|"&amp;TEXT(AV1043,"yyyymmdd"))</f>
        <v/>
      </c>
      <c r="BC1043" s="66">
        <f>IF(OR(AQ1043="YES",AQ1043="Yes",AQ1043="Y",AQ1043=1),1,0)</f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17">
        <f>SUM(H1044,J1044,L1044,N1044,P1044,R1044,T1044,V1044,X1044,Z1044,AB1044,AD1044,AF1044,AH1044,AJ1044,AL1044,AN1044)</f>
        <v>0</v>
      </c>
      <c r="AT1044" s="67" t="str">
        <f>IF(C1044="","",DATE(YEAR(C1044),MONTH(C1044),1))</f>
        <v/>
      </c>
      <c r="AU1044" s="66" t="str">
        <f>IF(AT1044="","",TEXT(AT1044,"mmmm yyyy"))</f>
        <v/>
      </c>
      <c r="AV1044" s="67" t="str">
        <f>IF(C1044="","",C1044-WEEKDAY(C1044,2)+1)</f>
        <v/>
      </c>
      <c r="AW1044" s="67" t="str">
        <f>IF(AV1044="","",AV1044+6)</f>
        <v/>
      </c>
      <c r="AX1044" s="66" t="str">
        <f>IF(AV1044="","",TEXT(AV1044,"dd/mm/yyyy")&amp;" - "&amp;TEXT(AW1044,"dd/mm/yyyy"))</f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>IF(B1044="","",TEXT(AY1044,"00")&amp;"|"&amp;B1044&amp;"|"&amp;TEXT(AT1044,"yyyymmdd"))</f>
        <v/>
      </c>
      <c r="BB1044" s="66" t="str">
        <f>IF(B1044="","",TEXT(AZ1044,"00")&amp;"|"&amp;B1044&amp;"|"&amp;TEXT(AV1044,"yyyymmdd"))</f>
        <v/>
      </c>
      <c r="BC1044" s="66">
        <f>IF(OR(AQ1044="YES",AQ1044="Yes",AQ1044="Y",AQ1044=1),1,0)</f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17">
        <f>SUM(H1045,J1045,L1045,N1045,P1045,R1045,T1045,V1045,X1045,Z1045,AB1045,AD1045,AF1045,AH1045,AJ1045,AL1045,AN1045)</f>
        <v>0</v>
      </c>
      <c r="AT1045" s="67" t="str">
        <f>IF(C1045="","",DATE(YEAR(C1045),MONTH(C1045),1))</f>
        <v/>
      </c>
      <c r="AU1045" s="66" t="str">
        <f>IF(AT1045="","",TEXT(AT1045,"mmmm yyyy"))</f>
        <v/>
      </c>
      <c r="AV1045" s="67" t="str">
        <f>IF(C1045="","",C1045-WEEKDAY(C1045,2)+1)</f>
        <v/>
      </c>
      <c r="AW1045" s="67" t="str">
        <f>IF(AV1045="","",AV1045+6)</f>
        <v/>
      </c>
      <c r="AX1045" s="66" t="str">
        <f>IF(AV1045="","",TEXT(AV1045,"dd/mm/yyyy")&amp;" - "&amp;TEXT(AW1045,"dd/mm/yyyy"))</f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>IF(B1045="","",TEXT(AY1045,"00")&amp;"|"&amp;B1045&amp;"|"&amp;TEXT(AT1045,"yyyymmdd"))</f>
        <v/>
      </c>
      <c r="BB1045" s="66" t="str">
        <f>IF(B1045="","",TEXT(AZ1045,"00")&amp;"|"&amp;B1045&amp;"|"&amp;TEXT(AV1045,"yyyymmdd"))</f>
        <v/>
      </c>
      <c r="BC1045" s="66">
        <f>IF(OR(AQ1045="YES",AQ1045="Yes",AQ1045="Y",AQ1045=1),1,0)</f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17">
        <f>SUM(H1046,J1046,L1046,N1046,P1046,R1046,T1046,V1046,X1046,Z1046,AB1046,AD1046,AF1046,AH1046,AJ1046,AL1046,AN1046)</f>
        <v>0</v>
      </c>
      <c r="AT1046" s="67" t="str">
        <f>IF(C1046="","",DATE(YEAR(C1046),MONTH(C1046),1))</f>
        <v/>
      </c>
      <c r="AU1046" s="66" t="str">
        <f>IF(AT1046="","",TEXT(AT1046,"mmmm yyyy"))</f>
        <v/>
      </c>
      <c r="AV1046" s="67" t="str">
        <f>IF(C1046="","",C1046-WEEKDAY(C1046,2)+1)</f>
        <v/>
      </c>
      <c r="AW1046" s="67" t="str">
        <f>IF(AV1046="","",AV1046+6)</f>
        <v/>
      </c>
      <c r="AX1046" s="66" t="str">
        <f>IF(AV1046="","",TEXT(AV1046,"dd/mm/yyyy")&amp;" - "&amp;TEXT(AW1046,"dd/mm/yyyy"))</f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>IF(B1046="","",TEXT(AY1046,"00")&amp;"|"&amp;B1046&amp;"|"&amp;TEXT(AT1046,"yyyymmdd"))</f>
        <v/>
      </c>
      <c r="BB1046" s="66" t="str">
        <f>IF(B1046="","",TEXT(AZ1046,"00")&amp;"|"&amp;B1046&amp;"|"&amp;TEXT(AV1046,"yyyymmdd"))</f>
        <v/>
      </c>
      <c r="BC1046" s="66">
        <f>IF(OR(AQ1046="YES",AQ1046="Yes",AQ1046="Y",AQ1046=1),1,0)</f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17">
        <f>SUM(H1047,J1047,L1047,N1047,P1047,R1047,T1047,V1047,X1047,Z1047,AB1047,AD1047,AF1047,AH1047,AJ1047,AL1047,AN1047)</f>
        <v>0</v>
      </c>
      <c r="AT1047" s="67" t="str">
        <f>IF(C1047="","",DATE(YEAR(C1047),MONTH(C1047),1))</f>
        <v/>
      </c>
      <c r="AU1047" s="66" t="str">
        <f>IF(AT1047="","",TEXT(AT1047,"mmmm yyyy"))</f>
        <v/>
      </c>
      <c r="AV1047" s="67" t="str">
        <f>IF(C1047="","",C1047-WEEKDAY(C1047,2)+1)</f>
        <v/>
      </c>
      <c r="AW1047" s="67" t="str">
        <f>IF(AV1047="","",AV1047+6)</f>
        <v/>
      </c>
      <c r="AX1047" s="66" t="str">
        <f>IF(AV1047="","",TEXT(AV1047,"dd/mm/yyyy")&amp;" - "&amp;TEXT(AW1047,"dd/mm/yyyy"))</f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>IF(B1047="","",TEXT(AY1047,"00")&amp;"|"&amp;B1047&amp;"|"&amp;TEXT(AT1047,"yyyymmdd"))</f>
        <v/>
      </c>
      <c r="BB1047" s="66" t="str">
        <f>IF(B1047="","",TEXT(AZ1047,"00")&amp;"|"&amp;B1047&amp;"|"&amp;TEXT(AV1047,"yyyymmdd"))</f>
        <v/>
      </c>
      <c r="BC1047" s="66">
        <f>IF(OR(AQ1047="YES",AQ1047="Yes",AQ1047="Y",AQ1047=1),1,0)</f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17">
        <f>SUM(H1048,J1048,L1048,N1048,P1048,R1048,T1048,V1048,X1048,Z1048,AB1048,AD1048,AF1048,AH1048,AJ1048,AL1048,AN1048)</f>
        <v>0</v>
      </c>
      <c r="AT1048" s="67" t="str">
        <f>IF(C1048="","",DATE(YEAR(C1048),MONTH(C1048),1))</f>
        <v/>
      </c>
      <c r="AU1048" s="66" t="str">
        <f>IF(AT1048="","",TEXT(AT1048,"mmmm yyyy"))</f>
        <v/>
      </c>
      <c r="AV1048" s="67" t="str">
        <f>IF(C1048="","",C1048-WEEKDAY(C1048,2)+1)</f>
        <v/>
      </c>
      <c r="AW1048" s="67" t="str">
        <f>IF(AV1048="","",AV1048+6)</f>
        <v/>
      </c>
      <c r="AX1048" s="66" t="str">
        <f>IF(AV1048="","",TEXT(AV1048,"dd/mm/yyyy")&amp;" - "&amp;TEXT(AW1048,"dd/mm/yyyy"))</f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>IF(B1048="","",TEXT(AY1048,"00")&amp;"|"&amp;B1048&amp;"|"&amp;TEXT(AT1048,"yyyymmdd"))</f>
        <v/>
      </c>
      <c r="BB1048" s="66" t="str">
        <f>IF(B1048="","",TEXT(AZ1048,"00")&amp;"|"&amp;B1048&amp;"|"&amp;TEXT(AV1048,"yyyymmdd"))</f>
        <v/>
      </c>
      <c r="BC1048" s="66">
        <f>IF(OR(AQ1048="YES",AQ1048="Yes",AQ1048="Y",AQ1048=1),1,0)</f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17">
        <f>SUM(H1049,J1049,L1049,N1049,P1049,R1049,T1049,V1049,X1049,Z1049,AB1049,AD1049,AF1049,AH1049,AJ1049,AL1049,AN1049)</f>
        <v>0</v>
      </c>
      <c r="AT1049" s="67" t="str">
        <f>IF(C1049="","",DATE(YEAR(C1049),MONTH(C1049),1))</f>
        <v/>
      </c>
      <c r="AU1049" s="66" t="str">
        <f>IF(AT1049="","",TEXT(AT1049,"mmmm yyyy"))</f>
        <v/>
      </c>
      <c r="AV1049" s="67" t="str">
        <f>IF(C1049="","",C1049-WEEKDAY(C1049,2)+1)</f>
        <v/>
      </c>
      <c r="AW1049" s="67" t="str">
        <f>IF(AV1049="","",AV1049+6)</f>
        <v/>
      </c>
      <c r="AX1049" s="66" t="str">
        <f>IF(AV1049="","",TEXT(AV1049,"dd/mm/yyyy")&amp;" - "&amp;TEXT(AW1049,"dd/mm/yyyy"))</f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>IF(B1049="","",TEXT(AY1049,"00")&amp;"|"&amp;B1049&amp;"|"&amp;TEXT(AT1049,"yyyymmdd"))</f>
        <v/>
      </c>
      <c r="BB1049" s="66" t="str">
        <f>IF(B1049="","",TEXT(AZ1049,"00")&amp;"|"&amp;B1049&amp;"|"&amp;TEXT(AV1049,"yyyymmdd"))</f>
        <v/>
      </c>
      <c r="BC1049" s="66">
        <f>IF(OR(AQ1049="YES",AQ1049="Yes",AQ1049="Y",AQ1049=1),1,0)</f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17">
        <f>SUM(H1050,J1050,L1050,N1050,P1050,R1050,T1050,V1050,X1050,Z1050,AB1050,AD1050,AF1050,AH1050,AJ1050,AL1050,AN1050)</f>
        <v>0</v>
      </c>
      <c r="AT1050" s="67" t="str">
        <f>IF(C1050="","",DATE(YEAR(C1050),MONTH(C1050),1))</f>
        <v/>
      </c>
      <c r="AU1050" s="66" t="str">
        <f>IF(AT1050="","",TEXT(AT1050,"mmmm yyyy"))</f>
        <v/>
      </c>
      <c r="AV1050" s="67" t="str">
        <f>IF(C1050="","",C1050-WEEKDAY(C1050,2)+1)</f>
        <v/>
      </c>
      <c r="AW1050" s="67" t="str">
        <f>IF(AV1050="","",AV1050+6)</f>
        <v/>
      </c>
      <c r="AX1050" s="66" t="str">
        <f>IF(AV1050="","",TEXT(AV1050,"dd/mm/yyyy")&amp;" - "&amp;TEXT(AW1050,"dd/mm/yyyy"))</f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>IF(B1050="","",TEXT(AY1050,"00")&amp;"|"&amp;B1050&amp;"|"&amp;TEXT(AT1050,"yyyymmdd"))</f>
        <v/>
      </c>
      <c r="BB1050" s="66" t="str">
        <f>IF(B1050="","",TEXT(AZ1050,"00")&amp;"|"&amp;B1050&amp;"|"&amp;TEXT(AV1050,"yyyymmdd"))</f>
        <v/>
      </c>
      <c r="BC1050" s="66">
        <f>IF(OR(AQ1050="YES",AQ1050="Yes",AQ1050="Y",AQ1050=1),1,0)</f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17">
        <f>SUM(H1051,J1051,L1051,N1051,P1051,R1051,T1051,V1051,X1051,Z1051,AB1051,AD1051,AF1051,AH1051,AJ1051,AL1051,AN1051)</f>
        <v>0</v>
      </c>
      <c r="AT1051" s="67" t="str">
        <f>IF(C1051="","",DATE(YEAR(C1051),MONTH(C1051),1))</f>
        <v/>
      </c>
      <c r="AU1051" s="66" t="str">
        <f>IF(AT1051="","",TEXT(AT1051,"mmmm yyyy"))</f>
        <v/>
      </c>
      <c r="AV1051" s="67" t="str">
        <f>IF(C1051="","",C1051-WEEKDAY(C1051,2)+1)</f>
        <v/>
      </c>
      <c r="AW1051" s="67" t="str">
        <f>IF(AV1051="","",AV1051+6)</f>
        <v/>
      </c>
      <c r="AX1051" s="66" t="str">
        <f>IF(AV1051="","",TEXT(AV1051,"dd/mm/yyyy")&amp;" - "&amp;TEXT(AW1051,"dd/mm/yyyy"))</f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>IF(B1051="","",TEXT(AY1051,"00")&amp;"|"&amp;B1051&amp;"|"&amp;TEXT(AT1051,"yyyymmdd"))</f>
        <v/>
      </c>
      <c r="BB1051" s="66" t="str">
        <f>IF(B1051="","",TEXT(AZ1051,"00")&amp;"|"&amp;B1051&amp;"|"&amp;TEXT(AV1051,"yyyymmdd"))</f>
        <v/>
      </c>
      <c r="BC1051" s="66">
        <f>IF(OR(AQ1051="YES",AQ1051="Yes",AQ1051="Y",AQ1051=1),1,0)</f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17">
        <f>SUM(H1052,J1052,L1052,N1052,P1052,R1052,T1052,V1052,X1052,Z1052,AB1052,AD1052,AF1052,AH1052,AJ1052,AL1052,AN1052)</f>
        <v>0</v>
      </c>
      <c r="AT1052" s="67" t="str">
        <f>IF(C1052="","",DATE(YEAR(C1052),MONTH(C1052),1))</f>
        <v/>
      </c>
      <c r="AU1052" s="66" t="str">
        <f>IF(AT1052="","",TEXT(AT1052,"mmmm yyyy"))</f>
        <v/>
      </c>
      <c r="AV1052" s="67" t="str">
        <f>IF(C1052="","",C1052-WEEKDAY(C1052,2)+1)</f>
        <v/>
      </c>
      <c r="AW1052" s="67" t="str">
        <f>IF(AV1052="","",AV1052+6)</f>
        <v/>
      </c>
      <c r="AX1052" s="66" t="str">
        <f>IF(AV1052="","",TEXT(AV1052,"dd/mm/yyyy")&amp;" - "&amp;TEXT(AW1052,"dd/mm/yyyy"))</f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>IF(B1052="","",TEXT(AY1052,"00")&amp;"|"&amp;B1052&amp;"|"&amp;TEXT(AT1052,"yyyymmdd"))</f>
        <v/>
      </c>
      <c r="BB1052" s="66" t="str">
        <f>IF(B1052="","",TEXT(AZ1052,"00")&amp;"|"&amp;B1052&amp;"|"&amp;TEXT(AV1052,"yyyymmdd"))</f>
        <v/>
      </c>
      <c r="BC1052" s="66">
        <f>IF(OR(AQ1052="YES",AQ1052="Yes",AQ1052="Y",AQ1052=1),1,0)</f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17">
        <f>SUM(H1053,J1053,L1053,N1053,P1053,R1053,T1053,V1053,X1053,Z1053,AB1053,AD1053,AF1053,AH1053,AJ1053,AL1053,AN1053)</f>
        <v>0</v>
      </c>
      <c r="AT1053" s="67" t="str">
        <f>IF(C1053="","",DATE(YEAR(C1053),MONTH(C1053),1))</f>
        <v/>
      </c>
      <c r="AU1053" s="66" t="str">
        <f>IF(AT1053="","",TEXT(AT1053,"mmmm yyyy"))</f>
        <v/>
      </c>
      <c r="AV1053" s="67" t="str">
        <f>IF(C1053="","",C1053-WEEKDAY(C1053,2)+1)</f>
        <v/>
      </c>
      <c r="AW1053" s="67" t="str">
        <f>IF(AV1053="","",AV1053+6)</f>
        <v/>
      </c>
      <c r="AX1053" s="66" t="str">
        <f>IF(AV1053="","",TEXT(AV1053,"dd/mm/yyyy")&amp;" - "&amp;TEXT(AW1053,"dd/mm/yyyy"))</f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>IF(B1053="","",TEXT(AY1053,"00")&amp;"|"&amp;B1053&amp;"|"&amp;TEXT(AT1053,"yyyymmdd"))</f>
        <v/>
      </c>
      <c r="BB1053" s="66" t="str">
        <f>IF(B1053="","",TEXT(AZ1053,"00")&amp;"|"&amp;B1053&amp;"|"&amp;TEXT(AV1053,"yyyymmdd"))</f>
        <v/>
      </c>
      <c r="BC1053" s="66">
        <f>IF(OR(AQ1053="YES",AQ1053="Yes",AQ1053="Y",AQ1053=1),1,0)</f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17">
        <f>SUM(H1054,J1054,L1054,N1054,P1054,R1054,T1054,V1054,X1054,Z1054,AB1054,AD1054,AF1054,AH1054,AJ1054,AL1054,AN1054)</f>
        <v>0</v>
      </c>
      <c r="AT1054" s="67" t="str">
        <f>IF(C1054="","",DATE(YEAR(C1054),MONTH(C1054),1))</f>
        <v/>
      </c>
      <c r="AU1054" s="66" t="str">
        <f>IF(AT1054="","",TEXT(AT1054,"mmmm yyyy"))</f>
        <v/>
      </c>
      <c r="AV1054" s="67" t="str">
        <f>IF(C1054="","",C1054-WEEKDAY(C1054,2)+1)</f>
        <v/>
      </c>
      <c r="AW1054" s="67" t="str">
        <f>IF(AV1054="","",AV1054+6)</f>
        <v/>
      </c>
      <c r="AX1054" s="66" t="str">
        <f>IF(AV1054="","",TEXT(AV1054,"dd/mm/yyyy")&amp;" - "&amp;TEXT(AW1054,"dd/mm/yyyy"))</f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>IF(B1054="","",TEXT(AY1054,"00")&amp;"|"&amp;B1054&amp;"|"&amp;TEXT(AT1054,"yyyymmdd"))</f>
        <v/>
      </c>
      <c r="BB1054" s="66" t="str">
        <f>IF(B1054="","",TEXT(AZ1054,"00")&amp;"|"&amp;B1054&amp;"|"&amp;TEXT(AV1054,"yyyymmdd"))</f>
        <v/>
      </c>
      <c r="BC1054" s="66">
        <f>IF(OR(AQ1054="YES",AQ1054="Yes",AQ1054="Y",AQ1054=1),1,0)</f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17">
        <f>SUM(H1055,J1055,L1055,N1055,P1055,R1055,T1055,V1055,X1055,Z1055,AB1055,AD1055,AF1055,AH1055,AJ1055,AL1055,AN1055)</f>
        <v>0</v>
      </c>
      <c r="AT1055" s="67" t="str">
        <f>IF(C1055="","",DATE(YEAR(C1055),MONTH(C1055),1))</f>
        <v/>
      </c>
      <c r="AU1055" s="66" t="str">
        <f>IF(AT1055="","",TEXT(AT1055,"mmmm yyyy"))</f>
        <v/>
      </c>
      <c r="AV1055" s="67" t="str">
        <f>IF(C1055="","",C1055-WEEKDAY(C1055,2)+1)</f>
        <v/>
      </c>
      <c r="AW1055" s="67" t="str">
        <f>IF(AV1055="","",AV1055+6)</f>
        <v/>
      </c>
      <c r="AX1055" s="66" t="str">
        <f>IF(AV1055="","",TEXT(AV1055,"dd/mm/yyyy")&amp;" - "&amp;TEXT(AW1055,"dd/mm/yyyy"))</f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>IF(B1055="","",TEXT(AY1055,"00")&amp;"|"&amp;B1055&amp;"|"&amp;TEXT(AT1055,"yyyymmdd"))</f>
        <v/>
      </c>
      <c r="BB1055" s="66" t="str">
        <f>IF(B1055="","",TEXT(AZ1055,"00")&amp;"|"&amp;B1055&amp;"|"&amp;TEXT(AV1055,"yyyymmdd"))</f>
        <v/>
      </c>
      <c r="BC1055" s="66">
        <f>IF(OR(AQ1055="YES",AQ1055="Yes",AQ1055="Y",AQ1055=1),1,0)</f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17">
        <f>SUM(H1056,J1056,L1056,N1056,P1056,R1056,T1056,V1056,X1056,Z1056,AB1056,AD1056,AF1056,AH1056,AJ1056,AL1056,AN1056)</f>
        <v>0</v>
      </c>
      <c r="AT1056" s="67" t="str">
        <f>IF(C1056="","",DATE(YEAR(C1056),MONTH(C1056),1))</f>
        <v/>
      </c>
      <c r="AU1056" s="66" t="str">
        <f>IF(AT1056="","",TEXT(AT1056,"mmmm yyyy"))</f>
        <v/>
      </c>
      <c r="AV1056" s="67" t="str">
        <f>IF(C1056="","",C1056-WEEKDAY(C1056,2)+1)</f>
        <v/>
      </c>
      <c r="AW1056" s="67" t="str">
        <f>IF(AV1056="","",AV1056+6)</f>
        <v/>
      </c>
      <c r="AX1056" s="66" t="str">
        <f>IF(AV1056="","",TEXT(AV1056,"dd/mm/yyyy")&amp;" - "&amp;TEXT(AW1056,"dd/mm/yyyy"))</f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>IF(B1056="","",TEXT(AY1056,"00")&amp;"|"&amp;B1056&amp;"|"&amp;TEXT(AT1056,"yyyymmdd"))</f>
        <v/>
      </c>
      <c r="BB1056" s="66" t="str">
        <f>IF(B1056="","",TEXT(AZ1056,"00")&amp;"|"&amp;B1056&amp;"|"&amp;TEXT(AV1056,"yyyymmdd"))</f>
        <v/>
      </c>
      <c r="BC1056" s="66">
        <f>IF(OR(AQ1056="YES",AQ1056="Yes",AQ1056="Y",AQ1056=1),1,0)</f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17">
        <f>SUM(H1057,J1057,L1057,N1057,P1057,R1057,T1057,V1057,X1057,Z1057,AB1057,AD1057,AF1057,AH1057,AJ1057,AL1057,AN1057)</f>
        <v>0</v>
      </c>
      <c r="AT1057" s="67" t="str">
        <f>IF(C1057="","",DATE(YEAR(C1057),MONTH(C1057),1))</f>
        <v/>
      </c>
      <c r="AU1057" s="66" t="str">
        <f>IF(AT1057="","",TEXT(AT1057,"mmmm yyyy"))</f>
        <v/>
      </c>
      <c r="AV1057" s="67" t="str">
        <f>IF(C1057="","",C1057-WEEKDAY(C1057,2)+1)</f>
        <v/>
      </c>
      <c r="AW1057" s="67" t="str">
        <f>IF(AV1057="","",AV1057+6)</f>
        <v/>
      </c>
      <c r="AX1057" s="66" t="str">
        <f>IF(AV1057="","",TEXT(AV1057,"dd/mm/yyyy")&amp;" - "&amp;TEXT(AW1057,"dd/mm/yyyy"))</f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>IF(B1057="","",TEXT(AY1057,"00")&amp;"|"&amp;B1057&amp;"|"&amp;TEXT(AT1057,"yyyymmdd"))</f>
        <v/>
      </c>
      <c r="BB1057" s="66" t="str">
        <f>IF(B1057="","",TEXT(AZ1057,"00")&amp;"|"&amp;B1057&amp;"|"&amp;TEXT(AV1057,"yyyymmdd"))</f>
        <v/>
      </c>
      <c r="BC1057" s="66">
        <f>IF(OR(AQ1057="YES",AQ1057="Yes",AQ1057="Y",AQ1057=1),1,0)</f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17">
        <f>SUM(H1058,J1058,L1058,N1058,P1058,R1058,T1058,V1058,X1058,Z1058,AB1058,AD1058,AF1058,AH1058,AJ1058,AL1058,AN1058)</f>
        <v>0</v>
      </c>
      <c r="AT1058" s="67" t="str">
        <f>IF(C1058="","",DATE(YEAR(C1058),MONTH(C1058),1))</f>
        <v/>
      </c>
      <c r="AU1058" s="66" t="str">
        <f>IF(AT1058="","",TEXT(AT1058,"mmmm yyyy"))</f>
        <v/>
      </c>
      <c r="AV1058" s="67" t="str">
        <f>IF(C1058="","",C1058-WEEKDAY(C1058,2)+1)</f>
        <v/>
      </c>
      <c r="AW1058" s="67" t="str">
        <f>IF(AV1058="","",AV1058+6)</f>
        <v/>
      </c>
      <c r="AX1058" s="66" t="str">
        <f>IF(AV1058="","",TEXT(AV1058,"dd/mm/yyyy")&amp;" - "&amp;TEXT(AW1058,"dd/mm/yyyy"))</f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>IF(B1058="","",TEXT(AY1058,"00")&amp;"|"&amp;B1058&amp;"|"&amp;TEXT(AT1058,"yyyymmdd"))</f>
        <v/>
      </c>
      <c r="BB1058" s="66" t="str">
        <f>IF(B1058="","",TEXT(AZ1058,"00")&amp;"|"&amp;B1058&amp;"|"&amp;TEXT(AV1058,"yyyymmdd"))</f>
        <v/>
      </c>
      <c r="BC1058" s="66">
        <f>IF(OR(AQ1058="YES",AQ1058="Yes",AQ1058="Y",AQ1058=1),1,0)</f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17">
        <f>SUM(H1059,J1059,L1059,N1059,P1059,R1059,T1059,V1059,X1059,Z1059,AB1059,AD1059,AF1059,AH1059,AJ1059,AL1059,AN1059)</f>
        <v>0</v>
      </c>
      <c r="AT1059" s="67" t="str">
        <f>IF(C1059="","",DATE(YEAR(C1059),MONTH(C1059),1))</f>
        <v/>
      </c>
      <c r="AU1059" s="66" t="str">
        <f>IF(AT1059="","",TEXT(AT1059,"mmmm yyyy"))</f>
        <v/>
      </c>
      <c r="AV1059" s="67" t="str">
        <f>IF(C1059="","",C1059-WEEKDAY(C1059,2)+1)</f>
        <v/>
      </c>
      <c r="AW1059" s="67" t="str">
        <f>IF(AV1059="","",AV1059+6)</f>
        <v/>
      </c>
      <c r="AX1059" s="66" t="str">
        <f>IF(AV1059="","",TEXT(AV1059,"dd/mm/yyyy")&amp;" - "&amp;TEXT(AW1059,"dd/mm/yyyy"))</f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>IF(B1059="","",TEXT(AY1059,"00")&amp;"|"&amp;B1059&amp;"|"&amp;TEXT(AT1059,"yyyymmdd"))</f>
        <v/>
      </c>
      <c r="BB1059" s="66" t="str">
        <f>IF(B1059="","",TEXT(AZ1059,"00")&amp;"|"&amp;B1059&amp;"|"&amp;TEXT(AV1059,"yyyymmdd"))</f>
        <v/>
      </c>
      <c r="BC1059" s="66">
        <f>IF(OR(AQ1059="YES",AQ1059="Yes",AQ1059="Y",AQ1059=1),1,0)</f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17">
        <f>SUM(H1060,J1060,L1060,N1060,P1060,R1060,T1060,V1060,X1060,Z1060,AB1060,AD1060,AF1060,AH1060,AJ1060,AL1060,AN1060)</f>
        <v>0</v>
      </c>
      <c r="AT1060" s="67" t="str">
        <f>IF(C1060="","",DATE(YEAR(C1060),MONTH(C1060),1))</f>
        <v/>
      </c>
      <c r="AU1060" s="66" t="str">
        <f>IF(AT1060="","",TEXT(AT1060,"mmmm yyyy"))</f>
        <v/>
      </c>
      <c r="AV1060" s="67" t="str">
        <f>IF(C1060="","",C1060-WEEKDAY(C1060,2)+1)</f>
        <v/>
      </c>
      <c r="AW1060" s="67" t="str">
        <f>IF(AV1060="","",AV1060+6)</f>
        <v/>
      </c>
      <c r="AX1060" s="66" t="str">
        <f>IF(AV1060="","",TEXT(AV1060,"dd/mm/yyyy")&amp;" - "&amp;TEXT(AW1060,"dd/mm/yyyy"))</f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>IF(B1060="","",TEXT(AY1060,"00")&amp;"|"&amp;B1060&amp;"|"&amp;TEXT(AT1060,"yyyymmdd"))</f>
        <v/>
      </c>
      <c r="BB1060" s="66" t="str">
        <f>IF(B1060="","",TEXT(AZ1060,"00")&amp;"|"&amp;B1060&amp;"|"&amp;TEXT(AV1060,"yyyymmdd"))</f>
        <v/>
      </c>
      <c r="BC1060" s="66">
        <f>IF(OR(AQ1060="YES",AQ1060="Yes",AQ1060="Y",AQ1060=1),1,0)</f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17">
        <f>SUM(H1061,J1061,L1061,N1061,P1061,R1061,T1061,V1061,X1061,Z1061,AB1061,AD1061,AF1061,AH1061,AJ1061,AL1061,AN1061)</f>
        <v>0</v>
      </c>
      <c r="AT1061" s="67" t="str">
        <f>IF(C1061="","",DATE(YEAR(C1061),MONTH(C1061),1))</f>
        <v/>
      </c>
      <c r="AU1061" s="66" t="str">
        <f>IF(AT1061="","",TEXT(AT1061,"mmmm yyyy"))</f>
        <v/>
      </c>
      <c r="AV1061" s="67" t="str">
        <f>IF(C1061="","",C1061-WEEKDAY(C1061,2)+1)</f>
        <v/>
      </c>
      <c r="AW1061" s="67" t="str">
        <f>IF(AV1061="","",AV1061+6)</f>
        <v/>
      </c>
      <c r="AX1061" s="66" t="str">
        <f>IF(AV1061="","",TEXT(AV1061,"dd/mm/yyyy")&amp;" - "&amp;TEXT(AW1061,"dd/mm/yyyy"))</f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>IF(B1061="","",TEXT(AY1061,"00")&amp;"|"&amp;B1061&amp;"|"&amp;TEXT(AT1061,"yyyymmdd"))</f>
        <v/>
      </c>
      <c r="BB1061" s="66" t="str">
        <f>IF(B1061="","",TEXT(AZ1061,"00")&amp;"|"&amp;B1061&amp;"|"&amp;TEXT(AV1061,"yyyymmdd"))</f>
        <v/>
      </c>
      <c r="BC1061" s="66">
        <f>IF(OR(AQ1061="YES",AQ1061="Yes",AQ1061="Y",AQ1061=1),1,0)</f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17">
        <f>SUM(H1062,J1062,L1062,N1062,P1062,R1062,T1062,V1062,X1062,Z1062,AB1062,AD1062,AF1062,AH1062,AJ1062,AL1062,AN1062)</f>
        <v>0</v>
      </c>
      <c r="AT1062" s="67" t="str">
        <f>IF(C1062="","",DATE(YEAR(C1062),MONTH(C1062),1))</f>
        <v/>
      </c>
      <c r="AU1062" s="66" t="str">
        <f>IF(AT1062="","",TEXT(AT1062,"mmmm yyyy"))</f>
        <v/>
      </c>
      <c r="AV1062" s="67" t="str">
        <f>IF(C1062="","",C1062-WEEKDAY(C1062,2)+1)</f>
        <v/>
      </c>
      <c r="AW1062" s="67" t="str">
        <f>IF(AV1062="","",AV1062+6)</f>
        <v/>
      </c>
      <c r="AX1062" s="66" t="str">
        <f>IF(AV1062="","",TEXT(AV1062,"dd/mm/yyyy")&amp;" - "&amp;TEXT(AW1062,"dd/mm/yyyy"))</f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>IF(B1062="","",TEXT(AY1062,"00")&amp;"|"&amp;B1062&amp;"|"&amp;TEXT(AT1062,"yyyymmdd"))</f>
        <v/>
      </c>
      <c r="BB1062" s="66" t="str">
        <f>IF(B1062="","",TEXT(AZ1062,"00")&amp;"|"&amp;B1062&amp;"|"&amp;TEXT(AV1062,"yyyymmdd"))</f>
        <v/>
      </c>
      <c r="BC1062" s="66">
        <f>IF(OR(AQ1062="YES",AQ1062="Yes",AQ1062="Y",AQ1062=1),1,0)</f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17">
        <f>SUM(H1063,J1063,L1063,N1063,P1063,R1063,T1063,V1063,X1063,Z1063,AB1063,AD1063,AF1063,AH1063,AJ1063,AL1063,AN1063)</f>
        <v>0</v>
      </c>
      <c r="AT1063" s="67" t="str">
        <f>IF(C1063="","",DATE(YEAR(C1063),MONTH(C1063),1))</f>
        <v/>
      </c>
      <c r="AU1063" s="66" t="str">
        <f>IF(AT1063="","",TEXT(AT1063,"mmmm yyyy"))</f>
        <v/>
      </c>
      <c r="AV1063" s="67" t="str">
        <f>IF(C1063="","",C1063-WEEKDAY(C1063,2)+1)</f>
        <v/>
      </c>
      <c r="AW1063" s="67" t="str">
        <f>IF(AV1063="","",AV1063+6)</f>
        <v/>
      </c>
      <c r="AX1063" s="66" t="str">
        <f>IF(AV1063="","",TEXT(AV1063,"dd/mm/yyyy")&amp;" - "&amp;TEXT(AW1063,"dd/mm/yyyy"))</f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>IF(B1063="","",TEXT(AY1063,"00")&amp;"|"&amp;B1063&amp;"|"&amp;TEXT(AT1063,"yyyymmdd"))</f>
        <v/>
      </c>
      <c r="BB1063" s="66" t="str">
        <f>IF(B1063="","",TEXT(AZ1063,"00")&amp;"|"&amp;B1063&amp;"|"&amp;TEXT(AV1063,"yyyymmdd"))</f>
        <v/>
      </c>
      <c r="BC1063" s="66">
        <f>IF(OR(AQ1063="YES",AQ1063="Yes",AQ1063="Y",AQ1063=1),1,0)</f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17">
        <f>SUM(H1064,J1064,L1064,N1064,P1064,R1064,T1064,V1064,X1064,Z1064,AB1064,AD1064,AF1064,AH1064,AJ1064,AL1064,AN1064)</f>
        <v>0</v>
      </c>
      <c r="AT1064" s="67" t="str">
        <f>IF(C1064="","",DATE(YEAR(C1064),MONTH(C1064),1))</f>
        <v/>
      </c>
      <c r="AU1064" s="66" t="str">
        <f>IF(AT1064="","",TEXT(AT1064,"mmmm yyyy"))</f>
        <v/>
      </c>
      <c r="AV1064" s="67" t="str">
        <f>IF(C1064="","",C1064-WEEKDAY(C1064,2)+1)</f>
        <v/>
      </c>
      <c r="AW1064" s="67" t="str">
        <f>IF(AV1064="","",AV1064+6)</f>
        <v/>
      </c>
      <c r="AX1064" s="66" t="str">
        <f>IF(AV1064="","",TEXT(AV1064,"dd/mm/yyyy")&amp;" - "&amp;TEXT(AW1064,"dd/mm/yyyy"))</f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>IF(B1064="","",TEXT(AY1064,"00")&amp;"|"&amp;B1064&amp;"|"&amp;TEXT(AT1064,"yyyymmdd"))</f>
        <v/>
      </c>
      <c r="BB1064" s="66" t="str">
        <f>IF(B1064="","",TEXT(AZ1064,"00")&amp;"|"&amp;B1064&amp;"|"&amp;TEXT(AV1064,"yyyymmdd"))</f>
        <v/>
      </c>
      <c r="BC1064" s="66">
        <f>IF(OR(AQ1064="YES",AQ1064="Yes",AQ1064="Y",AQ1064=1),1,0)</f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17">
        <f>SUM(H1065,J1065,L1065,N1065,P1065,R1065,T1065,V1065,X1065,Z1065,AB1065,AD1065,AF1065,AH1065,AJ1065,AL1065,AN1065)</f>
        <v>0</v>
      </c>
      <c r="AT1065" s="67" t="str">
        <f>IF(C1065="","",DATE(YEAR(C1065),MONTH(C1065),1))</f>
        <v/>
      </c>
      <c r="AU1065" s="66" t="str">
        <f>IF(AT1065="","",TEXT(AT1065,"mmmm yyyy"))</f>
        <v/>
      </c>
      <c r="AV1065" s="67" t="str">
        <f>IF(C1065="","",C1065-WEEKDAY(C1065,2)+1)</f>
        <v/>
      </c>
      <c r="AW1065" s="67" t="str">
        <f>IF(AV1065="","",AV1065+6)</f>
        <v/>
      </c>
      <c r="AX1065" s="66" t="str">
        <f>IF(AV1065="","",TEXT(AV1065,"dd/mm/yyyy")&amp;" - "&amp;TEXT(AW1065,"dd/mm/yyyy"))</f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>IF(B1065="","",TEXT(AY1065,"00")&amp;"|"&amp;B1065&amp;"|"&amp;TEXT(AT1065,"yyyymmdd"))</f>
        <v/>
      </c>
      <c r="BB1065" s="66" t="str">
        <f>IF(B1065="","",TEXT(AZ1065,"00")&amp;"|"&amp;B1065&amp;"|"&amp;TEXT(AV1065,"yyyymmdd"))</f>
        <v/>
      </c>
      <c r="BC1065" s="66">
        <f>IF(OR(AQ1065="YES",AQ1065="Yes",AQ1065="Y",AQ1065=1),1,0)</f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17">
        <f>SUM(H1066,J1066,L1066,N1066,P1066,R1066,T1066,V1066,X1066,Z1066,AB1066,AD1066,AF1066,AH1066,AJ1066,AL1066,AN1066)</f>
        <v>0</v>
      </c>
      <c r="AT1066" s="67" t="str">
        <f>IF(C1066="","",DATE(YEAR(C1066),MONTH(C1066),1))</f>
        <v/>
      </c>
      <c r="AU1066" s="66" t="str">
        <f>IF(AT1066="","",TEXT(AT1066,"mmmm yyyy"))</f>
        <v/>
      </c>
      <c r="AV1066" s="67" t="str">
        <f>IF(C1066="","",C1066-WEEKDAY(C1066,2)+1)</f>
        <v/>
      </c>
      <c r="AW1066" s="67" t="str">
        <f>IF(AV1066="","",AV1066+6)</f>
        <v/>
      </c>
      <c r="AX1066" s="66" t="str">
        <f>IF(AV1066="","",TEXT(AV1066,"dd/mm/yyyy")&amp;" - "&amp;TEXT(AW1066,"dd/mm/yyyy"))</f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>IF(B1066="","",TEXT(AY1066,"00")&amp;"|"&amp;B1066&amp;"|"&amp;TEXT(AT1066,"yyyymmdd"))</f>
        <v/>
      </c>
      <c r="BB1066" s="66" t="str">
        <f>IF(B1066="","",TEXT(AZ1066,"00")&amp;"|"&amp;B1066&amp;"|"&amp;TEXT(AV1066,"yyyymmdd"))</f>
        <v/>
      </c>
      <c r="BC1066" s="66">
        <f>IF(OR(AQ1066="YES",AQ1066="Yes",AQ1066="Y",AQ1066=1),1,0)</f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17">
        <f>SUM(H1067,J1067,L1067,N1067,P1067,R1067,T1067,V1067,X1067,Z1067,AB1067,AD1067,AF1067,AH1067,AJ1067,AL1067,AN1067)</f>
        <v>0</v>
      </c>
      <c r="AT1067" s="67" t="str">
        <f>IF(C1067="","",DATE(YEAR(C1067),MONTH(C1067),1))</f>
        <v/>
      </c>
      <c r="AU1067" s="66" t="str">
        <f>IF(AT1067="","",TEXT(AT1067,"mmmm yyyy"))</f>
        <v/>
      </c>
      <c r="AV1067" s="67" t="str">
        <f>IF(C1067="","",C1067-WEEKDAY(C1067,2)+1)</f>
        <v/>
      </c>
      <c r="AW1067" s="67" t="str">
        <f>IF(AV1067="","",AV1067+6)</f>
        <v/>
      </c>
      <c r="AX1067" s="66" t="str">
        <f>IF(AV1067="","",TEXT(AV1067,"dd/mm/yyyy")&amp;" - "&amp;TEXT(AW1067,"dd/mm/yyyy"))</f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>IF(B1067="","",TEXT(AY1067,"00")&amp;"|"&amp;B1067&amp;"|"&amp;TEXT(AT1067,"yyyymmdd"))</f>
        <v/>
      </c>
      <c r="BB1067" s="66" t="str">
        <f>IF(B1067="","",TEXT(AZ1067,"00")&amp;"|"&amp;B1067&amp;"|"&amp;TEXT(AV1067,"yyyymmdd"))</f>
        <v/>
      </c>
      <c r="BC1067" s="66">
        <f>IF(OR(AQ1067="YES",AQ1067="Yes",AQ1067="Y",AQ1067=1),1,0)</f>
        <v>0</v>
      </c>
    </row>
  </sheetData>
  <autoFilter ref="A4:BF1067" xr:uid="{00000000-0001-0000-0400-000000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B65AC50B-6C6F-49C2-A48B-2E309B393D9C}"/>
    <hyperlink ref="G58" r:id="rId2" xr:uid="{9D499F0F-F97C-4671-BCE1-41FD15D44EAF}"/>
    <hyperlink ref="G100" r:id="rId3" xr:uid="{9CA832D7-3510-4F92-818A-77540D34178C}"/>
    <hyperlink ref="BE139" r:id="rId4" xr:uid="{989ABC3D-3599-48A2-8FCB-083B92174B61}"/>
    <hyperlink ref="BE135" r:id="rId5" xr:uid="{3F427AB4-3DF1-4D13-97B9-8E430FBD9274}"/>
    <hyperlink ref="BE173" r:id="rId6" xr:uid="{B1B3FB19-2208-4AA7-83F5-8E00DBD8BB46}"/>
    <hyperlink ref="G126" r:id="rId7" xr:uid="{C44914A6-035A-4CFB-B552-848D4F0B34B0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2026-04-24T09:28:12Z</dcterms:created>
  <dcterms:modified xsi:type="dcterms:W3CDTF">2026-04-24T09:28:45Z</dcterms:modified>
</cp:coreProperties>
</file>