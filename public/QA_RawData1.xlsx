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A39EF5A3-7B1A-489F-99B5-F1D1F0255B43}" xr6:coauthVersionLast="47" xr6:coauthVersionMax="47" xr10:uidLastSave="{00000000-0000-0000-0000-000000000000}"/>
  <bookViews>
    <workbookView xWindow="-110" yWindow="-110" windowWidth="19420" windowHeight="10420" xr2:uid="{8E50BCCD-13A8-45D3-8DFA-84080D544136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X1069" i="1"/>
  <c r="AW1069" i="1"/>
  <c r="AV1069" i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W1064" i="1"/>
  <c r="AV1064" i="1"/>
  <c r="AX1064" i="1" s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U1055" i="1"/>
  <c r="AT1055" i="1"/>
  <c r="AS1055" i="1"/>
  <c r="BC1054" i="1"/>
  <c r="BB1054" i="1"/>
  <c r="BA1054" i="1"/>
  <c r="AZ1054" i="1"/>
  <c r="AY1054" i="1"/>
  <c r="AV1054" i="1"/>
  <c r="AX1054" i="1" s="1"/>
  <c r="AU1054" i="1"/>
  <c r="AT1054" i="1"/>
  <c r="AS1054" i="1"/>
  <c r="BC1053" i="1"/>
  <c r="BB1053" i="1"/>
  <c r="BA1053" i="1"/>
  <c r="AZ1053" i="1"/>
  <c r="AY1053" i="1"/>
  <c r="AX1053" i="1"/>
  <c r="AW1053" i="1"/>
  <c r="AV1053" i="1"/>
  <c r="AU1053" i="1"/>
  <c r="AT1053" i="1"/>
  <c r="AS1053" i="1"/>
  <c r="BC1052" i="1"/>
  <c r="BB1052" i="1"/>
  <c r="BA1052" i="1"/>
  <c r="AZ1052" i="1"/>
  <c r="AY1052" i="1"/>
  <c r="AX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W1049" i="1"/>
  <c r="AV1049" i="1"/>
  <c r="AX1049" i="1" s="1"/>
  <c r="AT1049" i="1"/>
  <c r="AU1049" i="1" s="1"/>
  <c r="AS1049" i="1"/>
  <c r="BC1048" i="1"/>
  <c r="BB1048" i="1"/>
  <c r="BA1048" i="1"/>
  <c r="AZ1048" i="1"/>
  <c r="AY1048" i="1"/>
  <c r="AW1048" i="1"/>
  <c r="AV1048" i="1"/>
  <c r="AX1048" i="1" s="1"/>
  <c r="AT1048" i="1"/>
  <c r="AU1048" i="1" s="1"/>
  <c r="AS1048" i="1"/>
  <c r="BC1047" i="1"/>
  <c r="BB1047" i="1"/>
  <c r="BA1047" i="1"/>
  <c r="AZ1047" i="1"/>
  <c r="AY1047" i="1"/>
  <c r="AX1047" i="1"/>
  <c r="AW1047" i="1"/>
  <c r="AV1047" i="1"/>
  <c r="AU1047" i="1"/>
  <c r="AT1047" i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X1045" i="1"/>
  <c r="AW1045" i="1"/>
  <c r="AV1045" i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W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X1039" i="1"/>
  <c r="AW1039" i="1"/>
  <c r="AV1039" i="1"/>
  <c r="AU1039" i="1"/>
  <c r="AT1039" i="1"/>
  <c r="AS1039" i="1"/>
  <c r="BC1038" i="1"/>
  <c r="BB1038" i="1"/>
  <c r="BA1038" i="1"/>
  <c r="AZ1038" i="1"/>
  <c r="AY1038" i="1"/>
  <c r="AX1038" i="1"/>
  <c r="AV1038" i="1"/>
  <c r="AW1038" i="1" s="1"/>
  <c r="AU1038" i="1"/>
  <c r="AT1038" i="1"/>
  <c r="AS1038" i="1"/>
  <c r="BC1037" i="1"/>
  <c r="BB1037" i="1"/>
  <c r="BA1037" i="1"/>
  <c r="AZ1037" i="1"/>
  <c r="AY1037" i="1"/>
  <c r="AX1037" i="1"/>
  <c r="AW1037" i="1"/>
  <c r="AV1037" i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T1033" i="1"/>
  <c r="AU1033" i="1" s="1"/>
  <c r="AS1033" i="1"/>
  <c r="BC1032" i="1"/>
  <c r="BB1032" i="1"/>
  <c r="BA1032" i="1"/>
  <c r="AZ1032" i="1"/>
  <c r="AY1032" i="1"/>
  <c r="AW1032" i="1"/>
  <c r="AV1032" i="1"/>
  <c r="AX1032" i="1" s="1"/>
  <c r="AT1032" i="1"/>
  <c r="AU1032" i="1" s="1"/>
  <c r="AS1032" i="1"/>
  <c r="BC1031" i="1"/>
  <c r="BB1031" i="1"/>
  <c r="BA1031" i="1"/>
  <c r="AZ1031" i="1"/>
  <c r="AY1031" i="1"/>
  <c r="AX1031" i="1"/>
  <c r="AW1031" i="1"/>
  <c r="AV1031" i="1"/>
  <c r="AU1031" i="1"/>
  <c r="AT1031" i="1"/>
  <c r="AS1031" i="1"/>
  <c r="BC1030" i="1"/>
  <c r="BB1030" i="1"/>
  <c r="BA1030" i="1"/>
  <c r="AZ1030" i="1"/>
  <c r="AY1030" i="1"/>
  <c r="AX1030" i="1"/>
  <c r="AV1030" i="1"/>
  <c r="AW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X1023" i="1"/>
  <c r="AW1023" i="1"/>
  <c r="AV1023" i="1"/>
  <c r="AU1023" i="1"/>
  <c r="AT1023" i="1"/>
  <c r="AS1023" i="1"/>
  <c r="BC1022" i="1"/>
  <c r="BB1022" i="1"/>
  <c r="BA1022" i="1"/>
  <c r="AZ1022" i="1"/>
  <c r="AY1022" i="1"/>
  <c r="AX1022" i="1"/>
  <c r="AW1022" i="1"/>
  <c r="AV1022" i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V1020" i="1"/>
  <c r="AX1020" i="1" s="1"/>
  <c r="AU1020" i="1"/>
  <c r="AT1020" i="1"/>
  <c r="AS1020" i="1"/>
  <c r="BC1019" i="1"/>
  <c r="BB1019" i="1"/>
  <c r="BA1019" i="1"/>
  <c r="AZ1019" i="1"/>
  <c r="AY1019" i="1"/>
  <c r="AV1019" i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T1017" i="1"/>
  <c r="AU1017" i="1" s="1"/>
  <c r="AS1017" i="1"/>
  <c r="BC1016" i="1"/>
  <c r="BB1016" i="1"/>
  <c r="BA1016" i="1"/>
  <c r="AZ1016" i="1"/>
  <c r="AY1016" i="1"/>
  <c r="AW1016" i="1"/>
  <c r="AV1016" i="1"/>
  <c r="AX1016" i="1" s="1"/>
  <c r="AT1016" i="1"/>
  <c r="AU1016" i="1" s="1"/>
  <c r="AS1016" i="1"/>
  <c r="BC1015" i="1"/>
  <c r="BB1015" i="1"/>
  <c r="BA1015" i="1"/>
  <c r="AZ1015" i="1"/>
  <c r="AY1015" i="1"/>
  <c r="AX1015" i="1"/>
  <c r="AW1015" i="1"/>
  <c r="AV1015" i="1"/>
  <c r="AU1015" i="1"/>
  <c r="AT1015" i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U1013" i="1"/>
  <c r="AT1013" i="1"/>
  <c r="AS1013" i="1"/>
  <c r="BC1012" i="1"/>
  <c r="BB1012" i="1"/>
  <c r="BA1012" i="1"/>
  <c r="AZ1012" i="1"/>
  <c r="AY1012" i="1"/>
  <c r="AV1012" i="1"/>
  <c r="AX1012" i="1" s="1"/>
  <c r="AU1012" i="1"/>
  <c r="AT1012" i="1"/>
  <c r="AS1012" i="1"/>
  <c r="BC1011" i="1"/>
  <c r="BB1011" i="1"/>
  <c r="BA1011" i="1"/>
  <c r="AZ1011" i="1"/>
  <c r="AY1011" i="1"/>
  <c r="AV1011" i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W1008" i="1"/>
  <c r="AV1008" i="1"/>
  <c r="AX1008" i="1" s="1"/>
  <c r="AT1008" i="1"/>
  <c r="AU1008" i="1" s="1"/>
  <c r="AS1008" i="1"/>
  <c r="BC1007" i="1"/>
  <c r="BB1007" i="1"/>
  <c r="BA1007" i="1"/>
  <c r="AZ1007" i="1"/>
  <c r="AY1007" i="1"/>
  <c r="AX1007" i="1"/>
  <c r="AW1007" i="1"/>
  <c r="AV1007" i="1"/>
  <c r="AU1007" i="1"/>
  <c r="AT1007" i="1"/>
  <c r="AS1007" i="1"/>
  <c r="BC1006" i="1"/>
  <c r="BB1006" i="1"/>
  <c r="BA1006" i="1"/>
  <c r="AZ1006" i="1"/>
  <c r="AY1006" i="1"/>
  <c r="AX1006" i="1"/>
  <c r="AW1006" i="1"/>
  <c r="AV1006" i="1"/>
  <c r="AU1006" i="1"/>
  <c r="AT1006" i="1"/>
  <c r="AS1006" i="1"/>
  <c r="BC1005" i="1"/>
  <c r="BB1005" i="1"/>
  <c r="BA1005" i="1"/>
  <c r="AZ1005" i="1"/>
  <c r="AY1005" i="1"/>
  <c r="AX1005" i="1"/>
  <c r="AW1005" i="1"/>
  <c r="AV1005" i="1"/>
  <c r="AU1005" i="1"/>
  <c r="AT1005" i="1"/>
  <c r="AS1005" i="1"/>
  <c r="BC1004" i="1"/>
  <c r="BB1004" i="1"/>
  <c r="BA1004" i="1"/>
  <c r="AZ1004" i="1"/>
  <c r="AY1004" i="1"/>
  <c r="AV1004" i="1"/>
  <c r="AX1004" i="1" s="1"/>
  <c r="AU1004" i="1"/>
  <c r="AT1004" i="1"/>
  <c r="AS1004" i="1"/>
  <c r="BC1003" i="1"/>
  <c r="BB1003" i="1"/>
  <c r="BA1003" i="1"/>
  <c r="AZ1003" i="1"/>
  <c r="AY1003" i="1"/>
  <c r="AV1003" i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W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X999" i="1"/>
  <c r="AW999" i="1"/>
  <c r="AV999" i="1"/>
  <c r="AU999" i="1"/>
  <c r="AT999" i="1"/>
  <c r="AS999" i="1"/>
  <c r="BC998" i="1"/>
  <c r="BB998" i="1"/>
  <c r="BA998" i="1"/>
  <c r="AZ998" i="1"/>
  <c r="AY998" i="1"/>
  <c r="AX998" i="1"/>
  <c r="AW998" i="1"/>
  <c r="AV998" i="1"/>
  <c r="AT998" i="1"/>
  <c r="AU998" i="1" s="1"/>
  <c r="AS998" i="1"/>
  <c r="BC997" i="1"/>
  <c r="BB997" i="1"/>
  <c r="BA997" i="1"/>
  <c r="AZ997" i="1"/>
  <c r="AY997" i="1"/>
  <c r="AX997" i="1"/>
  <c r="AW997" i="1"/>
  <c r="AV997" i="1"/>
  <c r="AU997" i="1"/>
  <c r="AT997" i="1"/>
  <c r="AS997" i="1"/>
  <c r="BC996" i="1"/>
  <c r="BB996" i="1"/>
  <c r="BA996" i="1"/>
  <c r="AZ996" i="1"/>
  <c r="AY996" i="1"/>
  <c r="AV996" i="1"/>
  <c r="AX996" i="1" s="1"/>
  <c r="AU996" i="1"/>
  <c r="AT996" i="1"/>
  <c r="AS996" i="1"/>
  <c r="BC995" i="1"/>
  <c r="BB995" i="1"/>
  <c r="BA995" i="1"/>
  <c r="AZ995" i="1"/>
  <c r="AY995" i="1"/>
  <c r="AV995" i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X991" i="1"/>
  <c r="AW991" i="1"/>
  <c r="AV991" i="1"/>
  <c r="AU991" i="1"/>
  <c r="AT991" i="1"/>
  <c r="AS991" i="1"/>
  <c r="BC990" i="1"/>
  <c r="BB990" i="1"/>
  <c r="BA990" i="1"/>
  <c r="AZ990" i="1"/>
  <c r="AY990" i="1"/>
  <c r="AX990" i="1"/>
  <c r="AW990" i="1"/>
  <c r="AV990" i="1"/>
  <c r="AT990" i="1"/>
  <c r="AU990" i="1" s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V988" i="1"/>
  <c r="AX988" i="1" s="1"/>
  <c r="AU988" i="1"/>
  <c r="AT988" i="1"/>
  <c r="AS988" i="1"/>
  <c r="BC987" i="1"/>
  <c r="BB987" i="1"/>
  <c r="BA987" i="1"/>
  <c r="AZ987" i="1"/>
  <c r="AY987" i="1"/>
  <c r="AV987" i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W984" i="1"/>
  <c r="AV984" i="1"/>
  <c r="AX984" i="1" s="1"/>
  <c r="AT984" i="1"/>
  <c r="AU984" i="1" s="1"/>
  <c r="AS984" i="1"/>
  <c r="BC983" i="1"/>
  <c r="BB983" i="1"/>
  <c r="BA983" i="1"/>
  <c r="AZ983" i="1"/>
  <c r="AY983" i="1"/>
  <c r="AX983" i="1"/>
  <c r="AW983" i="1"/>
  <c r="AV983" i="1"/>
  <c r="AU983" i="1"/>
  <c r="AT983" i="1"/>
  <c r="AS983" i="1"/>
  <c r="BC982" i="1"/>
  <c r="BB982" i="1"/>
  <c r="BA982" i="1"/>
  <c r="AZ982" i="1"/>
  <c r="AY982" i="1"/>
  <c r="AX982" i="1"/>
  <c r="AW982" i="1"/>
  <c r="AV982" i="1"/>
  <c r="AT982" i="1"/>
  <c r="AU982" i="1" s="1"/>
  <c r="AS982" i="1"/>
  <c r="BC981" i="1"/>
  <c r="BB981" i="1"/>
  <c r="BA981" i="1"/>
  <c r="AZ981" i="1"/>
  <c r="AY981" i="1"/>
  <c r="AX981" i="1"/>
  <c r="AW981" i="1"/>
  <c r="AV981" i="1"/>
  <c r="AU981" i="1"/>
  <c r="AT981" i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V979" i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W977" i="1"/>
  <c r="AV977" i="1"/>
  <c r="AX977" i="1" s="1"/>
  <c r="AT977" i="1"/>
  <c r="AU977" i="1" s="1"/>
  <c r="AS977" i="1"/>
  <c r="BC976" i="1"/>
  <c r="BB976" i="1"/>
  <c r="BA976" i="1"/>
  <c r="AZ976" i="1"/>
  <c r="AY976" i="1"/>
  <c r="AW976" i="1"/>
  <c r="AV976" i="1"/>
  <c r="AX976" i="1" s="1"/>
  <c r="AT976" i="1"/>
  <c r="AU976" i="1" s="1"/>
  <c r="AS976" i="1"/>
  <c r="BC975" i="1"/>
  <c r="BB975" i="1"/>
  <c r="BA975" i="1"/>
  <c r="AZ975" i="1"/>
  <c r="AY975" i="1"/>
  <c r="AX975" i="1"/>
  <c r="AW975" i="1"/>
  <c r="AV975" i="1"/>
  <c r="AU975" i="1"/>
  <c r="AT975" i="1"/>
  <c r="AS975" i="1"/>
  <c r="BC974" i="1"/>
  <c r="BB974" i="1"/>
  <c r="BA974" i="1"/>
  <c r="AZ974" i="1"/>
  <c r="AY974" i="1"/>
  <c r="AX974" i="1"/>
  <c r="AW974" i="1"/>
  <c r="AV974" i="1"/>
  <c r="AU974" i="1"/>
  <c r="AT974" i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V972" i="1"/>
  <c r="AX972" i="1" s="1"/>
  <c r="AU972" i="1"/>
  <c r="AT972" i="1"/>
  <c r="AS972" i="1"/>
  <c r="BC971" i="1"/>
  <c r="BB971" i="1"/>
  <c r="BA971" i="1"/>
  <c r="AZ971" i="1"/>
  <c r="AY971" i="1"/>
  <c r="AV971" i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W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X967" i="1"/>
  <c r="AW967" i="1"/>
  <c r="AV967" i="1"/>
  <c r="AU967" i="1"/>
  <c r="AT967" i="1"/>
  <c r="AS967" i="1"/>
  <c r="BC966" i="1"/>
  <c r="BB966" i="1"/>
  <c r="BA966" i="1"/>
  <c r="AZ966" i="1"/>
  <c r="AY966" i="1"/>
  <c r="AX966" i="1"/>
  <c r="AW966" i="1"/>
  <c r="AV966" i="1"/>
  <c r="AT966" i="1"/>
  <c r="AU966" i="1" s="1"/>
  <c r="AS966" i="1"/>
  <c r="BC965" i="1"/>
  <c r="BB965" i="1"/>
  <c r="BA965" i="1"/>
  <c r="AZ965" i="1"/>
  <c r="AY965" i="1"/>
  <c r="AX965" i="1"/>
  <c r="AW965" i="1"/>
  <c r="AV965" i="1"/>
  <c r="AU965" i="1"/>
  <c r="AT965" i="1"/>
  <c r="AS965" i="1"/>
  <c r="BC964" i="1"/>
  <c r="BB964" i="1"/>
  <c r="BA964" i="1"/>
  <c r="AZ964" i="1"/>
  <c r="AY964" i="1"/>
  <c r="AV964" i="1"/>
  <c r="AX964" i="1" s="1"/>
  <c r="AU964" i="1"/>
  <c r="AT964" i="1"/>
  <c r="AS964" i="1"/>
  <c r="BC963" i="1"/>
  <c r="BB963" i="1"/>
  <c r="BA963" i="1"/>
  <c r="AZ963" i="1"/>
  <c r="AY963" i="1"/>
  <c r="AV963" i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W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X959" i="1"/>
  <c r="AW959" i="1"/>
  <c r="AV959" i="1"/>
  <c r="AU959" i="1"/>
  <c r="AT959" i="1"/>
  <c r="AS959" i="1"/>
  <c r="BC958" i="1"/>
  <c r="BB958" i="1"/>
  <c r="BA958" i="1"/>
  <c r="AZ958" i="1"/>
  <c r="AY958" i="1"/>
  <c r="AX958" i="1"/>
  <c r="AW958" i="1"/>
  <c r="AV958" i="1"/>
  <c r="AT958" i="1"/>
  <c r="AU958" i="1" s="1"/>
  <c r="AS958" i="1"/>
  <c r="BC957" i="1"/>
  <c r="BB957" i="1"/>
  <c r="BA957" i="1"/>
  <c r="AZ957" i="1"/>
  <c r="AY957" i="1"/>
  <c r="AX957" i="1"/>
  <c r="AW957" i="1"/>
  <c r="AV957" i="1"/>
  <c r="AU957" i="1"/>
  <c r="AT957" i="1"/>
  <c r="AS957" i="1"/>
  <c r="BC956" i="1"/>
  <c r="BB956" i="1"/>
  <c r="BA956" i="1"/>
  <c r="AZ956" i="1"/>
  <c r="AY956" i="1"/>
  <c r="AV956" i="1"/>
  <c r="AX956" i="1" s="1"/>
  <c r="AU956" i="1"/>
  <c r="AT956" i="1"/>
  <c r="AS956" i="1"/>
  <c r="BC955" i="1"/>
  <c r="BB955" i="1"/>
  <c r="BA955" i="1"/>
  <c r="AZ955" i="1"/>
  <c r="AY955" i="1"/>
  <c r="AV955" i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W953" i="1"/>
  <c r="AV953" i="1"/>
  <c r="AX953" i="1" s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T952" i="1"/>
  <c r="AU952" i="1" s="1"/>
  <c r="AS952" i="1"/>
  <c r="BC951" i="1"/>
  <c r="BB951" i="1"/>
  <c r="BA951" i="1"/>
  <c r="AZ951" i="1"/>
  <c r="AY951" i="1"/>
  <c r="AX951" i="1"/>
  <c r="AW951" i="1"/>
  <c r="AV951" i="1"/>
  <c r="AU951" i="1"/>
  <c r="AT951" i="1"/>
  <c r="AS951" i="1"/>
  <c r="BC950" i="1"/>
  <c r="BB950" i="1"/>
  <c r="BA950" i="1"/>
  <c r="AZ950" i="1"/>
  <c r="AY950" i="1"/>
  <c r="AX950" i="1"/>
  <c r="AW950" i="1"/>
  <c r="AV950" i="1"/>
  <c r="AT950" i="1"/>
  <c r="AU950" i="1" s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V948" i="1"/>
  <c r="AX948" i="1" s="1"/>
  <c r="AU948" i="1"/>
  <c r="AT948" i="1"/>
  <c r="AS948" i="1"/>
  <c r="BC947" i="1"/>
  <c r="BB947" i="1"/>
  <c r="BA947" i="1"/>
  <c r="AZ947" i="1"/>
  <c r="AY947" i="1"/>
  <c r="AV947" i="1"/>
  <c r="AU947" i="1"/>
  <c r="AT947" i="1"/>
  <c r="AS947" i="1"/>
  <c r="BC946" i="1"/>
  <c r="BB946" i="1"/>
  <c r="BA946" i="1"/>
  <c r="AZ946" i="1"/>
  <c r="AY946" i="1"/>
  <c r="AX946" i="1"/>
  <c r="AV946" i="1"/>
  <c r="AW946" i="1" s="1"/>
  <c r="AT946" i="1"/>
  <c r="AU946" i="1" s="1"/>
  <c r="AS946" i="1"/>
  <c r="BC945" i="1"/>
  <c r="BB945" i="1"/>
  <c r="BA945" i="1"/>
  <c r="AZ945" i="1"/>
  <c r="AY945" i="1"/>
  <c r="AW945" i="1"/>
  <c r="AV945" i="1"/>
  <c r="AX945" i="1" s="1"/>
  <c r="AT945" i="1"/>
  <c r="AU945" i="1" s="1"/>
  <c r="AS945" i="1"/>
  <c r="BC944" i="1"/>
  <c r="BB944" i="1"/>
  <c r="BA944" i="1"/>
  <c r="AZ944" i="1"/>
  <c r="AY944" i="1"/>
  <c r="AW944" i="1"/>
  <c r="AV944" i="1"/>
  <c r="AX944" i="1" s="1"/>
  <c r="AT944" i="1"/>
  <c r="AU944" i="1" s="1"/>
  <c r="AS944" i="1"/>
  <c r="BC943" i="1"/>
  <c r="BB943" i="1"/>
  <c r="BA943" i="1"/>
  <c r="AZ943" i="1"/>
  <c r="AY943" i="1"/>
  <c r="AX943" i="1"/>
  <c r="AW943" i="1"/>
  <c r="AV943" i="1"/>
  <c r="AU943" i="1"/>
  <c r="AT943" i="1"/>
  <c r="AS943" i="1"/>
  <c r="BC942" i="1"/>
  <c r="BB942" i="1"/>
  <c r="BA942" i="1"/>
  <c r="AZ942" i="1"/>
  <c r="AY942" i="1"/>
  <c r="AX942" i="1"/>
  <c r="AW942" i="1"/>
  <c r="AV942" i="1"/>
  <c r="AU942" i="1"/>
  <c r="AT942" i="1"/>
  <c r="AS942" i="1"/>
  <c r="BC941" i="1"/>
  <c r="BB941" i="1"/>
  <c r="BA941" i="1"/>
  <c r="AZ941" i="1"/>
  <c r="AY941" i="1"/>
  <c r="AX941" i="1"/>
  <c r="AW941" i="1"/>
  <c r="AV941" i="1"/>
  <c r="AU941" i="1"/>
  <c r="AT941" i="1"/>
  <c r="AS941" i="1"/>
  <c r="BC940" i="1"/>
  <c r="BB940" i="1"/>
  <c r="BA940" i="1"/>
  <c r="AZ940" i="1"/>
  <c r="AY940" i="1"/>
  <c r="AV940" i="1"/>
  <c r="AX940" i="1" s="1"/>
  <c r="AU940" i="1"/>
  <c r="AT940" i="1"/>
  <c r="AS940" i="1"/>
  <c r="BC939" i="1"/>
  <c r="BB939" i="1"/>
  <c r="BA939" i="1"/>
  <c r="AZ939" i="1"/>
  <c r="AY939" i="1"/>
  <c r="AV939" i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X935" i="1"/>
  <c r="AW935" i="1"/>
  <c r="AV935" i="1"/>
  <c r="AU935" i="1"/>
  <c r="AT935" i="1"/>
  <c r="AS935" i="1"/>
  <c r="BC934" i="1"/>
  <c r="BB934" i="1"/>
  <c r="BA934" i="1"/>
  <c r="AZ934" i="1"/>
  <c r="AY934" i="1"/>
  <c r="AX934" i="1"/>
  <c r="AW934" i="1"/>
  <c r="AV934" i="1"/>
  <c r="AT934" i="1"/>
  <c r="AU934" i="1" s="1"/>
  <c r="AS934" i="1"/>
  <c r="BC933" i="1"/>
  <c r="BB933" i="1"/>
  <c r="BA933" i="1"/>
  <c r="AZ933" i="1"/>
  <c r="AY933" i="1"/>
  <c r="AX933" i="1"/>
  <c r="AW933" i="1"/>
  <c r="AV933" i="1"/>
  <c r="AU933" i="1"/>
  <c r="AT933" i="1"/>
  <c r="AS933" i="1"/>
  <c r="BC932" i="1"/>
  <c r="BB932" i="1"/>
  <c r="BA932" i="1"/>
  <c r="AZ932" i="1"/>
  <c r="AY932" i="1"/>
  <c r="AV932" i="1"/>
  <c r="AX932" i="1" s="1"/>
  <c r="AU932" i="1"/>
  <c r="AT932" i="1"/>
  <c r="AS932" i="1"/>
  <c r="BC931" i="1"/>
  <c r="BB931" i="1"/>
  <c r="BA931" i="1"/>
  <c r="AZ931" i="1"/>
  <c r="AY931" i="1"/>
  <c r="AV931" i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X927" i="1"/>
  <c r="AW927" i="1"/>
  <c r="AV927" i="1"/>
  <c r="AU927" i="1"/>
  <c r="AT927" i="1"/>
  <c r="AS927" i="1"/>
  <c r="BC926" i="1"/>
  <c r="BB926" i="1"/>
  <c r="BA926" i="1"/>
  <c r="AZ926" i="1"/>
  <c r="AY926" i="1"/>
  <c r="AX926" i="1"/>
  <c r="AW926" i="1"/>
  <c r="AV926" i="1"/>
  <c r="AT926" i="1"/>
  <c r="AU926" i="1" s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V924" i="1"/>
  <c r="AX924" i="1" s="1"/>
  <c r="AU924" i="1"/>
  <c r="AT924" i="1"/>
  <c r="AS924" i="1"/>
  <c r="BC923" i="1"/>
  <c r="BB923" i="1"/>
  <c r="BA923" i="1"/>
  <c r="AZ923" i="1"/>
  <c r="AY923" i="1"/>
  <c r="AV923" i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W920" i="1"/>
  <c r="AV920" i="1"/>
  <c r="AX920" i="1" s="1"/>
  <c r="AT920" i="1"/>
  <c r="AU920" i="1" s="1"/>
  <c r="AS920" i="1"/>
  <c r="BC919" i="1"/>
  <c r="BB919" i="1"/>
  <c r="BA919" i="1"/>
  <c r="AZ919" i="1"/>
  <c r="AY919" i="1"/>
  <c r="AX919" i="1"/>
  <c r="AW919" i="1"/>
  <c r="AV919" i="1"/>
  <c r="AU919" i="1"/>
  <c r="AT919" i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X917" i="1"/>
  <c r="AW917" i="1"/>
  <c r="AV917" i="1"/>
  <c r="AU917" i="1"/>
  <c r="AT917" i="1"/>
  <c r="AS917" i="1"/>
  <c r="BC916" i="1"/>
  <c r="BB916" i="1"/>
  <c r="BA916" i="1"/>
  <c r="AZ916" i="1"/>
  <c r="AY916" i="1"/>
  <c r="AV916" i="1"/>
  <c r="AX916" i="1" s="1"/>
  <c r="AU916" i="1"/>
  <c r="AT916" i="1"/>
  <c r="AS916" i="1"/>
  <c r="BC915" i="1"/>
  <c r="BB915" i="1"/>
  <c r="BA915" i="1"/>
  <c r="AZ915" i="1"/>
  <c r="AY915" i="1"/>
  <c r="AV915" i="1"/>
  <c r="AU915" i="1"/>
  <c r="AT915" i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W912" i="1"/>
  <c r="AV912" i="1"/>
  <c r="AX912" i="1" s="1"/>
  <c r="AT912" i="1"/>
  <c r="AU912" i="1" s="1"/>
  <c r="AS912" i="1"/>
  <c r="BC911" i="1"/>
  <c r="BB911" i="1"/>
  <c r="BA911" i="1"/>
  <c r="AZ911" i="1"/>
  <c r="AY911" i="1"/>
  <c r="AX911" i="1"/>
  <c r="AW911" i="1"/>
  <c r="AV911" i="1"/>
  <c r="AU911" i="1"/>
  <c r="AT911" i="1"/>
  <c r="AS911" i="1"/>
  <c r="BC910" i="1"/>
  <c r="BB910" i="1"/>
  <c r="BA910" i="1"/>
  <c r="AZ910" i="1"/>
  <c r="AY910" i="1"/>
  <c r="AX910" i="1"/>
  <c r="AW910" i="1"/>
  <c r="AV910" i="1"/>
  <c r="AU910" i="1"/>
  <c r="AT910" i="1"/>
  <c r="AS910" i="1"/>
  <c r="BC909" i="1"/>
  <c r="BB909" i="1"/>
  <c r="BA909" i="1"/>
  <c r="AZ909" i="1"/>
  <c r="AY909" i="1"/>
  <c r="AX909" i="1"/>
  <c r="AW909" i="1"/>
  <c r="AV909" i="1"/>
  <c r="AU909" i="1"/>
  <c r="AT909" i="1"/>
  <c r="AS909" i="1"/>
  <c r="BC908" i="1"/>
  <c r="BB908" i="1"/>
  <c r="BA908" i="1"/>
  <c r="AZ908" i="1"/>
  <c r="AY908" i="1"/>
  <c r="AV908" i="1"/>
  <c r="AX908" i="1" s="1"/>
  <c r="AU908" i="1"/>
  <c r="AT908" i="1"/>
  <c r="AS908" i="1"/>
  <c r="BC907" i="1"/>
  <c r="BB907" i="1"/>
  <c r="BA907" i="1"/>
  <c r="AZ907" i="1"/>
  <c r="AY907" i="1"/>
  <c r="AV907" i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X903" i="1"/>
  <c r="AW903" i="1"/>
  <c r="AV903" i="1"/>
  <c r="AU903" i="1"/>
  <c r="AT903" i="1"/>
  <c r="AS903" i="1"/>
  <c r="BC902" i="1"/>
  <c r="BB902" i="1"/>
  <c r="BA902" i="1"/>
  <c r="AZ902" i="1"/>
  <c r="AY902" i="1"/>
  <c r="AX902" i="1"/>
  <c r="AW902" i="1"/>
  <c r="AV902" i="1"/>
  <c r="AT902" i="1"/>
  <c r="AU902" i="1" s="1"/>
  <c r="AS902" i="1"/>
  <c r="BC901" i="1"/>
  <c r="BB901" i="1"/>
  <c r="BA901" i="1"/>
  <c r="AZ901" i="1"/>
  <c r="AY901" i="1"/>
  <c r="AX901" i="1"/>
  <c r="AW901" i="1"/>
  <c r="AV901" i="1"/>
  <c r="AU901" i="1"/>
  <c r="AT901" i="1"/>
  <c r="AS901" i="1"/>
  <c r="BC900" i="1"/>
  <c r="BB900" i="1"/>
  <c r="BA900" i="1"/>
  <c r="AZ900" i="1"/>
  <c r="AY900" i="1"/>
  <c r="AV900" i="1"/>
  <c r="AX900" i="1" s="1"/>
  <c r="AU900" i="1"/>
  <c r="AT900" i="1"/>
  <c r="AS900" i="1"/>
  <c r="BC899" i="1"/>
  <c r="BB899" i="1"/>
  <c r="BA899" i="1"/>
  <c r="AZ899" i="1"/>
  <c r="AY899" i="1"/>
  <c r="AV899" i="1"/>
  <c r="AU899" i="1"/>
  <c r="AT899" i="1"/>
  <c r="AS899" i="1"/>
  <c r="BC898" i="1"/>
  <c r="BB898" i="1"/>
  <c r="BA898" i="1"/>
  <c r="AZ898" i="1"/>
  <c r="AY898" i="1"/>
  <c r="AX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W896" i="1"/>
  <c r="AV896" i="1"/>
  <c r="AX896" i="1" s="1"/>
  <c r="AT896" i="1"/>
  <c r="AU896" i="1" s="1"/>
  <c r="AS896" i="1"/>
  <c r="BC895" i="1"/>
  <c r="BB895" i="1"/>
  <c r="BA895" i="1"/>
  <c r="AZ895" i="1"/>
  <c r="AY895" i="1"/>
  <c r="AX895" i="1"/>
  <c r="AW895" i="1"/>
  <c r="AV895" i="1"/>
  <c r="AU895" i="1"/>
  <c r="AT895" i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X893" i="1"/>
  <c r="AW893" i="1"/>
  <c r="AV893" i="1"/>
  <c r="AU893" i="1"/>
  <c r="AT893" i="1"/>
  <c r="AS893" i="1"/>
  <c r="BC892" i="1"/>
  <c r="BB892" i="1"/>
  <c r="BA892" i="1"/>
  <c r="AZ892" i="1"/>
  <c r="AY892" i="1"/>
  <c r="AV892" i="1"/>
  <c r="AX892" i="1" s="1"/>
  <c r="AU892" i="1"/>
  <c r="AT892" i="1"/>
  <c r="AS892" i="1"/>
  <c r="BC891" i="1"/>
  <c r="BB891" i="1"/>
  <c r="BA891" i="1"/>
  <c r="AZ891" i="1"/>
  <c r="AY891" i="1"/>
  <c r="AV891" i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W888" i="1"/>
  <c r="AV888" i="1"/>
  <c r="AX888" i="1" s="1"/>
  <c r="AT888" i="1"/>
  <c r="AU888" i="1" s="1"/>
  <c r="AS888" i="1"/>
  <c r="BC887" i="1"/>
  <c r="BB887" i="1"/>
  <c r="BA887" i="1"/>
  <c r="AZ887" i="1"/>
  <c r="AY887" i="1"/>
  <c r="AX887" i="1"/>
  <c r="AW887" i="1"/>
  <c r="AV887" i="1"/>
  <c r="AU887" i="1"/>
  <c r="AT887" i="1"/>
  <c r="AS887" i="1"/>
  <c r="BC886" i="1"/>
  <c r="BB886" i="1"/>
  <c r="BA886" i="1"/>
  <c r="AZ886" i="1"/>
  <c r="AY886" i="1"/>
  <c r="AX886" i="1"/>
  <c r="AW886" i="1"/>
  <c r="AV886" i="1"/>
  <c r="AT886" i="1"/>
  <c r="AU886" i="1" s="1"/>
  <c r="AS886" i="1"/>
  <c r="BC885" i="1"/>
  <c r="BB885" i="1"/>
  <c r="BA885" i="1"/>
  <c r="AZ885" i="1"/>
  <c r="AY885" i="1"/>
  <c r="AX885" i="1"/>
  <c r="AW885" i="1"/>
  <c r="AV885" i="1"/>
  <c r="AU885" i="1"/>
  <c r="AT885" i="1"/>
  <c r="AS885" i="1"/>
  <c r="BC884" i="1"/>
  <c r="BB884" i="1"/>
  <c r="BA884" i="1"/>
  <c r="AZ884" i="1"/>
  <c r="AY884" i="1"/>
  <c r="AV884" i="1"/>
  <c r="AX884" i="1" s="1"/>
  <c r="AU884" i="1"/>
  <c r="AT884" i="1"/>
  <c r="AS884" i="1"/>
  <c r="BC883" i="1"/>
  <c r="BB883" i="1"/>
  <c r="BA883" i="1"/>
  <c r="AZ883" i="1"/>
  <c r="AY883" i="1"/>
  <c r="AV883" i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X879" i="1"/>
  <c r="AW879" i="1"/>
  <c r="AV879" i="1"/>
  <c r="AU879" i="1"/>
  <c r="AT879" i="1"/>
  <c r="AS879" i="1"/>
  <c r="BC878" i="1"/>
  <c r="BB878" i="1"/>
  <c r="BA878" i="1"/>
  <c r="AZ878" i="1"/>
  <c r="AY878" i="1"/>
  <c r="AX878" i="1"/>
  <c r="AW878" i="1"/>
  <c r="AV878" i="1"/>
  <c r="AU878" i="1"/>
  <c r="AT878" i="1"/>
  <c r="AS878" i="1"/>
  <c r="BC877" i="1"/>
  <c r="BB877" i="1"/>
  <c r="BA877" i="1"/>
  <c r="AZ877" i="1"/>
  <c r="AY877" i="1"/>
  <c r="AX877" i="1"/>
  <c r="AW877" i="1"/>
  <c r="AV877" i="1"/>
  <c r="AU877" i="1"/>
  <c r="AT877" i="1"/>
  <c r="AS877" i="1"/>
  <c r="BC876" i="1"/>
  <c r="BB876" i="1"/>
  <c r="BA876" i="1"/>
  <c r="AZ876" i="1"/>
  <c r="AY876" i="1"/>
  <c r="AV876" i="1"/>
  <c r="AX876" i="1" s="1"/>
  <c r="AU876" i="1"/>
  <c r="AT876" i="1"/>
  <c r="AS876" i="1"/>
  <c r="BC875" i="1"/>
  <c r="BB875" i="1"/>
  <c r="BA875" i="1"/>
  <c r="AZ875" i="1"/>
  <c r="AY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X871" i="1"/>
  <c r="AW871" i="1"/>
  <c r="AV871" i="1"/>
  <c r="AU871" i="1"/>
  <c r="AT871" i="1"/>
  <c r="AS871" i="1"/>
  <c r="BC870" i="1"/>
  <c r="BB870" i="1"/>
  <c r="BA870" i="1"/>
  <c r="AZ870" i="1"/>
  <c r="AY870" i="1"/>
  <c r="AX870" i="1"/>
  <c r="AW870" i="1"/>
  <c r="AV870" i="1"/>
  <c r="AT870" i="1"/>
  <c r="AU870" i="1" s="1"/>
  <c r="AS870" i="1"/>
  <c r="BC869" i="1"/>
  <c r="BB869" i="1"/>
  <c r="BA869" i="1"/>
  <c r="AZ869" i="1"/>
  <c r="AY869" i="1"/>
  <c r="AX869" i="1"/>
  <c r="AW869" i="1"/>
  <c r="AV869" i="1"/>
  <c r="AU869" i="1"/>
  <c r="AT869" i="1"/>
  <c r="AS869" i="1"/>
  <c r="BC868" i="1"/>
  <c r="BB868" i="1"/>
  <c r="BA868" i="1"/>
  <c r="AZ868" i="1"/>
  <c r="AY868" i="1"/>
  <c r="AX868" i="1"/>
  <c r="AV868" i="1"/>
  <c r="AW868" i="1" s="1"/>
  <c r="AU868" i="1"/>
  <c r="AT868" i="1"/>
  <c r="AS868" i="1"/>
  <c r="BC867" i="1"/>
  <c r="BB867" i="1"/>
  <c r="BA867" i="1"/>
  <c r="AZ867" i="1"/>
  <c r="AY867" i="1"/>
  <c r="AV867" i="1"/>
  <c r="AU867" i="1"/>
  <c r="AT867" i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W864" i="1"/>
  <c r="AV864" i="1"/>
  <c r="AX864" i="1" s="1"/>
  <c r="AT864" i="1"/>
  <c r="AU864" i="1" s="1"/>
  <c r="AS864" i="1"/>
  <c r="BC863" i="1"/>
  <c r="BB863" i="1"/>
  <c r="BA863" i="1"/>
  <c r="AZ863" i="1"/>
  <c r="AY863" i="1"/>
  <c r="AX863" i="1"/>
  <c r="AW863" i="1"/>
  <c r="AV863" i="1"/>
  <c r="AT863" i="1"/>
  <c r="AU863" i="1" s="1"/>
  <c r="AS863" i="1"/>
  <c r="BC862" i="1"/>
  <c r="BB862" i="1"/>
  <c r="BA862" i="1"/>
  <c r="AZ862" i="1"/>
  <c r="AY862" i="1"/>
  <c r="AX862" i="1"/>
  <c r="AW862" i="1"/>
  <c r="AV862" i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U861" i="1"/>
  <c r="AT861" i="1"/>
  <c r="AS861" i="1"/>
  <c r="BC860" i="1"/>
  <c r="BB860" i="1"/>
  <c r="BA860" i="1"/>
  <c r="AZ860" i="1"/>
  <c r="AY860" i="1"/>
  <c r="AX860" i="1"/>
  <c r="AV860" i="1"/>
  <c r="AW860" i="1" s="1"/>
  <c r="AU860" i="1"/>
  <c r="AT860" i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W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U856" i="1"/>
  <c r="AT856" i="1"/>
  <c r="AS856" i="1"/>
  <c r="BC855" i="1"/>
  <c r="BB855" i="1"/>
  <c r="BA855" i="1"/>
  <c r="AZ855" i="1"/>
  <c r="AY855" i="1"/>
  <c r="AX855" i="1"/>
  <c r="AW855" i="1"/>
  <c r="AV855" i="1"/>
  <c r="AT855" i="1"/>
  <c r="AU855" i="1" s="1"/>
  <c r="AS855" i="1"/>
  <c r="BC854" i="1"/>
  <c r="BB854" i="1"/>
  <c r="BA854" i="1"/>
  <c r="AZ854" i="1"/>
  <c r="AY854" i="1"/>
  <c r="AX854" i="1"/>
  <c r="AW854" i="1"/>
  <c r="AV854" i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U853" i="1"/>
  <c r="AT853" i="1"/>
  <c r="AS853" i="1"/>
  <c r="BC852" i="1"/>
  <c r="BB852" i="1"/>
  <c r="BA852" i="1"/>
  <c r="AZ852" i="1"/>
  <c r="AY852" i="1"/>
  <c r="AV852" i="1"/>
  <c r="AW852" i="1" s="1"/>
  <c r="AU852" i="1"/>
  <c r="AT852" i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W849" i="1"/>
  <c r="AV849" i="1"/>
  <c r="AX849" i="1" s="1"/>
  <c r="AT849" i="1"/>
  <c r="AU849" i="1" s="1"/>
  <c r="AS849" i="1"/>
  <c r="BC848" i="1"/>
  <c r="BB848" i="1"/>
  <c r="BA848" i="1"/>
  <c r="AZ848" i="1"/>
  <c r="AY848" i="1"/>
  <c r="AW848" i="1"/>
  <c r="AV848" i="1"/>
  <c r="AX848" i="1" s="1"/>
  <c r="AU848" i="1"/>
  <c r="AT848" i="1"/>
  <c r="AS848" i="1"/>
  <c r="BC847" i="1"/>
  <c r="BB847" i="1"/>
  <c r="BA847" i="1"/>
  <c r="AZ847" i="1"/>
  <c r="AY847" i="1"/>
  <c r="AX847" i="1"/>
  <c r="AW847" i="1"/>
  <c r="AV847" i="1"/>
  <c r="AT847" i="1"/>
  <c r="AU847" i="1" s="1"/>
  <c r="AS847" i="1"/>
  <c r="BC846" i="1"/>
  <c r="BB846" i="1"/>
  <c r="BA846" i="1"/>
  <c r="AZ846" i="1"/>
  <c r="AY846" i="1"/>
  <c r="AV846" i="1"/>
  <c r="AU846" i="1"/>
  <c r="AT846" i="1"/>
  <c r="AS846" i="1"/>
  <c r="BC845" i="1"/>
  <c r="BB845" i="1"/>
  <c r="BA845" i="1"/>
  <c r="AZ845" i="1"/>
  <c r="AY845" i="1"/>
  <c r="AX845" i="1"/>
  <c r="AV845" i="1"/>
  <c r="AW845" i="1" s="1"/>
  <c r="AU845" i="1"/>
  <c r="AT845" i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T840" i="1"/>
  <c r="AU840" i="1" s="1"/>
  <c r="AS840" i="1"/>
  <c r="BC839" i="1"/>
  <c r="BB839" i="1"/>
  <c r="BA839" i="1"/>
  <c r="AZ839" i="1"/>
  <c r="AY839" i="1"/>
  <c r="AX839" i="1"/>
  <c r="AW839" i="1"/>
  <c r="AV839" i="1"/>
  <c r="AT839" i="1"/>
  <c r="AU839" i="1" s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W837" i="1"/>
  <c r="AV837" i="1"/>
  <c r="AU837" i="1"/>
  <c r="AT837" i="1"/>
  <c r="AS837" i="1"/>
  <c r="BC836" i="1"/>
  <c r="BB836" i="1"/>
  <c r="BA836" i="1"/>
  <c r="AZ836" i="1"/>
  <c r="AY836" i="1"/>
  <c r="AX836" i="1"/>
  <c r="AV836" i="1"/>
  <c r="AW836" i="1" s="1"/>
  <c r="AU836" i="1"/>
  <c r="AT836" i="1"/>
  <c r="AS836" i="1"/>
  <c r="BC835" i="1"/>
  <c r="BB835" i="1"/>
  <c r="BA835" i="1"/>
  <c r="AZ835" i="1"/>
  <c r="AY835" i="1"/>
  <c r="AV835" i="1"/>
  <c r="AU835" i="1"/>
  <c r="AT835" i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T832" i="1"/>
  <c r="AU832" i="1" s="1"/>
  <c r="AS832" i="1"/>
  <c r="BC831" i="1"/>
  <c r="BB831" i="1"/>
  <c r="BA831" i="1"/>
  <c r="AZ831" i="1"/>
  <c r="AY831" i="1"/>
  <c r="AX831" i="1"/>
  <c r="AW831" i="1"/>
  <c r="AV831" i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W829" i="1"/>
  <c r="AV829" i="1"/>
  <c r="AU829" i="1"/>
  <c r="AT829" i="1"/>
  <c r="AS829" i="1"/>
  <c r="BC828" i="1"/>
  <c r="BB828" i="1"/>
  <c r="BA828" i="1"/>
  <c r="AZ828" i="1"/>
  <c r="AY828" i="1"/>
  <c r="AX828" i="1"/>
  <c r="AV828" i="1"/>
  <c r="AW828" i="1" s="1"/>
  <c r="AU828" i="1"/>
  <c r="AT828" i="1"/>
  <c r="AS828" i="1"/>
  <c r="BC827" i="1"/>
  <c r="BB827" i="1"/>
  <c r="BA827" i="1"/>
  <c r="AZ827" i="1"/>
  <c r="AY827" i="1"/>
  <c r="AV827" i="1"/>
  <c r="AU827" i="1"/>
  <c r="AT827" i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T824" i="1"/>
  <c r="AU824" i="1" s="1"/>
  <c r="AS824" i="1"/>
  <c r="BC823" i="1"/>
  <c r="BB823" i="1"/>
  <c r="BA823" i="1"/>
  <c r="AZ823" i="1"/>
  <c r="AY823" i="1"/>
  <c r="AX823" i="1"/>
  <c r="AW823" i="1"/>
  <c r="AV823" i="1"/>
  <c r="AT823" i="1"/>
  <c r="AU823" i="1" s="1"/>
  <c r="AS823" i="1"/>
  <c r="BC822" i="1"/>
  <c r="BB822" i="1"/>
  <c r="BA822" i="1"/>
  <c r="AZ822" i="1"/>
  <c r="AY822" i="1"/>
  <c r="AW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W821" i="1"/>
  <c r="AV821" i="1"/>
  <c r="AU821" i="1"/>
  <c r="AT821" i="1"/>
  <c r="AS821" i="1"/>
  <c r="BC820" i="1"/>
  <c r="BB820" i="1"/>
  <c r="BA820" i="1"/>
  <c r="AZ820" i="1"/>
  <c r="AY820" i="1"/>
  <c r="AX820" i="1"/>
  <c r="AV820" i="1"/>
  <c r="AW820" i="1" s="1"/>
  <c r="AU820" i="1"/>
  <c r="AT820" i="1"/>
  <c r="AS820" i="1"/>
  <c r="BC819" i="1"/>
  <c r="BB819" i="1"/>
  <c r="BA819" i="1"/>
  <c r="AZ819" i="1"/>
  <c r="AY819" i="1"/>
  <c r="AV819" i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T816" i="1"/>
  <c r="AU816" i="1" s="1"/>
  <c r="AS816" i="1"/>
  <c r="BC815" i="1"/>
  <c r="BB815" i="1"/>
  <c r="BA815" i="1"/>
  <c r="AZ815" i="1"/>
  <c r="AY815" i="1"/>
  <c r="AX815" i="1"/>
  <c r="AW815" i="1"/>
  <c r="AV815" i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W813" i="1"/>
  <c r="AV813" i="1"/>
  <c r="AU813" i="1"/>
  <c r="AT813" i="1"/>
  <c r="AS813" i="1"/>
  <c r="BC812" i="1"/>
  <c r="BB812" i="1"/>
  <c r="BA812" i="1"/>
  <c r="AZ812" i="1"/>
  <c r="AY812" i="1"/>
  <c r="AX812" i="1"/>
  <c r="AV812" i="1"/>
  <c r="AW812" i="1" s="1"/>
  <c r="AU812" i="1"/>
  <c r="AT812" i="1"/>
  <c r="AS812" i="1"/>
  <c r="BC811" i="1"/>
  <c r="BB811" i="1"/>
  <c r="BA811" i="1"/>
  <c r="AZ811" i="1"/>
  <c r="AY811" i="1"/>
  <c r="AV811" i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T808" i="1"/>
  <c r="AU808" i="1" s="1"/>
  <c r="AS808" i="1"/>
  <c r="BC807" i="1"/>
  <c r="BB807" i="1"/>
  <c r="BA807" i="1"/>
  <c r="AZ807" i="1"/>
  <c r="AY807" i="1"/>
  <c r="AX807" i="1"/>
  <c r="AW807" i="1"/>
  <c r="AV807" i="1"/>
  <c r="AT807" i="1"/>
  <c r="AU807" i="1" s="1"/>
  <c r="AS807" i="1"/>
  <c r="BC806" i="1"/>
  <c r="BB806" i="1"/>
  <c r="BA806" i="1"/>
  <c r="AZ806" i="1"/>
  <c r="AY806" i="1"/>
  <c r="AW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W805" i="1"/>
  <c r="AV805" i="1"/>
  <c r="AU805" i="1"/>
  <c r="AT805" i="1"/>
  <c r="AS805" i="1"/>
  <c r="BC804" i="1"/>
  <c r="BB804" i="1"/>
  <c r="BA804" i="1"/>
  <c r="AZ804" i="1"/>
  <c r="AY804" i="1"/>
  <c r="AX804" i="1"/>
  <c r="AV804" i="1"/>
  <c r="AW804" i="1" s="1"/>
  <c r="AU804" i="1"/>
  <c r="AT804" i="1"/>
  <c r="AS804" i="1"/>
  <c r="BC803" i="1"/>
  <c r="BB803" i="1"/>
  <c r="BA803" i="1"/>
  <c r="AZ803" i="1"/>
  <c r="AY803" i="1"/>
  <c r="AV803" i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T800" i="1"/>
  <c r="AU800" i="1" s="1"/>
  <c r="AS800" i="1"/>
  <c r="BC799" i="1"/>
  <c r="BB799" i="1"/>
  <c r="BA799" i="1"/>
  <c r="AZ799" i="1"/>
  <c r="AY799" i="1"/>
  <c r="AX799" i="1"/>
  <c r="AW799" i="1"/>
  <c r="AV799" i="1"/>
  <c r="AT799" i="1"/>
  <c r="AU799" i="1" s="1"/>
  <c r="AS799" i="1"/>
  <c r="BC798" i="1"/>
  <c r="BB798" i="1"/>
  <c r="BA798" i="1"/>
  <c r="AZ798" i="1"/>
  <c r="AY798" i="1"/>
  <c r="AW798" i="1"/>
  <c r="AV798" i="1"/>
  <c r="AX798" i="1" s="1"/>
  <c r="AU798" i="1"/>
  <c r="AT798" i="1"/>
  <c r="AS798" i="1"/>
  <c r="BC797" i="1"/>
  <c r="BB797" i="1"/>
  <c r="BA797" i="1"/>
  <c r="AZ797" i="1"/>
  <c r="AY797" i="1"/>
  <c r="AX797" i="1"/>
  <c r="AW797" i="1"/>
  <c r="AV797" i="1"/>
  <c r="AU797" i="1"/>
  <c r="AT797" i="1"/>
  <c r="AS797" i="1"/>
  <c r="BC796" i="1"/>
  <c r="BB796" i="1"/>
  <c r="BA796" i="1"/>
  <c r="AZ796" i="1"/>
  <c r="AY796" i="1"/>
  <c r="AX796" i="1"/>
  <c r="AV796" i="1"/>
  <c r="AW796" i="1" s="1"/>
  <c r="AU796" i="1"/>
  <c r="AT796" i="1"/>
  <c r="AS796" i="1"/>
  <c r="BC795" i="1"/>
  <c r="BB795" i="1"/>
  <c r="BA795" i="1"/>
  <c r="AZ795" i="1"/>
  <c r="AY795" i="1"/>
  <c r="AX795" i="1"/>
  <c r="AV795" i="1"/>
  <c r="AW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T792" i="1"/>
  <c r="AU792" i="1" s="1"/>
  <c r="AS792" i="1"/>
  <c r="BC791" i="1"/>
  <c r="BB791" i="1"/>
  <c r="BA791" i="1"/>
  <c r="AZ791" i="1"/>
  <c r="AY791" i="1"/>
  <c r="AX791" i="1"/>
  <c r="AW791" i="1"/>
  <c r="AV791" i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U790" i="1"/>
  <c r="AT790" i="1"/>
  <c r="AS790" i="1"/>
  <c r="BC789" i="1"/>
  <c r="BB789" i="1"/>
  <c r="BA789" i="1"/>
  <c r="AZ789" i="1"/>
  <c r="AY789" i="1"/>
  <c r="AX789" i="1"/>
  <c r="AW789" i="1"/>
  <c r="AV789" i="1"/>
  <c r="AU789" i="1"/>
  <c r="AT789" i="1"/>
  <c r="AS789" i="1"/>
  <c r="BC788" i="1"/>
  <c r="BB788" i="1"/>
  <c r="BA788" i="1"/>
  <c r="AZ788" i="1"/>
  <c r="AY788" i="1"/>
  <c r="AX788" i="1"/>
  <c r="AV788" i="1"/>
  <c r="AW788" i="1" s="1"/>
  <c r="AU788" i="1"/>
  <c r="AT788" i="1"/>
  <c r="AS788" i="1"/>
  <c r="BC787" i="1"/>
  <c r="BB787" i="1"/>
  <c r="BA787" i="1"/>
  <c r="AZ787" i="1"/>
  <c r="AY787" i="1"/>
  <c r="AV787" i="1"/>
  <c r="AW787" i="1" s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T784" i="1"/>
  <c r="AU784" i="1" s="1"/>
  <c r="AS784" i="1"/>
  <c r="BC783" i="1"/>
  <c r="BB783" i="1"/>
  <c r="BA783" i="1"/>
  <c r="AZ783" i="1"/>
  <c r="AY783" i="1"/>
  <c r="AX783" i="1"/>
  <c r="AW783" i="1"/>
  <c r="AV783" i="1"/>
  <c r="AT783" i="1"/>
  <c r="AU783" i="1" s="1"/>
  <c r="AS783" i="1"/>
  <c r="BC782" i="1"/>
  <c r="BB782" i="1"/>
  <c r="BA782" i="1"/>
  <c r="AZ782" i="1"/>
  <c r="AY782" i="1"/>
  <c r="AW782" i="1"/>
  <c r="AV782" i="1"/>
  <c r="AX782" i="1" s="1"/>
  <c r="AU782" i="1"/>
  <c r="AT782" i="1"/>
  <c r="AS782" i="1"/>
  <c r="BC781" i="1"/>
  <c r="BB781" i="1"/>
  <c r="BA781" i="1"/>
  <c r="AZ781" i="1"/>
  <c r="AY781" i="1"/>
  <c r="AX781" i="1"/>
  <c r="AW781" i="1"/>
  <c r="AV781" i="1"/>
  <c r="AU781" i="1"/>
  <c r="AT781" i="1"/>
  <c r="AS781" i="1"/>
  <c r="BC780" i="1"/>
  <c r="BB780" i="1"/>
  <c r="BA780" i="1"/>
  <c r="AZ780" i="1"/>
  <c r="AY780" i="1"/>
  <c r="AX780" i="1"/>
  <c r="AV780" i="1"/>
  <c r="AW780" i="1" s="1"/>
  <c r="AU780" i="1"/>
  <c r="AT780" i="1"/>
  <c r="AS780" i="1"/>
  <c r="BC779" i="1"/>
  <c r="BB779" i="1"/>
  <c r="BA779" i="1"/>
  <c r="AZ779" i="1"/>
  <c r="AY779" i="1"/>
  <c r="AX779" i="1"/>
  <c r="AV779" i="1"/>
  <c r="AW779" i="1" s="1"/>
  <c r="AU779" i="1"/>
  <c r="AT779" i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T776" i="1"/>
  <c r="AU776" i="1" s="1"/>
  <c r="AS776" i="1"/>
  <c r="BC775" i="1"/>
  <c r="BB775" i="1"/>
  <c r="BA775" i="1"/>
  <c r="AZ775" i="1"/>
  <c r="AY775" i="1"/>
  <c r="AX775" i="1"/>
  <c r="AW775" i="1"/>
  <c r="AV775" i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W773" i="1"/>
  <c r="AV773" i="1"/>
  <c r="AU773" i="1"/>
  <c r="AT773" i="1"/>
  <c r="AS773" i="1"/>
  <c r="BC772" i="1"/>
  <c r="BB772" i="1"/>
  <c r="BA772" i="1"/>
  <c r="AZ772" i="1"/>
  <c r="AY772" i="1"/>
  <c r="AX772" i="1"/>
  <c r="AV772" i="1"/>
  <c r="AW772" i="1" s="1"/>
  <c r="AU772" i="1"/>
  <c r="AT772" i="1"/>
  <c r="AS772" i="1"/>
  <c r="BC771" i="1"/>
  <c r="BB771" i="1"/>
  <c r="BA771" i="1"/>
  <c r="AZ771" i="1"/>
  <c r="AY771" i="1"/>
  <c r="AX771" i="1"/>
  <c r="AV771" i="1"/>
  <c r="AW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T768" i="1"/>
  <c r="AU768" i="1" s="1"/>
  <c r="AS768" i="1"/>
  <c r="BC767" i="1"/>
  <c r="BB767" i="1"/>
  <c r="BA767" i="1"/>
  <c r="AZ767" i="1"/>
  <c r="AY767" i="1"/>
  <c r="AX767" i="1"/>
  <c r="AW767" i="1"/>
  <c r="AV767" i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W765" i="1"/>
  <c r="AV765" i="1"/>
  <c r="AU765" i="1"/>
  <c r="AT765" i="1"/>
  <c r="AS765" i="1"/>
  <c r="BC764" i="1"/>
  <c r="BB764" i="1"/>
  <c r="BA764" i="1"/>
  <c r="AZ764" i="1"/>
  <c r="AY764" i="1"/>
  <c r="AX764" i="1"/>
  <c r="AV764" i="1"/>
  <c r="AW764" i="1" s="1"/>
  <c r="AU764" i="1"/>
  <c r="AT764" i="1"/>
  <c r="AS764" i="1"/>
  <c r="BC763" i="1"/>
  <c r="BB763" i="1"/>
  <c r="BA763" i="1"/>
  <c r="AZ763" i="1"/>
  <c r="AY763" i="1"/>
  <c r="AX763" i="1"/>
  <c r="AV763" i="1"/>
  <c r="AW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W760" i="1"/>
  <c r="AV760" i="1"/>
  <c r="AX760" i="1" s="1"/>
  <c r="AT760" i="1"/>
  <c r="AU760" i="1" s="1"/>
  <c r="AS760" i="1"/>
  <c r="BC759" i="1"/>
  <c r="BB759" i="1"/>
  <c r="BA759" i="1"/>
  <c r="AZ759" i="1"/>
  <c r="AY759" i="1"/>
  <c r="AX759" i="1"/>
  <c r="AW759" i="1"/>
  <c r="AV759" i="1"/>
  <c r="AT759" i="1"/>
  <c r="AU759" i="1" s="1"/>
  <c r="AS759" i="1"/>
  <c r="BC758" i="1"/>
  <c r="BB758" i="1"/>
  <c r="BA758" i="1"/>
  <c r="AZ758" i="1"/>
  <c r="AY758" i="1"/>
  <c r="AW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W757" i="1"/>
  <c r="AV757" i="1"/>
  <c r="AU757" i="1"/>
  <c r="AT757" i="1"/>
  <c r="AS757" i="1"/>
  <c r="BC756" i="1"/>
  <c r="BB756" i="1"/>
  <c r="BA756" i="1"/>
  <c r="AZ756" i="1"/>
  <c r="AY756" i="1"/>
  <c r="AX756" i="1"/>
  <c r="AV756" i="1"/>
  <c r="AW756" i="1" s="1"/>
  <c r="AU756" i="1"/>
  <c r="AT756" i="1"/>
  <c r="AS756" i="1"/>
  <c r="BC755" i="1"/>
  <c r="BB755" i="1"/>
  <c r="BA755" i="1"/>
  <c r="AZ755" i="1"/>
  <c r="AY755" i="1"/>
  <c r="AV755" i="1"/>
  <c r="AW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W752" i="1"/>
  <c r="AV752" i="1"/>
  <c r="AX752" i="1" s="1"/>
  <c r="AT752" i="1"/>
  <c r="AU752" i="1" s="1"/>
  <c r="AS752" i="1"/>
  <c r="BC751" i="1"/>
  <c r="BB751" i="1"/>
  <c r="BA751" i="1"/>
  <c r="AZ751" i="1"/>
  <c r="AY751" i="1"/>
  <c r="AX751" i="1"/>
  <c r="AW751" i="1"/>
  <c r="AV751" i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W749" i="1"/>
  <c r="AV749" i="1"/>
  <c r="AU749" i="1"/>
  <c r="AT749" i="1"/>
  <c r="AS749" i="1"/>
  <c r="BC748" i="1"/>
  <c r="BB748" i="1"/>
  <c r="BA748" i="1"/>
  <c r="AZ748" i="1"/>
  <c r="AY748" i="1"/>
  <c r="AX748" i="1"/>
  <c r="AV748" i="1"/>
  <c r="AW748" i="1" s="1"/>
  <c r="AU748" i="1"/>
  <c r="AT748" i="1"/>
  <c r="AS748" i="1"/>
  <c r="BC747" i="1"/>
  <c r="BB747" i="1"/>
  <c r="BA747" i="1"/>
  <c r="AZ747" i="1"/>
  <c r="AY747" i="1"/>
  <c r="AV747" i="1"/>
  <c r="AW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T744" i="1"/>
  <c r="AU744" i="1" s="1"/>
  <c r="AS744" i="1"/>
  <c r="BC743" i="1"/>
  <c r="BB743" i="1"/>
  <c r="BA743" i="1"/>
  <c r="AZ743" i="1"/>
  <c r="AY743" i="1"/>
  <c r="AX743" i="1"/>
  <c r="AW743" i="1"/>
  <c r="AV743" i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W741" i="1"/>
  <c r="AV741" i="1"/>
  <c r="AU741" i="1"/>
  <c r="AT741" i="1"/>
  <c r="AS741" i="1"/>
  <c r="BC740" i="1"/>
  <c r="BB740" i="1"/>
  <c r="BA740" i="1"/>
  <c r="AZ740" i="1"/>
  <c r="AY740" i="1"/>
  <c r="AX740" i="1"/>
  <c r="AV740" i="1"/>
  <c r="AW740" i="1" s="1"/>
  <c r="AU740" i="1"/>
  <c r="AT740" i="1"/>
  <c r="AS740" i="1"/>
  <c r="BC739" i="1"/>
  <c r="BB739" i="1"/>
  <c r="BA739" i="1"/>
  <c r="AZ739" i="1"/>
  <c r="AY739" i="1"/>
  <c r="AV739" i="1"/>
  <c r="AW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W736" i="1"/>
  <c r="AV736" i="1"/>
  <c r="AX736" i="1" s="1"/>
  <c r="AT736" i="1"/>
  <c r="AU736" i="1" s="1"/>
  <c r="AS736" i="1"/>
  <c r="BC735" i="1"/>
  <c r="BB735" i="1"/>
  <c r="BA735" i="1"/>
  <c r="AZ735" i="1"/>
  <c r="AY735" i="1"/>
  <c r="AX735" i="1"/>
  <c r="AW735" i="1"/>
  <c r="AV735" i="1"/>
  <c r="AT735" i="1"/>
  <c r="AU735" i="1" s="1"/>
  <c r="AS735" i="1"/>
  <c r="BC734" i="1"/>
  <c r="BB734" i="1"/>
  <c r="BA734" i="1"/>
  <c r="AZ734" i="1"/>
  <c r="AY734" i="1"/>
  <c r="AW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W733" i="1"/>
  <c r="AV733" i="1"/>
  <c r="AU733" i="1"/>
  <c r="AT733" i="1"/>
  <c r="AS733" i="1"/>
  <c r="BC732" i="1"/>
  <c r="BB732" i="1"/>
  <c r="BA732" i="1"/>
  <c r="AZ732" i="1"/>
  <c r="AY732" i="1"/>
  <c r="AX732" i="1"/>
  <c r="AV732" i="1"/>
  <c r="AW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X727" i="1"/>
  <c r="AW727" i="1"/>
  <c r="AV727" i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W725" i="1"/>
  <c r="AV725" i="1"/>
  <c r="AU725" i="1"/>
  <c r="AT725" i="1"/>
  <c r="AS725" i="1"/>
  <c r="BC724" i="1"/>
  <c r="BB724" i="1"/>
  <c r="BA724" i="1"/>
  <c r="AZ724" i="1"/>
  <c r="AY724" i="1"/>
  <c r="AX724" i="1"/>
  <c r="AV724" i="1"/>
  <c r="AW724" i="1" s="1"/>
  <c r="AU724" i="1"/>
  <c r="AT724" i="1"/>
  <c r="AS724" i="1"/>
  <c r="BC723" i="1"/>
  <c r="BB723" i="1"/>
  <c r="BA723" i="1"/>
  <c r="AZ723" i="1"/>
  <c r="AY723" i="1"/>
  <c r="AV723" i="1"/>
  <c r="AW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W720" i="1"/>
  <c r="AV720" i="1"/>
  <c r="AX720" i="1" s="1"/>
  <c r="AT720" i="1"/>
  <c r="AU720" i="1" s="1"/>
  <c r="AS720" i="1"/>
  <c r="BC719" i="1"/>
  <c r="BB719" i="1"/>
  <c r="BA719" i="1"/>
  <c r="AZ719" i="1"/>
  <c r="AY719" i="1"/>
  <c r="AX719" i="1"/>
  <c r="AW719" i="1"/>
  <c r="AV719" i="1"/>
  <c r="AT719" i="1"/>
  <c r="AU719" i="1" s="1"/>
  <c r="AS719" i="1"/>
  <c r="BC718" i="1"/>
  <c r="BB718" i="1"/>
  <c r="BA718" i="1"/>
  <c r="AZ718" i="1"/>
  <c r="AY718" i="1"/>
  <c r="AW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W717" i="1"/>
  <c r="AV717" i="1"/>
  <c r="AU717" i="1"/>
  <c r="AT717" i="1"/>
  <c r="AS717" i="1"/>
  <c r="BC716" i="1"/>
  <c r="BB716" i="1"/>
  <c r="BA716" i="1"/>
  <c r="AZ716" i="1"/>
  <c r="AY716" i="1"/>
  <c r="AX716" i="1"/>
  <c r="AV716" i="1"/>
  <c r="AW716" i="1" s="1"/>
  <c r="AU716" i="1"/>
  <c r="AT716" i="1"/>
  <c r="AS716" i="1"/>
  <c r="BC715" i="1"/>
  <c r="BB715" i="1"/>
  <c r="BA715" i="1"/>
  <c r="AZ715" i="1"/>
  <c r="AY715" i="1"/>
  <c r="AX715" i="1"/>
  <c r="AV715" i="1"/>
  <c r="AW715" i="1" s="1"/>
  <c r="AU715" i="1"/>
  <c r="AT715" i="1"/>
  <c r="AS715" i="1"/>
  <c r="BC714" i="1"/>
  <c r="BB714" i="1"/>
  <c r="BA714" i="1"/>
  <c r="AZ714" i="1"/>
  <c r="AY714" i="1"/>
  <c r="AX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W712" i="1"/>
  <c r="AV712" i="1"/>
  <c r="AX712" i="1" s="1"/>
  <c r="AT712" i="1"/>
  <c r="AU712" i="1" s="1"/>
  <c r="AS712" i="1"/>
  <c r="BC711" i="1"/>
  <c r="BB711" i="1"/>
  <c r="BA711" i="1"/>
  <c r="AZ711" i="1"/>
  <c r="AY711" i="1"/>
  <c r="AX711" i="1"/>
  <c r="AW711" i="1"/>
  <c r="AV711" i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W709" i="1"/>
  <c r="AV709" i="1"/>
  <c r="AU709" i="1"/>
  <c r="AT709" i="1"/>
  <c r="AS709" i="1"/>
  <c r="BC708" i="1"/>
  <c r="BB708" i="1"/>
  <c r="BA708" i="1"/>
  <c r="AZ708" i="1"/>
  <c r="AY708" i="1"/>
  <c r="AX708" i="1"/>
  <c r="AV708" i="1"/>
  <c r="AW708" i="1" s="1"/>
  <c r="AU708" i="1"/>
  <c r="AT708" i="1"/>
  <c r="AS708" i="1"/>
  <c r="BC707" i="1"/>
  <c r="BB707" i="1"/>
  <c r="BA707" i="1"/>
  <c r="AZ707" i="1"/>
  <c r="AY707" i="1"/>
  <c r="AX707" i="1"/>
  <c r="AV707" i="1"/>
  <c r="AW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T704" i="1"/>
  <c r="AU704" i="1" s="1"/>
  <c r="AS704" i="1"/>
  <c r="BC703" i="1"/>
  <c r="BB703" i="1"/>
  <c r="BA703" i="1"/>
  <c r="AZ703" i="1"/>
  <c r="AY703" i="1"/>
  <c r="AX703" i="1"/>
  <c r="AW703" i="1"/>
  <c r="AV703" i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W701" i="1"/>
  <c r="AV701" i="1"/>
  <c r="AU701" i="1"/>
  <c r="AT701" i="1"/>
  <c r="AS701" i="1"/>
  <c r="BC700" i="1"/>
  <c r="BB700" i="1"/>
  <c r="BA700" i="1"/>
  <c r="AZ700" i="1"/>
  <c r="AY700" i="1"/>
  <c r="AX700" i="1"/>
  <c r="AV700" i="1"/>
  <c r="AW700" i="1" s="1"/>
  <c r="AU700" i="1"/>
  <c r="AT700" i="1"/>
  <c r="AS700" i="1"/>
  <c r="BC699" i="1"/>
  <c r="BB699" i="1"/>
  <c r="BA699" i="1"/>
  <c r="AZ699" i="1"/>
  <c r="AY699" i="1"/>
  <c r="AX699" i="1"/>
  <c r="AV699" i="1"/>
  <c r="AW699" i="1" s="1"/>
  <c r="AU699" i="1"/>
  <c r="AT699" i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T696" i="1"/>
  <c r="AU696" i="1" s="1"/>
  <c r="AS696" i="1"/>
  <c r="BC695" i="1"/>
  <c r="BB695" i="1"/>
  <c r="BA695" i="1"/>
  <c r="AZ695" i="1"/>
  <c r="AY695" i="1"/>
  <c r="AX695" i="1"/>
  <c r="AW695" i="1"/>
  <c r="AV695" i="1"/>
  <c r="AT695" i="1"/>
  <c r="AU695" i="1" s="1"/>
  <c r="AS695" i="1"/>
  <c r="BC694" i="1"/>
  <c r="BB694" i="1"/>
  <c r="BA694" i="1"/>
  <c r="AZ694" i="1"/>
  <c r="AY694" i="1"/>
  <c r="AX694" i="1"/>
  <c r="AW694" i="1"/>
  <c r="AV694" i="1"/>
  <c r="AT694" i="1"/>
  <c r="AU694" i="1" s="1"/>
  <c r="AS694" i="1"/>
  <c r="BC693" i="1"/>
  <c r="BB693" i="1"/>
  <c r="BA693" i="1"/>
  <c r="AZ693" i="1"/>
  <c r="AY693" i="1"/>
  <c r="AX693" i="1"/>
  <c r="AW693" i="1"/>
  <c r="AV693" i="1"/>
  <c r="AU693" i="1"/>
  <c r="AT693" i="1"/>
  <c r="AS693" i="1"/>
  <c r="BC692" i="1"/>
  <c r="BB692" i="1"/>
  <c r="BA692" i="1"/>
  <c r="AZ692" i="1"/>
  <c r="AY692" i="1"/>
  <c r="AX692" i="1"/>
  <c r="AV692" i="1"/>
  <c r="AW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X687" i="1"/>
  <c r="AW687" i="1"/>
  <c r="AV687" i="1"/>
  <c r="AT687" i="1"/>
  <c r="AU687" i="1" s="1"/>
  <c r="AS687" i="1"/>
  <c r="BC686" i="1"/>
  <c r="BB686" i="1"/>
  <c r="BA686" i="1"/>
  <c r="AZ686" i="1"/>
  <c r="AY686" i="1"/>
  <c r="AX686" i="1"/>
  <c r="AW686" i="1"/>
  <c r="AV686" i="1"/>
  <c r="AT686" i="1"/>
  <c r="AU686" i="1" s="1"/>
  <c r="AS686" i="1"/>
  <c r="BC685" i="1"/>
  <c r="BB685" i="1"/>
  <c r="BA685" i="1"/>
  <c r="AZ685" i="1"/>
  <c r="AY685" i="1"/>
  <c r="AX685" i="1"/>
  <c r="AW685" i="1"/>
  <c r="AV685" i="1"/>
  <c r="AU685" i="1"/>
  <c r="AT685" i="1"/>
  <c r="AS685" i="1"/>
  <c r="BC684" i="1"/>
  <c r="BB684" i="1"/>
  <c r="BA684" i="1"/>
  <c r="AZ684" i="1"/>
  <c r="AY684" i="1"/>
  <c r="AX684" i="1"/>
  <c r="AV684" i="1"/>
  <c r="AW684" i="1" s="1"/>
  <c r="AU684" i="1"/>
  <c r="AT684" i="1"/>
  <c r="AS684" i="1"/>
  <c r="BC683" i="1"/>
  <c r="BB683" i="1"/>
  <c r="BA683" i="1"/>
  <c r="AZ683" i="1"/>
  <c r="AY683" i="1"/>
  <c r="AV683" i="1"/>
  <c r="AW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X679" i="1"/>
  <c r="AW679" i="1"/>
  <c r="AV679" i="1"/>
  <c r="AT679" i="1"/>
  <c r="AU679" i="1" s="1"/>
  <c r="AS679" i="1"/>
  <c r="BC678" i="1"/>
  <c r="BB678" i="1"/>
  <c r="BA678" i="1"/>
  <c r="AZ678" i="1"/>
  <c r="AY678" i="1"/>
  <c r="AX678" i="1"/>
  <c r="AW678" i="1"/>
  <c r="AV678" i="1"/>
  <c r="AT678" i="1"/>
  <c r="AU678" i="1" s="1"/>
  <c r="AS678" i="1"/>
  <c r="BC677" i="1"/>
  <c r="BB677" i="1"/>
  <c r="BA677" i="1"/>
  <c r="AZ677" i="1"/>
  <c r="AY677" i="1"/>
  <c r="AX677" i="1"/>
  <c r="AW677" i="1"/>
  <c r="AV677" i="1"/>
  <c r="AU677" i="1"/>
  <c r="AT677" i="1"/>
  <c r="AS677" i="1"/>
  <c r="BC676" i="1"/>
  <c r="BB676" i="1"/>
  <c r="BA676" i="1"/>
  <c r="AZ676" i="1"/>
  <c r="AY676" i="1"/>
  <c r="AX676" i="1"/>
  <c r="AV676" i="1"/>
  <c r="AW676" i="1" s="1"/>
  <c r="AU676" i="1"/>
  <c r="AT676" i="1"/>
  <c r="AS676" i="1"/>
  <c r="BC675" i="1"/>
  <c r="BB675" i="1"/>
  <c r="BA675" i="1"/>
  <c r="AZ675" i="1"/>
  <c r="AY675" i="1"/>
  <c r="AV675" i="1"/>
  <c r="AW675" i="1" s="1"/>
  <c r="AU675" i="1"/>
  <c r="AT675" i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X671" i="1"/>
  <c r="AW671" i="1"/>
  <c r="AV671" i="1"/>
  <c r="AT671" i="1"/>
  <c r="AU671" i="1" s="1"/>
  <c r="AS671" i="1"/>
  <c r="BC670" i="1"/>
  <c r="BB670" i="1"/>
  <c r="BA670" i="1"/>
  <c r="AZ670" i="1"/>
  <c r="AY670" i="1"/>
  <c r="AX670" i="1"/>
  <c r="AW670" i="1"/>
  <c r="AV670" i="1"/>
  <c r="AU670" i="1"/>
  <c r="AT670" i="1"/>
  <c r="AS670" i="1"/>
  <c r="BC669" i="1"/>
  <c r="BB669" i="1"/>
  <c r="BA669" i="1"/>
  <c r="AZ669" i="1"/>
  <c r="AY669" i="1"/>
  <c r="AX669" i="1"/>
  <c r="AW669" i="1"/>
  <c r="AV669" i="1"/>
  <c r="AU669" i="1"/>
  <c r="AT669" i="1"/>
  <c r="AS669" i="1"/>
  <c r="BC668" i="1"/>
  <c r="BB668" i="1"/>
  <c r="BA668" i="1"/>
  <c r="AZ668" i="1"/>
  <c r="AY668" i="1"/>
  <c r="AX668" i="1"/>
  <c r="AV668" i="1"/>
  <c r="AW668" i="1" s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W664" i="1"/>
  <c r="AV664" i="1"/>
  <c r="AX664" i="1" s="1"/>
  <c r="AT664" i="1"/>
  <c r="AU664" i="1" s="1"/>
  <c r="AS664" i="1"/>
  <c r="BC663" i="1"/>
  <c r="BB663" i="1"/>
  <c r="BA663" i="1"/>
  <c r="AZ663" i="1"/>
  <c r="AY663" i="1"/>
  <c r="AX663" i="1"/>
  <c r="AW663" i="1"/>
  <c r="AV663" i="1"/>
  <c r="AT663" i="1"/>
  <c r="AU663" i="1" s="1"/>
  <c r="AS663" i="1"/>
  <c r="BC662" i="1"/>
  <c r="BB662" i="1"/>
  <c r="BA662" i="1"/>
  <c r="AZ662" i="1"/>
  <c r="AY662" i="1"/>
  <c r="AX662" i="1"/>
  <c r="AW662" i="1"/>
  <c r="AV662" i="1"/>
  <c r="AT662" i="1"/>
  <c r="AU662" i="1" s="1"/>
  <c r="AS662" i="1"/>
  <c r="BC661" i="1"/>
  <c r="BB661" i="1"/>
  <c r="BA661" i="1"/>
  <c r="AZ661" i="1"/>
  <c r="AY661" i="1"/>
  <c r="AX661" i="1"/>
  <c r="AW661" i="1"/>
  <c r="AV661" i="1"/>
  <c r="AU661" i="1"/>
  <c r="AT661" i="1"/>
  <c r="AS661" i="1"/>
  <c r="BC660" i="1"/>
  <c r="BB660" i="1"/>
  <c r="BA660" i="1"/>
  <c r="AZ660" i="1"/>
  <c r="AY660" i="1"/>
  <c r="AV660" i="1"/>
  <c r="AW660" i="1" s="1"/>
  <c r="AU660" i="1"/>
  <c r="AT660" i="1"/>
  <c r="AS660" i="1"/>
  <c r="BC659" i="1"/>
  <c r="BB659" i="1"/>
  <c r="BA659" i="1"/>
  <c r="AZ659" i="1"/>
  <c r="AY659" i="1"/>
  <c r="AX659" i="1"/>
  <c r="AV659" i="1"/>
  <c r="AW659" i="1" s="1"/>
  <c r="AU659" i="1"/>
  <c r="AT659" i="1"/>
  <c r="AS659" i="1"/>
  <c r="BC658" i="1"/>
  <c r="BB658" i="1"/>
  <c r="BA658" i="1"/>
  <c r="AZ658" i="1"/>
  <c r="AY658" i="1"/>
  <c r="AX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X655" i="1"/>
  <c r="AW655" i="1"/>
  <c r="AV655" i="1"/>
  <c r="AU655" i="1"/>
  <c r="AT655" i="1"/>
  <c r="AS655" i="1"/>
  <c r="BC654" i="1"/>
  <c r="BB654" i="1"/>
  <c r="BA654" i="1"/>
  <c r="AZ654" i="1"/>
  <c r="AY654" i="1"/>
  <c r="AX654" i="1"/>
  <c r="AW654" i="1"/>
  <c r="AV654" i="1"/>
  <c r="AT654" i="1"/>
  <c r="AU654" i="1" s="1"/>
  <c r="AS654" i="1"/>
  <c r="BC653" i="1"/>
  <c r="BB653" i="1"/>
  <c r="BA653" i="1"/>
  <c r="AZ653" i="1"/>
  <c r="AY653" i="1"/>
  <c r="AX653" i="1"/>
  <c r="AW653" i="1"/>
  <c r="AV653" i="1"/>
  <c r="AU653" i="1"/>
  <c r="AT653" i="1"/>
  <c r="AS653" i="1"/>
  <c r="BC652" i="1"/>
  <c r="BB652" i="1"/>
  <c r="BA652" i="1"/>
  <c r="AZ652" i="1"/>
  <c r="AY652" i="1"/>
  <c r="AV652" i="1"/>
  <c r="AW652" i="1" s="1"/>
  <c r="AU652" i="1"/>
  <c r="AT652" i="1"/>
  <c r="AS652" i="1"/>
  <c r="BC651" i="1"/>
  <c r="BB651" i="1"/>
  <c r="BA651" i="1"/>
  <c r="AZ651" i="1"/>
  <c r="AY651" i="1"/>
  <c r="AX651" i="1"/>
  <c r="AW651" i="1"/>
  <c r="AV651" i="1"/>
  <c r="AT651" i="1"/>
  <c r="AU651" i="1" s="1"/>
  <c r="AS651" i="1"/>
  <c r="BC650" i="1"/>
  <c r="BB650" i="1"/>
  <c r="BA650" i="1"/>
  <c r="AZ650" i="1"/>
  <c r="AY650" i="1"/>
  <c r="AX650" i="1"/>
  <c r="AW650" i="1"/>
  <c r="AV650" i="1"/>
  <c r="AT650" i="1"/>
  <c r="AU650" i="1" s="1"/>
  <c r="AS650" i="1"/>
  <c r="BC649" i="1"/>
  <c r="BB649" i="1"/>
  <c r="BA649" i="1"/>
  <c r="AZ649" i="1"/>
  <c r="AY649" i="1"/>
  <c r="AW649" i="1"/>
  <c r="AV649" i="1"/>
  <c r="AX649" i="1" s="1"/>
  <c r="AU649" i="1"/>
  <c r="AT649" i="1"/>
  <c r="AS649" i="1"/>
  <c r="BC648" i="1"/>
  <c r="BB648" i="1"/>
  <c r="BA648" i="1"/>
  <c r="AZ648" i="1"/>
  <c r="AY648" i="1"/>
  <c r="AV648" i="1"/>
  <c r="AX648" i="1" s="1"/>
  <c r="AU648" i="1"/>
  <c r="AT648" i="1"/>
  <c r="AS648" i="1"/>
  <c r="BC647" i="1"/>
  <c r="BB647" i="1"/>
  <c r="BA647" i="1"/>
  <c r="AZ647" i="1"/>
  <c r="AY647" i="1"/>
  <c r="AX647" i="1"/>
  <c r="AV647" i="1"/>
  <c r="AW647" i="1" s="1"/>
  <c r="AU647" i="1"/>
  <c r="AT647" i="1"/>
  <c r="AS647" i="1"/>
  <c r="BC646" i="1"/>
  <c r="BB646" i="1"/>
  <c r="BA646" i="1"/>
  <c r="AZ646" i="1"/>
  <c r="AY646" i="1"/>
  <c r="AX646" i="1"/>
  <c r="AW646" i="1"/>
  <c r="AV646" i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X644" i="1" s="1"/>
  <c r="AU644" i="1"/>
  <c r="AT644" i="1"/>
  <c r="AS644" i="1"/>
  <c r="BC643" i="1"/>
  <c r="BB643" i="1"/>
  <c r="BA643" i="1"/>
  <c r="AZ643" i="1"/>
  <c r="AY643" i="1"/>
  <c r="AX643" i="1"/>
  <c r="AW643" i="1"/>
  <c r="AV643" i="1"/>
  <c r="AT643" i="1"/>
  <c r="AU643" i="1" s="1"/>
  <c r="AS643" i="1"/>
  <c r="BC642" i="1"/>
  <c r="BB642" i="1"/>
  <c r="BA642" i="1"/>
  <c r="AZ642" i="1"/>
  <c r="AY642" i="1"/>
  <c r="AX642" i="1"/>
  <c r="AW642" i="1"/>
  <c r="AV642" i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U641" i="1"/>
  <c r="AT641" i="1"/>
  <c r="AS641" i="1"/>
  <c r="BC640" i="1"/>
  <c r="BB640" i="1"/>
  <c r="BA640" i="1"/>
  <c r="AZ640" i="1"/>
  <c r="AY640" i="1"/>
  <c r="AV640" i="1"/>
  <c r="AX640" i="1" s="1"/>
  <c r="AU640" i="1"/>
  <c r="AT640" i="1"/>
  <c r="AS640" i="1"/>
  <c r="BC639" i="1"/>
  <c r="BB639" i="1"/>
  <c r="BA639" i="1"/>
  <c r="AZ639" i="1"/>
  <c r="AY639" i="1"/>
  <c r="AX639" i="1"/>
  <c r="AV639" i="1"/>
  <c r="AW639" i="1" s="1"/>
  <c r="AU639" i="1"/>
  <c r="AT639" i="1"/>
  <c r="AS639" i="1"/>
  <c r="BC638" i="1"/>
  <c r="BB638" i="1"/>
  <c r="BA638" i="1"/>
  <c r="AZ638" i="1"/>
  <c r="AY638" i="1"/>
  <c r="AX638" i="1"/>
  <c r="AW638" i="1"/>
  <c r="AV638" i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X636" i="1" s="1"/>
  <c r="AU636" i="1"/>
  <c r="AT636" i="1"/>
  <c r="AS636" i="1"/>
  <c r="BC635" i="1"/>
  <c r="BB635" i="1"/>
  <c r="BA635" i="1"/>
  <c r="AZ635" i="1"/>
  <c r="AY635" i="1"/>
  <c r="AX635" i="1"/>
  <c r="AW635" i="1"/>
  <c r="AV635" i="1"/>
  <c r="AT635" i="1"/>
  <c r="AU635" i="1" s="1"/>
  <c r="AS635" i="1"/>
  <c r="BC634" i="1"/>
  <c r="BB634" i="1"/>
  <c r="BA634" i="1"/>
  <c r="AZ634" i="1"/>
  <c r="AY634" i="1"/>
  <c r="AX634" i="1"/>
  <c r="AW634" i="1"/>
  <c r="AV634" i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U633" i="1"/>
  <c r="AT633" i="1"/>
  <c r="AS633" i="1"/>
  <c r="BC632" i="1"/>
  <c r="BB632" i="1"/>
  <c r="BA632" i="1"/>
  <c r="AZ632" i="1"/>
  <c r="AY632" i="1"/>
  <c r="AV632" i="1"/>
  <c r="AX632" i="1" s="1"/>
  <c r="AU632" i="1"/>
  <c r="AT632" i="1"/>
  <c r="AS632" i="1"/>
  <c r="BC631" i="1"/>
  <c r="BB631" i="1"/>
  <c r="BA631" i="1"/>
  <c r="AZ631" i="1"/>
  <c r="AY631" i="1"/>
  <c r="AX631" i="1"/>
  <c r="AV631" i="1"/>
  <c r="AW631" i="1" s="1"/>
  <c r="AU631" i="1"/>
  <c r="AT631" i="1"/>
  <c r="AS631" i="1"/>
  <c r="BC630" i="1"/>
  <c r="BB630" i="1"/>
  <c r="BA630" i="1"/>
  <c r="AZ630" i="1"/>
  <c r="AY630" i="1"/>
  <c r="AX630" i="1"/>
  <c r="AW630" i="1"/>
  <c r="AV630" i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X628" i="1" s="1"/>
  <c r="AU628" i="1"/>
  <c r="AT628" i="1"/>
  <c r="AS628" i="1"/>
  <c r="BC627" i="1"/>
  <c r="BB627" i="1"/>
  <c r="BA627" i="1"/>
  <c r="AZ627" i="1"/>
  <c r="AY627" i="1"/>
  <c r="AX627" i="1"/>
  <c r="AW627" i="1"/>
  <c r="AV627" i="1"/>
  <c r="AT627" i="1"/>
  <c r="AU627" i="1" s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U625" i="1"/>
  <c r="AT625" i="1"/>
  <c r="AS625" i="1"/>
  <c r="BC624" i="1"/>
  <c r="BB624" i="1"/>
  <c r="BA624" i="1"/>
  <c r="AZ624" i="1"/>
  <c r="AY624" i="1"/>
  <c r="AV624" i="1"/>
  <c r="AX624" i="1" s="1"/>
  <c r="AU624" i="1"/>
  <c r="AT624" i="1"/>
  <c r="AS624" i="1"/>
  <c r="BC623" i="1"/>
  <c r="BB623" i="1"/>
  <c r="BA623" i="1"/>
  <c r="AZ623" i="1"/>
  <c r="AY623" i="1"/>
  <c r="AX623" i="1"/>
  <c r="AV623" i="1"/>
  <c r="AW623" i="1" s="1"/>
  <c r="AU623" i="1"/>
  <c r="AT623" i="1"/>
  <c r="AS623" i="1"/>
  <c r="BC622" i="1"/>
  <c r="BB622" i="1"/>
  <c r="BA622" i="1"/>
  <c r="AZ622" i="1"/>
  <c r="AY622" i="1"/>
  <c r="AX622" i="1"/>
  <c r="AW622" i="1"/>
  <c r="AV622" i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U620" i="1"/>
  <c r="AT620" i="1"/>
  <c r="AS620" i="1"/>
  <c r="BC619" i="1"/>
  <c r="BB619" i="1"/>
  <c r="BA619" i="1"/>
  <c r="AZ619" i="1"/>
  <c r="AY619" i="1"/>
  <c r="AX619" i="1"/>
  <c r="AW619" i="1"/>
  <c r="AV619" i="1"/>
  <c r="AT619" i="1"/>
  <c r="AU619" i="1" s="1"/>
  <c r="AS619" i="1"/>
  <c r="BC618" i="1"/>
  <c r="BB618" i="1"/>
  <c r="BA618" i="1"/>
  <c r="AZ618" i="1"/>
  <c r="AY618" i="1"/>
  <c r="AX618" i="1"/>
  <c r="AW618" i="1"/>
  <c r="AV618" i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U617" i="1"/>
  <c r="AT617" i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U615" i="1"/>
  <c r="AT615" i="1"/>
  <c r="AS615" i="1"/>
  <c r="BC614" i="1"/>
  <c r="BB614" i="1"/>
  <c r="BA614" i="1"/>
  <c r="AZ614" i="1"/>
  <c r="AY614" i="1"/>
  <c r="AX614" i="1"/>
  <c r="AW614" i="1"/>
  <c r="AV614" i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X612" i="1" s="1"/>
  <c r="AU612" i="1"/>
  <c r="AT612" i="1"/>
  <c r="AS612" i="1"/>
  <c r="BC611" i="1"/>
  <c r="BB611" i="1"/>
  <c r="BA611" i="1"/>
  <c r="AZ611" i="1"/>
  <c r="AY611" i="1"/>
  <c r="AX611" i="1"/>
  <c r="AW611" i="1"/>
  <c r="AV611" i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U609" i="1"/>
  <c r="AT609" i="1"/>
  <c r="AS609" i="1"/>
  <c r="BC608" i="1"/>
  <c r="BB608" i="1"/>
  <c r="BA608" i="1"/>
  <c r="AZ608" i="1"/>
  <c r="AY608" i="1"/>
  <c r="AV608" i="1"/>
  <c r="AX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U607" i="1"/>
  <c r="AT607" i="1"/>
  <c r="AS607" i="1"/>
  <c r="BC606" i="1"/>
  <c r="BB606" i="1"/>
  <c r="BA606" i="1"/>
  <c r="AZ606" i="1"/>
  <c r="AY606" i="1"/>
  <c r="AX606" i="1"/>
  <c r="AW606" i="1"/>
  <c r="AV606" i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X604" i="1" s="1"/>
  <c r="AU604" i="1"/>
  <c r="AT604" i="1"/>
  <c r="AS604" i="1"/>
  <c r="BC603" i="1"/>
  <c r="BB603" i="1"/>
  <c r="BA603" i="1"/>
  <c r="AZ603" i="1"/>
  <c r="AY603" i="1"/>
  <c r="AX603" i="1"/>
  <c r="AW603" i="1"/>
  <c r="AV603" i="1"/>
  <c r="AT603" i="1"/>
  <c r="AU603" i="1" s="1"/>
  <c r="AS603" i="1"/>
  <c r="BC602" i="1"/>
  <c r="BB602" i="1"/>
  <c r="BA602" i="1"/>
  <c r="AZ602" i="1"/>
  <c r="AY602" i="1"/>
  <c r="AX602" i="1"/>
  <c r="AW602" i="1"/>
  <c r="AV602" i="1"/>
  <c r="AT602" i="1"/>
  <c r="AU602" i="1" s="1"/>
  <c r="AS602" i="1"/>
  <c r="BC601" i="1"/>
  <c r="BB601" i="1"/>
  <c r="BA601" i="1"/>
  <c r="AZ601" i="1"/>
  <c r="AY601" i="1"/>
  <c r="AW601" i="1"/>
  <c r="AV601" i="1"/>
  <c r="AX601" i="1" s="1"/>
  <c r="AU601" i="1"/>
  <c r="AT601" i="1"/>
  <c r="AS601" i="1"/>
  <c r="BC600" i="1"/>
  <c r="BB600" i="1"/>
  <c r="BA600" i="1"/>
  <c r="AZ600" i="1"/>
  <c r="AY600" i="1"/>
  <c r="AV600" i="1"/>
  <c r="AX600" i="1" s="1"/>
  <c r="AU600" i="1"/>
  <c r="AT600" i="1"/>
  <c r="AS600" i="1"/>
  <c r="BC599" i="1"/>
  <c r="BB599" i="1"/>
  <c r="BA599" i="1"/>
  <c r="AZ599" i="1"/>
  <c r="AY599" i="1"/>
  <c r="AX599" i="1"/>
  <c r="AV599" i="1"/>
  <c r="AW599" i="1" s="1"/>
  <c r="AU599" i="1"/>
  <c r="AT599" i="1"/>
  <c r="AS599" i="1"/>
  <c r="BC598" i="1"/>
  <c r="BB598" i="1"/>
  <c r="BA598" i="1"/>
  <c r="AZ598" i="1"/>
  <c r="AY598" i="1"/>
  <c r="AX598" i="1"/>
  <c r="AW598" i="1"/>
  <c r="AV598" i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X596" i="1" s="1"/>
  <c r="AU596" i="1"/>
  <c r="AT596" i="1"/>
  <c r="AS596" i="1"/>
  <c r="BC595" i="1"/>
  <c r="BB595" i="1"/>
  <c r="BA595" i="1"/>
  <c r="AZ595" i="1"/>
  <c r="AY595" i="1"/>
  <c r="AX595" i="1"/>
  <c r="AW595" i="1"/>
  <c r="AV595" i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U593" i="1"/>
  <c r="AT593" i="1"/>
  <c r="AS593" i="1"/>
  <c r="BC592" i="1"/>
  <c r="BB592" i="1"/>
  <c r="BA592" i="1"/>
  <c r="AZ592" i="1"/>
  <c r="AY592" i="1"/>
  <c r="AV592" i="1"/>
  <c r="AX592" i="1" s="1"/>
  <c r="AU592" i="1"/>
  <c r="AT592" i="1"/>
  <c r="AS592" i="1"/>
  <c r="BC591" i="1"/>
  <c r="BB591" i="1"/>
  <c r="BA591" i="1"/>
  <c r="AZ591" i="1"/>
  <c r="AY591" i="1"/>
  <c r="AX591" i="1"/>
  <c r="AV591" i="1"/>
  <c r="AW591" i="1" s="1"/>
  <c r="AU591" i="1"/>
  <c r="AT591" i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X588" i="1" s="1"/>
  <c r="AU588" i="1"/>
  <c r="AT588" i="1"/>
  <c r="AS588" i="1"/>
  <c r="BC587" i="1"/>
  <c r="BB587" i="1"/>
  <c r="BA587" i="1"/>
  <c r="AZ587" i="1"/>
  <c r="AY587" i="1"/>
  <c r="AX587" i="1"/>
  <c r="AW587" i="1"/>
  <c r="AV587" i="1"/>
  <c r="AT587" i="1"/>
  <c r="AU587" i="1" s="1"/>
  <c r="AS587" i="1"/>
  <c r="BC586" i="1"/>
  <c r="BB586" i="1"/>
  <c r="BA586" i="1"/>
  <c r="AZ586" i="1"/>
  <c r="AY586" i="1"/>
  <c r="AX586" i="1"/>
  <c r="AW586" i="1"/>
  <c r="AV586" i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U585" i="1"/>
  <c r="AT585" i="1"/>
  <c r="AS585" i="1"/>
  <c r="BC584" i="1"/>
  <c r="BB584" i="1"/>
  <c r="BA584" i="1"/>
  <c r="AZ584" i="1"/>
  <c r="AY584" i="1"/>
  <c r="AX584" i="1"/>
  <c r="AV584" i="1"/>
  <c r="AW584" i="1" s="1"/>
  <c r="AU584" i="1"/>
  <c r="AT584" i="1"/>
  <c r="AS584" i="1"/>
  <c r="BC583" i="1"/>
  <c r="BB583" i="1"/>
  <c r="BA583" i="1"/>
  <c r="AZ583" i="1"/>
  <c r="AY583" i="1"/>
  <c r="AX583" i="1"/>
  <c r="AV583" i="1"/>
  <c r="AW583" i="1" s="1"/>
  <c r="AU583" i="1"/>
  <c r="AT583" i="1"/>
  <c r="AS583" i="1"/>
  <c r="BC582" i="1"/>
  <c r="BB582" i="1"/>
  <c r="BA582" i="1"/>
  <c r="AZ582" i="1"/>
  <c r="AY582" i="1"/>
  <c r="AX582" i="1"/>
  <c r="AW582" i="1"/>
  <c r="AV582" i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X580" i="1" s="1"/>
  <c r="AU580" i="1"/>
  <c r="AT580" i="1"/>
  <c r="AS580" i="1"/>
  <c r="BC579" i="1"/>
  <c r="BB579" i="1"/>
  <c r="BA579" i="1"/>
  <c r="AZ579" i="1"/>
  <c r="AY579" i="1"/>
  <c r="AX579" i="1"/>
  <c r="AW579" i="1"/>
  <c r="AV579" i="1"/>
  <c r="AT579" i="1"/>
  <c r="AU579" i="1" s="1"/>
  <c r="AS579" i="1"/>
  <c r="BC578" i="1"/>
  <c r="BB578" i="1"/>
  <c r="BA578" i="1"/>
  <c r="AZ578" i="1"/>
  <c r="AY578" i="1"/>
  <c r="AX578" i="1"/>
  <c r="AW578" i="1"/>
  <c r="AV578" i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X576" i="1"/>
  <c r="AV576" i="1"/>
  <c r="AW576" i="1" s="1"/>
  <c r="AU576" i="1"/>
  <c r="AT576" i="1"/>
  <c r="AS576" i="1"/>
  <c r="BC575" i="1"/>
  <c r="BB575" i="1"/>
  <c r="BA575" i="1"/>
  <c r="AZ575" i="1"/>
  <c r="AY575" i="1"/>
  <c r="AX575" i="1"/>
  <c r="AV575" i="1"/>
  <c r="AW575" i="1" s="1"/>
  <c r="AU575" i="1"/>
  <c r="AT575" i="1"/>
  <c r="AS575" i="1"/>
  <c r="BC574" i="1"/>
  <c r="BB574" i="1"/>
  <c r="BA574" i="1"/>
  <c r="AZ574" i="1"/>
  <c r="AY574" i="1"/>
  <c r="AX574" i="1"/>
  <c r="AW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X572" i="1" s="1"/>
  <c r="AU572" i="1"/>
  <c r="AT572" i="1"/>
  <c r="AS572" i="1"/>
  <c r="BC571" i="1"/>
  <c r="BB571" i="1"/>
  <c r="BA571" i="1"/>
  <c r="AZ571" i="1"/>
  <c r="AY571" i="1"/>
  <c r="AX571" i="1"/>
  <c r="AW571" i="1"/>
  <c r="AV571" i="1"/>
  <c r="AT571" i="1"/>
  <c r="AU571" i="1" s="1"/>
  <c r="AS571" i="1"/>
  <c r="BC570" i="1"/>
  <c r="BB570" i="1"/>
  <c r="BA570" i="1"/>
  <c r="AZ570" i="1"/>
  <c r="AY570" i="1"/>
  <c r="AX570" i="1"/>
  <c r="AW570" i="1"/>
  <c r="AV570" i="1"/>
  <c r="AT570" i="1"/>
  <c r="AU570" i="1" s="1"/>
  <c r="AS570" i="1"/>
  <c r="BC569" i="1"/>
  <c r="BB569" i="1"/>
  <c r="BA569" i="1"/>
  <c r="AZ569" i="1"/>
  <c r="AY569" i="1"/>
  <c r="AW569" i="1"/>
  <c r="AV569" i="1"/>
  <c r="AX569" i="1" s="1"/>
  <c r="AU569" i="1"/>
  <c r="AT569" i="1"/>
  <c r="AS569" i="1"/>
  <c r="BC568" i="1"/>
  <c r="BB568" i="1"/>
  <c r="BA568" i="1"/>
  <c r="AZ568" i="1"/>
  <c r="AY568" i="1"/>
  <c r="AX568" i="1"/>
  <c r="AV568" i="1"/>
  <c r="AW568" i="1" s="1"/>
  <c r="AU568" i="1"/>
  <c r="AT568" i="1"/>
  <c r="AS568" i="1"/>
  <c r="BC567" i="1"/>
  <c r="BB567" i="1"/>
  <c r="BA567" i="1"/>
  <c r="AZ567" i="1"/>
  <c r="AY567" i="1"/>
  <c r="AX567" i="1"/>
  <c r="AV567" i="1"/>
  <c r="AW567" i="1" s="1"/>
  <c r="AU567" i="1"/>
  <c r="AT567" i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U564" i="1"/>
  <c r="AT564" i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U561" i="1"/>
  <c r="AT561" i="1"/>
  <c r="AS561" i="1"/>
  <c r="BC560" i="1"/>
  <c r="BB560" i="1"/>
  <c r="BA560" i="1"/>
  <c r="AZ560" i="1"/>
  <c r="AY560" i="1"/>
  <c r="AX560" i="1"/>
  <c r="AV560" i="1"/>
  <c r="AW560" i="1" s="1"/>
  <c r="AU560" i="1"/>
  <c r="AT560" i="1"/>
  <c r="AS560" i="1"/>
  <c r="BC559" i="1"/>
  <c r="BB559" i="1"/>
  <c r="BA559" i="1"/>
  <c r="AZ559" i="1"/>
  <c r="AY559" i="1"/>
  <c r="AX559" i="1"/>
  <c r="AV559" i="1"/>
  <c r="AW559" i="1" s="1"/>
  <c r="AU559" i="1"/>
  <c r="AT559" i="1"/>
  <c r="AS559" i="1"/>
  <c r="BC558" i="1"/>
  <c r="BB558" i="1"/>
  <c r="BA558" i="1"/>
  <c r="AZ558" i="1"/>
  <c r="AY558" i="1"/>
  <c r="AX558" i="1"/>
  <c r="AW558" i="1"/>
  <c r="AV558" i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U556" i="1"/>
  <c r="AT556" i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T554" i="1"/>
  <c r="AU554" i="1" s="1"/>
  <c r="AS554" i="1"/>
  <c r="BC553" i="1"/>
  <c r="BB553" i="1"/>
  <c r="BA553" i="1"/>
  <c r="AZ553" i="1"/>
  <c r="AY553" i="1"/>
  <c r="AW553" i="1"/>
  <c r="AV553" i="1"/>
  <c r="AX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U552" i="1"/>
  <c r="AT552" i="1"/>
  <c r="AS552" i="1"/>
  <c r="BC551" i="1"/>
  <c r="BB551" i="1"/>
  <c r="BA551" i="1"/>
  <c r="AZ551" i="1"/>
  <c r="AY551" i="1"/>
  <c r="AX551" i="1"/>
  <c r="AV551" i="1"/>
  <c r="AW551" i="1" s="1"/>
  <c r="AU551" i="1"/>
  <c r="AT551" i="1"/>
  <c r="AS551" i="1"/>
  <c r="BC550" i="1"/>
  <c r="BB550" i="1"/>
  <c r="BA550" i="1"/>
  <c r="AZ550" i="1"/>
  <c r="AY550" i="1"/>
  <c r="AX550" i="1"/>
  <c r="AW550" i="1"/>
  <c r="AV550" i="1"/>
  <c r="AT550" i="1"/>
  <c r="AU550" i="1" s="1"/>
  <c r="AS550" i="1"/>
  <c r="BC549" i="1"/>
  <c r="BB549" i="1"/>
  <c r="BA549" i="1"/>
  <c r="AZ549" i="1"/>
  <c r="AY549" i="1"/>
  <c r="AV549" i="1"/>
  <c r="AX549" i="1" s="1"/>
  <c r="AU549" i="1"/>
  <c r="AT549" i="1"/>
  <c r="AS549" i="1"/>
  <c r="BC548" i="1"/>
  <c r="BB548" i="1"/>
  <c r="BA548" i="1"/>
  <c r="AZ548" i="1"/>
  <c r="AY548" i="1"/>
  <c r="AV548" i="1"/>
  <c r="AX548" i="1" s="1"/>
  <c r="AU548" i="1"/>
  <c r="AT548" i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U545" i="1"/>
  <c r="AT545" i="1"/>
  <c r="AS545" i="1"/>
  <c r="BC544" i="1"/>
  <c r="BB544" i="1"/>
  <c r="BA544" i="1"/>
  <c r="AZ544" i="1"/>
  <c r="AY544" i="1"/>
  <c r="AX544" i="1"/>
  <c r="AV544" i="1"/>
  <c r="AW544" i="1" s="1"/>
  <c r="AU544" i="1"/>
  <c r="AT544" i="1"/>
  <c r="AS544" i="1"/>
  <c r="BC543" i="1"/>
  <c r="BB543" i="1"/>
  <c r="BA543" i="1"/>
  <c r="AZ543" i="1"/>
  <c r="AY543" i="1"/>
  <c r="AX543" i="1"/>
  <c r="AW543" i="1"/>
  <c r="AV543" i="1"/>
  <c r="AU543" i="1"/>
  <c r="AT543" i="1"/>
  <c r="AS543" i="1"/>
  <c r="BC542" i="1"/>
  <c r="BB542" i="1"/>
  <c r="BA542" i="1"/>
  <c r="AZ542" i="1"/>
  <c r="AY542" i="1"/>
  <c r="AX542" i="1"/>
  <c r="AW542" i="1"/>
  <c r="AV542" i="1"/>
  <c r="AT542" i="1"/>
  <c r="AU542" i="1" s="1"/>
  <c r="AS542" i="1"/>
  <c r="BC541" i="1"/>
  <c r="BB541" i="1"/>
  <c r="BA541" i="1"/>
  <c r="AZ541" i="1"/>
  <c r="AY541" i="1"/>
  <c r="AV541" i="1"/>
  <c r="AX541" i="1" s="1"/>
  <c r="AU541" i="1"/>
  <c r="AT541" i="1"/>
  <c r="AS541" i="1"/>
  <c r="BC540" i="1"/>
  <c r="BB540" i="1"/>
  <c r="BA540" i="1"/>
  <c r="AZ540" i="1"/>
  <c r="AY540" i="1"/>
  <c r="AV540" i="1"/>
  <c r="AX540" i="1" s="1"/>
  <c r="AU540" i="1"/>
  <c r="AT540" i="1"/>
  <c r="AS540" i="1"/>
  <c r="BC539" i="1"/>
  <c r="BB539" i="1"/>
  <c r="BA539" i="1"/>
  <c r="AZ539" i="1"/>
  <c r="AY539" i="1"/>
  <c r="AX539" i="1"/>
  <c r="AW539" i="1"/>
  <c r="AV539" i="1"/>
  <c r="AT539" i="1"/>
  <c r="AU539" i="1" s="1"/>
  <c r="AS539" i="1"/>
  <c r="BC538" i="1"/>
  <c r="BB538" i="1"/>
  <c r="BA538" i="1"/>
  <c r="AZ538" i="1"/>
  <c r="AY538" i="1"/>
  <c r="AW538" i="1"/>
  <c r="AV538" i="1"/>
  <c r="AX538" i="1" s="1"/>
  <c r="AT538" i="1"/>
  <c r="AU538" i="1" s="1"/>
  <c r="AS538" i="1"/>
  <c r="BC537" i="1"/>
  <c r="BB537" i="1"/>
  <c r="BA537" i="1"/>
  <c r="AZ537" i="1"/>
  <c r="AY537" i="1"/>
  <c r="AW537" i="1"/>
  <c r="AV537" i="1"/>
  <c r="AX537" i="1" s="1"/>
  <c r="AU537" i="1"/>
  <c r="AT537" i="1"/>
  <c r="AS537" i="1"/>
  <c r="BC536" i="1"/>
  <c r="BB536" i="1"/>
  <c r="BA536" i="1"/>
  <c r="AZ536" i="1"/>
  <c r="AY536" i="1"/>
  <c r="AX536" i="1"/>
  <c r="AV536" i="1"/>
  <c r="AW536" i="1" s="1"/>
  <c r="AU536" i="1"/>
  <c r="AT536" i="1"/>
  <c r="AS536" i="1"/>
  <c r="BC535" i="1"/>
  <c r="BB535" i="1"/>
  <c r="BA535" i="1"/>
  <c r="AZ535" i="1"/>
  <c r="AY535" i="1"/>
  <c r="AX535" i="1"/>
  <c r="AW535" i="1"/>
  <c r="AV535" i="1"/>
  <c r="AU535" i="1"/>
  <c r="AT535" i="1"/>
  <c r="AS535" i="1"/>
  <c r="BC534" i="1"/>
  <c r="BB534" i="1"/>
  <c r="BA534" i="1"/>
  <c r="AZ534" i="1"/>
  <c r="AY534" i="1"/>
  <c r="AX534" i="1"/>
  <c r="AW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U533" i="1"/>
  <c r="AT533" i="1"/>
  <c r="AS533" i="1"/>
  <c r="BC532" i="1"/>
  <c r="BB532" i="1"/>
  <c r="BA532" i="1"/>
  <c r="AZ532" i="1"/>
  <c r="AY532" i="1"/>
  <c r="AV532" i="1"/>
  <c r="AX532" i="1" s="1"/>
  <c r="AU532" i="1"/>
  <c r="AT532" i="1"/>
  <c r="AS532" i="1"/>
  <c r="BC531" i="1"/>
  <c r="BB531" i="1"/>
  <c r="BA531" i="1"/>
  <c r="AZ531" i="1"/>
  <c r="AY531" i="1"/>
  <c r="AX531" i="1"/>
  <c r="AW531" i="1"/>
  <c r="AV531" i="1"/>
  <c r="AT531" i="1"/>
  <c r="AU531" i="1" s="1"/>
  <c r="AS531" i="1"/>
  <c r="BC530" i="1"/>
  <c r="BB530" i="1"/>
  <c r="BA530" i="1"/>
  <c r="AZ530" i="1"/>
  <c r="AY530" i="1"/>
  <c r="AW530" i="1"/>
  <c r="AV530" i="1"/>
  <c r="AX530" i="1" s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U529" i="1"/>
  <c r="AT529" i="1"/>
  <c r="AS529" i="1"/>
  <c r="BC528" i="1"/>
  <c r="BB528" i="1"/>
  <c r="BA528" i="1"/>
  <c r="AZ528" i="1"/>
  <c r="AY528" i="1"/>
  <c r="AX528" i="1"/>
  <c r="AW528" i="1"/>
  <c r="AV528" i="1"/>
  <c r="AU528" i="1"/>
  <c r="AT528" i="1"/>
  <c r="AS528" i="1"/>
  <c r="BC527" i="1"/>
  <c r="BB527" i="1"/>
  <c r="BA527" i="1"/>
  <c r="AZ527" i="1"/>
  <c r="AY527" i="1"/>
  <c r="AX527" i="1"/>
  <c r="AW527" i="1"/>
  <c r="AV527" i="1"/>
  <c r="AU527" i="1"/>
  <c r="AT527" i="1"/>
  <c r="AS527" i="1"/>
  <c r="BC526" i="1"/>
  <c r="BB526" i="1"/>
  <c r="BA526" i="1"/>
  <c r="AZ526" i="1"/>
  <c r="AY526" i="1"/>
  <c r="AX526" i="1"/>
  <c r="AW526" i="1"/>
  <c r="AV526" i="1"/>
  <c r="AU526" i="1"/>
  <c r="AT526" i="1"/>
  <c r="AS526" i="1"/>
  <c r="BC525" i="1"/>
  <c r="BB525" i="1"/>
  <c r="BA525" i="1"/>
  <c r="AZ525" i="1"/>
  <c r="AY525" i="1"/>
  <c r="AV525" i="1"/>
  <c r="AX525" i="1" s="1"/>
  <c r="AU525" i="1"/>
  <c r="AT525" i="1"/>
  <c r="AS525" i="1"/>
  <c r="BC524" i="1"/>
  <c r="BB524" i="1"/>
  <c r="BA524" i="1"/>
  <c r="AZ524" i="1"/>
  <c r="AY524" i="1"/>
  <c r="AV524" i="1"/>
  <c r="AX524" i="1" s="1"/>
  <c r="AU524" i="1"/>
  <c r="AT524" i="1"/>
  <c r="AS524" i="1"/>
  <c r="BC523" i="1"/>
  <c r="BB523" i="1"/>
  <c r="BA523" i="1"/>
  <c r="AZ523" i="1"/>
  <c r="AY523" i="1"/>
  <c r="AX523" i="1"/>
  <c r="AW523" i="1"/>
  <c r="AV523" i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T522" i="1"/>
  <c r="AU522" i="1" s="1"/>
  <c r="AS522" i="1"/>
  <c r="BC521" i="1"/>
  <c r="BB521" i="1"/>
  <c r="BA521" i="1"/>
  <c r="AZ521" i="1"/>
  <c r="AY521" i="1"/>
  <c r="AW521" i="1"/>
  <c r="AV521" i="1"/>
  <c r="AX521" i="1" s="1"/>
  <c r="AU521" i="1"/>
  <c r="AT521" i="1"/>
  <c r="AS521" i="1"/>
  <c r="BC520" i="1"/>
  <c r="BB520" i="1"/>
  <c r="BA520" i="1"/>
  <c r="AZ520" i="1"/>
  <c r="AY520" i="1"/>
  <c r="AX520" i="1"/>
  <c r="AW520" i="1"/>
  <c r="AV520" i="1"/>
  <c r="AU520" i="1"/>
  <c r="AT520" i="1"/>
  <c r="AS520" i="1"/>
  <c r="BC519" i="1"/>
  <c r="BB519" i="1"/>
  <c r="BA519" i="1"/>
  <c r="AZ519" i="1"/>
  <c r="AY519" i="1"/>
  <c r="AX519" i="1"/>
  <c r="AW519" i="1"/>
  <c r="AV519" i="1"/>
  <c r="AU519" i="1"/>
  <c r="AT519" i="1"/>
  <c r="AS519" i="1"/>
  <c r="BC518" i="1"/>
  <c r="BB518" i="1"/>
  <c r="BA518" i="1"/>
  <c r="AZ518" i="1"/>
  <c r="AY518" i="1"/>
  <c r="AX518" i="1"/>
  <c r="AW518" i="1"/>
  <c r="AV518" i="1"/>
  <c r="AU518" i="1"/>
  <c r="AT518" i="1"/>
  <c r="AS518" i="1"/>
  <c r="BC517" i="1"/>
  <c r="BB517" i="1"/>
  <c r="BA517" i="1"/>
  <c r="AZ517" i="1"/>
  <c r="AY517" i="1"/>
  <c r="AV517" i="1"/>
  <c r="AX517" i="1" s="1"/>
  <c r="AU517" i="1"/>
  <c r="AT517" i="1"/>
  <c r="AS517" i="1"/>
  <c r="BC516" i="1"/>
  <c r="BB516" i="1"/>
  <c r="BA516" i="1"/>
  <c r="AZ516" i="1"/>
  <c r="AY516" i="1"/>
  <c r="AV516" i="1"/>
  <c r="AX516" i="1" s="1"/>
  <c r="AU516" i="1"/>
  <c r="AT516" i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T514" i="1"/>
  <c r="AU514" i="1" s="1"/>
  <c r="AS514" i="1"/>
  <c r="BC513" i="1"/>
  <c r="BB513" i="1"/>
  <c r="BA513" i="1"/>
  <c r="AZ513" i="1"/>
  <c r="AY513" i="1"/>
  <c r="AW513" i="1"/>
  <c r="AV513" i="1"/>
  <c r="AX513" i="1" s="1"/>
  <c r="AU513" i="1"/>
  <c r="AT513" i="1"/>
  <c r="AS513" i="1"/>
  <c r="BC512" i="1"/>
  <c r="BB512" i="1"/>
  <c r="BA512" i="1"/>
  <c r="AZ512" i="1"/>
  <c r="AY512" i="1"/>
  <c r="AX512" i="1"/>
  <c r="AW512" i="1"/>
  <c r="AV512" i="1"/>
  <c r="AU512" i="1"/>
  <c r="AT512" i="1"/>
  <c r="AS512" i="1"/>
  <c r="BC511" i="1"/>
  <c r="BB511" i="1"/>
  <c r="BA511" i="1"/>
  <c r="AZ511" i="1"/>
  <c r="AY511" i="1"/>
  <c r="AX511" i="1"/>
  <c r="AW511" i="1"/>
  <c r="AV511" i="1"/>
  <c r="AU511" i="1"/>
  <c r="AT511" i="1"/>
  <c r="AS511" i="1"/>
  <c r="BC510" i="1"/>
  <c r="BB510" i="1"/>
  <c r="BA510" i="1"/>
  <c r="AZ510" i="1"/>
  <c r="AY510" i="1"/>
  <c r="AX510" i="1"/>
  <c r="AW510" i="1"/>
  <c r="AV510" i="1"/>
  <c r="AU510" i="1"/>
  <c r="AT510" i="1"/>
  <c r="AS510" i="1"/>
  <c r="BC509" i="1"/>
  <c r="BB509" i="1"/>
  <c r="BA509" i="1"/>
  <c r="AZ509" i="1"/>
  <c r="AY509" i="1"/>
  <c r="AV509" i="1"/>
  <c r="AX509" i="1" s="1"/>
  <c r="AU509" i="1"/>
  <c r="AT509" i="1"/>
  <c r="AS509" i="1"/>
  <c r="BC508" i="1"/>
  <c r="BB508" i="1"/>
  <c r="BA508" i="1"/>
  <c r="AZ508" i="1"/>
  <c r="AY508" i="1"/>
  <c r="AV508" i="1"/>
  <c r="AX508" i="1" s="1"/>
  <c r="AU508" i="1"/>
  <c r="AT508" i="1"/>
  <c r="AS508" i="1"/>
  <c r="BC507" i="1"/>
  <c r="BB507" i="1"/>
  <c r="BA507" i="1"/>
  <c r="AZ507" i="1"/>
  <c r="AY507" i="1"/>
  <c r="AX507" i="1"/>
  <c r="AW507" i="1"/>
  <c r="AV507" i="1"/>
  <c r="AT507" i="1"/>
  <c r="AU507" i="1" s="1"/>
  <c r="AS507" i="1"/>
  <c r="BC506" i="1"/>
  <c r="BB506" i="1"/>
  <c r="BA506" i="1"/>
  <c r="AZ506" i="1"/>
  <c r="AY506" i="1"/>
  <c r="AW506" i="1"/>
  <c r="AV506" i="1"/>
  <c r="AX506" i="1" s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U505" i="1"/>
  <c r="AT505" i="1"/>
  <c r="AS505" i="1"/>
  <c r="BC504" i="1"/>
  <c r="BB504" i="1"/>
  <c r="BA504" i="1"/>
  <c r="AZ504" i="1"/>
  <c r="AY504" i="1"/>
  <c r="AX504" i="1"/>
  <c r="AW504" i="1"/>
  <c r="AV504" i="1"/>
  <c r="AU504" i="1"/>
  <c r="AT504" i="1"/>
  <c r="AS504" i="1"/>
  <c r="BC503" i="1"/>
  <c r="BB503" i="1"/>
  <c r="BA503" i="1"/>
  <c r="AZ503" i="1"/>
  <c r="AY503" i="1"/>
  <c r="AX503" i="1"/>
  <c r="AW503" i="1"/>
  <c r="AV503" i="1"/>
  <c r="AU503" i="1"/>
  <c r="AT503" i="1"/>
  <c r="AS503" i="1"/>
  <c r="BC502" i="1"/>
  <c r="BB502" i="1"/>
  <c r="BA502" i="1"/>
  <c r="AZ502" i="1"/>
  <c r="AY502" i="1"/>
  <c r="AX502" i="1"/>
  <c r="AW502" i="1"/>
  <c r="AV502" i="1"/>
  <c r="AU502" i="1"/>
  <c r="AT502" i="1"/>
  <c r="AS502" i="1"/>
  <c r="BC501" i="1"/>
  <c r="BB501" i="1"/>
  <c r="BA501" i="1"/>
  <c r="AZ501" i="1"/>
  <c r="AY501" i="1"/>
  <c r="AV501" i="1"/>
  <c r="AU501" i="1"/>
  <c r="AT501" i="1"/>
  <c r="AS501" i="1"/>
  <c r="BC500" i="1"/>
  <c r="BB500" i="1"/>
  <c r="BA500" i="1"/>
  <c r="AZ500" i="1"/>
  <c r="AY500" i="1"/>
  <c r="AV500" i="1"/>
  <c r="AU500" i="1"/>
  <c r="AT500" i="1"/>
  <c r="AS500" i="1"/>
  <c r="BC499" i="1"/>
  <c r="BB499" i="1"/>
  <c r="BA499" i="1"/>
  <c r="AZ499" i="1"/>
  <c r="AY499" i="1"/>
  <c r="AX499" i="1"/>
  <c r="AW499" i="1"/>
  <c r="AV499" i="1"/>
  <c r="AT499" i="1"/>
  <c r="AU499" i="1" s="1"/>
  <c r="AS499" i="1"/>
  <c r="BC498" i="1"/>
  <c r="BB498" i="1"/>
  <c r="BA498" i="1"/>
  <c r="AZ498" i="1"/>
  <c r="AY498" i="1"/>
  <c r="AW498" i="1"/>
  <c r="AV498" i="1"/>
  <c r="AX498" i="1" s="1"/>
  <c r="AT498" i="1"/>
  <c r="AU498" i="1" s="1"/>
  <c r="AS498" i="1"/>
  <c r="BC497" i="1"/>
  <c r="BB497" i="1"/>
  <c r="BA497" i="1"/>
  <c r="AZ497" i="1"/>
  <c r="AY497" i="1"/>
  <c r="AW497" i="1"/>
  <c r="AV497" i="1"/>
  <c r="AX497" i="1" s="1"/>
  <c r="AU497" i="1"/>
  <c r="AT497" i="1"/>
  <c r="AS497" i="1"/>
  <c r="BC496" i="1"/>
  <c r="BB496" i="1"/>
  <c r="BA496" i="1"/>
  <c r="AZ496" i="1"/>
  <c r="AY496" i="1"/>
  <c r="AX496" i="1"/>
  <c r="AW496" i="1"/>
  <c r="AV496" i="1"/>
  <c r="AU496" i="1"/>
  <c r="AT496" i="1"/>
  <c r="AS496" i="1"/>
  <c r="BC495" i="1"/>
  <c r="BB495" i="1"/>
  <c r="BA495" i="1"/>
  <c r="AZ495" i="1"/>
  <c r="AY495" i="1"/>
  <c r="AX495" i="1"/>
  <c r="AW495" i="1"/>
  <c r="AV495" i="1"/>
  <c r="AU495" i="1"/>
  <c r="AT495" i="1"/>
  <c r="AS495" i="1"/>
  <c r="BC494" i="1"/>
  <c r="BB494" i="1"/>
  <c r="BA494" i="1"/>
  <c r="AZ494" i="1"/>
  <c r="AY494" i="1"/>
  <c r="AX494" i="1"/>
  <c r="AW494" i="1"/>
  <c r="AV494" i="1"/>
  <c r="AU494" i="1"/>
  <c r="AT494" i="1"/>
  <c r="AS494" i="1"/>
  <c r="BC493" i="1"/>
  <c r="BB493" i="1"/>
  <c r="BA493" i="1"/>
  <c r="AZ493" i="1"/>
  <c r="AY493" i="1"/>
  <c r="AV493" i="1"/>
  <c r="AU493" i="1"/>
  <c r="AT493" i="1"/>
  <c r="AS493" i="1"/>
  <c r="BC492" i="1"/>
  <c r="BB492" i="1"/>
  <c r="BA492" i="1"/>
  <c r="AZ492" i="1"/>
  <c r="AY492" i="1"/>
  <c r="AV492" i="1"/>
  <c r="AU492" i="1"/>
  <c r="AT492" i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W490" i="1"/>
  <c r="AV490" i="1"/>
  <c r="AX490" i="1" s="1"/>
  <c r="AT490" i="1"/>
  <c r="AU490" i="1" s="1"/>
  <c r="AS490" i="1"/>
  <c r="BC489" i="1"/>
  <c r="BB489" i="1"/>
  <c r="BA489" i="1"/>
  <c r="AZ489" i="1"/>
  <c r="AY489" i="1"/>
  <c r="AW489" i="1"/>
  <c r="AV489" i="1"/>
  <c r="AX489" i="1" s="1"/>
  <c r="AU489" i="1"/>
  <c r="AT489" i="1"/>
  <c r="AS489" i="1"/>
  <c r="BC488" i="1"/>
  <c r="BB488" i="1"/>
  <c r="BA488" i="1"/>
  <c r="AZ488" i="1"/>
  <c r="AY488" i="1"/>
  <c r="AX488" i="1"/>
  <c r="AW488" i="1"/>
  <c r="AV488" i="1"/>
  <c r="AU488" i="1"/>
  <c r="AT488" i="1"/>
  <c r="AS488" i="1"/>
  <c r="BC487" i="1"/>
  <c r="BB487" i="1"/>
  <c r="BA487" i="1"/>
  <c r="AZ487" i="1"/>
  <c r="AY487" i="1"/>
  <c r="AX487" i="1"/>
  <c r="AW487" i="1"/>
  <c r="AV487" i="1"/>
  <c r="AU487" i="1"/>
  <c r="AT487" i="1"/>
  <c r="AS487" i="1"/>
  <c r="BC486" i="1"/>
  <c r="BB486" i="1"/>
  <c r="BA486" i="1"/>
  <c r="AZ486" i="1"/>
  <c r="AY486" i="1"/>
  <c r="AX486" i="1"/>
  <c r="AW486" i="1"/>
  <c r="AV486" i="1"/>
  <c r="AU486" i="1"/>
  <c r="AT486" i="1"/>
  <c r="AS486" i="1"/>
  <c r="BC485" i="1"/>
  <c r="BB485" i="1"/>
  <c r="BA485" i="1"/>
  <c r="AZ485" i="1"/>
  <c r="AY485" i="1"/>
  <c r="AV485" i="1"/>
  <c r="AU485" i="1"/>
  <c r="AT485" i="1"/>
  <c r="AS485" i="1"/>
  <c r="BC484" i="1"/>
  <c r="BB484" i="1"/>
  <c r="BA484" i="1"/>
  <c r="AZ484" i="1"/>
  <c r="AY484" i="1"/>
  <c r="AV484" i="1"/>
  <c r="AU484" i="1"/>
  <c r="AT484" i="1"/>
  <c r="AS484" i="1"/>
  <c r="BC483" i="1"/>
  <c r="BB483" i="1"/>
  <c r="BA483" i="1"/>
  <c r="AZ483" i="1"/>
  <c r="AY483" i="1"/>
  <c r="AX483" i="1"/>
  <c r="AV483" i="1"/>
  <c r="AW483" i="1" s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U481" i="1"/>
  <c r="AT481" i="1"/>
  <c r="AS481" i="1"/>
  <c r="BC480" i="1"/>
  <c r="BB480" i="1"/>
  <c r="BA480" i="1"/>
  <c r="AZ480" i="1"/>
  <c r="AY480" i="1"/>
  <c r="AX480" i="1"/>
  <c r="AW480" i="1"/>
  <c r="AV480" i="1"/>
  <c r="AU480" i="1"/>
  <c r="AT480" i="1"/>
  <c r="AS480" i="1"/>
  <c r="BC479" i="1"/>
  <c r="BB479" i="1"/>
  <c r="BA479" i="1"/>
  <c r="AZ479" i="1"/>
  <c r="AY479" i="1"/>
  <c r="AX479" i="1"/>
  <c r="AW479" i="1"/>
  <c r="AV479" i="1"/>
  <c r="AU479" i="1"/>
  <c r="AT479" i="1"/>
  <c r="AS479" i="1"/>
  <c r="BC478" i="1"/>
  <c r="BB478" i="1"/>
  <c r="BA478" i="1"/>
  <c r="AZ478" i="1"/>
  <c r="AY478" i="1"/>
  <c r="AX478" i="1"/>
  <c r="AW478" i="1"/>
  <c r="AV478" i="1"/>
  <c r="AU478" i="1"/>
  <c r="AT478" i="1"/>
  <c r="AS478" i="1"/>
  <c r="BC477" i="1"/>
  <c r="BB477" i="1"/>
  <c r="BA477" i="1"/>
  <c r="AZ477" i="1"/>
  <c r="AY477" i="1"/>
  <c r="AV477" i="1"/>
  <c r="AU477" i="1"/>
  <c r="AT477" i="1"/>
  <c r="AS477" i="1"/>
  <c r="BC476" i="1"/>
  <c r="BB476" i="1"/>
  <c r="BA476" i="1"/>
  <c r="AZ476" i="1"/>
  <c r="AY476" i="1"/>
  <c r="AV476" i="1"/>
  <c r="AU476" i="1"/>
  <c r="AT476" i="1"/>
  <c r="AS476" i="1"/>
  <c r="BC475" i="1"/>
  <c r="BB475" i="1"/>
  <c r="BA475" i="1"/>
  <c r="AZ475" i="1"/>
  <c r="AY475" i="1"/>
  <c r="AX475" i="1"/>
  <c r="AV475" i="1"/>
  <c r="AW475" i="1" s="1"/>
  <c r="AT475" i="1"/>
  <c r="AU475" i="1" s="1"/>
  <c r="AS475" i="1"/>
  <c r="BC474" i="1"/>
  <c r="BB474" i="1"/>
  <c r="BA474" i="1"/>
  <c r="AZ474" i="1"/>
  <c r="AY474" i="1"/>
  <c r="AW474" i="1"/>
  <c r="AV474" i="1"/>
  <c r="AX474" i="1" s="1"/>
  <c r="AT474" i="1"/>
  <c r="AU474" i="1" s="1"/>
  <c r="AS474" i="1"/>
  <c r="BC473" i="1"/>
  <c r="BB473" i="1"/>
  <c r="BA473" i="1"/>
  <c r="AZ473" i="1"/>
  <c r="AY473" i="1"/>
  <c r="AW473" i="1"/>
  <c r="AV473" i="1"/>
  <c r="AX473" i="1" s="1"/>
  <c r="AU473" i="1"/>
  <c r="AT473" i="1"/>
  <c r="AS473" i="1"/>
  <c r="BC472" i="1"/>
  <c r="BB472" i="1"/>
  <c r="BA472" i="1"/>
  <c r="AZ472" i="1"/>
  <c r="AY472" i="1"/>
  <c r="AX472" i="1"/>
  <c r="AW472" i="1"/>
  <c r="AV472" i="1"/>
  <c r="AU472" i="1"/>
  <c r="AT472" i="1"/>
  <c r="AS472" i="1"/>
  <c r="BC471" i="1"/>
  <c r="BB471" i="1"/>
  <c r="BA471" i="1"/>
  <c r="AZ471" i="1"/>
  <c r="AY471" i="1"/>
  <c r="AX471" i="1"/>
  <c r="AW471" i="1"/>
  <c r="AV471" i="1"/>
  <c r="AU471" i="1"/>
  <c r="AT471" i="1"/>
  <c r="AS471" i="1"/>
  <c r="BC470" i="1"/>
  <c r="BB470" i="1"/>
  <c r="BA470" i="1"/>
  <c r="AZ470" i="1"/>
  <c r="AY470" i="1"/>
  <c r="AX470" i="1"/>
  <c r="AW470" i="1"/>
  <c r="AV470" i="1"/>
  <c r="AU470" i="1"/>
  <c r="AT470" i="1"/>
  <c r="AS470" i="1"/>
  <c r="BC469" i="1"/>
  <c r="BB469" i="1"/>
  <c r="BA469" i="1"/>
  <c r="AZ469" i="1"/>
  <c r="AY469" i="1"/>
  <c r="AV469" i="1"/>
  <c r="AU469" i="1"/>
  <c r="AT469" i="1"/>
  <c r="AS469" i="1"/>
  <c r="BC468" i="1"/>
  <c r="BB468" i="1"/>
  <c r="BA468" i="1"/>
  <c r="AZ468" i="1"/>
  <c r="AY468" i="1"/>
  <c r="AV468" i="1"/>
  <c r="AU468" i="1"/>
  <c r="AT468" i="1"/>
  <c r="AS468" i="1"/>
  <c r="BC467" i="1"/>
  <c r="BB467" i="1"/>
  <c r="BA467" i="1"/>
  <c r="AZ467" i="1"/>
  <c r="AY467" i="1"/>
  <c r="AX467" i="1"/>
  <c r="AV467" i="1"/>
  <c r="AW467" i="1" s="1"/>
  <c r="AT467" i="1"/>
  <c r="AU467" i="1" s="1"/>
  <c r="AS467" i="1"/>
  <c r="BC466" i="1"/>
  <c r="BB466" i="1"/>
  <c r="BA466" i="1"/>
  <c r="AZ466" i="1"/>
  <c r="AY466" i="1"/>
  <c r="AW466" i="1"/>
  <c r="AV466" i="1"/>
  <c r="AX466" i="1" s="1"/>
  <c r="AT466" i="1"/>
  <c r="AU466" i="1" s="1"/>
  <c r="AS466" i="1"/>
  <c r="BC465" i="1"/>
  <c r="BB465" i="1"/>
  <c r="BA465" i="1"/>
  <c r="AZ465" i="1"/>
  <c r="AY465" i="1"/>
  <c r="AW465" i="1"/>
  <c r="AV465" i="1"/>
  <c r="AX465" i="1" s="1"/>
  <c r="AT465" i="1"/>
  <c r="AU465" i="1" s="1"/>
  <c r="AS465" i="1"/>
  <c r="BC464" i="1"/>
  <c r="BB464" i="1"/>
  <c r="BA464" i="1"/>
  <c r="AZ464" i="1"/>
  <c r="AY464" i="1"/>
  <c r="AX464" i="1"/>
  <c r="AW464" i="1"/>
  <c r="AV464" i="1"/>
  <c r="AU464" i="1"/>
  <c r="AT464" i="1"/>
  <c r="AS464" i="1"/>
  <c r="BC463" i="1"/>
  <c r="BB463" i="1"/>
  <c r="BA463" i="1"/>
  <c r="AZ463" i="1"/>
  <c r="AY463" i="1"/>
  <c r="AX463" i="1"/>
  <c r="AW463" i="1"/>
  <c r="AV463" i="1"/>
  <c r="AU463" i="1"/>
  <c r="AT463" i="1"/>
  <c r="AS463" i="1"/>
  <c r="BC462" i="1"/>
  <c r="BB462" i="1"/>
  <c r="BA462" i="1"/>
  <c r="AZ462" i="1"/>
  <c r="AY462" i="1"/>
  <c r="AX462" i="1"/>
  <c r="AW462" i="1"/>
  <c r="AV462" i="1"/>
  <c r="AU462" i="1"/>
  <c r="AT462" i="1"/>
  <c r="AS462" i="1"/>
  <c r="BC461" i="1"/>
  <c r="BB461" i="1"/>
  <c r="BA461" i="1"/>
  <c r="AZ461" i="1"/>
  <c r="AY461" i="1"/>
  <c r="AV461" i="1"/>
  <c r="AU461" i="1"/>
  <c r="AT461" i="1"/>
  <c r="AS461" i="1"/>
  <c r="BC460" i="1"/>
  <c r="BB460" i="1"/>
  <c r="BA460" i="1"/>
  <c r="AZ460" i="1"/>
  <c r="AY460" i="1"/>
  <c r="AV460" i="1"/>
  <c r="AU460" i="1"/>
  <c r="AT460" i="1"/>
  <c r="AS460" i="1"/>
  <c r="BC459" i="1"/>
  <c r="BB459" i="1"/>
  <c r="BA459" i="1"/>
  <c r="AZ459" i="1"/>
  <c r="AY459" i="1"/>
  <c r="AX459" i="1"/>
  <c r="AV459" i="1"/>
  <c r="AW459" i="1" s="1"/>
  <c r="AT459" i="1"/>
  <c r="AU459" i="1" s="1"/>
  <c r="AS459" i="1"/>
  <c r="BC458" i="1"/>
  <c r="BB458" i="1"/>
  <c r="BA458" i="1"/>
  <c r="AZ458" i="1"/>
  <c r="AY458" i="1"/>
  <c r="AW458" i="1"/>
  <c r="AV458" i="1"/>
  <c r="AX458" i="1" s="1"/>
  <c r="AT458" i="1"/>
  <c r="AU458" i="1" s="1"/>
  <c r="AS458" i="1"/>
  <c r="BC457" i="1"/>
  <c r="BB457" i="1"/>
  <c r="BA457" i="1"/>
  <c r="AZ457" i="1"/>
  <c r="AY457" i="1"/>
  <c r="AW457" i="1"/>
  <c r="AV457" i="1"/>
  <c r="AX457" i="1" s="1"/>
  <c r="AT457" i="1"/>
  <c r="AU457" i="1" s="1"/>
  <c r="AS457" i="1"/>
  <c r="BC456" i="1"/>
  <c r="BB456" i="1"/>
  <c r="BA456" i="1"/>
  <c r="AZ456" i="1"/>
  <c r="AY456" i="1"/>
  <c r="AX456" i="1"/>
  <c r="AW456" i="1"/>
  <c r="AV456" i="1"/>
  <c r="AU456" i="1"/>
  <c r="AT456" i="1"/>
  <c r="AS456" i="1"/>
  <c r="BC455" i="1"/>
  <c r="BB455" i="1"/>
  <c r="BA455" i="1"/>
  <c r="AZ455" i="1"/>
  <c r="AY455" i="1"/>
  <c r="AX455" i="1"/>
  <c r="AW455" i="1"/>
  <c r="AV455" i="1"/>
  <c r="AT455" i="1"/>
  <c r="AU455" i="1" s="1"/>
  <c r="AS455" i="1"/>
  <c r="BC454" i="1"/>
  <c r="BB454" i="1"/>
  <c r="BA454" i="1"/>
  <c r="AZ454" i="1"/>
  <c r="AY454" i="1"/>
  <c r="AX454" i="1"/>
  <c r="AW454" i="1"/>
  <c r="AV454" i="1"/>
  <c r="AU454" i="1"/>
  <c r="AT454" i="1"/>
  <c r="AS454" i="1"/>
  <c r="BC453" i="1"/>
  <c r="BB453" i="1"/>
  <c r="BA453" i="1"/>
  <c r="AZ453" i="1"/>
  <c r="AY453" i="1"/>
  <c r="AV453" i="1"/>
  <c r="AU453" i="1"/>
  <c r="AT453" i="1"/>
  <c r="AS453" i="1"/>
  <c r="BC452" i="1"/>
  <c r="BB452" i="1"/>
  <c r="BA452" i="1"/>
  <c r="AZ452" i="1"/>
  <c r="AY452" i="1"/>
  <c r="AX452" i="1"/>
  <c r="AV452" i="1"/>
  <c r="AW452" i="1" s="1"/>
  <c r="AU452" i="1"/>
  <c r="AT452" i="1"/>
  <c r="AS452" i="1"/>
  <c r="BC451" i="1"/>
  <c r="BB451" i="1"/>
  <c r="BA451" i="1"/>
  <c r="AZ451" i="1"/>
  <c r="AY451" i="1"/>
  <c r="AX451" i="1"/>
  <c r="AV451" i="1"/>
  <c r="AW451" i="1" s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U449" i="1"/>
  <c r="AT449" i="1"/>
  <c r="AS449" i="1"/>
  <c r="BC448" i="1"/>
  <c r="BB448" i="1"/>
  <c r="BA448" i="1"/>
  <c r="AZ448" i="1"/>
  <c r="AY448" i="1"/>
  <c r="AX448" i="1"/>
  <c r="AW448" i="1"/>
  <c r="AV448" i="1"/>
  <c r="AT448" i="1"/>
  <c r="AU448" i="1" s="1"/>
  <c r="AS448" i="1"/>
  <c r="BC447" i="1"/>
  <c r="BB447" i="1"/>
  <c r="BA447" i="1"/>
  <c r="AZ447" i="1"/>
  <c r="AY447" i="1"/>
  <c r="AX447" i="1"/>
  <c r="AW447" i="1"/>
  <c r="AV447" i="1"/>
  <c r="AT447" i="1"/>
  <c r="AU447" i="1" s="1"/>
  <c r="AS447" i="1"/>
  <c r="BC446" i="1"/>
  <c r="BB446" i="1"/>
  <c r="BA446" i="1"/>
  <c r="AZ446" i="1"/>
  <c r="AY446" i="1"/>
  <c r="AW446" i="1"/>
  <c r="AV446" i="1"/>
  <c r="AX446" i="1" s="1"/>
  <c r="AU446" i="1"/>
  <c r="AT446" i="1"/>
  <c r="AS446" i="1"/>
  <c r="BC445" i="1"/>
  <c r="BB445" i="1"/>
  <c r="BA445" i="1"/>
  <c r="AZ445" i="1"/>
  <c r="AY445" i="1"/>
  <c r="AV445" i="1"/>
  <c r="AW445" i="1" s="1"/>
  <c r="AU445" i="1"/>
  <c r="AT445" i="1"/>
  <c r="AS445" i="1"/>
  <c r="BC444" i="1"/>
  <c r="BB444" i="1"/>
  <c r="BA444" i="1"/>
  <c r="AZ444" i="1"/>
  <c r="AY444" i="1"/>
  <c r="AV444" i="1"/>
  <c r="AW444" i="1" s="1"/>
  <c r="AU444" i="1"/>
  <c r="AT444" i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W442" i="1"/>
  <c r="AV442" i="1"/>
  <c r="AX442" i="1" s="1"/>
  <c r="AT442" i="1"/>
  <c r="AU442" i="1" s="1"/>
  <c r="AS442" i="1"/>
  <c r="BC441" i="1"/>
  <c r="BB441" i="1"/>
  <c r="BA441" i="1"/>
  <c r="AZ441" i="1"/>
  <c r="AY441" i="1"/>
  <c r="AW441" i="1"/>
  <c r="AV441" i="1"/>
  <c r="AX441" i="1" s="1"/>
  <c r="AU441" i="1"/>
  <c r="AT441" i="1"/>
  <c r="AS441" i="1"/>
  <c r="BC440" i="1"/>
  <c r="BB440" i="1"/>
  <c r="BA440" i="1"/>
  <c r="AZ440" i="1"/>
  <c r="AY440" i="1"/>
  <c r="AX440" i="1"/>
  <c r="AV440" i="1"/>
  <c r="AW440" i="1" s="1"/>
  <c r="AU440" i="1"/>
  <c r="AT440" i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X437" i="1"/>
  <c r="AW437" i="1"/>
  <c r="AV437" i="1"/>
  <c r="AT437" i="1"/>
  <c r="AU437" i="1" s="1"/>
  <c r="AS437" i="1"/>
  <c r="BC436" i="1"/>
  <c r="BB436" i="1"/>
  <c r="BA436" i="1"/>
  <c r="AZ436" i="1"/>
  <c r="AY436" i="1"/>
  <c r="AW436" i="1"/>
  <c r="AV436" i="1"/>
  <c r="AX436" i="1" s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U435" i="1"/>
  <c r="AT435" i="1"/>
  <c r="AS435" i="1"/>
  <c r="BC434" i="1"/>
  <c r="BB434" i="1"/>
  <c r="BA434" i="1"/>
  <c r="AZ434" i="1"/>
  <c r="AY434" i="1"/>
  <c r="AX434" i="1"/>
  <c r="AW434" i="1"/>
  <c r="AV434" i="1"/>
  <c r="AU434" i="1"/>
  <c r="AT434" i="1"/>
  <c r="AS434" i="1"/>
  <c r="BC433" i="1"/>
  <c r="BB433" i="1"/>
  <c r="BA433" i="1"/>
  <c r="AZ433" i="1"/>
  <c r="AY433" i="1"/>
  <c r="AX433" i="1"/>
  <c r="AW433" i="1"/>
  <c r="AV433" i="1"/>
  <c r="AU433" i="1"/>
  <c r="AT433" i="1"/>
  <c r="AS433" i="1"/>
  <c r="BC432" i="1"/>
  <c r="BB432" i="1"/>
  <c r="BA432" i="1"/>
  <c r="AZ432" i="1"/>
  <c r="AY432" i="1"/>
  <c r="AX432" i="1"/>
  <c r="AV432" i="1"/>
  <c r="AW432" i="1" s="1"/>
  <c r="AU432" i="1"/>
  <c r="AT432" i="1"/>
  <c r="AS432" i="1"/>
  <c r="BC431" i="1"/>
  <c r="BB431" i="1"/>
  <c r="BA431" i="1"/>
  <c r="AZ431" i="1"/>
  <c r="AY431" i="1"/>
  <c r="AV431" i="1"/>
  <c r="AX431" i="1" s="1"/>
  <c r="AU431" i="1"/>
  <c r="AT431" i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X429" i="1"/>
  <c r="AW429" i="1"/>
  <c r="AV429" i="1"/>
  <c r="AT429" i="1"/>
  <c r="AU429" i="1" s="1"/>
  <c r="AS429" i="1"/>
  <c r="BC428" i="1"/>
  <c r="BB428" i="1"/>
  <c r="BA428" i="1"/>
  <c r="AZ428" i="1"/>
  <c r="AY428" i="1"/>
  <c r="AW428" i="1"/>
  <c r="AV428" i="1"/>
  <c r="AX428" i="1" s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U427" i="1"/>
  <c r="AT427" i="1"/>
  <c r="AS427" i="1"/>
  <c r="BC426" i="1"/>
  <c r="BB426" i="1"/>
  <c r="BA426" i="1"/>
  <c r="AZ426" i="1"/>
  <c r="AY426" i="1"/>
  <c r="AX426" i="1"/>
  <c r="AW426" i="1"/>
  <c r="AV426" i="1"/>
  <c r="AU426" i="1"/>
  <c r="AT426" i="1"/>
  <c r="AS426" i="1"/>
  <c r="BC425" i="1"/>
  <c r="BB425" i="1"/>
  <c r="BA425" i="1"/>
  <c r="AZ425" i="1"/>
  <c r="AY425" i="1"/>
  <c r="AX425" i="1"/>
  <c r="AW425" i="1"/>
  <c r="AV425" i="1"/>
  <c r="AU425" i="1"/>
  <c r="AT425" i="1"/>
  <c r="AS425" i="1"/>
  <c r="BC424" i="1"/>
  <c r="BB424" i="1"/>
  <c r="BA424" i="1"/>
  <c r="AZ424" i="1"/>
  <c r="AY424" i="1"/>
  <c r="AX424" i="1"/>
  <c r="AV424" i="1"/>
  <c r="AW424" i="1" s="1"/>
  <c r="AU424" i="1"/>
  <c r="AT424" i="1"/>
  <c r="AS424" i="1"/>
  <c r="BC423" i="1"/>
  <c r="BB423" i="1"/>
  <c r="BA423" i="1"/>
  <c r="AZ423" i="1"/>
  <c r="AY423" i="1"/>
  <c r="AV423" i="1"/>
  <c r="AX423" i="1" s="1"/>
  <c r="AU423" i="1"/>
  <c r="AT423" i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W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U419" i="1"/>
  <c r="AT419" i="1"/>
  <c r="AS419" i="1"/>
  <c r="BC418" i="1"/>
  <c r="BB418" i="1"/>
  <c r="BA418" i="1"/>
  <c r="AZ418" i="1"/>
  <c r="AY418" i="1"/>
  <c r="AX418" i="1"/>
  <c r="AW418" i="1"/>
  <c r="AV418" i="1"/>
  <c r="AU418" i="1"/>
  <c r="AT418" i="1"/>
  <c r="AS418" i="1"/>
  <c r="BC417" i="1"/>
  <c r="BB417" i="1"/>
  <c r="BA417" i="1"/>
  <c r="AZ417" i="1"/>
  <c r="AY417" i="1"/>
  <c r="AX417" i="1"/>
  <c r="AW417" i="1"/>
  <c r="AV417" i="1"/>
  <c r="AU417" i="1"/>
  <c r="AT417" i="1"/>
  <c r="AS417" i="1"/>
  <c r="BC416" i="1"/>
  <c r="BB416" i="1"/>
  <c r="BA416" i="1"/>
  <c r="AZ416" i="1"/>
  <c r="AY416" i="1"/>
  <c r="AX416" i="1"/>
  <c r="AV416" i="1"/>
  <c r="AW416" i="1" s="1"/>
  <c r="AU416" i="1"/>
  <c r="AT416" i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W413" i="1"/>
  <c r="AV413" i="1"/>
  <c r="AX413" i="1" s="1"/>
  <c r="AT413" i="1"/>
  <c r="AU413" i="1" s="1"/>
  <c r="AS413" i="1"/>
  <c r="BC412" i="1"/>
  <c r="BB412" i="1"/>
  <c r="BA412" i="1"/>
  <c r="AZ412" i="1"/>
  <c r="AY412" i="1"/>
  <c r="AW412" i="1"/>
  <c r="AV412" i="1"/>
  <c r="AX412" i="1" s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U411" i="1"/>
  <c r="AT411" i="1"/>
  <c r="AS411" i="1"/>
  <c r="BC410" i="1"/>
  <c r="BB410" i="1"/>
  <c r="BA410" i="1"/>
  <c r="AZ410" i="1"/>
  <c r="AY410" i="1"/>
  <c r="AX410" i="1"/>
  <c r="AW410" i="1"/>
  <c r="AV410" i="1"/>
  <c r="AU410" i="1"/>
  <c r="AT410" i="1"/>
  <c r="AS410" i="1"/>
  <c r="BC409" i="1"/>
  <c r="BB409" i="1"/>
  <c r="BA409" i="1"/>
  <c r="AZ409" i="1"/>
  <c r="AY409" i="1"/>
  <c r="AX409" i="1"/>
  <c r="AW409" i="1"/>
  <c r="AV409" i="1"/>
  <c r="AU409" i="1"/>
  <c r="AT409" i="1"/>
  <c r="AS409" i="1"/>
  <c r="BC408" i="1"/>
  <c r="BB408" i="1"/>
  <c r="BA408" i="1"/>
  <c r="AZ408" i="1"/>
  <c r="AY408" i="1"/>
  <c r="AX408" i="1"/>
  <c r="AV408" i="1"/>
  <c r="AW408" i="1" s="1"/>
  <c r="AU408" i="1"/>
  <c r="AT408" i="1"/>
  <c r="AS408" i="1"/>
  <c r="BC407" i="1"/>
  <c r="BB407" i="1"/>
  <c r="BA407" i="1"/>
  <c r="AZ407" i="1"/>
  <c r="AY407" i="1"/>
  <c r="AV407" i="1"/>
  <c r="AX407" i="1" s="1"/>
  <c r="AU407" i="1"/>
  <c r="AT407" i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T405" i="1"/>
  <c r="AU405" i="1" s="1"/>
  <c r="AS405" i="1"/>
  <c r="BC404" i="1"/>
  <c r="BB404" i="1"/>
  <c r="BA404" i="1"/>
  <c r="AZ404" i="1"/>
  <c r="AY404" i="1"/>
  <c r="AW404" i="1"/>
  <c r="AV404" i="1"/>
  <c r="AX404" i="1" s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U403" i="1"/>
  <c r="AT403" i="1"/>
  <c r="AS403" i="1"/>
  <c r="BC402" i="1"/>
  <c r="BB402" i="1"/>
  <c r="BA402" i="1"/>
  <c r="AZ402" i="1"/>
  <c r="AY402" i="1"/>
  <c r="AX402" i="1"/>
  <c r="AW402" i="1"/>
  <c r="AV402" i="1"/>
  <c r="AU402" i="1"/>
  <c r="AT402" i="1"/>
  <c r="AS402" i="1"/>
  <c r="BC401" i="1"/>
  <c r="BB401" i="1"/>
  <c r="BA401" i="1"/>
  <c r="AZ401" i="1"/>
  <c r="AY401" i="1"/>
  <c r="AX401" i="1"/>
  <c r="AW401" i="1"/>
  <c r="AV401" i="1"/>
  <c r="AU401" i="1"/>
  <c r="AT401" i="1"/>
  <c r="AS401" i="1"/>
  <c r="BC400" i="1"/>
  <c r="BB400" i="1"/>
  <c r="BA400" i="1"/>
  <c r="AZ400" i="1"/>
  <c r="AY400" i="1"/>
  <c r="AX400" i="1"/>
  <c r="AV400" i="1"/>
  <c r="AW400" i="1" s="1"/>
  <c r="AU400" i="1"/>
  <c r="AT400" i="1"/>
  <c r="AS400" i="1"/>
  <c r="BC399" i="1"/>
  <c r="BB399" i="1"/>
  <c r="BA399" i="1"/>
  <c r="AZ399" i="1"/>
  <c r="AY399" i="1"/>
  <c r="AV399" i="1"/>
  <c r="AX399" i="1" s="1"/>
  <c r="AU399" i="1"/>
  <c r="AT399" i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T397" i="1"/>
  <c r="AU397" i="1" s="1"/>
  <c r="AS397" i="1"/>
  <c r="BC396" i="1"/>
  <c r="BB396" i="1"/>
  <c r="BA396" i="1"/>
  <c r="AZ396" i="1"/>
  <c r="AY396" i="1"/>
  <c r="AW396" i="1"/>
  <c r="AV396" i="1"/>
  <c r="AX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U395" i="1"/>
  <c r="AT395" i="1"/>
  <c r="AS395" i="1"/>
  <c r="BC394" i="1"/>
  <c r="BB394" i="1"/>
  <c r="BA394" i="1"/>
  <c r="AZ394" i="1"/>
  <c r="AY394" i="1"/>
  <c r="AX394" i="1"/>
  <c r="AW394" i="1"/>
  <c r="AV394" i="1"/>
  <c r="AU394" i="1"/>
  <c r="AT394" i="1"/>
  <c r="AS394" i="1"/>
  <c r="BC393" i="1"/>
  <c r="BB393" i="1"/>
  <c r="BA393" i="1"/>
  <c r="AZ393" i="1"/>
  <c r="AY393" i="1"/>
  <c r="AX393" i="1"/>
  <c r="AW393" i="1"/>
  <c r="AV393" i="1"/>
  <c r="AU393" i="1"/>
  <c r="AT393" i="1"/>
  <c r="AS393" i="1"/>
  <c r="BC392" i="1"/>
  <c r="BB392" i="1"/>
  <c r="BA392" i="1"/>
  <c r="AZ392" i="1"/>
  <c r="AY392" i="1"/>
  <c r="AX392" i="1"/>
  <c r="AV392" i="1"/>
  <c r="AW392" i="1" s="1"/>
  <c r="AU392" i="1"/>
  <c r="AT392" i="1"/>
  <c r="AS392" i="1"/>
  <c r="BC391" i="1"/>
  <c r="BB391" i="1"/>
  <c r="BA391" i="1"/>
  <c r="AZ391" i="1"/>
  <c r="AY391" i="1"/>
  <c r="AV391" i="1"/>
  <c r="AX391" i="1" s="1"/>
  <c r="AU391" i="1"/>
  <c r="AT391" i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W388" i="1"/>
  <c r="AV388" i="1"/>
  <c r="AX388" i="1" s="1"/>
  <c r="AT388" i="1"/>
  <c r="AU388" i="1" s="1"/>
  <c r="AS388" i="1"/>
  <c r="BC387" i="1"/>
  <c r="BB387" i="1"/>
  <c r="BA387" i="1"/>
  <c r="AZ387" i="1"/>
  <c r="AY387" i="1"/>
  <c r="AW387" i="1"/>
  <c r="AV387" i="1"/>
  <c r="AX387" i="1" s="1"/>
  <c r="AU387" i="1"/>
  <c r="AT387" i="1"/>
  <c r="AS387" i="1"/>
  <c r="BC386" i="1"/>
  <c r="BB386" i="1"/>
  <c r="BA386" i="1"/>
  <c r="AZ386" i="1"/>
  <c r="AY386" i="1"/>
  <c r="AX386" i="1"/>
  <c r="AW386" i="1"/>
  <c r="AV386" i="1"/>
  <c r="AU386" i="1"/>
  <c r="AT386" i="1"/>
  <c r="AS386" i="1"/>
  <c r="BC385" i="1"/>
  <c r="BB385" i="1"/>
  <c r="BA385" i="1"/>
  <c r="AZ385" i="1"/>
  <c r="AY385" i="1"/>
  <c r="AX385" i="1"/>
  <c r="AW385" i="1"/>
  <c r="AV385" i="1"/>
  <c r="AU385" i="1"/>
  <c r="AT385" i="1"/>
  <c r="AS385" i="1"/>
  <c r="BC384" i="1"/>
  <c r="BB384" i="1"/>
  <c r="BA384" i="1"/>
  <c r="AZ384" i="1"/>
  <c r="AY384" i="1"/>
  <c r="AX384" i="1"/>
  <c r="AV384" i="1"/>
  <c r="AW384" i="1" s="1"/>
  <c r="AU384" i="1"/>
  <c r="AT384" i="1"/>
  <c r="AS384" i="1"/>
  <c r="BC383" i="1"/>
  <c r="BB383" i="1"/>
  <c r="BA383" i="1"/>
  <c r="AZ383" i="1"/>
  <c r="AY383" i="1"/>
  <c r="AV383" i="1"/>
  <c r="AX383" i="1" s="1"/>
  <c r="AU383" i="1"/>
  <c r="AT383" i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U379" i="1"/>
  <c r="AT379" i="1"/>
  <c r="AS379" i="1"/>
  <c r="BC378" i="1"/>
  <c r="BB378" i="1"/>
  <c r="BA378" i="1"/>
  <c r="AZ378" i="1"/>
  <c r="AY378" i="1"/>
  <c r="AX378" i="1"/>
  <c r="AW378" i="1"/>
  <c r="AV378" i="1"/>
  <c r="AU378" i="1"/>
  <c r="AT378" i="1"/>
  <c r="AS378" i="1"/>
  <c r="BC377" i="1"/>
  <c r="BB377" i="1"/>
  <c r="BA377" i="1"/>
  <c r="AZ377" i="1"/>
  <c r="AY377" i="1"/>
  <c r="AX377" i="1"/>
  <c r="AW377" i="1"/>
  <c r="AV377" i="1"/>
  <c r="AU377" i="1"/>
  <c r="AT377" i="1"/>
  <c r="AS377" i="1"/>
  <c r="BC376" i="1"/>
  <c r="BB376" i="1"/>
  <c r="BA376" i="1"/>
  <c r="AZ376" i="1"/>
  <c r="AY376" i="1"/>
  <c r="AX376" i="1"/>
  <c r="AV376" i="1"/>
  <c r="AW376" i="1" s="1"/>
  <c r="AU376" i="1"/>
  <c r="AT376" i="1"/>
  <c r="AS376" i="1"/>
  <c r="BC375" i="1"/>
  <c r="BB375" i="1"/>
  <c r="BA375" i="1"/>
  <c r="AZ375" i="1"/>
  <c r="AY375" i="1"/>
  <c r="AV375" i="1"/>
  <c r="AX375" i="1" s="1"/>
  <c r="AU375" i="1"/>
  <c r="AT375" i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T373" i="1"/>
  <c r="AU373" i="1" s="1"/>
  <c r="AS373" i="1"/>
  <c r="BC372" i="1"/>
  <c r="BB372" i="1"/>
  <c r="BA372" i="1"/>
  <c r="AZ372" i="1"/>
  <c r="AY372" i="1"/>
  <c r="AW372" i="1"/>
  <c r="AV372" i="1"/>
  <c r="AX372" i="1" s="1"/>
  <c r="AT372" i="1"/>
  <c r="AU372" i="1" s="1"/>
  <c r="AS372" i="1"/>
  <c r="BC371" i="1"/>
  <c r="BB371" i="1"/>
  <c r="BA371" i="1"/>
  <c r="AZ371" i="1"/>
  <c r="AY371" i="1"/>
  <c r="AW371" i="1"/>
  <c r="AV371" i="1"/>
  <c r="AX371" i="1" s="1"/>
  <c r="AU371" i="1"/>
  <c r="AT371" i="1"/>
  <c r="AS371" i="1"/>
  <c r="BC370" i="1"/>
  <c r="BB370" i="1"/>
  <c r="BA370" i="1"/>
  <c r="AZ370" i="1"/>
  <c r="AY370" i="1"/>
  <c r="AX370" i="1"/>
  <c r="AW370" i="1"/>
  <c r="AV370" i="1"/>
  <c r="AU370" i="1"/>
  <c r="AT370" i="1"/>
  <c r="AS370" i="1"/>
  <c r="BC369" i="1"/>
  <c r="BB369" i="1"/>
  <c r="BA369" i="1"/>
  <c r="AZ369" i="1"/>
  <c r="AY369" i="1"/>
  <c r="AX369" i="1"/>
  <c r="AW369" i="1"/>
  <c r="AV369" i="1"/>
  <c r="AU369" i="1"/>
  <c r="AT369" i="1"/>
  <c r="AS369" i="1"/>
  <c r="BC368" i="1"/>
  <c r="BB368" i="1"/>
  <c r="BA368" i="1"/>
  <c r="AZ368" i="1"/>
  <c r="AY368" i="1"/>
  <c r="AX368" i="1"/>
  <c r="AV368" i="1"/>
  <c r="AW368" i="1" s="1"/>
  <c r="AU368" i="1"/>
  <c r="AT368" i="1"/>
  <c r="AS368" i="1"/>
  <c r="BC367" i="1"/>
  <c r="BB367" i="1"/>
  <c r="BA367" i="1"/>
  <c r="AZ367" i="1"/>
  <c r="AY367" i="1"/>
  <c r="AV367" i="1"/>
  <c r="AX367" i="1" s="1"/>
  <c r="AU367" i="1"/>
  <c r="AT367" i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W365" i="1"/>
  <c r="AV365" i="1"/>
  <c r="AX365" i="1" s="1"/>
  <c r="AT365" i="1"/>
  <c r="AU365" i="1" s="1"/>
  <c r="AS365" i="1"/>
  <c r="BC364" i="1"/>
  <c r="BB364" i="1"/>
  <c r="BA364" i="1"/>
  <c r="AZ364" i="1"/>
  <c r="AY364" i="1"/>
  <c r="AW364" i="1"/>
  <c r="AV364" i="1"/>
  <c r="AX364" i="1" s="1"/>
  <c r="AT364" i="1"/>
  <c r="AU364" i="1" s="1"/>
  <c r="AS364" i="1"/>
  <c r="BC363" i="1"/>
  <c r="BB363" i="1"/>
  <c r="BA363" i="1"/>
  <c r="AZ363" i="1"/>
  <c r="AY363" i="1"/>
  <c r="AW363" i="1"/>
  <c r="AV363" i="1"/>
  <c r="AX363" i="1" s="1"/>
  <c r="AU363" i="1"/>
  <c r="AT363" i="1"/>
  <c r="AS363" i="1"/>
  <c r="BC362" i="1"/>
  <c r="BB362" i="1"/>
  <c r="BA362" i="1"/>
  <c r="AZ362" i="1"/>
  <c r="AY362" i="1"/>
  <c r="AX362" i="1"/>
  <c r="AW362" i="1"/>
  <c r="AV362" i="1"/>
  <c r="AU362" i="1"/>
  <c r="AT362" i="1"/>
  <c r="AS362" i="1"/>
  <c r="BC361" i="1"/>
  <c r="BB361" i="1"/>
  <c r="BA361" i="1"/>
  <c r="AZ361" i="1"/>
  <c r="AY361" i="1"/>
  <c r="AX361" i="1"/>
  <c r="AW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U360" i="1"/>
  <c r="AT360" i="1"/>
  <c r="AS360" i="1"/>
  <c r="BC359" i="1"/>
  <c r="BB359" i="1"/>
  <c r="BA359" i="1"/>
  <c r="AZ359" i="1"/>
  <c r="AY359" i="1"/>
  <c r="AV359" i="1"/>
  <c r="AX359" i="1" s="1"/>
  <c r="AU359" i="1"/>
  <c r="AT359" i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W356" i="1"/>
  <c r="AV356" i="1"/>
  <c r="AX356" i="1" s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W354" i="1"/>
  <c r="AV354" i="1"/>
  <c r="AU354" i="1"/>
  <c r="AT354" i="1"/>
  <c r="AS354" i="1"/>
  <c r="BC353" i="1"/>
  <c r="BB353" i="1"/>
  <c r="BA353" i="1"/>
  <c r="AZ353" i="1"/>
  <c r="AY353" i="1"/>
  <c r="AX353" i="1"/>
  <c r="AW353" i="1"/>
  <c r="AV353" i="1"/>
  <c r="AU353" i="1"/>
  <c r="AT353" i="1"/>
  <c r="AS353" i="1"/>
  <c r="BC352" i="1"/>
  <c r="BB352" i="1"/>
  <c r="BA352" i="1"/>
  <c r="AZ352" i="1"/>
  <c r="AY352" i="1"/>
  <c r="AX352" i="1"/>
  <c r="AV352" i="1"/>
  <c r="AW352" i="1" s="1"/>
  <c r="AU352" i="1"/>
  <c r="AT352" i="1"/>
  <c r="AS352" i="1"/>
  <c r="BC351" i="1"/>
  <c r="BB351" i="1"/>
  <c r="BA351" i="1"/>
  <c r="AZ351" i="1"/>
  <c r="AY351" i="1"/>
  <c r="AV351" i="1"/>
  <c r="AX351" i="1" s="1"/>
  <c r="AU351" i="1"/>
  <c r="AT351" i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W349" i="1"/>
  <c r="AV349" i="1"/>
  <c r="AX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T348" i="1"/>
  <c r="AU348" i="1" s="1"/>
  <c r="AS348" i="1"/>
  <c r="BC347" i="1"/>
  <c r="BB347" i="1"/>
  <c r="BA347" i="1"/>
  <c r="AZ347" i="1"/>
  <c r="AY347" i="1"/>
  <c r="AW347" i="1"/>
  <c r="AV347" i="1"/>
  <c r="AX347" i="1" s="1"/>
  <c r="AU347" i="1"/>
  <c r="AT347" i="1"/>
  <c r="AS347" i="1"/>
  <c r="BC346" i="1"/>
  <c r="BB346" i="1"/>
  <c r="BA346" i="1"/>
  <c r="AZ346" i="1"/>
  <c r="AY346" i="1"/>
  <c r="AX346" i="1"/>
  <c r="AW346" i="1"/>
  <c r="AV346" i="1"/>
  <c r="AU346" i="1"/>
  <c r="AT346" i="1"/>
  <c r="AS346" i="1"/>
  <c r="BC345" i="1"/>
  <c r="BB345" i="1"/>
  <c r="BA345" i="1"/>
  <c r="AZ345" i="1"/>
  <c r="AY345" i="1"/>
  <c r="AX345" i="1"/>
  <c r="AW345" i="1"/>
  <c r="AV345" i="1"/>
  <c r="AU345" i="1"/>
  <c r="AT345" i="1"/>
  <c r="AS345" i="1"/>
  <c r="BC344" i="1"/>
  <c r="BB344" i="1"/>
  <c r="BA344" i="1"/>
  <c r="AZ344" i="1"/>
  <c r="AY344" i="1"/>
  <c r="AX344" i="1"/>
  <c r="AV344" i="1"/>
  <c r="AW344" i="1" s="1"/>
  <c r="AU344" i="1"/>
  <c r="AT344" i="1"/>
  <c r="AS344" i="1"/>
  <c r="BC343" i="1"/>
  <c r="BB343" i="1"/>
  <c r="BA343" i="1"/>
  <c r="AZ343" i="1"/>
  <c r="AY343" i="1"/>
  <c r="AV343" i="1"/>
  <c r="AX343" i="1" s="1"/>
  <c r="AU343" i="1"/>
  <c r="AT343" i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T341" i="1"/>
  <c r="AU341" i="1" s="1"/>
  <c r="AS341" i="1"/>
  <c r="BC340" i="1"/>
  <c r="BB340" i="1"/>
  <c r="BA340" i="1"/>
  <c r="AZ340" i="1"/>
  <c r="AY340" i="1"/>
  <c r="AW340" i="1"/>
  <c r="AV340" i="1"/>
  <c r="AX340" i="1" s="1"/>
  <c r="AT340" i="1"/>
  <c r="AU340" i="1" s="1"/>
  <c r="AS340" i="1"/>
  <c r="BC339" i="1"/>
  <c r="BB339" i="1"/>
  <c r="BA339" i="1"/>
  <c r="AZ339" i="1"/>
  <c r="AY339" i="1"/>
  <c r="AW339" i="1"/>
  <c r="AV339" i="1"/>
  <c r="AX339" i="1" s="1"/>
  <c r="AU339" i="1"/>
  <c r="AT339" i="1"/>
  <c r="AS339" i="1"/>
  <c r="BC338" i="1"/>
  <c r="BB338" i="1"/>
  <c r="BA338" i="1"/>
  <c r="AZ338" i="1"/>
  <c r="AY338" i="1"/>
  <c r="AX338" i="1"/>
  <c r="AW338" i="1"/>
  <c r="AV338" i="1"/>
  <c r="AU338" i="1"/>
  <c r="AT338" i="1"/>
  <c r="AS338" i="1"/>
  <c r="BC337" i="1"/>
  <c r="BB337" i="1"/>
  <c r="BA337" i="1"/>
  <c r="AZ337" i="1"/>
  <c r="AY337" i="1"/>
  <c r="AX337" i="1"/>
  <c r="AW337" i="1"/>
  <c r="AV337" i="1"/>
  <c r="AU337" i="1"/>
  <c r="AT337" i="1"/>
  <c r="AS337" i="1"/>
  <c r="BC336" i="1"/>
  <c r="BB336" i="1"/>
  <c r="BA336" i="1"/>
  <c r="AZ336" i="1"/>
  <c r="AY336" i="1"/>
  <c r="AX336" i="1"/>
  <c r="AV336" i="1"/>
  <c r="AW336" i="1" s="1"/>
  <c r="AU336" i="1"/>
  <c r="AT336" i="1"/>
  <c r="AS336" i="1"/>
  <c r="BC335" i="1"/>
  <c r="BB335" i="1"/>
  <c r="BA335" i="1"/>
  <c r="AZ335" i="1"/>
  <c r="AY335" i="1"/>
  <c r="AV335" i="1"/>
  <c r="AX335" i="1" s="1"/>
  <c r="AU335" i="1"/>
  <c r="AT335" i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W333" i="1"/>
  <c r="AV333" i="1"/>
  <c r="AX333" i="1" s="1"/>
  <c r="AT333" i="1"/>
  <c r="AU333" i="1" s="1"/>
  <c r="AS333" i="1"/>
  <c r="BC332" i="1"/>
  <c r="BB332" i="1"/>
  <c r="BA332" i="1"/>
  <c r="AZ332" i="1"/>
  <c r="AY332" i="1"/>
  <c r="AW332" i="1"/>
  <c r="AV332" i="1"/>
  <c r="AX332" i="1" s="1"/>
  <c r="AT332" i="1"/>
  <c r="AU332" i="1" s="1"/>
  <c r="AS332" i="1"/>
  <c r="BC331" i="1"/>
  <c r="BB331" i="1"/>
  <c r="BA331" i="1"/>
  <c r="AZ331" i="1"/>
  <c r="AY331" i="1"/>
  <c r="AW331" i="1"/>
  <c r="AV331" i="1"/>
  <c r="AX331" i="1" s="1"/>
  <c r="AU331" i="1"/>
  <c r="AT331" i="1"/>
  <c r="AS331" i="1"/>
  <c r="BC330" i="1"/>
  <c r="BB330" i="1"/>
  <c r="BA330" i="1"/>
  <c r="AZ330" i="1"/>
  <c r="AY330" i="1"/>
  <c r="AX330" i="1"/>
  <c r="AW330" i="1"/>
  <c r="AV330" i="1"/>
  <c r="AU330" i="1"/>
  <c r="AT330" i="1"/>
  <c r="AS330" i="1"/>
  <c r="BC329" i="1"/>
  <c r="BB329" i="1"/>
  <c r="BA329" i="1"/>
  <c r="AZ329" i="1"/>
  <c r="AY329" i="1"/>
  <c r="AX329" i="1"/>
  <c r="AW329" i="1"/>
  <c r="AV329" i="1"/>
  <c r="AU329" i="1"/>
  <c r="AT329" i="1"/>
  <c r="AS329" i="1"/>
  <c r="BC328" i="1"/>
  <c r="BB328" i="1"/>
  <c r="BA328" i="1"/>
  <c r="AZ328" i="1"/>
  <c r="AY328" i="1"/>
  <c r="AX328" i="1"/>
  <c r="AV328" i="1"/>
  <c r="AW328" i="1" s="1"/>
  <c r="AU328" i="1"/>
  <c r="AT328" i="1"/>
  <c r="AS328" i="1"/>
  <c r="BC327" i="1"/>
  <c r="BB327" i="1"/>
  <c r="BA327" i="1"/>
  <c r="AZ327" i="1"/>
  <c r="AY327" i="1"/>
  <c r="AV327" i="1"/>
  <c r="AX327" i="1" s="1"/>
  <c r="AU327" i="1"/>
  <c r="AT327" i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T325" i="1"/>
  <c r="AU325" i="1" s="1"/>
  <c r="AS325" i="1"/>
  <c r="BC324" i="1"/>
  <c r="BB324" i="1"/>
  <c r="BA324" i="1"/>
  <c r="AZ324" i="1"/>
  <c r="AY324" i="1"/>
  <c r="AW324" i="1"/>
  <c r="AV324" i="1"/>
  <c r="AX324" i="1" s="1"/>
  <c r="AT324" i="1"/>
  <c r="AU324" i="1" s="1"/>
  <c r="AS324" i="1"/>
  <c r="BC323" i="1"/>
  <c r="BB323" i="1"/>
  <c r="BA323" i="1"/>
  <c r="AZ323" i="1"/>
  <c r="AY323" i="1"/>
  <c r="AW323" i="1"/>
  <c r="AV323" i="1"/>
  <c r="AX323" i="1" s="1"/>
  <c r="AU323" i="1"/>
  <c r="AT323" i="1"/>
  <c r="AS323" i="1"/>
  <c r="BC322" i="1"/>
  <c r="BB322" i="1"/>
  <c r="BA322" i="1"/>
  <c r="AZ322" i="1"/>
  <c r="AY322" i="1"/>
  <c r="AX322" i="1"/>
  <c r="AW322" i="1"/>
  <c r="AV322" i="1"/>
  <c r="AU322" i="1"/>
  <c r="AT322" i="1"/>
  <c r="AS322" i="1"/>
  <c r="BC321" i="1"/>
  <c r="BB321" i="1"/>
  <c r="BA321" i="1"/>
  <c r="AZ321" i="1"/>
  <c r="AY321" i="1"/>
  <c r="AX321" i="1"/>
  <c r="AW321" i="1"/>
  <c r="AV321" i="1"/>
  <c r="AU321" i="1"/>
  <c r="AT321" i="1"/>
  <c r="AS321" i="1"/>
  <c r="BC320" i="1"/>
  <c r="BB320" i="1"/>
  <c r="BA320" i="1"/>
  <c r="AZ320" i="1"/>
  <c r="AY320" i="1"/>
  <c r="AX320" i="1"/>
  <c r="AV320" i="1"/>
  <c r="AW320" i="1" s="1"/>
  <c r="AU320" i="1"/>
  <c r="AT320" i="1"/>
  <c r="AS320" i="1"/>
  <c r="BC319" i="1"/>
  <c r="BB319" i="1"/>
  <c r="BA319" i="1"/>
  <c r="AZ319" i="1"/>
  <c r="AY319" i="1"/>
  <c r="AV319" i="1"/>
  <c r="AX319" i="1" s="1"/>
  <c r="AU319" i="1"/>
  <c r="AT319" i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W317" i="1"/>
  <c r="AV317" i="1"/>
  <c r="AX317" i="1" s="1"/>
  <c r="AT317" i="1"/>
  <c r="AU317" i="1" s="1"/>
  <c r="AS317" i="1"/>
  <c r="BC316" i="1"/>
  <c r="BB316" i="1"/>
  <c r="BA316" i="1"/>
  <c r="AZ316" i="1"/>
  <c r="AY316" i="1"/>
  <c r="AW316" i="1"/>
  <c r="AV316" i="1"/>
  <c r="AX316" i="1" s="1"/>
  <c r="AT316" i="1"/>
  <c r="AU316" i="1" s="1"/>
  <c r="AS316" i="1"/>
  <c r="BC315" i="1"/>
  <c r="BB315" i="1"/>
  <c r="BA315" i="1"/>
  <c r="AZ315" i="1"/>
  <c r="AY315" i="1"/>
  <c r="AW315" i="1"/>
  <c r="AV315" i="1"/>
  <c r="AX315" i="1" s="1"/>
  <c r="AU315" i="1"/>
  <c r="AT315" i="1"/>
  <c r="AS315" i="1"/>
  <c r="BC314" i="1"/>
  <c r="BB314" i="1"/>
  <c r="BA314" i="1"/>
  <c r="AZ314" i="1"/>
  <c r="AY314" i="1"/>
  <c r="AX314" i="1"/>
  <c r="AW314" i="1"/>
  <c r="AV314" i="1"/>
  <c r="AU314" i="1"/>
  <c r="AT314" i="1"/>
  <c r="AS314" i="1"/>
  <c r="BC313" i="1"/>
  <c r="BB313" i="1"/>
  <c r="BA313" i="1"/>
  <c r="AZ313" i="1"/>
  <c r="AY313" i="1"/>
  <c r="AX313" i="1"/>
  <c r="AW313" i="1"/>
  <c r="AV313" i="1"/>
  <c r="AU313" i="1"/>
  <c r="AT313" i="1"/>
  <c r="AS313" i="1"/>
  <c r="BC312" i="1"/>
  <c r="BB312" i="1"/>
  <c r="BA312" i="1"/>
  <c r="AZ312" i="1"/>
  <c r="AY312" i="1"/>
  <c r="AX312" i="1"/>
  <c r="AV312" i="1"/>
  <c r="AW312" i="1" s="1"/>
  <c r="AU312" i="1"/>
  <c r="AT312" i="1"/>
  <c r="AS312" i="1"/>
  <c r="BC311" i="1"/>
  <c r="BB311" i="1"/>
  <c r="BA311" i="1"/>
  <c r="AZ311" i="1"/>
  <c r="AY311" i="1"/>
  <c r="AV311" i="1"/>
  <c r="AX311" i="1" s="1"/>
  <c r="AU311" i="1"/>
  <c r="AT311" i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W308" i="1"/>
  <c r="AV308" i="1"/>
  <c r="AX308" i="1" s="1"/>
  <c r="AT308" i="1"/>
  <c r="AU308" i="1" s="1"/>
  <c r="AS308" i="1"/>
  <c r="BC307" i="1"/>
  <c r="BB307" i="1"/>
  <c r="BA307" i="1"/>
  <c r="AZ307" i="1"/>
  <c r="AY307" i="1"/>
  <c r="AW307" i="1"/>
  <c r="AV307" i="1"/>
  <c r="AX307" i="1" s="1"/>
  <c r="AT307" i="1"/>
  <c r="AU307" i="1" s="1"/>
  <c r="AS307" i="1"/>
  <c r="BC306" i="1"/>
  <c r="BB306" i="1"/>
  <c r="BA306" i="1"/>
  <c r="AZ306" i="1"/>
  <c r="AY306" i="1"/>
  <c r="AX306" i="1"/>
  <c r="AW306" i="1"/>
  <c r="AV306" i="1"/>
  <c r="AU306" i="1"/>
  <c r="AT306" i="1"/>
  <c r="AS306" i="1"/>
  <c r="BC305" i="1"/>
  <c r="BB305" i="1"/>
  <c r="BA305" i="1"/>
  <c r="AZ305" i="1"/>
  <c r="AY305" i="1"/>
  <c r="AX305" i="1"/>
  <c r="AW305" i="1"/>
  <c r="AV305" i="1"/>
  <c r="AU305" i="1"/>
  <c r="AT305" i="1"/>
  <c r="AS305" i="1"/>
  <c r="BC304" i="1"/>
  <c r="BB304" i="1"/>
  <c r="BA304" i="1"/>
  <c r="AZ304" i="1"/>
  <c r="AY304" i="1"/>
  <c r="AX304" i="1"/>
  <c r="AV304" i="1"/>
  <c r="AW304" i="1" s="1"/>
  <c r="AU304" i="1"/>
  <c r="AT304" i="1"/>
  <c r="AS304" i="1"/>
  <c r="BC303" i="1"/>
  <c r="BB303" i="1"/>
  <c r="BA303" i="1"/>
  <c r="AZ303" i="1"/>
  <c r="AY303" i="1"/>
  <c r="AV303" i="1"/>
  <c r="AX303" i="1" s="1"/>
  <c r="AU303" i="1"/>
  <c r="AT303" i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W300" i="1"/>
  <c r="AV300" i="1"/>
  <c r="AX300" i="1" s="1"/>
  <c r="AT300" i="1"/>
  <c r="AU300" i="1" s="1"/>
  <c r="AS300" i="1"/>
  <c r="BC299" i="1"/>
  <c r="BB299" i="1"/>
  <c r="BA299" i="1"/>
  <c r="AZ299" i="1"/>
  <c r="AY299" i="1"/>
  <c r="AW299" i="1"/>
  <c r="AV299" i="1"/>
  <c r="AX299" i="1" s="1"/>
  <c r="AT299" i="1"/>
  <c r="AU299" i="1" s="1"/>
  <c r="AS299" i="1"/>
  <c r="BC298" i="1"/>
  <c r="BB298" i="1"/>
  <c r="BA298" i="1"/>
  <c r="AZ298" i="1"/>
  <c r="AY298" i="1"/>
  <c r="AX298" i="1"/>
  <c r="AW298" i="1"/>
  <c r="AV298" i="1"/>
  <c r="AU298" i="1"/>
  <c r="AT298" i="1"/>
  <c r="AS298" i="1"/>
  <c r="BC297" i="1"/>
  <c r="BB297" i="1"/>
  <c r="BA297" i="1"/>
  <c r="AZ297" i="1"/>
  <c r="AY297" i="1"/>
  <c r="AX297" i="1"/>
  <c r="AW297" i="1"/>
  <c r="AV297" i="1"/>
  <c r="AU297" i="1"/>
  <c r="AT297" i="1"/>
  <c r="AS297" i="1"/>
  <c r="BC296" i="1"/>
  <c r="BB296" i="1"/>
  <c r="BA296" i="1"/>
  <c r="AZ296" i="1"/>
  <c r="AY296" i="1"/>
  <c r="AX296" i="1"/>
  <c r="AV296" i="1"/>
  <c r="AW296" i="1" s="1"/>
  <c r="AU296" i="1"/>
  <c r="AT296" i="1"/>
  <c r="AS296" i="1"/>
  <c r="BC295" i="1"/>
  <c r="BB295" i="1"/>
  <c r="BA295" i="1"/>
  <c r="AZ295" i="1"/>
  <c r="AY295" i="1"/>
  <c r="AV295" i="1"/>
  <c r="AU295" i="1"/>
  <c r="AT295" i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W292" i="1"/>
  <c r="AV292" i="1"/>
  <c r="AX292" i="1" s="1"/>
  <c r="AT292" i="1"/>
  <c r="AU292" i="1" s="1"/>
  <c r="AS292" i="1"/>
  <c r="BC291" i="1"/>
  <c r="BB291" i="1"/>
  <c r="BA291" i="1"/>
  <c r="AZ291" i="1"/>
  <c r="AY291" i="1"/>
  <c r="AW291" i="1"/>
  <c r="AV291" i="1"/>
  <c r="AX291" i="1" s="1"/>
  <c r="AT291" i="1"/>
  <c r="AU291" i="1" s="1"/>
  <c r="AS291" i="1"/>
  <c r="BC290" i="1"/>
  <c r="BB290" i="1"/>
  <c r="BA290" i="1"/>
  <c r="AZ290" i="1"/>
  <c r="AY290" i="1"/>
  <c r="AX290" i="1"/>
  <c r="AW290" i="1"/>
  <c r="AV290" i="1"/>
  <c r="AU290" i="1"/>
  <c r="AT290" i="1"/>
  <c r="AS290" i="1"/>
  <c r="BC289" i="1"/>
  <c r="BB289" i="1"/>
  <c r="BA289" i="1"/>
  <c r="AZ289" i="1"/>
  <c r="AY289" i="1"/>
  <c r="AX289" i="1"/>
  <c r="AW289" i="1"/>
  <c r="AV289" i="1"/>
  <c r="AU289" i="1"/>
  <c r="AT289" i="1"/>
  <c r="AS289" i="1"/>
  <c r="BC288" i="1"/>
  <c r="BB288" i="1"/>
  <c r="BA288" i="1"/>
  <c r="AZ288" i="1"/>
  <c r="AY288" i="1"/>
  <c r="AX288" i="1"/>
  <c r="AV288" i="1"/>
  <c r="AW288" i="1" s="1"/>
  <c r="AU288" i="1"/>
  <c r="AT288" i="1"/>
  <c r="AS288" i="1"/>
  <c r="BC287" i="1"/>
  <c r="BB287" i="1"/>
  <c r="BA287" i="1"/>
  <c r="AZ287" i="1"/>
  <c r="AY287" i="1"/>
  <c r="AV287" i="1"/>
  <c r="AU287" i="1"/>
  <c r="AT287" i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W284" i="1"/>
  <c r="AV284" i="1"/>
  <c r="AX284" i="1" s="1"/>
  <c r="AT284" i="1"/>
  <c r="AU284" i="1" s="1"/>
  <c r="AS284" i="1"/>
  <c r="BC283" i="1"/>
  <c r="BB283" i="1"/>
  <c r="BA283" i="1"/>
  <c r="AZ283" i="1"/>
  <c r="AY283" i="1"/>
  <c r="AW283" i="1"/>
  <c r="AV283" i="1"/>
  <c r="AX283" i="1" s="1"/>
  <c r="AT283" i="1"/>
  <c r="AU283" i="1" s="1"/>
  <c r="AS283" i="1"/>
  <c r="BC282" i="1"/>
  <c r="BB282" i="1"/>
  <c r="BA282" i="1"/>
  <c r="AZ282" i="1"/>
  <c r="AY282" i="1"/>
  <c r="AX282" i="1"/>
  <c r="AW282" i="1"/>
  <c r="AV282" i="1"/>
  <c r="AU282" i="1"/>
  <c r="AT282" i="1"/>
  <c r="AS282" i="1"/>
  <c r="BC281" i="1"/>
  <c r="BB281" i="1"/>
  <c r="BA281" i="1"/>
  <c r="AZ281" i="1"/>
  <c r="AY281" i="1"/>
  <c r="AX281" i="1"/>
  <c r="AW281" i="1"/>
  <c r="AV281" i="1"/>
  <c r="AU281" i="1"/>
  <c r="AT281" i="1"/>
  <c r="AS281" i="1"/>
  <c r="BC280" i="1"/>
  <c r="BB280" i="1"/>
  <c r="BA280" i="1"/>
  <c r="AZ280" i="1"/>
  <c r="AY280" i="1"/>
  <c r="AX280" i="1"/>
  <c r="AV280" i="1"/>
  <c r="AW280" i="1" s="1"/>
  <c r="AU280" i="1"/>
  <c r="AT280" i="1"/>
  <c r="AS280" i="1"/>
  <c r="BC279" i="1"/>
  <c r="BB279" i="1"/>
  <c r="BA279" i="1"/>
  <c r="AZ279" i="1"/>
  <c r="AY279" i="1"/>
  <c r="AV279" i="1"/>
  <c r="AU279" i="1"/>
  <c r="AT279" i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W276" i="1"/>
  <c r="AV276" i="1"/>
  <c r="AX276" i="1" s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X274" i="1"/>
  <c r="AW274" i="1"/>
  <c r="AV274" i="1"/>
  <c r="AU274" i="1"/>
  <c r="AT274" i="1"/>
  <c r="AS274" i="1"/>
  <c r="BC273" i="1"/>
  <c r="BB273" i="1"/>
  <c r="BA273" i="1"/>
  <c r="AZ273" i="1"/>
  <c r="AY273" i="1"/>
  <c r="AX273" i="1"/>
  <c r="AW273" i="1"/>
  <c r="AV273" i="1"/>
  <c r="AU273" i="1"/>
  <c r="AT273" i="1"/>
  <c r="AS273" i="1"/>
  <c r="BC272" i="1"/>
  <c r="BB272" i="1"/>
  <c r="BA272" i="1"/>
  <c r="AZ272" i="1"/>
  <c r="AY272" i="1"/>
  <c r="AX272" i="1"/>
  <c r="AV272" i="1"/>
  <c r="AW272" i="1" s="1"/>
  <c r="AU272" i="1"/>
  <c r="AT272" i="1"/>
  <c r="AS272" i="1"/>
  <c r="BC271" i="1"/>
  <c r="BB271" i="1"/>
  <c r="BA271" i="1"/>
  <c r="AZ271" i="1"/>
  <c r="AY271" i="1"/>
  <c r="AV271" i="1"/>
  <c r="AU271" i="1"/>
  <c r="AT271" i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W268" i="1"/>
  <c r="AV268" i="1"/>
  <c r="AX268" i="1" s="1"/>
  <c r="AT268" i="1"/>
  <c r="AU268" i="1" s="1"/>
  <c r="AS268" i="1"/>
  <c r="BC267" i="1"/>
  <c r="BB267" i="1"/>
  <c r="BA267" i="1"/>
  <c r="AZ267" i="1"/>
  <c r="AY267" i="1"/>
  <c r="AW267" i="1"/>
  <c r="AV267" i="1"/>
  <c r="AX267" i="1" s="1"/>
  <c r="AT267" i="1"/>
  <c r="AU267" i="1" s="1"/>
  <c r="AS267" i="1"/>
  <c r="BC266" i="1"/>
  <c r="BB266" i="1"/>
  <c r="BA266" i="1"/>
  <c r="AZ266" i="1"/>
  <c r="AY266" i="1"/>
  <c r="AX266" i="1"/>
  <c r="AW266" i="1"/>
  <c r="AV266" i="1"/>
  <c r="AU266" i="1"/>
  <c r="AT266" i="1"/>
  <c r="AS266" i="1"/>
  <c r="BC265" i="1"/>
  <c r="BB265" i="1"/>
  <c r="BA265" i="1"/>
  <c r="AZ265" i="1"/>
  <c r="AY265" i="1"/>
  <c r="AX265" i="1"/>
  <c r="AW265" i="1"/>
  <c r="AV265" i="1"/>
  <c r="AU265" i="1"/>
  <c r="AT265" i="1"/>
  <c r="AS265" i="1"/>
  <c r="BC264" i="1"/>
  <c r="BB264" i="1"/>
  <c r="BA264" i="1"/>
  <c r="AZ264" i="1"/>
  <c r="AY264" i="1"/>
  <c r="AX264" i="1"/>
  <c r="AV264" i="1"/>
  <c r="AW264" i="1" s="1"/>
  <c r="AU264" i="1"/>
  <c r="AT264" i="1"/>
  <c r="AS264" i="1"/>
  <c r="BC263" i="1"/>
  <c r="BB263" i="1"/>
  <c r="BA263" i="1"/>
  <c r="AZ263" i="1"/>
  <c r="AY263" i="1"/>
  <c r="AV263" i="1"/>
  <c r="AU263" i="1"/>
  <c r="AT263" i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X258" i="1"/>
  <c r="AW258" i="1"/>
  <c r="AV258" i="1"/>
  <c r="AU258" i="1"/>
  <c r="AT258" i="1"/>
  <c r="AS258" i="1"/>
  <c r="BC257" i="1"/>
  <c r="BB257" i="1"/>
  <c r="BA257" i="1"/>
  <c r="AZ257" i="1"/>
  <c r="AY257" i="1"/>
  <c r="AX257" i="1"/>
  <c r="AW257" i="1"/>
  <c r="AV257" i="1"/>
  <c r="AU257" i="1"/>
  <c r="AT257" i="1"/>
  <c r="AS257" i="1"/>
  <c r="BC256" i="1"/>
  <c r="BB256" i="1"/>
  <c r="BA256" i="1"/>
  <c r="AZ256" i="1"/>
  <c r="AY256" i="1"/>
  <c r="AV256" i="1"/>
  <c r="AW256" i="1" s="1"/>
  <c r="AU256" i="1"/>
  <c r="AT256" i="1"/>
  <c r="AS256" i="1"/>
  <c r="BC255" i="1"/>
  <c r="BB255" i="1"/>
  <c r="BA255" i="1"/>
  <c r="AZ255" i="1"/>
  <c r="AY255" i="1"/>
  <c r="AX255" i="1"/>
  <c r="AV255" i="1"/>
  <c r="AW255" i="1" s="1"/>
  <c r="AU255" i="1"/>
  <c r="AT255" i="1"/>
  <c r="AS255" i="1"/>
  <c r="BC254" i="1"/>
  <c r="BB254" i="1"/>
  <c r="BA254" i="1"/>
  <c r="AZ254" i="1"/>
  <c r="AY254" i="1"/>
  <c r="AX254" i="1"/>
  <c r="AV254" i="1"/>
  <c r="AW254" i="1" s="1"/>
  <c r="AT254" i="1"/>
  <c r="AU254" i="1" s="1"/>
  <c r="AS254" i="1"/>
  <c r="BC253" i="1"/>
  <c r="BB253" i="1"/>
  <c r="BA253" i="1"/>
  <c r="AZ253" i="1"/>
  <c r="AY253" i="1"/>
  <c r="AW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X250" i="1"/>
  <c r="AW250" i="1"/>
  <c r="AV250" i="1"/>
  <c r="AU250" i="1"/>
  <c r="AT250" i="1"/>
  <c r="AS250" i="1"/>
  <c r="BC249" i="1"/>
  <c r="BB249" i="1"/>
  <c r="BA249" i="1"/>
  <c r="AZ249" i="1"/>
  <c r="AY249" i="1"/>
  <c r="AX249" i="1"/>
  <c r="AW249" i="1"/>
  <c r="AV249" i="1"/>
  <c r="AU249" i="1"/>
  <c r="AT249" i="1"/>
  <c r="AS249" i="1"/>
  <c r="BC248" i="1"/>
  <c r="BB248" i="1"/>
  <c r="BA248" i="1"/>
  <c r="AZ248" i="1"/>
  <c r="AY248" i="1"/>
  <c r="AX248" i="1"/>
  <c r="AV248" i="1"/>
  <c r="AW248" i="1" s="1"/>
  <c r="AU248" i="1"/>
  <c r="AT248" i="1"/>
  <c r="AS248" i="1"/>
  <c r="BC247" i="1"/>
  <c r="BB247" i="1"/>
  <c r="BA247" i="1"/>
  <c r="AZ247" i="1"/>
  <c r="AY247" i="1"/>
  <c r="AX247" i="1"/>
  <c r="AV247" i="1"/>
  <c r="AW247" i="1" s="1"/>
  <c r="AU247" i="1"/>
  <c r="AT247" i="1"/>
  <c r="AS247" i="1"/>
  <c r="BC246" i="1"/>
  <c r="BB246" i="1"/>
  <c r="BA246" i="1"/>
  <c r="AZ246" i="1"/>
  <c r="AY246" i="1"/>
  <c r="AX246" i="1"/>
  <c r="AV246" i="1"/>
  <c r="AW246" i="1" s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X242" i="1"/>
  <c r="AW242" i="1"/>
  <c r="AV242" i="1"/>
  <c r="AT242" i="1"/>
  <c r="AU242" i="1" s="1"/>
  <c r="AS242" i="1"/>
  <c r="BC241" i="1"/>
  <c r="BB241" i="1"/>
  <c r="BA241" i="1"/>
  <c r="AZ241" i="1"/>
  <c r="AY241" i="1"/>
  <c r="AX241" i="1"/>
  <c r="AW241" i="1"/>
  <c r="AV241" i="1"/>
  <c r="AT241" i="1"/>
  <c r="AU241" i="1" s="1"/>
  <c r="AS241" i="1"/>
  <c r="BC240" i="1"/>
  <c r="BB240" i="1"/>
  <c r="BA240" i="1"/>
  <c r="AZ240" i="1"/>
  <c r="AY240" i="1"/>
  <c r="AX240" i="1"/>
  <c r="AW240" i="1"/>
  <c r="AV240" i="1"/>
  <c r="AU240" i="1"/>
  <c r="AT240" i="1"/>
  <c r="AS240" i="1"/>
  <c r="BC239" i="1"/>
  <c r="BB239" i="1"/>
  <c r="BA239" i="1"/>
  <c r="AZ239" i="1"/>
  <c r="AY239" i="1"/>
  <c r="AX239" i="1"/>
  <c r="AV239" i="1"/>
  <c r="AW239" i="1" s="1"/>
  <c r="AU239" i="1"/>
  <c r="AT239" i="1"/>
  <c r="AS239" i="1"/>
  <c r="BC238" i="1"/>
  <c r="BB238" i="1"/>
  <c r="BA238" i="1"/>
  <c r="AZ238" i="1"/>
  <c r="AY238" i="1"/>
  <c r="AV238" i="1"/>
  <c r="AW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X235" i="1" s="1"/>
  <c r="AU235" i="1"/>
  <c r="AT235" i="1"/>
  <c r="AS235" i="1"/>
  <c r="BC234" i="1"/>
  <c r="BB234" i="1"/>
  <c r="BA234" i="1"/>
  <c r="AZ234" i="1"/>
  <c r="AY234" i="1"/>
  <c r="AX234" i="1"/>
  <c r="AW234" i="1"/>
  <c r="AV234" i="1"/>
  <c r="AT234" i="1"/>
  <c r="AU234" i="1" s="1"/>
  <c r="AS234" i="1"/>
  <c r="BC233" i="1"/>
  <c r="BB233" i="1"/>
  <c r="BA233" i="1"/>
  <c r="AZ233" i="1"/>
  <c r="AY233" i="1"/>
  <c r="AX233" i="1"/>
  <c r="AW233" i="1"/>
  <c r="AV233" i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U232" i="1"/>
  <c r="AT232" i="1"/>
  <c r="AS232" i="1"/>
  <c r="BC231" i="1"/>
  <c r="BB231" i="1"/>
  <c r="BA231" i="1"/>
  <c r="AZ231" i="1"/>
  <c r="AY231" i="1"/>
  <c r="AV231" i="1"/>
  <c r="AW231" i="1" s="1"/>
  <c r="AU231" i="1"/>
  <c r="AT231" i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W229" i="1"/>
  <c r="AV229" i="1"/>
  <c r="AX229" i="1" s="1"/>
  <c r="AT229" i="1"/>
  <c r="AU229" i="1" s="1"/>
  <c r="AS229" i="1"/>
  <c r="BC228" i="1"/>
  <c r="BB228" i="1"/>
  <c r="BA228" i="1"/>
  <c r="AZ228" i="1"/>
  <c r="AY228" i="1"/>
  <c r="AW228" i="1"/>
  <c r="AV228" i="1"/>
  <c r="AX228" i="1" s="1"/>
  <c r="AT228" i="1"/>
  <c r="AU228" i="1" s="1"/>
  <c r="AS228" i="1"/>
  <c r="BC227" i="1"/>
  <c r="BB227" i="1"/>
  <c r="BA227" i="1"/>
  <c r="AZ227" i="1"/>
  <c r="AY227" i="1"/>
  <c r="AX227" i="1"/>
  <c r="AW227" i="1"/>
  <c r="AV227" i="1"/>
  <c r="AU227" i="1"/>
  <c r="AT227" i="1"/>
  <c r="AS227" i="1"/>
  <c r="BC226" i="1"/>
  <c r="BB226" i="1"/>
  <c r="BA226" i="1"/>
  <c r="AZ226" i="1"/>
  <c r="AY226" i="1"/>
  <c r="AX226" i="1"/>
  <c r="AW226" i="1"/>
  <c r="AV226" i="1"/>
  <c r="AU226" i="1"/>
  <c r="AT226" i="1"/>
  <c r="AS226" i="1"/>
  <c r="BC225" i="1"/>
  <c r="BB225" i="1"/>
  <c r="BA225" i="1"/>
  <c r="AZ225" i="1"/>
  <c r="AY225" i="1"/>
  <c r="AX225" i="1"/>
  <c r="AV225" i="1"/>
  <c r="AW225" i="1" s="1"/>
  <c r="AU225" i="1"/>
  <c r="AT225" i="1"/>
  <c r="AS225" i="1"/>
  <c r="BC224" i="1"/>
  <c r="BB224" i="1"/>
  <c r="BA224" i="1"/>
  <c r="AZ224" i="1"/>
  <c r="AY224" i="1"/>
  <c r="AX224" i="1"/>
  <c r="AV224" i="1"/>
  <c r="AW224" i="1" s="1"/>
  <c r="AU224" i="1"/>
  <c r="AT224" i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W221" i="1"/>
  <c r="AV221" i="1"/>
  <c r="AX221" i="1" s="1"/>
  <c r="AT221" i="1"/>
  <c r="AU221" i="1" s="1"/>
  <c r="AS221" i="1"/>
  <c r="BC220" i="1"/>
  <c r="BB220" i="1"/>
  <c r="BA220" i="1"/>
  <c r="AZ220" i="1"/>
  <c r="AY220" i="1"/>
  <c r="AW220" i="1"/>
  <c r="AV220" i="1"/>
  <c r="AX220" i="1" s="1"/>
  <c r="AT220" i="1"/>
  <c r="AU220" i="1" s="1"/>
  <c r="AS220" i="1"/>
  <c r="BC219" i="1"/>
  <c r="BB219" i="1"/>
  <c r="BA219" i="1"/>
  <c r="AZ219" i="1"/>
  <c r="AY219" i="1"/>
  <c r="AX219" i="1"/>
  <c r="AW219" i="1"/>
  <c r="AV219" i="1"/>
  <c r="AU219" i="1"/>
  <c r="AT219" i="1"/>
  <c r="AS219" i="1"/>
  <c r="BC218" i="1"/>
  <c r="BB218" i="1"/>
  <c r="BA218" i="1"/>
  <c r="AZ218" i="1"/>
  <c r="AY218" i="1"/>
  <c r="AX218" i="1"/>
  <c r="AW218" i="1"/>
  <c r="AV218" i="1"/>
  <c r="AU218" i="1"/>
  <c r="AT218" i="1"/>
  <c r="AS218" i="1"/>
  <c r="BC217" i="1"/>
  <c r="BB217" i="1"/>
  <c r="BA217" i="1"/>
  <c r="AZ217" i="1"/>
  <c r="AY217" i="1"/>
  <c r="AX217" i="1"/>
  <c r="AV217" i="1"/>
  <c r="AW217" i="1" s="1"/>
  <c r="AU217" i="1"/>
  <c r="AT217" i="1"/>
  <c r="AS217" i="1"/>
  <c r="BC216" i="1"/>
  <c r="BB216" i="1"/>
  <c r="BA216" i="1"/>
  <c r="AZ216" i="1"/>
  <c r="AY216" i="1"/>
  <c r="AX216" i="1"/>
  <c r="AV216" i="1"/>
  <c r="AW216" i="1" s="1"/>
  <c r="AU216" i="1"/>
  <c r="AT216" i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W212" i="1"/>
  <c r="AV212" i="1"/>
  <c r="AX212" i="1" s="1"/>
  <c r="AT212" i="1"/>
  <c r="AU212" i="1" s="1"/>
  <c r="AS212" i="1"/>
  <c r="BC211" i="1"/>
  <c r="BB211" i="1"/>
  <c r="BA211" i="1"/>
  <c r="AZ211" i="1"/>
  <c r="AY211" i="1"/>
  <c r="AX211" i="1"/>
  <c r="AW211" i="1"/>
  <c r="AV211" i="1"/>
  <c r="AT211" i="1"/>
  <c r="AU211" i="1" s="1"/>
  <c r="AS211" i="1"/>
  <c r="BC210" i="1"/>
  <c r="BB210" i="1"/>
  <c r="BA210" i="1"/>
  <c r="AZ210" i="1"/>
  <c r="AY210" i="1"/>
  <c r="AX210" i="1"/>
  <c r="AW210" i="1"/>
  <c r="AV210" i="1"/>
  <c r="AU210" i="1"/>
  <c r="AT210" i="1"/>
  <c r="AS210" i="1"/>
  <c r="BC209" i="1"/>
  <c r="BB209" i="1"/>
  <c r="BA209" i="1"/>
  <c r="AZ209" i="1"/>
  <c r="AY209" i="1"/>
  <c r="AX209" i="1"/>
  <c r="AV209" i="1"/>
  <c r="AW209" i="1" s="1"/>
  <c r="AU209" i="1"/>
  <c r="AT209" i="1"/>
  <c r="AS209" i="1"/>
  <c r="BC208" i="1"/>
  <c r="BB208" i="1"/>
  <c r="BA208" i="1"/>
  <c r="AZ208" i="1"/>
  <c r="AY208" i="1"/>
  <c r="AX208" i="1"/>
  <c r="AV208" i="1"/>
  <c r="AW208" i="1" s="1"/>
  <c r="AU208" i="1"/>
  <c r="AT208" i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W205" i="1"/>
  <c r="AV205" i="1"/>
  <c r="AX205" i="1" s="1"/>
  <c r="AT205" i="1"/>
  <c r="AU205" i="1" s="1"/>
  <c r="AS205" i="1"/>
  <c r="BC204" i="1"/>
  <c r="BB204" i="1"/>
  <c r="BA204" i="1"/>
  <c r="AZ204" i="1"/>
  <c r="AY204" i="1"/>
  <c r="AW204" i="1"/>
  <c r="AV204" i="1"/>
  <c r="AX204" i="1" s="1"/>
  <c r="AT204" i="1"/>
  <c r="AU204" i="1" s="1"/>
  <c r="AS204" i="1"/>
  <c r="BC203" i="1"/>
  <c r="BB203" i="1"/>
  <c r="BA203" i="1"/>
  <c r="AZ203" i="1"/>
  <c r="AY203" i="1"/>
  <c r="AX203" i="1"/>
  <c r="AW203" i="1"/>
  <c r="AV203" i="1"/>
  <c r="AU203" i="1"/>
  <c r="AT203" i="1"/>
  <c r="AS203" i="1"/>
  <c r="BC202" i="1"/>
  <c r="BB202" i="1"/>
  <c r="BA202" i="1"/>
  <c r="AZ202" i="1"/>
  <c r="AY202" i="1"/>
  <c r="AX202" i="1"/>
  <c r="AW202" i="1"/>
  <c r="AV202" i="1"/>
  <c r="AU202" i="1"/>
  <c r="AT202" i="1"/>
  <c r="AS202" i="1"/>
  <c r="BC201" i="1"/>
  <c r="BB201" i="1"/>
  <c r="BA201" i="1"/>
  <c r="AZ201" i="1"/>
  <c r="AY201" i="1"/>
  <c r="AX201" i="1"/>
  <c r="AV201" i="1"/>
  <c r="AW201" i="1" s="1"/>
  <c r="AU201" i="1"/>
  <c r="AT201" i="1"/>
  <c r="AS201" i="1"/>
  <c r="BC200" i="1"/>
  <c r="BB200" i="1"/>
  <c r="BA200" i="1"/>
  <c r="AZ200" i="1"/>
  <c r="AY200" i="1"/>
  <c r="AX200" i="1"/>
  <c r="AV200" i="1"/>
  <c r="AW200" i="1" s="1"/>
  <c r="AU200" i="1"/>
  <c r="AT200" i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W197" i="1"/>
  <c r="AV197" i="1"/>
  <c r="AX197" i="1" s="1"/>
  <c r="AT197" i="1"/>
  <c r="AU197" i="1" s="1"/>
  <c r="AS197" i="1"/>
  <c r="BC196" i="1"/>
  <c r="BB196" i="1"/>
  <c r="BA196" i="1"/>
  <c r="AZ196" i="1"/>
  <c r="AY196" i="1"/>
  <c r="AW196" i="1"/>
  <c r="AV196" i="1"/>
  <c r="AX196" i="1" s="1"/>
  <c r="AT196" i="1"/>
  <c r="AU196" i="1" s="1"/>
  <c r="AS196" i="1"/>
  <c r="BC195" i="1"/>
  <c r="BB195" i="1"/>
  <c r="BA195" i="1"/>
  <c r="AZ195" i="1"/>
  <c r="AY195" i="1"/>
  <c r="AX195" i="1"/>
  <c r="AW195" i="1"/>
  <c r="AV195" i="1"/>
  <c r="AU195" i="1"/>
  <c r="AT195" i="1"/>
  <c r="AS195" i="1"/>
  <c r="BC194" i="1"/>
  <c r="BB194" i="1"/>
  <c r="BA194" i="1"/>
  <c r="AZ194" i="1"/>
  <c r="AY194" i="1"/>
  <c r="AX194" i="1"/>
  <c r="AW194" i="1"/>
  <c r="AV194" i="1"/>
  <c r="AU194" i="1"/>
  <c r="AT194" i="1"/>
  <c r="AS194" i="1"/>
  <c r="BC193" i="1"/>
  <c r="BB193" i="1"/>
  <c r="BA193" i="1"/>
  <c r="AZ193" i="1"/>
  <c r="AY193" i="1"/>
  <c r="AX193" i="1"/>
  <c r="AV193" i="1"/>
  <c r="AW193" i="1" s="1"/>
  <c r="AU193" i="1"/>
  <c r="AT193" i="1"/>
  <c r="AS193" i="1"/>
  <c r="BC192" i="1"/>
  <c r="BB192" i="1"/>
  <c r="BA192" i="1"/>
  <c r="AZ192" i="1"/>
  <c r="AY192" i="1"/>
  <c r="AX192" i="1"/>
  <c r="AV192" i="1"/>
  <c r="AW192" i="1" s="1"/>
  <c r="AU192" i="1"/>
  <c r="AT192" i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W189" i="1"/>
  <c r="AV189" i="1"/>
  <c r="AX189" i="1" s="1"/>
  <c r="AT189" i="1"/>
  <c r="AU189" i="1" s="1"/>
  <c r="AS189" i="1"/>
  <c r="BC188" i="1"/>
  <c r="BB188" i="1"/>
  <c r="BA188" i="1"/>
  <c r="AZ188" i="1"/>
  <c r="AY188" i="1"/>
  <c r="AX188" i="1"/>
  <c r="AW188" i="1"/>
  <c r="AV188" i="1"/>
  <c r="AT188" i="1"/>
  <c r="AU188" i="1" s="1"/>
  <c r="AS188" i="1"/>
  <c r="BC187" i="1"/>
  <c r="BB187" i="1"/>
  <c r="BA187" i="1"/>
  <c r="AZ187" i="1"/>
  <c r="AY187" i="1"/>
  <c r="AX187" i="1"/>
  <c r="AW187" i="1"/>
  <c r="AV187" i="1"/>
  <c r="AU187" i="1"/>
  <c r="AT187" i="1"/>
  <c r="AS187" i="1"/>
  <c r="BC186" i="1"/>
  <c r="BB186" i="1"/>
  <c r="BA186" i="1"/>
  <c r="AZ186" i="1"/>
  <c r="AY186" i="1"/>
  <c r="AX186" i="1"/>
  <c r="AW186" i="1"/>
  <c r="AV186" i="1"/>
  <c r="AU186" i="1"/>
  <c r="AT186" i="1"/>
  <c r="AS186" i="1"/>
  <c r="BC185" i="1"/>
  <c r="BB185" i="1"/>
  <c r="BA185" i="1"/>
  <c r="AZ185" i="1"/>
  <c r="AY185" i="1"/>
  <c r="AX185" i="1"/>
  <c r="AV185" i="1"/>
  <c r="AW185" i="1" s="1"/>
  <c r="AU185" i="1"/>
  <c r="AT185" i="1"/>
  <c r="AS185" i="1"/>
  <c r="BC184" i="1"/>
  <c r="BB184" i="1"/>
  <c r="BA184" i="1"/>
  <c r="AZ184" i="1"/>
  <c r="AY184" i="1"/>
  <c r="AX184" i="1"/>
  <c r="AV184" i="1"/>
  <c r="AW184" i="1" s="1"/>
  <c r="AU184" i="1"/>
  <c r="AT184" i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X182" i="1" s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T181" i="1"/>
  <c r="AU181" i="1" s="1"/>
  <c r="AS181" i="1"/>
  <c r="BC180" i="1"/>
  <c r="BB180" i="1"/>
  <c r="BA180" i="1"/>
  <c r="AZ180" i="1"/>
  <c r="AY180" i="1"/>
  <c r="AX180" i="1"/>
  <c r="AW180" i="1"/>
  <c r="AV180" i="1"/>
  <c r="AT180" i="1"/>
  <c r="AU180" i="1" s="1"/>
  <c r="AS180" i="1"/>
  <c r="BC179" i="1"/>
  <c r="BB179" i="1"/>
  <c r="BA179" i="1"/>
  <c r="AZ179" i="1"/>
  <c r="AY179" i="1"/>
  <c r="AX179" i="1"/>
  <c r="AW179" i="1"/>
  <c r="AV179" i="1"/>
  <c r="AU179" i="1"/>
  <c r="AT179" i="1"/>
  <c r="AS179" i="1"/>
  <c r="BC178" i="1"/>
  <c r="BB178" i="1"/>
  <c r="BA178" i="1"/>
  <c r="AZ178" i="1"/>
  <c r="AY178" i="1"/>
  <c r="AX178" i="1"/>
  <c r="AW178" i="1"/>
  <c r="AV178" i="1"/>
  <c r="AU178" i="1"/>
  <c r="AT178" i="1"/>
  <c r="AS178" i="1"/>
  <c r="BC177" i="1"/>
  <c r="BB177" i="1"/>
  <c r="BA177" i="1"/>
  <c r="AZ177" i="1"/>
  <c r="AY177" i="1"/>
  <c r="AX177" i="1"/>
  <c r="AV177" i="1"/>
  <c r="AW177" i="1" s="1"/>
  <c r="AU177" i="1"/>
  <c r="AT177" i="1"/>
  <c r="AS177" i="1"/>
  <c r="BC176" i="1"/>
  <c r="BB176" i="1"/>
  <c r="BA176" i="1"/>
  <c r="AZ176" i="1"/>
  <c r="AY176" i="1"/>
  <c r="AX176" i="1"/>
  <c r="AV176" i="1"/>
  <c r="AW176" i="1" s="1"/>
  <c r="AU176" i="1"/>
  <c r="AT176" i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W173" i="1"/>
  <c r="AV173" i="1"/>
  <c r="AX173" i="1" s="1"/>
  <c r="AT173" i="1"/>
  <c r="AU173" i="1" s="1"/>
  <c r="AS173" i="1"/>
  <c r="BC172" i="1"/>
  <c r="BB172" i="1"/>
  <c r="BA172" i="1"/>
  <c r="AZ172" i="1"/>
  <c r="AY172" i="1"/>
  <c r="AX172" i="1"/>
  <c r="AW172" i="1"/>
  <c r="AV172" i="1"/>
  <c r="AT172" i="1"/>
  <c r="AU172" i="1" s="1"/>
  <c r="AS172" i="1"/>
  <c r="BC171" i="1"/>
  <c r="BB171" i="1"/>
  <c r="BA171" i="1"/>
  <c r="AZ171" i="1"/>
  <c r="AY171" i="1"/>
  <c r="AX171" i="1"/>
  <c r="AW171" i="1"/>
  <c r="AV171" i="1"/>
  <c r="AU171" i="1"/>
  <c r="AT171" i="1"/>
  <c r="AS171" i="1"/>
  <c r="BC170" i="1"/>
  <c r="BB170" i="1"/>
  <c r="BA170" i="1"/>
  <c r="AZ170" i="1"/>
  <c r="AY170" i="1"/>
  <c r="AX170" i="1"/>
  <c r="AW170" i="1"/>
  <c r="AV170" i="1"/>
  <c r="AU170" i="1"/>
  <c r="AT170" i="1"/>
  <c r="AS170" i="1"/>
  <c r="BC169" i="1"/>
  <c r="BB169" i="1"/>
  <c r="BA169" i="1"/>
  <c r="AZ169" i="1"/>
  <c r="AY169" i="1"/>
  <c r="AX169" i="1"/>
  <c r="AV169" i="1"/>
  <c r="AW169" i="1" s="1"/>
  <c r="AU169" i="1"/>
  <c r="AT169" i="1"/>
  <c r="AS169" i="1"/>
  <c r="BC168" i="1"/>
  <c r="BB168" i="1"/>
  <c r="BA168" i="1"/>
  <c r="AZ168" i="1"/>
  <c r="AY168" i="1"/>
  <c r="AX168" i="1"/>
  <c r="AV168" i="1"/>
  <c r="AW168" i="1" s="1"/>
  <c r="AU168" i="1"/>
  <c r="AT168" i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X164" i="1"/>
  <c r="AW164" i="1"/>
  <c r="AV164" i="1"/>
  <c r="AT164" i="1"/>
  <c r="AU164" i="1" s="1"/>
  <c r="AS164" i="1"/>
  <c r="BC163" i="1"/>
  <c r="BB163" i="1"/>
  <c r="BA163" i="1"/>
  <c r="AZ163" i="1"/>
  <c r="AY163" i="1"/>
  <c r="AX163" i="1"/>
  <c r="AW163" i="1"/>
  <c r="AV163" i="1"/>
  <c r="AU163" i="1"/>
  <c r="AT163" i="1"/>
  <c r="AS163" i="1"/>
  <c r="BC162" i="1"/>
  <c r="BB162" i="1"/>
  <c r="BA162" i="1"/>
  <c r="AZ162" i="1"/>
  <c r="AY162" i="1"/>
  <c r="AX162" i="1"/>
  <c r="AW162" i="1"/>
  <c r="AV162" i="1"/>
  <c r="AU162" i="1"/>
  <c r="AT162" i="1"/>
  <c r="AS162" i="1"/>
  <c r="BC161" i="1"/>
  <c r="BB161" i="1"/>
  <c r="BA161" i="1"/>
  <c r="AZ161" i="1"/>
  <c r="AY161" i="1"/>
  <c r="AX161" i="1"/>
  <c r="AV161" i="1"/>
  <c r="AW161" i="1" s="1"/>
  <c r="AU161" i="1"/>
  <c r="AT161" i="1"/>
  <c r="AS161" i="1"/>
  <c r="BC160" i="1"/>
  <c r="BB160" i="1"/>
  <c r="BA160" i="1"/>
  <c r="AZ160" i="1"/>
  <c r="AY160" i="1"/>
  <c r="AX160" i="1"/>
  <c r="AV160" i="1"/>
  <c r="AW160" i="1" s="1"/>
  <c r="AU160" i="1"/>
  <c r="AT160" i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X156" i="1"/>
  <c r="AW156" i="1"/>
  <c r="AV156" i="1"/>
  <c r="AT156" i="1"/>
  <c r="AU156" i="1" s="1"/>
  <c r="AS156" i="1"/>
  <c r="BC155" i="1"/>
  <c r="BB155" i="1"/>
  <c r="BA155" i="1"/>
  <c r="AZ155" i="1"/>
  <c r="AY155" i="1"/>
  <c r="AX155" i="1"/>
  <c r="AW155" i="1"/>
  <c r="AV155" i="1"/>
  <c r="AT155" i="1"/>
  <c r="AU155" i="1" s="1"/>
  <c r="AS155" i="1"/>
  <c r="BC154" i="1"/>
  <c r="BB154" i="1"/>
  <c r="BA154" i="1"/>
  <c r="AZ154" i="1"/>
  <c r="AY154" i="1"/>
  <c r="AX154" i="1"/>
  <c r="AW154" i="1"/>
  <c r="AV154" i="1"/>
  <c r="AU154" i="1"/>
  <c r="AT154" i="1"/>
  <c r="AS154" i="1"/>
  <c r="BC153" i="1"/>
  <c r="BB153" i="1"/>
  <c r="BA153" i="1"/>
  <c r="AZ153" i="1"/>
  <c r="AY153" i="1"/>
  <c r="AX153" i="1"/>
  <c r="AV153" i="1"/>
  <c r="AW153" i="1" s="1"/>
  <c r="AU153" i="1"/>
  <c r="AT153" i="1"/>
  <c r="AS153" i="1"/>
  <c r="BC152" i="1"/>
  <c r="BB152" i="1"/>
  <c r="BA152" i="1"/>
  <c r="AZ152" i="1"/>
  <c r="AY152" i="1"/>
  <c r="AX152" i="1"/>
  <c r="AV152" i="1"/>
  <c r="AW152" i="1" s="1"/>
  <c r="AU152" i="1"/>
  <c r="AT152" i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X149" i="1" s="1"/>
  <c r="AT149" i="1"/>
  <c r="AU149" i="1" s="1"/>
  <c r="AS149" i="1"/>
  <c r="BC148" i="1"/>
  <c r="BB148" i="1"/>
  <c r="BA148" i="1"/>
  <c r="AZ148" i="1"/>
  <c r="AY148" i="1"/>
  <c r="AX148" i="1"/>
  <c r="AW148" i="1"/>
  <c r="AV148" i="1"/>
  <c r="AT148" i="1"/>
  <c r="AU148" i="1" s="1"/>
  <c r="AS148" i="1"/>
  <c r="BC147" i="1"/>
  <c r="BB147" i="1"/>
  <c r="BA147" i="1"/>
  <c r="AZ147" i="1"/>
  <c r="AY147" i="1"/>
  <c r="AX147" i="1"/>
  <c r="AW147" i="1"/>
  <c r="AV147" i="1"/>
  <c r="AT147" i="1"/>
  <c r="AU147" i="1" s="1"/>
  <c r="AS147" i="1"/>
  <c r="BC146" i="1"/>
  <c r="BB146" i="1"/>
  <c r="BA146" i="1"/>
  <c r="AZ146" i="1"/>
  <c r="AY146" i="1"/>
  <c r="AX146" i="1"/>
  <c r="AW146" i="1"/>
  <c r="AV146" i="1"/>
  <c r="AU146" i="1"/>
  <c r="AT146" i="1"/>
  <c r="AS146" i="1"/>
  <c r="BC145" i="1"/>
  <c r="BB145" i="1"/>
  <c r="BA145" i="1"/>
  <c r="AZ145" i="1"/>
  <c r="AY145" i="1"/>
  <c r="AX145" i="1"/>
  <c r="AV145" i="1"/>
  <c r="AW145" i="1" s="1"/>
  <c r="AU145" i="1"/>
  <c r="AT145" i="1"/>
  <c r="AS145" i="1"/>
  <c r="BC144" i="1"/>
  <c r="BB144" i="1"/>
  <c r="BA144" i="1"/>
  <c r="AZ144" i="1"/>
  <c r="AY144" i="1"/>
  <c r="AX144" i="1"/>
  <c r="AV144" i="1"/>
  <c r="AW144" i="1" s="1"/>
  <c r="AU144" i="1"/>
  <c r="AT144" i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X142" i="1" s="1"/>
  <c r="AT142" i="1"/>
  <c r="AU142" i="1" s="1"/>
  <c r="AS142" i="1"/>
  <c r="BC141" i="1"/>
  <c r="BB141" i="1"/>
  <c r="BA141" i="1"/>
  <c r="AZ141" i="1"/>
  <c r="AY141" i="1"/>
  <c r="AV141" i="1"/>
  <c r="AX141" i="1" s="1"/>
  <c r="AT141" i="1"/>
  <c r="AU141" i="1" s="1"/>
  <c r="AS141" i="1"/>
  <c r="BC140" i="1"/>
  <c r="BB140" i="1"/>
  <c r="BA140" i="1"/>
  <c r="AZ140" i="1"/>
  <c r="AY140" i="1"/>
  <c r="AX140" i="1"/>
  <c r="AW140" i="1"/>
  <c r="AV140" i="1"/>
  <c r="AT140" i="1"/>
  <c r="AU140" i="1" s="1"/>
  <c r="AS140" i="1"/>
  <c r="BC139" i="1"/>
  <c r="BB139" i="1"/>
  <c r="BA139" i="1"/>
  <c r="AZ139" i="1"/>
  <c r="AY139" i="1"/>
  <c r="AX139" i="1"/>
  <c r="AW139" i="1"/>
  <c r="AV139" i="1"/>
  <c r="AT139" i="1"/>
  <c r="AU139" i="1" s="1"/>
  <c r="AS139" i="1"/>
  <c r="BC138" i="1"/>
  <c r="BB138" i="1"/>
  <c r="BA138" i="1"/>
  <c r="AZ138" i="1"/>
  <c r="AY138" i="1"/>
  <c r="AX138" i="1"/>
  <c r="AW138" i="1"/>
  <c r="AV138" i="1"/>
  <c r="AU138" i="1"/>
  <c r="AT138" i="1"/>
  <c r="AS138" i="1"/>
  <c r="BC137" i="1"/>
  <c r="BB137" i="1"/>
  <c r="BA137" i="1"/>
  <c r="AZ137" i="1"/>
  <c r="AY137" i="1"/>
  <c r="AX137" i="1"/>
  <c r="AV137" i="1"/>
  <c r="AW137" i="1" s="1"/>
  <c r="AU137" i="1"/>
  <c r="AT137" i="1"/>
  <c r="AS137" i="1"/>
  <c r="BC136" i="1"/>
  <c r="BB136" i="1"/>
  <c r="BA136" i="1"/>
  <c r="AZ136" i="1"/>
  <c r="AY136" i="1"/>
  <c r="AX136" i="1"/>
  <c r="AV136" i="1"/>
  <c r="AW136" i="1" s="1"/>
  <c r="AU136" i="1"/>
  <c r="AT136" i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T134" i="1"/>
  <c r="AU134" i="1" s="1"/>
  <c r="AS134" i="1"/>
  <c r="BC133" i="1"/>
  <c r="BB133" i="1"/>
  <c r="BA133" i="1"/>
  <c r="AZ133" i="1"/>
  <c r="AY133" i="1"/>
  <c r="AV133" i="1"/>
  <c r="AX133" i="1" s="1"/>
  <c r="AT133" i="1"/>
  <c r="AU133" i="1" s="1"/>
  <c r="AS133" i="1"/>
  <c r="BC132" i="1"/>
  <c r="BB132" i="1"/>
  <c r="BA132" i="1"/>
  <c r="AZ132" i="1"/>
  <c r="AY132" i="1"/>
  <c r="AX132" i="1"/>
  <c r="AW132" i="1"/>
  <c r="AV132" i="1"/>
  <c r="AT132" i="1"/>
  <c r="AU132" i="1" s="1"/>
  <c r="AS132" i="1"/>
  <c r="BC131" i="1"/>
  <c r="BB131" i="1"/>
  <c r="BA131" i="1"/>
  <c r="AZ131" i="1"/>
  <c r="AY131" i="1"/>
  <c r="AX131" i="1"/>
  <c r="AW131" i="1"/>
  <c r="AV131" i="1"/>
  <c r="AT131" i="1"/>
  <c r="AU131" i="1" s="1"/>
  <c r="AS131" i="1"/>
  <c r="BC130" i="1"/>
  <c r="BB130" i="1"/>
  <c r="BA130" i="1"/>
  <c r="AZ130" i="1"/>
  <c r="AY130" i="1"/>
  <c r="AX130" i="1"/>
  <c r="AW130" i="1"/>
  <c r="AV130" i="1"/>
  <c r="AU130" i="1"/>
  <c r="AT130" i="1"/>
  <c r="AS130" i="1"/>
  <c r="BC129" i="1"/>
  <c r="BB129" i="1"/>
  <c r="BA129" i="1"/>
  <c r="AZ129" i="1"/>
  <c r="AY129" i="1"/>
  <c r="AX129" i="1"/>
  <c r="AV129" i="1"/>
  <c r="AW129" i="1" s="1"/>
  <c r="AU129" i="1"/>
  <c r="AT129" i="1"/>
  <c r="AS129" i="1"/>
  <c r="BC128" i="1"/>
  <c r="BB128" i="1"/>
  <c r="BA128" i="1"/>
  <c r="AZ128" i="1"/>
  <c r="AY128" i="1"/>
  <c r="AX128" i="1"/>
  <c r="AV128" i="1"/>
  <c r="AW128" i="1" s="1"/>
  <c r="AU128" i="1"/>
  <c r="AT128" i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X126" i="1" s="1"/>
  <c r="AT126" i="1"/>
  <c r="AU126" i="1" s="1"/>
  <c r="AS126" i="1"/>
  <c r="BC125" i="1"/>
  <c r="BB125" i="1"/>
  <c r="BA125" i="1"/>
  <c r="AZ125" i="1"/>
  <c r="AY125" i="1"/>
  <c r="AV125" i="1"/>
  <c r="AX125" i="1" s="1"/>
  <c r="AT125" i="1"/>
  <c r="AU125" i="1" s="1"/>
  <c r="AS125" i="1"/>
  <c r="BC124" i="1"/>
  <c r="BB124" i="1"/>
  <c r="BA124" i="1"/>
  <c r="AZ124" i="1"/>
  <c r="AY124" i="1"/>
  <c r="AX124" i="1"/>
  <c r="AW124" i="1"/>
  <c r="AV124" i="1"/>
  <c r="AT124" i="1"/>
  <c r="AU124" i="1" s="1"/>
  <c r="AS124" i="1"/>
  <c r="BC123" i="1"/>
  <c r="BB123" i="1"/>
  <c r="BA123" i="1"/>
  <c r="AZ123" i="1"/>
  <c r="AY123" i="1"/>
  <c r="AX123" i="1"/>
  <c r="AW123" i="1"/>
  <c r="AV123" i="1"/>
  <c r="AT123" i="1"/>
  <c r="AU123" i="1" s="1"/>
  <c r="AS123" i="1"/>
  <c r="BC122" i="1"/>
  <c r="BB122" i="1"/>
  <c r="BA122" i="1"/>
  <c r="AZ122" i="1"/>
  <c r="AY122" i="1"/>
  <c r="AX122" i="1"/>
  <c r="AW122" i="1"/>
  <c r="AV122" i="1"/>
  <c r="AU122" i="1"/>
  <c r="AT122" i="1"/>
  <c r="AS122" i="1"/>
  <c r="BC121" i="1"/>
  <c r="BB121" i="1"/>
  <c r="BA121" i="1"/>
  <c r="AZ121" i="1"/>
  <c r="AY121" i="1"/>
  <c r="AX121" i="1"/>
  <c r="AV121" i="1"/>
  <c r="AW121" i="1" s="1"/>
  <c r="AU121" i="1"/>
  <c r="AT121" i="1"/>
  <c r="AS121" i="1"/>
  <c r="BC120" i="1"/>
  <c r="BB120" i="1"/>
  <c r="BA120" i="1"/>
  <c r="AZ120" i="1"/>
  <c r="AY120" i="1"/>
  <c r="AX120" i="1"/>
  <c r="AV120" i="1"/>
  <c r="AW120" i="1" s="1"/>
  <c r="AU120" i="1"/>
  <c r="AT120" i="1"/>
  <c r="AS120" i="1"/>
  <c r="BC119" i="1"/>
  <c r="BB119" i="1"/>
  <c r="BA119" i="1"/>
  <c r="AZ119" i="1"/>
  <c r="AY119" i="1"/>
  <c r="AV119" i="1"/>
  <c r="AX119" i="1" s="1"/>
  <c r="AT119" i="1"/>
  <c r="AU119" i="1" s="1"/>
  <c r="AS119" i="1"/>
  <c r="BC118" i="1"/>
  <c r="BB118" i="1"/>
  <c r="BA118" i="1"/>
  <c r="AZ118" i="1"/>
  <c r="AY118" i="1"/>
  <c r="AV118" i="1"/>
  <c r="AX118" i="1" s="1"/>
  <c r="AT118" i="1"/>
  <c r="AU118" i="1" s="1"/>
  <c r="AS118" i="1"/>
  <c r="BC117" i="1"/>
  <c r="BB117" i="1"/>
  <c r="BA117" i="1"/>
  <c r="AZ117" i="1"/>
  <c r="AY117" i="1"/>
  <c r="AV117" i="1"/>
  <c r="AX117" i="1" s="1"/>
  <c r="AT117" i="1"/>
  <c r="AU117" i="1" s="1"/>
  <c r="AS117" i="1"/>
  <c r="BC116" i="1"/>
  <c r="BB116" i="1"/>
  <c r="BA116" i="1"/>
  <c r="AZ116" i="1"/>
  <c r="AY116" i="1"/>
  <c r="AX116" i="1"/>
  <c r="AW116" i="1"/>
  <c r="AV116" i="1"/>
  <c r="AT116" i="1"/>
  <c r="AU116" i="1" s="1"/>
  <c r="AS116" i="1"/>
  <c r="BC115" i="1"/>
  <c r="BB115" i="1"/>
  <c r="BA115" i="1"/>
  <c r="AZ115" i="1"/>
  <c r="AY115" i="1"/>
  <c r="AX115" i="1"/>
  <c r="AW115" i="1"/>
  <c r="AV115" i="1"/>
  <c r="AT115" i="1"/>
  <c r="AU115" i="1" s="1"/>
  <c r="AS115" i="1"/>
  <c r="BC114" i="1"/>
  <c r="BB114" i="1"/>
  <c r="BA114" i="1"/>
  <c r="AZ114" i="1"/>
  <c r="AY114" i="1"/>
  <c r="AX114" i="1"/>
  <c r="AW114" i="1"/>
  <c r="AV114" i="1"/>
  <c r="AU114" i="1"/>
  <c r="AT114" i="1"/>
  <c r="AS114" i="1"/>
  <c r="BC113" i="1"/>
  <c r="BB113" i="1"/>
  <c r="BA113" i="1"/>
  <c r="AZ113" i="1"/>
  <c r="AY113" i="1"/>
  <c r="AX113" i="1"/>
  <c r="AV113" i="1"/>
  <c r="AW113" i="1" s="1"/>
  <c r="AU113" i="1"/>
  <c r="AT113" i="1"/>
  <c r="AS113" i="1"/>
  <c r="BC112" i="1"/>
  <c r="BB112" i="1"/>
  <c r="BA112" i="1"/>
  <c r="AZ112" i="1"/>
  <c r="AY112" i="1"/>
  <c r="AX112" i="1"/>
  <c r="AV112" i="1"/>
  <c r="AW112" i="1" s="1"/>
  <c r="AU112" i="1"/>
  <c r="AT112" i="1"/>
  <c r="AS112" i="1"/>
  <c r="BC111" i="1"/>
  <c r="BB111" i="1"/>
  <c r="BA111" i="1"/>
  <c r="AZ111" i="1"/>
  <c r="AY111" i="1"/>
  <c r="AV111" i="1"/>
  <c r="AX111" i="1" s="1"/>
  <c r="AT111" i="1"/>
  <c r="AU111" i="1" s="1"/>
  <c r="AS111" i="1"/>
  <c r="BC110" i="1"/>
  <c r="BB110" i="1"/>
  <c r="BA110" i="1"/>
  <c r="AZ110" i="1"/>
  <c r="AY110" i="1"/>
  <c r="AV110" i="1"/>
  <c r="AX110" i="1" s="1"/>
  <c r="AT110" i="1"/>
  <c r="AU110" i="1" s="1"/>
  <c r="AS110" i="1"/>
  <c r="BC109" i="1"/>
  <c r="BB109" i="1"/>
  <c r="BA109" i="1"/>
  <c r="AZ109" i="1"/>
  <c r="AY109" i="1"/>
  <c r="AV109" i="1"/>
  <c r="AX109" i="1" s="1"/>
  <c r="AT109" i="1"/>
  <c r="AU109" i="1" s="1"/>
  <c r="AS109" i="1"/>
  <c r="BC108" i="1"/>
  <c r="BB108" i="1"/>
  <c r="BA108" i="1"/>
  <c r="AZ108" i="1"/>
  <c r="AY108" i="1"/>
  <c r="AX108" i="1"/>
  <c r="AW108" i="1"/>
  <c r="AV108" i="1"/>
  <c r="AT108" i="1"/>
  <c r="AU108" i="1" s="1"/>
  <c r="AS108" i="1"/>
  <c r="BC107" i="1"/>
  <c r="BB107" i="1"/>
  <c r="BA107" i="1"/>
  <c r="AZ107" i="1"/>
  <c r="AY107" i="1"/>
  <c r="AX107" i="1"/>
  <c r="AW107" i="1"/>
  <c r="AV107" i="1"/>
  <c r="AT107" i="1"/>
  <c r="AU107" i="1" s="1"/>
  <c r="AS107" i="1"/>
  <c r="BC106" i="1"/>
  <c r="BB106" i="1"/>
  <c r="BA106" i="1"/>
  <c r="AZ106" i="1"/>
  <c r="AY106" i="1"/>
  <c r="AX106" i="1"/>
  <c r="AW106" i="1"/>
  <c r="AV106" i="1"/>
  <c r="AU106" i="1"/>
  <c r="AT106" i="1"/>
  <c r="AS106" i="1"/>
  <c r="BC105" i="1"/>
  <c r="BB105" i="1"/>
  <c r="BA105" i="1"/>
  <c r="AZ105" i="1"/>
  <c r="AY105" i="1"/>
  <c r="AX105" i="1"/>
  <c r="AV105" i="1"/>
  <c r="AW105" i="1" s="1"/>
  <c r="AU105" i="1"/>
  <c r="AT105" i="1"/>
  <c r="AS105" i="1"/>
  <c r="BC104" i="1"/>
  <c r="BB104" i="1"/>
  <c r="BA104" i="1"/>
  <c r="AZ104" i="1"/>
  <c r="AY104" i="1"/>
  <c r="AX104" i="1"/>
  <c r="AV104" i="1"/>
  <c r="AW104" i="1" s="1"/>
  <c r="AU104" i="1"/>
  <c r="AT104" i="1"/>
  <c r="AS104" i="1"/>
  <c r="BC103" i="1"/>
  <c r="BB103" i="1"/>
  <c r="BA103" i="1"/>
  <c r="AZ103" i="1"/>
  <c r="AY103" i="1"/>
  <c r="AV103" i="1"/>
  <c r="AX103" i="1" s="1"/>
  <c r="AT103" i="1"/>
  <c r="AU103" i="1" s="1"/>
  <c r="AS103" i="1"/>
  <c r="BC102" i="1"/>
  <c r="BB102" i="1"/>
  <c r="BA102" i="1"/>
  <c r="AZ102" i="1"/>
  <c r="AY102" i="1"/>
  <c r="AV102" i="1"/>
  <c r="AX102" i="1" s="1"/>
  <c r="AT102" i="1"/>
  <c r="AU102" i="1" s="1"/>
  <c r="AS102" i="1"/>
  <c r="BC101" i="1"/>
  <c r="BB101" i="1"/>
  <c r="BA101" i="1"/>
  <c r="AZ101" i="1"/>
  <c r="AY101" i="1"/>
  <c r="AV101" i="1"/>
  <c r="AX101" i="1" s="1"/>
  <c r="AT101" i="1"/>
  <c r="AU101" i="1" s="1"/>
  <c r="AS101" i="1"/>
  <c r="BC100" i="1"/>
  <c r="BB100" i="1"/>
  <c r="BA100" i="1"/>
  <c r="AZ100" i="1"/>
  <c r="AY100" i="1"/>
  <c r="AX100" i="1"/>
  <c r="AW100" i="1"/>
  <c r="AV100" i="1"/>
  <c r="AT100" i="1"/>
  <c r="AU100" i="1" s="1"/>
  <c r="AS100" i="1"/>
  <c r="BC99" i="1"/>
  <c r="BB99" i="1"/>
  <c r="BA99" i="1"/>
  <c r="AZ99" i="1"/>
  <c r="AY99" i="1"/>
  <c r="AX99" i="1"/>
  <c r="AW99" i="1"/>
  <c r="AV99" i="1"/>
  <c r="AT99" i="1"/>
  <c r="AU99" i="1" s="1"/>
  <c r="AS99" i="1"/>
  <c r="BC98" i="1"/>
  <c r="BB98" i="1"/>
  <c r="BA98" i="1"/>
  <c r="AZ98" i="1"/>
  <c r="AY98" i="1"/>
  <c r="AX98" i="1"/>
  <c r="AW98" i="1"/>
  <c r="AV98" i="1"/>
  <c r="AU98" i="1"/>
  <c r="AT98" i="1"/>
  <c r="AS98" i="1"/>
  <c r="BC97" i="1"/>
  <c r="BB97" i="1"/>
  <c r="BA97" i="1"/>
  <c r="AZ97" i="1"/>
  <c r="AY97" i="1"/>
  <c r="AX97" i="1"/>
  <c r="AV97" i="1"/>
  <c r="AW97" i="1" s="1"/>
  <c r="AU97" i="1"/>
  <c r="AT97" i="1"/>
  <c r="AS97" i="1"/>
  <c r="BC96" i="1"/>
  <c r="BB96" i="1"/>
  <c r="BA96" i="1"/>
  <c r="AZ96" i="1"/>
  <c r="AY96" i="1"/>
  <c r="AX96" i="1"/>
  <c r="AV96" i="1"/>
  <c r="AW96" i="1" s="1"/>
  <c r="AU96" i="1"/>
  <c r="AT96" i="1"/>
  <c r="AS96" i="1"/>
  <c r="BC95" i="1"/>
  <c r="BB95" i="1"/>
  <c r="BA95" i="1"/>
  <c r="AZ95" i="1"/>
  <c r="AY95" i="1"/>
  <c r="AV95" i="1"/>
  <c r="AX95" i="1" s="1"/>
  <c r="AT95" i="1"/>
  <c r="AU95" i="1" s="1"/>
  <c r="AS95" i="1"/>
  <c r="BC94" i="1"/>
  <c r="BB94" i="1"/>
  <c r="BA94" i="1"/>
  <c r="AZ94" i="1"/>
  <c r="AY94" i="1"/>
  <c r="AV94" i="1"/>
  <c r="AT94" i="1"/>
  <c r="AU94" i="1" s="1"/>
  <c r="AS94" i="1"/>
  <c r="BC93" i="1"/>
  <c r="BB93" i="1"/>
  <c r="BA93" i="1"/>
  <c r="AZ93" i="1"/>
  <c r="AY93" i="1"/>
  <c r="AV93" i="1"/>
  <c r="AX93" i="1" s="1"/>
  <c r="AT93" i="1"/>
  <c r="AU93" i="1" s="1"/>
  <c r="AS93" i="1"/>
  <c r="BC92" i="1"/>
  <c r="BB92" i="1"/>
  <c r="BA92" i="1"/>
  <c r="AZ92" i="1"/>
  <c r="AY92" i="1"/>
  <c r="AX92" i="1"/>
  <c r="AW92" i="1"/>
  <c r="AV92" i="1"/>
  <c r="AT92" i="1"/>
  <c r="AU92" i="1" s="1"/>
  <c r="AS92" i="1"/>
  <c r="BC91" i="1"/>
  <c r="BB91" i="1"/>
  <c r="BA91" i="1"/>
  <c r="AZ91" i="1"/>
  <c r="AY91" i="1"/>
  <c r="AX91" i="1"/>
  <c r="AW91" i="1"/>
  <c r="AV91" i="1"/>
  <c r="AT91" i="1"/>
  <c r="AU91" i="1" s="1"/>
  <c r="AS91" i="1"/>
  <c r="BC90" i="1"/>
  <c r="BB90" i="1"/>
  <c r="BA90" i="1"/>
  <c r="AZ90" i="1"/>
  <c r="AY90" i="1"/>
  <c r="AX90" i="1"/>
  <c r="AW90" i="1"/>
  <c r="AV90" i="1"/>
  <c r="AU90" i="1"/>
  <c r="AT90" i="1"/>
  <c r="AS90" i="1"/>
  <c r="BC89" i="1"/>
  <c r="BB89" i="1"/>
  <c r="BA89" i="1"/>
  <c r="AZ89" i="1"/>
  <c r="AY89" i="1"/>
  <c r="AX89" i="1"/>
  <c r="AV89" i="1"/>
  <c r="AW89" i="1" s="1"/>
  <c r="AU89" i="1"/>
  <c r="AT89" i="1"/>
  <c r="AS89" i="1"/>
  <c r="BC88" i="1"/>
  <c r="BB88" i="1"/>
  <c r="BA88" i="1"/>
  <c r="AZ88" i="1"/>
  <c r="AY88" i="1"/>
  <c r="AX88" i="1"/>
  <c r="AV88" i="1"/>
  <c r="AW88" i="1" s="1"/>
  <c r="AU88" i="1"/>
  <c r="AT88" i="1"/>
  <c r="AS88" i="1"/>
  <c r="BC87" i="1"/>
  <c r="BB87" i="1"/>
  <c r="BA87" i="1"/>
  <c r="AZ87" i="1"/>
  <c r="AY87" i="1"/>
  <c r="AV87" i="1"/>
  <c r="AT87" i="1"/>
  <c r="AU87" i="1" s="1"/>
  <c r="AS87" i="1"/>
  <c r="BC86" i="1"/>
  <c r="BB86" i="1"/>
  <c r="BA86" i="1"/>
  <c r="AZ86" i="1"/>
  <c r="AY86" i="1"/>
  <c r="AV86" i="1"/>
  <c r="AT86" i="1"/>
  <c r="AU86" i="1" s="1"/>
  <c r="AS86" i="1"/>
  <c r="BC85" i="1"/>
  <c r="BB85" i="1"/>
  <c r="BA85" i="1"/>
  <c r="AZ85" i="1"/>
  <c r="AY85" i="1"/>
  <c r="AV85" i="1"/>
  <c r="AX85" i="1" s="1"/>
  <c r="AT85" i="1"/>
  <c r="AU85" i="1" s="1"/>
  <c r="AS85" i="1"/>
  <c r="BC84" i="1"/>
  <c r="BB84" i="1"/>
  <c r="BA84" i="1"/>
  <c r="AZ84" i="1"/>
  <c r="AY84" i="1"/>
  <c r="AX84" i="1"/>
  <c r="AW84" i="1"/>
  <c r="AV84" i="1"/>
  <c r="AT84" i="1"/>
  <c r="AU84" i="1" s="1"/>
  <c r="AS84" i="1"/>
  <c r="BC83" i="1"/>
  <c r="BB83" i="1"/>
  <c r="BA83" i="1"/>
  <c r="AZ83" i="1"/>
  <c r="AY83" i="1"/>
  <c r="AX83" i="1"/>
  <c r="AW83" i="1"/>
  <c r="AV83" i="1"/>
  <c r="AT83" i="1"/>
  <c r="AU83" i="1" s="1"/>
  <c r="AS83" i="1"/>
  <c r="BC82" i="1"/>
  <c r="BB82" i="1"/>
  <c r="BA82" i="1"/>
  <c r="AZ82" i="1"/>
  <c r="AY82" i="1"/>
  <c r="AX82" i="1"/>
  <c r="AW82" i="1"/>
  <c r="AV82" i="1"/>
  <c r="AU82" i="1"/>
  <c r="AT82" i="1"/>
  <c r="AS82" i="1"/>
  <c r="BC81" i="1"/>
  <c r="BB81" i="1"/>
  <c r="BA81" i="1"/>
  <c r="AZ81" i="1"/>
  <c r="AY81" i="1"/>
  <c r="AX81" i="1"/>
  <c r="AV81" i="1"/>
  <c r="AW81" i="1" s="1"/>
  <c r="AU81" i="1"/>
  <c r="AT81" i="1"/>
  <c r="AS81" i="1"/>
  <c r="BC80" i="1"/>
  <c r="BB80" i="1"/>
  <c r="BA80" i="1"/>
  <c r="AZ80" i="1"/>
  <c r="AY80" i="1"/>
  <c r="AX80" i="1"/>
  <c r="AV80" i="1"/>
  <c r="AW80" i="1" s="1"/>
  <c r="AU80" i="1"/>
  <c r="AT80" i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W77" i="1"/>
  <c r="AV77" i="1"/>
  <c r="AX77" i="1" s="1"/>
  <c r="AT77" i="1"/>
  <c r="AU77" i="1" s="1"/>
  <c r="AS77" i="1"/>
  <c r="BC76" i="1"/>
  <c r="AW76" i="1"/>
  <c r="AV76" i="1"/>
  <c r="AT76" i="1"/>
  <c r="AS76" i="1"/>
  <c r="BC75" i="1"/>
  <c r="AW75" i="1"/>
  <c r="AX75" i="1" s="1"/>
  <c r="AV75" i="1"/>
  <c r="AU75" i="1"/>
  <c r="AT75" i="1"/>
  <c r="AS75" i="1"/>
  <c r="BC74" i="1"/>
  <c r="AX74" i="1"/>
  <c r="AW74" i="1"/>
  <c r="AV74" i="1"/>
  <c r="AU74" i="1"/>
  <c r="AT74" i="1"/>
  <c r="AS74" i="1"/>
  <c r="BC73" i="1"/>
  <c r="AV73" i="1"/>
  <c r="AU73" i="1"/>
  <c r="AT73" i="1"/>
  <c r="AS73" i="1"/>
  <c r="BC72" i="1"/>
  <c r="AV72" i="1"/>
  <c r="AU72" i="1"/>
  <c r="AT72" i="1"/>
  <c r="AS72" i="1"/>
  <c r="BC71" i="1"/>
  <c r="AV71" i="1"/>
  <c r="AT71" i="1"/>
  <c r="AU71" i="1" s="1"/>
  <c r="AS71" i="1"/>
  <c r="BC70" i="1"/>
  <c r="AV70" i="1"/>
  <c r="AW70" i="1" s="1"/>
  <c r="AT70" i="1"/>
  <c r="AU70" i="1" s="1"/>
  <c r="AS70" i="1"/>
  <c r="BC69" i="1"/>
  <c r="AV69" i="1"/>
  <c r="AW69" i="1" s="1"/>
  <c r="AT69" i="1"/>
  <c r="AU69" i="1" s="1"/>
  <c r="AS69" i="1"/>
  <c r="BC68" i="1"/>
  <c r="AW68" i="1"/>
  <c r="AV68" i="1"/>
  <c r="AX68" i="1" s="1"/>
  <c r="AT68" i="1"/>
  <c r="AU68" i="1" s="1"/>
  <c r="AS68" i="1"/>
  <c r="BC67" i="1"/>
  <c r="AW67" i="1"/>
  <c r="AX67" i="1" s="1"/>
  <c r="AV67" i="1"/>
  <c r="AT67" i="1"/>
  <c r="AS67" i="1"/>
  <c r="BC66" i="1"/>
  <c r="AX66" i="1"/>
  <c r="AW66" i="1"/>
  <c r="AV66" i="1"/>
  <c r="AU66" i="1"/>
  <c r="AT66" i="1"/>
  <c r="AS66" i="1"/>
  <c r="BC65" i="1"/>
  <c r="AV65" i="1"/>
  <c r="AW65" i="1" s="1"/>
  <c r="AU65" i="1"/>
  <c r="AT65" i="1"/>
  <c r="AS65" i="1"/>
  <c r="BC64" i="1"/>
  <c r="AV64" i="1"/>
  <c r="AU64" i="1"/>
  <c r="AT64" i="1"/>
  <c r="AS64" i="1"/>
  <c r="BC63" i="1"/>
  <c r="AV63" i="1"/>
  <c r="AT63" i="1"/>
  <c r="AU63" i="1" s="1"/>
  <c r="AS63" i="1"/>
  <c r="BC62" i="1"/>
  <c r="AV62" i="1"/>
  <c r="AT62" i="1"/>
  <c r="AU62" i="1" s="1"/>
  <c r="AS62" i="1"/>
  <c r="BC61" i="1"/>
  <c r="AV61" i="1"/>
  <c r="AT61" i="1"/>
  <c r="AU61" i="1" s="1"/>
  <c r="AS61" i="1"/>
  <c r="BC60" i="1"/>
  <c r="AW60" i="1"/>
  <c r="AV60" i="1"/>
  <c r="AX60" i="1" s="1"/>
  <c r="AT60" i="1"/>
  <c r="AY60" i="1" s="1"/>
  <c r="BA60" i="1" s="1"/>
  <c r="AS60" i="1"/>
  <c r="BC59" i="1"/>
  <c r="AW59" i="1"/>
  <c r="AX59" i="1" s="1"/>
  <c r="AV59" i="1"/>
  <c r="AU59" i="1"/>
  <c r="AT59" i="1"/>
  <c r="AS59" i="1"/>
  <c r="BC58" i="1"/>
  <c r="AX58" i="1"/>
  <c r="AW58" i="1"/>
  <c r="AV58" i="1"/>
  <c r="AU58" i="1"/>
  <c r="AT58" i="1"/>
  <c r="AS58" i="1"/>
  <c r="BC57" i="1"/>
  <c r="AV57" i="1"/>
  <c r="AW57" i="1" s="1"/>
  <c r="AU57" i="1"/>
  <c r="AT57" i="1"/>
  <c r="AS57" i="1"/>
  <c r="BC56" i="1"/>
  <c r="AV56" i="1"/>
  <c r="AU56" i="1"/>
  <c r="AT56" i="1"/>
  <c r="AS56" i="1"/>
  <c r="BC55" i="1"/>
  <c r="AV55" i="1"/>
  <c r="AT55" i="1"/>
  <c r="AU55" i="1" s="1"/>
  <c r="AS55" i="1"/>
  <c r="BC54" i="1"/>
  <c r="AX54" i="1"/>
  <c r="AW54" i="1"/>
  <c r="AV54" i="1"/>
  <c r="AT54" i="1"/>
  <c r="AU54" i="1" s="1"/>
  <c r="AS54" i="1"/>
  <c r="BC53" i="1"/>
  <c r="AV53" i="1"/>
  <c r="AZ53" i="1" s="1"/>
  <c r="BB53" i="1" s="1"/>
  <c r="AT53" i="1"/>
  <c r="AU53" i="1" s="1"/>
  <c r="AS53" i="1"/>
  <c r="BC52" i="1"/>
  <c r="AW52" i="1"/>
  <c r="AV52" i="1"/>
  <c r="AT52" i="1"/>
  <c r="AU52" i="1" s="1"/>
  <c r="AS52" i="1"/>
  <c r="BC51" i="1"/>
  <c r="AY51" i="1"/>
  <c r="BA51" i="1" s="1"/>
  <c r="AV51" i="1"/>
  <c r="AT51" i="1"/>
  <c r="AU51" i="1" s="1"/>
  <c r="AS51" i="1"/>
  <c r="BC50" i="1"/>
  <c r="AW50" i="1"/>
  <c r="AV50" i="1"/>
  <c r="AZ50" i="1" s="1"/>
  <c r="BB50" i="1" s="1"/>
  <c r="AT50" i="1"/>
  <c r="AY50" i="1" s="1"/>
  <c r="BA50" i="1" s="1"/>
  <c r="AS50" i="1"/>
  <c r="BC49" i="1"/>
  <c r="AW49" i="1"/>
  <c r="AV49" i="1"/>
  <c r="AX49" i="1" s="1"/>
  <c r="AT49" i="1"/>
  <c r="AU49" i="1" s="1"/>
  <c r="AS49" i="1"/>
  <c r="BC48" i="1"/>
  <c r="AZ48" i="1"/>
  <c r="BB48" i="1" s="1"/>
  <c r="AW48" i="1"/>
  <c r="AX48" i="1" s="1"/>
  <c r="AV48" i="1"/>
  <c r="AZ76" i="1" s="1"/>
  <c r="BB76" i="1" s="1"/>
  <c r="AU48" i="1"/>
  <c r="AT48" i="1"/>
  <c r="AY48" i="1" s="1"/>
  <c r="BA48" i="1" s="1"/>
  <c r="AS48" i="1"/>
  <c r="BC47" i="1"/>
  <c r="AX47" i="1"/>
  <c r="AW47" i="1"/>
  <c r="AV47" i="1"/>
  <c r="AU47" i="1"/>
  <c r="AT47" i="1"/>
  <c r="AY47" i="1" s="1"/>
  <c r="BA47" i="1" s="1"/>
  <c r="AS47" i="1"/>
  <c r="BC46" i="1"/>
  <c r="AX46" i="1"/>
  <c r="AW46" i="1"/>
  <c r="AV46" i="1"/>
  <c r="AU46" i="1"/>
  <c r="AT46" i="1"/>
  <c r="AS46" i="1"/>
  <c r="BC45" i="1"/>
  <c r="AV45" i="1"/>
  <c r="AZ45" i="1" s="1"/>
  <c r="BB45" i="1" s="1"/>
  <c r="AU45" i="1"/>
  <c r="AT45" i="1"/>
  <c r="AY45" i="1" s="1"/>
  <c r="BA45" i="1" s="1"/>
  <c r="AS45" i="1"/>
  <c r="BC44" i="1"/>
  <c r="AV44" i="1"/>
  <c r="AZ44" i="1" s="1"/>
  <c r="BB44" i="1" s="1"/>
  <c r="AU44" i="1"/>
  <c r="AT44" i="1"/>
  <c r="AS44" i="1"/>
  <c r="BC43" i="1"/>
  <c r="AV43" i="1"/>
  <c r="AT43" i="1"/>
  <c r="AU43" i="1" s="1"/>
  <c r="AS43" i="1"/>
  <c r="BC42" i="1"/>
  <c r="AW42" i="1"/>
  <c r="AV42" i="1"/>
  <c r="AZ42" i="1" s="1"/>
  <c r="BB42" i="1" s="1"/>
  <c r="AT42" i="1"/>
  <c r="AY42" i="1" s="1"/>
  <c r="BA42" i="1" s="1"/>
  <c r="AS42" i="1"/>
  <c r="BC41" i="1"/>
  <c r="AZ41" i="1"/>
  <c r="BB41" i="1" s="1"/>
  <c r="AW41" i="1"/>
  <c r="AV41" i="1"/>
  <c r="AX41" i="1" s="1"/>
  <c r="AT41" i="1"/>
  <c r="AU41" i="1" s="1"/>
  <c r="AS41" i="1"/>
  <c r="BC40" i="1"/>
  <c r="AZ40" i="1"/>
  <c r="BB40" i="1" s="1"/>
  <c r="AW40" i="1"/>
  <c r="AV40" i="1"/>
  <c r="AX40" i="1" s="1"/>
  <c r="AU40" i="1"/>
  <c r="AT40" i="1"/>
  <c r="AY40" i="1" s="1"/>
  <c r="BA40" i="1" s="1"/>
  <c r="AS40" i="1"/>
  <c r="BC39" i="1"/>
  <c r="AX39" i="1"/>
  <c r="AW39" i="1"/>
  <c r="AV39" i="1"/>
  <c r="AU39" i="1"/>
  <c r="AT39" i="1"/>
  <c r="AY39" i="1" s="1"/>
  <c r="BA39" i="1" s="1"/>
  <c r="AS39" i="1"/>
  <c r="BC38" i="1"/>
  <c r="AX38" i="1"/>
  <c r="AW38" i="1"/>
  <c r="AV38" i="1"/>
  <c r="AU38" i="1"/>
  <c r="AT38" i="1"/>
  <c r="AS38" i="1"/>
  <c r="BC37" i="1"/>
  <c r="AV37" i="1"/>
  <c r="AZ37" i="1" s="1"/>
  <c r="BB37" i="1" s="1"/>
  <c r="AU37" i="1"/>
  <c r="AT37" i="1"/>
  <c r="AY37" i="1" s="1"/>
  <c r="BA37" i="1" s="1"/>
  <c r="AS37" i="1"/>
  <c r="BC36" i="1"/>
  <c r="AV36" i="1"/>
  <c r="AZ36" i="1" s="1"/>
  <c r="BB36" i="1" s="1"/>
  <c r="AU36" i="1"/>
  <c r="AT36" i="1"/>
  <c r="AS36" i="1"/>
  <c r="BC35" i="1"/>
  <c r="AY35" i="1"/>
  <c r="BA35" i="1" s="1"/>
  <c r="AV35" i="1"/>
  <c r="AT35" i="1"/>
  <c r="AU35" i="1" s="1"/>
  <c r="AS35" i="1"/>
  <c r="BC34" i="1"/>
  <c r="AW34" i="1"/>
  <c r="AV34" i="1"/>
  <c r="AZ34" i="1" s="1"/>
  <c r="BB34" i="1" s="1"/>
  <c r="AT34" i="1"/>
  <c r="AY34" i="1" s="1"/>
  <c r="BA34" i="1" s="1"/>
  <c r="AS34" i="1"/>
  <c r="BC33" i="1"/>
  <c r="AW33" i="1"/>
  <c r="AV33" i="1"/>
  <c r="AX33" i="1" s="1"/>
  <c r="AT33" i="1"/>
  <c r="AU33" i="1" s="1"/>
  <c r="AS33" i="1"/>
  <c r="BC32" i="1"/>
  <c r="AZ32" i="1"/>
  <c r="BB32" i="1" s="1"/>
  <c r="AW32" i="1"/>
  <c r="AV32" i="1"/>
  <c r="AX32" i="1" s="1"/>
  <c r="AU32" i="1"/>
  <c r="AT32" i="1"/>
  <c r="AY32" i="1" s="1"/>
  <c r="BA32" i="1" s="1"/>
  <c r="AS32" i="1"/>
  <c r="BC31" i="1"/>
  <c r="AX31" i="1"/>
  <c r="AW31" i="1"/>
  <c r="AV31" i="1"/>
  <c r="AU31" i="1"/>
  <c r="AT31" i="1"/>
  <c r="AY31" i="1" s="1"/>
  <c r="BA31" i="1" s="1"/>
  <c r="AS31" i="1"/>
  <c r="BC30" i="1"/>
  <c r="AZ30" i="1"/>
  <c r="BB30" i="1" s="1"/>
  <c r="AX30" i="1"/>
  <c r="AW30" i="1"/>
  <c r="AV30" i="1"/>
  <c r="AU30" i="1"/>
  <c r="AT30" i="1"/>
  <c r="AS30" i="1"/>
  <c r="BC29" i="1"/>
  <c r="AV29" i="1"/>
  <c r="AZ29" i="1" s="1"/>
  <c r="BB29" i="1" s="1"/>
  <c r="AU29" i="1"/>
  <c r="AT29" i="1"/>
  <c r="AY29" i="1" s="1"/>
  <c r="BA29" i="1" s="1"/>
  <c r="AS29" i="1"/>
  <c r="BC28" i="1"/>
  <c r="AY28" i="1"/>
  <c r="BA28" i="1" s="1"/>
  <c r="AV28" i="1"/>
  <c r="AZ28" i="1" s="1"/>
  <c r="BB28" i="1" s="1"/>
  <c r="AU28" i="1"/>
  <c r="AT28" i="1"/>
  <c r="AY63" i="1" s="1"/>
  <c r="BA63" i="1" s="1"/>
  <c r="AS28" i="1"/>
  <c r="BC27" i="1"/>
  <c r="AV27" i="1"/>
  <c r="AT27" i="1"/>
  <c r="AU27" i="1" s="1"/>
  <c r="AS27" i="1"/>
  <c r="BC26" i="1"/>
  <c r="AW26" i="1"/>
  <c r="AV26" i="1"/>
  <c r="AZ26" i="1" s="1"/>
  <c r="BB26" i="1" s="1"/>
  <c r="AT26" i="1"/>
  <c r="AY26" i="1" s="1"/>
  <c r="BA26" i="1" s="1"/>
  <c r="AS26" i="1"/>
  <c r="BC25" i="1"/>
  <c r="AZ25" i="1"/>
  <c r="BB25" i="1" s="1"/>
  <c r="AY25" i="1"/>
  <c r="BA25" i="1" s="1"/>
  <c r="AW25" i="1"/>
  <c r="AV25" i="1"/>
  <c r="AX25" i="1" s="1"/>
  <c r="AT25" i="1"/>
  <c r="AY79" i="1" s="1"/>
  <c r="BA79" i="1" s="1"/>
  <c r="AS25" i="1"/>
  <c r="BC24" i="1"/>
  <c r="AZ24" i="1"/>
  <c r="BB24" i="1" s="1"/>
  <c r="AW24" i="1"/>
  <c r="AV24" i="1"/>
  <c r="AX24" i="1" s="1"/>
  <c r="AU24" i="1"/>
  <c r="AT24" i="1"/>
  <c r="AY24" i="1" s="1"/>
  <c r="BA24" i="1" s="1"/>
  <c r="AS24" i="1"/>
  <c r="BC23" i="1"/>
  <c r="AZ23" i="1"/>
  <c r="BB23" i="1" s="1"/>
  <c r="AX23" i="1"/>
  <c r="AW23" i="1"/>
  <c r="AV23" i="1"/>
  <c r="AU23" i="1"/>
  <c r="AT23" i="1"/>
  <c r="AY23" i="1" s="1"/>
  <c r="BA23" i="1" s="1"/>
  <c r="AS23" i="1"/>
  <c r="BC22" i="1"/>
  <c r="BA22" i="1"/>
  <c r="AZ22" i="1"/>
  <c r="BB22" i="1" s="1"/>
  <c r="AY22" i="1"/>
  <c r="AX22" i="1"/>
  <c r="AW22" i="1"/>
  <c r="AV22" i="1"/>
  <c r="AZ66" i="1" s="1"/>
  <c r="BB66" i="1" s="1"/>
  <c r="AU22" i="1"/>
  <c r="AT22" i="1"/>
  <c r="AY53" i="1" s="1"/>
  <c r="BA53" i="1" s="1"/>
  <c r="AS22" i="1"/>
  <c r="BC21" i="1"/>
  <c r="AV21" i="1"/>
  <c r="AZ21" i="1" s="1"/>
  <c r="BB21" i="1" s="1"/>
  <c r="AU21" i="1"/>
  <c r="AT21" i="1"/>
  <c r="AY21" i="1" s="1"/>
  <c r="BA21" i="1" s="1"/>
  <c r="AS21" i="1"/>
  <c r="BC20" i="1"/>
  <c r="AY20" i="1"/>
  <c r="BA20" i="1" s="1"/>
  <c r="AV20" i="1"/>
  <c r="AZ20" i="1" s="1"/>
  <c r="BB20" i="1" s="1"/>
  <c r="AU20" i="1"/>
  <c r="AT20" i="1"/>
  <c r="AS20" i="1"/>
  <c r="BC19" i="1"/>
  <c r="AV19" i="1"/>
  <c r="AT19" i="1"/>
  <c r="AU19" i="1" s="1"/>
  <c r="AS19" i="1"/>
  <c r="BC18" i="1"/>
  <c r="AW18" i="1"/>
  <c r="AV18" i="1"/>
  <c r="AZ18" i="1" s="1"/>
  <c r="BB18" i="1" s="1"/>
  <c r="AT18" i="1"/>
  <c r="AY18" i="1" s="1"/>
  <c r="BA18" i="1" s="1"/>
  <c r="AS18" i="1"/>
  <c r="BC17" i="1"/>
  <c r="AZ17" i="1"/>
  <c r="BB17" i="1" s="1"/>
  <c r="AY17" i="1"/>
  <c r="BA17" i="1" s="1"/>
  <c r="AW17" i="1"/>
  <c r="AV17" i="1"/>
  <c r="AZ49" i="1" s="1"/>
  <c r="BB49" i="1" s="1"/>
  <c r="AT17" i="1"/>
  <c r="AU17" i="1" s="1"/>
  <c r="AS17" i="1"/>
  <c r="BC16" i="1"/>
  <c r="AZ16" i="1"/>
  <c r="BB16" i="1" s="1"/>
  <c r="AW16" i="1"/>
  <c r="AV16" i="1"/>
  <c r="AX16" i="1" s="1"/>
  <c r="AU16" i="1"/>
  <c r="AT16" i="1"/>
  <c r="AY16" i="1" s="1"/>
  <c r="BA16" i="1" s="1"/>
  <c r="AS16" i="1"/>
  <c r="BC15" i="1"/>
  <c r="AZ15" i="1"/>
  <c r="BB15" i="1" s="1"/>
  <c r="AX15" i="1"/>
  <c r="AW15" i="1"/>
  <c r="AV15" i="1"/>
  <c r="AZ60" i="1" s="1"/>
  <c r="BB60" i="1" s="1"/>
  <c r="AU15" i="1"/>
  <c r="AT15" i="1"/>
  <c r="AY15" i="1" s="1"/>
  <c r="BA15" i="1" s="1"/>
  <c r="AS15" i="1"/>
  <c r="BC14" i="1"/>
  <c r="AZ14" i="1"/>
  <c r="BB14" i="1" s="1"/>
  <c r="AX14" i="1"/>
  <c r="AW14" i="1"/>
  <c r="AV14" i="1"/>
  <c r="AU14" i="1"/>
  <c r="AT14" i="1"/>
  <c r="AS14" i="1"/>
  <c r="BC13" i="1"/>
  <c r="AV13" i="1"/>
  <c r="AZ13" i="1" s="1"/>
  <c r="BB13" i="1" s="1"/>
  <c r="AU13" i="1"/>
  <c r="AT13" i="1"/>
  <c r="AY13" i="1" s="1"/>
  <c r="BA13" i="1" s="1"/>
  <c r="AS13" i="1"/>
  <c r="BC12" i="1"/>
  <c r="AY12" i="1"/>
  <c r="BA12" i="1" s="1"/>
  <c r="AV12" i="1"/>
  <c r="AZ12" i="1" s="1"/>
  <c r="BB12" i="1" s="1"/>
  <c r="AU12" i="1"/>
  <c r="AT12" i="1"/>
  <c r="AS12" i="1"/>
  <c r="BC11" i="1"/>
  <c r="AY11" i="1"/>
  <c r="BA11" i="1" s="1"/>
  <c r="AV11" i="1"/>
  <c r="AT11" i="1"/>
  <c r="AU11" i="1" s="1"/>
  <c r="AS11" i="1"/>
  <c r="BC10" i="1"/>
  <c r="AW10" i="1"/>
  <c r="AV10" i="1"/>
  <c r="AZ10" i="1" s="1"/>
  <c r="BB10" i="1" s="1"/>
  <c r="AT10" i="1"/>
  <c r="AY27" i="1" s="1"/>
  <c r="BA27" i="1" s="1"/>
  <c r="AS10" i="1"/>
  <c r="BC9" i="1"/>
  <c r="AZ9" i="1"/>
  <c r="BB9" i="1" s="1"/>
  <c r="AY9" i="1"/>
  <c r="BA9" i="1" s="1"/>
  <c r="AW9" i="1"/>
  <c r="AV9" i="1"/>
  <c r="AZ61" i="1" s="1"/>
  <c r="BB61" i="1" s="1"/>
  <c r="AT9" i="1"/>
  <c r="AY61" i="1" s="1"/>
  <c r="BA61" i="1" s="1"/>
  <c r="AS9" i="1"/>
  <c r="BC8" i="1"/>
  <c r="AZ8" i="1"/>
  <c r="BB8" i="1" s="1"/>
  <c r="AW8" i="1"/>
  <c r="AV8" i="1"/>
  <c r="AZ59" i="1" s="1"/>
  <c r="BB59" i="1" s="1"/>
  <c r="AT8" i="1"/>
  <c r="AY8" i="1" s="1"/>
  <c r="BA8" i="1" s="1"/>
  <c r="AS8" i="1"/>
  <c r="BC7" i="1"/>
  <c r="AZ7" i="1"/>
  <c r="BB7" i="1" s="1"/>
  <c r="AX7" i="1"/>
  <c r="AW7" i="1"/>
  <c r="AV7" i="1"/>
  <c r="AU7" i="1"/>
  <c r="AT7" i="1"/>
  <c r="AY7" i="1" s="1"/>
  <c r="BA7" i="1" s="1"/>
  <c r="AS7" i="1"/>
  <c r="BC6" i="1"/>
  <c r="BA6" i="1"/>
  <c r="AZ6" i="1"/>
  <c r="BB6" i="1" s="1"/>
  <c r="AY6" i="1"/>
  <c r="AX6" i="1"/>
  <c r="AW6" i="1"/>
  <c r="AV6" i="1"/>
  <c r="AU6" i="1"/>
  <c r="AT6" i="1"/>
  <c r="AY64" i="1" s="1"/>
  <c r="BA64" i="1" s="1"/>
  <c r="AS6" i="1"/>
  <c r="BC5" i="1"/>
  <c r="AV5" i="1"/>
  <c r="AZ65" i="1" s="1"/>
  <c r="BB65" i="1" s="1"/>
  <c r="AU5" i="1"/>
  <c r="AT5" i="1"/>
  <c r="AY5" i="1" s="1"/>
  <c r="BA5" i="1" s="1"/>
  <c r="AS5" i="1"/>
  <c r="AX35" i="1" l="1"/>
  <c r="AY43" i="1"/>
  <c r="BA43" i="1" s="1"/>
  <c r="AX9" i="1"/>
  <c r="AU10" i="1"/>
  <c r="AZ11" i="1"/>
  <c r="BB11" i="1" s="1"/>
  <c r="AW12" i="1"/>
  <c r="AY14" i="1"/>
  <c r="BA14" i="1" s="1"/>
  <c r="AX17" i="1"/>
  <c r="AU18" i="1"/>
  <c r="AZ19" i="1"/>
  <c r="BB19" i="1" s="1"/>
  <c r="AW20" i="1"/>
  <c r="AU26" i="1"/>
  <c r="AZ27" i="1"/>
  <c r="BB27" i="1" s="1"/>
  <c r="AW28" i="1"/>
  <c r="AX28" i="1" s="1"/>
  <c r="AY30" i="1"/>
  <c r="BA30" i="1" s="1"/>
  <c r="AU34" i="1"/>
  <c r="AZ35" i="1"/>
  <c r="BB35" i="1" s="1"/>
  <c r="AW36" i="1"/>
  <c r="AX36" i="1" s="1"/>
  <c r="AY38" i="1"/>
  <c r="BA38" i="1" s="1"/>
  <c r="AU42" i="1"/>
  <c r="AZ43" i="1"/>
  <c r="BB43" i="1" s="1"/>
  <c r="AW44" i="1"/>
  <c r="AY46" i="1"/>
  <c r="BA46" i="1" s="1"/>
  <c r="AU50" i="1"/>
  <c r="AZ51" i="1"/>
  <c r="BB51" i="1" s="1"/>
  <c r="AY52" i="1"/>
  <c r="BA52" i="1" s="1"/>
  <c r="AW53" i="1"/>
  <c r="AZ54" i="1"/>
  <c r="BB54" i="1" s="1"/>
  <c r="AY57" i="1"/>
  <c r="BA57" i="1" s="1"/>
  <c r="AY58" i="1"/>
  <c r="BA58" i="1" s="1"/>
  <c r="AY71" i="1"/>
  <c r="BA71" i="1" s="1"/>
  <c r="AZ75" i="1"/>
  <c r="BB75" i="1" s="1"/>
  <c r="AX12" i="1"/>
  <c r="AX20" i="1"/>
  <c r="AY33" i="1"/>
  <c r="BA33" i="1" s="1"/>
  <c r="AZ38" i="1"/>
  <c r="BB38" i="1" s="1"/>
  <c r="AY41" i="1"/>
  <c r="BA41" i="1" s="1"/>
  <c r="AX44" i="1"/>
  <c r="AZ46" i="1"/>
  <c r="BB46" i="1" s="1"/>
  <c r="AY49" i="1"/>
  <c r="BA49" i="1" s="1"/>
  <c r="AZ52" i="1"/>
  <c r="BB52" i="1" s="1"/>
  <c r="AZ55" i="1"/>
  <c r="BB55" i="1" s="1"/>
  <c r="AW55" i="1"/>
  <c r="AX55" i="1" s="1"/>
  <c r="AY59" i="1"/>
  <c r="BA59" i="1" s="1"/>
  <c r="AZ67" i="1"/>
  <c r="BB67" i="1" s="1"/>
  <c r="AY68" i="1"/>
  <c r="BA68" i="1" s="1"/>
  <c r="AY69" i="1"/>
  <c r="BA69" i="1" s="1"/>
  <c r="AY70" i="1"/>
  <c r="BA70" i="1" s="1"/>
  <c r="AY72" i="1"/>
  <c r="BA72" i="1" s="1"/>
  <c r="AZ74" i="1"/>
  <c r="BB74" i="1" s="1"/>
  <c r="AZ78" i="1"/>
  <c r="BB78" i="1" s="1"/>
  <c r="AX78" i="1"/>
  <c r="AW78" i="1"/>
  <c r="AX94" i="1"/>
  <c r="AW94" i="1"/>
  <c r="AU8" i="1"/>
  <c r="AZ33" i="1"/>
  <c r="BB33" i="1" s="1"/>
  <c r="AY36" i="1"/>
  <c r="BA36" i="1" s="1"/>
  <c r="AY44" i="1"/>
  <c r="BA44" i="1" s="1"/>
  <c r="AW56" i="1"/>
  <c r="AZ56" i="1"/>
  <c r="BB56" i="1" s="1"/>
  <c r="AZ68" i="1"/>
  <c r="BB68" i="1" s="1"/>
  <c r="AZ69" i="1"/>
  <c r="BB69" i="1" s="1"/>
  <c r="AY78" i="1"/>
  <c r="BA78" i="1" s="1"/>
  <c r="AW5" i="1"/>
  <c r="AX10" i="1"/>
  <c r="AW13" i="1"/>
  <c r="AX18" i="1"/>
  <c r="AW21" i="1"/>
  <c r="AX26" i="1"/>
  <c r="AW29" i="1"/>
  <c r="AX29" i="1" s="1"/>
  <c r="AX34" i="1"/>
  <c r="AW37" i="1"/>
  <c r="AX42" i="1"/>
  <c r="AW45" i="1"/>
  <c r="AX50" i="1"/>
  <c r="AY54" i="1"/>
  <c r="BA54" i="1" s="1"/>
  <c r="AY55" i="1"/>
  <c r="BA55" i="1" s="1"/>
  <c r="AX56" i="1"/>
  <c r="AX57" i="1"/>
  <c r="AU60" i="1"/>
  <c r="AY65" i="1"/>
  <c r="BA65" i="1" s="1"/>
  <c r="AY66" i="1"/>
  <c r="BA66" i="1" s="1"/>
  <c r="AY76" i="1"/>
  <c r="BA76" i="1" s="1"/>
  <c r="AU76" i="1"/>
  <c r="AY19" i="1"/>
  <c r="BA19" i="1" s="1"/>
  <c r="AY10" i="1"/>
  <c r="BA10" i="1" s="1"/>
  <c r="AX21" i="1"/>
  <c r="AZ31" i="1"/>
  <c r="BB31" i="1" s="1"/>
  <c r="AX37" i="1"/>
  <c r="AZ39" i="1"/>
  <c r="BB39" i="1" s="1"/>
  <c r="AX45" i="1"/>
  <c r="AZ47" i="1"/>
  <c r="BB47" i="1" s="1"/>
  <c r="AY56" i="1"/>
  <c r="BA56" i="1" s="1"/>
  <c r="AZ57" i="1"/>
  <c r="BB57" i="1" s="1"/>
  <c r="AZ62" i="1"/>
  <c r="BB62" i="1" s="1"/>
  <c r="AZ63" i="1"/>
  <c r="BB63" i="1" s="1"/>
  <c r="AW63" i="1"/>
  <c r="AX63" i="1" s="1"/>
  <c r="AY67" i="1"/>
  <c r="BA67" i="1" s="1"/>
  <c r="AY74" i="1"/>
  <c r="BA74" i="1" s="1"/>
  <c r="AY75" i="1"/>
  <c r="BA75" i="1" s="1"/>
  <c r="AX76" i="1"/>
  <c r="AY77" i="1"/>
  <c r="BA77" i="1" s="1"/>
  <c r="AX5" i="1"/>
  <c r="AX13" i="1"/>
  <c r="AX8" i="1"/>
  <c r="AU9" i="1"/>
  <c r="AW11" i="1"/>
  <c r="AX11" i="1" s="1"/>
  <c r="AW19" i="1"/>
  <c r="AX19" i="1" s="1"/>
  <c r="AU25" i="1"/>
  <c r="AW27" i="1"/>
  <c r="AX27" i="1" s="1"/>
  <c r="AW35" i="1"/>
  <c r="AW43" i="1"/>
  <c r="AX43" i="1" s="1"/>
  <c r="AW51" i="1"/>
  <c r="AX51" i="1" s="1"/>
  <c r="AZ58" i="1"/>
  <c r="BB58" i="1" s="1"/>
  <c r="AW61" i="1"/>
  <c r="AX61" i="1" s="1"/>
  <c r="AW62" i="1"/>
  <c r="AX62" i="1" s="1"/>
  <c r="AW64" i="1"/>
  <c r="AX64" i="1" s="1"/>
  <c r="AZ64" i="1"/>
  <c r="BB64" i="1" s="1"/>
  <c r="AU67" i="1"/>
  <c r="AY73" i="1"/>
  <c r="BA73" i="1" s="1"/>
  <c r="AZ5" i="1"/>
  <c r="BB5" i="1" s="1"/>
  <c r="AX52" i="1"/>
  <c r="AY62" i="1"/>
  <c r="BA62" i="1" s="1"/>
  <c r="AX65" i="1"/>
  <c r="AZ79" i="1"/>
  <c r="BB79" i="1" s="1"/>
  <c r="AX79" i="1"/>
  <c r="AW79" i="1"/>
  <c r="AX86" i="1"/>
  <c r="AW86" i="1"/>
  <c r="AX87" i="1"/>
  <c r="AW87" i="1"/>
  <c r="AX53" i="1"/>
  <c r="AX69" i="1"/>
  <c r="AZ70" i="1"/>
  <c r="BB70" i="1" s="1"/>
  <c r="AX70" i="1"/>
  <c r="AZ71" i="1"/>
  <c r="BB71" i="1" s="1"/>
  <c r="AX71" i="1"/>
  <c r="AW71" i="1"/>
  <c r="AW72" i="1"/>
  <c r="AX72" i="1" s="1"/>
  <c r="AZ72" i="1"/>
  <c r="BB72" i="1" s="1"/>
  <c r="AZ73" i="1"/>
  <c r="BB73" i="1" s="1"/>
  <c r="AW73" i="1"/>
  <c r="AX73" i="1" s="1"/>
  <c r="AZ77" i="1"/>
  <c r="BB77" i="1" s="1"/>
  <c r="AW102" i="1"/>
  <c r="AW110" i="1"/>
  <c r="AW118" i="1"/>
  <c r="AW126" i="1"/>
  <c r="AW134" i="1"/>
  <c r="AW142" i="1"/>
  <c r="AW150" i="1"/>
  <c r="AW158" i="1"/>
  <c r="AW166" i="1"/>
  <c r="AW174" i="1"/>
  <c r="AW182" i="1"/>
  <c r="AW190" i="1"/>
  <c r="AW198" i="1"/>
  <c r="AW206" i="1"/>
  <c r="AW214" i="1"/>
  <c r="AW222" i="1"/>
  <c r="AW230" i="1"/>
  <c r="AW237" i="1"/>
  <c r="AW243" i="1"/>
  <c r="AX279" i="1"/>
  <c r="AW279" i="1"/>
  <c r="AW244" i="1"/>
  <c r="AX256" i="1"/>
  <c r="AW260" i="1"/>
  <c r="AX262" i="1"/>
  <c r="AW262" i="1"/>
  <c r="AX263" i="1"/>
  <c r="AW263" i="1"/>
  <c r="AX286" i="1"/>
  <c r="AW286" i="1"/>
  <c r="AW95" i="1"/>
  <c r="AW103" i="1"/>
  <c r="AW111" i="1"/>
  <c r="AW119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X231" i="1"/>
  <c r="AX238" i="1"/>
  <c r="AW252" i="1"/>
  <c r="AX287" i="1"/>
  <c r="AW287" i="1"/>
  <c r="AX270" i="1"/>
  <c r="AW270" i="1"/>
  <c r="AW85" i="1"/>
  <c r="AW93" i="1"/>
  <c r="AW101" i="1"/>
  <c r="AW109" i="1"/>
  <c r="AW117" i="1"/>
  <c r="AW125" i="1"/>
  <c r="AW133" i="1"/>
  <c r="AW141" i="1"/>
  <c r="AW149" i="1"/>
  <c r="AW157" i="1"/>
  <c r="AW165" i="1"/>
  <c r="AW213" i="1"/>
  <c r="AX271" i="1"/>
  <c r="AW271" i="1"/>
  <c r="AW235" i="1"/>
  <c r="AX295" i="1"/>
  <c r="AW295" i="1"/>
  <c r="AX278" i="1"/>
  <c r="AW278" i="1"/>
  <c r="AW294" i="1"/>
  <c r="AW302" i="1"/>
  <c r="AW310" i="1"/>
  <c r="AW318" i="1"/>
  <c r="AW326" i="1"/>
  <c r="AW334" i="1"/>
  <c r="AW342" i="1"/>
  <c r="AW350" i="1"/>
  <c r="AW358" i="1"/>
  <c r="AW366" i="1"/>
  <c r="AW374" i="1"/>
  <c r="AW382" i="1"/>
  <c r="AW390" i="1"/>
  <c r="AW398" i="1"/>
  <c r="AW406" i="1"/>
  <c r="AW414" i="1"/>
  <c r="AW422" i="1"/>
  <c r="AW430" i="1"/>
  <c r="AW438" i="1"/>
  <c r="AX445" i="1"/>
  <c r="AX453" i="1"/>
  <c r="AW453" i="1"/>
  <c r="AX484" i="1"/>
  <c r="AW484" i="1"/>
  <c r="AX492" i="1"/>
  <c r="AW492" i="1"/>
  <c r="AX500" i="1"/>
  <c r="AW500" i="1"/>
  <c r="AX476" i="1"/>
  <c r="AW476" i="1"/>
  <c r="AX485" i="1"/>
  <c r="AW485" i="1"/>
  <c r="AX493" i="1"/>
  <c r="AW493" i="1"/>
  <c r="AX501" i="1"/>
  <c r="AW501" i="1"/>
  <c r="AW303" i="1"/>
  <c r="AW311" i="1"/>
  <c r="AW319" i="1"/>
  <c r="AW327" i="1"/>
  <c r="AW335" i="1"/>
  <c r="AW343" i="1"/>
  <c r="AW351" i="1"/>
  <c r="AW359" i="1"/>
  <c r="AW367" i="1"/>
  <c r="AW375" i="1"/>
  <c r="AW383" i="1"/>
  <c r="AW391" i="1"/>
  <c r="AW399" i="1"/>
  <c r="AW407" i="1"/>
  <c r="AW415" i="1"/>
  <c r="AW423" i="1"/>
  <c r="AW431" i="1"/>
  <c r="AW439" i="1"/>
  <c r="AW443" i="1"/>
  <c r="AW449" i="1"/>
  <c r="AX468" i="1"/>
  <c r="AW468" i="1"/>
  <c r="AX477" i="1"/>
  <c r="AW477" i="1"/>
  <c r="AX469" i="1"/>
  <c r="AW469" i="1"/>
  <c r="AW261" i="1"/>
  <c r="AW269" i="1"/>
  <c r="AW277" i="1"/>
  <c r="AW285" i="1"/>
  <c r="AW293" i="1"/>
  <c r="AW301" i="1"/>
  <c r="AW309" i="1"/>
  <c r="AX460" i="1"/>
  <c r="AW460" i="1"/>
  <c r="AX444" i="1"/>
  <c r="AX461" i="1"/>
  <c r="AW461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6" i="1"/>
  <c r="AW644" i="1"/>
  <c r="AX652" i="1"/>
  <c r="AW672" i="1"/>
  <c r="AX673" i="1"/>
  <c r="AW673" i="1"/>
  <c r="AX745" i="1"/>
  <c r="AW745" i="1"/>
  <c r="AX755" i="1"/>
  <c r="AX827" i="1"/>
  <c r="AW827" i="1"/>
  <c r="AX904" i="1"/>
  <c r="AW904" i="1"/>
  <c r="AX660" i="1"/>
  <c r="AX674" i="1"/>
  <c r="AX683" i="1"/>
  <c r="AX721" i="1"/>
  <c r="AW721" i="1"/>
  <c r="AX785" i="1"/>
  <c r="AW785" i="1"/>
  <c r="AX811" i="1"/>
  <c r="AW811" i="1"/>
  <c r="AX955" i="1"/>
  <c r="AW955" i="1"/>
  <c r="AX1000" i="1"/>
  <c r="AW1000" i="1"/>
  <c r="AX665" i="1"/>
  <c r="AW665" i="1"/>
  <c r="AX697" i="1"/>
  <c r="AW697" i="1"/>
  <c r="AX761" i="1"/>
  <c r="AW761" i="1"/>
  <c r="AX846" i="1"/>
  <c r="AW846" i="1"/>
  <c r="AX891" i="1"/>
  <c r="AW891" i="1"/>
  <c r="AW509" i="1"/>
  <c r="AW517" i="1"/>
  <c r="AW525" i="1"/>
  <c r="AW533" i="1"/>
  <c r="AW541" i="1"/>
  <c r="AW549" i="1"/>
  <c r="AW557" i="1"/>
  <c r="AW565" i="1"/>
  <c r="AW573" i="1"/>
  <c r="AW581" i="1"/>
  <c r="AW589" i="1"/>
  <c r="AW597" i="1"/>
  <c r="AW605" i="1"/>
  <c r="AW613" i="1"/>
  <c r="AW621" i="1"/>
  <c r="AW629" i="1"/>
  <c r="AW637" i="1"/>
  <c r="AW645" i="1"/>
  <c r="AW656" i="1"/>
  <c r="AX666" i="1"/>
  <c r="AX675" i="1"/>
  <c r="AX698" i="1"/>
  <c r="AX737" i="1"/>
  <c r="AW737" i="1"/>
  <c r="AX747" i="1"/>
  <c r="AX936" i="1"/>
  <c r="AW936" i="1"/>
  <c r="AW592" i="1"/>
  <c r="AW600" i="1"/>
  <c r="AW608" i="1"/>
  <c r="AW616" i="1"/>
  <c r="AW624" i="1"/>
  <c r="AW632" i="1"/>
  <c r="AW640" i="1"/>
  <c r="AW648" i="1"/>
  <c r="AW657" i="1"/>
  <c r="AW688" i="1"/>
  <c r="AX689" i="1"/>
  <c r="AW689" i="1"/>
  <c r="AX713" i="1"/>
  <c r="AW713" i="1"/>
  <c r="AX723" i="1"/>
  <c r="AX777" i="1"/>
  <c r="AW777" i="1"/>
  <c r="AX787" i="1"/>
  <c r="AX835" i="1"/>
  <c r="AW835" i="1"/>
  <c r="AX872" i="1"/>
  <c r="AW872" i="1"/>
  <c r="AX987" i="1"/>
  <c r="AW987" i="1"/>
  <c r="AX753" i="1"/>
  <c r="AW753" i="1"/>
  <c r="AX803" i="1"/>
  <c r="AW803" i="1"/>
  <c r="AX819" i="1"/>
  <c r="AW819" i="1"/>
  <c r="AW680" i="1"/>
  <c r="AX681" i="1"/>
  <c r="AW681" i="1"/>
  <c r="AX729" i="1"/>
  <c r="AW729" i="1"/>
  <c r="AX739" i="1"/>
  <c r="AX793" i="1"/>
  <c r="AW793" i="1"/>
  <c r="AX923" i="1"/>
  <c r="AW923" i="1"/>
  <c r="AX968" i="1"/>
  <c r="AW968" i="1"/>
  <c r="AX705" i="1"/>
  <c r="AW705" i="1"/>
  <c r="AX769" i="1"/>
  <c r="AW769" i="1"/>
  <c r="AX843" i="1"/>
  <c r="AW843" i="1"/>
  <c r="AX850" i="1"/>
  <c r="AW850" i="1"/>
  <c r="AX856" i="1"/>
  <c r="AW856" i="1"/>
  <c r="AX1019" i="1"/>
  <c r="AW1019" i="1"/>
  <c r="AW838" i="1"/>
  <c r="AX883" i="1"/>
  <c r="AW883" i="1"/>
  <c r="AX915" i="1"/>
  <c r="AW915" i="1"/>
  <c r="AX947" i="1"/>
  <c r="AW947" i="1"/>
  <c r="AX979" i="1"/>
  <c r="AW979" i="1"/>
  <c r="AX1011" i="1"/>
  <c r="AW1011" i="1"/>
  <c r="AX1035" i="1"/>
  <c r="AW1035" i="1"/>
  <c r="AW801" i="1"/>
  <c r="AW809" i="1"/>
  <c r="AW817" i="1"/>
  <c r="AW825" i="1"/>
  <c r="AW833" i="1"/>
  <c r="AW841" i="1"/>
  <c r="AW858" i="1"/>
  <c r="AW865" i="1"/>
  <c r="AW928" i="1"/>
  <c r="AW960" i="1"/>
  <c r="AW992" i="1"/>
  <c r="AW1024" i="1"/>
  <c r="AW1040" i="1"/>
  <c r="AX1051" i="1"/>
  <c r="AW1051" i="1"/>
  <c r="AW1056" i="1"/>
  <c r="AX844" i="1"/>
  <c r="AX851" i="1"/>
  <c r="AX866" i="1"/>
  <c r="AX875" i="1"/>
  <c r="AW875" i="1"/>
  <c r="AX907" i="1"/>
  <c r="AW907" i="1"/>
  <c r="AX939" i="1"/>
  <c r="AW939" i="1"/>
  <c r="AX971" i="1"/>
  <c r="AW971" i="1"/>
  <c r="AX1003" i="1"/>
  <c r="AW1003" i="1"/>
  <c r="AX867" i="1"/>
  <c r="AW867" i="1"/>
  <c r="AX1059" i="1"/>
  <c r="AW1059" i="1"/>
  <c r="AW826" i="1"/>
  <c r="AX852" i="1"/>
  <c r="AX859" i="1"/>
  <c r="AX899" i="1"/>
  <c r="AW899" i="1"/>
  <c r="AX931" i="1"/>
  <c r="AW931" i="1"/>
  <c r="AX963" i="1"/>
  <c r="AW963" i="1"/>
  <c r="AX995" i="1"/>
  <c r="AW995" i="1"/>
  <c r="AX1027" i="1"/>
  <c r="AW1027" i="1"/>
  <c r="AX1043" i="1"/>
  <c r="AW1043" i="1"/>
  <c r="AX1067" i="1"/>
  <c r="AW1067" i="1"/>
  <c r="AW1054" i="1"/>
  <c r="AW1062" i="1"/>
  <c r="AW1057" i="1"/>
  <c r="AW1065" i="1"/>
  <c r="AW876" i="1"/>
  <c r="AW884" i="1"/>
  <c r="AW892" i="1"/>
  <c r="AW900" i="1"/>
  <c r="AW908" i="1"/>
  <c r="AW916" i="1"/>
  <c r="AW924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<sst xmlns="http://schemas.openxmlformats.org/spreadsheetml/2006/main" count="1707" uniqueCount="1482">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</sst>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A68C1-315A-4C91-AB82-760B53A1DBC9}">
  <sheetPr>
    <pageSetUpPr fitToPage="1"/>
  </sheetPr>
  <dimension ref="A1:BH1069"/>
  <sheetViews>
    <sheetView showGridLines="0" tabSelected="1" zoomScale="70" zoomScaleNormal="70" workbookViewId="0">
      <pane ySplit="4" topLeftCell="A69" activePane="bottomLeft" state="frozen"/>
      <selection activeCell="AF1" sqref="AF1"/>
      <selection pane="bottomLeft" activeCell="H79" sqref="H7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3</v>
      </c>
      <c r="Y29" s="14" t="s">
        <v>530</v>
      </c>
      <c r="Z29" s="10">
        <v>4</v>
      </c>
      <c r="AA29" s="14" t="s">
        <v>531</v>
      </c>
      <c r="AB29" s="10">
        <v>5</v>
      </c>
      <c r="AC29" s="14" t="s">
        <v>532</v>
      </c>
      <c r="AD29" s="10">
        <v>5</v>
      </c>
      <c r="AE29" s="12" t="s">
        <v>533</v>
      </c>
      <c r="AF29" s="10">
        <v>5</v>
      </c>
      <c r="AG29" s="12" t="s">
        <v>534</v>
      </c>
      <c r="AH29" s="10">
        <v>3</v>
      </c>
      <c r="AI29" s="12" t="s">
        <v>535</v>
      </c>
      <c r="AJ29" s="10">
        <v>7</v>
      </c>
      <c r="AK29" s="14" t="s">
        <v>536</v>
      </c>
      <c r="AL29" s="10">
        <v>5</v>
      </c>
      <c r="AM29" s="12" t="s">
        <v>478</v>
      </c>
      <c r="AN29" s="10">
        <v>5</v>
      </c>
      <c r="AO29" s="12" t="s">
        <v>537</v>
      </c>
      <c r="AP29" s="10" t="s">
        <v>76</v>
      </c>
      <c r="AQ29" s="12" t="s">
        <v>402</v>
      </c>
      <c r="AR29" s="10"/>
      <c r="AS29" s="13">
        <f t="shared" si="0"/>
        <v>83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556</v>
      </c>
      <c r="G31" s="11" t="s">
        <v>557</v>
      </c>
      <c r="H31" s="10">
        <v>8</v>
      </c>
      <c r="I31" s="14" t="s">
        <v>558</v>
      </c>
      <c r="J31" s="10">
        <v>5</v>
      </c>
      <c r="K31" s="14" t="s">
        <v>559</v>
      </c>
      <c r="L31" s="10">
        <v>5</v>
      </c>
      <c r="M31" s="14" t="s">
        <v>560</v>
      </c>
      <c r="N31" s="10">
        <v>5</v>
      </c>
      <c r="O31" s="14" t="s">
        <v>561</v>
      </c>
      <c r="P31" s="10">
        <v>5</v>
      </c>
      <c r="Q31" s="14" t="s">
        <v>562</v>
      </c>
      <c r="R31" s="10">
        <v>2</v>
      </c>
      <c r="S31" s="12" t="s">
        <v>563</v>
      </c>
      <c r="T31" s="10">
        <v>4</v>
      </c>
      <c r="U31" s="14" t="s">
        <v>564</v>
      </c>
      <c r="V31" s="10">
        <v>4</v>
      </c>
      <c r="W31" s="14" t="s">
        <v>565</v>
      </c>
      <c r="X31" s="10">
        <v>3</v>
      </c>
      <c r="Y31" s="14" t="s">
        <v>566</v>
      </c>
      <c r="Z31" s="10">
        <v>1</v>
      </c>
      <c r="AA31" s="12" t="s">
        <v>567</v>
      </c>
      <c r="AB31" s="10">
        <v>5</v>
      </c>
      <c r="AC31" s="14" t="s">
        <v>568</v>
      </c>
      <c r="AD31" s="10">
        <v>5</v>
      </c>
      <c r="AE31" s="12" t="s">
        <v>569</v>
      </c>
      <c r="AF31" s="10">
        <v>3</v>
      </c>
      <c r="AG31" s="12" t="s">
        <v>570</v>
      </c>
      <c r="AH31" s="10">
        <v>3</v>
      </c>
      <c r="AI31" s="12" t="s">
        <v>571</v>
      </c>
      <c r="AJ31" s="10">
        <v>5</v>
      </c>
      <c r="AK31" s="14" t="s">
        <v>572</v>
      </c>
      <c r="AL31" s="10">
        <v>5</v>
      </c>
      <c r="AM31" s="12" t="s">
        <v>573</v>
      </c>
      <c r="AN31" s="10">
        <v>3</v>
      </c>
      <c r="AO31" s="14" t="s">
        <v>572</v>
      </c>
      <c r="AP31" s="10" t="s">
        <v>76</v>
      </c>
      <c r="AQ31" s="12" t="s">
        <v>574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14" t="s">
        <v>671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591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605</v>
      </c>
      <c r="AD54" s="10">
        <v>5</v>
      </c>
      <c r="AE54" s="12" t="s">
        <v>640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6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6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4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1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630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4" t="s">
        <v>1268</v>
      </c>
      <c r="T68" s="10">
        <v>3</v>
      </c>
      <c r="U68" s="12" t="s">
        <v>1269</v>
      </c>
      <c r="V68" s="10">
        <v>7</v>
      </c>
      <c r="W68" s="1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570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7" customFormat="1" ht="24.5" customHeight="1">
      <c r="A77" s="18">
        <v>46105.812345717597</v>
      </c>
      <c r="B77" s="19" t="s">
        <v>876</v>
      </c>
      <c r="C77" s="20">
        <v>46105</v>
      </c>
      <c r="D77" s="21">
        <v>0.45902777777777798</v>
      </c>
      <c r="E77" s="21">
        <v>0.46388888888888902</v>
      </c>
      <c r="F77" s="22" t="s">
        <v>1429</v>
      </c>
      <c r="G77" s="23" t="s">
        <v>1430</v>
      </c>
      <c r="H77" s="22">
        <v>8</v>
      </c>
      <c r="I77" s="24" t="s">
        <v>1431</v>
      </c>
      <c r="J77" s="22">
        <v>4</v>
      </c>
      <c r="K77" s="24" t="s">
        <v>1432</v>
      </c>
      <c r="L77" s="22">
        <v>5</v>
      </c>
      <c r="M77" s="24" t="s">
        <v>1433</v>
      </c>
      <c r="N77" s="22">
        <v>3</v>
      </c>
      <c r="O77" s="24" t="s">
        <v>1434</v>
      </c>
      <c r="P77" s="22">
        <v>3</v>
      </c>
      <c r="Q77" s="24" t="s">
        <v>1435</v>
      </c>
      <c r="R77" s="22">
        <v>3</v>
      </c>
      <c r="S77" s="24" t="s">
        <v>1436</v>
      </c>
      <c r="T77" s="22">
        <v>2</v>
      </c>
      <c r="U77" s="25" t="s">
        <v>1437</v>
      </c>
      <c r="V77" s="22">
        <v>4</v>
      </c>
      <c r="W77" s="25" t="s">
        <v>1438</v>
      </c>
      <c r="X77" s="22">
        <v>4</v>
      </c>
      <c r="Y77" s="24" t="s">
        <v>1439</v>
      </c>
      <c r="Z77" s="22">
        <v>3</v>
      </c>
      <c r="AA77" s="24" t="s">
        <v>1440</v>
      </c>
      <c r="AB77" s="22">
        <v>4</v>
      </c>
      <c r="AC77" s="24" t="s">
        <v>1441</v>
      </c>
      <c r="AD77" s="22">
        <v>5</v>
      </c>
      <c r="AE77" s="24" t="s">
        <v>1442</v>
      </c>
      <c r="AF77" s="22">
        <v>5</v>
      </c>
      <c r="AG77" s="24" t="s">
        <v>1443</v>
      </c>
      <c r="AH77" s="22">
        <v>4</v>
      </c>
      <c r="AI77" s="24" t="s">
        <v>1444</v>
      </c>
      <c r="AJ77" s="22">
        <v>6</v>
      </c>
      <c r="AK77" s="24" t="s">
        <v>1445</v>
      </c>
      <c r="AL77" s="22">
        <v>2</v>
      </c>
      <c r="AM77" s="24" t="s">
        <v>1446</v>
      </c>
      <c r="AN77" s="22">
        <v>5</v>
      </c>
      <c r="AO77" s="24" t="s">
        <v>1447</v>
      </c>
      <c r="AP77" s="22" t="s">
        <v>76</v>
      </c>
      <c r="AQ77" s="24" t="s">
        <v>1448</v>
      </c>
      <c r="AR77" s="22"/>
      <c r="AS77" s="26">
        <f t="shared" si="9"/>
        <v>70</v>
      </c>
      <c r="AT77" s="20">
        <f t="shared" si="10"/>
        <v>46082</v>
      </c>
      <c r="AU77" s="22" t="str">
        <f t="shared" si="11"/>
        <v>March 2026</v>
      </c>
      <c r="AV77" s="20">
        <f t="shared" si="12"/>
        <v>46104</v>
      </c>
      <c r="AW77" s="20">
        <f t="shared" si="13"/>
        <v>46110</v>
      </c>
      <c r="AX77" s="22" t="str">
        <f t="shared" si="14"/>
        <v>23/03/2026 - 29/03/2026</v>
      </c>
      <c r="AY77" s="22">
        <f>IF(B77="","",COUNTIFS($B$5:B77,B77,$AT$5:AT77,AT77))</f>
        <v>5</v>
      </c>
      <c r="AZ77" s="22">
        <f>IF(B77="","",COUNTIFS($B$5:B77,B77,$AV$5:AV77,AV77))</f>
        <v>4</v>
      </c>
      <c r="BA77" s="22" t="str">
        <f t="shared" si="15"/>
        <v>05|Krivut Vongkampan|20260301</v>
      </c>
      <c r="BB77" s="22" t="str">
        <f t="shared" si="16"/>
        <v>04|Krivut Vongkampan|20260323</v>
      </c>
      <c r="BC77" s="22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5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89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28"/>
      <c r="B80" s="29"/>
      <c r="C80" s="30"/>
      <c r="D80" s="31"/>
      <c r="E80" s="31"/>
      <c r="F80" s="29"/>
      <c r="G80" s="29"/>
      <c r="H80" s="29"/>
      <c r="I80" s="7"/>
      <c r="J80" s="29"/>
      <c r="K80" s="7"/>
      <c r="L80" s="29"/>
      <c r="M80" s="7"/>
      <c r="N80" s="29"/>
      <c r="O80" s="7"/>
      <c r="P80" s="29"/>
      <c r="Q80" s="7"/>
      <c r="R80" s="29"/>
      <c r="S80" s="7"/>
      <c r="T80" s="29"/>
      <c r="U80" s="7"/>
      <c r="V80" s="29"/>
      <c r="W80" s="7"/>
      <c r="X80" s="29"/>
      <c r="Y80" s="7"/>
      <c r="Z80" s="29"/>
      <c r="AA80" s="7"/>
      <c r="AB80" s="29"/>
      <c r="AC80" s="7"/>
      <c r="AD80" s="29"/>
      <c r="AE80" s="7"/>
      <c r="AF80" s="29"/>
      <c r="AG80" s="7"/>
      <c r="AH80" s="29"/>
      <c r="AI80" s="7"/>
      <c r="AJ80" s="29"/>
      <c r="AK80" s="7"/>
      <c r="AL80" s="29"/>
      <c r="AM80" s="7"/>
      <c r="AN80" s="29"/>
      <c r="AO80" s="7"/>
      <c r="AP80" s="29"/>
      <c r="AQ80" s="7"/>
      <c r="AR80" s="29"/>
      <c r="AS80" s="32">
        <f t="shared" si="9"/>
        <v>0</v>
      </c>
      <c r="AT80" s="30" t="str">
        <f t="shared" si="10"/>
        <v/>
      </c>
      <c r="AU80" s="29" t="str">
        <f t="shared" si="11"/>
        <v/>
      </c>
      <c r="AV80" s="30" t="str">
        <f t="shared" si="12"/>
        <v/>
      </c>
      <c r="AW80" s="30" t="str">
        <f t="shared" si="13"/>
        <v/>
      </c>
      <c r="AX80" s="29" t="str">
        <f t="shared" si="14"/>
        <v/>
      </c>
      <c r="AY80" s="29" t="str">
        <f>IF(B80="","",COUNTIFS($B$5:B80,B80,$AT$5:AT80,AT80))</f>
        <v/>
      </c>
      <c r="AZ80" s="29" t="str">
        <f>IF(B80="","",COUNTIFS($B$5:B80,B80,$AV$5:AV80,AV80))</f>
        <v/>
      </c>
      <c r="BA80" s="29" t="str">
        <f t="shared" si="15"/>
        <v/>
      </c>
      <c r="BB80" s="29" t="str">
        <f t="shared" si="16"/>
        <v/>
      </c>
      <c r="BC80" s="29">
        <f t="shared" si="17"/>
        <v>0</v>
      </c>
    </row>
    <row r="81" spans="1:55" ht="15" customHeight="1">
      <c r="A81" s="28"/>
      <c r="B81" s="29"/>
      <c r="C81" s="30"/>
      <c r="D81" s="31"/>
      <c r="E81" s="31"/>
      <c r="F81" s="29"/>
      <c r="G81" s="29"/>
      <c r="H81" s="29"/>
      <c r="I81" s="7"/>
      <c r="J81" s="29"/>
      <c r="K81" s="7"/>
      <c r="L81" s="29"/>
      <c r="M81" s="7"/>
      <c r="N81" s="29"/>
      <c r="O81" s="7"/>
      <c r="P81" s="29"/>
      <c r="Q81" s="7"/>
      <c r="R81" s="29"/>
      <c r="S81" s="7"/>
      <c r="T81" s="29"/>
      <c r="U81" s="7"/>
      <c r="V81" s="29"/>
      <c r="W81" s="7"/>
      <c r="X81" s="29"/>
      <c r="Y81" s="7"/>
      <c r="Z81" s="29"/>
      <c r="AA81" s="7"/>
      <c r="AB81" s="29"/>
      <c r="AC81" s="7"/>
      <c r="AD81" s="29"/>
      <c r="AE81" s="7"/>
      <c r="AF81" s="29"/>
      <c r="AG81" s="7"/>
      <c r="AH81" s="29"/>
      <c r="AI81" s="7"/>
      <c r="AJ81" s="29"/>
      <c r="AK81" s="7"/>
      <c r="AL81" s="29"/>
      <c r="AM81" s="7"/>
      <c r="AN81" s="29"/>
      <c r="AO81" s="7"/>
      <c r="AP81" s="29"/>
      <c r="AQ81" s="7"/>
      <c r="AR81" s="29"/>
      <c r="AS81" s="32">
        <f t="shared" si="9"/>
        <v>0</v>
      </c>
      <c r="AT81" s="30" t="str">
        <f t="shared" si="10"/>
        <v/>
      </c>
      <c r="AU81" s="29" t="str">
        <f t="shared" si="11"/>
        <v/>
      </c>
      <c r="AV81" s="30" t="str">
        <f t="shared" si="12"/>
        <v/>
      </c>
      <c r="AW81" s="30" t="str">
        <f t="shared" si="13"/>
        <v/>
      </c>
      <c r="AX81" s="29" t="str">
        <f t="shared" si="14"/>
        <v/>
      </c>
      <c r="AY81" s="29" t="str">
        <f>IF(B81="","",COUNTIFS($B$5:B81,B81,$AT$5:AT81,AT81))</f>
        <v/>
      </c>
      <c r="AZ81" s="29" t="str">
        <f>IF(B81="","",COUNTIFS($B$5:B81,B81,$AV$5:AV81,AV81))</f>
        <v/>
      </c>
      <c r="BA81" s="29" t="str">
        <f t="shared" si="15"/>
        <v/>
      </c>
      <c r="BB81" s="29" t="str">
        <f t="shared" si="16"/>
        <v/>
      </c>
      <c r="BC81" s="29">
        <f t="shared" si="17"/>
        <v>0</v>
      </c>
    </row>
    <row r="82" spans="1:55" ht="15" customHeight="1">
      <c r="A82" s="28"/>
      <c r="B82" s="29"/>
      <c r="C82" s="30"/>
      <c r="D82" s="31"/>
      <c r="E82" s="31"/>
      <c r="F82" s="29"/>
      <c r="G82" s="29"/>
      <c r="H82" s="29"/>
      <c r="I82" s="7"/>
      <c r="J82" s="29"/>
      <c r="K82" s="7"/>
      <c r="L82" s="29"/>
      <c r="M82" s="7"/>
      <c r="N82" s="29"/>
      <c r="O82" s="7"/>
      <c r="P82" s="29"/>
      <c r="Q82" s="7"/>
      <c r="R82" s="29"/>
      <c r="S82" s="7"/>
      <c r="T82" s="29"/>
      <c r="U82" s="7"/>
      <c r="V82" s="29"/>
      <c r="W82" s="7"/>
      <c r="X82" s="29"/>
      <c r="Y82" s="7"/>
      <c r="Z82" s="29"/>
      <c r="AA82" s="7"/>
      <c r="AB82" s="29"/>
      <c r="AC82" s="7"/>
      <c r="AD82" s="29"/>
      <c r="AE82" s="7"/>
      <c r="AF82" s="29"/>
      <c r="AG82" s="7"/>
      <c r="AH82" s="29"/>
      <c r="AI82" s="7"/>
      <c r="AJ82" s="29"/>
      <c r="AK82" s="7"/>
      <c r="AL82" s="29"/>
      <c r="AM82" s="7"/>
      <c r="AN82" s="29"/>
      <c r="AO82" s="7"/>
      <c r="AP82" s="29"/>
      <c r="AQ82" s="7"/>
      <c r="AR82" s="29"/>
      <c r="AS82" s="32">
        <f t="shared" si="9"/>
        <v>0</v>
      </c>
      <c r="AT82" s="30" t="str">
        <f t="shared" si="10"/>
        <v/>
      </c>
      <c r="AU82" s="29" t="str">
        <f t="shared" si="11"/>
        <v/>
      </c>
      <c r="AV82" s="30" t="str">
        <f t="shared" si="12"/>
        <v/>
      </c>
      <c r="AW82" s="30" t="str">
        <f t="shared" si="13"/>
        <v/>
      </c>
      <c r="AX82" s="29" t="str">
        <f t="shared" si="14"/>
        <v/>
      </c>
      <c r="AY82" s="29" t="str">
        <f>IF(B82="","",COUNTIFS($B$5:B82,B82,$AT$5:AT82,AT82))</f>
        <v/>
      </c>
      <c r="AZ82" s="29" t="str">
        <f>IF(B82="","",COUNTIFS($B$5:B82,B82,$AV$5:AV82,AV82))</f>
        <v/>
      </c>
      <c r="BA82" s="29" t="str">
        <f t="shared" si="15"/>
        <v/>
      </c>
      <c r="BB82" s="29" t="str">
        <f t="shared" si="16"/>
        <v/>
      </c>
      <c r="BC82" s="29">
        <f t="shared" si="17"/>
        <v>0</v>
      </c>
    </row>
    <row r="83" spans="1:55" ht="15" customHeight="1">
      <c r="A83" s="28"/>
      <c r="B83" s="29"/>
      <c r="C83" s="30"/>
      <c r="D83" s="31"/>
      <c r="E83" s="31"/>
      <c r="F83" s="29"/>
      <c r="G83" s="29"/>
      <c r="H83" s="29"/>
      <c r="I83" s="7"/>
      <c r="J83" s="29"/>
      <c r="K83" s="7"/>
      <c r="L83" s="29"/>
      <c r="M83" s="7"/>
      <c r="N83" s="29"/>
      <c r="O83" s="7"/>
      <c r="P83" s="29"/>
      <c r="Q83" s="7"/>
      <c r="R83" s="29"/>
      <c r="S83" s="7"/>
      <c r="T83" s="29"/>
      <c r="U83" s="7"/>
      <c r="V83" s="29"/>
      <c r="W83" s="7"/>
      <c r="X83" s="29"/>
      <c r="Y83" s="7"/>
      <c r="Z83" s="29"/>
      <c r="AA83" s="7"/>
      <c r="AB83" s="29"/>
      <c r="AC83" s="7"/>
      <c r="AD83" s="29"/>
      <c r="AE83" s="7"/>
      <c r="AF83" s="29"/>
      <c r="AG83" s="7"/>
      <c r="AH83" s="29"/>
      <c r="AI83" s="7"/>
      <c r="AJ83" s="29"/>
      <c r="AK83" s="7"/>
      <c r="AL83" s="29"/>
      <c r="AM83" s="7"/>
      <c r="AN83" s="29"/>
      <c r="AO83" s="7"/>
      <c r="AP83" s="29"/>
      <c r="AQ83" s="7"/>
      <c r="AR83" s="29"/>
      <c r="AS83" s="32">
        <f t="shared" si="9"/>
        <v>0</v>
      </c>
      <c r="AT83" s="30" t="str">
        <f t="shared" si="10"/>
        <v/>
      </c>
      <c r="AU83" s="29" t="str">
        <f t="shared" si="11"/>
        <v/>
      </c>
      <c r="AV83" s="30" t="str">
        <f t="shared" si="12"/>
        <v/>
      </c>
      <c r="AW83" s="30" t="str">
        <f t="shared" si="13"/>
        <v/>
      </c>
      <c r="AX83" s="29" t="str">
        <f t="shared" si="14"/>
        <v/>
      </c>
      <c r="AY83" s="29" t="str">
        <f>IF(B83="","",COUNTIFS($B$5:B83,B83,$AT$5:AT83,AT83))</f>
        <v/>
      </c>
      <c r="AZ83" s="29" t="str">
        <f>IF(B83="","",COUNTIFS($B$5:B83,B83,$AV$5:AV83,AV83))</f>
        <v/>
      </c>
      <c r="BA83" s="29" t="str">
        <f t="shared" si="15"/>
        <v/>
      </c>
      <c r="BB83" s="29" t="str">
        <f t="shared" si="16"/>
        <v/>
      </c>
      <c r="BC83" s="29">
        <f t="shared" si="17"/>
        <v>0</v>
      </c>
    </row>
    <row r="84" spans="1:55" ht="15" customHeight="1">
      <c r="A84" s="28"/>
      <c r="B84" s="29"/>
      <c r="C84" s="30"/>
      <c r="D84" s="31"/>
      <c r="E84" s="31"/>
      <c r="F84" s="29"/>
      <c r="G84" s="29"/>
      <c r="H84" s="29"/>
      <c r="I84" s="7"/>
      <c r="J84" s="29"/>
      <c r="K84" s="7"/>
      <c r="L84" s="29"/>
      <c r="M84" s="7"/>
      <c r="N84" s="29"/>
      <c r="O84" s="7"/>
      <c r="P84" s="29"/>
      <c r="Q84" s="7"/>
      <c r="R84" s="29"/>
      <c r="S84" s="7"/>
      <c r="T84" s="29"/>
      <c r="U84" s="7"/>
      <c r="V84" s="29"/>
      <c r="W84" s="7"/>
      <c r="X84" s="29"/>
      <c r="Y84" s="7"/>
      <c r="Z84" s="29"/>
      <c r="AA84" s="7"/>
      <c r="AB84" s="29"/>
      <c r="AC84" s="7"/>
      <c r="AD84" s="29"/>
      <c r="AE84" s="7"/>
      <c r="AF84" s="29"/>
      <c r="AG84" s="7"/>
      <c r="AH84" s="29"/>
      <c r="AI84" s="7"/>
      <c r="AJ84" s="29"/>
      <c r="AK84" s="7"/>
      <c r="AL84" s="29"/>
      <c r="AM84" s="7"/>
      <c r="AN84" s="29"/>
      <c r="AO84" s="7"/>
      <c r="AP84" s="29"/>
      <c r="AQ84" s="7"/>
      <c r="AR84" s="29"/>
      <c r="AS84" s="32">
        <f t="shared" si="9"/>
        <v>0</v>
      </c>
      <c r="AT84" s="30" t="str">
        <f t="shared" si="10"/>
        <v/>
      </c>
      <c r="AU84" s="29" t="str">
        <f t="shared" si="11"/>
        <v/>
      </c>
      <c r="AV84" s="30" t="str">
        <f t="shared" si="12"/>
        <v/>
      </c>
      <c r="AW84" s="30" t="str">
        <f t="shared" si="13"/>
        <v/>
      </c>
      <c r="AX84" s="29" t="str">
        <f t="shared" si="14"/>
        <v/>
      </c>
      <c r="AY84" s="29" t="str">
        <f>IF(B84="","",COUNTIFS($B$5:B84,B84,$AT$5:AT84,AT84))</f>
        <v/>
      </c>
      <c r="AZ84" s="29" t="str">
        <f>IF(B84="","",COUNTIFS($B$5:B84,B84,$AV$5:AV84,AV84))</f>
        <v/>
      </c>
      <c r="BA84" s="29" t="str">
        <f t="shared" si="15"/>
        <v/>
      </c>
      <c r="BB84" s="29" t="str">
        <f t="shared" si="16"/>
        <v/>
      </c>
      <c r="BC84" s="29">
        <f t="shared" si="17"/>
        <v>0</v>
      </c>
    </row>
    <row r="85" spans="1:55" ht="15" customHeight="1">
      <c r="A85" s="28"/>
      <c r="B85" s="29"/>
      <c r="C85" s="30"/>
      <c r="D85" s="31"/>
      <c r="E85" s="31"/>
      <c r="F85" s="29"/>
      <c r="G85" s="29"/>
      <c r="H85" s="29"/>
      <c r="I85" s="7"/>
      <c r="J85" s="29"/>
      <c r="K85" s="7"/>
      <c r="L85" s="29"/>
      <c r="M85" s="7"/>
      <c r="N85" s="29"/>
      <c r="O85" s="7"/>
      <c r="P85" s="29"/>
      <c r="Q85" s="7"/>
      <c r="R85" s="29"/>
      <c r="S85" s="7"/>
      <c r="T85" s="29"/>
      <c r="U85" s="7"/>
      <c r="V85" s="29"/>
      <c r="W85" s="7"/>
      <c r="X85" s="29"/>
      <c r="Y85" s="7"/>
      <c r="Z85" s="29"/>
      <c r="AA85" s="7"/>
      <c r="AB85" s="29"/>
      <c r="AC85" s="7"/>
      <c r="AD85" s="29"/>
      <c r="AE85" s="7"/>
      <c r="AF85" s="29"/>
      <c r="AG85" s="7"/>
      <c r="AH85" s="29"/>
      <c r="AI85" s="7"/>
      <c r="AJ85" s="29"/>
      <c r="AK85" s="7"/>
      <c r="AL85" s="29"/>
      <c r="AM85" s="7"/>
      <c r="AN85" s="29"/>
      <c r="AO85" s="7"/>
      <c r="AP85" s="29"/>
      <c r="AQ85" s="7"/>
      <c r="AR85" s="29"/>
      <c r="AS85" s="32">
        <f t="shared" si="9"/>
        <v>0</v>
      </c>
      <c r="AT85" s="30" t="str">
        <f t="shared" si="10"/>
        <v/>
      </c>
      <c r="AU85" s="29" t="str">
        <f t="shared" si="11"/>
        <v/>
      </c>
      <c r="AV85" s="30" t="str">
        <f t="shared" si="12"/>
        <v/>
      </c>
      <c r="AW85" s="30" t="str">
        <f t="shared" si="13"/>
        <v/>
      </c>
      <c r="AX85" s="29" t="str">
        <f t="shared" si="14"/>
        <v/>
      </c>
      <c r="AY85" s="29" t="str">
        <f>IF(B85="","",COUNTIFS($B$5:B85,B85,$AT$5:AT85,AT85))</f>
        <v/>
      </c>
      <c r="AZ85" s="29" t="str">
        <f>IF(B85="","",COUNTIFS($B$5:B85,B85,$AV$5:AV85,AV85))</f>
        <v/>
      </c>
      <c r="BA85" s="29" t="str">
        <f t="shared" si="15"/>
        <v/>
      </c>
      <c r="BB85" s="29" t="str">
        <f t="shared" si="16"/>
        <v/>
      </c>
      <c r="BC85" s="29">
        <f t="shared" si="17"/>
        <v>0</v>
      </c>
    </row>
    <row r="86" spans="1:55" ht="15" customHeight="1">
      <c r="A86" s="28"/>
      <c r="B86" s="29"/>
      <c r="C86" s="30"/>
      <c r="D86" s="31"/>
      <c r="E86" s="31"/>
      <c r="F86" s="29"/>
      <c r="G86" s="29"/>
      <c r="H86" s="29"/>
      <c r="I86" s="7"/>
      <c r="J86" s="29"/>
      <c r="K86" s="7"/>
      <c r="L86" s="29"/>
      <c r="M86" s="7"/>
      <c r="N86" s="29"/>
      <c r="O86" s="7"/>
      <c r="P86" s="29"/>
      <c r="Q86" s="7"/>
      <c r="R86" s="29"/>
      <c r="S86" s="7"/>
      <c r="T86" s="29"/>
      <c r="U86" s="7"/>
      <c r="V86" s="29"/>
      <c r="W86" s="7"/>
      <c r="X86" s="29"/>
      <c r="Y86" s="7"/>
      <c r="Z86" s="29"/>
      <c r="AA86" s="7"/>
      <c r="AB86" s="29"/>
      <c r="AC86" s="7"/>
      <c r="AD86" s="29"/>
      <c r="AE86" s="7"/>
      <c r="AF86" s="29"/>
      <c r="AG86" s="7"/>
      <c r="AH86" s="29"/>
      <c r="AI86" s="7"/>
      <c r="AJ86" s="29"/>
      <c r="AK86" s="7"/>
      <c r="AL86" s="29"/>
      <c r="AM86" s="7"/>
      <c r="AN86" s="29"/>
      <c r="AO86" s="7"/>
      <c r="AP86" s="29"/>
      <c r="AQ86" s="7"/>
      <c r="AR86" s="29"/>
      <c r="AS86" s="32">
        <f t="shared" si="9"/>
        <v>0</v>
      </c>
      <c r="AT86" s="30" t="str">
        <f t="shared" si="10"/>
        <v/>
      </c>
      <c r="AU86" s="29" t="str">
        <f t="shared" si="11"/>
        <v/>
      </c>
      <c r="AV86" s="30" t="str">
        <f t="shared" si="12"/>
        <v/>
      </c>
      <c r="AW86" s="30" t="str">
        <f t="shared" si="13"/>
        <v/>
      </c>
      <c r="AX86" s="29" t="str">
        <f t="shared" si="14"/>
        <v/>
      </c>
      <c r="AY86" s="29" t="str">
        <f>IF(B86="","",COUNTIFS($B$5:B86,B86,$AT$5:AT86,AT86))</f>
        <v/>
      </c>
      <c r="AZ86" s="29" t="str">
        <f>IF(B86="","",COUNTIFS($B$5:B86,B86,$AV$5:AV86,AV86))</f>
        <v/>
      </c>
      <c r="BA86" s="29" t="str">
        <f t="shared" si="15"/>
        <v/>
      </c>
      <c r="BB86" s="29" t="str">
        <f t="shared" si="16"/>
        <v/>
      </c>
      <c r="BC86" s="29">
        <f t="shared" si="17"/>
        <v>0</v>
      </c>
    </row>
    <row r="87" spans="1:55" ht="15" customHeight="1">
      <c r="A87" s="28"/>
      <c r="B87" s="29"/>
      <c r="C87" s="30"/>
      <c r="D87" s="31"/>
      <c r="E87" s="31"/>
      <c r="F87" s="29"/>
      <c r="G87" s="29"/>
      <c r="H87" s="29"/>
      <c r="I87" s="7"/>
      <c r="J87" s="29"/>
      <c r="K87" s="7"/>
      <c r="L87" s="29"/>
      <c r="M87" s="7"/>
      <c r="N87" s="29"/>
      <c r="O87" s="7"/>
      <c r="P87" s="29"/>
      <c r="Q87" s="7"/>
      <c r="R87" s="29"/>
      <c r="S87" s="7"/>
      <c r="T87" s="29"/>
      <c r="U87" s="7"/>
      <c r="V87" s="29"/>
      <c r="W87" s="7"/>
      <c r="X87" s="29"/>
      <c r="Y87" s="7"/>
      <c r="Z87" s="29"/>
      <c r="AA87" s="7"/>
      <c r="AB87" s="29"/>
      <c r="AC87" s="7"/>
      <c r="AD87" s="29"/>
      <c r="AE87" s="7"/>
      <c r="AF87" s="29"/>
      <c r="AG87" s="7"/>
      <c r="AH87" s="29"/>
      <c r="AI87" s="7"/>
      <c r="AJ87" s="29"/>
      <c r="AK87" s="7"/>
      <c r="AL87" s="29"/>
      <c r="AM87" s="7"/>
      <c r="AN87" s="29"/>
      <c r="AO87" s="7"/>
      <c r="AP87" s="29"/>
      <c r="AQ87" s="7"/>
      <c r="AR87" s="29"/>
      <c r="AS87" s="32">
        <f t="shared" si="9"/>
        <v>0</v>
      </c>
      <c r="AT87" s="30" t="str">
        <f t="shared" si="10"/>
        <v/>
      </c>
      <c r="AU87" s="29" t="str">
        <f t="shared" si="11"/>
        <v/>
      </c>
      <c r="AV87" s="30" t="str">
        <f t="shared" si="12"/>
        <v/>
      </c>
      <c r="AW87" s="30" t="str">
        <f t="shared" si="13"/>
        <v/>
      </c>
      <c r="AX87" s="29" t="str">
        <f t="shared" si="14"/>
        <v/>
      </c>
      <c r="AY87" s="29" t="str">
        <f>IF(B87="","",COUNTIFS($B$5:B87,B87,$AT$5:AT87,AT87))</f>
        <v/>
      </c>
      <c r="AZ87" s="29" t="str">
        <f>IF(B87="","",COUNTIFS($B$5:B87,B87,$AV$5:AV87,AV87))</f>
        <v/>
      </c>
      <c r="BA87" s="29" t="str">
        <f t="shared" si="15"/>
        <v/>
      </c>
      <c r="BB87" s="29" t="str">
        <f t="shared" si="16"/>
        <v/>
      </c>
      <c r="BC87" s="29">
        <f t="shared" si="17"/>
        <v>0</v>
      </c>
    </row>
    <row r="88" spans="1:55" ht="15" customHeight="1">
      <c r="A88" s="28"/>
      <c r="B88" s="29"/>
      <c r="C88" s="30"/>
      <c r="D88" s="31"/>
      <c r="E88" s="31"/>
      <c r="F88" s="29"/>
      <c r="G88" s="29"/>
      <c r="H88" s="29"/>
      <c r="I88" s="7"/>
      <c r="J88" s="29"/>
      <c r="K88" s="7"/>
      <c r="L88" s="29"/>
      <c r="M88" s="7"/>
      <c r="N88" s="29"/>
      <c r="O88" s="7"/>
      <c r="P88" s="29"/>
      <c r="Q88" s="7"/>
      <c r="R88" s="29"/>
      <c r="S88" s="7"/>
      <c r="T88" s="29"/>
      <c r="U88" s="7"/>
      <c r="V88" s="29"/>
      <c r="W88" s="7"/>
      <c r="X88" s="29"/>
      <c r="Y88" s="7"/>
      <c r="Z88" s="29"/>
      <c r="AA88" s="7"/>
      <c r="AB88" s="29"/>
      <c r="AC88" s="7"/>
      <c r="AD88" s="29"/>
      <c r="AE88" s="7"/>
      <c r="AF88" s="29"/>
      <c r="AG88" s="7"/>
      <c r="AH88" s="29"/>
      <c r="AI88" s="7"/>
      <c r="AJ88" s="29"/>
      <c r="AK88" s="7"/>
      <c r="AL88" s="29"/>
      <c r="AM88" s="7"/>
      <c r="AN88" s="29"/>
      <c r="AO88" s="7"/>
      <c r="AP88" s="29"/>
      <c r="AQ88" s="7"/>
      <c r="AR88" s="29"/>
      <c r="AS88" s="32">
        <f t="shared" si="9"/>
        <v>0</v>
      </c>
      <c r="AT88" s="30" t="str">
        <f t="shared" si="10"/>
        <v/>
      </c>
      <c r="AU88" s="29" t="str">
        <f t="shared" si="11"/>
        <v/>
      </c>
      <c r="AV88" s="30" t="str">
        <f t="shared" si="12"/>
        <v/>
      </c>
      <c r="AW88" s="30" t="str">
        <f t="shared" si="13"/>
        <v/>
      </c>
      <c r="AX88" s="29" t="str">
        <f t="shared" si="14"/>
        <v/>
      </c>
      <c r="AY88" s="29" t="str">
        <f>IF(B88="","",COUNTIFS($B$5:B88,B88,$AT$5:AT88,AT88))</f>
        <v/>
      </c>
      <c r="AZ88" s="29" t="str">
        <f>IF(B88="","",COUNTIFS($B$5:B88,B88,$AV$5:AV88,AV88))</f>
        <v/>
      </c>
      <c r="BA88" s="29" t="str">
        <f t="shared" si="15"/>
        <v/>
      </c>
      <c r="BB88" s="29" t="str">
        <f t="shared" si="16"/>
        <v/>
      </c>
      <c r="BC88" s="29">
        <f t="shared" si="17"/>
        <v>0</v>
      </c>
    </row>
    <row r="89" spans="1:55" ht="15" customHeight="1">
      <c r="A89" s="28"/>
      <c r="B89" s="29"/>
      <c r="C89" s="30"/>
      <c r="D89" s="31"/>
      <c r="E89" s="31"/>
      <c r="F89" s="29"/>
      <c r="G89" s="29"/>
      <c r="H89" s="29"/>
      <c r="I89" s="7"/>
      <c r="J89" s="29"/>
      <c r="K89" s="7"/>
      <c r="L89" s="29"/>
      <c r="M89" s="7"/>
      <c r="N89" s="29"/>
      <c r="O89" s="7"/>
      <c r="P89" s="29"/>
      <c r="Q89" s="7"/>
      <c r="R89" s="29"/>
      <c r="S89" s="7"/>
      <c r="T89" s="29"/>
      <c r="U89" s="7"/>
      <c r="V89" s="29"/>
      <c r="W89" s="7"/>
      <c r="X89" s="29"/>
      <c r="Y89" s="7"/>
      <c r="Z89" s="29"/>
      <c r="AA89" s="7"/>
      <c r="AB89" s="29"/>
      <c r="AC89" s="7"/>
      <c r="AD89" s="29"/>
      <c r="AE89" s="7"/>
      <c r="AF89" s="29"/>
      <c r="AG89" s="7"/>
      <c r="AH89" s="29"/>
      <c r="AI89" s="7"/>
      <c r="AJ89" s="29"/>
      <c r="AK89" s="7"/>
      <c r="AL89" s="29"/>
      <c r="AM89" s="7"/>
      <c r="AN89" s="29"/>
      <c r="AO89" s="7"/>
      <c r="AP89" s="29"/>
      <c r="AQ89" s="7"/>
      <c r="AR89" s="29"/>
      <c r="AS89" s="32">
        <f t="shared" si="9"/>
        <v>0</v>
      </c>
      <c r="AT89" s="30" t="str">
        <f t="shared" si="10"/>
        <v/>
      </c>
      <c r="AU89" s="29" t="str">
        <f t="shared" si="11"/>
        <v/>
      </c>
      <c r="AV89" s="30" t="str">
        <f t="shared" si="12"/>
        <v/>
      </c>
      <c r="AW89" s="30" t="str">
        <f t="shared" si="13"/>
        <v/>
      </c>
      <c r="AX89" s="29" t="str">
        <f t="shared" si="14"/>
        <v/>
      </c>
      <c r="AY89" s="29" t="str">
        <f>IF(B89="","",COUNTIFS($B$5:B89,B89,$AT$5:AT89,AT89))</f>
        <v/>
      </c>
      <c r="AZ89" s="29" t="str">
        <f>IF(B89="","",COUNTIFS($B$5:B89,B89,$AV$5:AV89,AV89))</f>
        <v/>
      </c>
      <c r="BA89" s="29" t="str">
        <f t="shared" si="15"/>
        <v/>
      </c>
      <c r="BB89" s="29" t="str">
        <f t="shared" si="16"/>
        <v/>
      </c>
      <c r="BC89" s="29">
        <f t="shared" si="17"/>
        <v>0</v>
      </c>
    </row>
    <row r="90" spans="1:55" ht="15" customHeight="1">
      <c r="A90" s="28"/>
      <c r="B90" s="29"/>
      <c r="C90" s="30"/>
      <c r="D90" s="31"/>
      <c r="E90" s="31"/>
      <c r="F90" s="29"/>
      <c r="G90" s="29"/>
      <c r="H90" s="29"/>
      <c r="I90" s="7"/>
      <c r="J90" s="29"/>
      <c r="K90" s="7"/>
      <c r="L90" s="29"/>
      <c r="M90" s="7"/>
      <c r="N90" s="29"/>
      <c r="O90" s="7"/>
      <c r="P90" s="29"/>
      <c r="Q90" s="7"/>
      <c r="R90" s="29"/>
      <c r="S90" s="7"/>
      <c r="T90" s="29"/>
      <c r="U90" s="7"/>
      <c r="V90" s="29"/>
      <c r="W90" s="7"/>
      <c r="X90" s="29"/>
      <c r="Y90" s="7"/>
      <c r="Z90" s="29"/>
      <c r="AA90" s="7"/>
      <c r="AB90" s="29"/>
      <c r="AC90" s="7"/>
      <c r="AD90" s="29"/>
      <c r="AE90" s="7"/>
      <c r="AF90" s="29"/>
      <c r="AG90" s="7"/>
      <c r="AH90" s="29"/>
      <c r="AI90" s="7"/>
      <c r="AJ90" s="29"/>
      <c r="AK90" s="7"/>
      <c r="AL90" s="29"/>
      <c r="AM90" s="7"/>
      <c r="AN90" s="29"/>
      <c r="AO90" s="7"/>
      <c r="AP90" s="29"/>
      <c r="AQ90" s="7"/>
      <c r="AR90" s="29"/>
      <c r="AS90" s="32">
        <f t="shared" si="9"/>
        <v>0</v>
      </c>
      <c r="AT90" s="30" t="str">
        <f t="shared" si="10"/>
        <v/>
      </c>
      <c r="AU90" s="29" t="str">
        <f t="shared" si="11"/>
        <v/>
      </c>
      <c r="AV90" s="30" t="str">
        <f t="shared" si="12"/>
        <v/>
      </c>
      <c r="AW90" s="30" t="str">
        <f t="shared" si="13"/>
        <v/>
      </c>
      <c r="AX90" s="29" t="str">
        <f t="shared" si="14"/>
        <v/>
      </c>
      <c r="AY90" s="29" t="str">
        <f>IF(B90="","",COUNTIFS($B$5:B90,B90,$AT$5:AT90,AT90))</f>
        <v/>
      </c>
      <c r="AZ90" s="29" t="str">
        <f>IF(B90="","",COUNTIFS($B$5:B90,B90,$AV$5:AV90,AV90))</f>
        <v/>
      </c>
      <c r="BA90" s="29" t="str">
        <f t="shared" si="15"/>
        <v/>
      </c>
      <c r="BB90" s="29" t="str">
        <f t="shared" si="16"/>
        <v/>
      </c>
      <c r="BC90" s="29">
        <f t="shared" si="17"/>
        <v>0</v>
      </c>
    </row>
    <row r="91" spans="1:55" ht="15" customHeight="1">
      <c r="A91" s="28"/>
      <c r="B91" s="29"/>
      <c r="C91" s="30"/>
      <c r="D91" s="31"/>
      <c r="E91" s="31"/>
      <c r="F91" s="29"/>
      <c r="G91" s="29"/>
      <c r="H91" s="29"/>
      <c r="I91" s="7"/>
      <c r="J91" s="29"/>
      <c r="K91" s="7"/>
      <c r="L91" s="29"/>
      <c r="M91" s="7"/>
      <c r="N91" s="29"/>
      <c r="O91" s="7"/>
      <c r="P91" s="29"/>
      <c r="Q91" s="7"/>
      <c r="R91" s="29"/>
      <c r="S91" s="7"/>
      <c r="T91" s="29"/>
      <c r="U91" s="7"/>
      <c r="V91" s="29"/>
      <c r="W91" s="7"/>
      <c r="X91" s="29"/>
      <c r="Y91" s="7"/>
      <c r="Z91" s="29"/>
      <c r="AA91" s="7"/>
      <c r="AB91" s="29"/>
      <c r="AC91" s="7"/>
      <c r="AD91" s="29"/>
      <c r="AE91" s="7"/>
      <c r="AF91" s="29"/>
      <c r="AG91" s="7"/>
      <c r="AH91" s="29"/>
      <c r="AI91" s="7"/>
      <c r="AJ91" s="29"/>
      <c r="AK91" s="7"/>
      <c r="AL91" s="29"/>
      <c r="AM91" s="7"/>
      <c r="AN91" s="29"/>
      <c r="AO91" s="7"/>
      <c r="AP91" s="29"/>
      <c r="AQ91" s="7"/>
      <c r="AR91" s="29"/>
      <c r="AS91" s="32">
        <f t="shared" si="9"/>
        <v>0</v>
      </c>
      <c r="AT91" s="30" t="str">
        <f t="shared" si="10"/>
        <v/>
      </c>
      <c r="AU91" s="29" t="str">
        <f t="shared" si="11"/>
        <v/>
      </c>
      <c r="AV91" s="30" t="str">
        <f t="shared" si="12"/>
        <v/>
      </c>
      <c r="AW91" s="30" t="str">
        <f t="shared" si="13"/>
        <v/>
      </c>
      <c r="AX91" s="29" t="str">
        <f t="shared" si="14"/>
        <v/>
      </c>
      <c r="AY91" s="29" t="str">
        <f>IF(B91="","",COUNTIFS($B$5:B91,B91,$AT$5:AT91,AT91))</f>
        <v/>
      </c>
      <c r="AZ91" s="29" t="str">
        <f>IF(B91="","",COUNTIFS($B$5:B91,B91,$AV$5:AV91,AV91))</f>
        <v/>
      </c>
      <c r="BA91" s="29" t="str">
        <f t="shared" si="15"/>
        <v/>
      </c>
      <c r="BB91" s="29" t="str">
        <f t="shared" si="16"/>
        <v/>
      </c>
      <c r="BC91" s="29">
        <f t="shared" si="17"/>
        <v>0</v>
      </c>
    </row>
    <row r="92" spans="1:55" ht="15" customHeight="1">
      <c r="A92" s="28"/>
      <c r="B92" s="29"/>
      <c r="C92" s="30"/>
      <c r="D92" s="31"/>
      <c r="E92" s="31"/>
      <c r="F92" s="29"/>
      <c r="G92" s="29"/>
      <c r="H92" s="29"/>
      <c r="I92" s="7"/>
      <c r="J92" s="29"/>
      <c r="K92" s="7"/>
      <c r="L92" s="29"/>
      <c r="M92" s="7"/>
      <c r="N92" s="29"/>
      <c r="O92" s="7"/>
      <c r="P92" s="29"/>
      <c r="Q92" s="7"/>
      <c r="R92" s="29"/>
      <c r="S92" s="7"/>
      <c r="T92" s="29"/>
      <c r="U92" s="7"/>
      <c r="V92" s="29"/>
      <c r="W92" s="7"/>
      <c r="X92" s="29"/>
      <c r="Y92" s="7"/>
      <c r="Z92" s="29"/>
      <c r="AA92" s="7"/>
      <c r="AB92" s="29"/>
      <c r="AC92" s="7"/>
      <c r="AD92" s="29"/>
      <c r="AE92" s="7"/>
      <c r="AF92" s="29"/>
      <c r="AG92" s="7"/>
      <c r="AH92" s="29"/>
      <c r="AI92" s="7"/>
      <c r="AJ92" s="29"/>
      <c r="AK92" s="7"/>
      <c r="AL92" s="29"/>
      <c r="AM92" s="7"/>
      <c r="AN92" s="29"/>
      <c r="AO92" s="7"/>
      <c r="AP92" s="29"/>
      <c r="AQ92" s="7"/>
      <c r="AR92" s="29"/>
      <c r="AS92" s="32">
        <f t="shared" si="9"/>
        <v>0</v>
      </c>
      <c r="AT92" s="30" t="str">
        <f t="shared" si="10"/>
        <v/>
      </c>
      <c r="AU92" s="29" t="str">
        <f t="shared" si="11"/>
        <v/>
      </c>
      <c r="AV92" s="30" t="str">
        <f t="shared" si="12"/>
        <v/>
      </c>
      <c r="AW92" s="30" t="str">
        <f t="shared" si="13"/>
        <v/>
      </c>
      <c r="AX92" s="29" t="str">
        <f t="shared" si="14"/>
        <v/>
      </c>
      <c r="AY92" s="29" t="str">
        <f>IF(B92="","",COUNTIFS($B$5:B92,B92,$AT$5:AT92,AT92))</f>
        <v/>
      </c>
      <c r="AZ92" s="29" t="str">
        <f>IF(B92="","",COUNTIFS($B$5:B92,B92,$AV$5:AV92,AV92))</f>
        <v/>
      </c>
      <c r="BA92" s="29" t="str">
        <f t="shared" si="15"/>
        <v/>
      </c>
      <c r="BB92" s="29" t="str">
        <f t="shared" si="16"/>
        <v/>
      </c>
      <c r="BC92" s="29">
        <f t="shared" si="17"/>
        <v>0</v>
      </c>
    </row>
    <row r="93" spans="1:55" ht="15" customHeight="1">
      <c r="A93" s="28"/>
      <c r="B93" s="29"/>
      <c r="C93" s="30"/>
      <c r="D93" s="31"/>
      <c r="E93" s="31"/>
      <c r="F93" s="29"/>
      <c r="G93" s="29"/>
      <c r="H93" s="29"/>
      <c r="I93" s="7"/>
      <c r="J93" s="29"/>
      <c r="K93" s="7"/>
      <c r="L93" s="29"/>
      <c r="M93" s="7"/>
      <c r="N93" s="29"/>
      <c r="O93" s="7"/>
      <c r="P93" s="29"/>
      <c r="Q93" s="7"/>
      <c r="R93" s="29"/>
      <c r="S93" s="7"/>
      <c r="T93" s="29"/>
      <c r="U93" s="7"/>
      <c r="V93" s="29"/>
      <c r="W93" s="7"/>
      <c r="X93" s="29"/>
      <c r="Y93" s="7"/>
      <c r="Z93" s="29"/>
      <c r="AA93" s="7"/>
      <c r="AB93" s="29"/>
      <c r="AC93" s="7"/>
      <c r="AD93" s="29"/>
      <c r="AE93" s="7"/>
      <c r="AF93" s="29"/>
      <c r="AG93" s="7"/>
      <c r="AH93" s="29"/>
      <c r="AI93" s="7"/>
      <c r="AJ93" s="29"/>
      <c r="AK93" s="7"/>
      <c r="AL93" s="29"/>
      <c r="AM93" s="7"/>
      <c r="AN93" s="29"/>
      <c r="AO93" s="7"/>
      <c r="AP93" s="29"/>
      <c r="AQ93" s="7"/>
      <c r="AR93" s="29"/>
      <c r="AS93" s="32">
        <f t="shared" si="9"/>
        <v>0</v>
      </c>
      <c r="AT93" s="30" t="str">
        <f t="shared" si="10"/>
        <v/>
      </c>
      <c r="AU93" s="29" t="str">
        <f t="shared" si="11"/>
        <v/>
      </c>
      <c r="AV93" s="30" t="str">
        <f t="shared" si="12"/>
        <v/>
      </c>
      <c r="AW93" s="30" t="str">
        <f t="shared" si="13"/>
        <v/>
      </c>
      <c r="AX93" s="29" t="str">
        <f t="shared" si="14"/>
        <v/>
      </c>
      <c r="AY93" s="29" t="str">
        <f>IF(B93="","",COUNTIFS($B$5:B93,B93,$AT$5:AT93,AT93))</f>
        <v/>
      </c>
      <c r="AZ93" s="29" t="str">
        <f>IF(B93="","",COUNTIFS($B$5:B93,B93,$AV$5:AV93,AV93))</f>
        <v/>
      </c>
      <c r="BA93" s="29" t="str">
        <f t="shared" si="15"/>
        <v/>
      </c>
      <c r="BB93" s="29" t="str">
        <f t="shared" si="16"/>
        <v/>
      </c>
      <c r="BC93" s="29">
        <f t="shared" si="17"/>
        <v>0</v>
      </c>
    </row>
    <row r="94" spans="1:55" ht="15" customHeight="1">
      <c r="A94" s="28"/>
      <c r="B94" s="29"/>
      <c r="C94" s="30"/>
      <c r="D94" s="31"/>
      <c r="E94" s="31"/>
      <c r="F94" s="29"/>
      <c r="G94" s="29"/>
      <c r="H94" s="29"/>
      <c r="I94" s="7"/>
      <c r="J94" s="29"/>
      <c r="K94" s="7"/>
      <c r="L94" s="29"/>
      <c r="M94" s="7"/>
      <c r="N94" s="29"/>
      <c r="O94" s="7"/>
      <c r="P94" s="29"/>
      <c r="Q94" s="7"/>
      <c r="R94" s="29"/>
      <c r="S94" s="7"/>
      <c r="T94" s="29"/>
      <c r="U94" s="7"/>
      <c r="V94" s="29"/>
      <c r="W94" s="7"/>
      <c r="X94" s="29"/>
      <c r="Y94" s="7"/>
      <c r="Z94" s="29"/>
      <c r="AA94" s="7"/>
      <c r="AB94" s="29"/>
      <c r="AC94" s="7"/>
      <c r="AD94" s="29"/>
      <c r="AE94" s="7"/>
      <c r="AF94" s="29"/>
      <c r="AG94" s="7"/>
      <c r="AH94" s="29"/>
      <c r="AI94" s="7"/>
      <c r="AJ94" s="29"/>
      <c r="AK94" s="7"/>
      <c r="AL94" s="29"/>
      <c r="AM94" s="7"/>
      <c r="AN94" s="29"/>
      <c r="AO94" s="7"/>
      <c r="AP94" s="29"/>
      <c r="AQ94" s="7"/>
      <c r="AR94" s="29"/>
      <c r="AS94" s="32">
        <f t="shared" si="9"/>
        <v>0</v>
      </c>
      <c r="AT94" s="30" t="str">
        <f t="shared" si="10"/>
        <v/>
      </c>
      <c r="AU94" s="29" t="str">
        <f t="shared" si="11"/>
        <v/>
      </c>
      <c r="AV94" s="30" t="str">
        <f t="shared" si="12"/>
        <v/>
      </c>
      <c r="AW94" s="30" t="str">
        <f t="shared" si="13"/>
        <v/>
      </c>
      <c r="AX94" s="29" t="str">
        <f t="shared" si="14"/>
        <v/>
      </c>
      <c r="AY94" s="29" t="str">
        <f>IF(B94="","",COUNTIFS($B$5:B94,B94,$AT$5:AT94,AT94))</f>
        <v/>
      </c>
      <c r="AZ94" s="29" t="str">
        <f>IF(B94="","",COUNTIFS($B$5:B94,B94,$AV$5:AV94,AV94))</f>
        <v/>
      </c>
      <c r="BA94" s="29" t="str">
        <f t="shared" si="15"/>
        <v/>
      </c>
      <c r="BB94" s="29" t="str">
        <f t="shared" si="16"/>
        <v/>
      </c>
      <c r="BC94" s="29">
        <f t="shared" si="17"/>
        <v>0</v>
      </c>
    </row>
    <row r="95" spans="1:55" ht="15" customHeight="1">
      <c r="A95" s="28"/>
      <c r="B95" s="29"/>
      <c r="C95" s="30"/>
      <c r="D95" s="31"/>
      <c r="E95" s="31"/>
      <c r="F95" s="29"/>
      <c r="G95" s="29"/>
      <c r="H95" s="29"/>
      <c r="I95" s="7"/>
      <c r="J95" s="29"/>
      <c r="K95" s="7"/>
      <c r="L95" s="29"/>
      <c r="M95" s="7"/>
      <c r="N95" s="29"/>
      <c r="O95" s="7"/>
      <c r="P95" s="29"/>
      <c r="Q95" s="7"/>
      <c r="R95" s="29"/>
      <c r="S95" s="7"/>
      <c r="T95" s="29"/>
      <c r="U95" s="7"/>
      <c r="V95" s="29"/>
      <c r="W95" s="7"/>
      <c r="X95" s="29"/>
      <c r="Y95" s="7"/>
      <c r="Z95" s="29"/>
      <c r="AA95" s="7"/>
      <c r="AB95" s="29"/>
      <c r="AC95" s="7"/>
      <c r="AD95" s="29"/>
      <c r="AE95" s="7"/>
      <c r="AF95" s="29"/>
      <c r="AG95" s="7"/>
      <c r="AH95" s="29"/>
      <c r="AI95" s="7"/>
      <c r="AJ95" s="29"/>
      <c r="AK95" s="7"/>
      <c r="AL95" s="29"/>
      <c r="AM95" s="7"/>
      <c r="AN95" s="29"/>
      <c r="AO95" s="7"/>
      <c r="AP95" s="29"/>
      <c r="AQ95" s="7"/>
      <c r="AR95" s="29"/>
      <c r="AS95" s="32">
        <f t="shared" si="9"/>
        <v>0</v>
      </c>
      <c r="AT95" s="30" t="str">
        <f t="shared" si="10"/>
        <v/>
      </c>
      <c r="AU95" s="29" t="str">
        <f t="shared" si="11"/>
        <v/>
      </c>
      <c r="AV95" s="30" t="str">
        <f t="shared" si="12"/>
        <v/>
      </c>
      <c r="AW95" s="30" t="str">
        <f t="shared" si="13"/>
        <v/>
      </c>
      <c r="AX95" s="29" t="str">
        <f t="shared" si="14"/>
        <v/>
      </c>
      <c r="AY95" s="29" t="str">
        <f>IF(B95="","",COUNTIFS($B$5:B95,B95,$AT$5:AT95,AT95))</f>
        <v/>
      </c>
      <c r="AZ95" s="29" t="str">
        <f>IF(B95="","",COUNTIFS($B$5:B95,B95,$AV$5:AV95,AV95))</f>
        <v/>
      </c>
      <c r="BA95" s="29" t="str">
        <f t="shared" si="15"/>
        <v/>
      </c>
      <c r="BB95" s="29" t="str">
        <f t="shared" si="16"/>
        <v/>
      </c>
      <c r="BC95" s="29">
        <f t="shared" si="17"/>
        <v>0</v>
      </c>
    </row>
    <row r="96" spans="1:55" ht="15" customHeight="1">
      <c r="A96" s="28"/>
      <c r="B96" s="29"/>
      <c r="C96" s="30"/>
      <c r="D96" s="31"/>
      <c r="E96" s="31"/>
      <c r="F96" s="29"/>
      <c r="G96" s="29"/>
      <c r="H96" s="29"/>
      <c r="I96" s="7"/>
      <c r="J96" s="29"/>
      <c r="K96" s="7"/>
      <c r="L96" s="29"/>
      <c r="M96" s="7"/>
      <c r="N96" s="29"/>
      <c r="O96" s="7"/>
      <c r="P96" s="29"/>
      <c r="Q96" s="7"/>
      <c r="R96" s="29"/>
      <c r="S96" s="7"/>
      <c r="T96" s="29"/>
      <c r="U96" s="7"/>
      <c r="V96" s="29"/>
      <c r="W96" s="7"/>
      <c r="X96" s="29"/>
      <c r="Y96" s="7"/>
      <c r="Z96" s="29"/>
      <c r="AA96" s="7"/>
      <c r="AB96" s="29"/>
      <c r="AC96" s="7"/>
      <c r="AD96" s="29"/>
      <c r="AE96" s="7"/>
      <c r="AF96" s="29"/>
      <c r="AG96" s="7"/>
      <c r="AH96" s="29"/>
      <c r="AI96" s="7"/>
      <c r="AJ96" s="29"/>
      <c r="AK96" s="7"/>
      <c r="AL96" s="29"/>
      <c r="AM96" s="7"/>
      <c r="AN96" s="29"/>
      <c r="AO96" s="7"/>
      <c r="AP96" s="29"/>
      <c r="AQ96" s="7"/>
      <c r="AR96" s="29"/>
      <c r="AS96" s="32">
        <f t="shared" si="9"/>
        <v>0</v>
      </c>
      <c r="AT96" s="30" t="str">
        <f t="shared" si="10"/>
        <v/>
      </c>
      <c r="AU96" s="29" t="str">
        <f t="shared" si="11"/>
        <v/>
      </c>
      <c r="AV96" s="30" t="str">
        <f t="shared" si="12"/>
        <v/>
      </c>
      <c r="AW96" s="30" t="str">
        <f t="shared" si="13"/>
        <v/>
      </c>
      <c r="AX96" s="29" t="str">
        <f t="shared" si="14"/>
        <v/>
      </c>
      <c r="AY96" s="29" t="str">
        <f>IF(B96="","",COUNTIFS($B$5:B96,B96,$AT$5:AT96,AT96))</f>
        <v/>
      </c>
      <c r="AZ96" s="29" t="str">
        <f>IF(B96="","",COUNTIFS($B$5:B96,B96,$AV$5:AV96,AV96))</f>
        <v/>
      </c>
      <c r="BA96" s="29" t="str">
        <f t="shared" si="15"/>
        <v/>
      </c>
      <c r="BB96" s="29" t="str">
        <f t="shared" si="16"/>
        <v/>
      </c>
      <c r="BC96" s="29">
        <f t="shared" si="17"/>
        <v>0</v>
      </c>
    </row>
    <row r="97" spans="1:55" ht="15" customHeight="1">
      <c r="A97" s="28"/>
      <c r="B97" s="29"/>
      <c r="C97" s="30"/>
      <c r="D97" s="31"/>
      <c r="E97" s="31"/>
      <c r="F97" s="29"/>
      <c r="G97" s="29"/>
      <c r="H97" s="29"/>
      <c r="I97" s="7"/>
      <c r="J97" s="29"/>
      <c r="K97" s="7"/>
      <c r="L97" s="29"/>
      <c r="M97" s="7"/>
      <c r="N97" s="29"/>
      <c r="O97" s="7"/>
      <c r="P97" s="29"/>
      <c r="Q97" s="7"/>
      <c r="R97" s="29"/>
      <c r="S97" s="7"/>
      <c r="T97" s="29"/>
      <c r="U97" s="7"/>
      <c r="V97" s="29"/>
      <c r="W97" s="7"/>
      <c r="X97" s="29"/>
      <c r="Y97" s="7"/>
      <c r="Z97" s="29"/>
      <c r="AA97" s="7"/>
      <c r="AB97" s="29"/>
      <c r="AC97" s="7"/>
      <c r="AD97" s="29"/>
      <c r="AE97" s="7"/>
      <c r="AF97" s="29"/>
      <c r="AG97" s="7"/>
      <c r="AH97" s="29"/>
      <c r="AI97" s="7"/>
      <c r="AJ97" s="29"/>
      <c r="AK97" s="7"/>
      <c r="AL97" s="29"/>
      <c r="AM97" s="7"/>
      <c r="AN97" s="29"/>
      <c r="AO97" s="7"/>
      <c r="AP97" s="29"/>
      <c r="AQ97" s="7"/>
      <c r="AR97" s="29"/>
      <c r="AS97" s="32">
        <f t="shared" si="9"/>
        <v>0</v>
      </c>
      <c r="AT97" s="30" t="str">
        <f t="shared" si="10"/>
        <v/>
      </c>
      <c r="AU97" s="29" t="str">
        <f t="shared" si="11"/>
        <v/>
      </c>
      <c r="AV97" s="30" t="str">
        <f t="shared" si="12"/>
        <v/>
      </c>
      <c r="AW97" s="30" t="str">
        <f t="shared" si="13"/>
        <v/>
      </c>
      <c r="AX97" s="29" t="str">
        <f t="shared" si="14"/>
        <v/>
      </c>
      <c r="AY97" s="29" t="str">
        <f>IF(B97="","",COUNTIFS($B$5:B97,B97,$AT$5:AT97,AT97))</f>
        <v/>
      </c>
      <c r="AZ97" s="29" t="str">
        <f>IF(B97="","",COUNTIFS($B$5:B97,B97,$AV$5:AV97,AV97))</f>
        <v/>
      </c>
      <c r="BA97" s="29" t="str">
        <f t="shared" si="15"/>
        <v/>
      </c>
      <c r="BB97" s="29" t="str">
        <f t="shared" si="16"/>
        <v/>
      </c>
      <c r="BC97" s="29">
        <f t="shared" si="17"/>
        <v>0</v>
      </c>
    </row>
    <row r="98" spans="1:55" ht="15" customHeight="1">
      <c r="A98" s="28"/>
      <c r="B98" s="29"/>
      <c r="C98" s="30"/>
      <c r="D98" s="31"/>
      <c r="E98" s="31"/>
      <c r="F98" s="29"/>
      <c r="G98" s="29"/>
      <c r="H98" s="29"/>
      <c r="I98" s="7"/>
      <c r="J98" s="29"/>
      <c r="K98" s="7"/>
      <c r="L98" s="29"/>
      <c r="M98" s="7"/>
      <c r="N98" s="29"/>
      <c r="O98" s="7"/>
      <c r="P98" s="29"/>
      <c r="Q98" s="7"/>
      <c r="R98" s="29"/>
      <c r="S98" s="7"/>
      <c r="T98" s="29"/>
      <c r="U98" s="7"/>
      <c r="V98" s="29"/>
      <c r="W98" s="7"/>
      <c r="X98" s="29"/>
      <c r="Y98" s="7"/>
      <c r="Z98" s="29"/>
      <c r="AA98" s="7"/>
      <c r="AB98" s="29"/>
      <c r="AC98" s="7"/>
      <c r="AD98" s="29"/>
      <c r="AE98" s="7"/>
      <c r="AF98" s="29"/>
      <c r="AG98" s="7"/>
      <c r="AH98" s="29"/>
      <c r="AI98" s="7"/>
      <c r="AJ98" s="29"/>
      <c r="AK98" s="7"/>
      <c r="AL98" s="29"/>
      <c r="AM98" s="7"/>
      <c r="AN98" s="29"/>
      <c r="AO98" s="7"/>
      <c r="AP98" s="29"/>
      <c r="AQ98" s="7"/>
      <c r="AR98" s="29"/>
      <c r="AS98" s="32">
        <f t="shared" si="9"/>
        <v>0</v>
      </c>
      <c r="AT98" s="30" t="str">
        <f t="shared" si="10"/>
        <v/>
      </c>
      <c r="AU98" s="29" t="str">
        <f t="shared" si="11"/>
        <v/>
      </c>
      <c r="AV98" s="30" t="str">
        <f t="shared" si="12"/>
        <v/>
      </c>
      <c r="AW98" s="30" t="str">
        <f t="shared" si="13"/>
        <v/>
      </c>
      <c r="AX98" s="29" t="str">
        <f t="shared" si="14"/>
        <v/>
      </c>
      <c r="AY98" s="29" t="str">
        <f>IF(B98="","",COUNTIFS($B$5:B98,B98,$AT$5:AT98,AT98))</f>
        <v/>
      </c>
      <c r="AZ98" s="29" t="str">
        <f>IF(B98="","",COUNTIFS($B$5:B98,B98,$AV$5:AV98,AV98))</f>
        <v/>
      </c>
      <c r="BA98" s="29" t="str">
        <f t="shared" si="15"/>
        <v/>
      </c>
      <c r="BB98" s="29" t="str">
        <f t="shared" si="16"/>
        <v/>
      </c>
      <c r="BC98" s="29">
        <f t="shared" si="17"/>
        <v>0</v>
      </c>
    </row>
    <row r="99" spans="1:55" ht="15" customHeight="1">
      <c r="A99" s="28"/>
      <c r="B99" s="29"/>
      <c r="C99" s="30"/>
      <c r="D99" s="31"/>
      <c r="E99" s="31"/>
      <c r="F99" s="29"/>
      <c r="G99" s="29"/>
      <c r="H99" s="29"/>
      <c r="I99" s="7"/>
      <c r="J99" s="29"/>
      <c r="K99" s="7"/>
      <c r="L99" s="29"/>
      <c r="M99" s="7"/>
      <c r="N99" s="29"/>
      <c r="O99" s="7"/>
      <c r="P99" s="29"/>
      <c r="Q99" s="7"/>
      <c r="R99" s="29"/>
      <c r="S99" s="7"/>
      <c r="T99" s="29"/>
      <c r="U99" s="7"/>
      <c r="V99" s="29"/>
      <c r="W99" s="7"/>
      <c r="X99" s="29"/>
      <c r="Y99" s="7"/>
      <c r="Z99" s="29"/>
      <c r="AA99" s="7"/>
      <c r="AB99" s="29"/>
      <c r="AC99" s="7"/>
      <c r="AD99" s="29"/>
      <c r="AE99" s="7"/>
      <c r="AF99" s="29"/>
      <c r="AG99" s="7"/>
      <c r="AH99" s="29"/>
      <c r="AI99" s="7"/>
      <c r="AJ99" s="29"/>
      <c r="AK99" s="7"/>
      <c r="AL99" s="29"/>
      <c r="AM99" s="7"/>
      <c r="AN99" s="29"/>
      <c r="AO99" s="7"/>
      <c r="AP99" s="29"/>
      <c r="AQ99" s="7"/>
      <c r="AR99" s="29"/>
      <c r="AS99" s="32">
        <f t="shared" si="9"/>
        <v>0</v>
      </c>
      <c r="AT99" s="30" t="str">
        <f t="shared" si="10"/>
        <v/>
      </c>
      <c r="AU99" s="29" t="str">
        <f t="shared" si="11"/>
        <v/>
      </c>
      <c r="AV99" s="30" t="str">
        <f t="shared" si="12"/>
        <v/>
      </c>
      <c r="AW99" s="30" t="str">
        <f t="shared" si="13"/>
        <v/>
      </c>
      <c r="AX99" s="29" t="str">
        <f t="shared" si="14"/>
        <v/>
      </c>
      <c r="AY99" s="29" t="str">
        <f>IF(B99="","",COUNTIFS($B$5:B99,B99,$AT$5:AT99,AT99))</f>
        <v/>
      </c>
      <c r="AZ99" s="29" t="str">
        <f>IF(B99="","",COUNTIFS($B$5:B99,B99,$AV$5:AV99,AV99))</f>
        <v/>
      </c>
      <c r="BA99" s="29" t="str">
        <f t="shared" si="15"/>
        <v/>
      </c>
      <c r="BB99" s="29" t="str">
        <f t="shared" si="16"/>
        <v/>
      </c>
      <c r="BC99" s="29">
        <f t="shared" si="17"/>
        <v>0</v>
      </c>
    </row>
    <row r="100" spans="1:55" ht="15" customHeight="1">
      <c r="A100" s="28"/>
      <c r="B100" s="29"/>
      <c r="C100" s="30"/>
      <c r="D100" s="31"/>
      <c r="E100" s="31"/>
      <c r="F100" s="29"/>
      <c r="G100" s="29"/>
      <c r="H100" s="29"/>
      <c r="I100" s="7"/>
      <c r="J100" s="29"/>
      <c r="K100" s="7"/>
      <c r="L100" s="29"/>
      <c r="M100" s="7"/>
      <c r="N100" s="29"/>
      <c r="O100" s="7"/>
      <c r="P100" s="29"/>
      <c r="Q100" s="7"/>
      <c r="R100" s="29"/>
      <c r="S100" s="7"/>
      <c r="T100" s="29"/>
      <c r="U100" s="7"/>
      <c r="V100" s="29"/>
      <c r="W100" s="7"/>
      <c r="X100" s="29"/>
      <c r="Y100" s="7"/>
      <c r="Z100" s="29"/>
      <c r="AA100" s="7"/>
      <c r="AB100" s="29"/>
      <c r="AC100" s="7"/>
      <c r="AD100" s="29"/>
      <c r="AE100" s="7"/>
      <c r="AF100" s="29"/>
      <c r="AG100" s="7"/>
      <c r="AH100" s="29"/>
      <c r="AI100" s="7"/>
      <c r="AJ100" s="29"/>
      <c r="AK100" s="7"/>
      <c r="AL100" s="29"/>
      <c r="AM100" s="7"/>
      <c r="AN100" s="29"/>
      <c r="AO100" s="7"/>
      <c r="AP100" s="29"/>
      <c r="AQ100" s="7"/>
      <c r="AR100" s="29"/>
      <c r="AS100" s="32">
        <f t="shared" si="9"/>
        <v>0</v>
      </c>
      <c r="AT100" s="30" t="str">
        <f t="shared" si="10"/>
        <v/>
      </c>
      <c r="AU100" s="29" t="str">
        <f t="shared" si="11"/>
        <v/>
      </c>
      <c r="AV100" s="30" t="str">
        <f t="shared" si="12"/>
        <v/>
      </c>
      <c r="AW100" s="30" t="str">
        <f t="shared" si="13"/>
        <v/>
      </c>
      <c r="AX100" s="29" t="str">
        <f t="shared" si="14"/>
        <v/>
      </c>
      <c r="AY100" s="29" t="str">
        <f>IF(B100="","",COUNTIFS($B$5:B100,B100,$AT$5:AT100,AT100))</f>
        <v/>
      </c>
      <c r="AZ100" s="29" t="str">
        <f>IF(B100="","",COUNTIFS($B$5:B100,B100,$AV$5:AV100,AV100))</f>
        <v/>
      </c>
      <c r="BA100" s="29" t="str">
        <f t="shared" si="15"/>
        <v/>
      </c>
      <c r="BB100" s="29" t="str">
        <f t="shared" si="16"/>
        <v/>
      </c>
      <c r="BC100" s="29">
        <f t="shared" si="17"/>
        <v>0</v>
      </c>
    </row>
    <row r="101" spans="1:55" ht="15" customHeight="1">
      <c r="A101" s="28"/>
      <c r="B101" s="29"/>
      <c r="C101" s="30"/>
      <c r="D101" s="31"/>
      <c r="E101" s="31"/>
      <c r="F101" s="29"/>
      <c r="G101" s="29"/>
      <c r="H101" s="29"/>
      <c r="I101" s="7"/>
      <c r="J101" s="29"/>
      <c r="K101" s="7"/>
      <c r="L101" s="29"/>
      <c r="M101" s="7"/>
      <c r="N101" s="29"/>
      <c r="O101" s="7"/>
      <c r="P101" s="29"/>
      <c r="Q101" s="7"/>
      <c r="R101" s="29"/>
      <c r="S101" s="7"/>
      <c r="T101" s="29"/>
      <c r="U101" s="7"/>
      <c r="V101" s="29"/>
      <c r="W101" s="7"/>
      <c r="X101" s="29"/>
      <c r="Y101" s="7"/>
      <c r="Z101" s="29"/>
      <c r="AA101" s="7"/>
      <c r="AB101" s="29"/>
      <c r="AC101" s="7"/>
      <c r="AD101" s="29"/>
      <c r="AE101" s="7"/>
      <c r="AF101" s="29"/>
      <c r="AG101" s="7"/>
      <c r="AH101" s="29"/>
      <c r="AI101" s="7"/>
      <c r="AJ101" s="29"/>
      <c r="AK101" s="7"/>
      <c r="AL101" s="29"/>
      <c r="AM101" s="7"/>
      <c r="AN101" s="29"/>
      <c r="AO101" s="7"/>
      <c r="AP101" s="29"/>
      <c r="AQ101" s="7"/>
      <c r="AR101" s="29"/>
      <c r="AS101" s="32">
        <f t="shared" si="9"/>
        <v>0</v>
      </c>
      <c r="AT101" s="30" t="str">
        <f t="shared" si="10"/>
        <v/>
      </c>
      <c r="AU101" s="29" t="str">
        <f t="shared" si="11"/>
        <v/>
      </c>
      <c r="AV101" s="30" t="str">
        <f t="shared" si="12"/>
        <v/>
      </c>
      <c r="AW101" s="30" t="str">
        <f t="shared" si="13"/>
        <v/>
      </c>
      <c r="AX101" s="29" t="str">
        <f t="shared" si="14"/>
        <v/>
      </c>
      <c r="AY101" s="29" t="str">
        <f>IF(B101="","",COUNTIFS($B$5:B101,B101,$AT$5:AT101,AT101))</f>
        <v/>
      </c>
      <c r="AZ101" s="29" t="str">
        <f>IF(B101="","",COUNTIFS($B$5:B101,B101,$AV$5:AV101,AV101))</f>
        <v/>
      </c>
      <c r="BA101" s="29" t="str">
        <f t="shared" si="15"/>
        <v/>
      </c>
      <c r="BB101" s="29" t="str">
        <f t="shared" si="16"/>
        <v/>
      </c>
      <c r="BC101" s="29">
        <f t="shared" si="17"/>
        <v>0</v>
      </c>
    </row>
    <row r="102" spans="1:55" ht="15" customHeight="1">
      <c r="A102" s="28"/>
      <c r="B102" s="29"/>
      <c r="C102" s="30"/>
      <c r="D102" s="31"/>
      <c r="E102" s="31"/>
      <c r="F102" s="29"/>
      <c r="G102" s="29"/>
      <c r="H102" s="29"/>
      <c r="I102" s="7"/>
      <c r="J102" s="29"/>
      <c r="K102" s="7"/>
      <c r="L102" s="29"/>
      <c r="M102" s="7"/>
      <c r="N102" s="29"/>
      <c r="O102" s="7"/>
      <c r="P102" s="29"/>
      <c r="Q102" s="7"/>
      <c r="R102" s="29"/>
      <c r="S102" s="7"/>
      <c r="T102" s="29"/>
      <c r="U102" s="7"/>
      <c r="V102" s="29"/>
      <c r="W102" s="7"/>
      <c r="X102" s="29"/>
      <c r="Y102" s="7"/>
      <c r="Z102" s="29"/>
      <c r="AA102" s="7"/>
      <c r="AB102" s="29"/>
      <c r="AC102" s="7"/>
      <c r="AD102" s="29"/>
      <c r="AE102" s="7"/>
      <c r="AF102" s="29"/>
      <c r="AG102" s="7"/>
      <c r="AH102" s="29"/>
      <c r="AI102" s="7"/>
      <c r="AJ102" s="29"/>
      <c r="AK102" s="7"/>
      <c r="AL102" s="29"/>
      <c r="AM102" s="7"/>
      <c r="AN102" s="29"/>
      <c r="AO102" s="7"/>
      <c r="AP102" s="29"/>
      <c r="AQ102" s="7"/>
      <c r="AR102" s="29"/>
      <c r="AS102" s="32">
        <f t="shared" si="9"/>
        <v>0</v>
      </c>
      <c r="AT102" s="30" t="str">
        <f t="shared" si="10"/>
        <v/>
      </c>
      <c r="AU102" s="29" t="str">
        <f t="shared" si="11"/>
        <v/>
      </c>
      <c r="AV102" s="30" t="str">
        <f t="shared" si="12"/>
        <v/>
      </c>
      <c r="AW102" s="30" t="str">
        <f t="shared" si="13"/>
        <v/>
      </c>
      <c r="AX102" s="29" t="str">
        <f t="shared" si="14"/>
        <v/>
      </c>
      <c r="AY102" s="29" t="str">
        <f>IF(B102="","",COUNTIFS($B$5:B102,B102,$AT$5:AT102,AT102))</f>
        <v/>
      </c>
      <c r="AZ102" s="29" t="str">
        <f>IF(B102="","",COUNTIFS($B$5:B102,B102,$AV$5:AV102,AV102))</f>
        <v/>
      </c>
      <c r="BA102" s="29" t="str">
        <f t="shared" si="15"/>
        <v/>
      </c>
      <c r="BB102" s="29" t="str">
        <f t="shared" si="16"/>
        <v/>
      </c>
      <c r="BC102" s="29">
        <f t="shared" si="17"/>
        <v>0</v>
      </c>
    </row>
    <row r="103" spans="1:55" ht="15" customHeight="1">
      <c r="A103" s="28"/>
      <c r="B103" s="29"/>
      <c r="C103" s="30"/>
      <c r="D103" s="31"/>
      <c r="E103" s="31"/>
      <c r="F103" s="29"/>
      <c r="G103" s="29"/>
      <c r="H103" s="29"/>
      <c r="I103" s="7"/>
      <c r="J103" s="29"/>
      <c r="K103" s="7"/>
      <c r="L103" s="29"/>
      <c r="M103" s="7"/>
      <c r="N103" s="29"/>
      <c r="O103" s="7"/>
      <c r="P103" s="29"/>
      <c r="Q103" s="7"/>
      <c r="R103" s="29"/>
      <c r="S103" s="7"/>
      <c r="T103" s="29"/>
      <c r="U103" s="7"/>
      <c r="V103" s="29"/>
      <c r="W103" s="7"/>
      <c r="X103" s="29"/>
      <c r="Y103" s="7"/>
      <c r="Z103" s="29"/>
      <c r="AA103" s="7"/>
      <c r="AB103" s="29"/>
      <c r="AC103" s="7"/>
      <c r="AD103" s="29"/>
      <c r="AE103" s="7"/>
      <c r="AF103" s="29"/>
      <c r="AG103" s="7"/>
      <c r="AH103" s="29"/>
      <c r="AI103" s="7"/>
      <c r="AJ103" s="29"/>
      <c r="AK103" s="7"/>
      <c r="AL103" s="29"/>
      <c r="AM103" s="7"/>
      <c r="AN103" s="29"/>
      <c r="AO103" s="7"/>
      <c r="AP103" s="29"/>
      <c r="AQ103" s="7"/>
      <c r="AR103" s="29"/>
      <c r="AS103" s="32">
        <f t="shared" si="9"/>
        <v>0</v>
      </c>
      <c r="AT103" s="30" t="str">
        <f t="shared" si="10"/>
        <v/>
      </c>
      <c r="AU103" s="29" t="str">
        <f t="shared" si="11"/>
        <v/>
      </c>
      <c r="AV103" s="30" t="str">
        <f t="shared" si="12"/>
        <v/>
      </c>
      <c r="AW103" s="30" t="str">
        <f t="shared" si="13"/>
        <v/>
      </c>
      <c r="AX103" s="29" t="str">
        <f t="shared" si="14"/>
        <v/>
      </c>
      <c r="AY103" s="29" t="str">
        <f>IF(B103="","",COUNTIFS($B$5:B103,B103,$AT$5:AT103,AT103))</f>
        <v/>
      </c>
      <c r="AZ103" s="29" t="str">
        <f>IF(B103="","",COUNTIFS($B$5:B103,B103,$AV$5:AV103,AV103))</f>
        <v/>
      </c>
      <c r="BA103" s="29" t="str">
        <f t="shared" si="15"/>
        <v/>
      </c>
      <c r="BB103" s="29" t="str">
        <f t="shared" si="16"/>
        <v/>
      </c>
      <c r="BC103" s="29">
        <f t="shared" si="17"/>
        <v>0</v>
      </c>
    </row>
    <row r="104" spans="1:55" ht="15" customHeight="1">
      <c r="A104" s="28"/>
      <c r="B104" s="29"/>
      <c r="C104" s="30"/>
      <c r="D104" s="31"/>
      <c r="E104" s="31"/>
      <c r="F104" s="29"/>
      <c r="G104" s="29"/>
      <c r="H104" s="29"/>
      <c r="I104" s="7"/>
      <c r="J104" s="29"/>
      <c r="K104" s="7"/>
      <c r="L104" s="29"/>
      <c r="M104" s="7"/>
      <c r="N104" s="29"/>
      <c r="O104" s="7"/>
      <c r="P104" s="29"/>
      <c r="Q104" s="7"/>
      <c r="R104" s="29"/>
      <c r="S104" s="7"/>
      <c r="T104" s="29"/>
      <c r="U104" s="7"/>
      <c r="V104" s="29"/>
      <c r="W104" s="7"/>
      <c r="X104" s="29"/>
      <c r="Y104" s="7"/>
      <c r="Z104" s="29"/>
      <c r="AA104" s="7"/>
      <c r="AB104" s="29"/>
      <c r="AC104" s="7"/>
      <c r="AD104" s="29"/>
      <c r="AE104" s="7"/>
      <c r="AF104" s="29"/>
      <c r="AG104" s="7"/>
      <c r="AH104" s="29"/>
      <c r="AI104" s="7"/>
      <c r="AJ104" s="29"/>
      <c r="AK104" s="7"/>
      <c r="AL104" s="29"/>
      <c r="AM104" s="7"/>
      <c r="AN104" s="29"/>
      <c r="AO104" s="7"/>
      <c r="AP104" s="29"/>
      <c r="AQ104" s="7"/>
      <c r="AR104" s="29"/>
      <c r="AS104" s="32">
        <f t="shared" si="9"/>
        <v>0</v>
      </c>
      <c r="AT104" s="30" t="str">
        <f t="shared" si="10"/>
        <v/>
      </c>
      <c r="AU104" s="29" t="str">
        <f t="shared" si="11"/>
        <v/>
      </c>
      <c r="AV104" s="30" t="str">
        <f t="shared" si="12"/>
        <v/>
      </c>
      <c r="AW104" s="30" t="str">
        <f t="shared" si="13"/>
        <v/>
      </c>
      <c r="AX104" s="29" t="str">
        <f t="shared" si="14"/>
        <v/>
      </c>
      <c r="AY104" s="29" t="str">
        <f>IF(B104="","",COUNTIFS($B$5:B104,B104,$AT$5:AT104,AT104))</f>
        <v/>
      </c>
      <c r="AZ104" s="29" t="str">
        <f>IF(B104="","",COUNTIFS($B$5:B104,B104,$AV$5:AV104,AV104))</f>
        <v/>
      </c>
      <c r="BA104" s="29" t="str">
        <f t="shared" si="15"/>
        <v/>
      </c>
      <c r="BB104" s="29" t="str">
        <f t="shared" si="16"/>
        <v/>
      </c>
      <c r="BC104" s="29">
        <f t="shared" si="17"/>
        <v>0</v>
      </c>
    </row>
    <row r="105" spans="1:55" ht="15" customHeight="1">
      <c r="A105" s="28"/>
      <c r="B105" s="29"/>
      <c r="C105" s="30"/>
      <c r="D105" s="31"/>
      <c r="E105" s="31"/>
      <c r="F105" s="29"/>
      <c r="G105" s="29"/>
      <c r="H105" s="29"/>
      <c r="I105" s="7"/>
      <c r="J105" s="29"/>
      <c r="K105" s="7"/>
      <c r="L105" s="29"/>
      <c r="M105" s="7"/>
      <c r="N105" s="29"/>
      <c r="O105" s="7"/>
      <c r="P105" s="29"/>
      <c r="Q105" s="7"/>
      <c r="R105" s="29"/>
      <c r="S105" s="7"/>
      <c r="T105" s="29"/>
      <c r="U105" s="7"/>
      <c r="V105" s="29"/>
      <c r="W105" s="7"/>
      <c r="X105" s="29"/>
      <c r="Y105" s="7"/>
      <c r="Z105" s="29"/>
      <c r="AA105" s="7"/>
      <c r="AB105" s="29"/>
      <c r="AC105" s="7"/>
      <c r="AD105" s="29"/>
      <c r="AE105" s="7"/>
      <c r="AF105" s="29"/>
      <c r="AG105" s="7"/>
      <c r="AH105" s="29"/>
      <c r="AI105" s="7"/>
      <c r="AJ105" s="29"/>
      <c r="AK105" s="7"/>
      <c r="AL105" s="29"/>
      <c r="AM105" s="7"/>
      <c r="AN105" s="29"/>
      <c r="AO105" s="7"/>
      <c r="AP105" s="29"/>
      <c r="AQ105" s="7"/>
      <c r="AR105" s="29"/>
      <c r="AS105" s="32">
        <f t="shared" si="9"/>
        <v>0</v>
      </c>
      <c r="AT105" s="30" t="str">
        <f t="shared" si="10"/>
        <v/>
      </c>
      <c r="AU105" s="29" t="str">
        <f t="shared" si="11"/>
        <v/>
      </c>
      <c r="AV105" s="30" t="str">
        <f t="shared" si="12"/>
        <v/>
      </c>
      <c r="AW105" s="30" t="str">
        <f t="shared" si="13"/>
        <v/>
      </c>
      <c r="AX105" s="29" t="str">
        <f t="shared" si="14"/>
        <v/>
      </c>
      <c r="AY105" s="29" t="str">
        <f>IF(B105="","",COUNTIFS($B$5:B105,B105,$AT$5:AT105,AT105))</f>
        <v/>
      </c>
      <c r="AZ105" s="29" t="str">
        <f>IF(B105="","",COUNTIFS($B$5:B105,B105,$AV$5:AV105,AV105))</f>
        <v/>
      </c>
      <c r="BA105" s="29" t="str">
        <f t="shared" si="15"/>
        <v/>
      </c>
      <c r="BB105" s="29" t="str">
        <f t="shared" si="16"/>
        <v/>
      </c>
      <c r="BC105" s="29">
        <f t="shared" si="17"/>
        <v>0</v>
      </c>
    </row>
    <row r="106" spans="1:55" ht="15" customHeight="1">
      <c r="A106" s="28"/>
      <c r="B106" s="29"/>
      <c r="C106" s="30"/>
      <c r="D106" s="31"/>
      <c r="E106" s="31"/>
      <c r="F106" s="29"/>
      <c r="G106" s="29"/>
      <c r="H106" s="29"/>
      <c r="I106" s="7"/>
      <c r="J106" s="29"/>
      <c r="K106" s="7"/>
      <c r="L106" s="29"/>
      <c r="M106" s="7"/>
      <c r="N106" s="29"/>
      <c r="O106" s="7"/>
      <c r="P106" s="29"/>
      <c r="Q106" s="7"/>
      <c r="R106" s="29"/>
      <c r="S106" s="7"/>
      <c r="T106" s="29"/>
      <c r="U106" s="7"/>
      <c r="V106" s="29"/>
      <c r="W106" s="7"/>
      <c r="X106" s="29"/>
      <c r="Y106" s="7"/>
      <c r="Z106" s="29"/>
      <c r="AA106" s="7"/>
      <c r="AB106" s="29"/>
      <c r="AC106" s="7"/>
      <c r="AD106" s="29"/>
      <c r="AE106" s="7"/>
      <c r="AF106" s="29"/>
      <c r="AG106" s="7"/>
      <c r="AH106" s="29"/>
      <c r="AI106" s="7"/>
      <c r="AJ106" s="29"/>
      <c r="AK106" s="7"/>
      <c r="AL106" s="29"/>
      <c r="AM106" s="7"/>
      <c r="AN106" s="29"/>
      <c r="AO106" s="7"/>
      <c r="AP106" s="29"/>
      <c r="AQ106" s="7"/>
      <c r="AR106" s="29"/>
      <c r="AS106" s="32">
        <f t="shared" si="9"/>
        <v>0</v>
      </c>
      <c r="AT106" s="30" t="str">
        <f t="shared" si="10"/>
        <v/>
      </c>
      <c r="AU106" s="29" t="str">
        <f t="shared" si="11"/>
        <v/>
      </c>
      <c r="AV106" s="30" t="str">
        <f t="shared" si="12"/>
        <v/>
      </c>
      <c r="AW106" s="30" t="str">
        <f t="shared" si="13"/>
        <v/>
      </c>
      <c r="AX106" s="29" t="str">
        <f t="shared" si="14"/>
        <v/>
      </c>
      <c r="AY106" s="29" t="str">
        <f>IF(B106="","",COUNTIFS($B$5:B106,B106,$AT$5:AT106,AT106))</f>
        <v/>
      </c>
      <c r="AZ106" s="29" t="str">
        <f>IF(B106="","",COUNTIFS($B$5:B106,B106,$AV$5:AV106,AV106))</f>
        <v/>
      </c>
      <c r="BA106" s="29" t="str">
        <f t="shared" si="15"/>
        <v/>
      </c>
      <c r="BB106" s="29" t="str">
        <f t="shared" si="16"/>
        <v/>
      </c>
      <c r="BC106" s="29">
        <f t="shared" si="17"/>
        <v>0</v>
      </c>
    </row>
    <row r="107" spans="1:55" ht="15" customHeight="1">
      <c r="A107" s="28"/>
      <c r="B107" s="29"/>
      <c r="C107" s="30"/>
      <c r="D107" s="31"/>
      <c r="E107" s="31"/>
      <c r="F107" s="29"/>
      <c r="G107" s="29"/>
      <c r="H107" s="29"/>
      <c r="I107" s="7"/>
      <c r="J107" s="29"/>
      <c r="K107" s="7"/>
      <c r="L107" s="29"/>
      <c r="M107" s="7"/>
      <c r="N107" s="29"/>
      <c r="O107" s="7"/>
      <c r="P107" s="29"/>
      <c r="Q107" s="7"/>
      <c r="R107" s="29"/>
      <c r="S107" s="7"/>
      <c r="T107" s="29"/>
      <c r="U107" s="7"/>
      <c r="V107" s="29"/>
      <c r="W107" s="7"/>
      <c r="X107" s="29"/>
      <c r="Y107" s="7"/>
      <c r="Z107" s="29"/>
      <c r="AA107" s="7"/>
      <c r="AB107" s="29"/>
      <c r="AC107" s="7"/>
      <c r="AD107" s="29"/>
      <c r="AE107" s="7"/>
      <c r="AF107" s="29"/>
      <c r="AG107" s="7"/>
      <c r="AH107" s="29"/>
      <c r="AI107" s="7"/>
      <c r="AJ107" s="29"/>
      <c r="AK107" s="7"/>
      <c r="AL107" s="29"/>
      <c r="AM107" s="7"/>
      <c r="AN107" s="29"/>
      <c r="AO107" s="7"/>
      <c r="AP107" s="29"/>
      <c r="AQ107" s="7"/>
      <c r="AR107" s="29"/>
      <c r="AS107" s="32">
        <f t="shared" si="9"/>
        <v>0</v>
      </c>
      <c r="AT107" s="30" t="str">
        <f t="shared" si="10"/>
        <v/>
      </c>
      <c r="AU107" s="29" t="str">
        <f t="shared" si="11"/>
        <v/>
      </c>
      <c r="AV107" s="30" t="str">
        <f t="shared" si="12"/>
        <v/>
      </c>
      <c r="AW107" s="30" t="str">
        <f t="shared" si="13"/>
        <v/>
      </c>
      <c r="AX107" s="29" t="str">
        <f t="shared" si="14"/>
        <v/>
      </c>
      <c r="AY107" s="29" t="str">
        <f>IF(B107="","",COUNTIFS($B$5:B107,B107,$AT$5:AT107,AT107))</f>
        <v/>
      </c>
      <c r="AZ107" s="29" t="str">
        <f>IF(B107="","",COUNTIFS($B$5:B107,B107,$AV$5:AV107,AV107))</f>
        <v/>
      </c>
      <c r="BA107" s="29" t="str">
        <f t="shared" si="15"/>
        <v/>
      </c>
      <c r="BB107" s="29" t="str">
        <f t="shared" si="16"/>
        <v/>
      </c>
      <c r="BC107" s="29">
        <f t="shared" si="17"/>
        <v>0</v>
      </c>
    </row>
    <row r="108" spans="1:55" ht="15" customHeight="1">
      <c r="A108" s="28"/>
      <c r="B108" s="29"/>
      <c r="C108" s="30"/>
      <c r="D108" s="31"/>
      <c r="E108" s="31"/>
      <c r="F108" s="29"/>
      <c r="G108" s="29"/>
      <c r="H108" s="29"/>
      <c r="I108" s="7"/>
      <c r="J108" s="29"/>
      <c r="K108" s="7"/>
      <c r="L108" s="29"/>
      <c r="M108" s="7"/>
      <c r="N108" s="29"/>
      <c r="O108" s="7"/>
      <c r="P108" s="29"/>
      <c r="Q108" s="7"/>
      <c r="R108" s="29"/>
      <c r="S108" s="7"/>
      <c r="T108" s="29"/>
      <c r="U108" s="7"/>
      <c r="V108" s="29"/>
      <c r="W108" s="7"/>
      <c r="X108" s="29"/>
      <c r="Y108" s="7"/>
      <c r="Z108" s="29"/>
      <c r="AA108" s="7"/>
      <c r="AB108" s="29"/>
      <c r="AC108" s="7"/>
      <c r="AD108" s="29"/>
      <c r="AE108" s="7"/>
      <c r="AF108" s="29"/>
      <c r="AG108" s="7"/>
      <c r="AH108" s="29"/>
      <c r="AI108" s="7"/>
      <c r="AJ108" s="29"/>
      <c r="AK108" s="7"/>
      <c r="AL108" s="29"/>
      <c r="AM108" s="7"/>
      <c r="AN108" s="29"/>
      <c r="AO108" s="7"/>
      <c r="AP108" s="29"/>
      <c r="AQ108" s="7"/>
      <c r="AR108" s="29"/>
      <c r="AS108" s="32">
        <f t="shared" si="9"/>
        <v>0</v>
      </c>
      <c r="AT108" s="30" t="str">
        <f t="shared" si="10"/>
        <v/>
      </c>
      <c r="AU108" s="29" t="str">
        <f t="shared" si="11"/>
        <v/>
      </c>
      <c r="AV108" s="30" t="str">
        <f t="shared" si="12"/>
        <v/>
      </c>
      <c r="AW108" s="30" t="str">
        <f t="shared" si="13"/>
        <v/>
      </c>
      <c r="AX108" s="29" t="str">
        <f t="shared" si="14"/>
        <v/>
      </c>
      <c r="AY108" s="29" t="str">
        <f>IF(B108="","",COUNTIFS($B$5:B108,B108,$AT$5:AT108,AT108))</f>
        <v/>
      </c>
      <c r="AZ108" s="29" t="str">
        <f>IF(B108="","",COUNTIFS($B$5:B108,B108,$AV$5:AV108,AV108))</f>
        <v/>
      </c>
      <c r="BA108" s="29" t="str">
        <f t="shared" si="15"/>
        <v/>
      </c>
      <c r="BB108" s="29" t="str">
        <f t="shared" si="16"/>
        <v/>
      </c>
      <c r="BC108" s="29">
        <f t="shared" si="17"/>
        <v>0</v>
      </c>
    </row>
    <row r="109" spans="1:55" ht="15" customHeight="1">
      <c r="A109" s="28"/>
      <c r="B109" s="29"/>
      <c r="C109" s="30"/>
      <c r="D109" s="31"/>
      <c r="E109" s="31"/>
      <c r="F109" s="29"/>
      <c r="G109" s="29"/>
      <c r="H109" s="29"/>
      <c r="I109" s="7"/>
      <c r="J109" s="29"/>
      <c r="K109" s="7"/>
      <c r="L109" s="29"/>
      <c r="M109" s="7"/>
      <c r="N109" s="29"/>
      <c r="O109" s="7"/>
      <c r="P109" s="29"/>
      <c r="Q109" s="7"/>
      <c r="R109" s="29"/>
      <c r="S109" s="7"/>
      <c r="T109" s="29"/>
      <c r="U109" s="7"/>
      <c r="V109" s="29"/>
      <c r="W109" s="7"/>
      <c r="X109" s="29"/>
      <c r="Y109" s="7"/>
      <c r="Z109" s="29"/>
      <c r="AA109" s="7"/>
      <c r="AB109" s="29"/>
      <c r="AC109" s="7"/>
      <c r="AD109" s="29"/>
      <c r="AE109" s="7"/>
      <c r="AF109" s="29"/>
      <c r="AG109" s="7"/>
      <c r="AH109" s="29"/>
      <c r="AI109" s="7"/>
      <c r="AJ109" s="29"/>
      <c r="AK109" s="7"/>
      <c r="AL109" s="29"/>
      <c r="AM109" s="7"/>
      <c r="AN109" s="29"/>
      <c r="AO109" s="7"/>
      <c r="AP109" s="29"/>
      <c r="AQ109" s="7"/>
      <c r="AR109" s="29"/>
      <c r="AS109" s="32">
        <f t="shared" si="9"/>
        <v>0</v>
      </c>
      <c r="AT109" s="30" t="str">
        <f t="shared" si="10"/>
        <v/>
      </c>
      <c r="AU109" s="29" t="str">
        <f t="shared" si="11"/>
        <v/>
      </c>
      <c r="AV109" s="30" t="str">
        <f t="shared" si="12"/>
        <v/>
      </c>
      <c r="AW109" s="30" t="str">
        <f t="shared" si="13"/>
        <v/>
      </c>
      <c r="AX109" s="29" t="str">
        <f t="shared" si="14"/>
        <v/>
      </c>
      <c r="AY109" s="29" t="str">
        <f>IF(B109="","",COUNTIFS($B$5:B109,B109,$AT$5:AT109,AT109))</f>
        <v/>
      </c>
      <c r="AZ109" s="29" t="str">
        <f>IF(B109="","",COUNTIFS($B$5:B109,B109,$AV$5:AV109,AV109))</f>
        <v/>
      </c>
      <c r="BA109" s="29" t="str">
        <f t="shared" si="15"/>
        <v/>
      </c>
      <c r="BB109" s="29" t="str">
        <f t="shared" si="16"/>
        <v/>
      </c>
      <c r="BC109" s="29">
        <f t="shared" si="17"/>
        <v>0</v>
      </c>
    </row>
    <row r="110" spans="1:55" ht="15" customHeight="1">
      <c r="A110" s="28"/>
      <c r="B110" s="29"/>
      <c r="C110" s="30"/>
      <c r="D110" s="31"/>
      <c r="E110" s="31"/>
      <c r="F110" s="29"/>
      <c r="G110" s="29"/>
      <c r="H110" s="29"/>
      <c r="I110" s="7"/>
      <c r="J110" s="29"/>
      <c r="K110" s="7"/>
      <c r="L110" s="29"/>
      <c r="M110" s="7"/>
      <c r="N110" s="29"/>
      <c r="O110" s="7"/>
      <c r="P110" s="29"/>
      <c r="Q110" s="7"/>
      <c r="R110" s="29"/>
      <c r="S110" s="7"/>
      <c r="T110" s="29"/>
      <c r="U110" s="7"/>
      <c r="V110" s="29"/>
      <c r="W110" s="7"/>
      <c r="X110" s="29"/>
      <c r="Y110" s="7"/>
      <c r="Z110" s="29"/>
      <c r="AA110" s="7"/>
      <c r="AB110" s="29"/>
      <c r="AC110" s="7"/>
      <c r="AD110" s="29"/>
      <c r="AE110" s="7"/>
      <c r="AF110" s="29"/>
      <c r="AG110" s="7"/>
      <c r="AH110" s="29"/>
      <c r="AI110" s="7"/>
      <c r="AJ110" s="29"/>
      <c r="AK110" s="7"/>
      <c r="AL110" s="29"/>
      <c r="AM110" s="7"/>
      <c r="AN110" s="29"/>
      <c r="AO110" s="7"/>
      <c r="AP110" s="29"/>
      <c r="AQ110" s="7"/>
      <c r="AR110" s="29"/>
      <c r="AS110" s="32">
        <f t="shared" si="9"/>
        <v>0</v>
      </c>
      <c r="AT110" s="30" t="str">
        <f t="shared" si="10"/>
        <v/>
      </c>
      <c r="AU110" s="29" t="str">
        <f t="shared" si="11"/>
        <v/>
      </c>
      <c r="AV110" s="30" t="str">
        <f t="shared" si="12"/>
        <v/>
      </c>
      <c r="AW110" s="30" t="str">
        <f t="shared" si="13"/>
        <v/>
      </c>
      <c r="AX110" s="29" t="str">
        <f t="shared" si="14"/>
        <v/>
      </c>
      <c r="AY110" s="29" t="str">
        <f>IF(B110="","",COUNTIFS($B$5:B110,B110,$AT$5:AT110,AT110))</f>
        <v/>
      </c>
      <c r="AZ110" s="29" t="str">
        <f>IF(B110="","",COUNTIFS($B$5:B110,B110,$AV$5:AV110,AV110))</f>
        <v/>
      </c>
      <c r="BA110" s="29" t="str">
        <f t="shared" si="15"/>
        <v/>
      </c>
      <c r="BB110" s="29" t="str">
        <f t="shared" si="16"/>
        <v/>
      </c>
      <c r="BC110" s="29">
        <f t="shared" si="17"/>
        <v>0</v>
      </c>
    </row>
    <row r="111" spans="1:55" ht="15" customHeight="1">
      <c r="A111" s="28"/>
      <c r="B111" s="29"/>
      <c r="C111" s="30"/>
      <c r="D111" s="31"/>
      <c r="E111" s="31"/>
      <c r="F111" s="29"/>
      <c r="G111" s="29"/>
      <c r="H111" s="29"/>
      <c r="I111" s="7"/>
      <c r="J111" s="29"/>
      <c r="K111" s="7"/>
      <c r="L111" s="29"/>
      <c r="M111" s="7"/>
      <c r="N111" s="29"/>
      <c r="O111" s="7"/>
      <c r="P111" s="29"/>
      <c r="Q111" s="7"/>
      <c r="R111" s="29"/>
      <c r="S111" s="7"/>
      <c r="T111" s="29"/>
      <c r="U111" s="7"/>
      <c r="V111" s="29"/>
      <c r="W111" s="7"/>
      <c r="X111" s="29"/>
      <c r="Y111" s="7"/>
      <c r="Z111" s="29"/>
      <c r="AA111" s="7"/>
      <c r="AB111" s="29"/>
      <c r="AC111" s="7"/>
      <c r="AD111" s="29"/>
      <c r="AE111" s="7"/>
      <c r="AF111" s="29"/>
      <c r="AG111" s="7"/>
      <c r="AH111" s="29"/>
      <c r="AI111" s="7"/>
      <c r="AJ111" s="29"/>
      <c r="AK111" s="7"/>
      <c r="AL111" s="29"/>
      <c r="AM111" s="7"/>
      <c r="AN111" s="29"/>
      <c r="AO111" s="7"/>
      <c r="AP111" s="29"/>
      <c r="AQ111" s="7"/>
      <c r="AR111" s="29"/>
      <c r="AS111" s="32">
        <f t="shared" si="9"/>
        <v>0</v>
      </c>
      <c r="AT111" s="30" t="str">
        <f t="shared" si="10"/>
        <v/>
      </c>
      <c r="AU111" s="29" t="str">
        <f t="shared" si="11"/>
        <v/>
      </c>
      <c r="AV111" s="30" t="str">
        <f t="shared" si="12"/>
        <v/>
      </c>
      <c r="AW111" s="30" t="str">
        <f t="shared" si="13"/>
        <v/>
      </c>
      <c r="AX111" s="29" t="str">
        <f t="shared" si="14"/>
        <v/>
      </c>
      <c r="AY111" s="29" t="str">
        <f>IF(B111="","",COUNTIFS($B$5:B111,B111,$AT$5:AT111,AT111))</f>
        <v/>
      </c>
      <c r="AZ111" s="29" t="str">
        <f>IF(B111="","",COUNTIFS($B$5:B111,B111,$AV$5:AV111,AV111))</f>
        <v/>
      </c>
      <c r="BA111" s="29" t="str">
        <f t="shared" si="15"/>
        <v/>
      </c>
      <c r="BB111" s="29" t="str">
        <f t="shared" si="16"/>
        <v/>
      </c>
      <c r="BC111" s="29">
        <f t="shared" si="17"/>
        <v>0</v>
      </c>
    </row>
    <row r="112" spans="1:55" ht="15" customHeight="1">
      <c r="A112" s="28"/>
      <c r="B112" s="29"/>
      <c r="C112" s="30"/>
      <c r="D112" s="31"/>
      <c r="E112" s="31"/>
      <c r="F112" s="29"/>
      <c r="G112" s="29"/>
      <c r="H112" s="29"/>
      <c r="I112" s="7"/>
      <c r="J112" s="29"/>
      <c r="K112" s="7"/>
      <c r="L112" s="29"/>
      <c r="M112" s="7"/>
      <c r="N112" s="29"/>
      <c r="O112" s="7"/>
      <c r="P112" s="29"/>
      <c r="Q112" s="7"/>
      <c r="R112" s="29"/>
      <c r="S112" s="7"/>
      <c r="T112" s="29"/>
      <c r="U112" s="7"/>
      <c r="V112" s="29"/>
      <c r="W112" s="7"/>
      <c r="X112" s="29"/>
      <c r="Y112" s="7"/>
      <c r="Z112" s="29"/>
      <c r="AA112" s="7"/>
      <c r="AB112" s="29"/>
      <c r="AC112" s="7"/>
      <c r="AD112" s="29"/>
      <c r="AE112" s="7"/>
      <c r="AF112" s="29"/>
      <c r="AG112" s="7"/>
      <c r="AH112" s="29"/>
      <c r="AI112" s="7"/>
      <c r="AJ112" s="29"/>
      <c r="AK112" s="7"/>
      <c r="AL112" s="29"/>
      <c r="AM112" s="7"/>
      <c r="AN112" s="29"/>
      <c r="AO112" s="7"/>
      <c r="AP112" s="29"/>
      <c r="AQ112" s="7"/>
      <c r="AR112" s="29"/>
      <c r="AS112" s="32">
        <f t="shared" si="9"/>
        <v>0</v>
      </c>
      <c r="AT112" s="30" t="str">
        <f t="shared" si="10"/>
        <v/>
      </c>
      <c r="AU112" s="29" t="str">
        <f t="shared" si="11"/>
        <v/>
      </c>
      <c r="AV112" s="30" t="str">
        <f t="shared" si="12"/>
        <v/>
      </c>
      <c r="AW112" s="30" t="str">
        <f t="shared" si="13"/>
        <v/>
      </c>
      <c r="AX112" s="29" t="str">
        <f t="shared" si="14"/>
        <v/>
      </c>
      <c r="AY112" s="29" t="str">
        <f>IF(B112="","",COUNTIFS($B$5:B112,B112,$AT$5:AT112,AT112))</f>
        <v/>
      </c>
      <c r="AZ112" s="29" t="str">
        <f>IF(B112="","",COUNTIFS($B$5:B112,B112,$AV$5:AV112,AV112))</f>
        <v/>
      </c>
      <c r="BA112" s="29" t="str">
        <f t="shared" si="15"/>
        <v/>
      </c>
      <c r="BB112" s="29" t="str">
        <f t="shared" si="16"/>
        <v/>
      </c>
      <c r="BC112" s="29">
        <f t="shared" si="17"/>
        <v>0</v>
      </c>
    </row>
    <row r="113" spans="1:55" ht="15" customHeight="1">
      <c r="A113" s="28"/>
      <c r="B113" s="29"/>
      <c r="C113" s="30"/>
      <c r="D113" s="31"/>
      <c r="E113" s="31"/>
      <c r="F113" s="29"/>
      <c r="G113" s="29"/>
      <c r="H113" s="29"/>
      <c r="I113" s="7"/>
      <c r="J113" s="29"/>
      <c r="K113" s="7"/>
      <c r="L113" s="29"/>
      <c r="M113" s="7"/>
      <c r="N113" s="29"/>
      <c r="O113" s="7"/>
      <c r="P113" s="29"/>
      <c r="Q113" s="7"/>
      <c r="R113" s="29"/>
      <c r="S113" s="7"/>
      <c r="T113" s="29"/>
      <c r="U113" s="7"/>
      <c r="V113" s="29"/>
      <c r="W113" s="7"/>
      <c r="X113" s="29"/>
      <c r="Y113" s="7"/>
      <c r="Z113" s="29"/>
      <c r="AA113" s="7"/>
      <c r="AB113" s="29"/>
      <c r="AC113" s="7"/>
      <c r="AD113" s="29"/>
      <c r="AE113" s="7"/>
      <c r="AF113" s="29"/>
      <c r="AG113" s="7"/>
      <c r="AH113" s="29"/>
      <c r="AI113" s="7"/>
      <c r="AJ113" s="29"/>
      <c r="AK113" s="7"/>
      <c r="AL113" s="29"/>
      <c r="AM113" s="7"/>
      <c r="AN113" s="29"/>
      <c r="AO113" s="7"/>
      <c r="AP113" s="29"/>
      <c r="AQ113" s="7"/>
      <c r="AR113" s="29"/>
      <c r="AS113" s="32">
        <f t="shared" si="9"/>
        <v>0</v>
      </c>
      <c r="AT113" s="30" t="str">
        <f t="shared" si="10"/>
        <v/>
      </c>
      <c r="AU113" s="29" t="str">
        <f t="shared" si="11"/>
        <v/>
      </c>
      <c r="AV113" s="30" t="str">
        <f t="shared" si="12"/>
        <v/>
      </c>
      <c r="AW113" s="30" t="str">
        <f t="shared" si="13"/>
        <v/>
      </c>
      <c r="AX113" s="29" t="str">
        <f t="shared" si="14"/>
        <v/>
      </c>
      <c r="AY113" s="29" t="str">
        <f>IF(B113="","",COUNTIFS($B$5:B113,B113,$AT$5:AT113,AT113))</f>
        <v/>
      </c>
      <c r="AZ113" s="29" t="str">
        <f>IF(B113="","",COUNTIFS($B$5:B113,B113,$AV$5:AV113,AV113))</f>
        <v/>
      </c>
      <c r="BA113" s="29" t="str">
        <f t="shared" si="15"/>
        <v/>
      </c>
      <c r="BB113" s="29" t="str">
        <f t="shared" si="16"/>
        <v/>
      </c>
      <c r="BC113" s="29">
        <f t="shared" si="17"/>
        <v>0</v>
      </c>
    </row>
    <row r="114" spans="1:55" ht="15" customHeight="1">
      <c r="A114" s="28"/>
      <c r="B114" s="29"/>
      <c r="C114" s="30"/>
      <c r="D114" s="31"/>
      <c r="E114" s="31"/>
      <c r="F114" s="29"/>
      <c r="G114" s="29"/>
      <c r="H114" s="29"/>
      <c r="I114" s="7"/>
      <c r="J114" s="29"/>
      <c r="K114" s="7"/>
      <c r="L114" s="29"/>
      <c r="M114" s="7"/>
      <c r="N114" s="29"/>
      <c r="O114" s="7"/>
      <c r="P114" s="29"/>
      <c r="Q114" s="7"/>
      <c r="R114" s="29"/>
      <c r="S114" s="7"/>
      <c r="T114" s="29"/>
      <c r="U114" s="7"/>
      <c r="V114" s="29"/>
      <c r="W114" s="7"/>
      <c r="X114" s="29"/>
      <c r="Y114" s="7"/>
      <c r="Z114" s="29"/>
      <c r="AA114" s="7"/>
      <c r="AB114" s="29"/>
      <c r="AC114" s="7"/>
      <c r="AD114" s="29"/>
      <c r="AE114" s="7"/>
      <c r="AF114" s="29"/>
      <c r="AG114" s="7"/>
      <c r="AH114" s="29"/>
      <c r="AI114" s="7"/>
      <c r="AJ114" s="29"/>
      <c r="AK114" s="7"/>
      <c r="AL114" s="29"/>
      <c r="AM114" s="7"/>
      <c r="AN114" s="29"/>
      <c r="AO114" s="7"/>
      <c r="AP114" s="29"/>
      <c r="AQ114" s="7"/>
      <c r="AR114" s="29"/>
      <c r="AS114" s="32">
        <f t="shared" si="9"/>
        <v>0</v>
      </c>
      <c r="AT114" s="30" t="str">
        <f t="shared" si="10"/>
        <v/>
      </c>
      <c r="AU114" s="29" t="str">
        <f t="shared" si="11"/>
        <v/>
      </c>
      <c r="AV114" s="30" t="str">
        <f t="shared" si="12"/>
        <v/>
      </c>
      <c r="AW114" s="30" t="str">
        <f t="shared" si="13"/>
        <v/>
      </c>
      <c r="AX114" s="29" t="str">
        <f t="shared" si="14"/>
        <v/>
      </c>
      <c r="AY114" s="29" t="str">
        <f>IF(B114="","",COUNTIFS($B$5:B114,B114,$AT$5:AT114,AT114))</f>
        <v/>
      </c>
      <c r="AZ114" s="29" t="str">
        <f>IF(B114="","",COUNTIFS($B$5:B114,B114,$AV$5:AV114,AV114))</f>
        <v/>
      </c>
      <c r="BA114" s="29" t="str">
        <f t="shared" si="15"/>
        <v/>
      </c>
      <c r="BB114" s="29" t="str">
        <f t="shared" si="16"/>
        <v/>
      </c>
      <c r="BC114" s="29">
        <f t="shared" si="17"/>
        <v>0</v>
      </c>
    </row>
    <row r="115" spans="1:55" ht="15" customHeight="1">
      <c r="A115" s="28"/>
      <c r="B115" s="29"/>
      <c r="C115" s="30"/>
      <c r="D115" s="31"/>
      <c r="E115" s="31"/>
      <c r="F115" s="29"/>
      <c r="G115" s="29"/>
      <c r="H115" s="29"/>
      <c r="I115" s="7"/>
      <c r="J115" s="29"/>
      <c r="K115" s="7"/>
      <c r="L115" s="29"/>
      <c r="M115" s="7"/>
      <c r="N115" s="29"/>
      <c r="O115" s="7"/>
      <c r="P115" s="29"/>
      <c r="Q115" s="7"/>
      <c r="R115" s="29"/>
      <c r="S115" s="7"/>
      <c r="T115" s="29"/>
      <c r="U115" s="7"/>
      <c r="V115" s="29"/>
      <c r="W115" s="7"/>
      <c r="X115" s="29"/>
      <c r="Y115" s="7"/>
      <c r="Z115" s="29"/>
      <c r="AA115" s="7"/>
      <c r="AB115" s="29"/>
      <c r="AC115" s="7"/>
      <c r="AD115" s="29"/>
      <c r="AE115" s="7"/>
      <c r="AF115" s="29"/>
      <c r="AG115" s="7"/>
      <c r="AH115" s="29"/>
      <c r="AI115" s="7"/>
      <c r="AJ115" s="29"/>
      <c r="AK115" s="7"/>
      <c r="AL115" s="29"/>
      <c r="AM115" s="7"/>
      <c r="AN115" s="29"/>
      <c r="AO115" s="7"/>
      <c r="AP115" s="29"/>
      <c r="AQ115" s="7"/>
      <c r="AR115" s="29"/>
      <c r="AS115" s="32">
        <f t="shared" si="9"/>
        <v>0</v>
      </c>
      <c r="AT115" s="30" t="str">
        <f t="shared" si="10"/>
        <v/>
      </c>
      <c r="AU115" s="29" t="str">
        <f t="shared" si="11"/>
        <v/>
      </c>
      <c r="AV115" s="30" t="str">
        <f t="shared" si="12"/>
        <v/>
      </c>
      <c r="AW115" s="30" t="str">
        <f t="shared" si="13"/>
        <v/>
      </c>
      <c r="AX115" s="29" t="str">
        <f t="shared" si="14"/>
        <v/>
      </c>
      <c r="AY115" s="29" t="str">
        <f>IF(B115="","",COUNTIFS($B$5:B115,B115,$AT$5:AT115,AT115))</f>
        <v/>
      </c>
      <c r="AZ115" s="29" t="str">
        <f>IF(B115="","",COUNTIFS($B$5:B115,B115,$AV$5:AV115,AV115))</f>
        <v/>
      </c>
      <c r="BA115" s="29" t="str">
        <f t="shared" si="15"/>
        <v/>
      </c>
      <c r="BB115" s="29" t="str">
        <f t="shared" si="16"/>
        <v/>
      </c>
      <c r="BC115" s="29">
        <f t="shared" si="17"/>
        <v>0</v>
      </c>
    </row>
    <row r="116" spans="1:55" ht="15" customHeight="1">
      <c r="A116" s="28"/>
      <c r="B116" s="29"/>
      <c r="C116" s="30"/>
      <c r="D116" s="31"/>
      <c r="E116" s="31"/>
      <c r="F116" s="29"/>
      <c r="G116" s="29"/>
      <c r="H116" s="29"/>
      <c r="I116" s="7"/>
      <c r="J116" s="29"/>
      <c r="K116" s="7"/>
      <c r="L116" s="29"/>
      <c r="M116" s="7"/>
      <c r="N116" s="29"/>
      <c r="O116" s="7"/>
      <c r="P116" s="29"/>
      <c r="Q116" s="7"/>
      <c r="R116" s="29"/>
      <c r="S116" s="7"/>
      <c r="T116" s="29"/>
      <c r="U116" s="7"/>
      <c r="V116" s="29"/>
      <c r="W116" s="7"/>
      <c r="X116" s="29"/>
      <c r="Y116" s="7"/>
      <c r="Z116" s="29"/>
      <c r="AA116" s="7"/>
      <c r="AB116" s="29"/>
      <c r="AC116" s="7"/>
      <c r="AD116" s="29"/>
      <c r="AE116" s="7"/>
      <c r="AF116" s="29"/>
      <c r="AG116" s="7"/>
      <c r="AH116" s="29"/>
      <c r="AI116" s="7"/>
      <c r="AJ116" s="29"/>
      <c r="AK116" s="7"/>
      <c r="AL116" s="29"/>
      <c r="AM116" s="7"/>
      <c r="AN116" s="29"/>
      <c r="AO116" s="7"/>
      <c r="AP116" s="29"/>
      <c r="AQ116" s="7"/>
      <c r="AR116" s="29"/>
      <c r="AS116" s="32">
        <f t="shared" si="9"/>
        <v>0</v>
      </c>
      <c r="AT116" s="30" t="str">
        <f t="shared" si="10"/>
        <v/>
      </c>
      <c r="AU116" s="29" t="str">
        <f t="shared" si="11"/>
        <v/>
      </c>
      <c r="AV116" s="30" t="str">
        <f t="shared" si="12"/>
        <v/>
      </c>
      <c r="AW116" s="30" t="str">
        <f t="shared" si="13"/>
        <v/>
      </c>
      <c r="AX116" s="29" t="str">
        <f t="shared" si="14"/>
        <v/>
      </c>
      <c r="AY116" s="29" t="str">
        <f>IF(B116="","",COUNTIFS($B$5:B116,B116,$AT$5:AT116,AT116))</f>
        <v/>
      </c>
      <c r="AZ116" s="29" t="str">
        <f>IF(B116="","",COUNTIFS($B$5:B116,B116,$AV$5:AV116,AV116))</f>
        <v/>
      </c>
      <c r="BA116" s="29" t="str">
        <f t="shared" si="15"/>
        <v/>
      </c>
      <c r="BB116" s="29" t="str">
        <f t="shared" si="16"/>
        <v/>
      </c>
      <c r="BC116" s="29">
        <f t="shared" si="17"/>
        <v>0</v>
      </c>
    </row>
    <row r="117" spans="1:55" ht="15" customHeight="1">
      <c r="A117" s="28"/>
      <c r="B117" s="29"/>
      <c r="C117" s="30"/>
      <c r="D117" s="31"/>
      <c r="E117" s="31"/>
      <c r="F117" s="29"/>
      <c r="G117" s="29"/>
      <c r="H117" s="29"/>
      <c r="I117" s="7"/>
      <c r="J117" s="29"/>
      <c r="K117" s="7"/>
      <c r="L117" s="29"/>
      <c r="M117" s="7"/>
      <c r="N117" s="29"/>
      <c r="O117" s="7"/>
      <c r="P117" s="29"/>
      <c r="Q117" s="7"/>
      <c r="R117" s="29"/>
      <c r="S117" s="7"/>
      <c r="T117" s="29"/>
      <c r="U117" s="7"/>
      <c r="V117" s="29"/>
      <c r="W117" s="7"/>
      <c r="X117" s="29"/>
      <c r="Y117" s="7"/>
      <c r="Z117" s="29"/>
      <c r="AA117" s="7"/>
      <c r="AB117" s="29"/>
      <c r="AC117" s="7"/>
      <c r="AD117" s="29"/>
      <c r="AE117" s="7"/>
      <c r="AF117" s="29"/>
      <c r="AG117" s="7"/>
      <c r="AH117" s="29"/>
      <c r="AI117" s="7"/>
      <c r="AJ117" s="29"/>
      <c r="AK117" s="7"/>
      <c r="AL117" s="29"/>
      <c r="AM117" s="7"/>
      <c r="AN117" s="29"/>
      <c r="AO117" s="7"/>
      <c r="AP117" s="29"/>
      <c r="AQ117" s="7"/>
      <c r="AR117" s="29"/>
      <c r="AS117" s="32">
        <f t="shared" si="9"/>
        <v>0</v>
      </c>
      <c r="AT117" s="30" t="str">
        <f t="shared" si="10"/>
        <v/>
      </c>
      <c r="AU117" s="29" t="str">
        <f t="shared" si="11"/>
        <v/>
      </c>
      <c r="AV117" s="30" t="str">
        <f t="shared" si="12"/>
        <v/>
      </c>
      <c r="AW117" s="30" t="str">
        <f t="shared" si="13"/>
        <v/>
      </c>
      <c r="AX117" s="29" t="str">
        <f t="shared" si="14"/>
        <v/>
      </c>
      <c r="AY117" s="29" t="str">
        <f>IF(B117="","",COUNTIFS($B$5:B117,B117,$AT$5:AT117,AT117))</f>
        <v/>
      </c>
      <c r="AZ117" s="29" t="str">
        <f>IF(B117="","",COUNTIFS($B$5:B117,B117,$AV$5:AV117,AV117))</f>
        <v/>
      </c>
      <c r="BA117" s="29" t="str">
        <f t="shared" si="15"/>
        <v/>
      </c>
      <c r="BB117" s="29" t="str">
        <f t="shared" si="16"/>
        <v/>
      </c>
      <c r="BC117" s="29">
        <f t="shared" si="17"/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 t="shared" si="9"/>
        <v>0</v>
      </c>
      <c r="AT118" s="30" t="str">
        <f t="shared" si="10"/>
        <v/>
      </c>
      <c r="AU118" s="29" t="str">
        <f t="shared" si="11"/>
        <v/>
      </c>
      <c r="AV118" s="30" t="str">
        <f t="shared" si="12"/>
        <v/>
      </c>
      <c r="AW118" s="30" t="str">
        <f t="shared" si="13"/>
        <v/>
      </c>
      <c r="AX118" s="29" t="str">
        <f t="shared" si="14"/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 t="shared" si="15"/>
        <v/>
      </c>
      <c r="BB118" s="29" t="str">
        <f t="shared" si="16"/>
        <v/>
      </c>
      <c r="BC118" s="29">
        <f t="shared" si="17"/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 t="shared" si="9"/>
        <v>0</v>
      </c>
      <c r="AT119" s="30" t="str">
        <f t="shared" si="10"/>
        <v/>
      </c>
      <c r="AU119" s="29" t="str">
        <f t="shared" si="11"/>
        <v/>
      </c>
      <c r="AV119" s="30" t="str">
        <f t="shared" si="12"/>
        <v/>
      </c>
      <c r="AW119" s="30" t="str">
        <f t="shared" si="13"/>
        <v/>
      </c>
      <c r="AX119" s="29" t="str">
        <f t="shared" si="14"/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 t="shared" si="15"/>
        <v/>
      </c>
      <c r="BB119" s="29" t="str">
        <f t="shared" si="16"/>
        <v/>
      </c>
      <c r="BC119" s="29">
        <f t="shared" si="17"/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 t="shared" si="9"/>
        <v>0</v>
      </c>
      <c r="AT120" s="30" t="str">
        <f t="shared" si="10"/>
        <v/>
      </c>
      <c r="AU120" s="29" t="str">
        <f t="shared" si="11"/>
        <v/>
      </c>
      <c r="AV120" s="30" t="str">
        <f t="shared" si="12"/>
        <v/>
      </c>
      <c r="AW120" s="30" t="str">
        <f t="shared" si="13"/>
        <v/>
      </c>
      <c r="AX120" s="29" t="str">
        <f t="shared" si="14"/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 t="shared" si="15"/>
        <v/>
      </c>
      <c r="BB120" s="29" t="str">
        <f t="shared" si="16"/>
        <v/>
      </c>
      <c r="BC120" s="29">
        <f t="shared" si="17"/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 t="shared" si="9"/>
        <v>0</v>
      </c>
      <c r="AT121" s="30" t="str">
        <f t="shared" si="10"/>
        <v/>
      </c>
      <c r="AU121" s="29" t="str">
        <f t="shared" si="11"/>
        <v/>
      </c>
      <c r="AV121" s="30" t="str">
        <f t="shared" si="12"/>
        <v/>
      </c>
      <c r="AW121" s="30" t="str">
        <f t="shared" si="13"/>
        <v/>
      </c>
      <c r="AX121" s="29" t="str">
        <f t="shared" si="14"/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 t="shared" si="15"/>
        <v/>
      </c>
      <c r="BB121" s="29" t="str">
        <f t="shared" si="16"/>
        <v/>
      </c>
      <c r="BC121" s="29">
        <f t="shared" si="17"/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 t="shared" si="9"/>
        <v>0</v>
      </c>
      <c r="AT122" s="30" t="str">
        <f t="shared" si="10"/>
        <v/>
      </c>
      <c r="AU122" s="29" t="str">
        <f t="shared" si="11"/>
        <v/>
      </c>
      <c r="AV122" s="30" t="str">
        <f t="shared" si="12"/>
        <v/>
      </c>
      <c r="AW122" s="30" t="str">
        <f t="shared" si="13"/>
        <v/>
      </c>
      <c r="AX122" s="29" t="str">
        <f t="shared" si="14"/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 t="shared" si="15"/>
        <v/>
      </c>
      <c r="BB122" s="29" t="str">
        <f t="shared" si="16"/>
        <v/>
      </c>
      <c r="BC122" s="29">
        <f t="shared" si="17"/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 t="shared" si="9"/>
        <v>0</v>
      </c>
      <c r="AT123" s="30" t="str">
        <f t="shared" si="10"/>
        <v/>
      </c>
      <c r="AU123" s="29" t="str">
        <f t="shared" si="11"/>
        <v/>
      </c>
      <c r="AV123" s="30" t="str">
        <f t="shared" si="12"/>
        <v/>
      </c>
      <c r="AW123" s="30" t="str">
        <f t="shared" si="13"/>
        <v/>
      </c>
      <c r="AX123" s="29" t="str">
        <f t="shared" si="14"/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 t="shared" si="15"/>
        <v/>
      </c>
      <c r="BB123" s="29" t="str">
        <f t="shared" si="16"/>
        <v/>
      </c>
      <c r="BC123" s="29">
        <f t="shared" si="17"/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 t="shared" si="9"/>
        <v>0</v>
      </c>
      <c r="AT124" s="30" t="str">
        <f t="shared" si="10"/>
        <v/>
      </c>
      <c r="AU124" s="29" t="str">
        <f t="shared" si="11"/>
        <v/>
      </c>
      <c r="AV124" s="30" t="str">
        <f t="shared" si="12"/>
        <v/>
      </c>
      <c r="AW124" s="30" t="str">
        <f t="shared" si="13"/>
        <v/>
      </c>
      <c r="AX124" s="29" t="str">
        <f t="shared" si="14"/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 t="shared" si="15"/>
        <v/>
      </c>
      <c r="BB124" s="29" t="str">
        <f t="shared" si="16"/>
        <v/>
      </c>
      <c r="BC124" s="29">
        <f t="shared" si="17"/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 t="shared" si="9"/>
        <v>0</v>
      </c>
      <c r="AT125" s="30" t="str">
        <f t="shared" si="10"/>
        <v/>
      </c>
      <c r="AU125" s="29" t="str">
        <f t="shared" si="11"/>
        <v/>
      </c>
      <c r="AV125" s="30" t="str">
        <f t="shared" si="12"/>
        <v/>
      </c>
      <c r="AW125" s="30" t="str">
        <f t="shared" si="13"/>
        <v/>
      </c>
      <c r="AX125" s="29" t="str">
        <f t="shared" si="14"/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 t="shared" si="15"/>
        <v/>
      </c>
      <c r="BB125" s="29" t="str">
        <f t="shared" si="16"/>
        <v/>
      </c>
      <c r="BC125" s="29">
        <f t="shared" si="17"/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 t="shared" si="9"/>
        <v>0</v>
      </c>
      <c r="AT126" s="30" t="str">
        <f t="shared" si="10"/>
        <v/>
      </c>
      <c r="AU126" s="29" t="str">
        <f t="shared" si="11"/>
        <v/>
      </c>
      <c r="AV126" s="30" t="str">
        <f t="shared" si="12"/>
        <v/>
      </c>
      <c r="AW126" s="30" t="str">
        <f t="shared" si="13"/>
        <v/>
      </c>
      <c r="AX126" s="29" t="str">
        <f t="shared" si="14"/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 t="shared" si="15"/>
        <v/>
      </c>
      <c r="BB126" s="29" t="str">
        <f t="shared" si="16"/>
        <v/>
      </c>
      <c r="BC126" s="29">
        <f t="shared" si="17"/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 t="shared" si="9"/>
        <v>0</v>
      </c>
      <c r="AT127" s="30" t="str">
        <f t="shared" si="10"/>
        <v/>
      </c>
      <c r="AU127" s="29" t="str">
        <f t="shared" si="11"/>
        <v/>
      </c>
      <c r="AV127" s="30" t="str">
        <f t="shared" si="12"/>
        <v/>
      </c>
      <c r="AW127" s="30" t="str">
        <f t="shared" si="13"/>
        <v/>
      </c>
      <c r="AX127" s="29" t="str">
        <f t="shared" si="14"/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 t="shared" si="15"/>
        <v/>
      </c>
      <c r="BB127" s="29" t="str">
        <f t="shared" si="16"/>
        <v/>
      </c>
      <c r="BC127" s="29">
        <f t="shared" si="17"/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 t="shared" si="9"/>
        <v>0</v>
      </c>
      <c r="AT128" s="30" t="str">
        <f t="shared" si="10"/>
        <v/>
      </c>
      <c r="AU128" s="29" t="str">
        <f t="shared" si="11"/>
        <v/>
      </c>
      <c r="AV128" s="30" t="str">
        <f t="shared" si="12"/>
        <v/>
      </c>
      <c r="AW128" s="30" t="str">
        <f t="shared" si="13"/>
        <v/>
      </c>
      <c r="AX128" s="29" t="str">
        <f t="shared" si="14"/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 t="shared" si="15"/>
        <v/>
      </c>
      <c r="BB128" s="29" t="str">
        <f t="shared" si="16"/>
        <v/>
      </c>
      <c r="BC128" s="29">
        <f t="shared" si="17"/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 t="shared" si="9"/>
        <v>0</v>
      </c>
      <c r="AT129" s="30" t="str">
        <f t="shared" si="10"/>
        <v/>
      </c>
      <c r="AU129" s="29" t="str">
        <f t="shared" si="11"/>
        <v/>
      </c>
      <c r="AV129" s="30" t="str">
        <f t="shared" si="12"/>
        <v/>
      </c>
      <c r="AW129" s="30" t="str">
        <f t="shared" si="13"/>
        <v/>
      </c>
      <c r="AX129" s="29" t="str">
        <f t="shared" si="14"/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 t="shared" si="15"/>
        <v/>
      </c>
      <c r="BB129" s="29" t="str">
        <f t="shared" si="16"/>
        <v/>
      </c>
      <c r="BC129" s="29">
        <f t="shared" si="17"/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 t="shared" si="9"/>
        <v>0</v>
      </c>
      <c r="AT130" s="30" t="str">
        <f t="shared" si="10"/>
        <v/>
      </c>
      <c r="AU130" s="29" t="str">
        <f t="shared" si="11"/>
        <v/>
      </c>
      <c r="AV130" s="30" t="str">
        <f t="shared" si="12"/>
        <v/>
      </c>
      <c r="AW130" s="30" t="str">
        <f t="shared" si="13"/>
        <v/>
      </c>
      <c r="AX130" s="29" t="str">
        <f t="shared" si="14"/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 t="shared" si="15"/>
        <v/>
      </c>
      <c r="BB130" s="29" t="str">
        <f t="shared" si="16"/>
        <v/>
      </c>
      <c r="BC130" s="29">
        <f t="shared" si="17"/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 t="shared" si="9"/>
        <v>0</v>
      </c>
      <c r="AT131" s="30" t="str">
        <f t="shared" si="10"/>
        <v/>
      </c>
      <c r="AU131" s="29" t="str">
        <f t="shared" si="11"/>
        <v/>
      </c>
      <c r="AV131" s="30" t="str">
        <f t="shared" si="12"/>
        <v/>
      </c>
      <c r="AW131" s="30" t="str">
        <f t="shared" si="13"/>
        <v/>
      </c>
      <c r="AX131" s="29" t="str">
        <f t="shared" si="14"/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 t="shared" si="15"/>
        <v/>
      </c>
      <c r="BB131" s="29" t="str">
        <f t="shared" si="16"/>
        <v/>
      </c>
      <c r="BC131" s="29">
        <f t="shared" si="17"/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 t="shared" si="9"/>
        <v>0</v>
      </c>
      <c r="AT132" s="30" t="str">
        <f t="shared" si="10"/>
        <v/>
      </c>
      <c r="AU132" s="29" t="str">
        <f t="shared" si="11"/>
        <v/>
      </c>
      <c r="AV132" s="30" t="str">
        <f t="shared" si="12"/>
        <v/>
      </c>
      <c r="AW132" s="30" t="str">
        <f t="shared" si="13"/>
        <v/>
      </c>
      <c r="AX132" s="29" t="str">
        <f t="shared" si="14"/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 t="shared" si="15"/>
        <v/>
      </c>
      <c r="BB132" s="29" t="str">
        <f t="shared" si="16"/>
        <v/>
      </c>
      <c r="BC132" s="29">
        <f t="shared" si="17"/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 t="shared" ref="AS133:AS196" si="18">SUM(H133,J133,L133,N133,P133,R133,T133,V133,X133,Z133,AB133,AD133,AF133,AH133,AJ133,AL133,AN133)</f>
        <v>0</v>
      </c>
      <c r="AT133" s="30" t="str">
        <f t="shared" ref="AT133:AT196" si="19">IF(C133="","",DATE(YEAR(C133),MONTH(C133),1))</f>
        <v/>
      </c>
      <c r="AU133" s="29" t="str">
        <f t="shared" ref="AU133:AU196" si="20">IF(AT133="","",TEXT(AT133,"mmmm yyyy"))</f>
        <v/>
      </c>
      <c r="AV133" s="30" t="str">
        <f t="shared" ref="AV133:AV196" si="21">IF(C133="","",C133-WEEKDAY(C133,2)+1)</f>
        <v/>
      </c>
      <c r="AW133" s="30" t="str">
        <f t="shared" ref="AW133:AW196" si="22">IF(AV133="","",AV133+6)</f>
        <v/>
      </c>
      <c r="AX133" s="29" t="str">
        <f t="shared" ref="AX133:AX196" si="23"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 t="shared" ref="BA133:BA196" si="24">IF(B133="","",TEXT(AY133,"00")&amp;"|"&amp;B133&amp;"|"&amp;TEXT(AT133,"yyyymmdd"))</f>
        <v/>
      </c>
      <c r="BB133" s="29" t="str">
        <f t="shared" ref="BB133:BB196" si="25">IF(B133="","",TEXT(AZ133,"00")&amp;"|"&amp;B133&amp;"|"&amp;TEXT(AV133,"yyyymmdd"))</f>
        <v/>
      </c>
      <c r="BC133" s="29">
        <f t="shared" ref="BC133:BC196" si="26"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 t="shared" si="18"/>
        <v>0</v>
      </c>
      <c r="AT134" s="30" t="str">
        <f t="shared" si="19"/>
        <v/>
      </c>
      <c r="AU134" s="29" t="str">
        <f t="shared" si="20"/>
        <v/>
      </c>
      <c r="AV134" s="30" t="str">
        <f t="shared" si="21"/>
        <v/>
      </c>
      <c r="AW134" s="30" t="str">
        <f t="shared" si="22"/>
        <v/>
      </c>
      <c r="AX134" s="29" t="str">
        <f t="shared" si="23"/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 t="shared" si="24"/>
        <v/>
      </c>
      <c r="BB134" s="29" t="str">
        <f t="shared" si="25"/>
        <v/>
      </c>
      <c r="BC134" s="29">
        <f t="shared" si="26"/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 t="shared" si="18"/>
        <v>0</v>
      </c>
      <c r="AT135" s="30" t="str">
        <f t="shared" si="19"/>
        <v/>
      </c>
      <c r="AU135" s="29" t="str">
        <f t="shared" si="20"/>
        <v/>
      </c>
      <c r="AV135" s="30" t="str">
        <f t="shared" si="21"/>
        <v/>
      </c>
      <c r="AW135" s="30" t="str">
        <f t="shared" si="22"/>
        <v/>
      </c>
      <c r="AX135" s="29" t="str">
        <f t="shared" si="23"/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 t="shared" si="24"/>
        <v/>
      </c>
      <c r="BB135" s="29" t="str">
        <f t="shared" si="25"/>
        <v/>
      </c>
      <c r="BC135" s="29">
        <f t="shared" si="26"/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 t="shared" si="18"/>
        <v>0</v>
      </c>
      <c r="AT136" s="30" t="str">
        <f t="shared" si="19"/>
        <v/>
      </c>
      <c r="AU136" s="29" t="str">
        <f t="shared" si="20"/>
        <v/>
      </c>
      <c r="AV136" s="30" t="str">
        <f t="shared" si="21"/>
        <v/>
      </c>
      <c r="AW136" s="30" t="str">
        <f t="shared" si="22"/>
        <v/>
      </c>
      <c r="AX136" s="29" t="str">
        <f t="shared" si="23"/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 t="shared" si="24"/>
        <v/>
      </c>
      <c r="BB136" s="29" t="str">
        <f t="shared" si="25"/>
        <v/>
      </c>
      <c r="BC136" s="29">
        <f t="shared" si="26"/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 t="shared" si="18"/>
        <v>0</v>
      </c>
      <c r="AT137" s="30" t="str">
        <f t="shared" si="19"/>
        <v/>
      </c>
      <c r="AU137" s="29" t="str">
        <f t="shared" si="20"/>
        <v/>
      </c>
      <c r="AV137" s="30" t="str">
        <f t="shared" si="21"/>
        <v/>
      </c>
      <c r="AW137" s="30" t="str">
        <f t="shared" si="22"/>
        <v/>
      </c>
      <c r="AX137" s="29" t="str">
        <f t="shared" si="23"/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 t="shared" si="24"/>
        <v/>
      </c>
      <c r="BB137" s="29" t="str">
        <f t="shared" si="25"/>
        <v/>
      </c>
      <c r="BC137" s="29">
        <f t="shared" si="26"/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 t="shared" si="18"/>
        <v>0</v>
      </c>
      <c r="AT138" s="30" t="str">
        <f t="shared" si="19"/>
        <v/>
      </c>
      <c r="AU138" s="29" t="str">
        <f t="shared" si="20"/>
        <v/>
      </c>
      <c r="AV138" s="30" t="str">
        <f t="shared" si="21"/>
        <v/>
      </c>
      <c r="AW138" s="30" t="str">
        <f t="shared" si="22"/>
        <v/>
      </c>
      <c r="AX138" s="29" t="str">
        <f t="shared" si="23"/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 t="shared" si="24"/>
        <v/>
      </c>
      <c r="BB138" s="29" t="str">
        <f t="shared" si="25"/>
        <v/>
      </c>
      <c r="BC138" s="29">
        <f t="shared" si="26"/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 t="shared" si="18"/>
        <v>0</v>
      </c>
      <c r="AT139" s="30" t="str">
        <f t="shared" si="19"/>
        <v/>
      </c>
      <c r="AU139" s="29" t="str">
        <f t="shared" si="20"/>
        <v/>
      </c>
      <c r="AV139" s="30" t="str">
        <f t="shared" si="21"/>
        <v/>
      </c>
      <c r="AW139" s="30" t="str">
        <f t="shared" si="22"/>
        <v/>
      </c>
      <c r="AX139" s="29" t="str">
        <f t="shared" si="23"/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 t="shared" si="24"/>
        <v/>
      </c>
      <c r="BB139" s="29" t="str">
        <f t="shared" si="25"/>
        <v/>
      </c>
      <c r="BC139" s="29">
        <f t="shared" si="26"/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 t="shared" si="18"/>
        <v>0</v>
      </c>
      <c r="AT140" s="30" t="str">
        <f t="shared" si="19"/>
        <v/>
      </c>
      <c r="AU140" s="29" t="str">
        <f t="shared" si="20"/>
        <v/>
      </c>
      <c r="AV140" s="30" t="str">
        <f t="shared" si="21"/>
        <v/>
      </c>
      <c r="AW140" s="30" t="str">
        <f t="shared" si="22"/>
        <v/>
      </c>
      <c r="AX140" s="29" t="str">
        <f t="shared" si="23"/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 t="shared" si="24"/>
        <v/>
      </c>
      <c r="BB140" s="29" t="str">
        <f t="shared" si="25"/>
        <v/>
      </c>
      <c r="BC140" s="29">
        <f t="shared" si="26"/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 t="shared" si="18"/>
        <v>0</v>
      </c>
      <c r="AT141" s="30" t="str">
        <f t="shared" si="19"/>
        <v/>
      </c>
      <c r="AU141" s="29" t="str">
        <f t="shared" si="20"/>
        <v/>
      </c>
      <c r="AV141" s="30" t="str">
        <f t="shared" si="21"/>
        <v/>
      </c>
      <c r="AW141" s="30" t="str">
        <f t="shared" si="22"/>
        <v/>
      </c>
      <c r="AX141" s="29" t="str">
        <f t="shared" si="23"/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 t="shared" si="24"/>
        <v/>
      </c>
      <c r="BB141" s="29" t="str">
        <f t="shared" si="25"/>
        <v/>
      </c>
      <c r="BC141" s="29">
        <f t="shared" si="26"/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 t="shared" si="18"/>
        <v>0</v>
      </c>
      <c r="AT142" s="30" t="str">
        <f t="shared" si="19"/>
        <v/>
      </c>
      <c r="AU142" s="29" t="str">
        <f t="shared" si="20"/>
        <v/>
      </c>
      <c r="AV142" s="30" t="str">
        <f t="shared" si="21"/>
        <v/>
      </c>
      <c r="AW142" s="30" t="str">
        <f t="shared" si="22"/>
        <v/>
      </c>
      <c r="AX142" s="29" t="str">
        <f t="shared" si="23"/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 t="shared" si="24"/>
        <v/>
      </c>
      <c r="BB142" s="29" t="str">
        <f t="shared" si="25"/>
        <v/>
      </c>
      <c r="BC142" s="29">
        <f t="shared" si="26"/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 t="shared" si="18"/>
        <v>0</v>
      </c>
      <c r="AT143" s="30" t="str">
        <f t="shared" si="19"/>
        <v/>
      </c>
      <c r="AU143" s="29" t="str">
        <f t="shared" si="20"/>
        <v/>
      </c>
      <c r="AV143" s="30" t="str">
        <f t="shared" si="21"/>
        <v/>
      </c>
      <c r="AW143" s="30" t="str">
        <f t="shared" si="22"/>
        <v/>
      </c>
      <c r="AX143" s="29" t="str">
        <f t="shared" si="23"/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 t="shared" si="24"/>
        <v/>
      </c>
      <c r="BB143" s="29" t="str">
        <f t="shared" si="25"/>
        <v/>
      </c>
      <c r="BC143" s="29">
        <f t="shared" si="26"/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 t="shared" si="18"/>
        <v>0</v>
      </c>
      <c r="AT144" s="30" t="str">
        <f t="shared" si="19"/>
        <v/>
      </c>
      <c r="AU144" s="29" t="str">
        <f t="shared" si="20"/>
        <v/>
      </c>
      <c r="AV144" s="30" t="str">
        <f t="shared" si="21"/>
        <v/>
      </c>
      <c r="AW144" s="30" t="str">
        <f t="shared" si="22"/>
        <v/>
      </c>
      <c r="AX144" s="29" t="str">
        <f t="shared" si="23"/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 t="shared" si="24"/>
        <v/>
      </c>
      <c r="BB144" s="29" t="str">
        <f t="shared" si="25"/>
        <v/>
      </c>
      <c r="BC144" s="29">
        <f t="shared" si="26"/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 t="shared" si="18"/>
        <v>0</v>
      </c>
      <c r="AT145" s="30" t="str">
        <f t="shared" si="19"/>
        <v/>
      </c>
      <c r="AU145" s="29" t="str">
        <f t="shared" si="20"/>
        <v/>
      </c>
      <c r="AV145" s="30" t="str">
        <f t="shared" si="21"/>
        <v/>
      </c>
      <c r="AW145" s="30" t="str">
        <f t="shared" si="22"/>
        <v/>
      </c>
      <c r="AX145" s="29" t="str">
        <f t="shared" si="23"/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 t="shared" si="24"/>
        <v/>
      </c>
      <c r="BB145" s="29" t="str">
        <f t="shared" si="25"/>
        <v/>
      </c>
      <c r="BC145" s="29">
        <f t="shared" si="26"/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 t="shared" si="18"/>
        <v>0</v>
      </c>
      <c r="AT146" s="30" t="str">
        <f t="shared" si="19"/>
        <v/>
      </c>
      <c r="AU146" s="29" t="str">
        <f t="shared" si="20"/>
        <v/>
      </c>
      <c r="AV146" s="30" t="str">
        <f t="shared" si="21"/>
        <v/>
      </c>
      <c r="AW146" s="30" t="str">
        <f t="shared" si="22"/>
        <v/>
      </c>
      <c r="AX146" s="29" t="str">
        <f t="shared" si="23"/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 t="shared" si="24"/>
        <v/>
      </c>
      <c r="BB146" s="29" t="str">
        <f t="shared" si="25"/>
        <v/>
      </c>
      <c r="BC146" s="29">
        <f t="shared" si="26"/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 t="shared" si="18"/>
        <v>0</v>
      </c>
      <c r="AT147" s="30" t="str">
        <f t="shared" si="19"/>
        <v/>
      </c>
      <c r="AU147" s="29" t="str">
        <f t="shared" si="20"/>
        <v/>
      </c>
      <c r="AV147" s="30" t="str">
        <f t="shared" si="21"/>
        <v/>
      </c>
      <c r="AW147" s="30" t="str">
        <f t="shared" si="22"/>
        <v/>
      </c>
      <c r="AX147" s="29" t="str">
        <f t="shared" si="23"/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 t="shared" si="24"/>
        <v/>
      </c>
      <c r="BB147" s="29" t="str">
        <f t="shared" si="25"/>
        <v/>
      </c>
      <c r="BC147" s="29">
        <f t="shared" si="26"/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 t="shared" si="18"/>
        <v>0</v>
      </c>
      <c r="AT148" s="30" t="str">
        <f t="shared" si="19"/>
        <v/>
      </c>
      <c r="AU148" s="29" t="str">
        <f t="shared" si="20"/>
        <v/>
      </c>
      <c r="AV148" s="30" t="str">
        <f t="shared" si="21"/>
        <v/>
      </c>
      <c r="AW148" s="30" t="str">
        <f t="shared" si="22"/>
        <v/>
      </c>
      <c r="AX148" s="29" t="str">
        <f t="shared" si="23"/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 t="shared" si="24"/>
        <v/>
      </c>
      <c r="BB148" s="29" t="str">
        <f t="shared" si="25"/>
        <v/>
      </c>
      <c r="BC148" s="29">
        <f t="shared" si="26"/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 t="shared" si="18"/>
        <v>0</v>
      </c>
      <c r="AT149" s="30" t="str">
        <f t="shared" si="19"/>
        <v/>
      </c>
      <c r="AU149" s="29" t="str">
        <f t="shared" si="20"/>
        <v/>
      </c>
      <c r="AV149" s="30" t="str">
        <f t="shared" si="21"/>
        <v/>
      </c>
      <c r="AW149" s="30" t="str">
        <f t="shared" si="22"/>
        <v/>
      </c>
      <c r="AX149" s="29" t="str">
        <f t="shared" si="23"/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 t="shared" si="24"/>
        <v/>
      </c>
      <c r="BB149" s="29" t="str">
        <f t="shared" si="25"/>
        <v/>
      </c>
      <c r="BC149" s="29">
        <f t="shared" si="26"/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 t="shared" si="18"/>
        <v>0</v>
      </c>
      <c r="AT150" s="30" t="str">
        <f t="shared" si="19"/>
        <v/>
      </c>
      <c r="AU150" s="29" t="str">
        <f t="shared" si="20"/>
        <v/>
      </c>
      <c r="AV150" s="30" t="str">
        <f t="shared" si="21"/>
        <v/>
      </c>
      <c r="AW150" s="30" t="str">
        <f t="shared" si="22"/>
        <v/>
      </c>
      <c r="AX150" s="29" t="str">
        <f t="shared" si="23"/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 t="shared" si="24"/>
        <v/>
      </c>
      <c r="BB150" s="29" t="str">
        <f t="shared" si="25"/>
        <v/>
      </c>
      <c r="BC150" s="29">
        <f t="shared" si="26"/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 t="shared" si="18"/>
        <v>0</v>
      </c>
      <c r="AT151" s="30" t="str">
        <f t="shared" si="19"/>
        <v/>
      </c>
      <c r="AU151" s="29" t="str">
        <f t="shared" si="20"/>
        <v/>
      </c>
      <c r="AV151" s="30" t="str">
        <f t="shared" si="21"/>
        <v/>
      </c>
      <c r="AW151" s="30" t="str">
        <f t="shared" si="22"/>
        <v/>
      </c>
      <c r="AX151" s="29" t="str">
        <f t="shared" si="23"/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 t="shared" si="24"/>
        <v/>
      </c>
      <c r="BB151" s="29" t="str">
        <f t="shared" si="25"/>
        <v/>
      </c>
      <c r="BC151" s="29">
        <f t="shared" si="26"/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 t="shared" si="18"/>
        <v>0</v>
      </c>
      <c r="AT152" s="30" t="str">
        <f t="shared" si="19"/>
        <v/>
      </c>
      <c r="AU152" s="29" t="str">
        <f t="shared" si="20"/>
        <v/>
      </c>
      <c r="AV152" s="30" t="str">
        <f t="shared" si="21"/>
        <v/>
      </c>
      <c r="AW152" s="30" t="str">
        <f t="shared" si="22"/>
        <v/>
      </c>
      <c r="AX152" s="29" t="str">
        <f t="shared" si="23"/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 t="shared" si="24"/>
        <v/>
      </c>
      <c r="BB152" s="29" t="str">
        <f t="shared" si="25"/>
        <v/>
      </c>
      <c r="BC152" s="29">
        <f t="shared" si="26"/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 t="shared" si="18"/>
        <v>0</v>
      </c>
      <c r="AT153" s="30" t="str">
        <f t="shared" si="19"/>
        <v/>
      </c>
      <c r="AU153" s="29" t="str">
        <f t="shared" si="20"/>
        <v/>
      </c>
      <c r="AV153" s="30" t="str">
        <f t="shared" si="21"/>
        <v/>
      </c>
      <c r="AW153" s="30" t="str">
        <f t="shared" si="22"/>
        <v/>
      </c>
      <c r="AX153" s="29" t="str">
        <f t="shared" si="23"/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 t="shared" si="24"/>
        <v/>
      </c>
      <c r="BB153" s="29" t="str">
        <f t="shared" si="25"/>
        <v/>
      </c>
      <c r="BC153" s="29">
        <f t="shared" si="26"/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 t="shared" si="18"/>
        <v>0</v>
      </c>
      <c r="AT154" s="30" t="str">
        <f t="shared" si="19"/>
        <v/>
      </c>
      <c r="AU154" s="29" t="str">
        <f t="shared" si="20"/>
        <v/>
      </c>
      <c r="AV154" s="30" t="str">
        <f t="shared" si="21"/>
        <v/>
      </c>
      <c r="AW154" s="30" t="str">
        <f t="shared" si="22"/>
        <v/>
      </c>
      <c r="AX154" s="29" t="str">
        <f t="shared" si="23"/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 t="shared" si="24"/>
        <v/>
      </c>
      <c r="BB154" s="29" t="str">
        <f t="shared" si="25"/>
        <v/>
      </c>
      <c r="BC154" s="29">
        <f t="shared" si="26"/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 t="shared" si="18"/>
        <v>0</v>
      </c>
      <c r="AT155" s="30" t="str">
        <f t="shared" si="19"/>
        <v/>
      </c>
      <c r="AU155" s="29" t="str">
        <f t="shared" si="20"/>
        <v/>
      </c>
      <c r="AV155" s="30" t="str">
        <f t="shared" si="21"/>
        <v/>
      </c>
      <c r="AW155" s="30" t="str">
        <f t="shared" si="22"/>
        <v/>
      </c>
      <c r="AX155" s="29" t="str">
        <f t="shared" si="23"/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 t="shared" si="24"/>
        <v/>
      </c>
      <c r="BB155" s="29" t="str">
        <f t="shared" si="25"/>
        <v/>
      </c>
      <c r="BC155" s="29">
        <f t="shared" si="26"/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 t="shared" si="18"/>
        <v>0</v>
      </c>
      <c r="AT156" s="30" t="str">
        <f t="shared" si="19"/>
        <v/>
      </c>
      <c r="AU156" s="29" t="str">
        <f t="shared" si="20"/>
        <v/>
      </c>
      <c r="AV156" s="30" t="str">
        <f t="shared" si="21"/>
        <v/>
      </c>
      <c r="AW156" s="30" t="str">
        <f t="shared" si="22"/>
        <v/>
      </c>
      <c r="AX156" s="29" t="str">
        <f t="shared" si="23"/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 t="shared" si="24"/>
        <v/>
      </c>
      <c r="BB156" s="29" t="str">
        <f t="shared" si="25"/>
        <v/>
      </c>
      <c r="BC156" s="29">
        <f t="shared" si="26"/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 t="shared" si="18"/>
        <v>0</v>
      </c>
      <c r="AT157" s="30" t="str">
        <f t="shared" si="19"/>
        <v/>
      </c>
      <c r="AU157" s="29" t="str">
        <f t="shared" si="20"/>
        <v/>
      </c>
      <c r="AV157" s="30" t="str">
        <f t="shared" si="21"/>
        <v/>
      </c>
      <c r="AW157" s="30" t="str">
        <f t="shared" si="22"/>
        <v/>
      </c>
      <c r="AX157" s="29" t="str">
        <f t="shared" si="23"/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 t="shared" si="24"/>
        <v/>
      </c>
      <c r="BB157" s="29" t="str">
        <f t="shared" si="25"/>
        <v/>
      </c>
      <c r="BC157" s="29">
        <f t="shared" si="26"/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 t="shared" si="18"/>
        <v>0</v>
      </c>
      <c r="AT158" s="30" t="str">
        <f t="shared" si="19"/>
        <v/>
      </c>
      <c r="AU158" s="29" t="str">
        <f t="shared" si="20"/>
        <v/>
      </c>
      <c r="AV158" s="30" t="str">
        <f t="shared" si="21"/>
        <v/>
      </c>
      <c r="AW158" s="30" t="str">
        <f t="shared" si="22"/>
        <v/>
      </c>
      <c r="AX158" s="29" t="str">
        <f t="shared" si="23"/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 t="shared" si="24"/>
        <v/>
      </c>
      <c r="BB158" s="29" t="str">
        <f t="shared" si="25"/>
        <v/>
      </c>
      <c r="BC158" s="29">
        <f t="shared" si="26"/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 t="shared" si="18"/>
        <v>0</v>
      </c>
      <c r="AT159" s="30" t="str">
        <f t="shared" si="19"/>
        <v/>
      </c>
      <c r="AU159" s="29" t="str">
        <f t="shared" si="20"/>
        <v/>
      </c>
      <c r="AV159" s="30" t="str">
        <f t="shared" si="21"/>
        <v/>
      </c>
      <c r="AW159" s="30" t="str">
        <f t="shared" si="22"/>
        <v/>
      </c>
      <c r="AX159" s="29" t="str">
        <f t="shared" si="23"/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 t="shared" si="24"/>
        <v/>
      </c>
      <c r="BB159" s="29" t="str">
        <f t="shared" si="25"/>
        <v/>
      </c>
      <c r="BC159" s="29">
        <f t="shared" si="26"/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 t="shared" si="18"/>
        <v>0</v>
      </c>
      <c r="AT160" s="30" t="str">
        <f t="shared" si="19"/>
        <v/>
      </c>
      <c r="AU160" s="29" t="str">
        <f t="shared" si="20"/>
        <v/>
      </c>
      <c r="AV160" s="30" t="str">
        <f t="shared" si="21"/>
        <v/>
      </c>
      <c r="AW160" s="30" t="str">
        <f t="shared" si="22"/>
        <v/>
      </c>
      <c r="AX160" s="29" t="str">
        <f t="shared" si="23"/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 t="shared" si="24"/>
        <v/>
      </c>
      <c r="BB160" s="29" t="str">
        <f t="shared" si="25"/>
        <v/>
      </c>
      <c r="BC160" s="29">
        <f t="shared" si="26"/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 t="shared" si="18"/>
        <v>0</v>
      </c>
      <c r="AT161" s="30" t="str">
        <f t="shared" si="19"/>
        <v/>
      </c>
      <c r="AU161" s="29" t="str">
        <f t="shared" si="20"/>
        <v/>
      </c>
      <c r="AV161" s="30" t="str">
        <f t="shared" si="21"/>
        <v/>
      </c>
      <c r="AW161" s="30" t="str">
        <f t="shared" si="22"/>
        <v/>
      </c>
      <c r="AX161" s="29" t="str">
        <f t="shared" si="23"/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 t="shared" si="24"/>
        <v/>
      </c>
      <c r="BB161" s="29" t="str">
        <f t="shared" si="25"/>
        <v/>
      </c>
      <c r="BC161" s="29">
        <f t="shared" si="26"/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 t="shared" si="18"/>
        <v>0</v>
      </c>
      <c r="AT162" s="30" t="str">
        <f t="shared" si="19"/>
        <v/>
      </c>
      <c r="AU162" s="29" t="str">
        <f t="shared" si="20"/>
        <v/>
      </c>
      <c r="AV162" s="30" t="str">
        <f t="shared" si="21"/>
        <v/>
      </c>
      <c r="AW162" s="30" t="str">
        <f t="shared" si="22"/>
        <v/>
      </c>
      <c r="AX162" s="29" t="str">
        <f t="shared" si="23"/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 t="shared" si="24"/>
        <v/>
      </c>
      <c r="BB162" s="29" t="str">
        <f t="shared" si="25"/>
        <v/>
      </c>
      <c r="BC162" s="29">
        <f t="shared" si="26"/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 t="shared" si="18"/>
        <v>0</v>
      </c>
      <c r="AT163" s="30" t="str">
        <f t="shared" si="19"/>
        <v/>
      </c>
      <c r="AU163" s="29" t="str">
        <f t="shared" si="20"/>
        <v/>
      </c>
      <c r="AV163" s="30" t="str">
        <f t="shared" si="21"/>
        <v/>
      </c>
      <c r="AW163" s="30" t="str">
        <f t="shared" si="22"/>
        <v/>
      </c>
      <c r="AX163" s="29" t="str">
        <f t="shared" si="23"/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 t="shared" si="24"/>
        <v/>
      </c>
      <c r="BB163" s="29" t="str">
        <f t="shared" si="25"/>
        <v/>
      </c>
      <c r="BC163" s="29">
        <f t="shared" si="26"/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 t="shared" si="18"/>
        <v>0</v>
      </c>
      <c r="AT164" s="30" t="str">
        <f t="shared" si="19"/>
        <v/>
      </c>
      <c r="AU164" s="29" t="str">
        <f t="shared" si="20"/>
        <v/>
      </c>
      <c r="AV164" s="30" t="str">
        <f t="shared" si="21"/>
        <v/>
      </c>
      <c r="AW164" s="30" t="str">
        <f t="shared" si="22"/>
        <v/>
      </c>
      <c r="AX164" s="29" t="str">
        <f t="shared" si="23"/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 t="shared" si="24"/>
        <v/>
      </c>
      <c r="BB164" s="29" t="str">
        <f t="shared" si="25"/>
        <v/>
      </c>
      <c r="BC164" s="29">
        <f t="shared" si="26"/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 t="shared" si="18"/>
        <v>0</v>
      </c>
      <c r="AT165" s="30" t="str">
        <f t="shared" si="19"/>
        <v/>
      </c>
      <c r="AU165" s="29" t="str">
        <f t="shared" si="20"/>
        <v/>
      </c>
      <c r="AV165" s="30" t="str">
        <f t="shared" si="21"/>
        <v/>
      </c>
      <c r="AW165" s="30" t="str">
        <f t="shared" si="22"/>
        <v/>
      </c>
      <c r="AX165" s="29" t="str">
        <f t="shared" si="23"/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 t="shared" si="24"/>
        <v/>
      </c>
      <c r="BB165" s="29" t="str">
        <f t="shared" si="25"/>
        <v/>
      </c>
      <c r="BC165" s="29">
        <f t="shared" si="26"/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 t="shared" si="18"/>
        <v>0</v>
      </c>
      <c r="AT166" s="30" t="str">
        <f t="shared" si="19"/>
        <v/>
      </c>
      <c r="AU166" s="29" t="str">
        <f t="shared" si="20"/>
        <v/>
      </c>
      <c r="AV166" s="30" t="str">
        <f t="shared" si="21"/>
        <v/>
      </c>
      <c r="AW166" s="30" t="str">
        <f t="shared" si="22"/>
        <v/>
      </c>
      <c r="AX166" s="29" t="str">
        <f t="shared" si="23"/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 t="shared" si="24"/>
        <v/>
      </c>
      <c r="BB166" s="29" t="str">
        <f t="shared" si="25"/>
        <v/>
      </c>
      <c r="BC166" s="29">
        <f t="shared" si="26"/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 t="shared" si="18"/>
        <v>0</v>
      </c>
      <c r="AT167" s="30" t="str">
        <f t="shared" si="19"/>
        <v/>
      </c>
      <c r="AU167" s="29" t="str">
        <f t="shared" si="20"/>
        <v/>
      </c>
      <c r="AV167" s="30" t="str">
        <f t="shared" si="21"/>
        <v/>
      </c>
      <c r="AW167" s="30" t="str">
        <f t="shared" si="22"/>
        <v/>
      </c>
      <c r="AX167" s="29" t="str">
        <f t="shared" si="23"/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 t="shared" si="24"/>
        <v/>
      </c>
      <c r="BB167" s="29" t="str">
        <f t="shared" si="25"/>
        <v/>
      </c>
      <c r="BC167" s="29">
        <f t="shared" si="26"/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 t="shared" si="18"/>
        <v>0</v>
      </c>
      <c r="AT168" s="30" t="str">
        <f t="shared" si="19"/>
        <v/>
      </c>
      <c r="AU168" s="29" t="str">
        <f t="shared" si="20"/>
        <v/>
      </c>
      <c r="AV168" s="30" t="str">
        <f t="shared" si="21"/>
        <v/>
      </c>
      <c r="AW168" s="30" t="str">
        <f t="shared" si="22"/>
        <v/>
      </c>
      <c r="AX168" s="29" t="str">
        <f t="shared" si="23"/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 t="shared" si="24"/>
        <v/>
      </c>
      <c r="BB168" s="29" t="str">
        <f t="shared" si="25"/>
        <v/>
      </c>
      <c r="BC168" s="29">
        <f t="shared" si="26"/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 t="shared" si="18"/>
        <v>0</v>
      </c>
      <c r="AT169" s="30" t="str">
        <f t="shared" si="19"/>
        <v/>
      </c>
      <c r="AU169" s="29" t="str">
        <f t="shared" si="20"/>
        <v/>
      </c>
      <c r="AV169" s="30" t="str">
        <f t="shared" si="21"/>
        <v/>
      </c>
      <c r="AW169" s="30" t="str">
        <f t="shared" si="22"/>
        <v/>
      </c>
      <c r="AX169" s="29" t="str">
        <f t="shared" si="23"/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 t="shared" si="24"/>
        <v/>
      </c>
      <c r="BB169" s="29" t="str">
        <f t="shared" si="25"/>
        <v/>
      </c>
      <c r="BC169" s="29">
        <f t="shared" si="26"/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 t="shared" si="18"/>
        <v>0</v>
      </c>
      <c r="AT170" s="30" t="str">
        <f t="shared" si="19"/>
        <v/>
      </c>
      <c r="AU170" s="29" t="str">
        <f t="shared" si="20"/>
        <v/>
      </c>
      <c r="AV170" s="30" t="str">
        <f t="shared" si="21"/>
        <v/>
      </c>
      <c r="AW170" s="30" t="str">
        <f t="shared" si="22"/>
        <v/>
      </c>
      <c r="AX170" s="29" t="str">
        <f t="shared" si="23"/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 t="shared" si="24"/>
        <v/>
      </c>
      <c r="BB170" s="29" t="str">
        <f t="shared" si="25"/>
        <v/>
      </c>
      <c r="BC170" s="29">
        <f t="shared" si="26"/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 t="shared" si="18"/>
        <v>0</v>
      </c>
      <c r="AT171" s="30" t="str">
        <f t="shared" si="19"/>
        <v/>
      </c>
      <c r="AU171" s="29" t="str">
        <f t="shared" si="20"/>
        <v/>
      </c>
      <c r="AV171" s="30" t="str">
        <f t="shared" si="21"/>
        <v/>
      </c>
      <c r="AW171" s="30" t="str">
        <f t="shared" si="22"/>
        <v/>
      </c>
      <c r="AX171" s="29" t="str">
        <f t="shared" si="23"/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 t="shared" si="24"/>
        <v/>
      </c>
      <c r="BB171" s="29" t="str">
        <f t="shared" si="25"/>
        <v/>
      </c>
      <c r="BC171" s="29">
        <f t="shared" si="26"/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 t="shared" si="18"/>
        <v>0</v>
      </c>
      <c r="AT172" s="30" t="str">
        <f t="shared" si="19"/>
        <v/>
      </c>
      <c r="AU172" s="29" t="str">
        <f t="shared" si="20"/>
        <v/>
      </c>
      <c r="AV172" s="30" t="str">
        <f t="shared" si="21"/>
        <v/>
      </c>
      <c r="AW172" s="30" t="str">
        <f t="shared" si="22"/>
        <v/>
      </c>
      <c r="AX172" s="29" t="str">
        <f t="shared" si="23"/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 t="shared" si="24"/>
        <v/>
      </c>
      <c r="BB172" s="29" t="str">
        <f t="shared" si="25"/>
        <v/>
      </c>
      <c r="BC172" s="29">
        <f t="shared" si="26"/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 t="shared" si="18"/>
        <v>0</v>
      </c>
      <c r="AT173" s="30" t="str">
        <f t="shared" si="19"/>
        <v/>
      </c>
      <c r="AU173" s="29" t="str">
        <f t="shared" si="20"/>
        <v/>
      </c>
      <c r="AV173" s="30" t="str">
        <f t="shared" si="21"/>
        <v/>
      </c>
      <c r="AW173" s="30" t="str">
        <f t="shared" si="22"/>
        <v/>
      </c>
      <c r="AX173" s="29" t="str">
        <f t="shared" si="23"/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 t="shared" si="24"/>
        <v/>
      </c>
      <c r="BB173" s="29" t="str">
        <f t="shared" si="25"/>
        <v/>
      </c>
      <c r="BC173" s="29">
        <f t="shared" si="26"/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 t="shared" si="18"/>
        <v>0</v>
      </c>
      <c r="AT174" s="30" t="str">
        <f t="shared" si="19"/>
        <v/>
      </c>
      <c r="AU174" s="29" t="str">
        <f t="shared" si="20"/>
        <v/>
      </c>
      <c r="AV174" s="30" t="str">
        <f t="shared" si="21"/>
        <v/>
      </c>
      <c r="AW174" s="30" t="str">
        <f t="shared" si="22"/>
        <v/>
      </c>
      <c r="AX174" s="29" t="str">
        <f t="shared" si="23"/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 t="shared" si="24"/>
        <v/>
      </c>
      <c r="BB174" s="29" t="str">
        <f t="shared" si="25"/>
        <v/>
      </c>
      <c r="BC174" s="29">
        <f t="shared" si="26"/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 t="shared" si="18"/>
        <v>0</v>
      </c>
      <c r="AT175" s="30" t="str">
        <f t="shared" si="19"/>
        <v/>
      </c>
      <c r="AU175" s="29" t="str">
        <f t="shared" si="20"/>
        <v/>
      </c>
      <c r="AV175" s="30" t="str">
        <f t="shared" si="21"/>
        <v/>
      </c>
      <c r="AW175" s="30" t="str">
        <f t="shared" si="22"/>
        <v/>
      </c>
      <c r="AX175" s="29" t="str">
        <f t="shared" si="23"/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 t="shared" si="24"/>
        <v/>
      </c>
      <c r="BB175" s="29" t="str">
        <f t="shared" si="25"/>
        <v/>
      </c>
      <c r="BC175" s="29">
        <f t="shared" si="26"/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 t="shared" si="18"/>
        <v>0</v>
      </c>
      <c r="AT176" s="30" t="str">
        <f t="shared" si="19"/>
        <v/>
      </c>
      <c r="AU176" s="29" t="str">
        <f t="shared" si="20"/>
        <v/>
      </c>
      <c r="AV176" s="30" t="str">
        <f t="shared" si="21"/>
        <v/>
      </c>
      <c r="AW176" s="30" t="str">
        <f t="shared" si="22"/>
        <v/>
      </c>
      <c r="AX176" s="29" t="str">
        <f t="shared" si="23"/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 t="shared" si="24"/>
        <v/>
      </c>
      <c r="BB176" s="29" t="str">
        <f t="shared" si="25"/>
        <v/>
      </c>
      <c r="BC176" s="29">
        <f t="shared" si="26"/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 t="shared" si="18"/>
        <v>0</v>
      </c>
      <c r="AT177" s="30" t="str">
        <f t="shared" si="19"/>
        <v/>
      </c>
      <c r="AU177" s="29" t="str">
        <f t="shared" si="20"/>
        <v/>
      </c>
      <c r="AV177" s="30" t="str">
        <f t="shared" si="21"/>
        <v/>
      </c>
      <c r="AW177" s="30" t="str">
        <f t="shared" si="22"/>
        <v/>
      </c>
      <c r="AX177" s="29" t="str">
        <f t="shared" si="23"/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 t="shared" si="24"/>
        <v/>
      </c>
      <c r="BB177" s="29" t="str">
        <f t="shared" si="25"/>
        <v/>
      </c>
      <c r="BC177" s="29">
        <f t="shared" si="26"/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 t="shared" si="18"/>
        <v>0</v>
      </c>
      <c r="AT178" s="30" t="str">
        <f t="shared" si="19"/>
        <v/>
      </c>
      <c r="AU178" s="29" t="str">
        <f t="shared" si="20"/>
        <v/>
      </c>
      <c r="AV178" s="30" t="str">
        <f t="shared" si="21"/>
        <v/>
      </c>
      <c r="AW178" s="30" t="str">
        <f t="shared" si="22"/>
        <v/>
      </c>
      <c r="AX178" s="29" t="str">
        <f t="shared" si="23"/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 t="shared" si="24"/>
        <v/>
      </c>
      <c r="BB178" s="29" t="str">
        <f t="shared" si="25"/>
        <v/>
      </c>
      <c r="BC178" s="29">
        <f t="shared" si="26"/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 t="shared" si="18"/>
        <v>0</v>
      </c>
      <c r="AT179" s="30" t="str">
        <f t="shared" si="19"/>
        <v/>
      </c>
      <c r="AU179" s="29" t="str">
        <f t="shared" si="20"/>
        <v/>
      </c>
      <c r="AV179" s="30" t="str">
        <f t="shared" si="21"/>
        <v/>
      </c>
      <c r="AW179" s="30" t="str">
        <f t="shared" si="22"/>
        <v/>
      </c>
      <c r="AX179" s="29" t="str">
        <f t="shared" si="23"/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 t="shared" si="24"/>
        <v/>
      </c>
      <c r="BB179" s="29" t="str">
        <f t="shared" si="25"/>
        <v/>
      </c>
      <c r="BC179" s="29">
        <f t="shared" si="26"/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 t="shared" si="18"/>
        <v>0</v>
      </c>
      <c r="AT180" s="30" t="str">
        <f t="shared" si="19"/>
        <v/>
      </c>
      <c r="AU180" s="29" t="str">
        <f t="shared" si="20"/>
        <v/>
      </c>
      <c r="AV180" s="30" t="str">
        <f t="shared" si="21"/>
        <v/>
      </c>
      <c r="AW180" s="30" t="str">
        <f t="shared" si="22"/>
        <v/>
      </c>
      <c r="AX180" s="29" t="str">
        <f t="shared" si="23"/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 t="shared" si="24"/>
        <v/>
      </c>
      <c r="BB180" s="29" t="str">
        <f t="shared" si="25"/>
        <v/>
      </c>
      <c r="BC180" s="29">
        <f t="shared" si="26"/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 t="shared" si="18"/>
        <v>0</v>
      </c>
      <c r="AT181" s="30" t="str">
        <f t="shared" si="19"/>
        <v/>
      </c>
      <c r="AU181" s="29" t="str">
        <f t="shared" si="20"/>
        <v/>
      </c>
      <c r="AV181" s="30" t="str">
        <f t="shared" si="21"/>
        <v/>
      </c>
      <c r="AW181" s="30" t="str">
        <f t="shared" si="22"/>
        <v/>
      </c>
      <c r="AX181" s="29" t="str">
        <f t="shared" si="23"/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 t="shared" si="24"/>
        <v/>
      </c>
      <c r="BB181" s="29" t="str">
        <f t="shared" si="25"/>
        <v/>
      </c>
      <c r="BC181" s="29">
        <f t="shared" si="26"/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 t="shared" si="18"/>
        <v>0</v>
      </c>
      <c r="AT182" s="30" t="str">
        <f t="shared" si="19"/>
        <v/>
      </c>
      <c r="AU182" s="29" t="str">
        <f t="shared" si="20"/>
        <v/>
      </c>
      <c r="AV182" s="30" t="str">
        <f t="shared" si="21"/>
        <v/>
      </c>
      <c r="AW182" s="30" t="str">
        <f t="shared" si="22"/>
        <v/>
      </c>
      <c r="AX182" s="29" t="str">
        <f t="shared" si="23"/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 t="shared" si="24"/>
        <v/>
      </c>
      <c r="BB182" s="29" t="str">
        <f t="shared" si="25"/>
        <v/>
      </c>
      <c r="BC182" s="29">
        <f t="shared" si="26"/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 t="shared" si="18"/>
        <v>0</v>
      </c>
      <c r="AT183" s="30" t="str">
        <f t="shared" si="19"/>
        <v/>
      </c>
      <c r="AU183" s="29" t="str">
        <f t="shared" si="20"/>
        <v/>
      </c>
      <c r="AV183" s="30" t="str">
        <f t="shared" si="21"/>
        <v/>
      </c>
      <c r="AW183" s="30" t="str">
        <f t="shared" si="22"/>
        <v/>
      </c>
      <c r="AX183" s="29" t="str">
        <f t="shared" si="23"/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 t="shared" si="24"/>
        <v/>
      </c>
      <c r="BB183" s="29" t="str">
        <f t="shared" si="25"/>
        <v/>
      </c>
      <c r="BC183" s="29">
        <f t="shared" si="26"/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 t="shared" si="18"/>
        <v>0</v>
      </c>
      <c r="AT184" s="30" t="str">
        <f t="shared" si="19"/>
        <v/>
      </c>
      <c r="AU184" s="29" t="str">
        <f t="shared" si="20"/>
        <v/>
      </c>
      <c r="AV184" s="30" t="str">
        <f t="shared" si="21"/>
        <v/>
      </c>
      <c r="AW184" s="30" t="str">
        <f t="shared" si="22"/>
        <v/>
      </c>
      <c r="AX184" s="29" t="str">
        <f t="shared" si="23"/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 t="shared" si="24"/>
        <v/>
      </c>
      <c r="BB184" s="29" t="str">
        <f t="shared" si="25"/>
        <v/>
      </c>
      <c r="BC184" s="29">
        <f t="shared" si="26"/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 t="shared" si="18"/>
        <v>0</v>
      </c>
      <c r="AT185" s="30" t="str">
        <f t="shared" si="19"/>
        <v/>
      </c>
      <c r="AU185" s="29" t="str">
        <f t="shared" si="20"/>
        <v/>
      </c>
      <c r="AV185" s="30" t="str">
        <f t="shared" si="21"/>
        <v/>
      </c>
      <c r="AW185" s="30" t="str">
        <f t="shared" si="22"/>
        <v/>
      </c>
      <c r="AX185" s="29" t="str">
        <f t="shared" si="23"/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 t="shared" si="24"/>
        <v/>
      </c>
      <c r="BB185" s="29" t="str">
        <f t="shared" si="25"/>
        <v/>
      </c>
      <c r="BC185" s="29">
        <f t="shared" si="26"/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 t="shared" si="18"/>
        <v>0</v>
      </c>
      <c r="AT186" s="30" t="str">
        <f t="shared" si="19"/>
        <v/>
      </c>
      <c r="AU186" s="29" t="str">
        <f t="shared" si="20"/>
        <v/>
      </c>
      <c r="AV186" s="30" t="str">
        <f t="shared" si="21"/>
        <v/>
      </c>
      <c r="AW186" s="30" t="str">
        <f t="shared" si="22"/>
        <v/>
      </c>
      <c r="AX186" s="29" t="str">
        <f t="shared" si="23"/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 t="shared" si="24"/>
        <v/>
      </c>
      <c r="BB186" s="29" t="str">
        <f t="shared" si="25"/>
        <v/>
      </c>
      <c r="BC186" s="29">
        <f t="shared" si="26"/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 t="shared" si="18"/>
        <v>0</v>
      </c>
      <c r="AT187" s="30" t="str">
        <f t="shared" si="19"/>
        <v/>
      </c>
      <c r="AU187" s="29" t="str">
        <f t="shared" si="20"/>
        <v/>
      </c>
      <c r="AV187" s="30" t="str">
        <f t="shared" si="21"/>
        <v/>
      </c>
      <c r="AW187" s="30" t="str">
        <f t="shared" si="22"/>
        <v/>
      </c>
      <c r="AX187" s="29" t="str">
        <f t="shared" si="23"/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 t="shared" si="24"/>
        <v/>
      </c>
      <c r="BB187" s="29" t="str">
        <f t="shared" si="25"/>
        <v/>
      </c>
      <c r="BC187" s="29">
        <f t="shared" si="26"/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 t="shared" si="18"/>
        <v>0</v>
      </c>
      <c r="AT188" s="30" t="str">
        <f t="shared" si="19"/>
        <v/>
      </c>
      <c r="AU188" s="29" t="str">
        <f t="shared" si="20"/>
        <v/>
      </c>
      <c r="AV188" s="30" t="str">
        <f t="shared" si="21"/>
        <v/>
      </c>
      <c r="AW188" s="30" t="str">
        <f t="shared" si="22"/>
        <v/>
      </c>
      <c r="AX188" s="29" t="str">
        <f t="shared" si="23"/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 t="shared" si="24"/>
        <v/>
      </c>
      <c r="BB188" s="29" t="str">
        <f t="shared" si="25"/>
        <v/>
      </c>
      <c r="BC188" s="29">
        <f t="shared" si="26"/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 t="shared" si="18"/>
        <v>0</v>
      </c>
      <c r="AT189" s="30" t="str">
        <f t="shared" si="19"/>
        <v/>
      </c>
      <c r="AU189" s="29" t="str">
        <f t="shared" si="20"/>
        <v/>
      </c>
      <c r="AV189" s="30" t="str">
        <f t="shared" si="21"/>
        <v/>
      </c>
      <c r="AW189" s="30" t="str">
        <f t="shared" si="22"/>
        <v/>
      </c>
      <c r="AX189" s="29" t="str">
        <f t="shared" si="23"/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 t="shared" si="24"/>
        <v/>
      </c>
      <c r="BB189" s="29" t="str">
        <f t="shared" si="25"/>
        <v/>
      </c>
      <c r="BC189" s="29">
        <f t="shared" si="26"/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 t="shared" si="18"/>
        <v>0</v>
      </c>
      <c r="AT190" s="30" t="str">
        <f t="shared" si="19"/>
        <v/>
      </c>
      <c r="AU190" s="29" t="str">
        <f t="shared" si="20"/>
        <v/>
      </c>
      <c r="AV190" s="30" t="str">
        <f t="shared" si="21"/>
        <v/>
      </c>
      <c r="AW190" s="30" t="str">
        <f t="shared" si="22"/>
        <v/>
      </c>
      <c r="AX190" s="29" t="str">
        <f t="shared" si="23"/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 t="shared" si="24"/>
        <v/>
      </c>
      <c r="BB190" s="29" t="str">
        <f t="shared" si="25"/>
        <v/>
      </c>
      <c r="BC190" s="29">
        <f t="shared" si="26"/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 t="shared" si="18"/>
        <v>0</v>
      </c>
      <c r="AT191" s="30" t="str">
        <f t="shared" si="19"/>
        <v/>
      </c>
      <c r="AU191" s="29" t="str">
        <f t="shared" si="20"/>
        <v/>
      </c>
      <c r="AV191" s="30" t="str">
        <f t="shared" si="21"/>
        <v/>
      </c>
      <c r="AW191" s="30" t="str">
        <f t="shared" si="22"/>
        <v/>
      </c>
      <c r="AX191" s="29" t="str">
        <f t="shared" si="23"/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 t="shared" si="24"/>
        <v/>
      </c>
      <c r="BB191" s="29" t="str">
        <f t="shared" si="25"/>
        <v/>
      </c>
      <c r="BC191" s="29">
        <f t="shared" si="26"/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 t="shared" si="18"/>
        <v>0</v>
      </c>
      <c r="AT192" s="30" t="str">
        <f t="shared" si="19"/>
        <v/>
      </c>
      <c r="AU192" s="29" t="str">
        <f t="shared" si="20"/>
        <v/>
      </c>
      <c r="AV192" s="30" t="str">
        <f t="shared" si="21"/>
        <v/>
      </c>
      <c r="AW192" s="30" t="str">
        <f t="shared" si="22"/>
        <v/>
      </c>
      <c r="AX192" s="29" t="str">
        <f t="shared" si="23"/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 t="shared" si="24"/>
        <v/>
      </c>
      <c r="BB192" s="29" t="str">
        <f t="shared" si="25"/>
        <v/>
      </c>
      <c r="BC192" s="29">
        <f t="shared" si="26"/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 t="shared" si="18"/>
        <v>0</v>
      </c>
      <c r="AT193" s="30" t="str">
        <f t="shared" si="19"/>
        <v/>
      </c>
      <c r="AU193" s="29" t="str">
        <f t="shared" si="20"/>
        <v/>
      </c>
      <c r="AV193" s="30" t="str">
        <f t="shared" si="21"/>
        <v/>
      </c>
      <c r="AW193" s="30" t="str">
        <f t="shared" si="22"/>
        <v/>
      </c>
      <c r="AX193" s="29" t="str">
        <f t="shared" si="23"/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 t="shared" si="24"/>
        <v/>
      </c>
      <c r="BB193" s="29" t="str">
        <f t="shared" si="25"/>
        <v/>
      </c>
      <c r="BC193" s="29">
        <f t="shared" si="26"/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 t="shared" si="18"/>
        <v>0</v>
      </c>
      <c r="AT194" s="30" t="str">
        <f t="shared" si="19"/>
        <v/>
      </c>
      <c r="AU194" s="29" t="str">
        <f t="shared" si="20"/>
        <v/>
      </c>
      <c r="AV194" s="30" t="str">
        <f t="shared" si="21"/>
        <v/>
      </c>
      <c r="AW194" s="30" t="str">
        <f t="shared" si="22"/>
        <v/>
      </c>
      <c r="AX194" s="29" t="str">
        <f t="shared" si="23"/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 t="shared" si="24"/>
        <v/>
      </c>
      <c r="BB194" s="29" t="str">
        <f t="shared" si="25"/>
        <v/>
      </c>
      <c r="BC194" s="29">
        <f t="shared" si="26"/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 t="shared" si="18"/>
        <v>0</v>
      </c>
      <c r="AT195" s="30" t="str">
        <f t="shared" si="19"/>
        <v/>
      </c>
      <c r="AU195" s="29" t="str">
        <f t="shared" si="20"/>
        <v/>
      </c>
      <c r="AV195" s="30" t="str">
        <f t="shared" si="21"/>
        <v/>
      </c>
      <c r="AW195" s="30" t="str">
        <f t="shared" si="22"/>
        <v/>
      </c>
      <c r="AX195" s="29" t="str">
        <f t="shared" si="23"/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 t="shared" si="24"/>
        <v/>
      </c>
      <c r="BB195" s="29" t="str">
        <f t="shared" si="25"/>
        <v/>
      </c>
      <c r="BC195" s="29">
        <f t="shared" si="26"/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 t="shared" si="18"/>
        <v>0</v>
      </c>
      <c r="AT196" s="30" t="str">
        <f t="shared" si="19"/>
        <v/>
      </c>
      <c r="AU196" s="29" t="str">
        <f t="shared" si="20"/>
        <v/>
      </c>
      <c r="AV196" s="30" t="str">
        <f t="shared" si="21"/>
        <v/>
      </c>
      <c r="AW196" s="30" t="str">
        <f t="shared" si="22"/>
        <v/>
      </c>
      <c r="AX196" s="29" t="str">
        <f t="shared" si="23"/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 t="shared" si="24"/>
        <v/>
      </c>
      <c r="BB196" s="29" t="str">
        <f t="shared" si="25"/>
        <v/>
      </c>
      <c r="BC196" s="29">
        <f t="shared" si="26"/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 t="shared" ref="AS197:AS260" si="27">SUM(H197,J197,L197,N197,P197,R197,T197,V197,X197,Z197,AB197,AD197,AF197,AH197,AJ197,AL197,AN197)</f>
        <v>0</v>
      </c>
      <c r="AT197" s="30" t="str">
        <f t="shared" ref="AT197:AT260" si="28">IF(C197="","",DATE(YEAR(C197),MONTH(C197),1))</f>
        <v/>
      </c>
      <c r="AU197" s="29" t="str">
        <f t="shared" ref="AU197:AU260" si="29">IF(AT197="","",TEXT(AT197,"mmmm yyyy"))</f>
        <v/>
      </c>
      <c r="AV197" s="30" t="str">
        <f t="shared" ref="AV197:AV260" si="30">IF(C197="","",C197-WEEKDAY(C197,2)+1)</f>
        <v/>
      </c>
      <c r="AW197" s="30" t="str">
        <f t="shared" ref="AW197:AW260" si="31">IF(AV197="","",AV197+6)</f>
        <v/>
      </c>
      <c r="AX197" s="29" t="str">
        <f t="shared" ref="AX197:AX260" si="32"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 t="shared" ref="BA197:BA260" si="33">IF(B197="","",TEXT(AY197,"00")&amp;"|"&amp;B197&amp;"|"&amp;TEXT(AT197,"yyyymmdd"))</f>
        <v/>
      </c>
      <c r="BB197" s="29" t="str">
        <f t="shared" ref="BB197:BB260" si="34">IF(B197="","",TEXT(AZ197,"00")&amp;"|"&amp;B197&amp;"|"&amp;TEXT(AV197,"yyyymmdd"))</f>
        <v/>
      </c>
      <c r="BC197" s="29">
        <f t="shared" ref="BC197:BC260" si="35"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 t="shared" si="27"/>
        <v>0</v>
      </c>
      <c r="AT198" s="30" t="str">
        <f t="shared" si="28"/>
        <v/>
      </c>
      <c r="AU198" s="29" t="str">
        <f t="shared" si="29"/>
        <v/>
      </c>
      <c r="AV198" s="30" t="str">
        <f t="shared" si="30"/>
        <v/>
      </c>
      <c r="AW198" s="30" t="str">
        <f t="shared" si="31"/>
        <v/>
      </c>
      <c r="AX198" s="29" t="str">
        <f t="shared" si="32"/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 t="shared" si="33"/>
        <v/>
      </c>
      <c r="BB198" s="29" t="str">
        <f t="shared" si="34"/>
        <v/>
      </c>
      <c r="BC198" s="29">
        <f t="shared" si="35"/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 t="shared" si="27"/>
        <v>0</v>
      </c>
      <c r="AT199" s="30" t="str">
        <f t="shared" si="28"/>
        <v/>
      </c>
      <c r="AU199" s="29" t="str">
        <f t="shared" si="29"/>
        <v/>
      </c>
      <c r="AV199" s="30" t="str">
        <f t="shared" si="30"/>
        <v/>
      </c>
      <c r="AW199" s="30" t="str">
        <f t="shared" si="31"/>
        <v/>
      </c>
      <c r="AX199" s="29" t="str">
        <f t="shared" si="32"/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 t="shared" si="33"/>
        <v/>
      </c>
      <c r="BB199" s="29" t="str">
        <f t="shared" si="34"/>
        <v/>
      </c>
      <c r="BC199" s="29">
        <f t="shared" si="35"/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 t="shared" si="27"/>
        <v>0</v>
      </c>
      <c r="AT200" s="30" t="str">
        <f t="shared" si="28"/>
        <v/>
      </c>
      <c r="AU200" s="29" t="str">
        <f t="shared" si="29"/>
        <v/>
      </c>
      <c r="AV200" s="30" t="str">
        <f t="shared" si="30"/>
        <v/>
      </c>
      <c r="AW200" s="30" t="str">
        <f t="shared" si="31"/>
        <v/>
      </c>
      <c r="AX200" s="29" t="str">
        <f t="shared" si="32"/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 t="shared" si="33"/>
        <v/>
      </c>
      <c r="BB200" s="29" t="str">
        <f t="shared" si="34"/>
        <v/>
      </c>
      <c r="BC200" s="29">
        <f t="shared" si="35"/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 t="shared" si="27"/>
        <v>0</v>
      </c>
      <c r="AT201" s="30" t="str">
        <f t="shared" si="28"/>
        <v/>
      </c>
      <c r="AU201" s="29" t="str">
        <f t="shared" si="29"/>
        <v/>
      </c>
      <c r="AV201" s="30" t="str">
        <f t="shared" si="30"/>
        <v/>
      </c>
      <c r="AW201" s="30" t="str">
        <f t="shared" si="31"/>
        <v/>
      </c>
      <c r="AX201" s="29" t="str">
        <f t="shared" si="32"/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 t="shared" si="33"/>
        <v/>
      </c>
      <c r="BB201" s="29" t="str">
        <f t="shared" si="34"/>
        <v/>
      </c>
      <c r="BC201" s="29">
        <f t="shared" si="35"/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 t="shared" si="27"/>
        <v>0</v>
      </c>
      <c r="AT202" s="30" t="str">
        <f t="shared" si="28"/>
        <v/>
      </c>
      <c r="AU202" s="29" t="str">
        <f t="shared" si="29"/>
        <v/>
      </c>
      <c r="AV202" s="30" t="str">
        <f t="shared" si="30"/>
        <v/>
      </c>
      <c r="AW202" s="30" t="str">
        <f t="shared" si="31"/>
        <v/>
      </c>
      <c r="AX202" s="29" t="str">
        <f t="shared" si="32"/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 t="shared" si="33"/>
        <v/>
      </c>
      <c r="BB202" s="29" t="str">
        <f t="shared" si="34"/>
        <v/>
      </c>
      <c r="BC202" s="29">
        <f t="shared" si="35"/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 t="shared" si="27"/>
        <v>0</v>
      </c>
      <c r="AT203" s="30" t="str">
        <f t="shared" si="28"/>
        <v/>
      </c>
      <c r="AU203" s="29" t="str">
        <f t="shared" si="29"/>
        <v/>
      </c>
      <c r="AV203" s="30" t="str">
        <f t="shared" si="30"/>
        <v/>
      </c>
      <c r="AW203" s="30" t="str">
        <f t="shared" si="31"/>
        <v/>
      </c>
      <c r="AX203" s="29" t="str">
        <f t="shared" si="32"/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 t="shared" si="33"/>
        <v/>
      </c>
      <c r="BB203" s="29" t="str">
        <f t="shared" si="34"/>
        <v/>
      </c>
      <c r="BC203" s="29">
        <f t="shared" si="35"/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 t="shared" si="27"/>
        <v>0</v>
      </c>
      <c r="AT204" s="30" t="str">
        <f t="shared" si="28"/>
        <v/>
      </c>
      <c r="AU204" s="29" t="str">
        <f t="shared" si="29"/>
        <v/>
      </c>
      <c r="AV204" s="30" t="str">
        <f t="shared" si="30"/>
        <v/>
      </c>
      <c r="AW204" s="30" t="str">
        <f t="shared" si="31"/>
        <v/>
      </c>
      <c r="AX204" s="29" t="str">
        <f t="shared" si="32"/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 t="shared" si="33"/>
        <v/>
      </c>
      <c r="BB204" s="29" t="str">
        <f t="shared" si="34"/>
        <v/>
      </c>
      <c r="BC204" s="29">
        <f t="shared" si="35"/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 t="shared" si="27"/>
        <v>0</v>
      </c>
      <c r="AT205" s="30" t="str">
        <f t="shared" si="28"/>
        <v/>
      </c>
      <c r="AU205" s="29" t="str">
        <f t="shared" si="29"/>
        <v/>
      </c>
      <c r="AV205" s="30" t="str">
        <f t="shared" si="30"/>
        <v/>
      </c>
      <c r="AW205" s="30" t="str">
        <f t="shared" si="31"/>
        <v/>
      </c>
      <c r="AX205" s="29" t="str">
        <f t="shared" si="32"/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 t="shared" si="33"/>
        <v/>
      </c>
      <c r="BB205" s="29" t="str">
        <f t="shared" si="34"/>
        <v/>
      </c>
      <c r="BC205" s="29">
        <f t="shared" si="35"/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 t="shared" si="27"/>
        <v>0</v>
      </c>
      <c r="AT206" s="30" t="str">
        <f t="shared" si="28"/>
        <v/>
      </c>
      <c r="AU206" s="29" t="str">
        <f t="shared" si="29"/>
        <v/>
      </c>
      <c r="AV206" s="30" t="str">
        <f t="shared" si="30"/>
        <v/>
      </c>
      <c r="AW206" s="30" t="str">
        <f t="shared" si="31"/>
        <v/>
      </c>
      <c r="AX206" s="29" t="str">
        <f t="shared" si="32"/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 t="shared" si="33"/>
        <v/>
      </c>
      <c r="BB206" s="29" t="str">
        <f t="shared" si="34"/>
        <v/>
      </c>
      <c r="BC206" s="29">
        <f t="shared" si="35"/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 t="shared" si="27"/>
        <v>0</v>
      </c>
      <c r="AT207" s="30" t="str">
        <f t="shared" si="28"/>
        <v/>
      </c>
      <c r="AU207" s="29" t="str">
        <f t="shared" si="29"/>
        <v/>
      </c>
      <c r="AV207" s="30" t="str">
        <f t="shared" si="30"/>
        <v/>
      </c>
      <c r="AW207" s="30" t="str">
        <f t="shared" si="31"/>
        <v/>
      </c>
      <c r="AX207" s="29" t="str">
        <f t="shared" si="32"/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 t="shared" si="33"/>
        <v/>
      </c>
      <c r="BB207" s="29" t="str">
        <f t="shared" si="34"/>
        <v/>
      </c>
      <c r="BC207" s="29">
        <f t="shared" si="35"/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 t="shared" si="27"/>
        <v>0</v>
      </c>
      <c r="AT208" s="30" t="str">
        <f t="shared" si="28"/>
        <v/>
      </c>
      <c r="AU208" s="29" t="str">
        <f t="shared" si="29"/>
        <v/>
      </c>
      <c r="AV208" s="30" t="str">
        <f t="shared" si="30"/>
        <v/>
      </c>
      <c r="AW208" s="30" t="str">
        <f t="shared" si="31"/>
        <v/>
      </c>
      <c r="AX208" s="29" t="str">
        <f t="shared" si="32"/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 t="shared" si="33"/>
        <v/>
      </c>
      <c r="BB208" s="29" t="str">
        <f t="shared" si="34"/>
        <v/>
      </c>
      <c r="BC208" s="29">
        <f t="shared" si="35"/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 t="shared" si="27"/>
        <v>0</v>
      </c>
      <c r="AT209" s="30" t="str">
        <f t="shared" si="28"/>
        <v/>
      </c>
      <c r="AU209" s="29" t="str">
        <f t="shared" si="29"/>
        <v/>
      </c>
      <c r="AV209" s="30" t="str">
        <f t="shared" si="30"/>
        <v/>
      </c>
      <c r="AW209" s="30" t="str">
        <f t="shared" si="31"/>
        <v/>
      </c>
      <c r="AX209" s="29" t="str">
        <f t="shared" si="32"/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 t="shared" si="33"/>
        <v/>
      </c>
      <c r="BB209" s="29" t="str">
        <f t="shared" si="34"/>
        <v/>
      </c>
      <c r="BC209" s="29">
        <f t="shared" si="35"/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 t="shared" si="27"/>
        <v>0</v>
      </c>
      <c r="AT210" s="30" t="str">
        <f t="shared" si="28"/>
        <v/>
      </c>
      <c r="AU210" s="29" t="str">
        <f t="shared" si="29"/>
        <v/>
      </c>
      <c r="AV210" s="30" t="str">
        <f t="shared" si="30"/>
        <v/>
      </c>
      <c r="AW210" s="30" t="str">
        <f t="shared" si="31"/>
        <v/>
      </c>
      <c r="AX210" s="29" t="str">
        <f t="shared" si="32"/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 t="shared" si="33"/>
        <v/>
      </c>
      <c r="BB210" s="29" t="str">
        <f t="shared" si="34"/>
        <v/>
      </c>
      <c r="BC210" s="29">
        <f t="shared" si="35"/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 t="shared" si="27"/>
        <v>0</v>
      </c>
      <c r="AT211" s="30" t="str">
        <f t="shared" si="28"/>
        <v/>
      </c>
      <c r="AU211" s="29" t="str">
        <f t="shared" si="29"/>
        <v/>
      </c>
      <c r="AV211" s="30" t="str">
        <f t="shared" si="30"/>
        <v/>
      </c>
      <c r="AW211" s="30" t="str">
        <f t="shared" si="31"/>
        <v/>
      </c>
      <c r="AX211" s="29" t="str">
        <f t="shared" si="32"/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 t="shared" si="33"/>
        <v/>
      </c>
      <c r="BB211" s="29" t="str">
        <f t="shared" si="34"/>
        <v/>
      </c>
      <c r="BC211" s="29">
        <f t="shared" si="35"/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 t="shared" si="27"/>
        <v>0</v>
      </c>
      <c r="AT212" s="30" t="str">
        <f t="shared" si="28"/>
        <v/>
      </c>
      <c r="AU212" s="29" t="str">
        <f t="shared" si="29"/>
        <v/>
      </c>
      <c r="AV212" s="30" t="str">
        <f t="shared" si="30"/>
        <v/>
      </c>
      <c r="AW212" s="30" t="str">
        <f t="shared" si="31"/>
        <v/>
      </c>
      <c r="AX212" s="29" t="str">
        <f t="shared" si="32"/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 t="shared" si="33"/>
        <v/>
      </c>
      <c r="BB212" s="29" t="str">
        <f t="shared" si="34"/>
        <v/>
      </c>
      <c r="BC212" s="29">
        <f t="shared" si="35"/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 t="shared" si="27"/>
        <v>0</v>
      </c>
      <c r="AT213" s="30" t="str">
        <f t="shared" si="28"/>
        <v/>
      </c>
      <c r="AU213" s="29" t="str">
        <f t="shared" si="29"/>
        <v/>
      </c>
      <c r="AV213" s="30" t="str">
        <f t="shared" si="30"/>
        <v/>
      </c>
      <c r="AW213" s="30" t="str">
        <f t="shared" si="31"/>
        <v/>
      </c>
      <c r="AX213" s="29" t="str">
        <f t="shared" si="32"/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 t="shared" si="33"/>
        <v/>
      </c>
      <c r="BB213" s="29" t="str">
        <f t="shared" si="34"/>
        <v/>
      </c>
      <c r="BC213" s="29">
        <f t="shared" si="35"/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 t="shared" si="27"/>
        <v>0</v>
      </c>
      <c r="AT214" s="30" t="str">
        <f t="shared" si="28"/>
        <v/>
      </c>
      <c r="AU214" s="29" t="str">
        <f t="shared" si="29"/>
        <v/>
      </c>
      <c r="AV214" s="30" t="str">
        <f t="shared" si="30"/>
        <v/>
      </c>
      <c r="AW214" s="30" t="str">
        <f t="shared" si="31"/>
        <v/>
      </c>
      <c r="AX214" s="29" t="str">
        <f t="shared" si="32"/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 t="shared" si="33"/>
        <v/>
      </c>
      <c r="BB214" s="29" t="str">
        <f t="shared" si="34"/>
        <v/>
      </c>
      <c r="BC214" s="29">
        <f t="shared" si="35"/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 t="shared" si="27"/>
        <v>0</v>
      </c>
      <c r="AT215" s="30" t="str">
        <f t="shared" si="28"/>
        <v/>
      </c>
      <c r="AU215" s="29" t="str">
        <f t="shared" si="29"/>
        <v/>
      </c>
      <c r="AV215" s="30" t="str">
        <f t="shared" si="30"/>
        <v/>
      </c>
      <c r="AW215" s="30" t="str">
        <f t="shared" si="31"/>
        <v/>
      </c>
      <c r="AX215" s="29" t="str">
        <f t="shared" si="32"/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 t="shared" si="33"/>
        <v/>
      </c>
      <c r="BB215" s="29" t="str">
        <f t="shared" si="34"/>
        <v/>
      </c>
      <c r="BC215" s="29">
        <f t="shared" si="35"/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 t="shared" si="27"/>
        <v>0</v>
      </c>
      <c r="AT216" s="30" t="str">
        <f t="shared" si="28"/>
        <v/>
      </c>
      <c r="AU216" s="29" t="str">
        <f t="shared" si="29"/>
        <v/>
      </c>
      <c r="AV216" s="30" t="str">
        <f t="shared" si="30"/>
        <v/>
      </c>
      <c r="AW216" s="30" t="str">
        <f t="shared" si="31"/>
        <v/>
      </c>
      <c r="AX216" s="29" t="str">
        <f t="shared" si="32"/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 t="shared" si="33"/>
        <v/>
      </c>
      <c r="BB216" s="29" t="str">
        <f t="shared" si="34"/>
        <v/>
      </c>
      <c r="BC216" s="29">
        <f t="shared" si="35"/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 t="shared" si="27"/>
        <v>0</v>
      </c>
      <c r="AT217" s="30" t="str">
        <f t="shared" si="28"/>
        <v/>
      </c>
      <c r="AU217" s="29" t="str">
        <f t="shared" si="29"/>
        <v/>
      </c>
      <c r="AV217" s="30" t="str">
        <f t="shared" si="30"/>
        <v/>
      </c>
      <c r="AW217" s="30" t="str">
        <f t="shared" si="31"/>
        <v/>
      </c>
      <c r="AX217" s="29" t="str">
        <f t="shared" si="32"/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 t="shared" si="33"/>
        <v/>
      </c>
      <c r="BB217" s="29" t="str">
        <f t="shared" si="34"/>
        <v/>
      </c>
      <c r="BC217" s="29">
        <f t="shared" si="35"/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 t="shared" si="27"/>
        <v>0</v>
      </c>
      <c r="AT218" s="30" t="str">
        <f t="shared" si="28"/>
        <v/>
      </c>
      <c r="AU218" s="29" t="str">
        <f t="shared" si="29"/>
        <v/>
      </c>
      <c r="AV218" s="30" t="str">
        <f t="shared" si="30"/>
        <v/>
      </c>
      <c r="AW218" s="30" t="str">
        <f t="shared" si="31"/>
        <v/>
      </c>
      <c r="AX218" s="29" t="str">
        <f t="shared" si="32"/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 t="shared" si="33"/>
        <v/>
      </c>
      <c r="BB218" s="29" t="str">
        <f t="shared" si="34"/>
        <v/>
      </c>
      <c r="BC218" s="29">
        <f t="shared" si="35"/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 t="shared" si="27"/>
        <v>0</v>
      </c>
      <c r="AT219" s="30" t="str">
        <f t="shared" si="28"/>
        <v/>
      </c>
      <c r="AU219" s="29" t="str">
        <f t="shared" si="29"/>
        <v/>
      </c>
      <c r="AV219" s="30" t="str">
        <f t="shared" si="30"/>
        <v/>
      </c>
      <c r="AW219" s="30" t="str">
        <f t="shared" si="31"/>
        <v/>
      </c>
      <c r="AX219" s="29" t="str">
        <f t="shared" si="32"/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 t="shared" si="33"/>
        <v/>
      </c>
      <c r="BB219" s="29" t="str">
        <f t="shared" si="34"/>
        <v/>
      </c>
      <c r="BC219" s="29">
        <f t="shared" si="35"/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 t="shared" si="27"/>
        <v>0</v>
      </c>
      <c r="AT220" s="30" t="str">
        <f t="shared" si="28"/>
        <v/>
      </c>
      <c r="AU220" s="29" t="str">
        <f t="shared" si="29"/>
        <v/>
      </c>
      <c r="AV220" s="30" t="str">
        <f t="shared" si="30"/>
        <v/>
      </c>
      <c r="AW220" s="30" t="str">
        <f t="shared" si="31"/>
        <v/>
      </c>
      <c r="AX220" s="29" t="str">
        <f t="shared" si="32"/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 t="shared" si="33"/>
        <v/>
      </c>
      <c r="BB220" s="29" t="str">
        <f t="shared" si="34"/>
        <v/>
      </c>
      <c r="BC220" s="29">
        <f t="shared" si="35"/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 t="shared" si="27"/>
        <v>0</v>
      </c>
      <c r="AT221" s="30" t="str">
        <f t="shared" si="28"/>
        <v/>
      </c>
      <c r="AU221" s="29" t="str">
        <f t="shared" si="29"/>
        <v/>
      </c>
      <c r="AV221" s="30" t="str">
        <f t="shared" si="30"/>
        <v/>
      </c>
      <c r="AW221" s="30" t="str">
        <f t="shared" si="31"/>
        <v/>
      </c>
      <c r="AX221" s="29" t="str">
        <f t="shared" si="32"/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 t="shared" si="33"/>
        <v/>
      </c>
      <c r="BB221" s="29" t="str">
        <f t="shared" si="34"/>
        <v/>
      </c>
      <c r="BC221" s="29">
        <f t="shared" si="35"/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 t="shared" si="27"/>
        <v>0</v>
      </c>
      <c r="AT222" s="30" t="str">
        <f t="shared" si="28"/>
        <v/>
      </c>
      <c r="AU222" s="29" t="str">
        <f t="shared" si="29"/>
        <v/>
      </c>
      <c r="AV222" s="30" t="str">
        <f t="shared" si="30"/>
        <v/>
      </c>
      <c r="AW222" s="30" t="str">
        <f t="shared" si="31"/>
        <v/>
      </c>
      <c r="AX222" s="29" t="str">
        <f t="shared" si="32"/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 t="shared" si="33"/>
        <v/>
      </c>
      <c r="BB222" s="29" t="str">
        <f t="shared" si="34"/>
        <v/>
      </c>
      <c r="BC222" s="29">
        <f t="shared" si="35"/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 t="shared" si="27"/>
        <v>0</v>
      </c>
      <c r="AT223" s="30" t="str">
        <f t="shared" si="28"/>
        <v/>
      </c>
      <c r="AU223" s="29" t="str">
        <f t="shared" si="29"/>
        <v/>
      </c>
      <c r="AV223" s="30" t="str">
        <f t="shared" si="30"/>
        <v/>
      </c>
      <c r="AW223" s="30" t="str">
        <f t="shared" si="31"/>
        <v/>
      </c>
      <c r="AX223" s="29" t="str">
        <f t="shared" si="32"/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 t="shared" si="33"/>
        <v/>
      </c>
      <c r="BB223" s="29" t="str">
        <f t="shared" si="34"/>
        <v/>
      </c>
      <c r="BC223" s="29">
        <f t="shared" si="35"/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 t="shared" si="27"/>
        <v>0</v>
      </c>
      <c r="AT224" s="30" t="str">
        <f t="shared" si="28"/>
        <v/>
      </c>
      <c r="AU224" s="29" t="str">
        <f t="shared" si="29"/>
        <v/>
      </c>
      <c r="AV224" s="30" t="str">
        <f t="shared" si="30"/>
        <v/>
      </c>
      <c r="AW224" s="30" t="str">
        <f t="shared" si="31"/>
        <v/>
      </c>
      <c r="AX224" s="29" t="str">
        <f t="shared" si="32"/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 t="shared" si="33"/>
        <v/>
      </c>
      <c r="BB224" s="29" t="str">
        <f t="shared" si="34"/>
        <v/>
      </c>
      <c r="BC224" s="29">
        <f t="shared" si="35"/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 t="shared" si="27"/>
        <v>0</v>
      </c>
      <c r="AT225" s="30" t="str">
        <f t="shared" si="28"/>
        <v/>
      </c>
      <c r="AU225" s="29" t="str">
        <f t="shared" si="29"/>
        <v/>
      </c>
      <c r="AV225" s="30" t="str">
        <f t="shared" si="30"/>
        <v/>
      </c>
      <c r="AW225" s="30" t="str">
        <f t="shared" si="31"/>
        <v/>
      </c>
      <c r="AX225" s="29" t="str">
        <f t="shared" si="32"/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 t="shared" si="33"/>
        <v/>
      </c>
      <c r="BB225" s="29" t="str">
        <f t="shared" si="34"/>
        <v/>
      </c>
      <c r="BC225" s="29">
        <f t="shared" si="35"/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 t="shared" si="27"/>
        <v>0</v>
      </c>
      <c r="AT226" s="30" t="str">
        <f t="shared" si="28"/>
        <v/>
      </c>
      <c r="AU226" s="29" t="str">
        <f t="shared" si="29"/>
        <v/>
      </c>
      <c r="AV226" s="30" t="str">
        <f t="shared" si="30"/>
        <v/>
      </c>
      <c r="AW226" s="30" t="str">
        <f t="shared" si="31"/>
        <v/>
      </c>
      <c r="AX226" s="29" t="str">
        <f t="shared" si="32"/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 t="shared" si="33"/>
        <v/>
      </c>
      <c r="BB226" s="29" t="str">
        <f t="shared" si="34"/>
        <v/>
      </c>
      <c r="BC226" s="29">
        <f t="shared" si="35"/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 t="shared" si="27"/>
        <v>0</v>
      </c>
      <c r="AT227" s="30" t="str">
        <f t="shared" si="28"/>
        <v/>
      </c>
      <c r="AU227" s="29" t="str">
        <f t="shared" si="29"/>
        <v/>
      </c>
      <c r="AV227" s="30" t="str">
        <f t="shared" si="30"/>
        <v/>
      </c>
      <c r="AW227" s="30" t="str">
        <f t="shared" si="31"/>
        <v/>
      </c>
      <c r="AX227" s="29" t="str">
        <f t="shared" si="32"/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 t="shared" si="33"/>
        <v/>
      </c>
      <c r="BB227" s="29" t="str">
        <f t="shared" si="34"/>
        <v/>
      </c>
      <c r="BC227" s="29">
        <f t="shared" si="35"/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 t="shared" si="27"/>
        <v>0</v>
      </c>
      <c r="AT228" s="30" t="str">
        <f t="shared" si="28"/>
        <v/>
      </c>
      <c r="AU228" s="29" t="str">
        <f t="shared" si="29"/>
        <v/>
      </c>
      <c r="AV228" s="30" t="str">
        <f t="shared" si="30"/>
        <v/>
      </c>
      <c r="AW228" s="30" t="str">
        <f t="shared" si="31"/>
        <v/>
      </c>
      <c r="AX228" s="29" t="str">
        <f t="shared" si="32"/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 t="shared" si="33"/>
        <v/>
      </c>
      <c r="BB228" s="29" t="str">
        <f t="shared" si="34"/>
        <v/>
      </c>
      <c r="BC228" s="29">
        <f t="shared" si="35"/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 t="shared" si="27"/>
        <v>0</v>
      </c>
      <c r="AT229" s="30" t="str">
        <f t="shared" si="28"/>
        <v/>
      </c>
      <c r="AU229" s="29" t="str">
        <f t="shared" si="29"/>
        <v/>
      </c>
      <c r="AV229" s="30" t="str">
        <f t="shared" si="30"/>
        <v/>
      </c>
      <c r="AW229" s="30" t="str">
        <f t="shared" si="31"/>
        <v/>
      </c>
      <c r="AX229" s="29" t="str">
        <f t="shared" si="32"/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 t="shared" si="33"/>
        <v/>
      </c>
      <c r="BB229" s="29" t="str">
        <f t="shared" si="34"/>
        <v/>
      </c>
      <c r="BC229" s="29">
        <f t="shared" si="35"/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 t="shared" si="27"/>
        <v>0</v>
      </c>
      <c r="AT230" s="30" t="str">
        <f t="shared" si="28"/>
        <v/>
      </c>
      <c r="AU230" s="29" t="str">
        <f t="shared" si="29"/>
        <v/>
      </c>
      <c r="AV230" s="30" t="str">
        <f t="shared" si="30"/>
        <v/>
      </c>
      <c r="AW230" s="30" t="str">
        <f t="shared" si="31"/>
        <v/>
      </c>
      <c r="AX230" s="29" t="str">
        <f t="shared" si="32"/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 t="shared" si="33"/>
        <v/>
      </c>
      <c r="BB230" s="29" t="str">
        <f t="shared" si="34"/>
        <v/>
      </c>
      <c r="BC230" s="29">
        <f t="shared" si="35"/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 t="shared" si="27"/>
        <v>0</v>
      </c>
      <c r="AT231" s="30" t="str">
        <f t="shared" si="28"/>
        <v/>
      </c>
      <c r="AU231" s="29" t="str">
        <f t="shared" si="29"/>
        <v/>
      </c>
      <c r="AV231" s="30" t="str">
        <f t="shared" si="30"/>
        <v/>
      </c>
      <c r="AW231" s="30" t="str">
        <f t="shared" si="31"/>
        <v/>
      </c>
      <c r="AX231" s="29" t="str">
        <f t="shared" si="32"/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 t="shared" si="33"/>
        <v/>
      </c>
      <c r="BB231" s="29" t="str">
        <f t="shared" si="34"/>
        <v/>
      </c>
      <c r="BC231" s="29">
        <f t="shared" si="35"/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 t="shared" si="27"/>
        <v>0</v>
      </c>
      <c r="AT232" s="30" t="str">
        <f t="shared" si="28"/>
        <v/>
      </c>
      <c r="AU232" s="29" t="str">
        <f t="shared" si="29"/>
        <v/>
      </c>
      <c r="AV232" s="30" t="str">
        <f t="shared" si="30"/>
        <v/>
      </c>
      <c r="AW232" s="30" t="str">
        <f t="shared" si="31"/>
        <v/>
      </c>
      <c r="AX232" s="29" t="str">
        <f t="shared" si="32"/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 t="shared" si="33"/>
        <v/>
      </c>
      <c r="BB232" s="29" t="str">
        <f t="shared" si="34"/>
        <v/>
      </c>
      <c r="BC232" s="29">
        <f t="shared" si="35"/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 t="shared" si="27"/>
        <v>0</v>
      </c>
      <c r="AT233" s="30" t="str">
        <f t="shared" si="28"/>
        <v/>
      </c>
      <c r="AU233" s="29" t="str">
        <f t="shared" si="29"/>
        <v/>
      </c>
      <c r="AV233" s="30" t="str">
        <f t="shared" si="30"/>
        <v/>
      </c>
      <c r="AW233" s="30" t="str">
        <f t="shared" si="31"/>
        <v/>
      </c>
      <c r="AX233" s="29" t="str">
        <f t="shared" si="32"/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 t="shared" si="33"/>
        <v/>
      </c>
      <c r="BB233" s="29" t="str">
        <f t="shared" si="34"/>
        <v/>
      </c>
      <c r="BC233" s="29">
        <f t="shared" si="35"/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 t="shared" si="27"/>
        <v>0</v>
      </c>
      <c r="AT234" s="30" t="str">
        <f t="shared" si="28"/>
        <v/>
      </c>
      <c r="AU234" s="29" t="str">
        <f t="shared" si="29"/>
        <v/>
      </c>
      <c r="AV234" s="30" t="str">
        <f t="shared" si="30"/>
        <v/>
      </c>
      <c r="AW234" s="30" t="str">
        <f t="shared" si="31"/>
        <v/>
      </c>
      <c r="AX234" s="29" t="str">
        <f t="shared" si="32"/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 t="shared" si="33"/>
        <v/>
      </c>
      <c r="BB234" s="29" t="str">
        <f t="shared" si="34"/>
        <v/>
      </c>
      <c r="BC234" s="29">
        <f t="shared" si="35"/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 t="shared" si="27"/>
        <v>0</v>
      </c>
      <c r="AT235" s="30" t="str">
        <f t="shared" si="28"/>
        <v/>
      </c>
      <c r="AU235" s="29" t="str">
        <f t="shared" si="29"/>
        <v/>
      </c>
      <c r="AV235" s="30" t="str">
        <f t="shared" si="30"/>
        <v/>
      </c>
      <c r="AW235" s="30" t="str">
        <f t="shared" si="31"/>
        <v/>
      </c>
      <c r="AX235" s="29" t="str">
        <f t="shared" si="32"/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 t="shared" si="33"/>
        <v/>
      </c>
      <c r="BB235" s="29" t="str">
        <f t="shared" si="34"/>
        <v/>
      </c>
      <c r="BC235" s="29">
        <f t="shared" si="35"/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 t="shared" si="27"/>
        <v>0</v>
      </c>
      <c r="AT236" s="30" t="str">
        <f t="shared" si="28"/>
        <v/>
      </c>
      <c r="AU236" s="29" t="str">
        <f t="shared" si="29"/>
        <v/>
      </c>
      <c r="AV236" s="30" t="str">
        <f t="shared" si="30"/>
        <v/>
      </c>
      <c r="AW236" s="30" t="str">
        <f t="shared" si="31"/>
        <v/>
      </c>
      <c r="AX236" s="29" t="str">
        <f t="shared" si="32"/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 t="shared" si="33"/>
        <v/>
      </c>
      <c r="BB236" s="29" t="str">
        <f t="shared" si="34"/>
        <v/>
      </c>
      <c r="BC236" s="29">
        <f t="shared" si="35"/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 t="shared" si="27"/>
        <v>0</v>
      </c>
      <c r="AT237" s="30" t="str">
        <f t="shared" si="28"/>
        <v/>
      </c>
      <c r="AU237" s="29" t="str">
        <f t="shared" si="29"/>
        <v/>
      </c>
      <c r="AV237" s="30" t="str">
        <f t="shared" si="30"/>
        <v/>
      </c>
      <c r="AW237" s="30" t="str">
        <f t="shared" si="31"/>
        <v/>
      </c>
      <c r="AX237" s="29" t="str">
        <f t="shared" si="32"/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 t="shared" si="33"/>
        <v/>
      </c>
      <c r="BB237" s="29" t="str">
        <f t="shared" si="34"/>
        <v/>
      </c>
      <c r="BC237" s="29">
        <f t="shared" si="35"/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 t="shared" si="27"/>
        <v>0</v>
      </c>
      <c r="AT238" s="30" t="str">
        <f t="shared" si="28"/>
        <v/>
      </c>
      <c r="AU238" s="29" t="str">
        <f t="shared" si="29"/>
        <v/>
      </c>
      <c r="AV238" s="30" t="str">
        <f t="shared" si="30"/>
        <v/>
      </c>
      <c r="AW238" s="30" t="str">
        <f t="shared" si="31"/>
        <v/>
      </c>
      <c r="AX238" s="29" t="str">
        <f t="shared" si="32"/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 t="shared" si="33"/>
        <v/>
      </c>
      <c r="BB238" s="29" t="str">
        <f t="shared" si="34"/>
        <v/>
      </c>
      <c r="BC238" s="29">
        <f t="shared" si="35"/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 t="shared" si="27"/>
        <v>0</v>
      </c>
      <c r="AT239" s="30" t="str">
        <f t="shared" si="28"/>
        <v/>
      </c>
      <c r="AU239" s="29" t="str">
        <f t="shared" si="29"/>
        <v/>
      </c>
      <c r="AV239" s="30" t="str">
        <f t="shared" si="30"/>
        <v/>
      </c>
      <c r="AW239" s="30" t="str">
        <f t="shared" si="31"/>
        <v/>
      </c>
      <c r="AX239" s="29" t="str">
        <f t="shared" si="32"/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 t="shared" si="33"/>
        <v/>
      </c>
      <c r="BB239" s="29" t="str">
        <f t="shared" si="34"/>
        <v/>
      </c>
      <c r="BC239" s="29">
        <f t="shared" si="35"/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 t="shared" si="27"/>
        <v>0</v>
      </c>
      <c r="AT240" s="30" t="str">
        <f t="shared" si="28"/>
        <v/>
      </c>
      <c r="AU240" s="29" t="str">
        <f t="shared" si="29"/>
        <v/>
      </c>
      <c r="AV240" s="30" t="str">
        <f t="shared" si="30"/>
        <v/>
      </c>
      <c r="AW240" s="30" t="str">
        <f t="shared" si="31"/>
        <v/>
      </c>
      <c r="AX240" s="29" t="str">
        <f t="shared" si="32"/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 t="shared" si="33"/>
        <v/>
      </c>
      <c r="BB240" s="29" t="str">
        <f t="shared" si="34"/>
        <v/>
      </c>
      <c r="BC240" s="29">
        <f t="shared" si="35"/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 t="shared" si="27"/>
        <v>0</v>
      </c>
      <c r="AT241" s="30" t="str">
        <f t="shared" si="28"/>
        <v/>
      </c>
      <c r="AU241" s="29" t="str">
        <f t="shared" si="29"/>
        <v/>
      </c>
      <c r="AV241" s="30" t="str">
        <f t="shared" si="30"/>
        <v/>
      </c>
      <c r="AW241" s="30" t="str">
        <f t="shared" si="31"/>
        <v/>
      </c>
      <c r="AX241" s="29" t="str">
        <f t="shared" si="32"/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 t="shared" si="33"/>
        <v/>
      </c>
      <c r="BB241" s="29" t="str">
        <f t="shared" si="34"/>
        <v/>
      </c>
      <c r="BC241" s="29">
        <f t="shared" si="35"/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 t="shared" si="27"/>
        <v>0</v>
      </c>
      <c r="AT242" s="30" t="str">
        <f t="shared" si="28"/>
        <v/>
      </c>
      <c r="AU242" s="29" t="str">
        <f t="shared" si="29"/>
        <v/>
      </c>
      <c r="AV242" s="30" t="str">
        <f t="shared" si="30"/>
        <v/>
      </c>
      <c r="AW242" s="30" t="str">
        <f t="shared" si="31"/>
        <v/>
      </c>
      <c r="AX242" s="29" t="str">
        <f t="shared" si="32"/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 t="shared" si="33"/>
        <v/>
      </c>
      <c r="BB242" s="29" t="str">
        <f t="shared" si="34"/>
        <v/>
      </c>
      <c r="BC242" s="29">
        <f t="shared" si="35"/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 t="shared" si="27"/>
        <v>0</v>
      </c>
      <c r="AT243" s="30" t="str">
        <f t="shared" si="28"/>
        <v/>
      </c>
      <c r="AU243" s="29" t="str">
        <f t="shared" si="29"/>
        <v/>
      </c>
      <c r="AV243" s="30" t="str">
        <f t="shared" si="30"/>
        <v/>
      </c>
      <c r="AW243" s="30" t="str">
        <f t="shared" si="31"/>
        <v/>
      </c>
      <c r="AX243" s="29" t="str">
        <f t="shared" si="32"/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 t="shared" si="33"/>
        <v/>
      </c>
      <c r="BB243" s="29" t="str">
        <f t="shared" si="34"/>
        <v/>
      </c>
      <c r="BC243" s="29">
        <f t="shared" si="35"/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 t="shared" si="27"/>
        <v>0</v>
      </c>
      <c r="AT244" s="30" t="str">
        <f t="shared" si="28"/>
        <v/>
      </c>
      <c r="AU244" s="29" t="str">
        <f t="shared" si="29"/>
        <v/>
      </c>
      <c r="AV244" s="30" t="str">
        <f t="shared" si="30"/>
        <v/>
      </c>
      <c r="AW244" s="30" t="str">
        <f t="shared" si="31"/>
        <v/>
      </c>
      <c r="AX244" s="29" t="str">
        <f t="shared" si="32"/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 t="shared" si="33"/>
        <v/>
      </c>
      <c r="BB244" s="29" t="str">
        <f t="shared" si="34"/>
        <v/>
      </c>
      <c r="BC244" s="29">
        <f t="shared" si="35"/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 t="shared" si="27"/>
        <v>0</v>
      </c>
      <c r="AT245" s="30" t="str">
        <f t="shared" si="28"/>
        <v/>
      </c>
      <c r="AU245" s="29" t="str">
        <f t="shared" si="29"/>
        <v/>
      </c>
      <c r="AV245" s="30" t="str">
        <f t="shared" si="30"/>
        <v/>
      </c>
      <c r="AW245" s="30" t="str">
        <f t="shared" si="31"/>
        <v/>
      </c>
      <c r="AX245" s="29" t="str">
        <f t="shared" si="32"/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 t="shared" si="33"/>
        <v/>
      </c>
      <c r="BB245" s="29" t="str">
        <f t="shared" si="34"/>
        <v/>
      </c>
      <c r="BC245" s="29">
        <f t="shared" si="35"/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 t="shared" si="27"/>
        <v>0</v>
      </c>
      <c r="AT246" s="30" t="str">
        <f t="shared" si="28"/>
        <v/>
      </c>
      <c r="AU246" s="29" t="str">
        <f t="shared" si="29"/>
        <v/>
      </c>
      <c r="AV246" s="30" t="str">
        <f t="shared" si="30"/>
        <v/>
      </c>
      <c r="AW246" s="30" t="str">
        <f t="shared" si="31"/>
        <v/>
      </c>
      <c r="AX246" s="29" t="str">
        <f t="shared" si="32"/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 t="shared" si="33"/>
        <v/>
      </c>
      <c r="BB246" s="29" t="str">
        <f t="shared" si="34"/>
        <v/>
      </c>
      <c r="BC246" s="29">
        <f t="shared" si="35"/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 t="shared" si="27"/>
        <v>0</v>
      </c>
      <c r="AT247" s="30" t="str">
        <f t="shared" si="28"/>
        <v/>
      </c>
      <c r="AU247" s="29" t="str">
        <f t="shared" si="29"/>
        <v/>
      </c>
      <c r="AV247" s="30" t="str">
        <f t="shared" si="30"/>
        <v/>
      </c>
      <c r="AW247" s="30" t="str">
        <f t="shared" si="31"/>
        <v/>
      </c>
      <c r="AX247" s="29" t="str">
        <f t="shared" si="32"/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 t="shared" si="33"/>
        <v/>
      </c>
      <c r="BB247" s="29" t="str">
        <f t="shared" si="34"/>
        <v/>
      </c>
      <c r="BC247" s="29">
        <f t="shared" si="35"/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 t="shared" si="27"/>
        <v>0</v>
      </c>
      <c r="AT248" s="30" t="str">
        <f t="shared" si="28"/>
        <v/>
      </c>
      <c r="AU248" s="29" t="str">
        <f t="shared" si="29"/>
        <v/>
      </c>
      <c r="AV248" s="30" t="str">
        <f t="shared" si="30"/>
        <v/>
      </c>
      <c r="AW248" s="30" t="str">
        <f t="shared" si="31"/>
        <v/>
      </c>
      <c r="AX248" s="29" t="str">
        <f t="shared" si="32"/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 t="shared" si="33"/>
        <v/>
      </c>
      <c r="BB248" s="29" t="str">
        <f t="shared" si="34"/>
        <v/>
      </c>
      <c r="BC248" s="29">
        <f t="shared" si="35"/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 t="shared" si="27"/>
        <v>0</v>
      </c>
      <c r="AT249" s="30" t="str">
        <f t="shared" si="28"/>
        <v/>
      </c>
      <c r="AU249" s="29" t="str">
        <f t="shared" si="29"/>
        <v/>
      </c>
      <c r="AV249" s="30" t="str">
        <f t="shared" si="30"/>
        <v/>
      </c>
      <c r="AW249" s="30" t="str">
        <f t="shared" si="31"/>
        <v/>
      </c>
      <c r="AX249" s="29" t="str">
        <f t="shared" si="32"/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 t="shared" si="33"/>
        <v/>
      </c>
      <c r="BB249" s="29" t="str">
        <f t="shared" si="34"/>
        <v/>
      </c>
      <c r="BC249" s="29">
        <f t="shared" si="35"/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 t="shared" si="27"/>
        <v>0</v>
      </c>
      <c r="AT250" s="30" t="str">
        <f t="shared" si="28"/>
        <v/>
      </c>
      <c r="AU250" s="29" t="str">
        <f t="shared" si="29"/>
        <v/>
      </c>
      <c r="AV250" s="30" t="str">
        <f t="shared" si="30"/>
        <v/>
      </c>
      <c r="AW250" s="30" t="str">
        <f t="shared" si="31"/>
        <v/>
      </c>
      <c r="AX250" s="29" t="str">
        <f t="shared" si="32"/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 t="shared" si="33"/>
        <v/>
      </c>
      <c r="BB250" s="29" t="str">
        <f t="shared" si="34"/>
        <v/>
      </c>
      <c r="BC250" s="29">
        <f t="shared" si="35"/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 t="shared" si="27"/>
        <v>0</v>
      </c>
      <c r="AT251" s="30" t="str">
        <f t="shared" si="28"/>
        <v/>
      </c>
      <c r="AU251" s="29" t="str">
        <f t="shared" si="29"/>
        <v/>
      </c>
      <c r="AV251" s="30" t="str">
        <f t="shared" si="30"/>
        <v/>
      </c>
      <c r="AW251" s="30" t="str">
        <f t="shared" si="31"/>
        <v/>
      </c>
      <c r="AX251" s="29" t="str">
        <f t="shared" si="32"/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 t="shared" si="33"/>
        <v/>
      </c>
      <c r="BB251" s="29" t="str">
        <f t="shared" si="34"/>
        <v/>
      </c>
      <c r="BC251" s="29">
        <f t="shared" si="35"/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 t="shared" si="27"/>
        <v>0</v>
      </c>
      <c r="AT252" s="30" t="str">
        <f t="shared" si="28"/>
        <v/>
      </c>
      <c r="AU252" s="29" t="str">
        <f t="shared" si="29"/>
        <v/>
      </c>
      <c r="AV252" s="30" t="str">
        <f t="shared" si="30"/>
        <v/>
      </c>
      <c r="AW252" s="30" t="str">
        <f t="shared" si="31"/>
        <v/>
      </c>
      <c r="AX252" s="29" t="str">
        <f t="shared" si="32"/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 t="shared" si="33"/>
        <v/>
      </c>
      <c r="BB252" s="29" t="str">
        <f t="shared" si="34"/>
        <v/>
      </c>
      <c r="BC252" s="29">
        <f t="shared" si="35"/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 t="shared" si="27"/>
        <v>0</v>
      </c>
      <c r="AT253" s="30" t="str">
        <f t="shared" si="28"/>
        <v/>
      </c>
      <c r="AU253" s="29" t="str">
        <f t="shared" si="29"/>
        <v/>
      </c>
      <c r="AV253" s="30" t="str">
        <f t="shared" si="30"/>
        <v/>
      </c>
      <c r="AW253" s="30" t="str">
        <f t="shared" si="31"/>
        <v/>
      </c>
      <c r="AX253" s="29" t="str">
        <f t="shared" si="32"/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 t="shared" si="33"/>
        <v/>
      </c>
      <c r="BB253" s="29" t="str">
        <f t="shared" si="34"/>
        <v/>
      </c>
      <c r="BC253" s="29">
        <f t="shared" si="35"/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 t="shared" si="27"/>
        <v>0</v>
      </c>
      <c r="AT254" s="30" t="str">
        <f t="shared" si="28"/>
        <v/>
      </c>
      <c r="AU254" s="29" t="str">
        <f t="shared" si="29"/>
        <v/>
      </c>
      <c r="AV254" s="30" t="str">
        <f t="shared" si="30"/>
        <v/>
      </c>
      <c r="AW254" s="30" t="str">
        <f t="shared" si="31"/>
        <v/>
      </c>
      <c r="AX254" s="29" t="str">
        <f t="shared" si="32"/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 t="shared" si="33"/>
        <v/>
      </c>
      <c r="BB254" s="29" t="str">
        <f t="shared" si="34"/>
        <v/>
      </c>
      <c r="BC254" s="29">
        <f t="shared" si="35"/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 t="shared" si="27"/>
        <v>0</v>
      </c>
      <c r="AT255" s="30" t="str">
        <f t="shared" si="28"/>
        <v/>
      </c>
      <c r="AU255" s="29" t="str">
        <f t="shared" si="29"/>
        <v/>
      </c>
      <c r="AV255" s="30" t="str">
        <f t="shared" si="30"/>
        <v/>
      </c>
      <c r="AW255" s="30" t="str">
        <f t="shared" si="31"/>
        <v/>
      </c>
      <c r="AX255" s="29" t="str">
        <f t="shared" si="32"/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 t="shared" si="33"/>
        <v/>
      </c>
      <c r="BB255" s="29" t="str">
        <f t="shared" si="34"/>
        <v/>
      </c>
      <c r="BC255" s="29">
        <f t="shared" si="35"/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 t="shared" si="27"/>
        <v>0</v>
      </c>
      <c r="AT256" s="30" t="str">
        <f t="shared" si="28"/>
        <v/>
      </c>
      <c r="AU256" s="29" t="str">
        <f t="shared" si="29"/>
        <v/>
      </c>
      <c r="AV256" s="30" t="str">
        <f t="shared" si="30"/>
        <v/>
      </c>
      <c r="AW256" s="30" t="str">
        <f t="shared" si="31"/>
        <v/>
      </c>
      <c r="AX256" s="29" t="str">
        <f t="shared" si="32"/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 t="shared" si="33"/>
        <v/>
      </c>
      <c r="BB256" s="29" t="str">
        <f t="shared" si="34"/>
        <v/>
      </c>
      <c r="BC256" s="29">
        <f t="shared" si="35"/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 t="shared" si="27"/>
        <v>0</v>
      </c>
      <c r="AT257" s="30" t="str">
        <f t="shared" si="28"/>
        <v/>
      </c>
      <c r="AU257" s="29" t="str">
        <f t="shared" si="29"/>
        <v/>
      </c>
      <c r="AV257" s="30" t="str">
        <f t="shared" si="30"/>
        <v/>
      </c>
      <c r="AW257" s="30" t="str">
        <f t="shared" si="31"/>
        <v/>
      </c>
      <c r="AX257" s="29" t="str">
        <f t="shared" si="32"/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 t="shared" si="33"/>
        <v/>
      </c>
      <c r="BB257" s="29" t="str">
        <f t="shared" si="34"/>
        <v/>
      </c>
      <c r="BC257" s="29">
        <f t="shared" si="35"/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 t="shared" si="27"/>
        <v>0</v>
      </c>
      <c r="AT258" s="30" t="str">
        <f t="shared" si="28"/>
        <v/>
      </c>
      <c r="AU258" s="29" t="str">
        <f t="shared" si="29"/>
        <v/>
      </c>
      <c r="AV258" s="30" t="str">
        <f t="shared" si="30"/>
        <v/>
      </c>
      <c r="AW258" s="30" t="str">
        <f t="shared" si="31"/>
        <v/>
      </c>
      <c r="AX258" s="29" t="str">
        <f t="shared" si="32"/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 t="shared" si="33"/>
        <v/>
      </c>
      <c r="BB258" s="29" t="str">
        <f t="shared" si="34"/>
        <v/>
      </c>
      <c r="BC258" s="29">
        <f t="shared" si="35"/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 t="shared" si="27"/>
        <v>0</v>
      </c>
      <c r="AT259" s="30" t="str">
        <f t="shared" si="28"/>
        <v/>
      </c>
      <c r="AU259" s="29" t="str">
        <f t="shared" si="29"/>
        <v/>
      </c>
      <c r="AV259" s="30" t="str">
        <f t="shared" si="30"/>
        <v/>
      </c>
      <c r="AW259" s="30" t="str">
        <f t="shared" si="31"/>
        <v/>
      </c>
      <c r="AX259" s="29" t="str">
        <f t="shared" si="32"/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 t="shared" si="33"/>
        <v/>
      </c>
      <c r="BB259" s="29" t="str">
        <f t="shared" si="34"/>
        <v/>
      </c>
      <c r="BC259" s="29">
        <f t="shared" si="35"/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 t="shared" si="27"/>
        <v>0</v>
      </c>
      <c r="AT260" s="30" t="str">
        <f t="shared" si="28"/>
        <v/>
      </c>
      <c r="AU260" s="29" t="str">
        <f t="shared" si="29"/>
        <v/>
      </c>
      <c r="AV260" s="30" t="str">
        <f t="shared" si="30"/>
        <v/>
      </c>
      <c r="AW260" s="30" t="str">
        <f t="shared" si="31"/>
        <v/>
      </c>
      <c r="AX260" s="29" t="str">
        <f t="shared" si="32"/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 t="shared" si="33"/>
        <v/>
      </c>
      <c r="BB260" s="29" t="str">
        <f t="shared" si="34"/>
        <v/>
      </c>
      <c r="BC260" s="29">
        <f t="shared" si="35"/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 t="shared" ref="AS261:AS324" si="36">SUM(H261,J261,L261,N261,P261,R261,T261,V261,X261,Z261,AB261,AD261,AF261,AH261,AJ261,AL261,AN261)</f>
        <v>0</v>
      </c>
      <c r="AT261" s="30" t="str">
        <f t="shared" ref="AT261:AT324" si="37">IF(C261="","",DATE(YEAR(C261),MONTH(C261),1))</f>
        <v/>
      </c>
      <c r="AU261" s="29" t="str">
        <f t="shared" ref="AU261:AU324" si="38">IF(AT261="","",TEXT(AT261,"mmmm yyyy"))</f>
        <v/>
      </c>
      <c r="AV261" s="30" t="str">
        <f t="shared" ref="AV261:AV324" si="39">IF(C261="","",C261-WEEKDAY(C261,2)+1)</f>
        <v/>
      </c>
      <c r="AW261" s="30" t="str">
        <f t="shared" ref="AW261:AW324" si="40">IF(AV261="","",AV261+6)</f>
        <v/>
      </c>
      <c r="AX261" s="29" t="str">
        <f t="shared" ref="AX261:AX324" si="41"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 t="shared" ref="BA261:BA324" si="42">IF(B261="","",TEXT(AY261,"00")&amp;"|"&amp;B261&amp;"|"&amp;TEXT(AT261,"yyyymmdd"))</f>
        <v/>
      </c>
      <c r="BB261" s="29" t="str">
        <f t="shared" ref="BB261:BB324" si="43">IF(B261="","",TEXT(AZ261,"00")&amp;"|"&amp;B261&amp;"|"&amp;TEXT(AV261,"yyyymmdd"))</f>
        <v/>
      </c>
      <c r="BC261" s="29">
        <f t="shared" ref="BC261:BC324" si="44"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 t="shared" si="36"/>
        <v>0</v>
      </c>
      <c r="AT262" s="30" t="str">
        <f t="shared" si="37"/>
        <v/>
      </c>
      <c r="AU262" s="29" t="str">
        <f t="shared" si="38"/>
        <v/>
      </c>
      <c r="AV262" s="30" t="str">
        <f t="shared" si="39"/>
        <v/>
      </c>
      <c r="AW262" s="30" t="str">
        <f t="shared" si="40"/>
        <v/>
      </c>
      <c r="AX262" s="29" t="str">
        <f t="shared" si="41"/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 t="shared" si="42"/>
        <v/>
      </c>
      <c r="BB262" s="29" t="str">
        <f t="shared" si="43"/>
        <v/>
      </c>
      <c r="BC262" s="29">
        <f t="shared" si="44"/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 t="shared" si="36"/>
        <v>0</v>
      </c>
      <c r="AT263" s="30" t="str">
        <f t="shared" si="37"/>
        <v/>
      </c>
      <c r="AU263" s="29" t="str">
        <f t="shared" si="38"/>
        <v/>
      </c>
      <c r="AV263" s="30" t="str">
        <f t="shared" si="39"/>
        <v/>
      </c>
      <c r="AW263" s="30" t="str">
        <f t="shared" si="40"/>
        <v/>
      </c>
      <c r="AX263" s="29" t="str">
        <f t="shared" si="41"/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 t="shared" si="42"/>
        <v/>
      </c>
      <c r="BB263" s="29" t="str">
        <f t="shared" si="43"/>
        <v/>
      </c>
      <c r="BC263" s="29">
        <f t="shared" si="44"/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 t="shared" si="36"/>
        <v>0</v>
      </c>
      <c r="AT264" s="30" t="str">
        <f t="shared" si="37"/>
        <v/>
      </c>
      <c r="AU264" s="29" t="str">
        <f t="shared" si="38"/>
        <v/>
      </c>
      <c r="AV264" s="30" t="str">
        <f t="shared" si="39"/>
        <v/>
      </c>
      <c r="AW264" s="30" t="str">
        <f t="shared" si="40"/>
        <v/>
      </c>
      <c r="AX264" s="29" t="str">
        <f t="shared" si="41"/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 t="shared" si="42"/>
        <v/>
      </c>
      <c r="BB264" s="29" t="str">
        <f t="shared" si="43"/>
        <v/>
      </c>
      <c r="BC264" s="29">
        <f t="shared" si="44"/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 t="shared" si="36"/>
        <v>0</v>
      </c>
      <c r="AT265" s="30" t="str">
        <f t="shared" si="37"/>
        <v/>
      </c>
      <c r="AU265" s="29" t="str">
        <f t="shared" si="38"/>
        <v/>
      </c>
      <c r="AV265" s="30" t="str">
        <f t="shared" si="39"/>
        <v/>
      </c>
      <c r="AW265" s="30" t="str">
        <f t="shared" si="40"/>
        <v/>
      </c>
      <c r="AX265" s="29" t="str">
        <f t="shared" si="41"/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 t="shared" si="42"/>
        <v/>
      </c>
      <c r="BB265" s="29" t="str">
        <f t="shared" si="43"/>
        <v/>
      </c>
      <c r="BC265" s="29">
        <f t="shared" si="44"/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 t="shared" si="36"/>
        <v>0</v>
      </c>
      <c r="AT266" s="30" t="str">
        <f t="shared" si="37"/>
        <v/>
      </c>
      <c r="AU266" s="29" t="str">
        <f t="shared" si="38"/>
        <v/>
      </c>
      <c r="AV266" s="30" t="str">
        <f t="shared" si="39"/>
        <v/>
      </c>
      <c r="AW266" s="30" t="str">
        <f t="shared" si="40"/>
        <v/>
      </c>
      <c r="AX266" s="29" t="str">
        <f t="shared" si="41"/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 t="shared" si="42"/>
        <v/>
      </c>
      <c r="BB266" s="29" t="str">
        <f t="shared" si="43"/>
        <v/>
      </c>
      <c r="BC266" s="29">
        <f t="shared" si="44"/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 t="shared" si="36"/>
        <v>0</v>
      </c>
      <c r="AT267" s="30" t="str">
        <f t="shared" si="37"/>
        <v/>
      </c>
      <c r="AU267" s="29" t="str">
        <f t="shared" si="38"/>
        <v/>
      </c>
      <c r="AV267" s="30" t="str">
        <f t="shared" si="39"/>
        <v/>
      </c>
      <c r="AW267" s="30" t="str">
        <f t="shared" si="40"/>
        <v/>
      </c>
      <c r="AX267" s="29" t="str">
        <f t="shared" si="41"/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 t="shared" si="42"/>
        <v/>
      </c>
      <c r="BB267" s="29" t="str">
        <f t="shared" si="43"/>
        <v/>
      </c>
      <c r="BC267" s="29">
        <f t="shared" si="44"/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 t="shared" si="36"/>
        <v>0</v>
      </c>
      <c r="AT268" s="30" t="str">
        <f t="shared" si="37"/>
        <v/>
      </c>
      <c r="AU268" s="29" t="str">
        <f t="shared" si="38"/>
        <v/>
      </c>
      <c r="AV268" s="30" t="str">
        <f t="shared" si="39"/>
        <v/>
      </c>
      <c r="AW268" s="30" t="str">
        <f t="shared" si="40"/>
        <v/>
      </c>
      <c r="AX268" s="29" t="str">
        <f t="shared" si="41"/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 t="shared" si="42"/>
        <v/>
      </c>
      <c r="BB268" s="29" t="str">
        <f t="shared" si="43"/>
        <v/>
      </c>
      <c r="BC268" s="29">
        <f t="shared" si="44"/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 t="shared" si="36"/>
        <v>0</v>
      </c>
      <c r="AT269" s="30" t="str">
        <f t="shared" si="37"/>
        <v/>
      </c>
      <c r="AU269" s="29" t="str">
        <f t="shared" si="38"/>
        <v/>
      </c>
      <c r="AV269" s="30" t="str">
        <f t="shared" si="39"/>
        <v/>
      </c>
      <c r="AW269" s="30" t="str">
        <f t="shared" si="40"/>
        <v/>
      </c>
      <c r="AX269" s="29" t="str">
        <f t="shared" si="41"/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 t="shared" si="42"/>
        <v/>
      </c>
      <c r="BB269" s="29" t="str">
        <f t="shared" si="43"/>
        <v/>
      </c>
      <c r="BC269" s="29">
        <f t="shared" si="44"/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 t="shared" si="36"/>
        <v>0</v>
      </c>
      <c r="AT270" s="30" t="str">
        <f t="shared" si="37"/>
        <v/>
      </c>
      <c r="AU270" s="29" t="str">
        <f t="shared" si="38"/>
        <v/>
      </c>
      <c r="AV270" s="30" t="str">
        <f t="shared" si="39"/>
        <v/>
      </c>
      <c r="AW270" s="30" t="str">
        <f t="shared" si="40"/>
        <v/>
      </c>
      <c r="AX270" s="29" t="str">
        <f t="shared" si="41"/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 t="shared" si="42"/>
        <v/>
      </c>
      <c r="BB270" s="29" t="str">
        <f t="shared" si="43"/>
        <v/>
      </c>
      <c r="BC270" s="29">
        <f t="shared" si="44"/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 t="shared" si="36"/>
        <v>0</v>
      </c>
      <c r="AT271" s="30" t="str">
        <f t="shared" si="37"/>
        <v/>
      </c>
      <c r="AU271" s="29" t="str">
        <f t="shared" si="38"/>
        <v/>
      </c>
      <c r="AV271" s="30" t="str">
        <f t="shared" si="39"/>
        <v/>
      </c>
      <c r="AW271" s="30" t="str">
        <f t="shared" si="40"/>
        <v/>
      </c>
      <c r="AX271" s="29" t="str">
        <f t="shared" si="41"/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 t="shared" si="42"/>
        <v/>
      </c>
      <c r="BB271" s="29" t="str">
        <f t="shared" si="43"/>
        <v/>
      </c>
      <c r="BC271" s="29">
        <f t="shared" si="44"/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 t="shared" si="36"/>
        <v>0</v>
      </c>
      <c r="AT272" s="30" t="str">
        <f t="shared" si="37"/>
        <v/>
      </c>
      <c r="AU272" s="29" t="str">
        <f t="shared" si="38"/>
        <v/>
      </c>
      <c r="AV272" s="30" t="str">
        <f t="shared" si="39"/>
        <v/>
      </c>
      <c r="AW272" s="30" t="str">
        <f t="shared" si="40"/>
        <v/>
      </c>
      <c r="AX272" s="29" t="str">
        <f t="shared" si="41"/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 t="shared" si="42"/>
        <v/>
      </c>
      <c r="BB272" s="29" t="str">
        <f t="shared" si="43"/>
        <v/>
      </c>
      <c r="BC272" s="29">
        <f t="shared" si="44"/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 t="shared" si="36"/>
        <v>0</v>
      </c>
      <c r="AT273" s="30" t="str">
        <f t="shared" si="37"/>
        <v/>
      </c>
      <c r="AU273" s="29" t="str">
        <f t="shared" si="38"/>
        <v/>
      </c>
      <c r="AV273" s="30" t="str">
        <f t="shared" si="39"/>
        <v/>
      </c>
      <c r="AW273" s="30" t="str">
        <f t="shared" si="40"/>
        <v/>
      </c>
      <c r="AX273" s="29" t="str">
        <f t="shared" si="41"/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 t="shared" si="42"/>
        <v/>
      </c>
      <c r="BB273" s="29" t="str">
        <f t="shared" si="43"/>
        <v/>
      </c>
      <c r="BC273" s="29">
        <f t="shared" si="44"/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 t="shared" si="36"/>
        <v>0</v>
      </c>
      <c r="AT274" s="30" t="str">
        <f t="shared" si="37"/>
        <v/>
      </c>
      <c r="AU274" s="29" t="str">
        <f t="shared" si="38"/>
        <v/>
      </c>
      <c r="AV274" s="30" t="str">
        <f t="shared" si="39"/>
        <v/>
      </c>
      <c r="AW274" s="30" t="str">
        <f t="shared" si="40"/>
        <v/>
      </c>
      <c r="AX274" s="29" t="str">
        <f t="shared" si="41"/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 t="shared" si="42"/>
        <v/>
      </c>
      <c r="BB274" s="29" t="str">
        <f t="shared" si="43"/>
        <v/>
      </c>
      <c r="BC274" s="29">
        <f t="shared" si="44"/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 t="shared" si="36"/>
        <v>0</v>
      </c>
      <c r="AT275" s="30" t="str">
        <f t="shared" si="37"/>
        <v/>
      </c>
      <c r="AU275" s="29" t="str">
        <f t="shared" si="38"/>
        <v/>
      </c>
      <c r="AV275" s="30" t="str">
        <f t="shared" si="39"/>
        <v/>
      </c>
      <c r="AW275" s="30" t="str">
        <f t="shared" si="40"/>
        <v/>
      </c>
      <c r="AX275" s="29" t="str">
        <f t="shared" si="41"/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 t="shared" si="42"/>
        <v/>
      </c>
      <c r="BB275" s="29" t="str">
        <f t="shared" si="43"/>
        <v/>
      </c>
      <c r="BC275" s="29">
        <f t="shared" si="44"/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 t="shared" si="36"/>
        <v>0</v>
      </c>
      <c r="AT276" s="30" t="str">
        <f t="shared" si="37"/>
        <v/>
      </c>
      <c r="AU276" s="29" t="str">
        <f t="shared" si="38"/>
        <v/>
      </c>
      <c r="AV276" s="30" t="str">
        <f t="shared" si="39"/>
        <v/>
      </c>
      <c r="AW276" s="30" t="str">
        <f t="shared" si="40"/>
        <v/>
      </c>
      <c r="AX276" s="29" t="str">
        <f t="shared" si="41"/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 t="shared" si="42"/>
        <v/>
      </c>
      <c r="BB276" s="29" t="str">
        <f t="shared" si="43"/>
        <v/>
      </c>
      <c r="BC276" s="29">
        <f t="shared" si="44"/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 t="shared" si="36"/>
        <v>0</v>
      </c>
      <c r="AT277" s="30" t="str">
        <f t="shared" si="37"/>
        <v/>
      </c>
      <c r="AU277" s="29" t="str">
        <f t="shared" si="38"/>
        <v/>
      </c>
      <c r="AV277" s="30" t="str">
        <f t="shared" si="39"/>
        <v/>
      </c>
      <c r="AW277" s="30" t="str">
        <f t="shared" si="40"/>
        <v/>
      </c>
      <c r="AX277" s="29" t="str">
        <f t="shared" si="41"/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 t="shared" si="42"/>
        <v/>
      </c>
      <c r="BB277" s="29" t="str">
        <f t="shared" si="43"/>
        <v/>
      </c>
      <c r="BC277" s="29">
        <f t="shared" si="44"/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 t="shared" si="36"/>
        <v>0</v>
      </c>
      <c r="AT278" s="30" t="str">
        <f t="shared" si="37"/>
        <v/>
      </c>
      <c r="AU278" s="29" t="str">
        <f t="shared" si="38"/>
        <v/>
      </c>
      <c r="AV278" s="30" t="str">
        <f t="shared" si="39"/>
        <v/>
      </c>
      <c r="AW278" s="30" t="str">
        <f t="shared" si="40"/>
        <v/>
      </c>
      <c r="AX278" s="29" t="str">
        <f t="shared" si="41"/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 t="shared" si="42"/>
        <v/>
      </c>
      <c r="BB278" s="29" t="str">
        <f t="shared" si="43"/>
        <v/>
      </c>
      <c r="BC278" s="29">
        <f t="shared" si="44"/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 t="shared" si="36"/>
        <v>0</v>
      </c>
      <c r="AT279" s="30" t="str">
        <f t="shared" si="37"/>
        <v/>
      </c>
      <c r="AU279" s="29" t="str">
        <f t="shared" si="38"/>
        <v/>
      </c>
      <c r="AV279" s="30" t="str">
        <f t="shared" si="39"/>
        <v/>
      </c>
      <c r="AW279" s="30" t="str">
        <f t="shared" si="40"/>
        <v/>
      </c>
      <c r="AX279" s="29" t="str">
        <f t="shared" si="41"/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 t="shared" si="42"/>
        <v/>
      </c>
      <c r="BB279" s="29" t="str">
        <f t="shared" si="43"/>
        <v/>
      </c>
      <c r="BC279" s="29">
        <f t="shared" si="44"/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 t="shared" si="36"/>
        <v>0</v>
      </c>
      <c r="AT280" s="30" t="str">
        <f t="shared" si="37"/>
        <v/>
      </c>
      <c r="AU280" s="29" t="str">
        <f t="shared" si="38"/>
        <v/>
      </c>
      <c r="AV280" s="30" t="str">
        <f t="shared" si="39"/>
        <v/>
      </c>
      <c r="AW280" s="30" t="str">
        <f t="shared" si="40"/>
        <v/>
      </c>
      <c r="AX280" s="29" t="str">
        <f t="shared" si="41"/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 t="shared" si="42"/>
        <v/>
      </c>
      <c r="BB280" s="29" t="str">
        <f t="shared" si="43"/>
        <v/>
      </c>
      <c r="BC280" s="29">
        <f t="shared" si="44"/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 t="shared" si="36"/>
        <v>0</v>
      </c>
      <c r="AT281" s="30" t="str">
        <f t="shared" si="37"/>
        <v/>
      </c>
      <c r="AU281" s="29" t="str">
        <f t="shared" si="38"/>
        <v/>
      </c>
      <c r="AV281" s="30" t="str">
        <f t="shared" si="39"/>
        <v/>
      </c>
      <c r="AW281" s="30" t="str">
        <f t="shared" si="40"/>
        <v/>
      </c>
      <c r="AX281" s="29" t="str">
        <f t="shared" si="41"/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 t="shared" si="42"/>
        <v/>
      </c>
      <c r="BB281" s="29" t="str">
        <f t="shared" si="43"/>
        <v/>
      </c>
      <c r="BC281" s="29">
        <f t="shared" si="44"/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 t="shared" si="36"/>
        <v>0</v>
      </c>
      <c r="AT282" s="30" t="str">
        <f t="shared" si="37"/>
        <v/>
      </c>
      <c r="AU282" s="29" t="str">
        <f t="shared" si="38"/>
        <v/>
      </c>
      <c r="AV282" s="30" t="str">
        <f t="shared" si="39"/>
        <v/>
      </c>
      <c r="AW282" s="30" t="str">
        <f t="shared" si="40"/>
        <v/>
      </c>
      <c r="AX282" s="29" t="str">
        <f t="shared" si="41"/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 t="shared" si="42"/>
        <v/>
      </c>
      <c r="BB282" s="29" t="str">
        <f t="shared" si="43"/>
        <v/>
      </c>
      <c r="BC282" s="29">
        <f t="shared" si="44"/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 t="shared" si="36"/>
        <v>0</v>
      </c>
      <c r="AT283" s="30" t="str">
        <f t="shared" si="37"/>
        <v/>
      </c>
      <c r="AU283" s="29" t="str">
        <f t="shared" si="38"/>
        <v/>
      </c>
      <c r="AV283" s="30" t="str">
        <f t="shared" si="39"/>
        <v/>
      </c>
      <c r="AW283" s="30" t="str">
        <f t="shared" si="40"/>
        <v/>
      </c>
      <c r="AX283" s="29" t="str">
        <f t="shared" si="41"/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 t="shared" si="42"/>
        <v/>
      </c>
      <c r="BB283" s="29" t="str">
        <f t="shared" si="43"/>
        <v/>
      </c>
      <c r="BC283" s="29">
        <f t="shared" si="44"/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 t="shared" si="36"/>
        <v>0</v>
      </c>
      <c r="AT284" s="30" t="str">
        <f t="shared" si="37"/>
        <v/>
      </c>
      <c r="AU284" s="29" t="str">
        <f t="shared" si="38"/>
        <v/>
      </c>
      <c r="AV284" s="30" t="str">
        <f t="shared" si="39"/>
        <v/>
      </c>
      <c r="AW284" s="30" t="str">
        <f t="shared" si="40"/>
        <v/>
      </c>
      <c r="AX284" s="29" t="str">
        <f t="shared" si="41"/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 t="shared" si="42"/>
        <v/>
      </c>
      <c r="BB284" s="29" t="str">
        <f t="shared" si="43"/>
        <v/>
      </c>
      <c r="BC284" s="29">
        <f t="shared" si="44"/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 t="shared" si="36"/>
        <v>0</v>
      </c>
      <c r="AT285" s="30" t="str">
        <f t="shared" si="37"/>
        <v/>
      </c>
      <c r="AU285" s="29" t="str">
        <f t="shared" si="38"/>
        <v/>
      </c>
      <c r="AV285" s="30" t="str">
        <f t="shared" si="39"/>
        <v/>
      </c>
      <c r="AW285" s="30" t="str">
        <f t="shared" si="40"/>
        <v/>
      </c>
      <c r="AX285" s="29" t="str">
        <f t="shared" si="41"/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 t="shared" si="42"/>
        <v/>
      </c>
      <c r="BB285" s="29" t="str">
        <f t="shared" si="43"/>
        <v/>
      </c>
      <c r="BC285" s="29">
        <f t="shared" si="44"/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 t="shared" si="36"/>
        <v>0</v>
      </c>
      <c r="AT286" s="30" t="str">
        <f t="shared" si="37"/>
        <v/>
      </c>
      <c r="AU286" s="29" t="str">
        <f t="shared" si="38"/>
        <v/>
      </c>
      <c r="AV286" s="30" t="str">
        <f t="shared" si="39"/>
        <v/>
      </c>
      <c r="AW286" s="30" t="str">
        <f t="shared" si="40"/>
        <v/>
      </c>
      <c r="AX286" s="29" t="str">
        <f t="shared" si="41"/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 t="shared" si="42"/>
        <v/>
      </c>
      <c r="BB286" s="29" t="str">
        <f t="shared" si="43"/>
        <v/>
      </c>
      <c r="BC286" s="29">
        <f t="shared" si="44"/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 t="shared" si="36"/>
        <v>0</v>
      </c>
      <c r="AT287" s="30" t="str">
        <f t="shared" si="37"/>
        <v/>
      </c>
      <c r="AU287" s="29" t="str">
        <f t="shared" si="38"/>
        <v/>
      </c>
      <c r="AV287" s="30" t="str">
        <f t="shared" si="39"/>
        <v/>
      </c>
      <c r="AW287" s="30" t="str">
        <f t="shared" si="40"/>
        <v/>
      </c>
      <c r="AX287" s="29" t="str">
        <f t="shared" si="41"/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 t="shared" si="42"/>
        <v/>
      </c>
      <c r="BB287" s="29" t="str">
        <f t="shared" si="43"/>
        <v/>
      </c>
      <c r="BC287" s="29">
        <f t="shared" si="44"/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 t="shared" si="36"/>
        <v>0</v>
      </c>
      <c r="AT288" s="30" t="str">
        <f t="shared" si="37"/>
        <v/>
      </c>
      <c r="AU288" s="29" t="str">
        <f t="shared" si="38"/>
        <v/>
      </c>
      <c r="AV288" s="30" t="str">
        <f t="shared" si="39"/>
        <v/>
      </c>
      <c r="AW288" s="30" t="str">
        <f t="shared" si="40"/>
        <v/>
      </c>
      <c r="AX288" s="29" t="str">
        <f t="shared" si="41"/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 t="shared" si="42"/>
        <v/>
      </c>
      <c r="BB288" s="29" t="str">
        <f t="shared" si="43"/>
        <v/>
      </c>
      <c r="BC288" s="29">
        <f t="shared" si="44"/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 t="shared" si="36"/>
        <v>0</v>
      </c>
      <c r="AT289" s="30" t="str">
        <f t="shared" si="37"/>
        <v/>
      </c>
      <c r="AU289" s="29" t="str">
        <f t="shared" si="38"/>
        <v/>
      </c>
      <c r="AV289" s="30" t="str">
        <f t="shared" si="39"/>
        <v/>
      </c>
      <c r="AW289" s="30" t="str">
        <f t="shared" si="40"/>
        <v/>
      </c>
      <c r="AX289" s="29" t="str">
        <f t="shared" si="41"/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 t="shared" si="42"/>
        <v/>
      </c>
      <c r="BB289" s="29" t="str">
        <f t="shared" si="43"/>
        <v/>
      </c>
      <c r="BC289" s="29">
        <f t="shared" si="44"/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 t="shared" si="36"/>
        <v>0</v>
      </c>
      <c r="AT290" s="30" t="str">
        <f t="shared" si="37"/>
        <v/>
      </c>
      <c r="AU290" s="29" t="str">
        <f t="shared" si="38"/>
        <v/>
      </c>
      <c r="AV290" s="30" t="str">
        <f t="shared" si="39"/>
        <v/>
      </c>
      <c r="AW290" s="30" t="str">
        <f t="shared" si="40"/>
        <v/>
      </c>
      <c r="AX290" s="29" t="str">
        <f t="shared" si="41"/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 t="shared" si="42"/>
        <v/>
      </c>
      <c r="BB290" s="29" t="str">
        <f t="shared" si="43"/>
        <v/>
      </c>
      <c r="BC290" s="29">
        <f t="shared" si="44"/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 t="shared" si="36"/>
        <v>0</v>
      </c>
      <c r="AT291" s="30" t="str">
        <f t="shared" si="37"/>
        <v/>
      </c>
      <c r="AU291" s="29" t="str">
        <f t="shared" si="38"/>
        <v/>
      </c>
      <c r="AV291" s="30" t="str">
        <f t="shared" si="39"/>
        <v/>
      </c>
      <c r="AW291" s="30" t="str">
        <f t="shared" si="40"/>
        <v/>
      </c>
      <c r="AX291" s="29" t="str">
        <f t="shared" si="41"/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 t="shared" si="42"/>
        <v/>
      </c>
      <c r="BB291" s="29" t="str">
        <f t="shared" si="43"/>
        <v/>
      </c>
      <c r="BC291" s="29">
        <f t="shared" si="44"/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 t="shared" si="36"/>
        <v>0</v>
      </c>
      <c r="AT292" s="30" t="str">
        <f t="shared" si="37"/>
        <v/>
      </c>
      <c r="AU292" s="29" t="str">
        <f t="shared" si="38"/>
        <v/>
      </c>
      <c r="AV292" s="30" t="str">
        <f t="shared" si="39"/>
        <v/>
      </c>
      <c r="AW292" s="30" t="str">
        <f t="shared" si="40"/>
        <v/>
      </c>
      <c r="AX292" s="29" t="str">
        <f t="shared" si="41"/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 t="shared" si="42"/>
        <v/>
      </c>
      <c r="BB292" s="29" t="str">
        <f t="shared" si="43"/>
        <v/>
      </c>
      <c r="BC292" s="29">
        <f t="shared" si="44"/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 t="shared" si="36"/>
        <v>0</v>
      </c>
      <c r="AT293" s="30" t="str">
        <f t="shared" si="37"/>
        <v/>
      </c>
      <c r="AU293" s="29" t="str">
        <f t="shared" si="38"/>
        <v/>
      </c>
      <c r="AV293" s="30" t="str">
        <f t="shared" si="39"/>
        <v/>
      </c>
      <c r="AW293" s="30" t="str">
        <f t="shared" si="40"/>
        <v/>
      </c>
      <c r="AX293" s="29" t="str">
        <f t="shared" si="41"/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 t="shared" si="42"/>
        <v/>
      </c>
      <c r="BB293" s="29" t="str">
        <f t="shared" si="43"/>
        <v/>
      </c>
      <c r="BC293" s="29">
        <f t="shared" si="44"/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 t="shared" si="36"/>
        <v>0</v>
      </c>
      <c r="AT294" s="30" t="str">
        <f t="shared" si="37"/>
        <v/>
      </c>
      <c r="AU294" s="29" t="str">
        <f t="shared" si="38"/>
        <v/>
      </c>
      <c r="AV294" s="30" t="str">
        <f t="shared" si="39"/>
        <v/>
      </c>
      <c r="AW294" s="30" t="str">
        <f t="shared" si="40"/>
        <v/>
      </c>
      <c r="AX294" s="29" t="str">
        <f t="shared" si="41"/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 t="shared" si="42"/>
        <v/>
      </c>
      <c r="BB294" s="29" t="str">
        <f t="shared" si="43"/>
        <v/>
      </c>
      <c r="BC294" s="29">
        <f t="shared" si="44"/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 t="shared" si="36"/>
        <v>0</v>
      </c>
      <c r="AT295" s="30" t="str">
        <f t="shared" si="37"/>
        <v/>
      </c>
      <c r="AU295" s="29" t="str">
        <f t="shared" si="38"/>
        <v/>
      </c>
      <c r="AV295" s="30" t="str">
        <f t="shared" si="39"/>
        <v/>
      </c>
      <c r="AW295" s="30" t="str">
        <f t="shared" si="40"/>
        <v/>
      </c>
      <c r="AX295" s="29" t="str">
        <f t="shared" si="41"/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 t="shared" si="42"/>
        <v/>
      </c>
      <c r="BB295" s="29" t="str">
        <f t="shared" si="43"/>
        <v/>
      </c>
      <c r="BC295" s="29">
        <f t="shared" si="44"/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 t="shared" si="36"/>
        <v>0</v>
      </c>
      <c r="AT296" s="30" t="str">
        <f t="shared" si="37"/>
        <v/>
      </c>
      <c r="AU296" s="29" t="str">
        <f t="shared" si="38"/>
        <v/>
      </c>
      <c r="AV296" s="30" t="str">
        <f t="shared" si="39"/>
        <v/>
      </c>
      <c r="AW296" s="30" t="str">
        <f t="shared" si="40"/>
        <v/>
      </c>
      <c r="AX296" s="29" t="str">
        <f t="shared" si="41"/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 t="shared" si="42"/>
        <v/>
      </c>
      <c r="BB296" s="29" t="str">
        <f t="shared" si="43"/>
        <v/>
      </c>
      <c r="BC296" s="29">
        <f t="shared" si="44"/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 t="shared" si="36"/>
        <v>0</v>
      </c>
      <c r="AT297" s="30" t="str">
        <f t="shared" si="37"/>
        <v/>
      </c>
      <c r="AU297" s="29" t="str">
        <f t="shared" si="38"/>
        <v/>
      </c>
      <c r="AV297" s="30" t="str">
        <f t="shared" si="39"/>
        <v/>
      </c>
      <c r="AW297" s="30" t="str">
        <f t="shared" si="40"/>
        <v/>
      </c>
      <c r="AX297" s="29" t="str">
        <f t="shared" si="41"/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 t="shared" si="42"/>
        <v/>
      </c>
      <c r="BB297" s="29" t="str">
        <f t="shared" si="43"/>
        <v/>
      </c>
      <c r="BC297" s="29">
        <f t="shared" si="44"/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 t="shared" si="36"/>
        <v>0</v>
      </c>
      <c r="AT298" s="30" t="str">
        <f t="shared" si="37"/>
        <v/>
      </c>
      <c r="AU298" s="29" t="str">
        <f t="shared" si="38"/>
        <v/>
      </c>
      <c r="AV298" s="30" t="str">
        <f t="shared" si="39"/>
        <v/>
      </c>
      <c r="AW298" s="30" t="str">
        <f t="shared" si="40"/>
        <v/>
      </c>
      <c r="AX298" s="29" t="str">
        <f t="shared" si="41"/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 t="shared" si="42"/>
        <v/>
      </c>
      <c r="BB298" s="29" t="str">
        <f t="shared" si="43"/>
        <v/>
      </c>
      <c r="BC298" s="29">
        <f t="shared" si="44"/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 t="shared" si="36"/>
        <v>0</v>
      </c>
      <c r="AT299" s="30" t="str">
        <f t="shared" si="37"/>
        <v/>
      </c>
      <c r="AU299" s="29" t="str">
        <f t="shared" si="38"/>
        <v/>
      </c>
      <c r="AV299" s="30" t="str">
        <f t="shared" si="39"/>
        <v/>
      </c>
      <c r="AW299" s="30" t="str">
        <f t="shared" si="40"/>
        <v/>
      </c>
      <c r="AX299" s="29" t="str">
        <f t="shared" si="41"/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 t="shared" si="42"/>
        <v/>
      </c>
      <c r="BB299" s="29" t="str">
        <f t="shared" si="43"/>
        <v/>
      </c>
      <c r="BC299" s="29">
        <f t="shared" si="44"/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 t="shared" si="36"/>
        <v>0</v>
      </c>
      <c r="AT300" s="30" t="str">
        <f t="shared" si="37"/>
        <v/>
      </c>
      <c r="AU300" s="29" t="str">
        <f t="shared" si="38"/>
        <v/>
      </c>
      <c r="AV300" s="30" t="str">
        <f t="shared" si="39"/>
        <v/>
      </c>
      <c r="AW300" s="30" t="str">
        <f t="shared" si="40"/>
        <v/>
      </c>
      <c r="AX300" s="29" t="str">
        <f t="shared" si="41"/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 t="shared" si="42"/>
        <v/>
      </c>
      <c r="BB300" s="29" t="str">
        <f t="shared" si="43"/>
        <v/>
      </c>
      <c r="BC300" s="29">
        <f t="shared" si="44"/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 t="shared" si="36"/>
        <v>0</v>
      </c>
      <c r="AT301" s="30" t="str">
        <f t="shared" si="37"/>
        <v/>
      </c>
      <c r="AU301" s="29" t="str">
        <f t="shared" si="38"/>
        <v/>
      </c>
      <c r="AV301" s="30" t="str">
        <f t="shared" si="39"/>
        <v/>
      </c>
      <c r="AW301" s="30" t="str">
        <f t="shared" si="40"/>
        <v/>
      </c>
      <c r="AX301" s="29" t="str">
        <f t="shared" si="41"/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 t="shared" si="42"/>
        <v/>
      </c>
      <c r="BB301" s="29" t="str">
        <f t="shared" si="43"/>
        <v/>
      </c>
      <c r="BC301" s="29">
        <f t="shared" si="44"/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 t="shared" si="36"/>
        <v>0</v>
      </c>
      <c r="AT302" s="30" t="str">
        <f t="shared" si="37"/>
        <v/>
      </c>
      <c r="AU302" s="29" t="str">
        <f t="shared" si="38"/>
        <v/>
      </c>
      <c r="AV302" s="30" t="str">
        <f t="shared" si="39"/>
        <v/>
      </c>
      <c r="AW302" s="30" t="str">
        <f t="shared" si="40"/>
        <v/>
      </c>
      <c r="AX302" s="29" t="str">
        <f t="shared" si="41"/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 t="shared" si="42"/>
        <v/>
      </c>
      <c r="BB302" s="29" t="str">
        <f t="shared" si="43"/>
        <v/>
      </c>
      <c r="BC302" s="29">
        <f t="shared" si="44"/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 t="shared" si="36"/>
        <v>0</v>
      </c>
      <c r="AT303" s="30" t="str">
        <f t="shared" si="37"/>
        <v/>
      </c>
      <c r="AU303" s="29" t="str">
        <f t="shared" si="38"/>
        <v/>
      </c>
      <c r="AV303" s="30" t="str">
        <f t="shared" si="39"/>
        <v/>
      </c>
      <c r="AW303" s="30" t="str">
        <f t="shared" si="40"/>
        <v/>
      </c>
      <c r="AX303" s="29" t="str">
        <f t="shared" si="41"/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 t="shared" si="42"/>
        <v/>
      </c>
      <c r="BB303" s="29" t="str">
        <f t="shared" si="43"/>
        <v/>
      </c>
      <c r="BC303" s="29">
        <f t="shared" si="44"/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 t="shared" si="36"/>
        <v>0</v>
      </c>
      <c r="AT304" s="30" t="str">
        <f t="shared" si="37"/>
        <v/>
      </c>
      <c r="AU304" s="29" t="str">
        <f t="shared" si="38"/>
        <v/>
      </c>
      <c r="AV304" s="30" t="str">
        <f t="shared" si="39"/>
        <v/>
      </c>
      <c r="AW304" s="30" t="str">
        <f t="shared" si="40"/>
        <v/>
      </c>
      <c r="AX304" s="29" t="str">
        <f t="shared" si="41"/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 t="shared" si="42"/>
        <v/>
      </c>
      <c r="BB304" s="29" t="str">
        <f t="shared" si="43"/>
        <v/>
      </c>
      <c r="BC304" s="29">
        <f t="shared" si="44"/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 t="shared" si="36"/>
        <v>0</v>
      </c>
      <c r="AT305" s="30" t="str">
        <f t="shared" si="37"/>
        <v/>
      </c>
      <c r="AU305" s="29" t="str">
        <f t="shared" si="38"/>
        <v/>
      </c>
      <c r="AV305" s="30" t="str">
        <f t="shared" si="39"/>
        <v/>
      </c>
      <c r="AW305" s="30" t="str">
        <f t="shared" si="40"/>
        <v/>
      </c>
      <c r="AX305" s="29" t="str">
        <f t="shared" si="41"/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 t="shared" si="42"/>
        <v/>
      </c>
      <c r="BB305" s="29" t="str">
        <f t="shared" si="43"/>
        <v/>
      </c>
      <c r="BC305" s="29">
        <f t="shared" si="44"/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 t="shared" si="36"/>
        <v>0</v>
      </c>
      <c r="AT306" s="30" t="str">
        <f t="shared" si="37"/>
        <v/>
      </c>
      <c r="AU306" s="29" t="str">
        <f t="shared" si="38"/>
        <v/>
      </c>
      <c r="AV306" s="30" t="str">
        <f t="shared" si="39"/>
        <v/>
      </c>
      <c r="AW306" s="30" t="str">
        <f t="shared" si="40"/>
        <v/>
      </c>
      <c r="AX306" s="29" t="str">
        <f t="shared" si="41"/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 t="shared" si="42"/>
        <v/>
      </c>
      <c r="BB306" s="29" t="str">
        <f t="shared" si="43"/>
        <v/>
      </c>
      <c r="BC306" s="29">
        <f t="shared" si="44"/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 t="shared" si="36"/>
        <v>0</v>
      </c>
      <c r="AT307" s="30" t="str">
        <f t="shared" si="37"/>
        <v/>
      </c>
      <c r="AU307" s="29" t="str">
        <f t="shared" si="38"/>
        <v/>
      </c>
      <c r="AV307" s="30" t="str">
        <f t="shared" si="39"/>
        <v/>
      </c>
      <c r="AW307" s="30" t="str">
        <f t="shared" si="40"/>
        <v/>
      </c>
      <c r="AX307" s="29" t="str">
        <f t="shared" si="41"/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 t="shared" si="42"/>
        <v/>
      </c>
      <c r="BB307" s="29" t="str">
        <f t="shared" si="43"/>
        <v/>
      </c>
      <c r="BC307" s="29">
        <f t="shared" si="44"/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 t="shared" si="36"/>
        <v>0</v>
      </c>
      <c r="AT308" s="30" t="str">
        <f t="shared" si="37"/>
        <v/>
      </c>
      <c r="AU308" s="29" t="str">
        <f t="shared" si="38"/>
        <v/>
      </c>
      <c r="AV308" s="30" t="str">
        <f t="shared" si="39"/>
        <v/>
      </c>
      <c r="AW308" s="30" t="str">
        <f t="shared" si="40"/>
        <v/>
      </c>
      <c r="AX308" s="29" t="str">
        <f t="shared" si="41"/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 t="shared" si="42"/>
        <v/>
      </c>
      <c r="BB308" s="29" t="str">
        <f t="shared" si="43"/>
        <v/>
      </c>
      <c r="BC308" s="29">
        <f t="shared" si="44"/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 t="shared" si="36"/>
        <v>0</v>
      </c>
      <c r="AT309" s="30" t="str">
        <f t="shared" si="37"/>
        <v/>
      </c>
      <c r="AU309" s="29" t="str">
        <f t="shared" si="38"/>
        <v/>
      </c>
      <c r="AV309" s="30" t="str">
        <f t="shared" si="39"/>
        <v/>
      </c>
      <c r="AW309" s="30" t="str">
        <f t="shared" si="40"/>
        <v/>
      </c>
      <c r="AX309" s="29" t="str">
        <f t="shared" si="41"/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 t="shared" si="42"/>
        <v/>
      </c>
      <c r="BB309" s="29" t="str">
        <f t="shared" si="43"/>
        <v/>
      </c>
      <c r="BC309" s="29">
        <f t="shared" si="44"/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 t="shared" si="36"/>
        <v>0</v>
      </c>
      <c r="AT310" s="30" t="str">
        <f t="shared" si="37"/>
        <v/>
      </c>
      <c r="AU310" s="29" t="str">
        <f t="shared" si="38"/>
        <v/>
      </c>
      <c r="AV310" s="30" t="str">
        <f t="shared" si="39"/>
        <v/>
      </c>
      <c r="AW310" s="30" t="str">
        <f t="shared" si="40"/>
        <v/>
      </c>
      <c r="AX310" s="29" t="str">
        <f t="shared" si="41"/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 t="shared" si="42"/>
        <v/>
      </c>
      <c r="BB310" s="29" t="str">
        <f t="shared" si="43"/>
        <v/>
      </c>
      <c r="BC310" s="29">
        <f t="shared" si="44"/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 t="shared" si="36"/>
        <v>0</v>
      </c>
      <c r="AT311" s="30" t="str">
        <f t="shared" si="37"/>
        <v/>
      </c>
      <c r="AU311" s="29" t="str">
        <f t="shared" si="38"/>
        <v/>
      </c>
      <c r="AV311" s="30" t="str">
        <f t="shared" si="39"/>
        <v/>
      </c>
      <c r="AW311" s="30" t="str">
        <f t="shared" si="40"/>
        <v/>
      </c>
      <c r="AX311" s="29" t="str">
        <f t="shared" si="41"/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 t="shared" si="42"/>
        <v/>
      </c>
      <c r="BB311" s="29" t="str">
        <f t="shared" si="43"/>
        <v/>
      </c>
      <c r="BC311" s="29">
        <f t="shared" si="44"/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 t="shared" si="36"/>
        <v>0</v>
      </c>
      <c r="AT312" s="30" t="str">
        <f t="shared" si="37"/>
        <v/>
      </c>
      <c r="AU312" s="29" t="str">
        <f t="shared" si="38"/>
        <v/>
      </c>
      <c r="AV312" s="30" t="str">
        <f t="shared" si="39"/>
        <v/>
      </c>
      <c r="AW312" s="30" t="str">
        <f t="shared" si="40"/>
        <v/>
      </c>
      <c r="AX312" s="29" t="str">
        <f t="shared" si="41"/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 t="shared" si="42"/>
        <v/>
      </c>
      <c r="BB312" s="29" t="str">
        <f t="shared" si="43"/>
        <v/>
      </c>
      <c r="BC312" s="29">
        <f t="shared" si="44"/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 t="shared" si="36"/>
        <v>0</v>
      </c>
      <c r="AT313" s="30" t="str">
        <f t="shared" si="37"/>
        <v/>
      </c>
      <c r="AU313" s="29" t="str">
        <f t="shared" si="38"/>
        <v/>
      </c>
      <c r="AV313" s="30" t="str">
        <f t="shared" si="39"/>
        <v/>
      </c>
      <c r="AW313" s="30" t="str">
        <f t="shared" si="40"/>
        <v/>
      </c>
      <c r="AX313" s="29" t="str">
        <f t="shared" si="41"/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 t="shared" si="42"/>
        <v/>
      </c>
      <c r="BB313" s="29" t="str">
        <f t="shared" si="43"/>
        <v/>
      </c>
      <c r="BC313" s="29">
        <f t="shared" si="44"/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 t="shared" si="36"/>
        <v>0</v>
      </c>
      <c r="AT314" s="30" t="str">
        <f t="shared" si="37"/>
        <v/>
      </c>
      <c r="AU314" s="29" t="str">
        <f t="shared" si="38"/>
        <v/>
      </c>
      <c r="AV314" s="30" t="str">
        <f t="shared" si="39"/>
        <v/>
      </c>
      <c r="AW314" s="30" t="str">
        <f t="shared" si="40"/>
        <v/>
      </c>
      <c r="AX314" s="29" t="str">
        <f t="shared" si="41"/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 t="shared" si="42"/>
        <v/>
      </c>
      <c r="BB314" s="29" t="str">
        <f t="shared" si="43"/>
        <v/>
      </c>
      <c r="BC314" s="29">
        <f t="shared" si="44"/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 t="shared" si="36"/>
        <v>0</v>
      </c>
      <c r="AT315" s="30" t="str">
        <f t="shared" si="37"/>
        <v/>
      </c>
      <c r="AU315" s="29" t="str">
        <f t="shared" si="38"/>
        <v/>
      </c>
      <c r="AV315" s="30" t="str">
        <f t="shared" si="39"/>
        <v/>
      </c>
      <c r="AW315" s="30" t="str">
        <f t="shared" si="40"/>
        <v/>
      </c>
      <c r="AX315" s="29" t="str">
        <f t="shared" si="41"/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 t="shared" si="42"/>
        <v/>
      </c>
      <c r="BB315" s="29" t="str">
        <f t="shared" si="43"/>
        <v/>
      </c>
      <c r="BC315" s="29">
        <f t="shared" si="44"/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 t="shared" si="36"/>
        <v>0</v>
      </c>
      <c r="AT316" s="30" t="str">
        <f t="shared" si="37"/>
        <v/>
      </c>
      <c r="AU316" s="29" t="str">
        <f t="shared" si="38"/>
        <v/>
      </c>
      <c r="AV316" s="30" t="str">
        <f t="shared" si="39"/>
        <v/>
      </c>
      <c r="AW316" s="30" t="str">
        <f t="shared" si="40"/>
        <v/>
      </c>
      <c r="AX316" s="29" t="str">
        <f t="shared" si="41"/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 t="shared" si="42"/>
        <v/>
      </c>
      <c r="BB316" s="29" t="str">
        <f t="shared" si="43"/>
        <v/>
      </c>
      <c r="BC316" s="29">
        <f t="shared" si="44"/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 t="shared" si="36"/>
        <v>0</v>
      </c>
      <c r="AT317" s="30" t="str">
        <f t="shared" si="37"/>
        <v/>
      </c>
      <c r="AU317" s="29" t="str">
        <f t="shared" si="38"/>
        <v/>
      </c>
      <c r="AV317" s="30" t="str">
        <f t="shared" si="39"/>
        <v/>
      </c>
      <c r="AW317" s="30" t="str">
        <f t="shared" si="40"/>
        <v/>
      </c>
      <c r="AX317" s="29" t="str">
        <f t="shared" si="41"/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 t="shared" si="42"/>
        <v/>
      </c>
      <c r="BB317" s="29" t="str">
        <f t="shared" si="43"/>
        <v/>
      </c>
      <c r="BC317" s="29">
        <f t="shared" si="44"/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 t="shared" si="36"/>
        <v>0</v>
      </c>
      <c r="AT318" s="30" t="str">
        <f t="shared" si="37"/>
        <v/>
      </c>
      <c r="AU318" s="29" t="str">
        <f t="shared" si="38"/>
        <v/>
      </c>
      <c r="AV318" s="30" t="str">
        <f t="shared" si="39"/>
        <v/>
      </c>
      <c r="AW318" s="30" t="str">
        <f t="shared" si="40"/>
        <v/>
      </c>
      <c r="AX318" s="29" t="str">
        <f t="shared" si="41"/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 t="shared" si="42"/>
        <v/>
      </c>
      <c r="BB318" s="29" t="str">
        <f t="shared" si="43"/>
        <v/>
      </c>
      <c r="BC318" s="29">
        <f t="shared" si="44"/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 t="shared" si="36"/>
        <v>0</v>
      </c>
      <c r="AT319" s="30" t="str">
        <f t="shared" si="37"/>
        <v/>
      </c>
      <c r="AU319" s="29" t="str">
        <f t="shared" si="38"/>
        <v/>
      </c>
      <c r="AV319" s="30" t="str">
        <f t="shared" si="39"/>
        <v/>
      </c>
      <c r="AW319" s="30" t="str">
        <f t="shared" si="40"/>
        <v/>
      </c>
      <c r="AX319" s="29" t="str">
        <f t="shared" si="41"/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 t="shared" si="42"/>
        <v/>
      </c>
      <c r="BB319" s="29" t="str">
        <f t="shared" si="43"/>
        <v/>
      </c>
      <c r="BC319" s="29">
        <f t="shared" si="44"/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 t="shared" si="36"/>
        <v>0</v>
      </c>
      <c r="AT320" s="30" t="str">
        <f t="shared" si="37"/>
        <v/>
      </c>
      <c r="AU320" s="29" t="str">
        <f t="shared" si="38"/>
        <v/>
      </c>
      <c r="AV320" s="30" t="str">
        <f t="shared" si="39"/>
        <v/>
      </c>
      <c r="AW320" s="30" t="str">
        <f t="shared" si="40"/>
        <v/>
      </c>
      <c r="AX320" s="29" t="str">
        <f t="shared" si="41"/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 t="shared" si="42"/>
        <v/>
      </c>
      <c r="BB320" s="29" t="str">
        <f t="shared" si="43"/>
        <v/>
      </c>
      <c r="BC320" s="29">
        <f t="shared" si="44"/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 t="shared" si="36"/>
        <v>0</v>
      </c>
      <c r="AT321" s="30" t="str">
        <f t="shared" si="37"/>
        <v/>
      </c>
      <c r="AU321" s="29" t="str">
        <f t="shared" si="38"/>
        <v/>
      </c>
      <c r="AV321" s="30" t="str">
        <f t="shared" si="39"/>
        <v/>
      </c>
      <c r="AW321" s="30" t="str">
        <f t="shared" si="40"/>
        <v/>
      </c>
      <c r="AX321" s="29" t="str">
        <f t="shared" si="41"/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 t="shared" si="42"/>
        <v/>
      </c>
      <c r="BB321" s="29" t="str">
        <f t="shared" si="43"/>
        <v/>
      </c>
      <c r="BC321" s="29">
        <f t="shared" si="44"/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 t="shared" si="36"/>
        <v>0</v>
      </c>
      <c r="AT322" s="30" t="str">
        <f t="shared" si="37"/>
        <v/>
      </c>
      <c r="AU322" s="29" t="str">
        <f t="shared" si="38"/>
        <v/>
      </c>
      <c r="AV322" s="30" t="str">
        <f t="shared" si="39"/>
        <v/>
      </c>
      <c r="AW322" s="30" t="str">
        <f t="shared" si="40"/>
        <v/>
      </c>
      <c r="AX322" s="29" t="str">
        <f t="shared" si="41"/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 t="shared" si="42"/>
        <v/>
      </c>
      <c r="BB322" s="29" t="str">
        <f t="shared" si="43"/>
        <v/>
      </c>
      <c r="BC322" s="29">
        <f t="shared" si="44"/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 t="shared" si="36"/>
        <v>0</v>
      </c>
      <c r="AT323" s="30" t="str">
        <f t="shared" si="37"/>
        <v/>
      </c>
      <c r="AU323" s="29" t="str">
        <f t="shared" si="38"/>
        <v/>
      </c>
      <c r="AV323" s="30" t="str">
        <f t="shared" si="39"/>
        <v/>
      </c>
      <c r="AW323" s="30" t="str">
        <f t="shared" si="40"/>
        <v/>
      </c>
      <c r="AX323" s="29" t="str">
        <f t="shared" si="41"/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 t="shared" si="42"/>
        <v/>
      </c>
      <c r="BB323" s="29" t="str">
        <f t="shared" si="43"/>
        <v/>
      </c>
      <c r="BC323" s="29">
        <f t="shared" si="44"/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 t="shared" si="36"/>
        <v>0</v>
      </c>
      <c r="AT324" s="30" t="str">
        <f t="shared" si="37"/>
        <v/>
      </c>
      <c r="AU324" s="29" t="str">
        <f t="shared" si="38"/>
        <v/>
      </c>
      <c r="AV324" s="30" t="str">
        <f t="shared" si="39"/>
        <v/>
      </c>
      <c r="AW324" s="30" t="str">
        <f t="shared" si="40"/>
        <v/>
      </c>
      <c r="AX324" s="29" t="str">
        <f t="shared" si="41"/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 t="shared" si="42"/>
        <v/>
      </c>
      <c r="BB324" s="29" t="str">
        <f t="shared" si="43"/>
        <v/>
      </c>
      <c r="BC324" s="29">
        <f t="shared" si="44"/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 t="shared" ref="AS325:AS388" si="45">SUM(H325,J325,L325,N325,P325,R325,T325,V325,X325,Z325,AB325,AD325,AF325,AH325,AJ325,AL325,AN325)</f>
        <v>0</v>
      </c>
      <c r="AT325" s="30" t="str">
        <f t="shared" ref="AT325:AT388" si="46">IF(C325="","",DATE(YEAR(C325),MONTH(C325),1))</f>
        <v/>
      </c>
      <c r="AU325" s="29" t="str">
        <f t="shared" ref="AU325:AU388" si="47">IF(AT325="","",TEXT(AT325,"mmmm yyyy"))</f>
        <v/>
      </c>
      <c r="AV325" s="30" t="str">
        <f t="shared" ref="AV325:AV388" si="48">IF(C325="","",C325-WEEKDAY(C325,2)+1)</f>
        <v/>
      </c>
      <c r="AW325" s="30" t="str">
        <f t="shared" ref="AW325:AW388" si="49">IF(AV325="","",AV325+6)</f>
        <v/>
      </c>
      <c r="AX325" s="29" t="str">
        <f t="shared" ref="AX325:AX388" si="50"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 t="shared" ref="BA325:BA388" si="51">IF(B325="","",TEXT(AY325,"00")&amp;"|"&amp;B325&amp;"|"&amp;TEXT(AT325,"yyyymmdd"))</f>
        <v/>
      </c>
      <c r="BB325" s="29" t="str">
        <f t="shared" ref="BB325:BB388" si="52">IF(B325="","",TEXT(AZ325,"00")&amp;"|"&amp;B325&amp;"|"&amp;TEXT(AV325,"yyyymmdd"))</f>
        <v/>
      </c>
      <c r="BC325" s="29">
        <f t="shared" ref="BC325:BC388" si="53"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 t="shared" si="45"/>
        <v>0</v>
      </c>
      <c r="AT326" s="30" t="str">
        <f t="shared" si="46"/>
        <v/>
      </c>
      <c r="AU326" s="29" t="str">
        <f t="shared" si="47"/>
        <v/>
      </c>
      <c r="AV326" s="30" t="str">
        <f t="shared" si="48"/>
        <v/>
      </c>
      <c r="AW326" s="30" t="str">
        <f t="shared" si="49"/>
        <v/>
      </c>
      <c r="AX326" s="29" t="str">
        <f t="shared" si="50"/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 t="shared" si="51"/>
        <v/>
      </c>
      <c r="BB326" s="29" t="str">
        <f t="shared" si="52"/>
        <v/>
      </c>
      <c r="BC326" s="29">
        <f t="shared" si="53"/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 t="shared" si="45"/>
        <v>0</v>
      </c>
      <c r="AT327" s="30" t="str">
        <f t="shared" si="46"/>
        <v/>
      </c>
      <c r="AU327" s="29" t="str">
        <f t="shared" si="47"/>
        <v/>
      </c>
      <c r="AV327" s="30" t="str">
        <f t="shared" si="48"/>
        <v/>
      </c>
      <c r="AW327" s="30" t="str">
        <f t="shared" si="49"/>
        <v/>
      </c>
      <c r="AX327" s="29" t="str">
        <f t="shared" si="50"/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 t="shared" si="51"/>
        <v/>
      </c>
      <c r="BB327" s="29" t="str">
        <f t="shared" si="52"/>
        <v/>
      </c>
      <c r="BC327" s="29">
        <f t="shared" si="53"/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 t="shared" si="45"/>
        <v>0</v>
      </c>
      <c r="AT328" s="30" t="str">
        <f t="shared" si="46"/>
        <v/>
      </c>
      <c r="AU328" s="29" t="str">
        <f t="shared" si="47"/>
        <v/>
      </c>
      <c r="AV328" s="30" t="str">
        <f t="shared" si="48"/>
        <v/>
      </c>
      <c r="AW328" s="30" t="str">
        <f t="shared" si="49"/>
        <v/>
      </c>
      <c r="AX328" s="29" t="str">
        <f t="shared" si="50"/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 t="shared" si="51"/>
        <v/>
      </c>
      <c r="BB328" s="29" t="str">
        <f t="shared" si="52"/>
        <v/>
      </c>
      <c r="BC328" s="29">
        <f t="shared" si="53"/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 t="shared" si="45"/>
        <v>0</v>
      </c>
      <c r="AT329" s="30" t="str">
        <f t="shared" si="46"/>
        <v/>
      </c>
      <c r="AU329" s="29" t="str">
        <f t="shared" si="47"/>
        <v/>
      </c>
      <c r="AV329" s="30" t="str">
        <f t="shared" si="48"/>
        <v/>
      </c>
      <c r="AW329" s="30" t="str">
        <f t="shared" si="49"/>
        <v/>
      </c>
      <c r="AX329" s="29" t="str">
        <f t="shared" si="50"/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 t="shared" si="51"/>
        <v/>
      </c>
      <c r="BB329" s="29" t="str">
        <f t="shared" si="52"/>
        <v/>
      </c>
      <c r="BC329" s="29">
        <f t="shared" si="53"/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 t="shared" si="45"/>
        <v>0</v>
      </c>
      <c r="AT330" s="30" t="str">
        <f t="shared" si="46"/>
        <v/>
      </c>
      <c r="AU330" s="29" t="str">
        <f t="shared" si="47"/>
        <v/>
      </c>
      <c r="AV330" s="30" t="str">
        <f t="shared" si="48"/>
        <v/>
      </c>
      <c r="AW330" s="30" t="str">
        <f t="shared" si="49"/>
        <v/>
      </c>
      <c r="AX330" s="29" t="str">
        <f t="shared" si="50"/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 t="shared" si="51"/>
        <v/>
      </c>
      <c r="BB330" s="29" t="str">
        <f t="shared" si="52"/>
        <v/>
      </c>
      <c r="BC330" s="29">
        <f t="shared" si="53"/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 t="shared" si="45"/>
        <v>0</v>
      </c>
      <c r="AT331" s="30" t="str">
        <f t="shared" si="46"/>
        <v/>
      </c>
      <c r="AU331" s="29" t="str">
        <f t="shared" si="47"/>
        <v/>
      </c>
      <c r="AV331" s="30" t="str">
        <f t="shared" si="48"/>
        <v/>
      </c>
      <c r="AW331" s="30" t="str">
        <f t="shared" si="49"/>
        <v/>
      </c>
      <c r="AX331" s="29" t="str">
        <f t="shared" si="50"/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 t="shared" si="51"/>
        <v/>
      </c>
      <c r="BB331" s="29" t="str">
        <f t="shared" si="52"/>
        <v/>
      </c>
      <c r="BC331" s="29">
        <f t="shared" si="53"/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 t="shared" si="45"/>
        <v>0</v>
      </c>
      <c r="AT332" s="30" t="str">
        <f t="shared" si="46"/>
        <v/>
      </c>
      <c r="AU332" s="29" t="str">
        <f t="shared" si="47"/>
        <v/>
      </c>
      <c r="AV332" s="30" t="str">
        <f t="shared" si="48"/>
        <v/>
      </c>
      <c r="AW332" s="30" t="str">
        <f t="shared" si="49"/>
        <v/>
      </c>
      <c r="AX332" s="29" t="str">
        <f t="shared" si="50"/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 t="shared" si="51"/>
        <v/>
      </c>
      <c r="BB332" s="29" t="str">
        <f t="shared" si="52"/>
        <v/>
      </c>
      <c r="BC332" s="29">
        <f t="shared" si="53"/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 t="shared" si="45"/>
        <v>0</v>
      </c>
      <c r="AT333" s="30" t="str">
        <f t="shared" si="46"/>
        <v/>
      </c>
      <c r="AU333" s="29" t="str">
        <f t="shared" si="47"/>
        <v/>
      </c>
      <c r="AV333" s="30" t="str">
        <f t="shared" si="48"/>
        <v/>
      </c>
      <c r="AW333" s="30" t="str">
        <f t="shared" si="49"/>
        <v/>
      </c>
      <c r="AX333" s="29" t="str">
        <f t="shared" si="50"/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 t="shared" si="51"/>
        <v/>
      </c>
      <c r="BB333" s="29" t="str">
        <f t="shared" si="52"/>
        <v/>
      </c>
      <c r="BC333" s="29">
        <f t="shared" si="53"/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 t="shared" si="45"/>
        <v>0</v>
      </c>
      <c r="AT334" s="30" t="str">
        <f t="shared" si="46"/>
        <v/>
      </c>
      <c r="AU334" s="29" t="str">
        <f t="shared" si="47"/>
        <v/>
      </c>
      <c r="AV334" s="30" t="str">
        <f t="shared" si="48"/>
        <v/>
      </c>
      <c r="AW334" s="30" t="str">
        <f t="shared" si="49"/>
        <v/>
      </c>
      <c r="AX334" s="29" t="str">
        <f t="shared" si="50"/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 t="shared" si="51"/>
        <v/>
      </c>
      <c r="BB334" s="29" t="str">
        <f t="shared" si="52"/>
        <v/>
      </c>
      <c r="BC334" s="29">
        <f t="shared" si="53"/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 t="shared" si="45"/>
        <v>0</v>
      </c>
      <c r="AT335" s="30" t="str">
        <f t="shared" si="46"/>
        <v/>
      </c>
      <c r="AU335" s="29" t="str">
        <f t="shared" si="47"/>
        <v/>
      </c>
      <c r="AV335" s="30" t="str">
        <f t="shared" si="48"/>
        <v/>
      </c>
      <c r="AW335" s="30" t="str">
        <f t="shared" si="49"/>
        <v/>
      </c>
      <c r="AX335" s="29" t="str">
        <f t="shared" si="50"/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 t="shared" si="51"/>
        <v/>
      </c>
      <c r="BB335" s="29" t="str">
        <f t="shared" si="52"/>
        <v/>
      </c>
      <c r="BC335" s="29">
        <f t="shared" si="53"/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 t="shared" si="45"/>
        <v>0</v>
      </c>
      <c r="AT336" s="30" t="str">
        <f t="shared" si="46"/>
        <v/>
      </c>
      <c r="AU336" s="29" t="str">
        <f t="shared" si="47"/>
        <v/>
      </c>
      <c r="AV336" s="30" t="str">
        <f t="shared" si="48"/>
        <v/>
      </c>
      <c r="AW336" s="30" t="str">
        <f t="shared" si="49"/>
        <v/>
      </c>
      <c r="AX336" s="29" t="str">
        <f t="shared" si="50"/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 t="shared" si="51"/>
        <v/>
      </c>
      <c r="BB336" s="29" t="str">
        <f t="shared" si="52"/>
        <v/>
      </c>
      <c r="BC336" s="29">
        <f t="shared" si="53"/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 t="shared" si="45"/>
        <v>0</v>
      </c>
      <c r="AT337" s="30" t="str">
        <f t="shared" si="46"/>
        <v/>
      </c>
      <c r="AU337" s="29" t="str">
        <f t="shared" si="47"/>
        <v/>
      </c>
      <c r="AV337" s="30" t="str">
        <f t="shared" si="48"/>
        <v/>
      </c>
      <c r="AW337" s="30" t="str">
        <f t="shared" si="49"/>
        <v/>
      </c>
      <c r="AX337" s="29" t="str">
        <f t="shared" si="50"/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 t="shared" si="51"/>
        <v/>
      </c>
      <c r="BB337" s="29" t="str">
        <f t="shared" si="52"/>
        <v/>
      </c>
      <c r="BC337" s="29">
        <f t="shared" si="53"/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 t="shared" si="45"/>
        <v>0</v>
      </c>
      <c r="AT338" s="30" t="str">
        <f t="shared" si="46"/>
        <v/>
      </c>
      <c r="AU338" s="29" t="str">
        <f t="shared" si="47"/>
        <v/>
      </c>
      <c r="AV338" s="30" t="str">
        <f t="shared" si="48"/>
        <v/>
      </c>
      <c r="AW338" s="30" t="str">
        <f t="shared" si="49"/>
        <v/>
      </c>
      <c r="AX338" s="29" t="str">
        <f t="shared" si="50"/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 t="shared" si="51"/>
        <v/>
      </c>
      <c r="BB338" s="29" t="str">
        <f t="shared" si="52"/>
        <v/>
      </c>
      <c r="BC338" s="29">
        <f t="shared" si="53"/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 t="shared" si="45"/>
        <v>0</v>
      </c>
      <c r="AT339" s="30" t="str">
        <f t="shared" si="46"/>
        <v/>
      </c>
      <c r="AU339" s="29" t="str">
        <f t="shared" si="47"/>
        <v/>
      </c>
      <c r="AV339" s="30" t="str">
        <f t="shared" si="48"/>
        <v/>
      </c>
      <c r="AW339" s="30" t="str">
        <f t="shared" si="49"/>
        <v/>
      </c>
      <c r="AX339" s="29" t="str">
        <f t="shared" si="50"/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 t="shared" si="51"/>
        <v/>
      </c>
      <c r="BB339" s="29" t="str">
        <f t="shared" si="52"/>
        <v/>
      </c>
      <c r="BC339" s="29">
        <f t="shared" si="53"/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 t="shared" si="45"/>
        <v>0</v>
      </c>
      <c r="AT340" s="30" t="str">
        <f t="shared" si="46"/>
        <v/>
      </c>
      <c r="AU340" s="29" t="str">
        <f t="shared" si="47"/>
        <v/>
      </c>
      <c r="AV340" s="30" t="str">
        <f t="shared" si="48"/>
        <v/>
      </c>
      <c r="AW340" s="30" t="str">
        <f t="shared" si="49"/>
        <v/>
      </c>
      <c r="AX340" s="29" t="str">
        <f t="shared" si="50"/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 t="shared" si="51"/>
        <v/>
      </c>
      <c r="BB340" s="29" t="str">
        <f t="shared" si="52"/>
        <v/>
      </c>
      <c r="BC340" s="29">
        <f t="shared" si="53"/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 t="shared" si="45"/>
        <v>0</v>
      </c>
      <c r="AT341" s="30" t="str">
        <f t="shared" si="46"/>
        <v/>
      </c>
      <c r="AU341" s="29" t="str">
        <f t="shared" si="47"/>
        <v/>
      </c>
      <c r="AV341" s="30" t="str">
        <f t="shared" si="48"/>
        <v/>
      </c>
      <c r="AW341" s="30" t="str">
        <f t="shared" si="49"/>
        <v/>
      </c>
      <c r="AX341" s="29" t="str">
        <f t="shared" si="50"/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 t="shared" si="51"/>
        <v/>
      </c>
      <c r="BB341" s="29" t="str">
        <f t="shared" si="52"/>
        <v/>
      </c>
      <c r="BC341" s="29">
        <f t="shared" si="53"/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 t="shared" si="45"/>
        <v>0</v>
      </c>
      <c r="AT342" s="30" t="str">
        <f t="shared" si="46"/>
        <v/>
      </c>
      <c r="AU342" s="29" t="str">
        <f t="shared" si="47"/>
        <v/>
      </c>
      <c r="AV342" s="30" t="str">
        <f t="shared" si="48"/>
        <v/>
      </c>
      <c r="AW342" s="30" t="str">
        <f t="shared" si="49"/>
        <v/>
      </c>
      <c r="AX342" s="29" t="str">
        <f t="shared" si="50"/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 t="shared" si="51"/>
        <v/>
      </c>
      <c r="BB342" s="29" t="str">
        <f t="shared" si="52"/>
        <v/>
      </c>
      <c r="BC342" s="29">
        <f t="shared" si="53"/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 t="shared" si="45"/>
        <v>0</v>
      </c>
      <c r="AT343" s="30" t="str">
        <f t="shared" si="46"/>
        <v/>
      </c>
      <c r="AU343" s="29" t="str">
        <f t="shared" si="47"/>
        <v/>
      </c>
      <c r="AV343" s="30" t="str">
        <f t="shared" si="48"/>
        <v/>
      </c>
      <c r="AW343" s="30" t="str">
        <f t="shared" si="49"/>
        <v/>
      </c>
      <c r="AX343" s="29" t="str">
        <f t="shared" si="50"/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 t="shared" si="51"/>
        <v/>
      </c>
      <c r="BB343" s="29" t="str">
        <f t="shared" si="52"/>
        <v/>
      </c>
      <c r="BC343" s="29">
        <f t="shared" si="53"/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 t="shared" si="45"/>
        <v>0</v>
      </c>
      <c r="AT344" s="30" t="str">
        <f t="shared" si="46"/>
        <v/>
      </c>
      <c r="AU344" s="29" t="str">
        <f t="shared" si="47"/>
        <v/>
      </c>
      <c r="AV344" s="30" t="str">
        <f t="shared" si="48"/>
        <v/>
      </c>
      <c r="AW344" s="30" t="str">
        <f t="shared" si="49"/>
        <v/>
      </c>
      <c r="AX344" s="29" t="str">
        <f t="shared" si="50"/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 t="shared" si="51"/>
        <v/>
      </c>
      <c r="BB344" s="29" t="str">
        <f t="shared" si="52"/>
        <v/>
      </c>
      <c r="BC344" s="29">
        <f t="shared" si="53"/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 t="shared" si="45"/>
        <v>0</v>
      </c>
      <c r="AT345" s="30" t="str">
        <f t="shared" si="46"/>
        <v/>
      </c>
      <c r="AU345" s="29" t="str">
        <f t="shared" si="47"/>
        <v/>
      </c>
      <c r="AV345" s="30" t="str">
        <f t="shared" si="48"/>
        <v/>
      </c>
      <c r="AW345" s="30" t="str">
        <f t="shared" si="49"/>
        <v/>
      </c>
      <c r="AX345" s="29" t="str">
        <f t="shared" si="50"/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 t="shared" si="51"/>
        <v/>
      </c>
      <c r="BB345" s="29" t="str">
        <f t="shared" si="52"/>
        <v/>
      </c>
      <c r="BC345" s="29">
        <f t="shared" si="53"/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 t="shared" si="45"/>
        <v>0</v>
      </c>
      <c r="AT346" s="30" t="str">
        <f t="shared" si="46"/>
        <v/>
      </c>
      <c r="AU346" s="29" t="str">
        <f t="shared" si="47"/>
        <v/>
      </c>
      <c r="AV346" s="30" t="str">
        <f t="shared" si="48"/>
        <v/>
      </c>
      <c r="AW346" s="30" t="str">
        <f t="shared" si="49"/>
        <v/>
      </c>
      <c r="AX346" s="29" t="str">
        <f t="shared" si="50"/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 t="shared" si="51"/>
        <v/>
      </c>
      <c r="BB346" s="29" t="str">
        <f t="shared" si="52"/>
        <v/>
      </c>
      <c r="BC346" s="29">
        <f t="shared" si="53"/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 t="shared" si="45"/>
        <v>0</v>
      </c>
      <c r="AT347" s="30" t="str">
        <f t="shared" si="46"/>
        <v/>
      </c>
      <c r="AU347" s="29" t="str">
        <f t="shared" si="47"/>
        <v/>
      </c>
      <c r="AV347" s="30" t="str">
        <f t="shared" si="48"/>
        <v/>
      </c>
      <c r="AW347" s="30" t="str">
        <f t="shared" si="49"/>
        <v/>
      </c>
      <c r="AX347" s="29" t="str">
        <f t="shared" si="50"/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 t="shared" si="51"/>
        <v/>
      </c>
      <c r="BB347" s="29" t="str">
        <f t="shared" si="52"/>
        <v/>
      </c>
      <c r="BC347" s="29">
        <f t="shared" si="53"/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 t="shared" si="45"/>
        <v>0</v>
      </c>
      <c r="AT348" s="30" t="str">
        <f t="shared" si="46"/>
        <v/>
      </c>
      <c r="AU348" s="29" t="str">
        <f t="shared" si="47"/>
        <v/>
      </c>
      <c r="AV348" s="30" t="str">
        <f t="shared" si="48"/>
        <v/>
      </c>
      <c r="AW348" s="30" t="str">
        <f t="shared" si="49"/>
        <v/>
      </c>
      <c r="AX348" s="29" t="str">
        <f t="shared" si="50"/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 t="shared" si="51"/>
        <v/>
      </c>
      <c r="BB348" s="29" t="str">
        <f t="shared" si="52"/>
        <v/>
      </c>
      <c r="BC348" s="29">
        <f t="shared" si="53"/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 t="shared" si="45"/>
        <v>0</v>
      </c>
      <c r="AT349" s="30" t="str">
        <f t="shared" si="46"/>
        <v/>
      </c>
      <c r="AU349" s="29" t="str">
        <f t="shared" si="47"/>
        <v/>
      </c>
      <c r="AV349" s="30" t="str">
        <f t="shared" si="48"/>
        <v/>
      </c>
      <c r="AW349" s="30" t="str">
        <f t="shared" si="49"/>
        <v/>
      </c>
      <c r="AX349" s="29" t="str">
        <f t="shared" si="50"/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 t="shared" si="51"/>
        <v/>
      </c>
      <c r="BB349" s="29" t="str">
        <f t="shared" si="52"/>
        <v/>
      </c>
      <c r="BC349" s="29">
        <f t="shared" si="53"/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 t="shared" si="45"/>
        <v>0</v>
      </c>
      <c r="AT350" s="30" t="str">
        <f t="shared" si="46"/>
        <v/>
      </c>
      <c r="AU350" s="29" t="str">
        <f t="shared" si="47"/>
        <v/>
      </c>
      <c r="AV350" s="30" t="str">
        <f t="shared" si="48"/>
        <v/>
      </c>
      <c r="AW350" s="30" t="str">
        <f t="shared" si="49"/>
        <v/>
      </c>
      <c r="AX350" s="29" t="str">
        <f t="shared" si="50"/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 t="shared" si="51"/>
        <v/>
      </c>
      <c r="BB350" s="29" t="str">
        <f t="shared" si="52"/>
        <v/>
      </c>
      <c r="BC350" s="29">
        <f t="shared" si="53"/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 t="shared" si="45"/>
        <v>0</v>
      </c>
      <c r="AT351" s="30" t="str">
        <f t="shared" si="46"/>
        <v/>
      </c>
      <c r="AU351" s="29" t="str">
        <f t="shared" si="47"/>
        <v/>
      </c>
      <c r="AV351" s="30" t="str">
        <f t="shared" si="48"/>
        <v/>
      </c>
      <c r="AW351" s="30" t="str">
        <f t="shared" si="49"/>
        <v/>
      </c>
      <c r="AX351" s="29" t="str">
        <f t="shared" si="50"/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 t="shared" si="51"/>
        <v/>
      </c>
      <c r="BB351" s="29" t="str">
        <f t="shared" si="52"/>
        <v/>
      </c>
      <c r="BC351" s="29">
        <f t="shared" si="53"/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 t="shared" si="45"/>
        <v>0</v>
      </c>
      <c r="AT352" s="30" t="str">
        <f t="shared" si="46"/>
        <v/>
      </c>
      <c r="AU352" s="29" t="str">
        <f t="shared" si="47"/>
        <v/>
      </c>
      <c r="AV352" s="30" t="str">
        <f t="shared" si="48"/>
        <v/>
      </c>
      <c r="AW352" s="30" t="str">
        <f t="shared" si="49"/>
        <v/>
      </c>
      <c r="AX352" s="29" t="str">
        <f t="shared" si="50"/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 t="shared" si="51"/>
        <v/>
      </c>
      <c r="BB352" s="29" t="str">
        <f t="shared" si="52"/>
        <v/>
      </c>
      <c r="BC352" s="29">
        <f t="shared" si="53"/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 t="shared" si="45"/>
        <v>0</v>
      </c>
      <c r="AT353" s="30" t="str">
        <f t="shared" si="46"/>
        <v/>
      </c>
      <c r="AU353" s="29" t="str">
        <f t="shared" si="47"/>
        <v/>
      </c>
      <c r="AV353" s="30" t="str">
        <f t="shared" si="48"/>
        <v/>
      </c>
      <c r="AW353" s="30" t="str">
        <f t="shared" si="49"/>
        <v/>
      </c>
      <c r="AX353" s="29" t="str">
        <f t="shared" si="50"/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 t="shared" si="51"/>
        <v/>
      </c>
      <c r="BB353" s="29" t="str">
        <f t="shared" si="52"/>
        <v/>
      </c>
      <c r="BC353" s="29">
        <f t="shared" si="53"/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 t="shared" si="45"/>
        <v>0</v>
      </c>
      <c r="AT354" s="30" t="str">
        <f t="shared" si="46"/>
        <v/>
      </c>
      <c r="AU354" s="29" t="str">
        <f t="shared" si="47"/>
        <v/>
      </c>
      <c r="AV354" s="30" t="str">
        <f t="shared" si="48"/>
        <v/>
      </c>
      <c r="AW354" s="30" t="str">
        <f t="shared" si="49"/>
        <v/>
      </c>
      <c r="AX354" s="29" t="str">
        <f t="shared" si="50"/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 t="shared" si="51"/>
        <v/>
      </c>
      <c r="BB354" s="29" t="str">
        <f t="shared" si="52"/>
        <v/>
      </c>
      <c r="BC354" s="29">
        <f t="shared" si="53"/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 t="shared" si="45"/>
        <v>0</v>
      </c>
      <c r="AT355" s="30" t="str">
        <f t="shared" si="46"/>
        <v/>
      </c>
      <c r="AU355" s="29" t="str">
        <f t="shared" si="47"/>
        <v/>
      </c>
      <c r="AV355" s="30" t="str">
        <f t="shared" si="48"/>
        <v/>
      </c>
      <c r="AW355" s="30" t="str">
        <f t="shared" si="49"/>
        <v/>
      </c>
      <c r="AX355" s="29" t="str">
        <f t="shared" si="50"/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 t="shared" si="51"/>
        <v/>
      </c>
      <c r="BB355" s="29" t="str">
        <f t="shared" si="52"/>
        <v/>
      </c>
      <c r="BC355" s="29">
        <f t="shared" si="53"/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 t="shared" si="45"/>
        <v>0</v>
      </c>
      <c r="AT356" s="30" t="str">
        <f t="shared" si="46"/>
        <v/>
      </c>
      <c r="AU356" s="29" t="str">
        <f t="shared" si="47"/>
        <v/>
      </c>
      <c r="AV356" s="30" t="str">
        <f t="shared" si="48"/>
        <v/>
      </c>
      <c r="AW356" s="30" t="str">
        <f t="shared" si="49"/>
        <v/>
      </c>
      <c r="AX356" s="29" t="str">
        <f t="shared" si="50"/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 t="shared" si="51"/>
        <v/>
      </c>
      <c r="BB356" s="29" t="str">
        <f t="shared" si="52"/>
        <v/>
      </c>
      <c r="BC356" s="29">
        <f t="shared" si="53"/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 t="shared" si="45"/>
        <v>0</v>
      </c>
      <c r="AT357" s="30" t="str">
        <f t="shared" si="46"/>
        <v/>
      </c>
      <c r="AU357" s="29" t="str">
        <f t="shared" si="47"/>
        <v/>
      </c>
      <c r="AV357" s="30" t="str">
        <f t="shared" si="48"/>
        <v/>
      </c>
      <c r="AW357" s="30" t="str">
        <f t="shared" si="49"/>
        <v/>
      </c>
      <c r="AX357" s="29" t="str">
        <f t="shared" si="50"/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 t="shared" si="51"/>
        <v/>
      </c>
      <c r="BB357" s="29" t="str">
        <f t="shared" si="52"/>
        <v/>
      </c>
      <c r="BC357" s="29">
        <f t="shared" si="53"/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 t="shared" si="45"/>
        <v>0</v>
      </c>
      <c r="AT358" s="30" t="str">
        <f t="shared" si="46"/>
        <v/>
      </c>
      <c r="AU358" s="29" t="str">
        <f t="shared" si="47"/>
        <v/>
      </c>
      <c r="AV358" s="30" t="str">
        <f t="shared" si="48"/>
        <v/>
      </c>
      <c r="AW358" s="30" t="str">
        <f t="shared" si="49"/>
        <v/>
      </c>
      <c r="AX358" s="29" t="str">
        <f t="shared" si="50"/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 t="shared" si="51"/>
        <v/>
      </c>
      <c r="BB358" s="29" t="str">
        <f t="shared" si="52"/>
        <v/>
      </c>
      <c r="BC358" s="29">
        <f t="shared" si="53"/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 t="shared" si="45"/>
        <v>0</v>
      </c>
      <c r="AT359" s="30" t="str">
        <f t="shared" si="46"/>
        <v/>
      </c>
      <c r="AU359" s="29" t="str">
        <f t="shared" si="47"/>
        <v/>
      </c>
      <c r="AV359" s="30" t="str">
        <f t="shared" si="48"/>
        <v/>
      </c>
      <c r="AW359" s="30" t="str">
        <f t="shared" si="49"/>
        <v/>
      </c>
      <c r="AX359" s="29" t="str">
        <f t="shared" si="50"/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 t="shared" si="51"/>
        <v/>
      </c>
      <c r="BB359" s="29" t="str">
        <f t="shared" si="52"/>
        <v/>
      </c>
      <c r="BC359" s="29">
        <f t="shared" si="53"/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 t="shared" si="45"/>
        <v>0</v>
      </c>
      <c r="AT360" s="30" t="str">
        <f t="shared" si="46"/>
        <v/>
      </c>
      <c r="AU360" s="29" t="str">
        <f t="shared" si="47"/>
        <v/>
      </c>
      <c r="AV360" s="30" t="str">
        <f t="shared" si="48"/>
        <v/>
      </c>
      <c r="AW360" s="30" t="str">
        <f t="shared" si="49"/>
        <v/>
      </c>
      <c r="AX360" s="29" t="str">
        <f t="shared" si="50"/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 t="shared" si="51"/>
        <v/>
      </c>
      <c r="BB360" s="29" t="str">
        <f t="shared" si="52"/>
        <v/>
      </c>
      <c r="BC360" s="29">
        <f t="shared" si="53"/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 t="shared" si="45"/>
        <v>0</v>
      </c>
      <c r="AT361" s="30" t="str">
        <f t="shared" si="46"/>
        <v/>
      </c>
      <c r="AU361" s="29" t="str">
        <f t="shared" si="47"/>
        <v/>
      </c>
      <c r="AV361" s="30" t="str">
        <f t="shared" si="48"/>
        <v/>
      </c>
      <c r="AW361" s="30" t="str">
        <f t="shared" si="49"/>
        <v/>
      </c>
      <c r="AX361" s="29" t="str">
        <f t="shared" si="50"/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 t="shared" si="51"/>
        <v/>
      </c>
      <c r="BB361" s="29" t="str">
        <f t="shared" si="52"/>
        <v/>
      </c>
      <c r="BC361" s="29">
        <f t="shared" si="53"/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 t="shared" si="45"/>
        <v>0</v>
      </c>
      <c r="AT362" s="30" t="str">
        <f t="shared" si="46"/>
        <v/>
      </c>
      <c r="AU362" s="29" t="str">
        <f t="shared" si="47"/>
        <v/>
      </c>
      <c r="AV362" s="30" t="str">
        <f t="shared" si="48"/>
        <v/>
      </c>
      <c r="AW362" s="30" t="str">
        <f t="shared" si="49"/>
        <v/>
      </c>
      <c r="AX362" s="29" t="str">
        <f t="shared" si="50"/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 t="shared" si="51"/>
        <v/>
      </c>
      <c r="BB362" s="29" t="str">
        <f t="shared" si="52"/>
        <v/>
      </c>
      <c r="BC362" s="29">
        <f t="shared" si="53"/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 t="shared" si="45"/>
        <v>0</v>
      </c>
      <c r="AT363" s="30" t="str">
        <f t="shared" si="46"/>
        <v/>
      </c>
      <c r="AU363" s="29" t="str">
        <f t="shared" si="47"/>
        <v/>
      </c>
      <c r="AV363" s="30" t="str">
        <f t="shared" si="48"/>
        <v/>
      </c>
      <c r="AW363" s="30" t="str">
        <f t="shared" si="49"/>
        <v/>
      </c>
      <c r="AX363" s="29" t="str">
        <f t="shared" si="50"/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 t="shared" si="51"/>
        <v/>
      </c>
      <c r="BB363" s="29" t="str">
        <f t="shared" si="52"/>
        <v/>
      </c>
      <c r="BC363" s="29">
        <f t="shared" si="53"/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 t="shared" si="45"/>
        <v>0</v>
      </c>
      <c r="AT364" s="30" t="str">
        <f t="shared" si="46"/>
        <v/>
      </c>
      <c r="AU364" s="29" t="str">
        <f t="shared" si="47"/>
        <v/>
      </c>
      <c r="AV364" s="30" t="str">
        <f t="shared" si="48"/>
        <v/>
      </c>
      <c r="AW364" s="30" t="str">
        <f t="shared" si="49"/>
        <v/>
      </c>
      <c r="AX364" s="29" t="str">
        <f t="shared" si="50"/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 t="shared" si="51"/>
        <v/>
      </c>
      <c r="BB364" s="29" t="str">
        <f t="shared" si="52"/>
        <v/>
      </c>
      <c r="BC364" s="29">
        <f t="shared" si="53"/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 t="shared" si="45"/>
        <v>0</v>
      </c>
      <c r="AT365" s="30" t="str">
        <f t="shared" si="46"/>
        <v/>
      </c>
      <c r="AU365" s="29" t="str">
        <f t="shared" si="47"/>
        <v/>
      </c>
      <c r="AV365" s="30" t="str">
        <f t="shared" si="48"/>
        <v/>
      </c>
      <c r="AW365" s="30" t="str">
        <f t="shared" si="49"/>
        <v/>
      </c>
      <c r="AX365" s="29" t="str">
        <f t="shared" si="50"/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 t="shared" si="51"/>
        <v/>
      </c>
      <c r="BB365" s="29" t="str">
        <f t="shared" si="52"/>
        <v/>
      </c>
      <c r="BC365" s="29">
        <f t="shared" si="53"/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 t="shared" si="45"/>
        <v>0</v>
      </c>
      <c r="AT366" s="30" t="str">
        <f t="shared" si="46"/>
        <v/>
      </c>
      <c r="AU366" s="29" t="str">
        <f t="shared" si="47"/>
        <v/>
      </c>
      <c r="AV366" s="30" t="str">
        <f t="shared" si="48"/>
        <v/>
      </c>
      <c r="AW366" s="30" t="str">
        <f t="shared" si="49"/>
        <v/>
      </c>
      <c r="AX366" s="29" t="str">
        <f t="shared" si="50"/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 t="shared" si="51"/>
        <v/>
      </c>
      <c r="BB366" s="29" t="str">
        <f t="shared" si="52"/>
        <v/>
      </c>
      <c r="BC366" s="29">
        <f t="shared" si="53"/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 t="shared" si="45"/>
        <v>0</v>
      </c>
      <c r="AT367" s="30" t="str">
        <f t="shared" si="46"/>
        <v/>
      </c>
      <c r="AU367" s="29" t="str">
        <f t="shared" si="47"/>
        <v/>
      </c>
      <c r="AV367" s="30" t="str">
        <f t="shared" si="48"/>
        <v/>
      </c>
      <c r="AW367" s="30" t="str">
        <f t="shared" si="49"/>
        <v/>
      </c>
      <c r="AX367" s="29" t="str">
        <f t="shared" si="50"/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 t="shared" si="51"/>
        <v/>
      </c>
      <c r="BB367" s="29" t="str">
        <f t="shared" si="52"/>
        <v/>
      </c>
      <c r="BC367" s="29">
        <f t="shared" si="53"/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 t="shared" si="45"/>
        <v>0</v>
      </c>
      <c r="AT368" s="30" t="str">
        <f t="shared" si="46"/>
        <v/>
      </c>
      <c r="AU368" s="29" t="str">
        <f t="shared" si="47"/>
        <v/>
      </c>
      <c r="AV368" s="30" t="str">
        <f t="shared" si="48"/>
        <v/>
      </c>
      <c r="AW368" s="30" t="str">
        <f t="shared" si="49"/>
        <v/>
      </c>
      <c r="AX368" s="29" t="str">
        <f t="shared" si="50"/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 t="shared" si="51"/>
        <v/>
      </c>
      <c r="BB368" s="29" t="str">
        <f t="shared" si="52"/>
        <v/>
      </c>
      <c r="BC368" s="29">
        <f t="shared" si="53"/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 t="shared" si="45"/>
        <v>0</v>
      </c>
      <c r="AT369" s="30" t="str">
        <f t="shared" si="46"/>
        <v/>
      </c>
      <c r="AU369" s="29" t="str">
        <f t="shared" si="47"/>
        <v/>
      </c>
      <c r="AV369" s="30" t="str">
        <f t="shared" si="48"/>
        <v/>
      </c>
      <c r="AW369" s="30" t="str">
        <f t="shared" si="49"/>
        <v/>
      </c>
      <c r="AX369" s="29" t="str">
        <f t="shared" si="50"/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 t="shared" si="51"/>
        <v/>
      </c>
      <c r="BB369" s="29" t="str">
        <f t="shared" si="52"/>
        <v/>
      </c>
      <c r="BC369" s="29">
        <f t="shared" si="53"/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 t="shared" si="45"/>
        <v>0</v>
      </c>
      <c r="AT370" s="30" t="str">
        <f t="shared" si="46"/>
        <v/>
      </c>
      <c r="AU370" s="29" t="str">
        <f t="shared" si="47"/>
        <v/>
      </c>
      <c r="AV370" s="30" t="str">
        <f t="shared" si="48"/>
        <v/>
      </c>
      <c r="AW370" s="30" t="str">
        <f t="shared" si="49"/>
        <v/>
      </c>
      <c r="AX370" s="29" t="str">
        <f t="shared" si="50"/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 t="shared" si="51"/>
        <v/>
      </c>
      <c r="BB370" s="29" t="str">
        <f t="shared" si="52"/>
        <v/>
      </c>
      <c r="BC370" s="29">
        <f t="shared" si="53"/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 t="shared" si="45"/>
        <v>0</v>
      </c>
      <c r="AT371" s="30" t="str">
        <f t="shared" si="46"/>
        <v/>
      </c>
      <c r="AU371" s="29" t="str">
        <f t="shared" si="47"/>
        <v/>
      </c>
      <c r="AV371" s="30" t="str">
        <f t="shared" si="48"/>
        <v/>
      </c>
      <c r="AW371" s="30" t="str">
        <f t="shared" si="49"/>
        <v/>
      </c>
      <c r="AX371" s="29" t="str">
        <f t="shared" si="50"/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 t="shared" si="51"/>
        <v/>
      </c>
      <c r="BB371" s="29" t="str">
        <f t="shared" si="52"/>
        <v/>
      </c>
      <c r="BC371" s="29">
        <f t="shared" si="53"/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 t="shared" si="45"/>
        <v>0</v>
      </c>
      <c r="AT372" s="30" t="str">
        <f t="shared" si="46"/>
        <v/>
      </c>
      <c r="AU372" s="29" t="str">
        <f t="shared" si="47"/>
        <v/>
      </c>
      <c r="AV372" s="30" t="str">
        <f t="shared" si="48"/>
        <v/>
      </c>
      <c r="AW372" s="30" t="str">
        <f t="shared" si="49"/>
        <v/>
      </c>
      <c r="AX372" s="29" t="str">
        <f t="shared" si="50"/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 t="shared" si="51"/>
        <v/>
      </c>
      <c r="BB372" s="29" t="str">
        <f t="shared" si="52"/>
        <v/>
      </c>
      <c r="BC372" s="29">
        <f t="shared" si="53"/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 t="shared" si="45"/>
        <v>0</v>
      </c>
      <c r="AT373" s="30" t="str">
        <f t="shared" si="46"/>
        <v/>
      </c>
      <c r="AU373" s="29" t="str">
        <f t="shared" si="47"/>
        <v/>
      </c>
      <c r="AV373" s="30" t="str">
        <f t="shared" si="48"/>
        <v/>
      </c>
      <c r="AW373" s="30" t="str">
        <f t="shared" si="49"/>
        <v/>
      </c>
      <c r="AX373" s="29" t="str">
        <f t="shared" si="50"/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 t="shared" si="51"/>
        <v/>
      </c>
      <c r="BB373" s="29" t="str">
        <f t="shared" si="52"/>
        <v/>
      </c>
      <c r="BC373" s="29">
        <f t="shared" si="53"/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 t="shared" si="45"/>
        <v>0</v>
      </c>
      <c r="AT374" s="30" t="str">
        <f t="shared" si="46"/>
        <v/>
      </c>
      <c r="AU374" s="29" t="str">
        <f t="shared" si="47"/>
        <v/>
      </c>
      <c r="AV374" s="30" t="str">
        <f t="shared" si="48"/>
        <v/>
      </c>
      <c r="AW374" s="30" t="str">
        <f t="shared" si="49"/>
        <v/>
      </c>
      <c r="AX374" s="29" t="str">
        <f t="shared" si="50"/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 t="shared" si="51"/>
        <v/>
      </c>
      <c r="BB374" s="29" t="str">
        <f t="shared" si="52"/>
        <v/>
      </c>
      <c r="BC374" s="29">
        <f t="shared" si="53"/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 t="shared" si="45"/>
        <v>0</v>
      </c>
      <c r="AT375" s="30" t="str">
        <f t="shared" si="46"/>
        <v/>
      </c>
      <c r="AU375" s="29" t="str">
        <f t="shared" si="47"/>
        <v/>
      </c>
      <c r="AV375" s="30" t="str">
        <f t="shared" si="48"/>
        <v/>
      </c>
      <c r="AW375" s="30" t="str">
        <f t="shared" si="49"/>
        <v/>
      </c>
      <c r="AX375" s="29" t="str">
        <f t="shared" si="50"/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 t="shared" si="51"/>
        <v/>
      </c>
      <c r="BB375" s="29" t="str">
        <f t="shared" si="52"/>
        <v/>
      </c>
      <c r="BC375" s="29">
        <f t="shared" si="53"/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 t="shared" si="45"/>
        <v>0</v>
      </c>
      <c r="AT376" s="30" t="str">
        <f t="shared" si="46"/>
        <v/>
      </c>
      <c r="AU376" s="29" t="str">
        <f t="shared" si="47"/>
        <v/>
      </c>
      <c r="AV376" s="30" t="str">
        <f t="shared" si="48"/>
        <v/>
      </c>
      <c r="AW376" s="30" t="str">
        <f t="shared" si="49"/>
        <v/>
      </c>
      <c r="AX376" s="29" t="str">
        <f t="shared" si="50"/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 t="shared" si="51"/>
        <v/>
      </c>
      <c r="BB376" s="29" t="str">
        <f t="shared" si="52"/>
        <v/>
      </c>
      <c r="BC376" s="29">
        <f t="shared" si="53"/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 t="shared" si="45"/>
        <v>0</v>
      </c>
      <c r="AT377" s="30" t="str">
        <f t="shared" si="46"/>
        <v/>
      </c>
      <c r="AU377" s="29" t="str">
        <f t="shared" si="47"/>
        <v/>
      </c>
      <c r="AV377" s="30" t="str">
        <f t="shared" si="48"/>
        <v/>
      </c>
      <c r="AW377" s="30" t="str">
        <f t="shared" si="49"/>
        <v/>
      </c>
      <c r="AX377" s="29" t="str">
        <f t="shared" si="50"/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 t="shared" si="51"/>
        <v/>
      </c>
      <c r="BB377" s="29" t="str">
        <f t="shared" si="52"/>
        <v/>
      </c>
      <c r="BC377" s="29">
        <f t="shared" si="53"/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 t="shared" si="45"/>
        <v>0</v>
      </c>
      <c r="AT378" s="30" t="str">
        <f t="shared" si="46"/>
        <v/>
      </c>
      <c r="AU378" s="29" t="str">
        <f t="shared" si="47"/>
        <v/>
      </c>
      <c r="AV378" s="30" t="str">
        <f t="shared" si="48"/>
        <v/>
      </c>
      <c r="AW378" s="30" t="str">
        <f t="shared" si="49"/>
        <v/>
      </c>
      <c r="AX378" s="29" t="str">
        <f t="shared" si="50"/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 t="shared" si="51"/>
        <v/>
      </c>
      <c r="BB378" s="29" t="str">
        <f t="shared" si="52"/>
        <v/>
      </c>
      <c r="BC378" s="29">
        <f t="shared" si="53"/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 t="shared" si="45"/>
        <v>0</v>
      </c>
      <c r="AT379" s="30" t="str">
        <f t="shared" si="46"/>
        <v/>
      </c>
      <c r="AU379" s="29" t="str">
        <f t="shared" si="47"/>
        <v/>
      </c>
      <c r="AV379" s="30" t="str">
        <f t="shared" si="48"/>
        <v/>
      </c>
      <c r="AW379" s="30" t="str">
        <f t="shared" si="49"/>
        <v/>
      </c>
      <c r="AX379" s="29" t="str">
        <f t="shared" si="50"/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 t="shared" si="51"/>
        <v/>
      </c>
      <c r="BB379" s="29" t="str">
        <f t="shared" si="52"/>
        <v/>
      </c>
      <c r="BC379" s="29">
        <f t="shared" si="53"/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 t="shared" si="45"/>
        <v>0</v>
      </c>
      <c r="AT380" s="30" t="str">
        <f t="shared" si="46"/>
        <v/>
      </c>
      <c r="AU380" s="29" t="str">
        <f t="shared" si="47"/>
        <v/>
      </c>
      <c r="AV380" s="30" t="str">
        <f t="shared" si="48"/>
        <v/>
      </c>
      <c r="AW380" s="30" t="str">
        <f t="shared" si="49"/>
        <v/>
      </c>
      <c r="AX380" s="29" t="str">
        <f t="shared" si="50"/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 t="shared" si="51"/>
        <v/>
      </c>
      <c r="BB380" s="29" t="str">
        <f t="shared" si="52"/>
        <v/>
      </c>
      <c r="BC380" s="29">
        <f t="shared" si="53"/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 t="shared" si="45"/>
        <v>0</v>
      </c>
      <c r="AT381" s="30" t="str">
        <f t="shared" si="46"/>
        <v/>
      </c>
      <c r="AU381" s="29" t="str">
        <f t="shared" si="47"/>
        <v/>
      </c>
      <c r="AV381" s="30" t="str">
        <f t="shared" si="48"/>
        <v/>
      </c>
      <c r="AW381" s="30" t="str">
        <f t="shared" si="49"/>
        <v/>
      </c>
      <c r="AX381" s="29" t="str">
        <f t="shared" si="50"/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 t="shared" si="51"/>
        <v/>
      </c>
      <c r="BB381" s="29" t="str">
        <f t="shared" si="52"/>
        <v/>
      </c>
      <c r="BC381" s="29">
        <f t="shared" si="53"/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 t="shared" si="45"/>
        <v>0</v>
      </c>
      <c r="AT382" s="30" t="str">
        <f t="shared" si="46"/>
        <v/>
      </c>
      <c r="AU382" s="29" t="str">
        <f t="shared" si="47"/>
        <v/>
      </c>
      <c r="AV382" s="30" t="str">
        <f t="shared" si="48"/>
        <v/>
      </c>
      <c r="AW382" s="30" t="str">
        <f t="shared" si="49"/>
        <v/>
      </c>
      <c r="AX382" s="29" t="str">
        <f t="shared" si="50"/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 t="shared" si="51"/>
        <v/>
      </c>
      <c r="BB382" s="29" t="str">
        <f t="shared" si="52"/>
        <v/>
      </c>
      <c r="BC382" s="29">
        <f t="shared" si="53"/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 t="shared" si="45"/>
        <v>0</v>
      </c>
      <c r="AT383" s="30" t="str">
        <f t="shared" si="46"/>
        <v/>
      </c>
      <c r="AU383" s="29" t="str">
        <f t="shared" si="47"/>
        <v/>
      </c>
      <c r="AV383" s="30" t="str">
        <f t="shared" si="48"/>
        <v/>
      </c>
      <c r="AW383" s="30" t="str">
        <f t="shared" si="49"/>
        <v/>
      </c>
      <c r="AX383" s="29" t="str">
        <f t="shared" si="50"/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 t="shared" si="51"/>
        <v/>
      </c>
      <c r="BB383" s="29" t="str">
        <f t="shared" si="52"/>
        <v/>
      </c>
      <c r="BC383" s="29">
        <f t="shared" si="53"/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 t="shared" si="45"/>
        <v>0</v>
      </c>
      <c r="AT384" s="30" t="str">
        <f t="shared" si="46"/>
        <v/>
      </c>
      <c r="AU384" s="29" t="str">
        <f t="shared" si="47"/>
        <v/>
      </c>
      <c r="AV384" s="30" t="str">
        <f t="shared" si="48"/>
        <v/>
      </c>
      <c r="AW384" s="30" t="str">
        <f t="shared" si="49"/>
        <v/>
      </c>
      <c r="AX384" s="29" t="str">
        <f t="shared" si="50"/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 t="shared" si="51"/>
        <v/>
      </c>
      <c r="BB384" s="29" t="str">
        <f t="shared" si="52"/>
        <v/>
      </c>
      <c r="BC384" s="29">
        <f t="shared" si="53"/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 t="shared" si="45"/>
        <v>0</v>
      </c>
      <c r="AT385" s="30" t="str">
        <f t="shared" si="46"/>
        <v/>
      </c>
      <c r="AU385" s="29" t="str">
        <f t="shared" si="47"/>
        <v/>
      </c>
      <c r="AV385" s="30" t="str">
        <f t="shared" si="48"/>
        <v/>
      </c>
      <c r="AW385" s="30" t="str">
        <f t="shared" si="49"/>
        <v/>
      </c>
      <c r="AX385" s="29" t="str">
        <f t="shared" si="50"/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 t="shared" si="51"/>
        <v/>
      </c>
      <c r="BB385" s="29" t="str">
        <f t="shared" si="52"/>
        <v/>
      </c>
      <c r="BC385" s="29">
        <f t="shared" si="53"/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 t="shared" si="45"/>
        <v>0</v>
      </c>
      <c r="AT386" s="30" t="str">
        <f t="shared" si="46"/>
        <v/>
      </c>
      <c r="AU386" s="29" t="str">
        <f t="shared" si="47"/>
        <v/>
      </c>
      <c r="AV386" s="30" t="str">
        <f t="shared" si="48"/>
        <v/>
      </c>
      <c r="AW386" s="30" t="str">
        <f t="shared" si="49"/>
        <v/>
      </c>
      <c r="AX386" s="29" t="str">
        <f t="shared" si="50"/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 t="shared" si="51"/>
        <v/>
      </c>
      <c r="BB386" s="29" t="str">
        <f t="shared" si="52"/>
        <v/>
      </c>
      <c r="BC386" s="29">
        <f t="shared" si="53"/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 t="shared" si="45"/>
        <v>0</v>
      </c>
      <c r="AT387" s="30" t="str">
        <f t="shared" si="46"/>
        <v/>
      </c>
      <c r="AU387" s="29" t="str">
        <f t="shared" si="47"/>
        <v/>
      </c>
      <c r="AV387" s="30" t="str">
        <f t="shared" si="48"/>
        <v/>
      </c>
      <c r="AW387" s="30" t="str">
        <f t="shared" si="49"/>
        <v/>
      </c>
      <c r="AX387" s="29" t="str">
        <f t="shared" si="50"/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 t="shared" si="51"/>
        <v/>
      </c>
      <c r="BB387" s="29" t="str">
        <f t="shared" si="52"/>
        <v/>
      </c>
      <c r="BC387" s="29">
        <f t="shared" si="53"/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 t="shared" si="45"/>
        <v>0</v>
      </c>
      <c r="AT388" s="30" t="str">
        <f t="shared" si="46"/>
        <v/>
      </c>
      <c r="AU388" s="29" t="str">
        <f t="shared" si="47"/>
        <v/>
      </c>
      <c r="AV388" s="30" t="str">
        <f t="shared" si="48"/>
        <v/>
      </c>
      <c r="AW388" s="30" t="str">
        <f t="shared" si="49"/>
        <v/>
      </c>
      <c r="AX388" s="29" t="str">
        <f t="shared" si="50"/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 t="shared" si="51"/>
        <v/>
      </c>
      <c r="BB388" s="29" t="str">
        <f t="shared" si="52"/>
        <v/>
      </c>
      <c r="BC388" s="29">
        <f t="shared" si="53"/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 t="shared" ref="AS389:AS452" si="54">SUM(H389,J389,L389,N389,P389,R389,T389,V389,X389,Z389,AB389,AD389,AF389,AH389,AJ389,AL389,AN389)</f>
        <v>0</v>
      </c>
      <c r="AT389" s="30" t="str">
        <f t="shared" ref="AT389:AT452" si="55">IF(C389="","",DATE(YEAR(C389),MONTH(C389),1))</f>
        <v/>
      </c>
      <c r="AU389" s="29" t="str">
        <f t="shared" ref="AU389:AU452" si="56">IF(AT389="","",TEXT(AT389,"mmmm yyyy"))</f>
        <v/>
      </c>
      <c r="AV389" s="30" t="str">
        <f t="shared" ref="AV389:AV452" si="57">IF(C389="","",C389-WEEKDAY(C389,2)+1)</f>
        <v/>
      </c>
      <c r="AW389" s="30" t="str">
        <f t="shared" ref="AW389:AW452" si="58">IF(AV389="","",AV389+6)</f>
        <v/>
      </c>
      <c r="AX389" s="29" t="str">
        <f t="shared" ref="AX389:AX452" si="59"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 t="shared" ref="BA389:BA452" si="60">IF(B389="","",TEXT(AY389,"00")&amp;"|"&amp;B389&amp;"|"&amp;TEXT(AT389,"yyyymmdd"))</f>
        <v/>
      </c>
      <c r="BB389" s="29" t="str">
        <f t="shared" ref="BB389:BB452" si="61">IF(B389="","",TEXT(AZ389,"00")&amp;"|"&amp;B389&amp;"|"&amp;TEXT(AV389,"yyyymmdd"))</f>
        <v/>
      </c>
      <c r="BC389" s="29">
        <f t="shared" ref="BC389:BC452" si="62"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 t="shared" si="54"/>
        <v>0</v>
      </c>
      <c r="AT390" s="30" t="str">
        <f t="shared" si="55"/>
        <v/>
      </c>
      <c r="AU390" s="29" t="str">
        <f t="shared" si="56"/>
        <v/>
      </c>
      <c r="AV390" s="30" t="str">
        <f t="shared" si="57"/>
        <v/>
      </c>
      <c r="AW390" s="30" t="str">
        <f t="shared" si="58"/>
        <v/>
      </c>
      <c r="AX390" s="29" t="str">
        <f t="shared" si="59"/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 t="shared" si="60"/>
        <v/>
      </c>
      <c r="BB390" s="29" t="str">
        <f t="shared" si="61"/>
        <v/>
      </c>
      <c r="BC390" s="29">
        <f t="shared" si="62"/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 t="shared" si="54"/>
        <v>0</v>
      </c>
      <c r="AT391" s="30" t="str">
        <f t="shared" si="55"/>
        <v/>
      </c>
      <c r="AU391" s="29" t="str">
        <f t="shared" si="56"/>
        <v/>
      </c>
      <c r="AV391" s="30" t="str">
        <f t="shared" si="57"/>
        <v/>
      </c>
      <c r="AW391" s="30" t="str">
        <f t="shared" si="58"/>
        <v/>
      </c>
      <c r="AX391" s="29" t="str">
        <f t="shared" si="59"/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 t="shared" si="60"/>
        <v/>
      </c>
      <c r="BB391" s="29" t="str">
        <f t="shared" si="61"/>
        <v/>
      </c>
      <c r="BC391" s="29">
        <f t="shared" si="62"/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 t="shared" si="54"/>
        <v>0</v>
      </c>
      <c r="AT392" s="30" t="str">
        <f t="shared" si="55"/>
        <v/>
      </c>
      <c r="AU392" s="29" t="str">
        <f t="shared" si="56"/>
        <v/>
      </c>
      <c r="AV392" s="30" t="str">
        <f t="shared" si="57"/>
        <v/>
      </c>
      <c r="AW392" s="30" t="str">
        <f t="shared" si="58"/>
        <v/>
      </c>
      <c r="AX392" s="29" t="str">
        <f t="shared" si="59"/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 t="shared" si="60"/>
        <v/>
      </c>
      <c r="BB392" s="29" t="str">
        <f t="shared" si="61"/>
        <v/>
      </c>
      <c r="BC392" s="29">
        <f t="shared" si="62"/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 t="shared" si="54"/>
        <v>0</v>
      </c>
      <c r="AT393" s="30" t="str">
        <f t="shared" si="55"/>
        <v/>
      </c>
      <c r="AU393" s="29" t="str">
        <f t="shared" si="56"/>
        <v/>
      </c>
      <c r="AV393" s="30" t="str">
        <f t="shared" si="57"/>
        <v/>
      </c>
      <c r="AW393" s="30" t="str">
        <f t="shared" si="58"/>
        <v/>
      </c>
      <c r="AX393" s="29" t="str">
        <f t="shared" si="59"/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 t="shared" si="60"/>
        <v/>
      </c>
      <c r="BB393" s="29" t="str">
        <f t="shared" si="61"/>
        <v/>
      </c>
      <c r="BC393" s="29">
        <f t="shared" si="62"/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 t="shared" si="54"/>
        <v>0</v>
      </c>
      <c r="AT394" s="30" t="str">
        <f t="shared" si="55"/>
        <v/>
      </c>
      <c r="AU394" s="29" t="str">
        <f t="shared" si="56"/>
        <v/>
      </c>
      <c r="AV394" s="30" t="str">
        <f t="shared" si="57"/>
        <v/>
      </c>
      <c r="AW394" s="30" t="str">
        <f t="shared" si="58"/>
        <v/>
      </c>
      <c r="AX394" s="29" t="str">
        <f t="shared" si="59"/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 t="shared" si="60"/>
        <v/>
      </c>
      <c r="BB394" s="29" t="str">
        <f t="shared" si="61"/>
        <v/>
      </c>
      <c r="BC394" s="29">
        <f t="shared" si="62"/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 t="shared" si="54"/>
        <v>0</v>
      </c>
      <c r="AT395" s="30" t="str">
        <f t="shared" si="55"/>
        <v/>
      </c>
      <c r="AU395" s="29" t="str">
        <f t="shared" si="56"/>
        <v/>
      </c>
      <c r="AV395" s="30" t="str">
        <f t="shared" si="57"/>
        <v/>
      </c>
      <c r="AW395" s="30" t="str">
        <f t="shared" si="58"/>
        <v/>
      </c>
      <c r="AX395" s="29" t="str">
        <f t="shared" si="59"/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 t="shared" si="60"/>
        <v/>
      </c>
      <c r="BB395" s="29" t="str">
        <f t="shared" si="61"/>
        <v/>
      </c>
      <c r="BC395" s="29">
        <f t="shared" si="62"/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 t="shared" si="54"/>
        <v>0</v>
      </c>
      <c r="AT396" s="30" t="str">
        <f t="shared" si="55"/>
        <v/>
      </c>
      <c r="AU396" s="29" t="str">
        <f t="shared" si="56"/>
        <v/>
      </c>
      <c r="AV396" s="30" t="str">
        <f t="shared" si="57"/>
        <v/>
      </c>
      <c r="AW396" s="30" t="str">
        <f t="shared" si="58"/>
        <v/>
      </c>
      <c r="AX396" s="29" t="str">
        <f t="shared" si="59"/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 t="shared" si="60"/>
        <v/>
      </c>
      <c r="BB396" s="29" t="str">
        <f t="shared" si="61"/>
        <v/>
      </c>
      <c r="BC396" s="29">
        <f t="shared" si="62"/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 t="shared" si="54"/>
        <v>0</v>
      </c>
      <c r="AT397" s="30" t="str">
        <f t="shared" si="55"/>
        <v/>
      </c>
      <c r="AU397" s="29" t="str">
        <f t="shared" si="56"/>
        <v/>
      </c>
      <c r="AV397" s="30" t="str">
        <f t="shared" si="57"/>
        <v/>
      </c>
      <c r="AW397" s="30" t="str">
        <f t="shared" si="58"/>
        <v/>
      </c>
      <c r="AX397" s="29" t="str">
        <f t="shared" si="59"/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 t="shared" si="60"/>
        <v/>
      </c>
      <c r="BB397" s="29" t="str">
        <f t="shared" si="61"/>
        <v/>
      </c>
      <c r="BC397" s="29">
        <f t="shared" si="62"/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 t="shared" si="54"/>
        <v>0</v>
      </c>
      <c r="AT398" s="30" t="str">
        <f t="shared" si="55"/>
        <v/>
      </c>
      <c r="AU398" s="29" t="str">
        <f t="shared" si="56"/>
        <v/>
      </c>
      <c r="AV398" s="30" t="str">
        <f t="shared" si="57"/>
        <v/>
      </c>
      <c r="AW398" s="30" t="str">
        <f t="shared" si="58"/>
        <v/>
      </c>
      <c r="AX398" s="29" t="str">
        <f t="shared" si="59"/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 t="shared" si="60"/>
        <v/>
      </c>
      <c r="BB398" s="29" t="str">
        <f t="shared" si="61"/>
        <v/>
      </c>
      <c r="BC398" s="29">
        <f t="shared" si="62"/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 t="shared" si="54"/>
        <v>0</v>
      </c>
      <c r="AT399" s="30" t="str">
        <f t="shared" si="55"/>
        <v/>
      </c>
      <c r="AU399" s="29" t="str">
        <f t="shared" si="56"/>
        <v/>
      </c>
      <c r="AV399" s="30" t="str">
        <f t="shared" si="57"/>
        <v/>
      </c>
      <c r="AW399" s="30" t="str">
        <f t="shared" si="58"/>
        <v/>
      </c>
      <c r="AX399" s="29" t="str">
        <f t="shared" si="59"/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 t="shared" si="60"/>
        <v/>
      </c>
      <c r="BB399" s="29" t="str">
        <f t="shared" si="61"/>
        <v/>
      </c>
      <c r="BC399" s="29">
        <f t="shared" si="62"/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 t="shared" si="54"/>
        <v>0</v>
      </c>
      <c r="AT400" s="30" t="str">
        <f t="shared" si="55"/>
        <v/>
      </c>
      <c r="AU400" s="29" t="str">
        <f t="shared" si="56"/>
        <v/>
      </c>
      <c r="AV400" s="30" t="str">
        <f t="shared" si="57"/>
        <v/>
      </c>
      <c r="AW400" s="30" t="str">
        <f t="shared" si="58"/>
        <v/>
      </c>
      <c r="AX400" s="29" t="str">
        <f t="shared" si="59"/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 t="shared" si="60"/>
        <v/>
      </c>
      <c r="BB400" s="29" t="str">
        <f t="shared" si="61"/>
        <v/>
      </c>
      <c r="BC400" s="29">
        <f t="shared" si="62"/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 t="shared" si="54"/>
        <v>0</v>
      </c>
      <c r="AT401" s="30" t="str">
        <f t="shared" si="55"/>
        <v/>
      </c>
      <c r="AU401" s="29" t="str">
        <f t="shared" si="56"/>
        <v/>
      </c>
      <c r="AV401" s="30" t="str">
        <f t="shared" si="57"/>
        <v/>
      </c>
      <c r="AW401" s="30" t="str">
        <f t="shared" si="58"/>
        <v/>
      </c>
      <c r="AX401" s="29" t="str">
        <f t="shared" si="59"/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 t="shared" si="60"/>
        <v/>
      </c>
      <c r="BB401" s="29" t="str">
        <f t="shared" si="61"/>
        <v/>
      </c>
      <c r="BC401" s="29">
        <f t="shared" si="62"/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 t="shared" si="54"/>
        <v>0</v>
      </c>
      <c r="AT402" s="30" t="str">
        <f t="shared" si="55"/>
        <v/>
      </c>
      <c r="AU402" s="29" t="str">
        <f t="shared" si="56"/>
        <v/>
      </c>
      <c r="AV402" s="30" t="str">
        <f t="shared" si="57"/>
        <v/>
      </c>
      <c r="AW402" s="30" t="str">
        <f t="shared" si="58"/>
        <v/>
      </c>
      <c r="AX402" s="29" t="str">
        <f t="shared" si="59"/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 t="shared" si="60"/>
        <v/>
      </c>
      <c r="BB402" s="29" t="str">
        <f t="shared" si="61"/>
        <v/>
      </c>
      <c r="BC402" s="29">
        <f t="shared" si="62"/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 t="shared" si="54"/>
        <v>0</v>
      </c>
      <c r="AT403" s="30" t="str">
        <f t="shared" si="55"/>
        <v/>
      </c>
      <c r="AU403" s="29" t="str">
        <f t="shared" si="56"/>
        <v/>
      </c>
      <c r="AV403" s="30" t="str">
        <f t="shared" si="57"/>
        <v/>
      </c>
      <c r="AW403" s="30" t="str">
        <f t="shared" si="58"/>
        <v/>
      </c>
      <c r="AX403" s="29" t="str">
        <f t="shared" si="59"/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 t="shared" si="60"/>
        <v/>
      </c>
      <c r="BB403" s="29" t="str">
        <f t="shared" si="61"/>
        <v/>
      </c>
      <c r="BC403" s="29">
        <f t="shared" si="62"/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 t="shared" si="54"/>
        <v>0</v>
      </c>
      <c r="AT404" s="30" t="str">
        <f t="shared" si="55"/>
        <v/>
      </c>
      <c r="AU404" s="29" t="str">
        <f t="shared" si="56"/>
        <v/>
      </c>
      <c r="AV404" s="30" t="str">
        <f t="shared" si="57"/>
        <v/>
      </c>
      <c r="AW404" s="30" t="str">
        <f t="shared" si="58"/>
        <v/>
      </c>
      <c r="AX404" s="29" t="str">
        <f t="shared" si="59"/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 t="shared" si="60"/>
        <v/>
      </c>
      <c r="BB404" s="29" t="str">
        <f t="shared" si="61"/>
        <v/>
      </c>
      <c r="BC404" s="29">
        <f t="shared" si="62"/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 t="shared" si="54"/>
        <v>0</v>
      </c>
      <c r="AT405" s="30" t="str">
        <f t="shared" si="55"/>
        <v/>
      </c>
      <c r="AU405" s="29" t="str">
        <f t="shared" si="56"/>
        <v/>
      </c>
      <c r="AV405" s="30" t="str">
        <f t="shared" si="57"/>
        <v/>
      </c>
      <c r="AW405" s="30" t="str">
        <f t="shared" si="58"/>
        <v/>
      </c>
      <c r="AX405" s="29" t="str">
        <f t="shared" si="59"/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 t="shared" si="60"/>
        <v/>
      </c>
      <c r="BB405" s="29" t="str">
        <f t="shared" si="61"/>
        <v/>
      </c>
      <c r="BC405" s="29">
        <f t="shared" si="62"/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 t="shared" si="54"/>
        <v>0</v>
      </c>
      <c r="AT406" s="30" t="str">
        <f t="shared" si="55"/>
        <v/>
      </c>
      <c r="AU406" s="29" t="str">
        <f t="shared" si="56"/>
        <v/>
      </c>
      <c r="AV406" s="30" t="str">
        <f t="shared" si="57"/>
        <v/>
      </c>
      <c r="AW406" s="30" t="str">
        <f t="shared" si="58"/>
        <v/>
      </c>
      <c r="AX406" s="29" t="str">
        <f t="shared" si="59"/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 t="shared" si="60"/>
        <v/>
      </c>
      <c r="BB406" s="29" t="str">
        <f t="shared" si="61"/>
        <v/>
      </c>
      <c r="BC406" s="29">
        <f t="shared" si="62"/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 t="shared" si="54"/>
        <v>0</v>
      </c>
      <c r="AT407" s="30" t="str">
        <f t="shared" si="55"/>
        <v/>
      </c>
      <c r="AU407" s="29" t="str">
        <f t="shared" si="56"/>
        <v/>
      </c>
      <c r="AV407" s="30" t="str">
        <f t="shared" si="57"/>
        <v/>
      </c>
      <c r="AW407" s="30" t="str">
        <f t="shared" si="58"/>
        <v/>
      </c>
      <c r="AX407" s="29" t="str">
        <f t="shared" si="59"/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 t="shared" si="60"/>
        <v/>
      </c>
      <c r="BB407" s="29" t="str">
        <f t="shared" si="61"/>
        <v/>
      </c>
      <c r="BC407" s="29">
        <f t="shared" si="62"/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 t="shared" si="54"/>
        <v>0</v>
      </c>
      <c r="AT408" s="30" t="str">
        <f t="shared" si="55"/>
        <v/>
      </c>
      <c r="AU408" s="29" t="str">
        <f t="shared" si="56"/>
        <v/>
      </c>
      <c r="AV408" s="30" t="str">
        <f t="shared" si="57"/>
        <v/>
      </c>
      <c r="AW408" s="30" t="str">
        <f t="shared" si="58"/>
        <v/>
      </c>
      <c r="AX408" s="29" t="str">
        <f t="shared" si="59"/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 t="shared" si="60"/>
        <v/>
      </c>
      <c r="BB408" s="29" t="str">
        <f t="shared" si="61"/>
        <v/>
      </c>
      <c r="BC408" s="29">
        <f t="shared" si="62"/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 t="shared" si="54"/>
        <v>0</v>
      </c>
      <c r="AT409" s="30" t="str">
        <f t="shared" si="55"/>
        <v/>
      </c>
      <c r="AU409" s="29" t="str">
        <f t="shared" si="56"/>
        <v/>
      </c>
      <c r="AV409" s="30" t="str">
        <f t="shared" si="57"/>
        <v/>
      </c>
      <c r="AW409" s="30" t="str">
        <f t="shared" si="58"/>
        <v/>
      </c>
      <c r="AX409" s="29" t="str">
        <f t="shared" si="59"/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 t="shared" si="60"/>
        <v/>
      </c>
      <c r="BB409" s="29" t="str">
        <f t="shared" si="61"/>
        <v/>
      </c>
      <c r="BC409" s="29">
        <f t="shared" si="62"/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 t="shared" si="54"/>
        <v>0</v>
      </c>
      <c r="AT410" s="30" t="str">
        <f t="shared" si="55"/>
        <v/>
      </c>
      <c r="AU410" s="29" t="str">
        <f t="shared" si="56"/>
        <v/>
      </c>
      <c r="AV410" s="30" t="str">
        <f t="shared" si="57"/>
        <v/>
      </c>
      <c r="AW410" s="30" t="str">
        <f t="shared" si="58"/>
        <v/>
      </c>
      <c r="AX410" s="29" t="str">
        <f t="shared" si="59"/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 t="shared" si="60"/>
        <v/>
      </c>
      <c r="BB410" s="29" t="str">
        <f t="shared" si="61"/>
        <v/>
      </c>
      <c r="BC410" s="29">
        <f t="shared" si="62"/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 t="shared" si="54"/>
        <v>0</v>
      </c>
      <c r="AT411" s="30" t="str">
        <f t="shared" si="55"/>
        <v/>
      </c>
      <c r="AU411" s="29" t="str">
        <f t="shared" si="56"/>
        <v/>
      </c>
      <c r="AV411" s="30" t="str">
        <f t="shared" si="57"/>
        <v/>
      </c>
      <c r="AW411" s="30" t="str">
        <f t="shared" si="58"/>
        <v/>
      </c>
      <c r="AX411" s="29" t="str">
        <f t="shared" si="59"/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 t="shared" si="60"/>
        <v/>
      </c>
      <c r="BB411" s="29" t="str">
        <f t="shared" si="61"/>
        <v/>
      </c>
      <c r="BC411" s="29">
        <f t="shared" si="62"/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 t="shared" si="54"/>
        <v>0</v>
      </c>
      <c r="AT412" s="30" t="str">
        <f t="shared" si="55"/>
        <v/>
      </c>
      <c r="AU412" s="29" t="str">
        <f t="shared" si="56"/>
        <v/>
      </c>
      <c r="AV412" s="30" t="str">
        <f t="shared" si="57"/>
        <v/>
      </c>
      <c r="AW412" s="30" t="str">
        <f t="shared" si="58"/>
        <v/>
      </c>
      <c r="AX412" s="29" t="str">
        <f t="shared" si="59"/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 t="shared" si="60"/>
        <v/>
      </c>
      <c r="BB412" s="29" t="str">
        <f t="shared" si="61"/>
        <v/>
      </c>
      <c r="BC412" s="29">
        <f t="shared" si="62"/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 t="shared" si="54"/>
        <v>0</v>
      </c>
      <c r="AT413" s="30" t="str">
        <f t="shared" si="55"/>
        <v/>
      </c>
      <c r="AU413" s="29" t="str">
        <f t="shared" si="56"/>
        <v/>
      </c>
      <c r="AV413" s="30" t="str">
        <f t="shared" si="57"/>
        <v/>
      </c>
      <c r="AW413" s="30" t="str">
        <f t="shared" si="58"/>
        <v/>
      </c>
      <c r="AX413" s="29" t="str">
        <f t="shared" si="59"/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 t="shared" si="60"/>
        <v/>
      </c>
      <c r="BB413" s="29" t="str">
        <f t="shared" si="61"/>
        <v/>
      </c>
      <c r="BC413" s="29">
        <f t="shared" si="62"/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 t="shared" si="54"/>
        <v>0</v>
      </c>
      <c r="AT414" s="30" t="str">
        <f t="shared" si="55"/>
        <v/>
      </c>
      <c r="AU414" s="29" t="str">
        <f t="shared" si="56"/>
        <v/>
      </c>
      <c r="AV414" s="30" t="str">
        <f t="shared" si="57"/>
        <v/>
      </c>
      <c r="AW414" s="30" t="str">
        <f t="shared" si="58"/>
        <v/>
      </c>
      <c r="AX414" s="29" t="str">
        <f t="shared" si="59"/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 t="shared" si="60"/>
        <v/>
      </c>
      <c r="BB414" s="29" t="str">
        <f t="shared" si="61"/>
        <v/>
      </c>
      <c r="BC414" s="29">
        <f t="shared" si="62"/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 t="shared" si="54"/>
        <v>0</v>
      </c>
      <c r="AT415" s="30" t="str">
        <f t="shared" si="55"/>
        <v/>
      </c>
      <c r="AU415" s="29" t="str">
        <f t="shared" si="56"/>
        <v/>
      </c>
      <c r="AV415" s="30" t="str">
        <f t="shared" si="57"/>
        <v/>
      </c>
      <c r="AW415" s="30" t="str">
        <f t="shared" si="58"/>
        <v/>
      </c>
      <c r="AX415" s="29" t="str">
        <f t="shared" si="59"/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 t="shared" si="60"/>
        <v/>
      </c>
      <c r="BB415" s="29" t="str">
        <f t="shared" si="61"/>
        <v/>
      </c>
      <c r="BC415" s="29">
        <f t="shared" si="62"/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 t="shared" si="54"/>
        <v>0</v>
      </c>
      <c r="AT416" s="30" t="str">
        <f t="shared" si="55"/>
        <v/>
      </c>
      <c r="AU416" s="29" t="str">
        <f t="shared" si="56"/>
        <v/>
      </c>
      <c r="AV416" s="30" t="str">
        <f t="shared" si="57"/>
        <v/>
      </c>
      <c r="AW416" s="30" t="str">
        <f t="shared" si="58"/>
        <v/>
      </c>
      <c r="AX416" s="29" t="str">
        <f t="shared" si="59"/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 t="shared" si="60"/>
        <v/>
      </c>
      <c r="BB416" s="29" t="str">
        <f t="shared" si="61"/>
        <v/>
      </c>
      <c r="BC416" s="29">
        <f t="shared" si="62"/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 t="shared" si="54"/>
        <v>0</v>
      </c>
      <c r="AT417" s="30" t="str">
        <f t="shared" si="55"/>
        <v/>
      </c>
      <c r="AU417" s="29" t="str">
        <f t="shared" si="56"/>
        <v/>
      </c>
      <c r="AV417" s="30" t="str">
        <f t="shared" si="57"/>
        <v/>
      </c>
      <c r="AW417" s="30" t="str">
        <f t="shared" si="58"/>
        <v/>
      </c>
      <c r="AX417" s="29" t="str">
        <f t="shared" si="59"/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 t="shared" si="60"/>
        <v/>
      </c>
      <c r="BB417" s="29" t="str">
        <f t="shared" si="61"/>
        <v/>
      </c>
      <c r="BC417" s="29">
        <f t="shared" si="62"/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 t="shared" si="54"/>
        <v>0</v>
      </c>
      <c r="AT418" s="30" t="str">
        <f t="shared" si="55"/>
        <v/>
      </c>
      <c r="AU418" s="29" t="str">
        <f t="shared" si="56"/>
        <v/>
      </c>
      <c r="AV418" s="30" t="str">
        <f t="shared" si="57"/>
        <v/>
      </c>
      <c r="AW418" s="30" t="str">
        <f t="shared" si="58"/>
        <v/>
      </c>
      <c r="AX418" s="29" t="str">
        <f t="shared" si="59"/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 t="shared" si="60"/>
        <v/>
      </c>
      <c r="BB418" s="29" t="str">
        <f t="shared" si="61"/>
        <v/>
      </c>
      <c r="BC418" s="29">
        <f t="shared" si="62"/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 t="shared" si="54"/>
        <v>0</v>
      </c>
      <c r="AT419" s="30" t="str">
        <f t="shared" si="55"/>
        <v/>
      </c>
      <c r="AU419" s="29" t="str">
        <f t="shared" si="56"/>
        <v/>
      </c>
      <c r="AV419" s="30" t="str">
        <f t="shared" si="57"/>
        <v/>
      </c>
      <c r="AW419" s="30" t="str">
        <f t="shared" si="58"/>
        <v/>
      </c>
      <c r="AX419" s="29" t="str">
        <f t="shared" si="59"/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 t="shared" si="60"/>
        <v/>
      </c>
      <c r="BB419" s="29" t="str">
        <f t="shared" si="61"/>
        <v/>
      </c>
      <c r="BC419" s="29">
        <f t="shared" si="62"/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 t="shared" si="54"/>
        <v>0</v>
      </c>
      <c r="AT420" s="30" t="str">
        <f t="shared" si="55"/>
        <v/>
      </c>
      <c r="AU420" s="29" t="str">
        <f t="shared" si="56"/>
        <v/>
      </c>
      <c r="AV420" s="30" t="str">
        <f t="shared" si="57"/>
        <v/>
      </c>
      <c r="AW420" s="30" t="str">
        <f t="shared" si="58"/>
        <v/>
      </c>
      <c r="AX420" s="29" t="str">
        <f t="shared" si="59"/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 t="shared" si="60"/>
        <v/>
      </c>
      <c r="BB420" s="29" t="str">
        <f t="shared" si="61"/>
        <v/>
      </c>
      <c r="BC420" s="29">
        <f t="shared" si="62"/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 t="shared" si="54"/>
        <v>0</v>
      </c>
      <c r="AT421" s="30" t="str">
        <f t="shared" si="55"/>
        <v/>
      </c>
      <c r="AU421" s="29" t="str">
        <f t="shared" si="56"/>
        <v/>
      </c>
      <c r="AV421" s="30" t="str">
        <f t="shared" si="57"/>
        <v/>
      </c>
      <c r="AW421" s="30" t="str">
        <f t="shared" si="58"/>
        <v/>
      </c>
      <c r="AX421" s="29" t="str">
        <f t="shared" si="59"/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 t="shared" si="60"/>
        <v/>
      </c>
      <c r="BB421" s="29" t="str">
        <f t="shared" si="61"/>
        <v/>
      </c>
      <c r="BC421" s="29">
        <f t="shared" si="62"/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 t="shared" si="54"/>
        <v>0</v>
      </c>
      <c r="AT422" s="30" t="str">
        <f t="shared" si="55"/>
        <v/>
      </c>
      <c r="AU422" s="29" t="str">
        <f t="shared" si="56"/>
        <v/>
      </c>
      <c r="AV422" s="30" t="str">
        <f t="shared" si="57"/>
        <v/>
      </c>
      <c r="AW422" s="30" t="str">
        <f t="shared" si="58"/>
        <v/>
      </c>
      <c r="AX422" s="29" t="str">
        <f t="shared" si="59"/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 t="shared" si="60"/>
        <v/>
      </c>
      <c r="BB422" s="29" t="str">
        <f t="shared" si="61"/>
        <v/>
      </c>
      <c r="BC422" s="29">
        <f t="shared" si="62"/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 t="shared" si="54"/>
        <v>0</v>
      </c>
      <c r="AT423" s="30" t="str">
        <f t="shared" si="55"/>
        <v/>
      </c>
      <c r="AU423" s="29" t="str">
        <f t="shared" si="56"/>
        <v/>
      </c>
      <c r="AV423" s="30" t="str">
        <f t="shared" si="57"/>
        <v/>
      </c>
      <c r="AW423" s="30" t="str">
        <f t="shared" si="58"/>
        <v/>
      </c>
      <c r="AX423" s="29" t="str">
        <f t="shared" si="59"/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 t="shared" si="60"/>
        <v/>
      </c>
      <c r="BB423" s="29" t="str">
        <f t="shared" si="61"/>
        <v/>
      </c>
      <c r="BC423" s="29">
        <f t="shared" si="62"/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 t="shared" si="54"/>
        <v>0</v>
      </c>
      <c r="AT424" s="30" t="str">
        <f t="shared" si="55"/>
        <v/>
      </c>
      <c r="AU424" s="29" t="str">
        <f t="shared" si="56"/>
        <v/>
      </c>
      <c r="AV424" s="30" t="str">
        <f t="shared" si="57"/>
        <v/>
      </c>
      <c r="AW424" s="30" t="str">
        <f t="shared" si="58"/>
        <v/>
      </c>
      <c r="AX424" s="29" t="str">
        <f t="shared" si="59"/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 t="shared" si="60"/>
        <v/>
      </c>
      <c r="BB424" s="29" t="str">
        <f t="shared" si="61"/>
        <v/>
      </c>
      <c r="BC424" s="29">
        <f t="shared" si="62"/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 t="shared" si="54"/>
        <v>0</v>
      </c>
      <c r="AT425" s="30" t="str">
        <f t="shared" si="55"/>
        <v/>
      </c>
      <c r="AU425" s="29" t="str">
        <f t="shared" si="56"/>
        <v/>
      </c>
      <c r="AV425" s="30" t="str">
        <f t="shared" si="57"/>
        <v/>
      </c>
      <c r="AW425" s="30" t="str">
        <f t="shared" si="58"/>
        <v/>
      </c>
      <c r="AX425" s="29" t="str">
        <f t="shared" si="59"/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 t="shared" si="60"/>
        <v/>
      </c>
      <c r="BB425" s="29" t="str">
        <f t="shared" si="61"/>
        <v/>
      </c>
      <c r="BC425" s="29">
        <f t="shared" si="62"/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 t="shared" si="54"/>
        <v>0</v>
      </c>
      <c r="AT426" s="30" t="str">
        <f t="shared" si="55"/>
        <v/>
      </c>
      <c r="AU426" s="29" t="str">
        <f t="shared" si="56"/>
        <v/>
      </c>
      <c r="AV426" s="30" t="str">
        <f t="shared" si="57"/>
        <v/>
      </c>
      <c r="AW426" s="30" t="str">
        <f t="shared" si="58"/>
        <v/>
      </c>
      <c r="AX426" s="29" t="str">
        <f t="shared" si="59"/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 t="shared" si="60"/>
        <v/>
      </c>
      <c r="BB426" s="29" t="str">
        <f t="shared" si="61"/>
        <v/>
      </c>
      <c r="BC426" s="29">
        <f t="shared" si="62"/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 t="shared" si="54"/>
        <v>0</v>
      </c>
      <c r="AT427" s="30" t="str">
        <f t="shared" si="55"/>
        <v/>
      </c>
      <c r="AU427" s="29" t="str">
        <f t="shared" si="56"/>
        <v/>
      </c>
      <c r="AV427" s="30" t="str">
        <f t="shared" si="57"/>
        <v/>
      </c>
      <c r="AW427" s="30" t="str">
        <f t="shared" si="58"/>
        <v/>
      </c>
      <c r="AX427" s="29" t="str">
        <f t="shared" si="59"/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 t="shared" si="60"/>
        <v/>
      </c>
      <c r="BB427" s="29" t="str">
        <f t="shared" si="61"/>
        <v/>
      </c>
      <c r="BC427" s="29">
        <f t="shared" si="62"/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 t="shared" si="54"/>
        <v>0</v>
      </c>
      <c r="AT428" s="30" t="str">
        <f t="shared" si="55"/>
        <v/>
      </c>
      <c r="AU428" s="29" t="str">
        <f t="shared" si="56"/>
        <v/>
      </c>
      <c r="AV428" s="30" t="str">
        <f t="shared" si="57"/>
        <v/>
      </c>
      <c r="AW428" s="30" t="str">
        <f t="shared" si="58"/>
        <v/>
      </c>
      <c r="AX428" s="29" t="str">
        <f t="shared" si="59"/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 t="shared" si="60"/>
        <v/>
      </c>
      <c r="BB428" s="29" t="str">
        <f t="shared" si="61"/>
        <v/>
      </c>
      <c r="BC428" s="29">
        <f t="shared" si="62"/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 t="shared" si="54"/>
        <v>0</v>
      </c>
      <c r="AT429" s="30" t="str">
        <f t="shared" si="55"/>
        <v/>
      </c>
      <c r="AU429" s="29" t="str">
        <f t="shared" si="56"/>
        <v/>
      </c>
      <c r="AV429" s="30" t="str">
        <f t="shared" si="57"/>
        <v/>
      </c>
      <c r="AW429" s="30" t="str">
        <f t="shared" si="58"/>
        <v/>
      </c>
      <c r="AX429" s="29" t="str">
        <f t="shared" si="59"/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 t="shared" si="60"/>
        <v/>
      </c>
      <c r="BB429" s="29" t="str">
        <f t="shared" si="61"/>
        <v/>
      </c>
      <c r="BC429" s="29">
        <f t="shared" si="62"/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 t="shared" si="54"/>
        <v>0</v>
      </c>
      <c r="AT430" s="30" t="str">
        <f t="shared" si="55"/>
        <v/>
      </c>
      <c r="AU430" s="29" t="str">
        <f t="shared" si="56"/>
        <v/>
      </c>
      <c r="AV430" s="30" t="str">
        <f t="shared" si="57"/>
        <v/>
      </c>
      <c r="AW430" s="30" t="str">
        <f t="shared" si="58"/>
        <v/>
      </c>
      <c r="AX430" s="29" t="str">
        <f t="shared" si="59"/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 t="shared" si="60"/>
        <v/>
      </c>
      <c r="BB430" s="29" t="str">
        <f t="shared" si="61"/>
        <v/>
      </c>
      <c r="BC430" s="29">
        <f t="shared" si="62"/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 t="shared" si="54"/>
        <v>0</v>
      </c>
      <c r="AT431" s="30" t="str">
        <f t="shared" si="55"/>
        <v/>
      </c>
      <c r="AU431" s="29" t="str">
        <f t="shared" si="56"/>
        <v/>
      </c>
      <c r="AV431" s="30" t="str">
        <f t="shared" si="57"/>
        <v/>
      </c>
      <c r="AW431" s="30" t="str">
        <f t="shared" si="58"/>
        <v/>
      </c>
      <c r="AX431" s="29" t="str">
        <f t="shared" si="59"/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 t="shared" si="60"/>
        <v/>
      </c>
      <c r="BB431" s="29" t="str">
        <f t="shared" si="61"/>
        <v/>
      </c>
      <c r="BC431" s="29">
        <f t="shared" si="62"/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 t="shared" si="54"/>
        <v>0</v>
      </c>
      <c r="AT432" s="30" t="str">
        <f t="shared" si="55"/>
        <v/>
      </c>
      <c r="AU432" s="29" t="str">
        <f t="shared" si="56"/>
        <v/>
      </c>
      <c r="AV432" s="30" t="str">
        <f t="shared" si="57"/>
        <v/>
      </c>
      <c r="AW432" s="30" t="str">
        <f t="shared" si="58"/>
        <v/>
      </c>
      <c r="AX432" s="29" t="str">
        <f t="shared" si="59"/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 t="shared" si="60"/>
        <v/>
      </c>
      <c r="BB432" s="29" t="str">
        <f t="shared" si="61"/>
        <v/>
      </c>
      <c r="BC432" s="29">
        <f t="shared" si="62"/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 t="shared" si="54"/>
        <v>0</v>
      </c>
      <c r="AT433" s="30" t="str">
        <f t="shared" si="55"/>
        <v/>
      </c>
      <c r="AU433" s="29" t="str">
        <f t="shared" si="56"/>
        <v/>
      </c>
      <c r="AV433" s="30" t="str">
        <f t="shared" si="57"/>
        <v/>
      </c>
      <c r="AW433" s="30" t="str">
        <f t="shared" si="58"/>
        <v/>
      </c>
      <c r="AX433" s="29" t="str">
        <f t="shared" si="59"/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 t="shared" si="60"/>
        <v/>
      </c>
      <c r="BB433" s="29" t="str">
        <f t="shared" si="61"/>
        <v/>
      </c>
      <c r="BC433" s="29">
        <f t="shared" si="62"/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 t="shared" si="54"/>
        <v>0</v>
      </c>
      <c r="AT434" s="30" t="str">
        <f t="shared" si="55"/>
        <v/>
      </c>
      <c r="AU434" s="29" t="str">
        <f t="shared" si="56"/>
        <v/>
      </c>
      <c r="AV434" s="30" t="str">
        <f t="shared" si="57"/>
        <v/>
      </c>
      <c r="AW434" s="30" t="str">
        <f t="shared" si="58"/>
        <v/>
      </c>
      <c r="AX434" s="29" t="str">
        <f t="shared" si="59"/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 t="shared" si="60"/>
        <v/>
      </c>
      <c r="BB434" s="29" t="str">
        <f t="shared" si="61"/>
        <v/>
      </c>
      <c r="BC434" s="29">
        <f t="shared" si="62"/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 t="shared" si="54"/>
        <v>0</v>
      </c>
      <c r="AT435" s="30" t="str">
        <f t="shared" si="55"/>
        <v/>
      </c>
      <c r="AU435" s="29" t="str">
        <f t="shared" si="56"/>
        <v/>
      </c>
      <c r="AV435" s="30" t="str">
        <f t="shared" si="57"/>
        <v/>
      </c>
      <c r="AW435" s="30" t="str">
        <f t="shared" si="58"/>
        <v/>
      </c>
      <c r="AX435" s="29" t="str">
        <f t="shared" si="59"/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 t="shared" si="60"/>
        <v/>
      </c>
      <c r="BB435" s="29" t="str">
        <f t="shared" si="61"/>
        <v/>
      </c>
      <c r="BC435" s="29">
        <f t="shared" si="62"/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 t="shared" si="54"/>
        <v>0</v>
      </c>
      <c r="AT436" s="30" t="str">
        <f t="shared" si="55"/>
        <v/>
      </c>
      <c r="AU436" s="29" t="str">
        <f t="shared" si="56"/>
        <v/>
      </c>
      <c r="AV436" s="30" t="str">
        <f t="shared" si="57"/>
        <v/>
      </c>
      <c r="AW436" s="30" t="str">
        <f t="shared" si="58"/>
        <v/>
      </c>
      <c r="AX436" s="29" t="str">
        <f t="shared" si="59"/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 t="shared" si="60"/>
        <v/>
      </c>
      <c r="BB436" s="29" t="str">
        <f t="shared" si="61"/>
        <v/>
      </c>
      <c r="BC436" s="29">
        <f t="shared" si="62"/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 t="shared" si="54"/>
        <v>0</v>
      </c>
      <c r="AT437" s="30" t="str">
        <f t="shared" si="55"/>
        <v/>
      </c>
      <c r="AU437" s="29" t="str">
        <f t="shared" si="56"/>
        <v/>
      </c>
      <c r="AV437" s="30" t="str">
        <f t="shared" si="57"/>
        <v/>
      </c>
      <c r="AW437" s="30" t="str">
        <f t="shared" si="58"/>
        <v/>
      </c>
      <c r="AX437" s="29" t="str">
        <f t="shared" si="59"/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 t="shared" si="60"/>
        <v/>
      </c>
      <c r="BB437" s="29" t="str">
        <f t="shared" si="61"/>
        <v/>
      </c>
      <c r="BC437" s="29">
        <f t="shared" si="62"/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 t="shared" si="54"/>
        <v>0</v>
      </c>
      <c r="AT438" s="30" t="str">
        <f t="shared" si="55"/>
        <v/>
      </c>
      <c r="AU438" s="29" t="str">
        <f t="shared" si="56"/>
        <v/>
      </c>
      <c r="AV438" s="30" t="str">
        <f t="shared" si="57"/>
        <v/>
      </c>
      <c r="AW438" s="30" t="str">
        <f t="shared" si="58"/>
        <v/>
      </c>
      <c r="AX438" s="29" t="str">
        <f t="shared" si="59"/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 t="shared" si="60"/>
        <v/>
      </c>
      <c r="BB438" s="29" t="str">
        <f t="shared" si="61"/>
        <v/>
      </c>
      <c r="BC438" s="29">
        <f t="shared" si="62"/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 t="shared" si="54"/>
        <v>0</v>
      </c>
      <c r="AT439" s="30" t="str">
        <f t="shared" si="55"/>
        <v/>
      </c>
      <c r="AU439" s="29" t="str">
        <f t="shared" si="56"/>
        <v/>
      </c>
      <c r="AV439" s="30" t="str">
        <f t="shared" si="57"/>
        <v/>
      </c>
      <c r="AW439" s="30" t="str">
        <f t="shared" si="58"/>
        <v/>
      </c>
      <c r="AX439" s="29" t="str">
        <f t="shared" si="59"/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 t="shared" si="60"/>
        <v/>
      </c>
      <c r="BB439" s="29" t="str">
        <f t="shared" si="61"/>
        <v/>
      </c>
      <c r="BC439" s="29">
        <f t="shared" si="62"/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 t="shared" si="54"/>
        <v>0</v>
      </c>
      <c r="AT440" s="30" t="str">
        <f t="shared" si="55"/>
        <v/>
      </c>
      <c r="AU440" s="29" t="str">
        <f t="shared" si="56"/>
        <v/>
      </c>
      <c r="AV440" s="30" t="str">
        <f t="shared" si="57"/>
        <v/>
      </c>
      <c r="AW440" s="30" t="str">
        <f t="shared" si="58"/>
        <v/>
      </c>
      <c r="AX440" s="29" t="str">
        <f t="shared" si="59"/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 t="shared" si="60"/>
        <v/>
      </c>
      <c r="BB440" s="29" t="str">
        <f t="shared" si="61"/>
        <v/>
      </c>
      <c r="BC440" s="29">
        <f t="shared" si="62"/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 t="shared" si="54"/>
        <v>0</v>
      </c>
      <c r="AT441" s="30" t="str">
        <f t="shared" si="55"/>
        <v/>
      </c>
      <c r="AU441" s="29" t="str">
        <f t="shared" si="56"/>
        <v/>
      </c>
      <c r="AV441" s="30" t="str">
        <f t="shared" si="57"/>
        <v/>
      </c>
      <c r="AW441" s="30" t="str">
        <f t="shared" si="58"/>
        <v/>
      </c>
      <c r="AX441" s="29" t="str">
        <f t="shared" si="59"/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 t="shared" si="60"/>
        <v/>
      </c>
      <c r="BB441" s="29" t="str">
        <f t="shared" si="61"/>
        <v/>
      </c>
      <c r="BC441" s="29">
        <f t="shared" si="62"/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 t="shared" si="54"/>
        <v>0</v>
      </c>
      <c r="AT442" s="30" t="str">
        <f t="shared" si="55"/>
        <v/>
      </c>
      <c r="AU442" s="29" t="str">
        <f t="shared" si="56"/>
        <v/>
      </c>
      <c r="AV442" s="30" t="str">
        <f t="shared" si="57"/>
        <v/>
      </c>
      <c r="AW442" s="30" t="str">
        <f t="shared" si="58"/>
        <v/>
      </c>
      <c r="AX442" s="29" t="str">
        <f t="shared" si="59"/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 t="shared" si="60"/>
        <v/>
      </c>
      <c r="BB442" s="29" t="str">
        <f t="shared" si="61"/>
        <v/>
      </c>
      <c r="BC442" s="29">
        <f t="shared" si="62"/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 t="shared" si="54"/>
        <v>0</v>
      </c>
      <c r="AT443" s="30" t="str">
        <f t="shared" si="55"/>
        <v/>
      </c>
      <c r="AU443" s="29" t="str">
        <f t="shared" si="56"/>
        <v/>
      </c>
      <c r="AV443" s="30" t="str">
        <f t="shared" si="57"/>
        <v/>
      </c>
      <c r="AW443" s="30" t="str">
        <f t="shared" si="58"/>
        <v/>
      </c>
      <c r="AX443" s="29" t="str">
        <f t="shared" si="59"/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 t="shared" si="60"/>
        <v/>
      </c>
      <c r="BB443" s="29" t="str">
        <f t="shared" si="61"/>
        <v/>
      </c>
      <c r="BC443" s="29">
        <f t="shared" si="62"/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 t="shared" si="54"/>
        <v>0</v>
      </c>
      <c r="AT444" s="30" t="str">
        <f t="shared" si="55"/>
        <v/>
      </c>
      <c r="AU444" s="29" t="str">
        <f t="shared" si="56"/>
        <v/>
      </c>
      <c r="AV444" s="30" t="str">
        <f t="shared" si="57"/>
        <v/>
      </c>
      <c r="AW444" s="30" t="str">
        <f t="shared" si="58"/>
        <v/>
      </c>
      <c r="AX444" s="29" t="str">
        <f t="shared" si="59"/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 t="shared" si="60"/>
        <v/>
      </c>
      <c r="BB444" s="29" t="str">
        <f t="shared" si="61"/>
        <v/>
      </c>
      <c r="BC444" s="29">
        <f t="shared" si="62"/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 t="shared" si="54"/>
        <v>0</v>
      </c>
      <c r="AT445" s="30" t="str">
        <f t="shared" si="55"/>
        <v/>
      </c>
      <c r="AU445" s="29" t="str">
        <f t="shared" si="56"/>
        <v/>
      </c>
      <c r="AV445" s="30" t="str">
        <f t="shared" si="57"/>
        <v/>
      </c>
      <c r="AW445" s="30" t="str">
        <f t="shared" si="58"/>
        <v/>
      </c>
      <c r="AX445" s="29" t="str">
        <f t="shared" si="59"/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 t="shared" si="60"/>
        <v/>
      </c>
      <c r="BB445" s="29" t="str">
        <f t="shared" si="61"/>
        <v/>
      </c>
      <c r="BC445" s="29">
        <f t="shared" si="62"/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 t="shared" si="54"/>
        <v>0</v>
      </c>
      <c r="AT446" s="30" t="str">
        <f t="shared" si="55"/>
        <v/>
      </c>
      <c r="AU446" s="29" t="str">
        <f t="shared" si="56"/>
        <v/>
      </c>
      <c r="AV446" s="30" t="str">
        <f t="shared" si="57"/>
        <v/>
      </c>
      <c r="AW446" s="30" t="str">
        <f t="shared" si="58"/>
        <v/>
      </c>
      <c r="AX446" s="29" t="str">
        <f t="shared" si="59"/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 t="shared" si="60"/>
        <v/>
      </c>
      <c r="BB446" s="29" t="str">
        <f t="shared" si="61"/>
        <v/>
      </c>
      <c r="BC446" s="29">
        <f t="shared" si="62"/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 t="shared" si="54"/>
        <v>0</v>
      </c>
      <c r="AT447" s="30" t="str">
        <f t="shared" si="55"/>
        <v/>
      </c>
      <c r="AU447" s="29" t="str">
        <f t="shared" si="56"/>
        <v/>
      </c>
      <c r="AV447" s="30" t="str">
        <f t="shared" si="57"/>
        <v/>
      </c>
      <c r="AW447" s="30" t="str">
        <f t="shared" si="58"/>
        <v/>
      </c>
      <c r="AX447" s="29" t="str">
        <f t="shared" si="59"/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 t="shared" si="60"/>
        <v/>
      </c>
      <c r="BB447" s="29" t="str">
        <f t="shared" si="61"/>
        <v/>
      </c>
      <c r="BC447" s="29">
        <f t="shared" si="62"/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 t="shared" si="54"/>
        <v>0</v>
      </c>
      <c r="AT448" s="30" t="str">
        <f t="shared" si="55"/>
        <v/>
      </c>
      <c r="AU448" s="29" t="str">
        <f t="shared" si="56"/>
        <v/>
      </c>
      <c r="AV448" s="30" t="str">
        <f t="shared" si="57"/>
        <v/>
      </c>
      <c r="AW448" s="30" t="str">
        <f t="shared" si="58"/>
        <v/>
      </c>
      <c r="AX448" s="29" t="str">
        <f t="shared" si="59"/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 t="shared" si="60"/>
        <v/>
      </c>
      <c r="BB448" s="29" t="str">
        <f t="shared" si="61"/>
        <v/>
      </c>
      <c r="BC448" s="29">
        <f t="shared" si="62"/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 t="shared" si="54"/>
        <v>0</v>
      </c>
      <c r="AT449" s="30" t="str">
        <f t="shared" si="55"/>
        <v/>
      </c>
      <c r="AU449" s="29" t="str">
        <f t="shared" si="56"/>
        <v/>
      </c>
      <c r="AV449" s="30" t="str">
        <f t="shared" si="57"/>
        <v/>
      </c>
      <c r="AW449" s="30" t="str">
        <f t="shared" si="58"/>
        <v/>
      </c>
      <c r="AX449" s="29" t="str">
        <f t="shared" si="59"/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 t="shared" si="60"/>
        <v/>
      </c>
      <c r="BB449" s="29" t="str">
        <f t="shared" si="61"/>
        <v/>
      </c>
      <c r="BC449" s="29">
        <f t="shared" si="62"/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 t="shared" si="54"/>
        <v>0</v>
      </c>
      <c r="AT450" s="30" t="str">
        <f t="shared" si="55"/>
        <v/>
      </c>
      <c r="AU450" s="29" t="str">
        <f t="shared" si="56"/>
        <v/>
      </c>
      <c r="AV450" s="30" t="str">
        <f t="shared" si="57"/>
        <v/>
      </c>
      <c r="AW450" s="30" t="str">
        <f t="shared" si="58"/>
        <v/>
      </c>
      <c r="AX450" s="29" t="str">
        <f t="shared" si="59"/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 t="shared" si="60"/>
        <v/>
      </c>
      <c r="BB450" s="29" t="str">
        <f t="shared" si="61"/>
        <v/>
      </c>
      <c r="BC450" s="29">
        <f t="shared" si="62"/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 t="shared" si="54"/>
        <v>0</v>
      </c>
      <c r="AT451" s="30" t="str">
        <f t="shared" si="55"/>
        <v/>
      </c>
      <c r="AU451" s="29" t="str">
        <f t="shared" si="56"/>
        <v/>
      </c>
      <c r="AV451" s="30" t="str">
        <f t="shared" si="57"/>
        <v/>
      </c>
      <c r="AW451" s="30" t="str">
        <f t="shared" si="58"/>
        <v/>
      </c>
      <c r="AX451" s="29" t="str">
        <f t="shared" si="59"/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 t="shared" si="60"/>
        <v/>
      </c>
      <c r="BB451" s="29" t="str">
        <f t="shared" si="61"/>
        <v/>
      </c>
      <c r="BC451" s="29">
        <f t="shared" si="62"/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 t="shared" si="54"/>
        <v>0</v>
      </c>
      <c r="AT452" s="30" t="str">
        <f t="shared" si="55"/>
        <v/>
      </c>
      <c r="AU452" s="29" t="str">
        <f t="shared" si="56"/>
        <v/>
      </c>
      <c r="AV452" s="30" t="str">
        <f t="shared" si="57"/>
        <v/>
      </c>
      <c r="AW452" s="30" t="str">
        <f t="shared" si="58"/>
        <v/>
      </c>
      <c r="AX452" s="29" t="str">
        <f t="shared" si="59"/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 t="shared" si="60"/>
        <v/>
      </c>
      <c r="BB452" s="29" t="str">
        <f t="shared" si="61"/>
        <v/>
      </c>
      <c r="BC452" s="29">
        <f t="shared" si="62"/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 t="shared" ref="AS453:AS516" si="63">SUM(H453,J453,L453,N453,P453,R453,T453,V453,X453,Z453,AB453,AD453,AF453,AH453,AJ453,AL453,AN453)</f>
        <v>0</v>
      </c>
      <c r="AT453" s="30" t="str">
        <f t="shared" ref="AT453:AT516" si="64">IF(C453="","",DATE(YEAR(C453),MONTH(C453),1))</f>
        <v/>
      </c>
      <c r="AU453" s="29" t="str">
        <f t="shared" ref="AU453:AU516" si="65">IF(AT453="","",TEXT(AT453,"mmmm yyyy"))</f>
        <v/>
      </c>
      <c r="AV453" s="30" t="str">
        <f t="shared" ref="AV453:AV516" si="66">IF(C453="","",C453-WEEKDAY(C453,2)+1)</f>
        <v/>
      </c>
      <c r="AW453" s="30" t="str">
        <f t="shared" ref="AW453:AW516" si="67">IF(AV453="","",AV453+6)</f>
        <v/>
      </c>
      <c r="AX453" s="29" t="str">
        <f t="shared" ref="AX453:AX516" si="68"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 t="shared" ref="BA453:BA516" si="69">IF(B453="","",TEXT(AY453,"00")&amp;"|"&amp;B453&amp;"|"&amp;TEXT(AT453,"yyyymmdd"))</f>
        <v/>
      </c>
      <c r="BB453" s="29" t="str">
        <f t="shared" ref="BB453:BB516" si="70">IF(B453="","",TEXT(AZ453,"00")&amp;"|"&amp;B453&amp;"|"&amp;TEXT(AV453,"yyyymmdd"))</f>
        <v/>
      </c>
      <c r="BC453" s="29">
        <f t="shared" ref="BC453:BC516" si="71"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 t="shared" si="63"/>
        <v>0</v>
      </c>
      <c r="AT454" s="30" t="str">
        <f t="shared" si="64"/>
        <v/>
      </c>
      <c r="AU454" s="29" t="str">
        <f t="shared" si="65"/>
        <v/>
      </c>
      <c r="AV454" s="30" t="str">
        <f t="shared" si="66"/>
        <v/>
      </c>
      <c r="AW454" s="30" t="str">
        <f t="shared" si="67"/>
        <v/>
      </c>
      <c r="AX454" s="29" t="str">
        <f t="shared" si="68"/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 t="shared" si="69"/>
        <v/>
      </c>
      <c r="BB454" s="29" t="str">
        <f t="shared" si="70"/>
        <v/>
      </c>
      <c r="BC454" s="29">
        <f t="shared" si="71"/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 t="shared" si="63"/>
        <v>0</v>
      </c>
      <c r="AT455" s="30" t="str">
        <f t="shared" si="64"/>
        <v/>
      </c>
      <c r="AU455" s="29" t="str">
        <f t="shared" si="65"/>
        <v/>
      </c>
      <c r="AV455" s="30" t="str">
        <f t="shared" si="66"/>
        <v/>
      </c>
      <c r="AW455" s="30" t="str">
        <f t="shared" si="67"/>
        <v/>
      </c>
      <c r="AX455" s="29" t="str">
        <f t="shared" si="68"/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 t="shared" si="69"/>
        <v/>
      </c>
      <c r="BB455" s="29" t="str">
        <f t="shared" si="70"/>
        <v/>
      </c>
      <c r="BC455" s="29">
        <f t="shared" si="71"/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 t="shared" si="63"/>
        <v>0</v>
      </c>
      <c r="AT456" s="30" t="str">
        <f t="shared" si="64"/>
        <v/>
      </c>
      <c r="AU456" s="29" t="str">
        <f t="shared" si="65"/>
        <v/>
      </c>
      <c r="AV456" s="30" t="str">
        <f t="shared" si="66"/>
        <v/>
      </c>
      <c r="AW456" s="30" t="str">
        <f t="shared" si="67"/>
        <v/>
      </c>
      <c r="AX456" s="29" t="str">
        <f t="shared" si="68"/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 t="shared" si="69"/>
        <v/>
      </c>
      <c r="BB456" s="29" t="str">
        <f t="shared" si="70"/>
        <v/>
      </c>
      <c r="BC456" s="29">
        <f t="shared" si="71"/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 t="shared" si="63"/>
        <v>0</v>
      </c>
      <c r="AT457" s="30" t="str">
        <f t="shared" si="64"/>
        <v/>
      </c>
      <c r="AU457" s="29" t="str">
        <f t="shared" si="65"/>
        <v/>
      </c>
      <c r="AV457" s="30" t="str">
        <f t="shared" si="66"/>
        <v/>
      </c>
      <c r="AW457" s="30" t="str">
        <f t="shared" si="67"/>
        <v/>
      </c>
      <c r="AX457" s="29" t="str">
        <f t="shared" si="68"/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 t="shared" si="69"/>
        <v/>
      </c>
      <c r="BB457" s="29" t="str">
        <f t="shared" si="70"/>
        <v/>
      </c>
      <c r="BC457" s="29">
        <f t="shared" si="71"/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 t="shared" si="63"/>
        <v>0</v>
      </c>
      <c r="AT458" s="30" t="str">
        <f t="shared" si="64"/>
        <v/>
      </c>
      <c r="AU458" s="29" t="str">
        <f t="shared" si="65"/>
        <v/>
      </c>
      <c r="AV458" s="30" t="str">
        <f t="shared" si="66"/>
        <v/>
      </c>
      <c r="AW458" s="30" t="str">
        <f t="shared" si="67"/>
        <v/>
      </c>
      <c r="AX458" s="29" t="str">
        <f t="shared" si="68"/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 t="shared" si="69"/>
        <v/>
      </c>
      <c r="BB458" s="29" t="str">
        <f t="shared" si="70"/>
        <v/>
      </c>
      <c r="BC458" s="29">
        <f t="shared" si="71"/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 t="shared" si="63"/>
        <v>0</v>
      </c>
      <c r="AT459" s="30" t="str">
        <f t="shared" si="64"/>
        <v/>
      </c>
      <c r="AU459" s="29" t="str">
        <f t="shared" si="65"/>
        <v/>
      </c>
      <c r="AV459" s="30" t="str">
        <f t="shared" si="66"/>
        <v/>
      </c>
      <c r="AW459" s="30" t="str">
        <f t="shared" si="67"/>
        <v/>
      </c>
      <c r="AX459" s="29" t="str">
        <f t="shared" si="68"/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 t="shared" si="69"/>
        <v/>
      </c>
      <c r="BB459" s="29" t="str">
        <f t="shared" si="70"/>
        <v/>
      </c>
      <c r="BC459" s="29">
        <f t="shared" si="71"/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 t="shared" si="63"/>
        <v>0</v>
      </c>
      <c r="AT460" s="30" t="str">
        <f t="shared" si="64"/>
        <v/>
      </c>
      <c r="AU460" s="29" t="str">
        <f t="shared" si="65"/>
        <v/>
      </c>
      <c r="AV460" s="30" t="str">
        <f t="shared" si="66"/>
        <v/>
      </c>
      <c r="AW460" s="30" t="str">
        <f t="shared" si="67"/>
        <v/>
      </c>
      <c r="AX460" s="29" t="str">
        <f t="shared" si="68"/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 t="shared" si="69"/>
        <v/>
      </c>
      <c r="BB460" s="29" t="str">
        <f t="shared" si="70"/>
        <v/>
      </c>
      <c r="BC460" s="29">
        <f t="shared" si="71"/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 t="shared" si="63"/>
        <v>0</v>
      </c>
      <c r="AT461" s="30" t="str">
        <f t="shared" si="64"/>
        <v/>
      </c>
      <c r="AU461" s="29" t="str">
        <f t="shared" si="65"/>
        <v/>
      </c>
      <c r="AV461" s="30" t="str">
        <f t="shared" si="66"/>
        <v/>
      </c>
      <c r="AW461" s="30" t="str">
        <f t="shared" si="67"/>
        <v/>
      </c>
      <c r="AX461" s="29" t="str">
        <f t="shared" si="68"/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 t="shared" si="69"/>
        <v/>
      </c>
      <c r="BB461" s="29" t="str">
        <f t="shared" si="70"/>
        <v/>
      </c>
      <c r="BC461" s="29">
        <f t="shared" si="71"/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 t="shared" si="63"/>
        <v>0</v>
      </c>
      <c r="AT462" s="30" t="str">
        <f t="shared" si="64"/>
        <v/>
      </c>
      <c r="AU462" s="29" t="str">
        <f t="shared" si="65"/>
        <v/>
      </c>
      <c r="AV462" s="30" t="str">
        <f t="shared" si="66"/>
        <v/>
      </c>
      <c r="AW462" s="30" t="str">
        <f t="shared" si="67"/>
        <v/>
      </c>
      <c r="AX462" s="29" t="str">
        <f t="shared" si="68"/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 t="shared" si="69"/>
        <v/>
      </c>
      <c r="BB462" s="29" t="str">
        <f t="shared" si="70"/>
        <v/>
      </c>
      <c r="BC462" s="29">
        <f t="shared" si="71"/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 t="shared" si="63"/>
        <v>0</v>
      </c>
      <c r="AT463" s="30" t="str">
        <f t="shared" si="64"/>
        <v/>
      </c>
      <c r="AU463" s="29" t="str">
        <f t="shared" si="65"/>
        <v/>
      </c>
      <c r="AV463" s="30" t="str">
        <f t="shared" si="66"/>
        <v/>
      </c>
      <c r="AW463" s="30" t="str">
        <f t="shared" si="67"/>
        <v/>
      </c>
      <c r="AX463" s="29" t="str">
        <f t="shared" si="68"/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 t="shared" si="69"/>
        <v/>
      </c>
      <c r="BB463" s="29" t="str">
        <f t="shared" si="70"/>
        <v/>
      </c>
      <c r="BC463" s="29">
        <f t="shared" si="71"/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 t="shared" si="63"/>
        <v>0</v>
      </c>
      <c r="AT464" s="30" t="str">
        <f t="shared" si="64"/>
        <v/>
      </c>
      <c r="AU464" s="29" t="str">
        <f t="shared" si="65"/>
        <v/>
      </c>
      <c r="AV464" s="30" t="str">
        <f t="shared" si="66"/>
        <v/>
      </c>
      <c r="AW464" s="30" t="str">
        <f t="shared" si="67"/>
        <v/>
      </c>
      <c r="AX464" s="29" t="str">
        <f t="shared" si="68"/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 t="shared" si="69"/>
        <v/>
      </c>
      <c r="BB464" s="29" t="str">
        <f t="shared" si="70"/>
        <v/>
      </c>
      <c r="BC464" s="29">
        <f t="shared" si="71"/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 t="shared" si="63"/>
        <v>0</v>
      </c>
      <c r="AT465" s="30" t="str">
        <f t="shared" si="64"/>
        <v/>
      </c>
      <c r="AU465" s="29" t="str">
        <f t="shared" si="65"/>
        <v/>
      </c>
      <c r="AV465" s="30" t="str">
        <f t="shared" si="66"/>
        <v/>
      </c>
      <c r="AW465" s="30" t="str">
        <f t="shared" si="67"/>
        <v/>
      </c>
      <c r="AX465" s="29" t="str">
        <f t="shared" si="68"/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 t="shared" si="69"/>
        <v/>
      </c>
      <c r="BB465" s="29" t="str">
        <f t="shared" si="70"/>
        <v/>
      </c>
      <c r="BC465" s="29">
        <f t="shared" si="71"/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 t="shared" si="63"/>
        <v>0</v>
      </c>
      <c r="AT466" s="30" t="str">
        <f t="shared" si="64"/>
        <v/>
      </c>
      <c r="AU466" s="29" t="str">
        <f t="shared" si="65"/>
        <v/>
      </c>
      <c r="AV466" s="30" t="str">
        <f t="shared" si="66"/>
        <v/>
      </c>
      <c r="AW466" s="30" t="str">
        <f t="shared" si="67"/>
        <v/>
      </c>
      <c r="AX466" s="29" t="str">
        <f t="shared" si="68"/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 t="shared" si="69"/>
        <v/>
      </c>
      <c r="BB466" s="29" t="str">
        <f t="shared" si="70"/>
        <v/>
      </c>
      <c r="BC466" s="29">
        <f t="shared" si="71"/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 t="shared" si="63"/>
        <v>0</v>
      </c>
      <c r="AT467" s="30" t="str">
        <f t="shared" si="64"/>
        <v/>
      </c>
      <c r="AU467" s="29" t="str">
        <f t="shared" si="65"/>
        <v/>
      </c>
      <c r="AV467" s="30" t="str">
        <f t="shared" si="66"/>
        <v/>
      </c>
      <c r="AW467" s="30" t="str">
        <f t="shared" si="67"/>
        <v/>
      </c>
      <c r="AX467" s="29" t="str">
        <f t="shared" si="68"/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 t="shared" si="69"/>
        <v/>
      </c>
      <c r="BB467" s="29" t="str">
        <f t="shared" si="70"/>
        <v/>
      </c>
      <c r="BC467" s="29">
        <f t="shared" si="71"/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 t="shared" si="63"/>
        <v>0</v>
      </c>
      <c r="AT468" s="30" t="str">
        <f t="shared" si="64"/>
        <v/>
      </c>
      <c r="AU468" s="29" t="str">
        <f t="shared" si="65"/>
        <v/>
      </c>
      <c r="AV468" s="30" t="str">
        <f t="shared" si="66"/>
        <v/>
      </c>
      <c r="AW468" s="30" t="str">
        <f t="shared" si="67"/>
        <v/>
      </c>
      <c r="AX468" s="29" t="str">
        <f t="shared" si="68"/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 t="shared" si="69"/>
        <v/>
      </c>
      <c r="BB468" s="29" t="str">
        <f t="shared" si="70"/>
        <v/>
      </c>
      <c r="BC468" s="29">
        <f t="shared" si="71"/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 t="shared" si="63"/>
        <v>0</v>
      </c>
      <c r="AT469" s="30" t="str">
        <f t="shared" si="64"/>
        <v/>
      </c>
      <c r="AU469" s="29" t="str">
        <f t="shared" si="65"/>
        <v/>
      </c>
      <c r="AV469" s="30" t="str">
        <f t="shared" si="66"/>
        <v/>
      </c>
      <c r="AW469" s="30" t="str">
        <f t="shared" si="67"/>
        <v/>
      </c>
      <c r="AX469" s="29" t="str">
        <f t="shared" si="68"/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 t="shared" si="69"/>
        <v/>
      </c>
      <c r="BB469" s="29" t="str">
        <f t="shared" si="70"/>
        <v/>
      </c>
      <c r="BC469" s="29">
        <f t="shared" si="71"/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 t="shared" si="63"/>
        <v>0</v>
      </c>
      <c r="AT470" s="30" t="str">
        <f t="shared" si="64"/>
        <v/>
      </c>
      <c r="AU470" s="29" t="str">
        <f t="shared" si="65"/>
        <v/>
      </c>
      <c r="AV470" s="30" t="str">
        <f t="shared" si="66"/>
        <v/>
      </c>
      <c r="AW470" s="30" t="str">
        <f t="shared" si="67"/>
        <v/>
      </c>
      <c r="AX470" s="29" t="str">
        <f t="shared" si="68"/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 t="shared" si="69"/>
        <v/>
      </c>
      <c r="BB470" s="29" t="str">
        <f t="shared" si="70"/>
        <v/>
      </c>
      <c r="BC470" s="29">
        <f t="shared" si="71"/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 t="shared" si="63"/>
        <v>0</v>
      </c>
      <c r="AT471" s="30" t="str">
        <f t="shared" si="64"/>
        <v/>
      </c>
      <c r="AU471" s="29" t="str">
        <f t="shared" si="65"/>
        <v/>
      </c>
      <c r="AV471" s="30" t="str">
        <f t="shared" si="66"/>
        <v/>
      </c>
      <c r="AW471" s="30" t="str">
        <f t="shared" si="67"/>
        <v/>
      </c>
      <c r="AX471" s="29" t="str">
        <f t="shared" si="68"/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 t="shared" si="69"/>
        <v/>
      </c>
      <c r="BB471" s="29" t="str">
        <f t="shared" si="70"/>
        <v/>
      </c>
      <c r="BC471" s="29">
        <f t="shared" si="71"/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 t="shared" si="63"/>
        <v>0</v>
      </c>
      <c r="AT472" s="30" t="str">
        <f t="shared" si="64"/>
        <v/>
      </c>
      <c r="AU472" s="29" t="str">
        <f t="shared" si="65"/>
        <v/>
      </c>
      <c r="AV472" s="30" t="str">
        <f t="shared" si="66"/>
        <v/>
      </c>
      <c r="AW472" s="30" t="str">
        <f t="shared" si="67"/>
        <v/>
      </c>
      <c r="AX472" s="29" t="str">
        <f t="shared" si="68"/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 t="shared" si="69"/>
        <v/>
      </c>
      <c r="BB472" s="29" t="str">
        <f t="shared" si="70"/>
        <v/>
      </c>
      <c r="BC472" s="29">
        <f t="shared" si="71"/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 t="shared" si="63"/>
        <v>0</v>
      </c>
      <c r="AT473" s="30" t="str">
        <f t="shared" si="64"/>
        <v/>
      </c>
      <c r="AU473" s="29" t="str">
        <f t="shared" si="65"/>
        <v/>
      </c>
      <c r="AV473" s="30" t="str">
        <f t="shared" si="66"/>
        <v/>
      </c>
      <c r="AW473" s="30" t="str">
        <f t="shared" si="67"/>
        <v/>
      </c>
      <c r="AX473" s="29" t="str">
        <f t="shared" si="68"/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 t="shared" si="69"/>
        <v/>
      </c>
      <c r="BB473" s="29" t="str">
        <f t="shared" si="70"/>
        <v/>
      </c>
      <c r="BC473" s="29">
        <f t="shared" si="71"/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 t="shared" si="63"/>
        <v>0</v>
      </c>
      <c r="AT474" s="30" t="str">
        <f t="shared" si="64"/>
        <v/>
      </c>
      <c r="AU474" s="29" t="str">
        <f t="shared" si="65"/>
        <v/>
      </c>
      <c r="AV474" s="30" t="str">
        <f t="shared" si="66"/>
        <v/>
      </c>
      <c r="AW474" s="30" t="str">
        <f t="shared" si="67"/>
        <v/>
      </c>
      <c r="AX474" s="29" t="str">
        <f t="shared" si="68"/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 t="shared" si="69"/>
        <v/>
      </c>
      <c r="BB474" s="29" t="str">
        <f t="shared" si="70"/>
        <v/>
      </c>
      <c r="BC474" s="29">
        <f t="shared" si="71"/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 t="shared" si="63"/>
        <v>0</v>
      </c>
      <c r="AT475" s="30" t="str">
        <f t="shared" si="64"/>
        <v/>
      </c>
      <c r="AU475" s="29" t="str">
        <f t="shared" si="65"/>
        <v/>
      </c>
      <c r="AV475" s="30" t="str">
        <f t="shared" si="66"/>
        <v/>
      </c>
      <c r="AW475" s="30" t="str">
        <f t="shared" si="67"/>
        <v/>
      </c>
      <c r="AX475" s="29" t="str">
        <f t="shared" si="68"/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 t="shared" si="69"/>
        <v/>
      </c>
      <c r="BB475" s="29" t="str">
        <f t="shared" si="70"/>
        <v/>
      </c>
      <c r="BC475" s="29">
        <f t="shared" si="71"/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 t="shared" si="63"/>
        <v>0</v>
      </c>
      <c r="AT476" s="30" t="str">
        <f t="shared" si="64"/>
        <v/>
      </c>
      <c r="AU476" s="29" t="str">
        <f t="shared" si="65"/>
        <v/>
      </c>
      <c r="AV476" s="30" t="str">
        <f t="shared" si="66"/>
        <v/>
      </c>
      <c r="AW476" s="30" t="str">
        <f t="shared" si="67"/>
        <v/>
      </c>
      <c r="AX476" s="29" t="str">
        <f t="shared" si="68"/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 t="shared" si="69"/>
        <v/>
      </c>
      <c r="BB476" s="29" t="str">
        <f t="shared" si="70"/>
        <v/>
      </c>
      <c r="BC476" s="29">
        <f t="shared" si="71"/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 t="shared" si="63"/>
        <v>0</v>
      </c>
      <c r="AT477" s="30" t="str">
        <f t="shared" si="64"/>
        <v/>
      </c>
      <c r="AU477" s="29" t="str">
        <f t="shared" si="65"/>
        <v/>
      </c>
      <c r="AV477" s="30" t="str">
        <f t="shared" si="66"/>
        <v/>
      </c>
      <c r="AW477" s="30" t="str">
        <f t="shared" si="67"/>
        <v/>
      </c>
      <c r="AX477" s="29" t="str">
        <f t="shared" si="68"/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 t="shared" si="69"/>
        <v/>
      </c>
      <c r="BB477" s="29" t="str">
        <f t="shared" si="70"/>
        <v/>
      </c>
      <c r="BC477" s="29">
        <f t="shared" si="71"/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 t="shared" si="63"/>
        <v>0</v>
      </c>
      <c r="AT478" s="30" t="str">
        <f t="shared" si="64"/>
        <v/>
      </c>
      <c r="AU478" s="29" t="str">
        <f t="shared" si="65"/>
        <v/>
      </c>
      <c r="AV478" s="30" t="str">
        <f t="shared" si="66"/>
        <v/>
      </c>
      <c r="AW478" s="30" t="str">
        <f t="shared" si="67"/>
        <v/>
      </c>
      <c r="AX478" s="29" t="str">
        <f t="shared" si="68"/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 t="shared" si="69"/>
        <v/>
      </c>
      <c r="BB478" s="29" t="str">
        <f t="shared" si="70"/>
        <v/>
      </c>
      <c r="BC478" s="29">
        <f t="shared" si="71"/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 t="shared" si="63"/>
        <v>0</v>
      </c>
      <c r="AT479" s="30" t="str">
        <f t="shared" si="64"/>
        <v/>
      </c>
      <c r="AU479" s="29" t="str">
        <f t="shared" si="65"/>
        <v/>
      </c>
      <c r="AV479" s="30" t="str">
        <f t="shared" si="66"/>
        <v/>
      </c>
      <c r="AW479" s="30" t="str">
        <f t="shared" si="67"/>
        <v/>
      </c>
      <c r="AX479" s="29" t="str">
        <f t="shared" si="68"/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 t="shared" si="69"/>
        <v/>
      </c>
      <c r="BB479" s="29" t="str">
        <f t="shared" si="70"/>
        <v/>
      </c>
      <c r="BC479" s="29">
        <f t="shared" si="71"/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 t="shared" si="63"/>
        <v>0</v>
      </c>
      <c r="AT480" s="30" t="str">
        <f t="shared" si="64"/>
        <v/>
      </c>
      <c r="AU480" s="29" t="str">
        <f t="shared" si="65"/>
        <v/>
      </c>
      <c r="AV480" s="30" t="str">
        <f t="shared" si="66"/>
        <v/>
      </c>
      <c r="AW480" s="30" t="str">
        <f t="shared" si="67"/>
        <v/>
      </c>
      <c r="AX480" s="29" t="str">
        <f t="shared" si="68"/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 t="shared" si="69"/>
        <v/>
      </c>
      <c r="BB480" s="29" t="str">
        <f t="shared" si="70"/>
        <v/>
      </c>
      <c r="BC480" s="29">
        <f t="shared" si="71"/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 t="shared" si="63"/>
        <v>0</v>
      </c>
      <c r="AT481" s="30" t="str">
        <f t="shared" si="64"/>
        <v/>
      </c>
      <c r="AU481" s="29" t="str">
        <f t="shared" si="65"/>
        <v/>
      </c>
      <c r="AV481" s="30" t="str">
        <f t="shared" si="66"/>
        <v/>
      </c>
      <c r="AW481" s="30" t="str">
        <f t="shared" si="67"/>
        <v/>
      </c>
      <c r="AX481" s="29" t="str">
        <f t="shared" si="68"/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 t="shared" si="69"/>
        <v/>
      </c>
      <c r="BB481" s="29" t="str">
        <f t="shared" si="70"/>
        <v/>
      </c>
      <c r="BC481" s="29">
        <f t="shared" si="71"/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 t="shared" si="63"/>
        <v>0</v>
      </c>
      <c r="AT482" s="30" t="str">
        <f t="shared" si="64"/>
        <v/>
      </c>
      <c r="AU482" s="29" t="str">
        <f t="shared" si="65"/>
        <v/>
      </c>
      <c r="AV482" s="30" t="str">
        <f t="shared" si="66"/>
        <v/>
      </c>
      <c r="AW482" s="30" t="str">
        <f t="shared" si="67"/>
        <v/>
      </c>
      <c r="AX482" s="29" t="str">
        <f t="shared" si="68"/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 t="shared" si="69"/>
        <v/>
      </c>
      <c r="BB482" s="29" t="str">
        <f t="shared" si="70"/>
        <v/>
      </c>
      <c r="BC482" s="29">
        <f t="shared" si="71"/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 t="shared" si="63"/>
        <v>0</v>
      </c>
      <c r="AT483" s="30" t="str">
        <f t="shared" si="64"/>
        <v/>
      </c>
      <c r="AU483" s="29" t="str">
        <f t="shared" si="65"/>
        <v/>
      </c>
      <c r="AV483" s="30" t="str">
        <f t="shared" si="66"/>
        <v/>
      </c>
      <c r="AW483" s="30" t="str">
        <f t="shared" si="67"/>
        <v/>
      </c>
      <c r="AX483" s="29" t="str">
        <f t="shared" si="68"/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 t="shared" si="69"/>
        <v/>
      </c>
      <c r="BB483" s="29" t="str">
        <f t="shared" si="70"/>
        <v/>
      </c>
      <c r="BC483" s="29">
        <f t="shared" si="71"/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 t="shared" si="63"/>
        <v>0</v>
      </c>
      <c r="AT484" s="30" t="str">
        <f t="shared" si="64"/>
        <v/>
      </c>
      <c r="AU484" s="29" t="str">
        <f t="shared" si="65"/>
        <v/>
      </c>
      <c r="AV484" s="30" t="str">
        <f t="shared" si="66"/>
        <v/>
      </c>
      <c r="AW484" s="30" t="str">
        <f t="shared" si="67"/>
        <v/>
      </c>
      <c r="AX484" s="29" t="str">
        <f t="shared" si="68"/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 t="shared" si="69"/>
        <v/>
      </c>
      <c r="BB484" s="29" t="str">
        <f t="shared" si="70"/>
        <v/>
      </c>
      <c r="BC484" s="29">
        <f t="shared" si="71"/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 t="shared" si="63"/>
        <v>0</v>
      </c>
      <c r="AT485" s="30" t="str">
        <f t="shared" si="64"/>
        <v/>
      </c>
      <c r="AU485" s="29" t="str">
        <f t="shared" si="65"/>
        <v/>
      </c>
      <c r="AV485" s="30" t="str">
        <f t="shared" si="66"/>
        <v/>
      </c>
      <c r="AW485" s="30" t="str">
        <f t="shared" si="67"/>
        <v/>
      </c>
      <c r="AX485" s="29" t="str">
        <f t="shared" si="68"/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 t="shared" si="69"/>
        <v/>
      </c>
      <c r="BB485" s="29" t="str">
        <f t="shared" si="70"/>
        <v/>
      </c>
      <c r="BC485" s="29">
        <f t="shared" si="71"/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 t="shared" si="63"/>
        <v>0</v>
      </c>
      <c r="AT486" s="30" t="str">
        <f t="shared" si="64"/>
        <v/>
      </c>
      <c r="AU486" s="29" t="str">
        <f t="shared" si="65"/>
        <v/>
      </c>
      <c r="AV486" s="30" t="str">
        <f t="shared" si="66"/>
        <v/>
      </c>
      <c r="AW486" s="30" t="str">
        <f t="shared" si="67"/>
        <v/>
      </c>
      <c r="AX486" s="29" t="str">
        <f t="shared" si="68"/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 t="shared" si="69"/>
        <v/>
      </c>
      <c r="BB486" s="29" t="str">
        <f t="shared" si="70"/>
        <v/>
      </c>
      <c r="BC486" s="29">
        <f t="shared" si="71"/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 t="shared" si="63"/>
        <v>0</v>
      </c>
      <c r="AT487" s="30" t="str">
        <f t="shared" si="64"/>
        <v/>
      </c>
      <c r="AU487" s="29" t="str">
        <f t="shared" si="65"/>
        <v/>
      </c>
      <c r="AV487" s="30" t="str">
        <f t="shared" si="66"/>
        <v/>
      </c>
      <c r="AW487" s="30" t="str">
        <f t="shared" si="67"/>
        <v/>
      </c>
      <c r="AX487" s="29" t="str">
        <f t="shared" si="68"/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 t="shared" si="69"/>
        <v/>
      </c>
      <c r="BB487" s="29" t="str">
        <f t="shared" si="70"/>
        <v/>
      </c>
      <c r="BC487" s="29">
        <f t="shared" si="71"/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 t="shared" si="63"/>
        <v>0</v>
      </c>
      <c r="AT488" s="30" t="str">
        <f t="shared" si="64"/>
        <v/>
      </c>
      <c r="AU488" s="29" t="str">
        <f t="shared" si="65"/>
        <v/>
      </c>
      <c r="AV488" s="30" t="str">
        <f t="shared" si="66"/>
        <v/>
      </c>
      <c r="AW488" s="30" t="str">
        <f t="shared" si="67"/>
        <v/>
      </c>
      <c r="AX488" s="29" t="str">
        <f t="shared" si="68"/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 t="shared" si="69"/>
        <v/>
      </c>
      <c r="BB488" s="29" t="str">
        <f t="shared" si="70"/>
        <v/>
      </c>
      <c r="BC488" s="29">
        <f t="shared" si="71"/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 t="shared" si="63"/>
        <v>0</v>
      </c>
      <c r="AT489" s="30" t="str">
        <f t="shared" si="64"/>
        <v/>
      </c>
      <c r="AU489" s="29" t="str">
        <f t="shared" si="65"/>
        <v/>
      </c>
      <c r="AV489" s="30" t="str">
        <f t="shared" si="66"/>
        <v/>
      </c>
      <c r="AW489" s="30" t="str">
        <f t="shared" si="67"/>
        <v/>
      </c>
      <c r="AX489" s="29" t="str">
        <f t="shared" si="68"/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 t="shared" si="69"/>
        <v/>
      </c>
      <c r="BB489" s="29" t="str">
        <f t="shared" si="70"/>
        <v/>
      </c>
      <c r="BC489" s="29">
        <f t="shared" si="71"/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 t="shared" si="63"/>
        <v>0</v>
      </c>
      <c r="AT490" s="30" t="str">
        <f t="shared" si="64"/>
        <v/>
      </c>
      <c r="AU490" s="29" t="str">
        <f t="shared" si="65"/>
        <v/>
      </c>
      <c r="AV490" s="30" t="str">
        <f t="shared" si="66"/>
        <v/>
      </c>
      <c r="AW490" s="30" t="str">
        <f t="shared" si="67"/>
        <v/>
      </c>
      <c r="AX490" s="29" t="str">
        <f t="shared" si="68"/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 t="shared" si="69"/>
        <v/>
      </c>
      <c r="BB490" s="29" t="str">
        <f t="shared" si="70"/>
        <v/>
      </c>
      <c r="BC490" s="29">
        <f t="shared" si="71"/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 t="shared" si="63"/>
        <v>0</v>
      </c>
      <c r="AT491" s="30" t="str">
        <f t="shared" si="64"/>
        <v/>
      </c>
      <c r="AU491" s="29" t="str">
        <f t="shared" si="65"/>
        <v/>
      </c>
      <c r="AV491" s="30" t="str">
        <f t="shared" si="66"/>
        <v/>
      </c>
      <c r="AW491" s="30" t="str">
        <f t="shared" si="67"/>
        <v/>
      </c>
      <c r="AX491" s="29" t="str">
        <f t="shared" si="68"/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 t="shared" si="69"/>
        <v/>
      </c>
      <c r="BB491" s="29" t="str">
        <f t="shared" si="70"/>
        <v/>
      </c>
      <c r="BC491" s="29">
        <f t="shared" si="71"/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 t="shared" si="63"/>
        <v>0</v>
      </c>
      <c r="AT492" s="30" t="str">
        <f t="shared" si="64"/>
        <v/>
      </c>
      <c r="AU492" s="29" t="str">
        <f t="shared" si="65"/>
        <v/>
      </c>
      <c r="AV492" s="30" t="str">
        <f t="shared" si="66"/>
        <v/>
      </c>
      <c r="AW492" s="30" t="str">
        <f t="shared" si="67"/>
        <v/>
      </c>
      <c r="AX492" s="29" t="str">
        <f t="shared" si="68"/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 t="shared" si="69"/>
        <v/>
      </c>
      <c r="BB492" s="29" t="str">
        <f t="shared" si="70"/>
        <v/>
      </c>
      <c r="BC492" s="29">
        <f t="shared" si="71"/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 t="shared" si="63"/>
        <v>0</v>
      </c>
      <c r="AT493" s="30" t="str">
        <f t="shared" si="64"/>
        <v/>
      </c>
      <c r="AU493" s="29" t="str">
        <f t="shared" si="65"/>
        <v/>
      </c>
      <c r="AV493" s="30" t="str">
        <f t="shared" si="66"/>
        <v/>
      </c>
      <c r="AW493" s="30" t="str">
        <f t="shared" si="67"/>
        <v/>
      </c>
      <c r="AX493" s="29" t="str">
        <f t="shared" si="68"/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 t="shared" si="69"/>
        <v/>
      </c>
      <c r="BB493" s="29" t="str">
        <f t="shared" si="70"/>
        <v/>
      </c>
      <c r="BC493" s="29">
        <f t="shared" si="71"/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 t="shared" si="63"/>
        <v>0</v>
      </c>
      <c r="AT494" s="30" t="str">
        <f t="shared" si="64"/>
        <v/>
      </c>
      <c r="AU494" s="29" t="str">
        <f t="shared" si="65"/>
        <v/>
      </c>
      <c r="AV494" s="30" t="str">
        <f t="shared" si="66"/>
        <v/>
      </c>
      <c r="AW494" s="30" t="str">
        <f t="shared" si="67"/>
        <v/>
      </c>
      <c r="AX494" s="29" t="str">
        <f t="shared" si="68"/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 t="shared" si="69"/>
        <v/>
      </c>
      <c r="BB494" s="29" t="str">
        <f t="shared" si="70"/>
        <v/>
      </c>
      <c r="BC494" s="29">
        <f t="shared" si="71"/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 t="shared" si="63"/>
        <v>0</v>
      </c>
      <c r="AT495" s="30" t="str">
        <f t="shared" si="64"/>
        <v/>
      </c>
      <c r="AU495" s="29" t="str">
        <f t="shared" si="65"/>
        <v/>
      </c>
      <c r="AV495" s="30" t="str">
        <f t="shared" si="66"/>
        <v/>
      </c>
      <c r="AW495" s="30" t="str">
        <f t="shared" si="67"/>
        <v/>
      </c>
      <c r="AX495" s="29" t="str">
        <f t="shared" si="68"/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 t="shared" si="69"/>
        <v/>
      </c>
      <c r="BB495" s="29" t="str">
        <f t="shared" si="70"/>
        <v/>
      </c>
      <c r="BC495" s="29">
        <f t="shared" si="71"/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 t="shared" si="63"/>
        <v>0</v>
      </c>
      <c r="AT496" s="30" t="str">
        <f t="shared" si="64"/>
        <v/>
      </c>
      <c r="AU496" s="29" t="str">
        <f t="shared" si="65"/>
        <v/>
      </c>
      <c r="AV496" s="30" t="str">
        <f t="shared" si="66"/>
        <v/>
      </c>
      <c r="AW496" s="30" t="str">
        <f t="shared" si="67"/>
        <v/>
      </c>
      <c r="AX496" s="29" t="str">
        <f t="shared" si="68"/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 t="shared" si="69"/>
        <v/>
      </c>
      <c r="BB496" s="29" t="str">
        <f t="shared" si="70"/>
        <v/>
      </c>
      <c r="BC496" s="29">
        <f t="shared" si="71"/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 t="shared" si="63"/>
        <v>0</v>
      </c>
      <c r="AT497" s="30" t="str">
        <f t="shared" si="64"/>
        <v/>
      </c>
      <c r="AU497" s="29" t="str">
        <f t="shared" si="65"/>
        <v/>
      </c>
      <c r="AV497" s="30" t="str">
        <f t="shared" si="66"/>
        <v/>
      </c>
      <c r="AW497" s="30" t="str">
        <f t="shared" si="67"/>
        <v/>
      </c>
      <c r="AX497" s="29" t="str">
        <f t="shared" si="68"/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 t="shared" si="69"/>
        <v/>
      </c>
      <c r="BB497" s="29" t="str">
        <f t="shared" si="70"/>
        <v/>
      </c>
      <c r="BC497" s="29">
        <f t="shared" si="71"/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 t="shared" si="63"/>
        <v>0</v>
      </c>
      <c r="AT498" s="30" t="str">
        <f t="shared" si="64"/>
        <v/>
      </c>
      <c r="AU498" s="29" t="str">
        <f t="shared" si="65"/>
        <v/>
      </c>
      <c r="AV498" s="30" t="str">
        <f t="shared" si="66"/>
        <v/>
      </c>
      <c r="AW498" s="30" t="str">
        <f t="shared" si="67"/>
        <v/>
      </c>
      <c r="AX498" s="29" t="str">
        <f t="shared" si="68"/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 t="shared" si="69"/>
        <v/>
      </c>
      <c r="BB498" s="29" t="str">
        <f t="shared" si="70"/>
        <v/>
      </c>
      <c r="BC498" s="29">
        <f t="shared" si="71"/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 t="shared" si="63"/>
        <v>0</v>
      </c>
      <c r="AT499" s="30" t="str">
        <f t="shared" si="64"/>
        <v/>
      </c>
      <c r="AU499" s="29" t="str">
        <f t="shared" si="65"/>
        <v/>
      </c>
      <c r="AV499" s="30" t="str">
        <f t="shared" si="66"/>
        <v/>
      </c>
      <c r="AW499" s="30" t="str">
        <f t="shared" si="67"/>
        <v/>
      </c>
      <c r="AX499" s="29" t="str">
        <f t="shared" si="68"/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 t="shared" si="69"/>
        <v/>
      </c>
      <c r="BB499" s="29" t="str">
        <f t="shared" si="70"/>
        <v/>
      </c>
      <c r="BC499" s="29">
        <f t="shared" si="71"/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 t="shared" si="63"/>
        <v>0</v>
      </c>
      <c r="AT500" s="30" t="str">
        <f t="shared" si="64"/>
        <v/>
      </c>
      <c r="AU500" s="29" t="str">
        <f t="shared" si="65"/>
        <v/>
      </c>
      <c r="AV500" s="30" t="str">
        <f t="shared" si="66"/>
        <v/>
      </c>
      <c r="AW500" s="30" t="str">
        <f t="shared" si="67"/>
        <v/>
      </c>
      <c r="AX500" s="29" t="str">
        <f t="shared" si="68"/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 t="shared" si="69"/>
        <v/>
      </c>
      <c r="BB500" s="29" t="str">
        <f t="shared" si="70"/>
        <v/>
      </c>
      <c r="BC500" s="29">
        <f t="shared" si="71"/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 t="shared" si="63"/>
        <v>0</v>
      </c>
      <c r="AT501" s="30" t="str">
        <f t="shared" si="64"/>
        <v/>
      </c>
      <c r="AU501" s="29" t="str">
        <f t="shared" si="65"/>
        <v/>
      </c>
      <c r="AV501" s="30" t="str">
        <f t="shared" si="66"/>
        <v/>
      </c>
      <c r="AW501" s="30" t="str">
        <f t="shared" si="67"/>
        <v/>
      </c>
      <c r="AX501" s="29" t="str">
        <f t="shared" si="68"/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 t="shared" si="69"/>
        <v/>
      </c>
      <c r="BB501" s="29" t="str">
        <f t="shared" si="70"/>
        <v/>
      </c>
      <c r="BC501" s="29">
        <f t="shared" si="71"/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 t="shared" si="63"/>
        <v>0</v>
      </c>
      <c r="AT502" s="30" t="str">
        <f t="shared" si="64"/>
        <v/>
      </c>
      <c r="AU502" s="29" t="str">
        <f t="shared" si="65"/>
        <v/>
      </c>
      <c r="AV502" s="30" t="str">
        <f t="shared" si="66"/>
        <v/>
      </c>
      <c r="AW502" s="30" t="str">
        <f t="shared" si="67"/>
        <v/>
      </c>
      <c r="AX502" s="29" t="str">
        <f t="shared" si="68"/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 t="shared" si="69"/>
        <v/>
      </c>
      <c r="BB502" s="29" t="str">
        <f t="shared" si="70"/>
        <v/>
      </c>
      <c r="BC502" s="29">
        <f t="shared" si="71"/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 t="shared" si="63"/>
        <v>0</v>
      </c>
      <c r="AT503" s="30" t="str">
        <f t="shared" si="64"/>
        <v/>
      </c>
      <c r="AU503" s="29" t="str">
        <f t="shared" si="65"/>
        <v/>
      </c>
      <c r="AV503" s="30" t="str">
        <f t="shared" si="66"/>
        <v/>
      </c>
      <c r="AW503" s="30" t="str">
        <f t="shared" si="67"/>
        <v/>
      </c>
      <c r="AX503" s="29" t="str">
        <f t="shared" si="68"/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 t="shared" si="69"/>
        <v/>
      </c>
      <c r="BB503" s="29" t="str">
        <f t="shared" si="70"/>
        <v/>
      </c>
      <c r="BC503" s="29">
        <f t="shared" si="71"/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 t="shared" si="63"/>
        <v>0</v>
      </c>
      <c r="AT504" s="30" t="str">
        <f t="shared" si="64"/>
        <v/>
      </c>
      <c r="AU504" s="29" t="str">
        <f t="shared" si="65"/>
        <v/>
      </c>
      <c r="AV504" s="30" t="str">
        <f t="shared" si="66"/>
        <v/>
      </c>
      <c r="AW504" s="30" t="str">
        <f t="shared" si="67"/>
        <v/>
      </c>
      <c r="AX504" s="29" t="str">
        <f t="shared" si="68"/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 t="shared" si="69"/>
        <v/>
      </c>
      <c r="BB504" s="29" t="str">
        <f t="shared" si="70"/>
        <v/>
      </c>
      <c r="BC504" s="29">
        <f t="shared" si="71"/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 t="shared" si="63"/>
        <v>0</v>
      </c>
      <c r="AT505" s="30" t="str">
        <f t="shared" si="64"/>
        <v/>
      </c>
      <c r="AU505" s="29" t="str">
        <f t="shared" si="65"/>
        <v/>
      </c>
      <c r="AV505" s="30" t="str">
        <f t="shared" si="66"/>
        <v/>
      </c>
      <c r="AW505" s="30" t="str">
        <f t="shared" si="67"/>
        <v/>
      </c>
      <c r="AX505" s="29" t="str">
        <f t="shared" si="68"/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 t="shared" si="69"/>
        <v/>
      </c>
      <c r="BB505" s="29" t="str">
        <f t="shared" si="70"/>
        <v/>
      </c>
      <c r="BC505" s="29">
        <f t="shared" si="71"/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 t="shared" si="63"/>
        <v>0</v>
      </c>
      <c r="AT506" s="30" t="str">
        <f t="shared" si="64"/>
        <v/>
      </c>
      <c r="AU506" s="29" t="str">
        <f t="shared" si="65"/>
        <v/>
      </c>
      <c r="AV506" s="30" t="str">
        <f t="shared" si="66"/>
        <v/>
      </c>
      <c r="AW506" s="30" t="str">
        <f t="shared" si="67"/>
        <v/>
      </c>
      <c r="AX506" s="29" t="str">
        <f t="shared" si="68"/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 t="shared" si="69"/>
        <v/>
      </c>
      <c r="BB506" s="29" t="str">
        <f t="shared" si="70"/>
        <v/>
      </c>
      <c r="BC506" s="29">
        <f t="shared" si="71"/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 t="shared" si="63"/>
        <v>0</v>
      </c>
      <c r="AT507" s="30" t="str">
        <f t="shared" si="64"/>
        <v/>
      </c>
      <c r="AU507" s="29" t="str">
        <f t="shared" si="65"/>
        <v/>
      </c>
      <c r="AV507" s="30" t="str">
        <f t="shared" si="66"/>
        <v/>
      </c>
      <c r="AW507" s="30" t="str">
        <f t="shared" si="67"/>
        <v/>
      </c>
      <c r="AX507" s="29" t="str">
        <f t="shared" si="68"/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 t="shared" si="69"/>
        <v/>
      </c>
      <c r="BB507" s="29" t="str">
        <f t="shared" si="70"/>
        <v/>
      </c>
      <c r="BC507" s="29">
        <f t="shared" si="71"/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 t="shared" si="63"/>
        <v>0</v>
      </c>
      <c r="AT508" s="30" t="str">
        <f t="shared" si="64"/>
        <v/>
      </c>
      <c r="AU508" s="29" t="str">
        <f t="shared" si="65"/>
        <v/>
      </c>
      <c r="AV508" s="30" t="str">
        <f t="shared" si="66"/>
        <v/>
      </c>
      <c r="AW508" s="30" t="str">
        <f t="shared" si="67"/>
        <v/>
      </c>
      <c r="AX508" s="29" t="str">
        <f t="shared" si="68"/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 t="shared" si="69"/>
        <v/>
      </c>
      <c r="BB508" s="29" t="str">
        <f t="shared" si="70"/>
        <v/>
      </c>
      <c r="BC508" s="29">
        <f t="shared" si="71"/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 t="shared" si="63"/>
        <v>0</v>
      </c>
      <c r="AT509" s="30" t="str">
        <f t="shared" si="64"/>
        <v/>
      </c>
      <c r="AU509" s="29" t="str">
        <f t="shared" si="65"/>
        <v/>
      </c>
      <c r="AV509" s="30" t="str">
        <f t="shared" si="66"/>
        <v/>
      </c>
      <c r="AW509" s="30" t="str">
        <f t="shared" si="67"/>
        <v/>
      </c>
      <c r="AX509" s="29" t="str">
        <f t="shared" si="68"/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 t="shared" si="69"/>
        <v/>
      </c>
      <c r="BB509" s="29" t="str">
        <f t="shared" si="70"/>
        <v/>
      </c>
      <c r="BC509" s="29">
        <f t="shared" si="71"/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 t="shared" si="63"/>
        <v>0</v>
      </c>
      <c r="AT510" s="30" t="str">
        <f t="shared" si="64"/>
        <v/>
      </c>
      <c r="AU510" s="29" t="str">
        <f t="shared" si="65"/>
        <v/>
      </c>
      <c r="AV510" s="30" t="str">
        <f t="shared" si="66"/>
        <v/>
      </c>
      <c r="AW510" s="30" t="str">
        <f t="shared" si="67"/>
        <v/>
      </c>
      <c r="AX510" s="29" t="str">
        <f t="shared" si="68"/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 t="shared" si="69"/>
        <v/>
      </c>
      <c r="BB510" s="29" t="str">
        <f t="shared" si="70"/>
        <v/>
      </c>
      <c r="BC510" s="29">
        <f t="shared" si="71"/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 t="shared" si="63"/>
        <v>0</v>
      </c>
      <c r="AT511" s="30" t="str">
        <f t="shared" si="64"/>
        <v/>
      </c>
      <c r="AU511" s="29" t="str">
        <f t="shared" si="65"/>
        <v/>
      </c>
      <c r="AV511" s="30" t="str">
        <f t="shared" si="66"/>
        <v/>
      </c>
      <c r="AW511" s="30" t="str">
        <f t="shared" si="67"/>
        <v/>
      </c>
      <c r="AX511" s="29" t="str">
        <f t="shared" si="68"/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 t="shared" si="69"/>
        <v/>
      </c>
      <c r="BB511" s="29" t="str">
        <f t="shared" si="70"/>
        <v/>
      </c>
      <c r="BC511" s="29">
        <f t="shared" si="71"/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 t="shared" si="63"/>
        <v>0</v>
      </c>
      <c r="AT512" s="30" t="str">
        <f t="shared" si="64"/>
        <v/>
      </c>
      <c r="AU512" s="29" t="str">
        <f t="shared" si="65"/>
        <v/>
      </c>
      <c r="AV512" s="30" t="str">
        <f t="shared" si="66"/>
        <v/>
      </c>
      <c r="AW512" s="30" t="str">
        <f t="shared" si="67"/>
        <v/>
      </c>
      <c r="AX512" s="29" t="str">
        <f t="shared" si="68"/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 t="shared" si="69"/>
        <v/>
      </c>
      <c r="BB512" s="29" t="str">
        <f t="shared" si="70"/>
        <v/>
      </c>
      <c r="BC512" s="29">
        <f t="shared" si="71"/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 t="shared" si="63"/>
        <v>0</v>
      </c>
      <c r="AT513" s="30" t="str">
        <f t="shared" si="64"/>
        <v/>
      </c>
      <c r="AU513" s="29" t="str">
        <f t="shared" si="65"/>
        <v/>
      </c>
      <c r="AV513" s="30" t="str">
        <f t="shared" si="66"/>
        <v/>
      </c>
      <c r="AW513" s="30" t="str">
        <f t="shared" si="67"/>
        <v/>
      </c>
      <c r="AX513" s="29" t="str">
        <f t="shared" si="68"/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 t="shared" si="69"/>
        <v/>
      </c>
      <c r="BB513" s="29" t="str">
        <f t="shared" si="70"/>
        <v/>
      </c>
      <c r="BC513" s="29">
        <f t="shared" si="71"/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 t="shared" si="63"/>
        <v>0</v>
      </c>
      <c r="AT514" s="30" t="str">
        <f t="shared" si="64"/>
        <v/>
      </c>
      <c r="AU514" s="29" t="str">
        <f t="shared" si="65"/>
        <v/>
      </c>
      <c r="AV514" s="30" t="str">
        <f t="shared" si="66"/>
        <v/>
      </c>
      <c r="AW514" s="30" t="str">
        <f t="shared" si="67"/>
        <v/>
      </c>
      <c r="AX514" s="29" t="str">
        <f t="shared" si="68"/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 t="shared" si="69"/>
        <v/>
      </c>
      <c r="BB514" s="29" t="str">
        <f t="shared" si="70"/>
        <v/>
      </c>
      <c r="BC514" s="29">
        <f t="shared" si="71"/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 t="shared" si="63"/>
        <v>0</v>
      </c>
      <c r="AT515" s="30" t="str">
        <f t="shared" si="64"/>
        <v/>
      </c>
      <c r="AU515" s="29" t="str">
        <f t="shared" si="65"/>
        <v/>
      </c>
      <c r="AV515" s="30" t="str">
        <f t="shared" si="66"/>
        <v/>
      </c>
      <c r="AW515" s="30" t="str">
        <f t="shared" si="67"/>
        <v/>
      </c>
      <c r="AX515" s="29" t="str">
        <f t="shared" si="68"/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 t="shared" si="69"/>
        <v/>
      </c>
      <c r="BB515" s="29" t="str">
        <f t="shared" si="70"/>
        <v/>
      </c>
      <c r="BC515" s="29">
        <f t="shared" si="71"/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 t="shared" si="63"/>
        <v>0</v>
      </c>
      <c r="AT516" s="30" t="str">
        <f t="shared" si="64"/>
        <v/>
      </c>
      <c r="AU516" s="29" t="str">
        <f t="shared" si="65"/>
        <v/>
      </c>
      <c r="AV516" s="30" t="str">
        <f t="shared" si="66"/>
        <v/>
      </c>
      <c r="AW516" s="30" t="str">
        <f t="shared" si="67"/>
        <v/>
      </c>
      <c r="AX516" s="29" t="str">
        <f t="shared" si="68"/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 t="shared" si="69"/>
        <v/>
      </c>
      <c r="BB516" s="29" t="str">
        <f t="shared" si="70"/>
        <v/>
      </c>
      <c r="BC516" s="29">
        <f t="shared" si="71"/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 t="shared" ref="AS517:AS580" si="72">SUM(H517,J517,L517,N517,P517,R517,T517,V517,X517,Z517,AB517,AD517,AF517,AH517,AJ517,AL517,AN517)</f>
        <v>0</v>
      </c>
      <c r="AT517" s="30" t="str">
        <f t="shared" ref="AT517:AT580" si="73">IF(C517="","",DATE(YEAR(C517),MONTH(C517),1))</f>
        <v/>
      </c>
      <c r="AU517" s="29" t="str">
        <f t="shared" ref="AU517:AU580" si="74">IF(AT517="","",TEXT(AT517,"mmmm yyyy"))</f>
        <v/>
      </c>
      <c r="AV517" s="30" t="str">
        <f t="shared" ref="AV517:AV580" si="75">IF(C517="","",C517-WEEKDAY(C517,2)+1)</f>
        <v/>
      </c>
      <c r="AW517" s="30" t="str">
        <f t="shared" ref="AW517:AW580" si="76">IF(AV517="","",AV517+6)</f>
        <v/>
      </c>
      <c r="AX517" s="29" t="str">
        <f t="shared" ref="AX517:AX580" si="77"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 t="shared" ref="BA517:BA580" si="78">IF(B517="","",TEXT(AY517,"00")&amp;"|"&amp;B517&amp;"|"&amp;TEXT(AT517,"yyyymmdd"))</f>
        <v/>
      </c>
      <c r="BB517" s="29" t="str">
        <f t="shared" ref="BB517:BB580" si="79">IF(B517="","",TEXT(AZ517,"00")&amp;"|"&amp;B517&amp;"|"&amp;TEXT(AV517,"yyyymmdd"))</f>
        <v/>
      </c>
      <c r="BC517" s="29">
        <f t="shared" ref="BC517:BC580" si="80"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 t="shared" si="72"/>
        <v>0</v>
      </c>
      <c r="AT518" s="30" t="str">
        <f t="shared" si="73"/>
        <v/>
      </c>
      <c r="AU518" s="29" t="str">
        <f t="shared" si="74"/>
        <v/>
      </c>
      <c r="AV518" s="30" t="str">
        <f t="shared" si="75"/>
        <v/>
      </c>
      <c r="AW518" s="30" t="str">
        <f t="shared" si="76"/>
        <v/>
      </c>
      <c r="AX518" s="29" t="str">
        <f t="shared" si="77"/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 t="shared" si="78"/>
        <v/>
      </c>
      <c r="BB518" s="29" t="str">
        <f t="shared" si="79"/>
        <v/>
      </c>
      <c r="BC518" s="29">
        <f t="shared" si="80"/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 t="shared" si="72"/>
        <v>0</v>
      </c>
      <c r="AT519" s="30" t="str">
        <f t="shared" si="73"/>
        <v/>
      </c>
      <c r="AU519" s="29" t="str">
        <f t="shared" si="74"/>
        <v/>
      </c>
      <c r="AV519" s="30" t="str">
        <f t="shared" si="75"/>
        <v/>
      </c>
      <c r="AW519" s="30" t="str">
        <f t="shared" si="76"/>
        <v/>
      </c>
      <c r="AX519" s="29" t="str">
        <f t="shared" si="77"/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 t="shared" si="78"/>
        <v/>
      </c>
      <c r="BB519" s="29" t="str">
        <f t="shared" si="79"/>
        <v/>
      </c>
      <c r="BC519" s="29">
        <f t="shared" si="80"/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 t="shared" si="72"/>
        <v>0</v>
      </c>
      <c r="AT520" s="30" t="str">
        <f t="shared" si="73"/>
        <v/>
      </c>
      <c r="AU520" s="29" t="str">
        <f t="shared" si="74"/>
        <v/>
      </c>
      <c r="AV520" s="30" t="str">
        <f t="shared" si="75"/>
        <v/>
      </c>
      <c r="AW520" s="30" t="str">
        <f t="shared" si="76"/>
        <v/>
      </c>
      <c r="AX520" s="29" t="str">
        <f t="shared" si="77"/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 t="shared" si="78"/>
        <v/>
      </c>
      <c r="BB520" s="29" t="str">
        <f t="shared" si="79"/>
        <v/>
      </c>
      <c r="BC520" s="29">
        <f t="shared" si="80"/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 t="shared" si="72"/>
        <v>0</v>
      </c>
      <c r="AT521" s="30" t="str">
        <f t="shared" si="73"/>
        <v/>
      </c>
      <c r="AU521" s="29" t="str">
        <f t="shared" si="74"/>
        <v/>
      </c>
      <c r="AV521" s="30" t="str">
        <f t="shared" si="75"/>
        <v/>
      </c>
      <c r="AW521" s="30" t="str">
        <f t="shared" si="76"/>
        <v/>
      </c>
      <c r="AX521" s="29" t="str">
        <f t="shared" si="77"/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 t="shared" si="78"/>
        <v/>
      </c>
      <c r="BB521" s="29" t="str">
        <f t="shared" si="79"/>
        <v/>
      </c>
      <c r="BC521" s="29">
        <f t="shared" si="80"/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 t="shared" si="72"/>
        <v>0</v>
      </c>
      <c r="AT522" s="30" t="str">
        <f t="shared" si="73"/>
        <v/>
      </c>
      <c r="AU522" s="29" t="str">
        <f t="shared" si="74"/>
        <v/>
      </c>
      <c r="AV522" s="30" t="str">
        <f t="shared" si="75"/>
        <v/>
      </c>
      <c r="AW522" s="30" t="str">
        <f t="shared" si="76"/>
        <v/>
      </c>
      <c r="AX522" s="29" t="str">
        <f t="shared" si="77"/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 t="shared" si="78"/>
        <v/>
      </c>
      <c r="BB522" s="29" t="str">
        <f t="shared" si="79"/>
        <v/>
      </c>
      <c r="BC522" s="29">
        <f t="shared" si="80"/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 t="shared" si="72"/>
        <v>0</v>
      </c>
      <c r="AT523" s="30" t="str">
        <f t="shared" si="73"/>
        <v/>
      </c>
      <c r="AU523" s="29" t="str">
        <f t="shared" si="74"/>
        <v/>
      </c>
      <c r="AV523" s="30" t="str">
        <f t="shared" si="75"/>
        <v/>
      </c>
      <c r="AW523" s="30" t="str">
        <f t="shared" si="76"/>
        <v/>
      </c>
      <c r="AX523" s="29" t="str">
        <f t="shared" si="77"/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 t="shared" si="78"/>
        <v/>
      </c>
      <c r="BB523" s="29" t="str">
        <f t="shared" si="79"/>
        <v/>
      </c>
      <c r="BC523" s="29">
        <f t="shared" si="80"/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 t="shared" si="72"/>
        <v>0</v>
      </c>
      <c r="AT524" s="30" t="str">
        <f t="shared" si="73"/>
        <v/>
      </c>
      <c r="AU524" s="29" t="str">
        <f t="shared" si="74"/>
        <v/>
      </c>
      <c r="AV524" s="30" t="str">
        <f t="shared" si="75"/>
        <v/>
      </c>
      <c r="AW524" s="30" t="str">
        <f t="shared" si="76"/>
        <v/>
      </c>
      <c r="AX524" s="29" t="str">
        <f t="shared" si="77"/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 t="shared" si="78"/>
        <v/>
      </c>
      <c r="BB524" s="29" t="str">
        <f t="shared" si="79"/>
        <v/>
      </c>
      <c r="BC524" s="29">
        <f t="shared" si="80"/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 t="shared" si="72"/>
        <v>0</v>
      </c>
      <c r="AT525" s="30" t="str">
        <f t="shared" si="73"/>
        <v/>
      </c>
      <c r="AU525" s="29" t="str">
        <f t="shared" si="74"/>
        <v/>
      </c>
      <c r="AV525" s="30" t="str">
        <f t="shared" si="75"/>
        <v/>
      </c>
      <c r="AW525" s="30" t="str">
        <f t="shared" si="76"/>
        <v/>
      </c>
      <c r="AX525" s="29" t="str">
        <f t="shared" si="77"/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 t="shared" si="78"/>
        <v/>
      </c>
      <c r="BB525" s="29" t="str">
        <f t="shared" si="79"/>
        <v/>
      </c>
      <c r="BC525" s="29">
        <f t="shared" si="80"/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 t="shared" si="72"/>
        <v>0</v>
      </c>
      <c r="AT526" s="30" t="str">
        <f t="shared" si="73"/>
        <v/>
      </c>
      <c r="AU526" s="29" t="str">
        <f t="shared" si="74"/>
        <v/>
      </c>
      <c r="AV526" s="30" t="str">
        <f t="shared" si="75"/>
        <v/>
      </c>
      <c r="AW526" s="30" t="str">
        <f t="shared" si="76"/>
        <v/>
      </c>
      <c r="AX526" s="29" t="str">
        <f t="shared" si="77"/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 t="shared" si="78"/>
        <v/>
      </c>
      <c r="BB526" s="29" t="str">
        <f t="shared" si="79"/>
        <v/>
      </c>
      <c r="BC526" s="29">
        <f t="shared" si="80"/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 t="shared" si="72"/>
        <v>0</v>
      </c>
      <c r="AT527" s="30" t="str">
        <f t="shared" si="73"/>
        <v/>
      </c>
      <c r="AU527" s="29" t="str">
        <f t="shared" si="74"/>
        <v/>
      </c>
      <c r="AV527" s="30" t="str">
        <f t="shared" si="75"/>
        <v/>
      </c>
      <c r="AW527" s="30" t="str">
        <f t="shared" si="76"/>
        <v/>
      </c>
      <c r="AX527" s="29" t="str">
        <f t="shared" si="77"/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 t="shared" si="78"/>
        <v/>
      </c>
      <c r="BB527" s="29" t="str">
        <f t="shared" si="79"/>
        <v/>
      </c>
      <c r="BC527" s="29">
        <f t="shared" si="80"/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 t="shared" si="72"/>
        <v>0</v>
      </c>
      <c r="AT528" s="30" t="str">
        <f t="shared" si="73"/>
        <v/>
      </c>
      <c r="AU528" s="29" t="str">
        <f t="shared" si="74"/>
        <v/>
      </c>
      <c r="AV528" s="30" t="str">
        <f t="shared" si="75"/>
        <v/>
      </c>
      <c r="AW528" s="30" t="str">
        <f t="shared" si="76"/>
        <v/>
      </c>
      <c r="AX528" s="29" t="str">
        <f t="shared" si="77"/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 t="shared" si="78"/>
        <v/>
      </c>
      <c r="BB528" s="29" t="str">
        <f t="shared" si="79"/>
        <v/>
      </c>
      <c r="BC528" s="29">
        <f t="shared" si="80"/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 t="shared" si="72"/>
        <v>0</v>
      </c>
      <c r="AT529" s="30" t="str">
        <f t="shared" si="73"/>
        <v/>
      </c>
      <c r="AU529" s="29" t="str">
        <f t="shared" si="74"/>
        <v/>
      </c>
      <c r="AV529" s="30" t="str">
        <f t="shared" si="75"/>
        <v/>
      </c>
      <c r="AW529" s="30" t="str">
        <f t="shared" si="76"/>
        <v/>
      </c>
      <c r="AX529" s="29" t="str">
        <f t="shared" si="77"/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 t="shared" si="78"/>
        <v/>
      </c>
      <c r="BB529" s="29" t="str">
        <f t="shared" si="79"/>
        <v/>
      </c>
      <c r="BC529" s="29">
        <f t="shared" si="80"/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 t="shared" si="72"/>
        <v>0</v>
      </c>
      <c r="AT530" s="30" t="str">
        <f t="shared" si="73"/>
        <v/>
      </c>
      <c r="AU530" s="29" t="str">
        <f t="shared" si="74"/>
        <v/>
      </c>
      <c r="AV530" s="30" t="str">
        <f t="shared" si="75"/>
        <v/>
      </c>
      <c r="AW530" s="30" t="str">
        <f t="shared" si="76"/>
        <v/>
      </c>
      <c r="AX530" s="29" t="str">
        <f t="shared" si="77"/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 t="shared" si="78"/>
        <v/>
      </c>
      <c r="BB530" s="29" t="str">
        <f t="shared" si="79"/>
        <v/>
      </c>
      <c r="BC530" s="29">
        <f t="shared" si="80"/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 t="shared" si="72"/>
        <v>0</v>
      </c>
      <c r="AT531" s="30" t="str">
        <f t="shared" si="73"/>
        <v/>
      </c>
      <c r="AU531" s="29" t="str">
        <f t="shared" si="74"/>
        <v/>
      </c>
      <c r="AV531" s="30" t="str">
        <f t="shared" si="75"/>
        <v/>
      </c>
      <c r="AW531" s="30" t="str">
        <f t="shared" si="76"/>
        <v/>
      </c>
      <c r="AX531" s="29" t="str">
        <f t="shared" si="77"/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 t="shared" si="78"/>
        <v/>
      </c>
      <c r="BB531" s="29" t="str">
        <f t="shared" si="79"/>
        <v/>
      </c>
      <c r="BC531" s="29">
        <f t="shared" si="80"/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 t="shared" si="72"/>
        <v>0</v>
      </c>
      <c r="AT532" s="30" t="str">
        <f t="shared" si="73"/>
        <v/>
      </c>
      <c r="AU532" s="29" t="str">
        <f t="shared" si="74"/>
        <v/>
      </c>
      <c r="AV532" s="30" t="str">
        <f t="shared" si="75"/>
        <v/>
      </c>
      <c r="AW532" s="30" t="str">
        <f t="shared" si="76"/>
        <v/>
      </c>
      <c r="AX532" s="29" t="str">
        <f t="shared" si="77"/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 t="shared" si="78"/>
        <v/>
      </c>
      <c r="BB532" s="29" t="str">
        <f t="shared" si="79"/>
        <v/>
      </c>
      <c r="BC532" s="29">
        <f t="shared" si="80"/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 t="shared" si="72"/>
        <v>0</v>
      </c>
      <c r="AT533" s="30" t="str">
        <f t="shared" si="73"/>
        <v/>
      </c>
      <c r="AU533" s="29" t="str">
        <f t="shared" si="74"/>
        <v/>
      </c>
      <c r="AV533" s="30" t="str">
        <f t="shared" si="75"/>
        <v/>
      </c>
      <c r="AW533" s="30" t="str">
        <f t="shared" si="76"/>
        <v/>
      </c>
      <c r="AX533" s="29" t="str">
        <f t="shared" si="77"/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 t="shared" si="78"/>
        <v/>
      </c>
      <c r="BB533" s="29" t="str">
        <f t="shared" si="79"/>
        <v/>
      </c>
      <c r="BC533" s="29">
        <f t="shared" si="80"/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 t="shared" si="72"/>
        <v>0</v>
      </c>
      <c r="AT534" s="30" t="str">
        <f t="shared" si="73"/>
        <v/>
      </c>
      <c r="AU534" s="29" t="str">
        <f t="shared" si="74"/>
        <v/>
      </c>
      <c r="AV534" s="30" t="str">
        <f t="shared" si="75"/>
        <v/>
      </c>
      <c r="AW534" s="30" t="str">
        <f t="shared" si="76"/>
        <v/>
      </c>
      <c r="AX534" s="29" t="str">
        <f t="shared" si="77"/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 t="shared" si="78"/>
        <v/>
      </c>
      <c r="BB534" s="29" t="str">
        <f t="shared" si="79"/>
        <v/>
      </c>
      <c r="BC534" s="29">
        <f t="shared" si="80"/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 t="shared" si="72"/>
        <v>0</v>
      </c>
      <c r="AT535" s="30" t="str">
        <f t="shared" si="73"/>
        <v/>
      </c>
      <c r="AU535" s="29" t="str">
        <f t="shared" si="74"/>
        <v/>
      </c>
      <c r="AV535" s="30" t="str">
        <f t="shared" si="75"/>
        <v/>
      </c>
      <c r="AW535" s="30" t="str">
        <f t="shared" si="76"/>
        <v/>
      </c>
      <c r="AX535" s="29" t="str">
        <f t="shared" si="77"/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 t="shared" si="78"/>
        <v/>
      </c>
      <c r="BB535" s="29" t="str">
        <f t="shared" si="79"/>
        <v/>
      </c>
      <c r="BC535" s="29">
        <f t="shared" si="80"/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 t="shared" si="72"/>
        <v>0</v>
      </c>
      <c r="AT536" s="30" t="str">
        <f t="shared" si="73"/>
        <v/>
      </c>
      <c r="AU536" s="29" t="str">
        <f t="shared" si="74"/>
        <v/>
      </c>
      <c r="AV536" s="30" t="str">
        <f t="shared" si="75"/>
        <v/>
      </c>
      <c r="AW536" s="30" t="str">
        <f t="shared" si="76"/>
        <v/>
      </c>
      <c r="AX536" s="29" t="str">
        <f t="shared" si="77"/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 t="shared" si="78"/>
        <v/>
      </c>
      <c r="BB536" s="29" t="str">
        <f t="shared" si="79"/>
        <v/>
      </c>
      <c r="BC536" s="29">
        <f t="shared" si="80"/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 t="shared" si="72"/>
        <v>0</v>
      </c>
      <c r="AT537" s="30" t="str">
        <f t="shared" si="73"/>
        <v/>
      </c>
      <c r="AU537" s="29" t="str">
        <f t="shared" si="74"/>
        <v/>
      </c>
      <c r="AV537" s="30" t="str">
        <f t="shared" si="75"/>
        <v/>
      </c>
      <c r="AW537" s="30" t="str">
        <f t="shared" si="76"/>
        <v/>
      </c>
      <c r="AX537" s="29" t="str">
        <f t="shared" si="77"/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 t="shared" si="78"/>
        <v/>
      </c>
      <c r="BB537" s="29" t="str">
        <f t="shared" si="79"/>
        <v/>
      </c>
      <c r="BC537" s="29">
        <f t="shared" si="80"/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 t="shared" si="72"/>
        <v>0</v>
      </c>
      <c r="AT538" s="30" t="str">
        <f t="shared" si="73"/>
        <v/>
      </c>
      <c r="AU538" s="29" t="str">
        <f t="shared" si="74"/>
        <v/>
      </c>
      <c r="AV538" s="30" t="str">
        <f t="shared" si="75"/>
        <v/>
      </c>
      <c r="AW538" s="30" t="str">
        <f t="shared" si="76"/>
        <v/>
      </c>
      <c r="AX538" s="29" t="str">
        <f t="shared" si="77"/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 t="shared" si="78"/>
        <v/>
      </c>
      <c r="BB538" s="29" t="str">
        <f t="shared" si="79"/>
        <v/>
      </c>
      <c r="BC538" s="29">
        <f t="shared" si="80"/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 t="shared" si="72"/>
        <v>0</v>
      </c>
      <c r="AT539" s="30" t="str">
        <f t="shared" si="73"/>
        <v/>
      </c>
      <c r="AU539" s="29" t="str">
        <f t="shared" si="74"/>
        <v/>
      </c>
      <c r="AV539" s="30" t="str">
        <f t="shared" si="75"/>
        <v/>
      </c>
      <c r="AW539" s="30" t="str">
        <f t="shared" si="76"/>
        <v/>
      </c>
      <c r="AX539" s="29" t="str">
        <f t="shared" si="77"/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 t="shared" si="78"/>
        <v/>
      </c>
      <c r="BB539" s="29" t="str">
        <f t="shared" si="79"/>
        <v/>
      </c>
      <c r="BC539" s="29">
        <f t="shared" si="80"/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 t="shared" si="72"/>
        <v>0</v>
      </c>
      <c r="AT540" s="30" t="str">
        <f t="shared" si="73"/>
        <v/>
      </c>
      <c r="AU540" s="29" t="str">
        <f t="shared" si="74"/>
        <v/>
      </c>
      <c r="AV540" s="30" t="str">
        <f t="shared" si="75"/>
        <v/>
      </c>
      <c r="AW540" s="30" t="str">
        <f t="shared" si="76"/>
        <v/>
      </c>
      <c r="AX540" s="29" t="str">
        <f t="shared" si="77"/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 t="shared" si="78"/>
        <v/>
      </c>
      <c r="BB540" s="29" t="str">
        <f t="shared" si="79"/>
        <v/>
      </c>
      <c r="BC540" s="29">
        <f t="shared" si="80"/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 t="shared" si="72"/>
        <v>0</v>
      </c>
      <c r="AT541" s="30" t="str">
        <f t="shared" si="73"/>
        <v/>
      </c>
      <c r="AU541" s="29" t="str">
        <f t="shared" si="74"/>
        <v/>
      </c>
      <c r="AV541" s="30" t="str">
        <f t="shared" si="75"/>
        <v/>
      </c>
      <c r="AW541" s="30" t="str">
        <f t="shared" si="76"/>
        <v/>
      </c>
      <c r="AX541" s="29" t="str">
        <f t="shared" si="77"/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 t="shared" si="78"/>
        <v/>
      </c>
      <c r="BB541" s="29" t="str">
        <f t="shared" si="79"/>
        <v/>
      </c>
      <c r="BC541" s="29">
        <f t="shared" si="80"/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 t="shared" si="72"/>
        <v>0</v>
      </c>
      <c r="AT542" s="30" t="str">
        <f t="shared" si="73"/>
        <v/>
      </c>
      <c r="AU542" s="29" t="str">
        <f t="shared" si="74"/>
        <v/>
      </c>
      <c r="AV542" s="30" t="str">
        <f t="shared" si="75"/>
        <v/>
      </c>
      <c r="AW542" s="30" t="str">
        <f t="shared" si="76"/>
        <v/>
      </c>
      <c r="AX542" s="29" t="str">
        <f t="shared" si="77"/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 t="shared" si="78"/>
        <v/>
      </c>
      <c r="BB542" s="29" t="str">
        <f t="shared" si="79"/>
        <v/>
      </c>
      <c r="BC542" s="29">
        <f t="shared" si="80"/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 t="shared" si="72"/>
        <v>0</v>
      </c>
      <c r="AT543" s="30" t="str">
        <f t="shared" si="73"/>
        <v/>
      </c>
      <c r="AU543" s="29" t="str">
        <f t="shared" si="74"/>
        <v/>
      </c>
      <c r="AV543" s="30" t="str">
        <f t="shared" si="75"/>
        <v/>
      </c>
      <c r="AW543" s="30" t="str">
        <f t="shared" si="76"/>
        <v/>
      </c>
      <c r="AX543" s="29" t="str">
        <f t="shared" si="77"/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 t="shared" si="78"/>
        <v/>
      </c>
      <c r="BB543" s="29" t="str">
        <f t="shared" si="79"/>
        <v/>
      </c>
      <c r="BC543" s="29">
        <f t="shared" si="80"/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 t="shared" si="72"/>
        <v>0</v>
      </c>
      <c r="AT544" s="30" t="str">
        <f t="shared" si="73"/>
        <v/>
      </c>
      <c r="AU544" s="29" t="str">
        <f t="shared" si="74"/>
        <v/>
      </c>
      <c r="AV544" s="30" t="str">
        <f t="shared" si="75"/>
        <v/>
      </c>
      <c r="AW544" s="30" t="str">
        <f t="shared" si="76"/>
        <v/>
      </c>
      <c r="AX544" s="29" t="str">
        <f t="shared" si="77"/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 t="shared" si="78"/>
        <v/>
      </c>
      <c r="BB544" s="29" t="str">
        <f t="shared" si="79"/>
        <v/>
      </c>
      <c r="BC544" s="29">
        <f t="shared" si="80"/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 t="shared" si="72"/>
        <v>0</v>
      </c>
      <c r="AT545" s="30" t="str">
        <f t="shared" si="73"/>
        <v/>
      </c>
      <c r="AU545" s="29" t="str">
        <f t="shared" si="74"/>
        <v/>
      </c>
      <c r="AV545" s="30" t="str">
        <f t="shared" si="75"/>
        <v/>
      </c>
      <c r="AW545" s="30" t="str">
        <f t="shared" si="76"/>
        <v/>
      </c>
      <c r="AX545" s="29" t="str">
        <f t="shared" si="77"/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 t="shared" si="78"/>
        <v/>
      </c>
      <c r="BB545" s="29" t="str">
        <f t="shared" si="79"/>
        <v/>
      </c>
      <c r="BC545" s="29">
        <f t="shared" si="80"/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 t="shared" si="72"/>
        <v>0</v>
      </c>
      <c r="AT546" s="30" t="str">
        <f t="shared" si="73"/>
        <v/>
      </c>
      <c r="AU546" s="29" t="str">
        <f t="shared" si="74"/>
        <v/>
      </c>
      <c r="AV546" s="30" t="str">
        <f t="shared" si="75"/>
        <v/>
      </c>
      <c r="AW546" s="30" t="str">
        <f t="shared" si="76"/>
        <v/>
      </c>
      <c r="AX546" s="29" t="str">
        <f t="shared" si="77"/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 t="shared" si="78"/>
        <v/>
      </c>
      <c r="BB546" s="29" t="str">
        <f t="shared" si="79"/>
        <v/>
      </c>
      <c r="BC546" s="29">
        <f t="shared" si="80"/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 t="shared" si="72"/>
        <v>0</v>
      </c>
      <c r="AT547" s="30" t="str">
        <f t="shared" si="73"/>
        <v/>
      </c>
      <c r="AU547" s="29" t="str">
        <f t="shared" si="74"/>
        <v/>
      </c>
      <c r="AV547" s="30" t="str">
        <f t="shared" si="75"/>
        <v/>
      </c>
      <c r="AW547" s="30" t="str">
        <f t="shared" si="76"/>
        <v/>
      </c>
      <c r="AX547" s="29" t="str">
        <f t="shared" si="77"/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 t="shared" si="78"/>
        <v/>
      </c>
      <c r="BB547" s="29" t="str">
        <f t="shared" si="79"/>
        <v/>
      </c>
      <c r="BC547" s="29">
        <f t="shared" si="80"/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 t="shared" si="72"/>
        <v>0</v>
      </c>
      <c r="AT548" s="30" t="str">
        <f t="shared" si="73"/>
        <v/>
      </c>
      <c r="AU548" s="29" t="str">
        <f t="shared" si="74"/>
        <v/>
      </c>
      <c r="AV548" s="30" t="str">
        <f t="shared" si="75"/>
        <v/>
      </c>
      <c r="AW548" s="30" t="str">
        <f t="shared" si="76"/>
        <v/>
      </c>
      <c r="AX548" s="29" t="str">
        <f t="shared" si="77"/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 t="shared" si="78"/>
        <v/>
      </c>
      <c r="BB548" s="29" t="str">
        <f t="shared" si="79"/>
        <v/>
      </c>
      <c r="BC548" s="29">
        <f t="shared" si="80"/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 t="shared" si="72"/>
        <v>0</v>
      </c>
      <c r="AT549" s="30" t="str">
        <f t="shared" si="73"/>
        <v/>
      </c>
      <c r="AU549" s="29" t="str">
        <f t="shared" si="74"/>
        <v/>
      </c>
      <c r="AV549" s="30" t="str">
        <f t="shared" si="75"/>
        <v/>
      </c>
      <c r="AW549" s="30" t="str">
        <f t="shared" si="76"/>
        <v/>
      </c>
      <c r="AX549" s="29" t="str">
        <f t="shared" si="77"/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 t="shared" si="78"/>
        <v/>
      </c>
      <c r="BB549" s="29" t="str">
        <f t="shared" si="79"/>
        <v/>
      </c>
      <c r="BC549" s="29">
        <f t="shared" si="80"/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 t="shared" si="72"/>
        <v>0</v>
      </c>
      <c r="AT550" s="30" t="str">
        <f t="shared" si="73"/>
        <v/>
      </c>
      <c r="AU550" s="29" t="str">
        <f t="shared" si="74"/>
        <v/>
      </c>
      <c r="AV550" s="30" t="str">
        <f t="shared" si="75"/>
        <v/>
      </c>
      <c r="AW550" s="30" t="str">
        <f t="shared" si="76"/>
        <v/>
      </c>
      <c r="AX550" s="29" t="str">
        <f t="shared" si="77"/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 t="shared" si="78"/>
        <v/>
      </c>
      <c r="BB550" s="29" t="str">
        <f t="shared" si="79"/>
        <v/>
      </c>
      <c r="BC550" s="29">
        <f t="shared" si="80"/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 t="shared" si="72"/>
        <v>0</v>
      </c>
      <c r="AT551" s="30" t="str">
        <f t="shared" si="73"/>
        <v/>
      </c>
      <c r="AU551" s="29" t="str">
        <f t="shared" si="74"/>
        <v/>
      </c>
      <c r="AV551" s="30" t="str">
        <f t="shared" si="75"/>
        <v/>
      </c>
      <c r="AW551" s="30" t="str">
        <f t="shared" si="76"/>
        <v/>
      </c>
      <c r="AX551" s="29" t="str">
        <f t="shared" si="77"/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 t="shared" si="78"/>
        <v/>
      </c>
      <c r="BB551" s="29" t="str">
        <f t="shared" si="79"/>
        <v/>
      </c>
      <c r="BC551" s="29">
        <f t="shared" si="80"/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 t="shared" si="72"/>
        <v>0</v>
      </c>
      <c r="AT552" s="30" t="str">
        <f t="shared" si="73"/>
        <v/>
      </c>
      <c r="AU552" s="29" t="str">
        <f t="shared" si="74"/>
        <v/>
      </c>
      <c r="AV552" s="30" t="str">
        <f t="shared" si="75"/>
        <v/>
      </c>
      <c r="AW552" s="30" t="str">
        <f t="shared" si="76"/>
        <v/>
      </c>
      <c r="AX552" s="29" t="str">
        <f t="shared" si="77"/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 t="shared" si="78"/>
        <v/>
      </c>
      <c r="BB552" s="29" t="str">
        <f t="shared" si="79"/>
        <v/>
      </c>
      <c r="BC552" s="29">
        <f t="shared" si="80"/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 t="shared" si="72"/>
        <v>0</v>
      </c>
      <c r="AT553" s="30" t="str">
        <f t="shared" si="73"/>
        <v/>
      </c>
      <c r="AU553" s="29" t="str">
        <f t="shared" si="74"/>
        <v/>
      </c>
      <c r="AV553" s="30" t="str">
        <f t="shared" si="75"/>
        <v/>
      </c>
      <c r="AW553" s="30" t="str">
        <f t="shared" si="76"/>
        <v/>
      </c>
      <c r="AX553" s="29" t="str">
        <f t="shared" si="77"/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 t="shared" si="78"/>
        <v/>
      </c>
      <c r="BB553" s="29" t="str">
        <f t="shared" si="79"/>
        <v/>
      </c>
      <c r="BC553" s="29">
        <f t="shared" si="80"/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 t="shared" si="72"/>
        <v>0</v>
      </c>
      <c r="AT554" s="30" t="str">
        <f t="shared" si="73"/>
        <v/>
      </c>
      <c r="AU554" s="29" t="str">
        <f t="shared" si="74"/>
        <v/>
      </c>
      <c r="AV554" s="30" t="str">
        <f t="shared" si="75"/>
        <v/>
      </c>
      <c r="AW554" s="30" t="str">
        <f t="shared" si="76"/>
        <v/>
      </c>
      <c r="AX554" s="29" t="str">
        <f t="shared" si="77"/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 t="shared" si="78"/>
        <v/>
      </c>
      <c r="BB554" s="29" t="str">
        <f t="shared" si="79"/>
        <v/>
      </c>
      <c r="BC554" s="29">
        <f t="shared" si="80"/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 t="shared" si="72"/>
        <v>0</v>
      </c>
      <c r="AT555" s="30" t="str">
        <f t="shared" si="73"/>
        <v/>
      </c>
      <c r="AU555" s="29" t="str">
        <f t="shared" si="74"/>
        <v/>
      </c>
      <c r="AV555" s="30" t="str">
        <f t="shared" si="75"/>
        <v/>
      </c>
      <c r="AW555" s="30" t="str">
        <f t="shared" si="76"/>
        <v/>
      </c>
      <c r="AX555" s="29" t="str">
        <f t="shared" si="77"/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 t="shared" si="78"/>
        <v/>
      </c>
      <c r="BB555" s="29" t="str">
        <f t="shared" si="79"/>
        <v/>
      </c>
      <c r="BC555" s="29">
        <f t="shared" si="80"/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 t="shared" si="72"/>
        <v>0</v>
      </c>
      <c r="AT556" s="30" t="str">
        <f t="shared" si="73"/>
        <v/>
      </c>
      <c r="AU556" s="29" t="str">
        <f t="shared" si="74"/>
        <v/>
      </c>
      <c r="AV556" s="30" t="str">
        <f t="shared" si="75"/>
        <v/>
      </c>
      <c r="AW556" s="30" t="str">
        <f t="shared" si="76"/>
        <v/>
      </c>
      <c r="AX556" s="29" t="str">
        <f t="shared" si="77"/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 t="shared" si="78"/>
        <v/>
      </c>
      <c r="BB556" s="29" t="str">
        <f t="shared" si="79"/>
        <v/>
      </c>
      <c r="BC556" s="29">
        <f t="shared" si="80"/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 t="shared" si="72"/>
        <v>0</v>
      </c>
      <c r="AT557" s="30" t="str">
        <f t="shared" si="73"/>
        <v/>
      </c>
      <c r="AU557" s="29" t="str">
        <f t="shared" si="74"/>
        <v/>
      </c>
      <c r="AV557" s="30" t="str">
        <f t="shared" si="75"/>
        <v/>
      </c>
      <c r="AW557" s="30" t="str">
        <f t="shared" si="76"/>
        <v/>
      </c>
      <c r="AX557" s="29" t="str">
        <f t="shared" si="77"/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 t="shared" si="78"/>
        <v/>
      </c>
      <c r="BB557" s="29" t="str">
        <f t="shared" si="79"/>
        <v/>
      </c>
      <c r="BC557" s="29">
        <f t="shared" si="80"/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 t="shared" si="72"/>
        <v>0</v>
      </c>
      <c r="AT558" s="30" t="str">
        <f t="shared" si="73"/>
        <v/>
      </c>
      <c r="AU558" s="29" t="str">
        <f t="shared" si="74"/>
        <v/>
      </c>
      <c r="AV558" s="30" t="str">
        <f t="shared" si="75"/>
        <v/>
      </c>
      <c r="AW558" s="30" t="str">
        <f t="shared" si="76"/>
        <v/>
      </c>
      <c r="AX558" s="29" t="str">
        <f t="shared" si="77"/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 t="shared" si="78"/>
        <v/>
      </c>
      <c r="BB558" s="29" t="str">
        <f t="shared" si="79"/>
        <v/>
      </c>
      <c r="BC558" s="29">
        <f t="shared" si="80"/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 t="shared" si="72"/>
        <v>0</v>
      </c>
      <c r="AT559" s="30" t="str">
        <f t="shared" si="73"/>
        <v/>
      </c>
      <c r="AU559" s="29" t="str">
        <f t="shared" si="74"/>
        <v/>
      </c>
      <c r="AV559" s="30" t="str">
        <f t="shared" si="75"/>
        <v/>
      </c>
      <c r="AW559" s="30" t="str">
        <f t="shared" si="76"/>
        <v/>
      </c>
      <c r="AX559" s="29" t="str">
        <f t="shared" si="77"/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 t="shared" si="78"/>
        <v/>
      </c>
      <c r="BB559" s="29" t="str">
        <f t="shared" si="79"/>
        <v/>
      </c>
      <c r="BC559" s="29">
        <f t="shared" si="80"/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 t="shared" si="72"/>
        <v>0</v>
      </c>
      <c r="AT560" s="30" t="str">
        <f t="shared" si="73"/>
        <v/>
      </c>
      <c r="AU560" s="29" t="str">
        <f t="shared" si="74"/>
        <v/>
      </c>
      <c r="AV560" s="30" t="str">
        <f t="shared" si="75"/>
        <v/>
      </c>
      <c r="AW560" s="30" t="str">
        <f t="shared" si="76"/>
        <v/>
      </c>
      <c r="AX560" s="29" t="str">
        <f t="shared" si="77"/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 t="shared" si="78"/>
        <v/>
      </c>
      <c r="BB560" s="29" t="str">
        <f t="shared" si="79"/>
        <v/>
      </c>
      <c r="BC560" s="29">
        <f t="shared" si="80"/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 t="shared" si="72"/>
        <v>0</v>
      </c>
      <c r="AT561" s="30" t="str">
        <f t="shared" si="73"/>
        <v/>
      </c>
      <c r="AU561" s="29" t="str">
        <f t="shared" si="74"/>
        <v/>
      </c>
      <c r="AV561" s="30" t="str">
        <f t="shared" si="75"/>
        <v/>
      </c>
      <c r="AW561" s="30" t="str">
        <f t="shared" si="76"/>
        <v/>
      </c>
      <c r="AX561" s="29" t="str">
        <f t="shared" si="77"/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 t="shared" si="78"/>
        <v/>
      </c>
      <c r="BB561" s="29" t="str">
        <f t="shared" si="79"/>
        <v/>
      </c>
      <c r="BC561" s="29">
        <f t="shared" si="80"/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 t="shared" si="72"/>
        <v>0</v>
      </c>
      <c r="AT562" s="30" t="str">
        <f t="shared" si="73"/>
        <v/>
      </c>
      <c r="AU562" s="29" t="str">
        <f t="shared" si="74"/>
        <v/>
      </c>
      <c r="AV562" s="30" t="str">
        <f t="shared" si="75"/>
        <v/>
      </c>
      <c r="AW562" s="30" t="str">
        <f t="shared" si="76"/>
        <v/>
      </c>
      <c r="AX562" s="29" t="str">
        <f t="shared" si="77"/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 t="shared" si="78"/>
        <v/>
      </c>
      <c r="BB562" s="29" t="str">
        <f t="shared" si="79"/>
        <v/>
      </c>
      <c r="BC562" s="29">
        <f t="shared" si="80"/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 t="shared" si="72"/>
        <v>0</v>
      </c>
      <c r="AT563" s="30" t="str">
        <f t="shared" si="73"/>
        <v/>
      </c>
      <c r="AU563" s="29" t="str">
        <f t="shared" si="74"/>
        <v/>
      </c>
      <c r="AV563" s="30" t="str">
        <f t="shared" si="75"/>
        <v/>
      </c>
      <c r="AW563" s="30" t="str">
        <f t="shared" si="76"/>
        <v/>
      </c>
      <c r="AX563" s="29" t="str">
        <f t="shared" si="77"/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 t="shared" si="78"/>
        <v/>
      </c>
      <c r="BB563" s="29" t="str">
        <f t="shared" si="79"/>
        <v/>
      </c>
      <c r="BC563" s="29">
        <f t="shared" si="80"/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 t="shared" si="72"/>
        <v>0</v>
      </c>
      <c r="AT564" s="30" t="str">
        <f t="shared" si="73"/>
        <v/>
      </c>
      <c r="AU564" s="29" t="str">
        <f t="shared" si="74"/>
        <v/>
      </c>
      <c r="AV564" s="30" t="str">
        <f t="shared" si="75"/>
        <v/>
      </c>
      <c r="AW564" s="30" t="str">
        <f t="shared" si="76"/>
        <v/>
      </c>
      <c r="AX564" s="29" t="str">
        <f t="shared" si="77"/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 t="shared" si="78"/>
        <v/>
      </c>
      <c r="BB564" s="29" t="str">
        <f t="shared" si="79"/>
        <v/>
      </c>
      <c r="BC564" s="29">
        <f t="shared" si="80"/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 t="shared" si="72"/>
        <v>0</v>
      </c>
      <c r="AT565" s="30" t="str">
        <f t="shared" si="73"/>
        <v/>
      </c>
      <c r="AU565" s="29" t="str">
        <f t="shared" si="74"/>
        <v/>
      </c>
      <c r="AV565" s="30" t="str">
        <f t="shared" si="75"/>
        <v/>
      </c>
      <c r="AW565" s="30" t="str">
        <f t="shared" si="76"/>
        <v/>
      </c>
      <c r="AX565" s="29" t="str">
        <f t="shared" si="77"/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 t="shared" si="78"/>
        <v/>
      </c>
      <c r="BB565" s="29" t="str">
        <f t="shared" si="79"/>
        <v/>
      </c>
      <c r="BC565" s="29">
        <f t="shared" si="80"/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 t="shared" si="72"/>
        <v>0</v>
      </c>
      <c r="AT566" s="30" t="str">
        <f t="shared" si="73"/>
        <v/>
      </c>
      <c r="AU566" s="29" t="str">
        <f t="shared" si="74"/>
        <v/>
      </c>
      <c r="AV566" s="30" t="str">
        <f t="shared" si="75"/>
        <v/>
      </c>
      <c r="AW566" s="30" t="str">
        <f t="shared" si="76"/>
        <v/>
      </c>
      <c r="AX566" s="29" t="str">
        <f t="shared" si="77"/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 t="shared" si="78"/>
        <v/>
      </c>
      <c r="BB566" s="29" t="str">
        <f t="shared" si="79"/>
        <v/>
      </c>
      <c r="BC566" s="29">
        <f t="shared" si="80"/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 t="shared" si="72"/>
        <v>0</v>
      </c>
      <c r="AT567" s="30" t="str">
        <f t="shared" si="73"/>
        <v/>
      </c>
      <c r="AU567" s="29" t="str">
        <f t="shared" si="74"/>
        <v/>
      </c>
      <c r="AV567" s="30" t="str">
        <f t="shared" si="75"/>
        <v/>
      </c>
      <c r="AW567" s="30" t="str">
        <f t="shared" si="76"/>
        <v/>
      </c>
      <c r="AX567" s="29" t="str">
        <f t="shared" si="77"/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 t="shared" si="78"/>
        <v/>
      </c>
      <c r="BB567" s="29" t="str">
        <f t="shared" si="79"/>
        <v/>
      </c>
      <c r="BC567" s="29">
        <f t="shared" si="80"/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 t="shared" si="72"/>
        <v>0</v>
      </c>
      <c r="AT568" s="30" t="str">
        <f t="shared" si="73"/>
        <v/>
      </c>
      <c r="AU568" s="29" t="str">
        <f t="shared" si="74"/>
        <v/>
      </c>
      <c r="AV568" s="30" t="str">
        <f t="shared" si="75"/>
        <v/>
      </c>
      <c r="AW568" s="30" t="str">
        <f t="shared" si="76"/>
        <v/>
      </c>
      <c r="AX568" s="29" t="str">
        <f t="shared" si="77"/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 t="shared" si="78"/>
        <v/>
      </c>
      <c r="BB568" s="29" t="str">
        <f t="shared" si="79"/>
        <v/>
      </c>
      <c r="BC568" s="29">
        <f t="shared" si="80"/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 t="shared" si="72"/>
        <v>0</v>
      </c>
      <c r="AT569" s="30" t="str">
        <f t="shared" si="73"/>
        <v/>
      </c>
      <c r="AU569" s="29" t="str">
        <f t="shared" si="74"/>
        <v/>
      </c>
      <c r="AV569" s="30" t="str">
        <f t="shared" si="75"/>
        <v/>
      </c>
      <c r="AW569" s="30" t="str">
        <f t="shared" si="76"/>
        <v/>
      </c>
      <c r="AX569" s="29" t="str">
        <f t="shared" si="77"/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 t="shared" si="78"/>
        <v/>
      </c>
      <c r="BB569" s="29" t="str">
        <f t="shared" si="79"/>
        <v/>
      </c>
      <c r="BC569" s="29">
        <f t="shared" si="80"/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 t="shared" si="72"/>
        <v>0</v>
      </c>
      <c r="AT570" s="30" t="str">
        <f t="shared" si="73"/>
        <v/>
      </c>
      <c r="AU570" s="29" t="str">
        <f t="shared" si="74"/>
        <v/>
      </c>
      <c r="AV570" s="30" t="str">
        <f t="shared" si="75"/>
        <v/>
      </c>
      <c r="AW570" s="30" t="str">
        <f t="shared" si="76"/>
        <v/>
      </c>
      <c r="AX570" s="29" t="str">
        <f t="shared" si="77"/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 t="shared" si="78"/>
        <v/>
      </c>
      <c r="BB570" s="29" t="str">
        <f t="shared" si="79"/>
        <v/>
      </c>
      <c r="BC570" s="29">
        <f t="shared" si="80"/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 t="shared" si="72"/>
        <v>0</v>
      </c>
      <c r="AT571" s="30" t="str">
        <f t="shared" si="73"/>
        <v/>
      </c>
      <c r="AU571" s="29" t="str">
        <f t="shared" si="74"/>
        <v/>
      </c>
      <c r="AV571" s="30" t="str">
        <f t="shared" si="75"/>
        <v/>
      </c>
      <c r="AW571" s="30" t="str">
        <f t="shared" si="76"/>
        <v/>
      </c>
      <c r="AX571" s="29" t="str">
        <f t="shared" si="77"/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 t="shared" si="78"/>
        <v/>
      </c>
      <c r="BB571" s="29" t="str">
        <f t="shared" si="79"/>
        <v/>
      </c>
      <c r="BC571" s="29">
        <f t="shared" si="80"/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 t="shared" si="72"/>
        <v>0</v>
      </c>
      <c r="AT572" s="30" t="str">
        <f t="shared" si="73"/>
        <v/>
      </c>
      <c r="AU572" s="29" t="str">
        <f t="shared" si="74"/>
        <v/>
      </c>
      <c r="AV572" s="30" t="str">
        <f t="shared" si="75"/>
        <v/>
      </c>
      <c r="AW572" s="30" t="str">
        <f t="shared" si="76"/>
        <v/>
      </c>
      <c r="AX572" s="29" t="str">
        <f t="shared" si="77"/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 t="shared" si="78"/>
        <v/>
      </c>
      <c r="BB572" s="29" t="str">
        <f t="shared" si="79"/>
        <v/>
      </c>
      <c r="BC572" s="29">
        <f t="shared" si="80"/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 t="shared" si="72"/>
        <v>0</v>
      </c>
      <c r="AT573" s="30" t="str">
        <f t="shared" si="73"/>
        <v/>
      </c>
      <c r="AU573" s="29" t="str">
        <f t="shared" si="74"/>
        <v/>
      </c>
      <c r="AV573" s="30" t="str">
        <f t="shared" si="75"/>
        <v/>
      </c>
      <c r="AW573" s="30" t="str">
        <f t="shared" si="76"/>
        <v/>
      </c>
      <c r="AX573" s="29" t="str">
        <f t="shared" si="77"/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 t="shared" si="78"/>
        <v/>
      </c>
      <c r="BB573" s="29" t="str">
        <f t="shared" si="79"/>
        <v/>
      </c>
      <c r="BC573" s="29">
        <f t="shared" si="80"/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 t="shared" si="72"/>
        <v>0</v>
      </c>
      <c r="AT574" s="30" t="str">
        <f t="shared" si="73"/>
        <v/>
      </c>
      <c r="AU574" s="29" t="str">
        <f t="shared" si="74"/>
        <v/>
      </c>
      <c r="AV574" s="30" t="str">
        <f t="shared" si="75"/>
        <v/>
      </c>
      <c r="AW574" s="30" t="str">
        <f t="shared" si="76"/>
        <v/>
      </c>
      <c r="AX574" s="29" t="str">
        <f t="shared" si="77"/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 t="shared" si="78"/>
        <v/>
      </c>
      <c r="BB574" s="29" t="str">
        <f t="shared" si="79"/>
        <v/>
      </c>
      <c r="BC574" s="29">
        <f t="shared" si="80"/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 t="shared" si="72"/>
        <v>0</v>
      </c>
      <c r="AT575" s="30" t="str">
        <f t="shared" si="73"/>
        <v/>
      </c>
      <c r="AU575" s="29" t="str">
        <f t="shared" si="74"/>
        <v/>
      </c>
      <c r="AV575" s="30" t="str">
        <f t="shared" si="75"/>
        <v/>
      </c>
      <c r="AW575" s="30" t="str">
        <f t="shared" si="76"/>
        <v/>
      </c>
      <c r="AX575" s="29" t="str">
        <f t="shared" si="77"/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 t="shared" si="78"/>
        <v/>
      </c>
      <c r="BB575" s="29" t="str">
        <f t="shared" si="79"/>
        <v/>
      </c>
      <c r="BC575" s="29">
        <f t="shared" si="80"/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 t="shared" si="72"/>
        <v>0</v>
      </c>
      <c r="AT576" s="30" t="str">
        <f t="shared" si="73"/>
        <v/>
      </c>
      <c r="AU576" s="29" t="str">
        <f t="shared" si="74"/>
        <v/>
      </c>
      <c r="AV576" s="30" t="str">
        <f t="shared" si="75"/>
        <v/>
      </c>
      <c r="AW576" s="30" t="str">
        <f t="shared" si="76"/>
        <v/>
      </c>
      <c r="AX576" s="29" t="str">
        <f t="shared" si="77"/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 t="shared" si="78"/>
        <v/>
      </c>
      <c r="BB576" s="29" t="str">
        <f t="shared" si="79"/>
        <v/>
      </c>
      <c r="BC576" s="29">
        <f t="shared" si="80"/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 t="shared" si="72"/>
        <v>0</v>
      </c>
      <c r="AT577" s="30" t="str">
        <f t="shared" si="73"/>
        <v/>
      </c>
      <c r="AU577" s="29" t="str">
        <f t="shared" si="74"/>
        <v/>
      </c>
      <c r="AV577" s="30" t="str">
        <f t="shared" si="75"/>
        <v/>
      </c>
      <c r="AW577" s="30" t="str">
        <f t="shared" si="76"/>
        <v/>
      </c>
      <c r="AX577" s="29" t="str">
        <f t="shared" si="77"/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 t="shared" si="78"/>
        <v/>
      </c>
      <c r="BB577" s="29" t="str">
        <f t="shared" si="79"/>
        <v/>
      </c>
      <c r="BC577" s="29">
        <f t="shared" si="80"/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 t="shared" si="72"/>
        <v>0</v>
      </c>
      <c r="AT578" s="30" t="str">
        <f t="shared" si="73"/>
        <v/>
      </c>
      <c r="AU578" s="29" t="str">
        <f t="shared" si="74"/>
        <v/>
      </c>
      <c r="AV578" s="30" t="str">
        <f t="shared" si="75"/>
        <v/>
      </c>
      <c r="AW578" s="30" t="str">
        <f t="shared" si="76"/>
        <v/>
      </c>
      <c r="AX578" s="29" t="str">
        <f t="shared" si="77"/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 t="shared" si="78"/>
        <v/>
      </c>
      <c r="BB578" s="29" t="str">
        <f t="shared" si="79"/>
        <v/>
      </c>
      <c r="BC578" s="29">
        <f t="shared" si="80"/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 t="shared" si="72"/>
        <v>0</v>
      </c>
      <c r="AT579" s="30" t="str">
        <f t="shared" si="73"/>
        <v/>
      </c>
      <c r="AU579" s="29" t="str">
        <f t="shared" si="74"/>
        <v/>
      </c>
      <c r="AV579" s="30" t="str">
        <f t="shared" si="75"/>
        <v/>
      </c>
      <c r="AW579" s="30" t="str">
        <f t="shared" si="76"/>
        <v/>
      </c>
      <c r="AX579" s="29" t="str">
        <f t="shared" si="77"/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 t="shared" si="78"/>
        <v/>
      </c>
      <c r="BB579" s="29" t="str">
        <f t="shared" si="79"/>
        <v/>
      </c>
      <c r="BC579" s="29">
        <f t="shared" si="80"/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 t="shared" si="72"/>
        <v>0</v>
      </c>
      <c r="AT580" s="30" t="str">
        <f t="shared" si="73"/>
        <v/>
      </c>
      <c r="AU580" s="29" t="str">
        <f t="shared" si="74"/>
        <v/>
      </c>
      <c r="AV580" s="30" t="str">
        <f t="shared" si="75"/>
        <v/>
      </c>
      <c r="AW580" s="30" t="str">
        <f t="shared" si="76"/>
        <v/>
      </c>
      <c r="AX580" s="29" t="str">
        <f t="shared" si="77"/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 t="shared" si="78"/>
        <v/>
      </c>
      <c r="BB580" s="29" t="str">
        <f t="shared" si="79"/>
        <v/>
      </c>
      <c r="BC580" s="29">
        <f t="shared" si="80"/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 t="shared" ref="AS581:AS644" si="81">SUM(H581,J581,L581,N581,P581,R581,T581,V581,X581,Z581,AB581,AD581,AF581,AH581,AJ581,AL581,AN581)</f>
        <v>0</v>
      </c>
      <c r="AT581" s="30" t="str">
        <f t="shared" ref="AT581:AT644" si="82">IF(C581="","",DATE(YEAR(C581),MONTH(C581),1))</f>
        <v/>
      </c>
      <c r="AU581" s="29" t="str">
        <f t="shared" ref="AU581:AU644" si="83">IF(AT581="","",TEXT(AT581,"mmmm yyyy"))</f>
        <v/>
      </c>
      <c r="AV581" s="30" t="str">
        <f t="shared" ref="AV581:AV644" si="84">IF(C581="","",C581-WEEKDAY(C581,2)+1)</f>
        <v/>
      </c>
      <c r="AW581" s="30" t="str">
        <f t="shared" ref="AW581:AW644" si="85">IF(AV581="","",AV581+6)</f>
        <v/>
      </c>
      <c r="AX581" s="29" t="str">
        <f t="shared" ref="AX581:AX644" si="86"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 t="shared" ref="BA581:BA644" si="87">IF(B581="","",TEXT(AY581,"00")&amp;"|"&amp;B581&amp;"|"&amp;TEXT(AT581,"yyyymmdd"))</f>
        <v/>
      </c>
      <c r="BB581" s="29" t="str">
        <f t="shared" ref="BB581:BB644" si="88">IF(B581="","",TEXT(AZ581,"00")&amp;"|"&amp;B581&amp;"|"&amp;TEXT(AV581,"yyyymmdd"))</f>
        <v/>
      </c>
      <c r="BC581" s="29">
        <f t="shared" ref="BC581:BC644" si="89"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 t="shared" si="81"/>
        <v>0</v>
      </c>
      <c r="AT582" s="30" t="str">
        <f t="shared" si="82"/>
        <v/>
      </c>
      <c r="AU582" s="29" t="str">
        <f t="shared" si="83"/>
        <v/>
      </c>
      <c r="AV582" s="30" t="str">
        <f t="shared" si="84"/>
        <v/>
      </c>
      <c r="AW582" s="30" t="str">
        <f t="shared" si="85"/>
        <v/>
      </c>
      <c r="AX582" s="29" t="str">
        <f t="shared" si="86"/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 t="shared" si="87"/>
        <v/>
      </c>
      <c r="BB582" s="29" t="str">
        <f t="shared" si="88"/>
        <v/>
      </c>
      <c r="BC582" s="29">
        <f t="shared" si="89"/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 t="shared" si="81"/>
        <v>0</v>
      </c>
      <c r="AT583" s="30" t="str">
        <f t="shared" si="82"/>
        <v/>
      </c>
      <c r="AU583" s="29" t="str">
        <f t="shared" si="83"/>
        <v/>
      </c>
      <c r="AV583" s="30" t="str">
        <f t="shared" si="84"/>
        <v/>
      </c>
      <c r="AW583" s="30" t="str">
        <f t="shared" si="85"/>
        <v/>
      </c>
      <c r="AX583" s="29" t="str">
        <f t="shared" si="86"/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 t="shared" si="87"/>
        <v/>
      </c>
      <c r="BB583" s="29" t="str">
        <f t="shared" si="88"/>
        <v/>
      </c>
      <c r="BC583" s="29">
        <f t="shared" si="89"/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 t="shared" si="81"/>
        <v>0</v>
      </c>
      <c r="AT584" s="30" t="str">
        <f t="shared" si="82"/>
        <v/>
      </c>
      <c r="AU584" s="29" t="str">
        <f t="shared" si="83"/>
        <v/>
      </c>
      <c r="AV584" s="30" t="str">
        <f t="shared" si="84"/>
        <v/>
      </c>
      <c r="AW584" s="30" t="str">
        <f t="shared" si="85"/>
        <v/>
      </c>
      <c r="AX584" s="29" t="str">
        <f t="shared" si="86"/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 t="shared" si="87"/>
        <v/>
      </c>
      <c r="BB584" s="29" t="str">
        <f t="shared" si="88"/>
        <v/>
      </c>
      <c r="BC584" s="29">
        <f t="shared" si="89"/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 t="shared" si="81"/>
        <v>0</v>
      </c>
      <c r="AT585" s="30" t="str">
        <f t="shared" si="82"/>
        <v/>
      </c>
      <c r="AU585" s="29" t="str">
        <f t="shared" si="83"/>
        <v/>
      </c>
      <c r="AV585" s="30" t="str">
        <f t="shared" si="84"/>
        <v/>
      </c>
      <c r="AW585" s="30" t="str">
        <f t="shared" si="85"/>
        <v/>
      </c>
      <c r="AX585" s="29" t="str">
        <f t="shared" si="86"/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 t="shared" si="87"/>
        <v/>
      </c>
      <c r="BB585" s="29" t="str">
        <f t="shared" si="88"/>
        <v/>
      </c>
      <c r="BC585" s="29">
        <f t="shared" si="89"/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 t="shared" si="81"/>
        <v>0</v>
      </c>
      <c r="AT586" s="30" t="str">
        <f t="shared" si="82"/>
        <v/>
      </c>
      <c r="AU586" s="29" t="str">
        <f t="shared" si="83"/>
        <v/>
      </c>
      <c r="AV586" s="30" t="str">
        <f t="shared" si="84"/>
        <v/>
      </c>
      <c r="AW586" s="30" t="str">
        <f t="shared" si="85"/>
        <v/>
      </c>
      <c r="AX586" s="29" t="str">
        <f t="shared" si="86"/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 t="shared" si="87"/>
        <v/>
      </c>
      <c r="BB586" s="29" t="str">
        <f t="shared" si="88"/>
        <v/>
      </c>
      <c r="BC586" s="29">
        <f t="shared" si="89"/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 t="shared" si="81"/>
        <v>0</v>
      </c>
      <c r="AT587" s="30" t="str">
        <f t="shared" si="82"/>
        <v/>
      </c>
      <c r="AU587" s="29" t="str">
        <f t="shared" si="83"/>
        <v/>
      </c>
      <c r="AV587" s="30" t="str">
        <f t="shared" si="84"/>
        <v/>
      </c>
      <c r="AW587" s="30" t="str">
        <f t="shared" si="85"/>
        <v/>
      </c>
      <c r="AX587" s="29" t="str">
        <f t="shared" si="86"/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 t="shared" si="87"/>
        <v/>
      </c>
      <c r="BB587" s="29" t="str">
        <f t="shared" si="88"/>
        <v/>
      </c>
      <c r="BC587" s="29">
        <f t="shared" si="89"/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 t="shared" si="81"/>
        <v>0</v>
      </c>
      <c r="AT588" s="30" t="str">
        <f t="shared" si="82"/>
        <v/>
      </c>
      <c r="AU588" s="29" t="str">
        <f t="shared" si="83"/>
        <v/>
      </c>
      <c r="AV588" s="30" t="str">
        <f t="shared" si="84"/>
        <v/>
      </c>
      <c r="AW588" s="30" t="str">
        <f t="shared" si="85"/>
        <v/>
      </c>
      <c r="AX588" s="29" t="str">
        <f t="shared" si="86"/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 t="shared" si="87"/>
        <v/>
      </c>
      <c r="BB588" s="29" t="str">
        <f t="shared" si="88"/>
        <v/>
      </c>
      <c r="BC588" s="29">
        <f t="shared" si="89"/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 t="shared" si="81"/>
        <v>0</v>
      </c>
      <c r="AT589" s="30" t="str">
        <f t="shared" si="82"/>
        <v/>
      </c>
      <c r="AU589" s="29" t="str">
        <f t="shared" si="83"/>
        <v/>
      </c>
      <c r="AV589" s="30" t="str">
        <f t="shared" si="84"/>
        <v/>
      </c>
      <c r="AW589" s="30" t="str">
        <f t="shared" si="85"/>
        <v/>
      </c>
      <c r="AX589" s="29" t="str">
        <f t="shared" si="86"/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 t="shared" si="87"/>
        <v/>
      </c>
      <c r="BB589" s="29" t="str">
        <f t="shared" si="88"/>
        <v/>
      </c>
      <c r="BC589" s="29">
        <f t="shared" si="89"/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 t="shared" si="81"/>
        <v>0</v>
      </c>
      <c r="AT590" s="30" t="str">
        <f t="shared" si="82"/>
        <v/>
      </c>
      <c r="AU590" s="29" t="str">
        <f t="shared" si="83"/>
        <v/>
      </c>
      <c r="AV590" s="30" t="str">
        <f t="shared" si="84"/>
        <v/>
      </c>
      <c r="AW590" s="30" t="str">
        <f t="shared" si="85"/>
        <v/>
      </c>
      <c r="AX590" s="29" t="str">
        <f t="shared" si="86"/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 t="shared" si="87"/>
        <v/>
      </c>
      <c r="BB590" s="29" t="str">
        <f t="shared" si="88"/>
        <v/>
      </c>
      <c r="BC590" s="29">
        <f t="shared" si="89"/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 t="shared" si="81"/>
        <v>0</v>
      </c>
      <c r="AT591" s="30" t="str">
        <f t="shared" si="82"/>
        <v/>
      </c>
      <c r="AU591" s="29" t="str">
        <f t="shared" si="83"/>
        <v/>
      </c>
      <c r="AV591" s="30" t="str">
        <f t="shared" si="84"/>
        <v/>
      </c>
      <c r="AW591" s="30" t="str">
        <f t="shared" si="85"/>
        <v/>
      </c>
      <c r="AX591" s="29" t="str">
        <f t="shared" si="86"/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 t="shared" si="87"/>
        <v/>
      </c>
      <c r="BB591" s="29" t="str">
        <f t="shared" si="88"/>
        <v/>
      </c>
      <c r="BC591" s="29">
        <f t="shared" si="89"/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 t="shared" si="81"/>
        <v>0</v>
      </c>
      <c r="AT592" s="30" t="str">
        <f t="shared" si="82"/>
        <v/>
      </c>
      <c r="AU592" s="29" t="str">
        <f t="shared" si="83"/>
        <v/>
      </c>
      <c r="AV592" s="30" t="str">
        <f t="shared" si="84"/>
        <v/>
      </c>
      <c r="AW592" s="30" t="str">
        <f t="shared" si="85"/>
        <v/>
      </c>
      <c r="AX592" s="29" t="str">
        <f t="shared" si="86"/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 t="shared" si="87"/>
        <v/>
      </c>
      <c r="BB592" s="29" t="str">
        <f t="shared" si="88"/>
        <v/>
      </c>
      <c r="BC592" s="29">
        <f t="shared" si="89"/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 t="shared" si="81"/>
        <v>0</v>
      </c>
      <c r="AT593" s="30" t="str">
        <f t="shared" si="82"/>
        <v/>
      </c>
      <c r="AU593" s="29" t="str">
        <f t="shared" si="83"/>
        <v/>
      </c>
      <c r="AV593" s="30" t="str">
        <f t="shared" si="84"/>
        <v/>
      </c>
      <c r="AW593" s="30" t="str">
        <f t="shared" si="85"/>
        <v/>
      </c>
      <c r="AX593" s="29" t="str">
        <f t="shared" si="86"/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 t="shared" si="87"/>
        <v/>
      </c>
      <c r="BB593" s="29" t="str">
        <f t="shared" si="88"/>
        <v/>
      </c>
      <c r="BC593" s="29">
        <f t="shared" si="89"/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 t="shared" si="81"/>
        <v>0</v>
      </c>
      <c r="AT594" s="30" t="str">
        <f t="shared" si="82"/>
        <v/>
      </c>
      <c r="AU594" s="29" t="str">
        <f t="shared" si="83"/>
        <v/>
      </c>
      <c r="AV594" s="30" t="str">
        <f t="shared" si="84"/>
        <v/>
      </c>
      <c r="AW594" s="30" t="str">
        <f t="shared" si="85"/>
        <v/>
      </c>
      <c r="AX594" s="29" t="str">
        <f t="shared" si="86"/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 t="shared" si="87"/>
        <v/>
      </c>
      <c r="BB594" s="29" t="str">
        <f t="shared" si="88"/>
        <v/>
      </c>
      <c r="BC594" s="29">
        <f t="shared" si="89"/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 t="shared" si="81"/>
        <v>0</v>
      </c>
      <c r="AT595" s="30" t="str">
        <f t="shared" si="82"/>
        <v/>
      </c>
      <c r="AU595" s="29" t="str">
        <f t="shared" si="83"/>
        <v/>
      </c>
      <c r="AV595" s="30" t="str">
        <f t="shared" si="84"/>
        <v/>
      </c>
      <c r="AW595" s="30" t="str">
        <f t="shared" si="85"/>
        <v/>
      </c>
      <c r="AX595" s="29" t="str">
        <f t="shared" si="86"/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 t="shared" si="87"/>
        <v/>
      </c>
      <c r="BB595" s="29" t="str">
        <f t="shared" si="88"/>
        <v/>
      </c>
      <c r="BC595" s="29">
        <f t="shared" si="89"/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 t="shared" si="81"/>
        <v>0</v>
      </c>
      <c r="AT596" s="30" t="str">
        <f t="shared" si="82"/>
        <v/>
      </c>
      <c r="AU596" s="29" t="str">
        <f t="shared" si="83"/>
        <v/>
      </c>
      <c r="AV596" s="30" t="str">
        <f t="shared" si="84"/>
        <v/>
      </c>
      <c r="AW596" s="30" t="str">
        <f t="shared" si="85"/>
        <v/>
      </c>
      <c r="AX596" s="29" t="str">
        <f t="shared" si="86"/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 t="shared" si="87"/>
        <v/>
      </c>
      <c r="BB596" s="29" t="str">
        <f t="shared" si="88"/>
        <v/>
      </c>
      <c r="BC596" s="29">
        <f t="shared" si="89"/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 t="shared" si="81"/>
        <v>0</v>
      </c>
      <c r="AT597" s="30" t="str">
        <f t="shared" si="82"/>
        <v/>
      </c>
      <c r="AU597" s="29" t="str">
        <f t="shared" si="83"/>
        <v/>
      </c>
      <c r="AV597" s="30" t="str">
        <f t="shared" si="84"/>
        <v/>
      </c>
      <c r="AW597" s="30" t="str">
        <f t="shared" si="85"/>
        <v/>
      </c>
      <c r="AX597" s="29" t="str">
        <f t="shared" si="86"/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 t="shared" si="87"/>
        <v/>
      </c>
      <c r="BB597" s="29" t="str">
        <f t="shared" si="88"/>
        <v/>
      </c>
      <c r="BC597" s="29">
        <f t="shared" si="89"/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 t="shared" si="81"/>
        <v>0</v>
      </c>
      <c r="AT598" s="30" t="str">
        <f t="shared" si="82"/>
        <v/>
      </c>
      <c r="AU598" s="29" t="str">
        <f t="shared" si="83"/>
        <v/>
      </c>
      <c r="AV598" s="30" t="str">
        <f t="shared" si="84"/>
        <v/>
      </c>
      <c r="AW598" s="30" t="str">
        <f t="shared" si="85"/>
        <v/>
      </c>
      <c r="AX598" s="29" t="str">
        <f t="shared" si="86"/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 t="shared" si="87"/>
        <v/>
      </c>
      <c r="BB598" s="29" t="str">
        <f t="shared" si="88"/>
        <v/>
      </c>
      <c r="BC598" s="29">
        <f t="shared" si="89"/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 t="shared" si="81"/>
        <v>0</v>
      </c>
      <c r="AT599" s="30" t="str">
        <f t="shared" si="82"/>
        <v/>
      </c>
      <c r="AU599" s="29" t="str">
        <f t="shared" si="83"/>
        <v/>
      </c>
      <c r="AV599" s="30" t="str">
        <f t="shared" si="84"/>
        <v/>
      </c>
      <c r="AW599" s="30" t="str">
        <f t="shared" si="85"/>
        <v/>
      </c>
      <c r="AX599" s="29" t="str">
        <f t="shared" si="86"/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 t="shared" si="87"/>
        <v/>
      </c>
      <c r="BB599" s="29" t="str">
        <f t="shared" si="88"/>
        <v/>
      </c>
      <c r="BC599" s="29">
        <f t="shared" si="89"/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 t="shared" si="81"/>
        <v>0</v>
      </c>
      <c r="AT600" s="30" t="str">
        <f t="shared" si="82"/>
        <v/>
      </c>
      <c r="AU600" s="29" t="str">
        <f t="shared" si="83"/>
        <v/>
      </c>
      <c r="AV600" s="30" t="str">
        <f t="shared" si="84"/>
        <v/>
      </c>
      <c r="AW600" s="30" t="str">
        <f t="shared" si="85"/>
        <v/>
      </c>
      <c r="AX600" s="29" t="str">
        <f t="shared" si="86"/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 t="shared" si="87"/>
        <v/>
      </c>
      <c r="BB600" s="29" t="str">
        <f t="shared" si="88"/>
        <v/>
      </c>
      <c r="BC600" s="29">
        <f t="shared" si="89"/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 t="shared" si="81"/>
        <v>0</v>
      </c>
      <c r="AT601" s="30" t="str">
        <f t="shared" si="82"/>
        <v/>
      </c>
      <c r="AU601" s="29" t="str">
        <f t="shared" si="83"/>
        <v/>
      </c>
      <c r="AV601" s="30" t="str">
        <f t="shared" si="84"/>
        <v/>
      </c>
      <c r="AW601" s="30" t="str">
        <f t="shared" si="85"/>
        <v/>
      </c>
      <c r="AX601" s="29" t="str">
        <f t="shared" si="86"/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 t="shared" si="87"/>
        <v/>
      </c>
      <c r="BB601" s="29" t="str">
        <f t="shared" si="88"/>
        <v/>
      </c>
      <c r="BC601" s="29">
        <f t="shared" si="89"/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 t="shared" si="81"/>
        <v>0</v>
      </c>
      <c r="AT602" s="30" t="str">
        <f t="shared" si="82"/>
        <v/>
      </c>
      <c r="AU602" s="29" t="str">
        <f t="shared" si="83"/>
        <v/>
      </c>
      <c r="AV602" s="30" t="str">
        <f t="shared" si="84"/>
        <v/>
      </c>
      <c r="AW602" s="30" t="str">
        <f t="shared" si="85"/>
        <v/>
      </c>
      <c r="AX602" s="29" t="str">
        <f t="shared" si="86"/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 t="shared" si="87"/>
        <v/>
      </c>
      <c r="BB602" s="29" t="str">
        <f t="shared" si="88"/>
        <v/>
      </c>
      <c r="BC602" s="29">
        <f t="shared" si="89"/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 t="shared" si="81"/>
        <v>0</v>
      </c>
      <c r="AT603" s="30" t="str">
        <f t="shared" si="82"/>
        <v/>
      </c>
      <c r="AU603" s="29" t="str">
        <f t="shared" si="83"/>
        <v/>
      </c>
      <c r="AV603" s="30" t="str">
        <f t="shared" si="84"/>
        <v/>
      </c>
      <c r="AW603" s="30" t="str">
        <f t="shared" si="85"/>
        <v/>
      </c>
      <c r="AX603" s="29" t="str">
        <f t="shared" si="86"/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 t="shared" si="87"/>
        <v/>
      </c>
      <c r="BB603" s="29" t="str">
        <f t="shared" si="88"/>
        <v/>
      </c>
      <c r="BC603" s="29">
        <f t="shared" si="89"/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 t="shared" si="81"/>
        <v>0</v>
      </c>
      <c r="AT604" s="30" t="str">
        <f t="shared" si="82"/>
        <v/>
      </c>
      <c r="AU604" s="29" t="str">
        <f t="shared" si="83"/>
        <v/>
      </c>
      <c r="AV604" s="30" t="str">
        <f t="shared" si="84"/>
        <v/>
      </c>
      <c r="AW604" s="30" t="str">
        <f t="shared" si="85"/>
        <v/>
      </c>
      <c r="AX604" s="29" t="str">
        <f t="shared" si="86"/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 t="shared" si="87"/>
        <v/>
      </c>
      <c r="BB604" s="29" t="str">
        <f t="shared" si="88"/>
        <v/>
      </c>
      <c r="BC604" s="29">
        <f t="shared" si="89"/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 t="shared" si="81"/>
        <v>0</v>
      </c>
      <c r="AT605" s="30" t="str">
        <f t="shared" si="82"/>
        <v/>
      </c>
      <c r="AU605" s="29" t="str">
        <f t="shared" si="83"/>
        <v/>
      </c>
      <c r="AV605" s="30" t="str">
        <f t="shared" si="84"/>
        <v/>
      </c>
      <c r="AW605" s="30" t="str">
        <f t="shared" si="85"/>
        <v/>
      </c>
      <c r="AX605" s="29" t="str">
        <f t="shared" si="86"/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 t="shared" si="87"/>
        <v/>
      </c>
      <c r="BB605" s="29" t="str">
        <f t="shared" si="88"/>
        <v/>
      </c>
      <c r="BC605" s="29">
        <f t="shared" si="89"/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 t="shared" si="81"/>
        <v>0</v>
      </c>
      <c r="AT606" s="30" t="str">
        <f t="shared" si="82"/>
        <v/>
      </c>
      <c r="AU606" s="29" t="str">
        <f t="shared" si="83"/>
        <v/>
      </c>
      <c r="AV606" s="30" t="str">
        <f t="shared" si="84"/>
        <v/>
      </c>
      <c r="AW606" s="30" t="str">
        <f t="shared" si="85"/>
        <v/>
      </c>
      <c r="AX606" s="29" t="str">
        <f t="shared" si="86"/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 t="shared" si="87"/>
        <v/>
      </c>
      <c r="BB606" s="29" t="str">
        <f t="shared" si="88"/>
        <v/>
      </c>
      <c r="BC606" s="29">
        <f t="shared" si="89"/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 t="shared" si="81"/>
        <v>0</v>
      </c>
      <c r="AT607" s="30" t="str">
        <f t="shared" si="82"/>
        <v/>
      </c>
      <c r="AU607" s="29" t="str">
        <f t="shared" si="83"/>
        <v/>
      </c>
      <c r="AV607" s="30" t="str">
        <f t="shared" si="84"/>
        <v/>
      </c>
      <c r="AW607" s="30" t="str">
        <f t="shared" si="85"/>
        <v/>
      </c>
      <c r="AX607" s="29" t="str">
        <f t="shared" si="86"/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 t="shared" si="87"/>
        <v/>
      </c>
      <c r="BB607" s="29" t="str">
        <f t="shared" si="88"/>
        <v/>
      </c>
      <c r="BC607" s="29">
        <f t="shared" si="89"/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 t="shared" si="81"/>
        <v>0</v>
      </c>
      <c r="AT608" s="30" t="str">
        <f t="shared" si="82"/>
        <v/>
      </c>
      <c r="AU608" s="29" t="str">
        <f t="shared" si="83"/>
        <v/>
      </c>
      <c r="AV608" s="30" t="str">
        <f t="shared" si="84"/>
        <v/>
      </c>
      <c r="AW608" s="30" t="str">
        <f t="shared" si="85"/>
        <v/>
      </c>
      <c r="AX608" s="29" t="str">
        <f t="shared" si="86"/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 t="shared" si="87"/>
        <v/>
      </c>
      <c r="BB608" s="29" t="str">
        <f t="shared" si="88"/>
        <v/>
      </c>
      <c r="BC608" s="29">
        <f t="shared" si="89"/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 t="shared" si="81"/>
        <v>0</v>
      </c>
      <c r="AT609" s="30" t="str">
        <f t="shared" si="82"/>
        <v/>
      </c>
      <c r="AU609" s="29" t="str">
        <f t="shared" si="83"/>
        <v/>
      </c>
      <c r="AV609" s="30" t="str">
        <f t="shared" si="84"/>
        <v/>
      </c>
      <c r="AW609" s="30" t="str">
        <f t="shared" si="85"/>
        <v/>
      </c>
      <c r="AX609" s="29" t="str">
        <f t="shared" si="86"/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 t="shared" si="87"/>
        <v/>
      </c>
      <c r="BB609" s="29" t="str">
        <f t="shared" si="88"/>
        <v/>
      </c>
      <c r="BC609" s="29">
        <f t="shared" si="89"/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 t="shared" si="81"/>
        <v>0</v>
      </c>
      <c r="AT610" s="30" t="str">
        <f t="shared" si="82"/>
        <v/>
      </c>
      <c r="AU610" s="29" t="str">
        <f t="shared" si="83"/>
        <v/>
      </c>
      <c r="AV610" s="30" t="str">
        <f t="shared" si="84"/>
        <v/>
      </c>
      <c r="AW610" s="30" t="str">
        <f t="shared" si="85"/>
        <v/>
      </c>
      <c r="AX610" s="29" t="str">
        <f t="shared" si="86"/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 t="shared" si="87"/>
        <v/>
      </c>
      <c r="BB610" s="29" t="str">
        <f t="shared" si="88"/>
        <v/>
      </c>
      <c r="BC610" s="29">
        <f t="shared" si="89"/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 t="shared" si="81"/>
        <v>0</v>
      </c>
      <c r="AT611" s="30" t="str">
        <f t="shared" si="82"/>
        <v/>
      </c>
      <c r="AU611" s="29" t="str">
        <f t="shared" si="83"/>
        <v/>
      </c>
      <c r="AV611" s="30" t="str">
        <f t="shared" si="84"/>
        <v/>
      </c>
      <c r="AW611" s="30" t="str">
        <f t="shared" si="85"/>
        <v/>
      </c>
      <c r="AX611" s="29" t="str">
        <f t="shared" si="86"/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 t="shared" si="87"/>
        <v/>
      </c>
      <c r="BB611" s="29" t="str">
        <f t="shared" si="88"/>
        <v/>
      </c>
      <c r="BC611" s="29">
        <f t="shared" si="89"/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 t="shared" si="81"/>
        <v>0</v>
      </c>
      <c r="AT612" s="30" t="str">
        <f t="shared" si="82"/>
        <v/>
      </c>
      <c r="AU612" s="29" t="str">
        <f t="shared" si="83"/>
        <v/>
      </c>
      <c r="AV612" s="30" t="str">
        <f t="shared" si="84"/>
        <v/>
      </c>
      <c r="AW612" s="30" t="str">
        <f t="shared" si="85"/>
        <v/>
      </c>
      <c r="AX612" s="29" t="str">
        <f t="shared" si="86"/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 t="shared" si="87"/>
        <v/>
      </c>
      <c r="BB612" s="29" t="str">
        <f t="shared" si="88"/>
        <v/>
      </c>
      <c r="BC612" s="29">
        <f t="shared" si="89"/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 t="shared" si="81"/>
        <v>0</v>
      </c>
      <c r="AT613" s="30" t="str">
        <f t="shared" si="82"/>
        <v/>
      </c>
      <c r="AU613" s="29" t="str">
        <f t="shared" si="83"/>
        <v/>
      </c>
      <c r="AV613" s="30" t="str">
        <f t="shared" si="84"/>
        <v/>
      </c>
      <c r="AW613" s="30" t="str">
        <f t="shared" si="85"/>
        <v/>
      </c>
      <c r="AX613" s="29" t="str">
        <f t="shared" si="86"/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 t="shared" si="87"/>
        <v/>
      </c>
      <c r="BB613" s="29" t="str">
        <f t="shared" si="88"/>
        <v/>
      </c>
      <c r="BC613" s="29">
        <f t="shared" si="89"/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 t="shared" si="81"/>
        <v>0</v>
      </c>
      <c r="AT614" s="30" t="str">
        <f t="shared" si="82"/>
        <v/>
      </c>
      <c r="AU614" s="29" t="str">
        <f t="shared" si="83"/>
        <v/>
      </c>
      <c r="AV614" s="30" t="str">
        <f t="shared" si="84"/>
        <v/>
      </c>
      <c r="AW614" s="30" t="str">
        <f t="shared" si="85"/>
        <v/>
      </c>
      <c r="AX614" s="29" t="str">
        <f t="shared" si="86"/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 t="shared" si="87"/>
        <v/>
      </c>
      <c r="BB614" s="29" t="str">
        <f t="shared" si="88"/>
        <v/>
      </c>
      <c r="BC614" s="29">
        <f t="shared" si="89"/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 t="shared" si="81"/>
        <v>0</v>
      </c>
      <c r="AT615" s="30" t="str">
        <f t="shared" si="82"/>
        <v/>
      </c>
      <c r="AU615" s="29" t="str">
        <f t="shared" si="83"/>
        <v/>
      </c>
      <c r="AV615" s="30" t="str">
        <f t="shared" si="84"/>
        <v/>
      </c>
      <c r="AW615" s="30" t="str">
        <f t="shared" si="85"/>
        <v/>
      </c>
      <c r="AX615" s="29" t="str">
        <f t="shared" si="86"/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 t="shared" si="87"/>
        <v/>
      </c>
      <c r="BB615" s="29" t="str">
        <f t="shared" si="88"/>
        <v/>
      </c>
      <c r="BC615" s="29">
        <f t="shared" si="89"/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 t="shared" si="81"/>
        <v>0</v>
      </c>
      <c r="AT616" s="30" t="str">
        <f t="shared" si="82"/>
        <v/>
      </c>
      <c r="AU616" s="29" t="str">
        <f t="shared" si="83"/>
        <v/>
      </c>
      <c r="AV616" s="30" t="str">
        <f t="shared" si="84"/>
        <v/>
      </c>
      <c r="AW616" s="30" t="str">
        <f t="shared" si="85"/>
        <v/>
      </c>
      <c r="AX616" s="29" t="str">
        <f t="shared" si="86"/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 t="shared" si="87"/>
        <v/>
      </c>
      <c r="BB616" s="29" t="str">
        <f t="shared" si="88"/>
        <v/>
      </c>
      <c r="BC616" s="29">
        <f t="shared" si="89"/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 t="shared" si="81"/>
        <v>0</v>
      </c>
      <c r="AT617" s="30" t="str">
        <f t="shared" si="82"/>
        <v/>
      </c>
      <c r="AU617" s="29" t="str">
        <f t="shared" si="83"/>
        <v/>
      </c>
      <c r="AV617" s="30" t="str">
        <f t="shared" si="84"/>
        <v/>
      </c>
      <c r="AW617" s="30" t="str">
        <f t="shared" si="85"/>
        <v/>
      </c>
      <c r="AX617" s="29" t="str">
        <f t="shared" si="86"/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 t="shared" si="87"/>
        <v/>
      </c>
      <c r="BB617" s="29" t="str">
        <f t="shared" si="88"/>
        <v/>
      </c>
      <c r="BC617" s="29">
        <f t="shared" si="89"/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 t="shared" si="81"/>
        <v>0</v>
      </c>
      <c r="AT618" s="30" t="str">
        <f t="shared" si="82"/>
        <v/>
      </c>
      <c r="AU618" s="29" t="str">
        <f t="shared" si="83"/>
        <v/>
      </c>
      <c r="AV618" s="30" t="str">
        <f t="shared" si="84"/>
        <v/>
      </c>
      <c r="AW618" s="30" t="str">
        <f t="shared" si="85"/>
        <v/>
      </c>
      <c r="AX618" s="29" t="str">
        <f t="shared" si="86"/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 t="shared" si="87"/>
        <v/>
      </c>
      <c r="BB618" s="29" t="str">
        <f t="shared" si="88"/>
        <v/>
      </c>
      <c r="BC618" s="29">
        <f t="shared" si="89"/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 t="shared" si="81"/>
        <v>0</v>
      </c>
      <c r="AT619" s="30" t="str">
        <f t="shared" si="82"/>
        <v/>
      </c>
      <c r="AU619" s="29" t="str">
        <f t="shared" si="83"/>
        <v/>
      </c>
      <c r="AV619" s="30" t="str">
        <f t="shared" si="84"/>
        <v/>
      </c>
      <c r="AW619" s="30" t="str">
        <f t="shared" si="85"/>
        <v/>
      </c>
      <c r="AX619" s="29" t="str">
        <f t="shared" si="86"/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 t="shared" si="87"/>
        <v/>
      </c>
      <c r="BB619" s="29" t="str">
        <f t="shared" si="88"/>
        <v/>
      </c>
      <c r="BC619" s="29">
        <f t="shared" si="89"/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 t="shared" si="81"/>
        <v>0</v>
      </c>
      <c r="AT620" s="30" t="str">
        <f t="shared" si="82"/>
        <v/>
      </c>
      <c r="AU620" s="29" t="str">
        <f t="shared" si="83"/>
        <v/>
      </c>
      <c r="AV620" s="30" t="str">
        <f t="shared" si="84"/>
        <v/>
      </c>
      <c r="AW620" s="30" t="str">
        <f t="shared" si="85"/>
        <v/>
      </c>
      <c r="AX620" s="29" t="str">
        <f t="shared" si="86"/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 t="shared" si="87"/>
        <v/>
      </c>
      <c r="BB620" s="29" t="str">
        <f t="shared" si="88"/>
        <v/>
      </c>
      <c r="BC620" s="29">
        <f t="shared" si="89"/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 t="shared" si="81"/>
        <v>0</v>
      </c>
      <c r="AT621" s="30" t="str">
        <f t="shared" si="82"/>
        <v/>
      </c>
      <c r="AU621" s="29" t="str">
        <f t="shared" si="83"/>
        <v/>
      </c>
      <c r="AV621" s="30" t="str">
        <f t="shared" si="84"/>
        <v/>
      </c>
      <c r="AW621" s="30" t="str">
        <f t="shared" si="85"/>
        <v/>
      </c>
      <c r="AX621" s="29" t="str">
        <f t="shared" si="86"/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 t="shared" si="87"/>
        <v/>
      </c>
      <c r="BB621" s="29" t="str">
        <f t="shared" si="88"/>
        <v/>
      </c>
      <c r="BC621" s="29">
        <f t="shared" si="89"/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 t="shared" si="81"/>
        <v>0</v>
      </c>
      <c r="AT622" s="30" t="str">
        <f t="shared" si="82"/>
        <v/>
      </c>
      <c r="AU622" s="29" t="str">
        <f t="shared" si="83"/>
        <v/>
      </c>
      <c r="AV622" s="30" t="str">
        <f t="shared" si="84"/>
        <v/>
      </c>
      <c r="AW622" s="30" t="str">
        <f t="shared" si="85"/>
        <v/>
      </c>
      <c r="AX622" s="29" t="str">
        <f t="shared" si="86"/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 t="shared" si="87"/>
        <v/>
      </c>
      <c r="BB622" s="29" t="str">
        <f t="shared" si="88"/>
        <v/>
      </c>
      <c r="BC622" s="29">
        <f t="shared" si="89"/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 t="shared" si="81"/>
        <v>0</v>
      </c>
      <c r="AT623" s="30" t="str">
        <f t="shared" si="82"/>
        <v/>
      </c>
      <c r="AU623" s="29" t="str">
        <f t="shared" si="83"/>
        <v/>
      </c>
      <c r="AV623" s="30" t="str">
        <f t="shared" si="84"/>
        <v/>
      </c>
      <c r="AW623" s="30" t="str">
        <f t="shared" si="85"/>
        <v/>
      </c>
      <c r="AX623" s="29" t="str">
        <f t="shared" si="86"/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 t="shared" si="87"/>
        <v/>
      </c>
      <c r="BB623" s="29" t="str">
        <f t="shared" si="88"/>
        <v/>
      </c>
      <c r="BC623" s="29">
        <f t="shared" si="89"/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 t="shared" si="81"/>
        <v>0</v>
      </c>
      <c r="AT624" s="30" t="str">
        <f t="shared" si="82"/>
        <v/>
      </c>
      <c r="AU624" s="29" t="str">
        <f t="shared" si="83"/>
        <v/>
      </c>
      <c r="AV624" s="30" t="str">
        <f t="shared" si="84"/>
        <v/>
      </c>
      <c r="AW624" s="30" t="str">
        <f t="shared" si="85"/>
        <v/>
      </c>
      <c r="AX624" s="29" t="str">
        <f t="shared" si="86"/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 t="shared" si="87"/>
        <v/>
      </c>
      <c r="BB624" s="29" t="str">
        <f t="shared" si="88"/>
        <v/>
      </c>
      <c r="BC624" s="29">
        <f t="shared" si="89"/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 t="shared" si="81"/>
        <v>0</v>
      </c>
      <c r="AT625" s="30" t="str">
        <f t="shared" si="82"/>
        <v/>
      </c>
      <c r="AU625" s="29" t="str">
        <f t="shared" si="83"/>
        <v/>
      </c>
      <c r="AV625" s="30" t="str">
        <f t="shared" si="84"/>
        <v/>
      </c>
      <c r="AW625" s="30" t="str">
        <f t="shared" si="85"/>
        <v/>
      </c>
      <c r="AX625" s="29" t="str">
        <f t="shared" si="86"/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 t="shared" si="87"/>
        <v/>
      </c>
      <c r="BB625" s="29" t="str">
        <f t="shared" si="88"/>
        <v/>
      </c>
      <c r="BC625" s="29">
        <f t="shared" si="89"/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 t="shared" si="81"/>
        <v>0</v>
      </c>
      <c r="AT626" s="30" t="str">
        <f t="shared" si="82"/>
        <v/>
      </c>
      <c r="AU626" s="29" t="str">
        <f t="shared" si="83"/>
        <v/>
      </c>
      <c r="AV626" s="30" t="str">
        <f t="shared" si="84"/>
        <v/>
      </c>
      <c r="AW626" s="30" t="str">
        <f t="shared" si="85"/>
        <v/>
      </c>
      <c r="AX626" s="29" t="str">
        <f t="shared" si="86"/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 t="shared" si="87"/>
        <v/>
      </c>
      <c r="BB626" s="29" t="str">
        <f t="shared" si="88"/>
        <v/>
      </c>
      <c r="BC626" s="29">
        <f t="shared" si="89"/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 t="shared" si="81"/>
        <v>0</v>
      </c>
      <c r="AT627" s="30" t="str">
        <f t="shared" si="82"/>
        <v/>
      </c>
      <c r="AU627" s="29" t="str">
        <f t="shared" si="83"/>
        <v/>
      </c>
      <c r="AV627" s="30" t="str">
        <f t="shared" si="84"/>
        <v/>
      </c>
      <c r="AW627" s="30" t="str">
        <f t="shared" si="85"/>
        <v/>
      </c>
      <c r="AX627" s="29" t="str">
        <f t="shared" si="86"/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 t="shared" si="87"/>
        <v/>
      </c>
      <c r="BB627" s="29" t="str">
        <f t="shared" si="88"/>
        <v/>
      </c>
      <c r="BC627" s="29">
        <f t="shared" si="89"/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 t="shared" si="81"/>
        <v>0</v>
      </c>
      <c r="AT628" s="30" t="str">
        <f t="shared" si="82"/>
        <v/>
      </c>
      <c r="AU628" s="29" t="str">
        <f t="shared" si="83"/>
        <v/>
      </c>
      <c r="AV628" s="30" t="str">
        <f t="shared" si="84"/>
        <v/>
      </c>
      <c r="AW628" s="30" t="str">
        <f t="shared" si="85"/>
        <v/>
      </c>
      <c r="AX628" s="29" t="str">
        <f t="shared" si="86"/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 t="shared" si="87"/>
        <v/>
      </c>
      <c r="BB628" s="29" t="str">
        <f t="shared" si="88"/>
        <v/>
      </c>
      <c r="BC628" s="29">
        <f t="shared" si="89"/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 t="shared" si="81"/>
        <v>0</v>
      </c>
      <c r="AT629" s="30" t="str">
        <f t="shared" si="82"/>
        <v/>
      </c>
      <c r="AU629" s="29" t="str">
        <f t="shared" si="83"/>
        <v/>
      </c>
      <c r="AV629" s="30" t="str">
        <f t="shared" si="84"/>
        <v/>
      </c>
      <c r="AW629" s="30" t="str">
        <f t="shared" si="85"/>
        <v/>
      </c>
      <c r="AX629" s="29" t="str">
        <f t="shared" si="86"/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 t="shared" si="87"/>
        <v/>
      </c>
      <c r="BB629" s="29" t="str">
        <f t="shared" si="88"/>
        <v/>
      </c>
      <c r="BC629" s="29">
        <f t="shared" si="89"/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 t="shared" si="81"/>
        <v>0</v>
      </c>
      <c r="AT630" s="30" t="str">
        <f t="shared" si="82"/>
        <v/>
      </c>
      <c r="AU630" s="29" t="str">
        <f t="shared" si="83"/>
        <v/>
      </c>
      <c r="AV630" s="30" t="str">
        <f t="shared" si="84"/>
        <v/>
      </c>
      <c r="AW630" s="30" t="str">
        <f t="shared" si="85"/>
        <v/>
      </c>
      <c r="AX630" s="29" t="str">
        <f t="shared" si="86"/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 t="shared" si="87"/>
        <v/>
      </c>
      <c r="BB630" s="29" t="str">
        <f t="shared" si="88"/>
        <v/>
      </c>
      <c r="BC630" s="29">
        <f t="shared" si="89"/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 t="shared" si="81"/>
        <v>0</v>
      </c>
      <c r="AT631" s="30" t="str">
        <f t="shared" si="82"/>
        <v/>
      </c>
      <c r="AU631" s="29" t="str">
        <f t="shared" si="83"/>
        <v/>
      </c>
      <c r="AV631" s="30" t="str">
        <f t="shared" si="84"/>
        <v/>
      </c>
      <c r="AW631" s="30" t="str">
        <f t="shared" si="85"/>
        <v/>
      </c>
      <c r="AX631" s="29" t="str">
        <f t="shared" si="86"/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 t="shared" si="87"/>
        <v/>
      </c>
      <c r="BB631" s="29" t="str">
        <f t="shared" si="88"/>
        <v/>
      </c>
      <c r="BC631" s="29">
        <f t="shared" si="89"/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 t="shared" si="81"/>
        <v>0</v>
      </c>
      <c r="AT632" s="30" t="str">
        <f t="shared" si="82"/>
        <v/>
      </c>
      <c r="AU632" s="29" t="str">
        <f t="shared" si="83"/>
        <v/>
      </c>
      <c r="AV632" s="30" t="str">
        <f t="shared" si="84"/>
        <v/>
      </c>
      <c r="AW632" s="30" t="str">
        <f t="shared" si="85"/>
        <v/>
      </c>
      <c r="AX632" s="29" t="str">
        <f t="shared" si="86"/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 t="shared" si="87"/>
        <v/>
      </c>
      <c r="BB632" s="29" t="str">
        <f t="shared" si="88"/>
        <v/>
      </c>
      <c r="BC632" s="29">
        <f t="shared" si="89"/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 t="shared" si="81"/>
        <v>0</v>
      </c>
      <c r="AT633" s="30" t="str">
        <f t="shared" si="82"/>
        <v/>
      </c>
      <c r="AU633" s="29" t="str">
        <f t="shared" si="83"/>
        <v/>
      </c>
      <c r="AV633" s="30" t="str">
        <f t="shared" si="84"/>
        <v/>
      </c>
      <c r="AW633" s="30" t="str">
        <f t="shared" si="85"/>
        <v/>
      </c>
      <c r="AX633" s="29" t="str">
        <f t="shared" si="86"/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 t="shared" si="87"/>
        <v/>
      </c>
      <c r="BB633" s="29" t="str">
        <f t="shared" si="88"/>
        <v/>
      </c>
      <c r="BC633" s="29">
        <f t="shared" si="89"/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 t="shared" si="81"/>
        <v>0</v>
      </c>
      <c r="AT634" s="30" t="str">
        <f t="shared" si="82"/>
        <v/>
      </c>
      <c r="AU634" s="29" t="str">
        <f t="shared" si="83"/>
        <v/>
      </c>
      <c r="AV634" s="30" t="str">
        <f t="shared" si="84"/>
        <v/>
      </c>
      <c r="AW634" s="30" t="str">
        <f t="shared" si="85"/>
        <v/>
      </c>
      <c r="AX634" s="29" t="str">
        <f t="shared" si="86"/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 t="shared" si="87"/>
        <v/>
      </c>
      <c r="BB634" s="29" t="str">
        <f t="shared" si="88"/>
        <v/>
      </c>
      <c r="BC634" s="29">
        <f t="shared" si="89"/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 t="shared" si="81"/>
        <v>0</v>
      </c>
      <c r="AT635" s="30" t="str">
        <f t="shared" si="82"/>
        <v/>
      </c>
      <c r="AU635" s="29" t="str">
        <f t="shared" si="83"/>
        <v/>
      </c>
      <c r="AV635" s="30" t="str">
        <f t="shared" si="84"/>
        <v/>
      </c>
      <c r="AW635" s="30" t="str">
        <f t="shared" si="85"/>
        <v/>
      </c>
      <c r="AX635" s="29" t="str">
        <f t="shared" si="86"/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 t="shared" si="87"/>
        <v/>
      </c>
      <c r="BB635" s="29" t="str">
        <f t="shared" si="88"/>
        <v/>
      </c>
      <c r="BC635" s="29">
        <f t="shared" si="89"/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 t="shared" si="81"/>
        <v>0</v>
      </c>
      <c r="AT636" s="30" t="str">
        <f t="shared" si="82"/>
        <v/>
      </c>
      <c r="AU636" s="29" t="str">
        <f t="shared" si="83"/>
        <v/>
      </c>
      <c r="AV636" s="30" t="str">
        <f t="shared" si="84"/>
        <v/>
      </c>
      <c r="AW636" s="30" t="str">
        <f t="shared" si="85"/>
        <v/>
      </c>
      <c r="AX636" s="29" t="str">
        <f t="shared" si="86"/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 t="shared" si="87"/>
        <v/>
      </c>
      <c r="BB636" s="29" t="str">
        <f t="shared" si="88"/>
        <v/>
      </c>
      <c r="BC636" s="29">
        <f t="shared" si="89"/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 t="shared" si="81"/>
        <v>0</v>
      </c>
      <c r="AT637" s="30" t="str">
        <f t="shared" si="82"/>
        <v/>
      </c>
      <c r="AU637" s="29" t="str">
        <f t="shared" si="83"/>
        <v/>
      </c>
      <c r="AV637" s="30" t="str">
        <f t="shared" si="84"/>
        <v/>
      </c>
      <c r="AW637" s="30" t="str">
        <f t="shared" si="85"/>
        <v/>
      </c>
      <c r="AX637" s="29" t="str">
        <f t="shared" si="86"/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 t="shared" si="87"/>
        <v/>
      </c>
      <c r="BB637" s="29" t="str">
        <f t="shared" si="88"/>
        <v/>
      </c>
      <c r="BC637" s="29">
        <f t="shared" si="89"/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 t="shared" si="81"/>
        <v>0</v>
      </c>
      <c r="AT638" s="30" t="str">
        <f t="shared" si="82"/>
        <v/>
      </c>
      <c r="AU638" s="29" t="str">
        <f t="shared" si="83"/>
        <v/>
      </c>
      <c r="AV638" s="30" t="str">
        <f t="shared" si="84"/>
        <v/>
      </c>
      <c r="AW638" s="30" t="str">
        <f t="shared" si="85"/>
        <v/>
      </c>
      <c r="AX638" s="29" t="str">
        <f t="shared" si="86"/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 t="shared" si="87"/>
        <v/>
      </c>
      <c r="BB638" s="29" t="str">
        <f t="shared" si="88"/>
        <v/>
      </c>
      <c r="BC638" s="29">
        <f t="shared" si="89"/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 t="shared" si="81"/>
        <v>0</v>
      </c>
      <c r="AT639" s="30" t="str">
        <f t="shared" si="82"/>
        <v/>
      </c>
      <c r="AU639" s="29" t="str">
        <f t="shared" si="83"/>
        <v/>
      </c>
      <c r="AV639" s="30" t="str">
        <f t="shared" si="84"/>
        <v/>
      </c>
      <c r="AW639" s="30" t="str">
        <f t="shared" si="85"/>
        <v/>
      </c>
      <c r="AX639" s="29" t="str">
        <f t="shared" si="86"/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 t="shared" si="87"/>
        <v/>
      </c>
      <c r="BB639" s="29" t="str">
        <f t="shared" si="88"/>
        <v/>
      </c>
      <c r="BC639" s="29">
        <f t="shared" si="89"/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 t="shared" si="81"/>
        <v>0</v>
      </c>
      <c r="AT640" s="30" t="str">
        <f t="shared" si="82"/>
        <v/>
      </c>
      <c r="AU640" s="29" t="str">
        <f t="shared" si="83"/>
        <v/>
      </c>
      <c r="AV640" s="30" t="str">
        <f t="shared" si="84"/>
        <v/>
      </c>
      <c r="AW640" s="30" t="str">
        <f t="shared" si="85"/>
        <v/>
      </c>
      <c r="AX640" s="29" t="str">
        <f t="shared" si="86"/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 t="shared" si="87"/>
        <v/>
      </c>
      <c r="BB640" s="29" t="str">
        <f t="shared" si="88"/>
        <v/>
      </c>
      <c r="BC640" s="29">
        <f t="shared" si="89"/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 t="shared" si="81"/>
        <v>0</v>
      </c>
      <c r="AT641" s="30" t="str">
        <f t="shared" si="82"/>
        <v/>
      </c>
      <c r="AU641" s="29" t="str">
        <f t="shared" si="83"/>
        <v/>
      </c>
      <c r="AV641" s="30" t="str">
        <f t="shared" si="84"/>
        <v/>
      </c>
      <c r="AW641" s="30" t="str">
        <f t="shared" si="85"/>
        <v/>
      </c>
      <c r="AX641" s="29" t="str">
        <f t="shared" si="86"/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 t="shared" si="87"/>
        <v/>
      </c>
      <c r="BB641" s="29" t="str">
        <f t="shared" si="88"/>
        <v/>
      </c>
      <c r="BC641" s="29">
        <f t="shared" si="89"/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 t="shared" si="81"/>
        <v>0</v>
      </c>
      <c r="AT642" s="30" t="str">
        <f t="shared" si="82"/>
        <v/>
      </c>
      <c r="AU642" s="29" t="str">
        <f t="shared" si="83"/>
        <v/>
      </c>
      <c r="AV642" s="30" t="str">
        <f t="shared" si="84"/>
        <v/>
      </c>
      <c r="AW642" s="30" t="str">
        <f t="shared" si="85"/>
        <v/>
      </c>
      <c r="AX642" s="29" t="str">
        <f t="shared" si="86"/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 t="shared" si="87"/>
        <v/>
      </c>
      <c r="BB642" s="29" t="str">
        <f t="shared" si="88"/>
        <v/>
      </c>
      <c r="BC642" s="29">
        <f t="shared" si="89"/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 t="shared" si="81"/>
        <v>0</v>
      </c>
      <c r="AT643" s="30" t="str">
        <f t="shared" si="82"/>
        <v/>
      </c>
      <c r="AU643" s="29" t="str">
        <f t="shared" si="83"/>
        <v/>
      </c>
      <c r="AV643" s="30" t="str">
        <f t="shared" si="84"/>
        <v/>
      </c>
      <c r="AW643" s="30" t="str">
        <f t="shared" si="85"/>
        <v/>
      </c>
      <c r="AX643" s="29" t="str">
        <f t="shared" si="86"/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 t="shared" si="87"/>
        <v/>
      </c>
      <c r="BB643" s="29" t="str">
        <f t="shared" si="88"/>
        <v/>
      </c>
      <c r="BC643" s="29">
        <f t="shared" si="89"/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 t="shared" si="81"/>
        <v>0</v>
      </c>
      <c r="AT644" s="30" t="str">
        <f t="shared" si="82"/>
        <v/>
      </c>
      <c r="AU644" s="29" t="str">
        <f t="shared" si="83"/>
        <v/>
      </c>
      <c r="AV644" s="30" t="str">
        <f t="shared" si="84"/>
        <v/>
      </c>
      <c r="AW644" s="30" t="str">
        <f t="shared" si="85"/>
        <v/>
      </c>
      <c r="AX644" s="29" t="str">
        <f t="shared" si="86"/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 t="shared" si="87"/>
        <v/>
      </c>
      <c r="BB644" s="29" t="str">
        <f t="shared" si="88"/>
        <v/>
      </c>
      <c r="BC644" s="29">
        <f t="shared" si="89"/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 t="shared" ref="AS645:AS708" si="90">SUM(H645,J645,L645,N645,P645,R645,T645,V645,X645,Z645,AB645,AD645,AF645,AH645,AJ645,AL645,AN645)</f>
        <v>0</v>
      </c>
      <c r="AT645" s="30" t="str">
        <f t="shared" ref="AT645:AT708" si="91">IF(C645="","",DATE(YEAR(C645),MONTH(C645),1))</f>
        <v/>
      </c>
      <c r="AU645" s="29" t="str">
        <f t="shared" ref="AU645:AU708" si="92">IF(AT645="","",TEXT(AT645,"mmmm yyyy"))</f>
        <v/>
      </c>
      <c r="AV645" s="30" t="str">
        <f t="shared" ref="AV645:AV708" si="93">IF(C645="","",C645-WEEKDAY(C645,2)+1)</f>
        <v/>
      </c>
      <c r="AW645" s="30" t="str">
        <f t="shared" ref="AW645:AW708" si="94">IF(AV645="","",AV645+6)</f>
        <v/>
      </c>
      <c r="AX645" s="29" t="str">
        <f t="shared" ref="AX645:AX708" si="95"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 t="shared" ref="BA645:BA708" si="96">IF(B645="","",TEXT(AY645,"00")&amp;"|"&amp;B645&amp;"|"&amp;TEXT(AT645,"yyyymmdd"))</f>
        <v/>
      </c>
      <c r="BB645" s="29" t="str">
        <f t="shared" ref="BB645:BB708" si="97">IF(B645="","",TEXT(AZ645,"00")&amp;"|"&amp;B645&amp;"|"&amp;TEXT(AV645,"yyyymmdd"))</f>
        <v/>
      </c>
      <c r="BC645" s="29">
        <f t="shared" ref="BC645:BC708" si="98"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 t="shared" si="90"/>
        <v>0</v>
      </c>
      <c r="AT646" s="30" t="str">
        <f t="shared" si="91"/>
        <v/>
      </c>
      <c r="AU646" s="29" t="str">
        <f t="shared" si="92"/>
        <v/>
      </c>
      <c r="AV646" s="30" t="str">
        <f t="shared" si="93"/>
        <v/>
      </c>
      <c r="AW646" s="30" t="str">
        <f t="shared" si="94"/>
        <v/>
      </c>
      <c r="AX646" s="29" t="str">
        <f t="shared" si="95"/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 t="shared" si="96"/>
        <v/>
      </c>
      <c r="BB646" s="29" t="str">
        <f t="shared" si="97"/>
        <v/>
      </c>
      <c r="BC646" s="29">
        <f t="shared" si="98"/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 t="shared" si="90"/>
        <v>0</v>
      </c>
      <c r="AT647" s="30" t="str">
        <f t="shared" si="91"/>
        <v/>
      </c>
      <c r="AU647" s="29" t="str">
        <f t="shared" si="92"/>
        <v/>
      </c>
      <c r="AV647" s="30" t="str">
        <f t="shared" si="93"/>
        <v/>
      </c>
      <c r="AW647" s="30" t="str">
        <f t="shared" si="94"/>
        <v/>
      </c>
      <c r="AX647" s="29" t="str">
        <f t="shared" si="95"/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 t="shared" si="96"/>
        <v/>
      </c>
      <c r="BB647" s="29" t="str">
        <f t="shared" si="97"/>
        <v/>
      </c>
      <c r="BC647" s="29">
        <f t="shared" si="98"/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 t="shared" si="90"/>
        <v>0</v>
      </c>
      <c r="AT648" s="30" t="str">
        <f t="shared" si="91"/>
        <v/>
      </c>
      <c r="AU648" s="29" t="str">
        <f t="shared" si="92"/>
        <v/>
      </c>
      <c r="AV648" s="30" t="str">
        <f t="shared" si="93"/>
        <v/>
      </c>
      <c r="AW648" s="30" t="str">
        <f t="shared" si="94"/>
        <v/>
      </c>
      <c r="AX648" s="29" t="str">
        <f t="shared" si="95"/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 t="shared" si="96"/>
        <v/>
      </c>
      <c r="BB648" s="29" t="str">
        <f t="shared" si="97"/>
        <v/>
      </c>
      <c r="BC648" s="29">
        <f t="shared" si="98"/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 t="shared" si="90"/>
        <v>0</v>
      </c>
      <c r="AT649" s="30" t="str">
        <f t="shared" si="91"/>
        <v/>
      </c>
      <c r="AU649" s="29" t="str">
        <f t="shared" si="92"/>
        <v/>
      </c>
      <c r="AV649" s="30" t="str">
        <f t="shared" si="93"/>
        <v/>
      </c>
      <c r="AW649" s="30" t="str">
        <f t="shared" si="94"/>
        <v/>
      </c>
      <c r="AX649" s="29" t="str">
        <f t="shared" si="95"/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 t="shared" si="96"/>
        <v/>
      </c>
      <c r="BB649" s="29" t="str">
        <f t="shared" si="97"/>
        <v/>
      </c>
      <c r="BC649" s="29">
        <f t="shared" si="98"/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 t="shared" si="90"/>
        <v>0</v>
      </c>
      <c r="AT650" s="30" t="str">
        <f t="shared" si="91"/>
        <v/>
      </c>
      <c r="AU650" s="29" t="str">
        <f t="shared" si="92"/>
        <v/>
      </c>
      <c r="AV650" s="30" t="str">
        <f t="shared" si="93"/>
        <v/>
      </c>
      <c r="AW650" s="30" t="str">
        <f t="shared" si="94"/>
        <v/>
      </c>
      <c r="AX650" s="29" t="str">
        <f t="shared" si="95"/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 t="shared" si="96"/>
        <v/>
      </c>
      <c r="BB650" s="29" t="str">
        <f t="shared" si="97"/>
        <v/>
      </c>
      <c r="BC650" s="29">
        <f t="shared" si="98"/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 t="shared" si="90"/>
        <v>0</v>
      </c>
      <c r="AT651" s="30" t="str">
        <f t="shared" si="91"/>
        <v/>
      </c>
      <c r="AU651" s="29" t="str">
        <f t="shared" si="92"/>
        <v/>
      </c>
      <c r="AV651" s="30" t="str">
        <f t="shared" si="93"/>
        <v/>
      </c>
      <c r="AW651" s="30" t="str">
        <f t="shared" si="94"/>
        <v/>
      </c>
      <c r="AX651" s="29" t="str">
        <f t="shared" si="95"/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 t="shared" si="96"/>
        <v/>
      </c>
      <c r="BB651" s="29" t="str">
        <f t="shared" si="97"/>
        <v/>
      </c>
      <c r="BC651" s="29">
        <f t="shared" si="98"/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 t="shared" si="90"/>
        <v>0</v>
      </c>
      <c r="AT652" s="30" t="str">
        <f t="shared" si="91"/>
        <v/>
      </c>
      <c r="AU652" s="29" t="str">
        <f t="shared" si="92"/>
        <v/>
      </c>
      <c r="AV652" s="30" t="str">
        <f t="shared" si="93"/>
        <v/>
      </c>
      <c r="AW652" s="30" t="str">
        <f t="shared" si="94"/>
        <v/>
      </c>
      <c r="AX652" s="29" t="str">
        <f t="shared" si="95"/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 t="shared" si="96"/>
        <v/>
      </c>
      <c r="BB652" s="29" t="str">
        <f t="shared" si="97"/>
        <v/>
      </c>
      <c r="BC652" s="29">
        <f t="shared" si="98"/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 t="shared" si="90"/>
        <v>0</v>
      </c>
      <c r="AT653" s="30" t="str">
        <f t="shared" si="91"/>
        <v/>
      </c>
      <c r="AU653" s="29" t="str">
        <f t="shared" si="92"/>
        <v/>
      </c>
      <c r="AV653" s="30" t="str">
        <f t="shared" si="93"/>
        <v/>
      </c>
      <c r="AW653" s="30" t="str">
        <f t="shared" si="94"/>
        <v/>
      </c>
      <c r="AX653" s="29" t="str">
        <f t="shared" si="95"/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 t="shared" si="96"/>
        <v/>
      </c>
      <c r="BB653" s="29" t="str">
        <f t="shared" si="97"/>
        <v/>
      </c>
      <c r="BC653" s="29">
        <f t="shared" si="98"/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 t="shared" si="90"/>
        <v>0</v>
      </c>
      <c r="AT654" s="30" t="str">
        <f t="shared" si="91"/>
        <v/>
      </c>
      <c r="AU654" s="29" t="str">
        <f t="shared" si="92"/>
        <v/>
      </c>
      <c r="AV654" s="30" t="str">
        <f t="shared" si="93"/>
        <v/>
      </c>
      <c r="AW654" s="30" t="str">
        <f t="shared" si="94"/>
        <v/>
      </c>
      <c r="AX654" s="29" t="str">
        <f t="shared" si="95"/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 t="shared" si="96"/>
        <v/>
      </c>
      <c r="BB654" s="29" t="str">
        <f t="shared" si="97"/>
        <v/>
      </c>
      <c r="BC654" s="29">
        <f t="shared" si="98"/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 t="shared" si="90"/>
        <v>0</v>
      </c>
      <c r="AT655" s="30" t="str">
        <f t="shared" si="91"/>
        <v/>
      </c>
      <c r="AU655" s="29" t="str">
        <f t="shared" si="92"/>
        <v/>
      </c>
      <c r="AV655" s="30" t="str">
        <f t="shared" si="93"/>
        <v/>
      </c>
      <c r="AW655" s="30" t="str">
        <f t="shared" si="94"/>
        <v/>
      </c>
      <c r="AX655" s="29" t="str">
        <f t="shared" si="95"/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 t="shared" si="96"/>
        <v/>
      </c>
      <c r="BB655" s="29" t="str">
        <f t="shared" si="97"/>
        <v/>
      </c>
      <c r="BC655" s="29">
        <f t="shared" si="98"/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 t="shared" si="90"/>
        <v>0</v>
      </c>
      <c r="AT656" s="30" t="str">
        <f t="shared" si="91"/>
        <v/>
      </c>
      <c r="AU656" s="29" t="str">
        <f t="shared" si="92"/>
        <v/>
      </c>
      <c r="AV656" s="30" t="str">
        <f t="shared" si="93"/>
        <v/>
      </c>
      <c r="AW656" s="30" t="str">
        <f t="shared" si="94"/>
        <v/>
      </c>
      <c r="AX656" s="29" t="str">
        <f t="shared" si="95"/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 t="shared" si="96"/>
        <v/>
      </c>
      <c r="BB656" s="29" t="str">
        <f t="shared" si="97"/>
        <v/>
      </c>
      <c r="BC656" s="29">
        <f t="shared" si="98"/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 t="shared" si="90"/>
        <v>0</v>
      </c>
      <c r="AT657" s="30" t="str">
        <f t="shared" si="91"/>
        <v/>
      </c>
      <c r="AU657" s="29" t="str">
        <f t="shared" si="92"/>
        <v/>
      </c>
      <c r="AV657" s="30" t="str">
        <f t="shared" si="93"/>
        <v/>
      </c>
      <c r="AW657" s="30" t="str">
        <f t="shared" si="94"/>
        <v/>
      </c>
      <c r="AX657" s="29" t="str">
        <f t="shared" si="95"/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 t="shared" si="96"/>
        <v/>
      </c>
      <c r="BB657" s="29" t="str">
        <f t="shared" si="97"/>
        <v/>
      </c>
      <c r="BC657" s="29">
        <f t="shared" si="98"/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 t="shared" si="90"/>
        <v>0</v>
      </c>
      <c r="AT658" s="30" t="str">
        <f t="shared" si="91"/>
        <v/>
      </c>
      <c r="AU658" s="29" t="str">
        <f t="shared" si="92"/>
        <v/>
      </c>
      <c r="AV658" s="30" t="str">
        <f t="shared" si="93"/>
        <v/>
      </c>
      <c r="AW658" s="30" t="str">
        <f t="shared" si="94"/>
        <v/>
      </c>
      <c r="AX658" s="29" t="str">
        <f t="shared" si="95"/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 t="shared" si="96"/>
        <v/>
      </c>
      <c r="BB658" s="29" t="str">
        <f t="shared" si="97"/>
        <v/>
      </c>
      <c r="BC658" s="29">
        <f t="shared" si="98"/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 t="shared" si="90"/>
        <v>0</v>
      </c>
      <c r="AT659" s="30" t="str">
        <f t="shared" si="91"/>
        <v/>
      </c>
      <c r="AU659" s="29" t="str">
        <f t="shared" si="92"/>
        <v/>
      </c>
      <c r="AV659" s="30" t="str">
        <f t="shared" si="93"/>
        <v/>
      </c>
      <c r="AW659" s="30" t="str">
        <f t="shared" si="94"/>
        <v/>
      </c>
      <c r="AX659" s="29" t="str">
        <f t="shared" si="95"/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 t="shared" si="96"/>
        <v/>
      </c>
      <c r="BB659" s="29" t="str">
        <f t="shared" si="97"/>
        <v/>
      </c>
      <c r="BC659" s="29">
        <f t="shared" si="98"/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 t="shared" si="90"/>
        <v>0</v>
      </c>
      <c r="AT660" s="30" t="str">
        <f t="shared" si="91"/>
        <v/>
      </c>
      <c r="AU660" s="29" t="str">
        <f t="shared" si="92"/>
        <v/>
      </c>
      <c r="AV660" s="30" t="str">
        <f t="shared" si="93"/>
        <v/>
      </c>
      <c r="AW660" s="30" t="str">
        <f t="shared" si="94"/>
        <v/>
      </c>
      <c r="AX660" s="29" t="str">
        <f t="shared" si="95"/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 t="shared" si="96"/>
        <v/>
      </c>
      <c r="BB660" s="29" t="str">
        <f t="shared" si="97"/>
        <v/>
      </c>
      <c r="BC660" s="29">
        <f t="shared" si="98"/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 t="shared" si="90"/>
        <v>0</v>
      </c>
      <c r="AT661" s="30" t="str">
        <f t="shared" si="91"/>
        <v/>
      </c>
      <c r="AU661" s="29" t="str">
        <f t="shared" si="92"/>
        <v/>
      </c>
      <c r="AV661" s="30" t="str">
        <f t="shared" si="93"/>
        <v/>
      </c>
      <c r="AW661" s="30" t="str">
        <f t="shared" si="94"/>
        <v/>
      </c>
      <c r="AX661" s="29" t="str">
        <f t="shared" si="95"/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 t="shared" si="96"/>
        <v/>
      </c>
      <c r="BB661" s="29" t="str">
        <f t="shared" si="97"/>
        <v/>
      </c>
      <c r="BC661" s="29">
        <f t="shared" si="98"/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 t="shared" si="90"/>
        <v>0</v>
      </c>
      <c r="AT662" s="30" t="str">
        <f t="shared" si="91"/>
        <v/>
      </c>
      <c r="AU662" s="29" t="str">
        <f t="shared" si="92"/>
        <v/>
      </c>
      <c r="AV662" s="30" t="str">
        <f t="shared" si="93"/>
        <v/>
      </c>
      <c r="AW662" s="30" t="str">
        <f t="shared" si="94"/>
        <v/>
      </c>
      <c r="AX662" s="29" t="str">
        <f t="shared" si="95"/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 t="shared" si="96"/>
        <v/>
      </c>
      <c r="BB662" s="29" t="str">
        <f t="shared" si="97"/>
        <v/>
      </c>
      <c r="BC662" s="29">
        <f t="shared" si="98"/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 t="shared" si="90"/>
        <v>0</v>
      </c>
      <c r="AT663" s="30" t="str">
        <f t="shared" si="91"/>
        <v/>
      </c>
      <c r="AU663" s="29" t="str">
        <f t="shared" si="92"/>
        <v/>
      </c>
      <c r="AV663" s="30" t="str">
        <f t="shared" si="93"/>
        <v/>
      </c>
      <c r="AW663" s="30" t="str">
        <f t="shared" si="94"/>
        <v/>
      </c>
      <c r="AX663" s="29" t="str">
        <f t="shared" si="95"/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 t="shared" si="96"/>
        <v/>
      </c>
      <c r="BB663" s="29" t="str">
        <f t="shared" si="97"/>
        <v/>
      </c>
      <c r="BC663" s="29">
        <f t="shared" si="98"/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 t="shared" si="90"/>
        <v>0</v>
      </c>
      <c r="AT664" s="30" t="str">
        <f t="shared" si="91"/>
        <v/>
      </c>
      <c r="AU664" s="29" t="str">
        <f t="shared" si="92"/>
        <v/>
      </c>
      <c r="AV664" s="30" t="str">
        <f t="shared" si="93"/>
        <v/>
      </c>
      <c r="AW664" s="30" t="str">
        <f t="shared" si="94"/>
        <v/>
      </c>
      <c r="AX664" s="29" t="str">
        <f t="shared" si="95"/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 t="shared" si="96"/>
        <v/>
      </c>
      <c r="BB664" s="29" t="str">
        <f t="shared" si="97"/>
        <v/>
      </c>
      <c r="BC664" s="29">
        <f t="shared" si="98"/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 t="shared" si="90"/>
        <v>0</v>
      </c>
      <c r="AT665" s="30" t="str">
        <f t="shared" si="91"/>
        <v/>
      </c>
      <c r="AU665" s="29" t="str">
        <f t="shared" si="92"/>
        <v/>
      </c>
      <c r="AV665" s="30" t="str">
        <f t="shared" si="93"/>
        <v/>
      </c>
      <c r="AW665" s="30" t="str">
        <f t="shared" si="94"/>
        <v/>
      </c>
      <c r="AX665" s="29" t="str">
        <f t="shared" si="95"/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 t="shared" si="96"/>
        <v/>
      </c>
      <c r="BB665" s="29" t="str">
        <f t="shared" si="97"/>
        <v/>
      </c>
      <c r="BC665" s="29">
        <f t="shared" si="98"/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 t="shared" si="90"/>
        <v>0</v>
      </c>
      <c r="AT666" s="30" t="str">
        <f t="shared" si="91"/>
        <v/>
      </c>
      <c r="AU666" s="29" t="str">
        <f t="shared" si="92"/>
        <v/>
      </c>
      <c r="AV666" s="30" t="str">
        <f t="shared" si="93"/>
        <v/>
      </c>
      <c r="AW666" s="30" t="str">
        <f t="shared" si="94"/>
        <v/>
      </c>
      <c r="AX666" s="29" t="str">
        <f t="shared" si="95"/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 t="shared" si="96"/>
        <v/>
      </c>
      <c r="BB666" s="29" t="str">
        <f t="shared" si="97"/>
        <v/>
      </c>
      <c r="BC666" s="29">
        <f t="shared" si="98"/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 t="shared" si="90"/>
        <v>0</v>
      </c>
      <c r="AT667" s="30" t="str">
        <f t="shared" si="91"/>
        <v/>
      </c>
      <c r="AU667" s="29" t="str">
        <f t="shared" si="92"/>
        <v/>
      </c>
      <c r="AV667" s="30" t="str">
        <f t="shared" si="93"/>
        <v/>
      </c>
      <c r="AW667" s="30" t="str">
        <f t="shared" si="94"/>
        <v/>
      </c>
      <c r="AX667" s="29" t="str">
        <f t="shared" si="95"/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 t="shared" si="96"/>
        <v/>
      </c>
      <c r="BB667" s="29" t="str">
        <f t="shared" si="97"/>
        <v/>
      </c>
      <c r="BC667" s="29">
        <f t="shared" si="98"/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 t="shared" si="90"/>
        <v>0</v>
      </c>
      <c r="AT668" s="30" t="str">
        <f t="shared" si="91"/>
        <v/>
      </c>
      <c r="AU668" s="29" t="str">
        <f t="shared" si="92"/>
        <v/>
      </c>
      <c r="AV668" s="30" t="str">
        <f t="shared" si="93"/>
        <v/>
      </c>
      <c r="AW668" s="30" t="str">
        <f t="shared" si="94"/>
        <v/>
      </c>
      <c r="AX668" s="29" t="str">
        <f t="shared" si="95"/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 t="shared" si="96"/>
        <v/>
      </c>
      <c r="BB668" s="29" t="str">
        <f t="shared" si="97"/>
        <v/>
      </c>
      <c r="BC668" s="29">
        <f t="shared" si="98"/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 t="shared" si="90"/>
        <v>0</v>
      </c>
      <c r="AT669" s="30" t="str">
        <f t="shared" si="91"/>
        <v/>
      </c>
      <c r="AU669" s="29" t="str">
        <f t="shared" si="92"/>
        <v/>
      </c>
      <c r="AV669" s="30" t="str">
        <f t="shared" si="93"/>
        <v/>
      </c>
      <c r="AW669" s="30" t="str">
        <f t="shared" si="94"/>
        <v/>
      </c>
      <c r="AX669" s="29" t="str">
        <f t="shared" si="95"/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 t="shared" si="96"/>
        <v/>
      </c>
      <c r="BB669" s="29" t="str">
        <f t="shared" si="97"/>
        <v/>
      </c>
      <c r="BC669" s="29">
        <f t="shared" si="98"/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 t="shared" si="90"/>
        <v>0</v>
      </c>
      <c r="AT670" s="30" t="str">
        <f t="shared" si="91"/>
        <v/>
      </c>
      <c r="AU670" s="29" t="str">
        <f t="shared" si="92"/>
        <v/>
      </c>
      <c r="AV670" s="30" t="str">
        <f t="shared" si="93"/>
        <v/>
      </c>
      <c r="AW670" s="30" t="str">
        <f t="shared" si="94"/>
        <v/>
      </c>
      <c r="AX670" s="29" t="str">
        <f t="shared" si="95"/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 t="shared" si="96"/>
        <v/>
      </c>
      <c r="BB670" s="29" t="str">
        <f t="shared" si="97"/>
        <v/>
      </c>
      <c r="BC670" s="29">
        <f t="shared" si="98"/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 t="shared" si="90"/>
        <v>0</v>
      </c>
      <c r="AT671" s="30" t="str">
        <f t="shared" si="91"/>
        <v/>
      </c>
      <c r="AU671" s="29" t="str">
        <f t="shared" si="92"/>
        <v/>
      </c>
      <c r="AV671" s="30" t="str">
        <f t="shared" si="93"/>
        <v/>
      </c>
      <c r="AW671" s="30" t="str">
        <f t="shared" si="94"/>
        <v/>
      </c>
      <c r="AX671" s="29" t="str">
        <f t="shared" si="95"/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 t="shared" si="96"/>
        <v/>
      </c>
      <c r="BB671" s="29" t="str">
        <f t="shared" si="97"/>
        <v/>
      </c>
      <c r="BC671" s="29">
        <f t="shared" si="98"/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 t="shared" si="90"/>
        <v>0</v>
      </c>
      <c r="AT672" s="30" t="str">
        <f t="shared" si="91"/>
        <v/>
      </c>
      <c r="AU672" s="29" t="str">
        <f t="shared" si="92"/>
        <v/>
      </c>
      <c r="AV672" s="30" t="str">
        <f t="shared" si="93"/>
        <v/>
      </c>
      <c r="AW672" s="30" t="str">
        <f t="shared" si="94"/>
        <v/>
      </c>
      <c r="AX672" s="29" t="str">
        <f t="shared" si="95"/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 t="shared" si="96"/>
        <v/>
      </c>
      <c r="BB672" s="29" t="str">
        <f t="shared" si="97"/>
        <v/>
      </c>
      <c r="BC672" s="29">
        <f t="shared" si="98"/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 t="shared" si="90"/>
        <v>0</v>
      </c>
      <c r="AT673" s="30" t="str">
        <f t="shared" si="91"/>
        <v/>
      </c>
      <c r="AU673" s="29" t="str">
        <f t="shared" si="92"/>
        <v/>
      </c>
      <c r="AV673" s="30" t="str">
        <f t="shared" si="93"/>
        <v/>
      </c>
      <c r="AW673" s="30" t="str">
        <f t="shared" si="94"/>
        <v/>
      </c>
      <c r="AX673" s="29" t="str">
        <f t="shared" si="95"/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 t="shared" si="96"/>
        <v/>
      </c>
      <c r="BB673" s="29" t="str">
        <f t="shared" si="97"/>
        <v/>
      </c>
      <c r="BC673" s="29">
        <f t="shared" si="98"/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 t="shared" si="90"/>
        <v>0</v>
      </c>
      <c r="AT674" s="30" t="str">
        <f t="shared" si="91"/>
        <v/>
      </c>
      <c r="AU674" s="29" t="str">
        <f t="shared" si="92"/>
        <v/>
      </c>
      <c r="AV674" s="30" t="str">
        <f t="shared" si="93"/>
        <v/>
      </c>
      <c r="AW674" s="30" t="str">
        <f t="shared" si="94"/>
        <v/>
      </c>
      <c r="AX674" s="29" t="str">
        <f t="shared" si="95"/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 t="shared" si="96"/>
        <v/>
      </c>
      <c r="BB674" s="29" t="str">
        <f t="shared" si="97"/>
        <v/>
      </c>
      <c r="BC674" s="29">
        <f t="shared" si="98"/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 t="shared" si="90"/>
        <v>0</v>
      </c>
      <c r="AT675" s="30" t="str">
        <f t="shared" si="91"/>
        <v/>
      </c>
      <c r="AU675" s="29" t="str">
        <f t="shared" si="92"/>
        <v/>
      </c>
      <c r="AV675" s="30" t="str">
        <f t="shared" si="93"/>
        <v/>
      </c>
      <c r="AW675" s="30" t="str">
        <f t="shared" si="94"/>
        <v/>
      </c>
      <c r="AX675" s="29" t="str">
        <f t="shared" si="95"/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 t="shared" si="96"/>
        <v/>
      </c>
      <c r="BB675" s="29" t="str">
        <f t="shared" si="97"/>
        <v/>
      </c>
      <c r="BC675" s="29">
        <f t="shared" si="98"/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 t="shared" si="90"/>
        <v>0</v>
      </c>
      <c r="AT676" s="30" t="str">
        <f t="shared" si="91"/>
        <v/>
      </c>
      <c r="AU676" s="29" t="str">
        <f t="shared" si="92"/>
        <v/>
      </c>
      <c r="AV676" s="30" t="str">
        <f t="shared" si="93"/>
        <v/>
      </c>
      <c r="AW676" s="30" t="str">
        <f t="shared" si="94"/>
        <v/>
      </c>
      <c r="AX676" s="29" t="str">
        <f t="shared" si="95"/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 t="shared" si="96"/>
        <v/>
      </c>
      <c r="BB676" s="29" t="str">
        <f t="shared" si="97"/>
        <v/>
      </c>
      <c r="BC676" s="29">
        <f t="shared" si="98"/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 t="shared" si="90"/>
        <v>0</v>
      </c>
      <c r="AT677" s="30" t="str">
        <f t="shared" si="91"/>
        <v/>
      </c>
      <c r="AU677" s="29" t="str">
        <f t="shared" si="92"/>
        <v/>
      </c>
      <c r="AV677" s="30" t="str">
        <f t="shared" si="93"/>
        <v/>
      </c>
      <c r="AW677" s="30" t="str">
        <f t="shared" si="94"/>
        <v/>
      </c>
      <c r="AX677" s="29" t="str">
        <f t="shared" si="95"/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 t="shared" si="96"/>
        <v/>
      </c>
      <c r="BB677" s="29" t="str">
        <f t="shared" si="97"/>
        <v/>
      </c>
      <c r="BC677" s="29">
        <f t="shared" si="98"/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 t="shared" si="90"/>
        <v>0</v>
      </c>
      <c r="AT678" s="30" t="str">
        <f t="shared" si="91"/>
        <v/>
      </c>
      <c r="AU678" s="29" t="str">
        <f t="shared" si="92"/>
        <v/>
      </c>
      <c r="AV678" s="30" t="str">
        <f t="shared" si="93"/>
        <v/>
      </c>
      <c r="AW678" s="30" t="str">
        <f t="shared" si="94"/>
        <v/>
      </c>
      <c r="AX678" s="29" t="str">
        <f t="shared" si="95"/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 t="shared" si="96"/>
        <v/>
      </c>
      <c r="BB678" s="29" t="str">
        <f t="shared" si="97"/>
        <v/>
      </c>
      <c r="BC678" s="29">
        <f t="shared" si="98"/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 t="shared" si="90"/>
        <v>0</v>
      </c>
      <c r="AT679" s="30" t="str">
        <f t="shared" si="91"/>
        <v/>
      </c>
      <c r="AU679" s="29" t="str">
        <f t="shared" si="92"/>
        <v/>
      </c>
      <c r="AV679" s="30" t="str">
        <f t="shared" si="93"/>
        <v/>
      </c>
      <c r="AW679" s="30" t="str">
        <f t="shared" si="94"/>
        <v/>
      </c>
      <c r="AX679" s="29" t="str">
        <f t="shared" si="95"/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 t="shared" si="96"/>
        <v/>
      </c>
      <c r="BB679" s="29" t="str">
        <f t="shared" si="97"/>
        <v/>
      </c>
      <c r="BC679" s="29">
        <f t="shared" si="98"/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 t="shared" si="90"/>
        <v>0</v>
      </c>
      <c r="AT680" s="30" t="str">
        <f t="shared" si="91"/>
        <v/>
      </c>
      <c r="AU680" s="29" t="str">
        <f t="shared" si="92"/>
        <v/>
      </c>
      <c r="AV680" s="30" t="str">
        <f t="shared" si="93"/>
        <v/>
      </c>
      <c r="AW680" s="30" t="str">
        <f t="shared" si="94"/>
        <v/>
      </c>
      <c r="AX680" s="29" t="str">
        <f t="shared" si="95"/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 t="shared" si="96"/>
        <v/>
      </c>
      <c r="BB680" s="29" t="str">
        <f t="shared" si="97"/>
        <v/>
      </c>
      <c r="BC680" s="29">
        <f t="shared" si="98"/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 t="shared" si="90"/>
        <v>0</v>
      </c>
      <c r="AT681" s="30" t="str">
        <f t="shared" si="91"/>
        <v/>
      </c>
      <c r="AU681" s="29" t="str">
        <f t="shared" si="92"/>
        <v/>
      </c>
      <c r="AV681" s="30" t="str">
        <f t="shared" si="93"/>
        <v/>
      </c>
      <c r="AW681" s="30" t="str">
        <f t="shared" si="94"/>
        <v/>
      </c>
      <c r="AX681" s="29" t="str">
        <f t="shared" si="95"/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 t="shared" si="96"/>
        <v/>
      </c>
      <c r="BB681" s="29" t="str">
        <f t="shared" si="97"/>
        <v/>
      </c>
      <c r="BC681" s="29">
        <f t="shared" si="98"/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 t="shared" si="90"/>
        <v>0</v>
      </c>
      <c r="AT682" s="30" t="str">
        <f t="shared" si="91"/>
        <v/>
      </c>
      <c r="AU682" s="29" t="str">
        <f t="shared" si="92"/>
        <v/>
      </c>
      <c r="AV682" s="30" t="str">
        <f t="shared" si="93"/>
        <v/>
      </c>
      <c r="AW682" s="30" t="str">
        <f t="shared" si="94"/>
        <v/>
      </c>
      <c r="AX682" s="29" t="str">
        <f t="shared" si="95"/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 t="shared" si="96"/>
        <v/>
      </c>
      <c r="BB682" s="29" t="str">
        <f t="shared" si="97"/>
        <v/>
      </c>
      <c r="BC682" s="29">
        <f t="shared" si="98"/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 t="shared" si="90"/>
        <v>0</v>
      </c>
      <c r="AT683" s="30" t="str">
        <f t="shared" si="91"/>
        <v/>
      </c>
      <c r="AU683" s="29" t="str">
        <f t="shared" si="92"/>
        <v/>
      </c>
      <c r="AV683" s="30" t="str">
        <f t="shared" si="93"/>
        <v/>
      </c>
      <c r="AW683" s="30" t="str">
        <f t="shared" si="94"/>
        <v/>
      </c>
      <c r="AX683" s="29" t="str">
        <f t="shared" si="95"/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 t="shared" si="96"/>
        <v/>
      </c>
      <c r="BB683" s="29" t="str">
        <f t="shared" si="97"/>
        <v/>
      </c>
      <c r="BC683" s="29">
        <f t="shared" si="98"/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 t="shared" si="90"/>
        <v>0</v>
      </c>
      <c r="AT684" s="30" t="str">
        <f t="shared" si="91"/>
        <v/>
      </c>
      <c r="AU684" s="29" t="str">
        <f t="shared" si="92"/>
        <v/>
      </c>
      <c r="AV684" s="30" t="str">
        <f t="shared" si="93"/>
        <v/>
      </c>
      <c r="AW684" s="30" t="str">
        <f t="shared" si="94"/>
        <v/>
      </c>
      <c r="AX684" s="29" t="str">
        <f t="shared" si="95"/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 t="shared" si="96"/>
        <v/>
      </c>
      <c r="BB684" s="29" t="str">
        <f t="shared" si="97"/>
        <v/>
      </c>
      <c r="BC684" s="29">
        <f t="shared" si="98"/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 t="shared" si="90"/>
        <v>0</v>
      </c>
      <c r="AT685" s="30" t="str">
        <f t="shared" si="91"/>
        <v/>
      </c>
      <c r="AU685" s="29" t="str">
        <f t="shared" si="92"/>
        <v/>
      </c>
      <c r="AV685" s="30" t="str">
        <f t="shared" si="93"/>
        <v/>
      </c>
      <c r="AW685" s="30" t="str">
        <f t="shared" si="94"/>
        <v/>
      </c>
      <c r="AX685" s="29" t="str">
        <f t="shared" si="95"/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 t="shared" si="96"/>
        <v/>
      </c>
      <c r="BB685" s="29" t="str">
        <f t="shared" si="97"/>
        <v/>
      </c>
      <c r="BC685" s="29">
        <f t="shared" si="98"/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 t="shared" si="90"/>
        <v>0</v>
      </c>
      <c r="AT686" s="30" t="str">
        <f t="shared" si="91"/>
        <v/>
      </c>
      <c r="AU686" s="29" t="str">
        <f t="shared" si="92"/>
        <v/>
      </c>
      <c r="AV686" s="30" t="str">
        <f t="shared" si="93"/>
        <v/>
      </c>
      <c r="AW686" s="30" t="str">
        <f t="shared" si="94"/>
        <v/>
      </c>
      <c r="AX686" s="29" t="str">
        <f t="shared" si="95"/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 t="shared" si="96"/>
        <v/>
      </c>
      <c r="BB686" s="29" t="str">
        <f t="shared" si="97"/>
        <v/>
      </c>
      <c r="BC686" s="29">
        <f t="shared" si="98"/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 t="shared" si="90"/>
        <v>0</v>
      </c>
      <c r="AT687" s="30" t="str">
        <f t="shared" si="91"/>
        <v/>
      </c>
      <c r="AU687" s="29" t="str">
        <f t="shared" si="92"/>
        <v/>
      </c>
      <c r="AV687" s="30" t="str">
        <f t="shared" si="93"/>
        <v/>
      </c>
      <c r="AW687" s="30" t="str">
        <f t="shared" si="94"/>
        <v/>
      </c>
      <c r="AX687" s="29" t="str">
        <f t="shared" si="95"/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 t="shared" si="96"/>
        <v/>
      </c>
      <c r="BB687" s="29" t="str">
        <f t="shared" si="97"/>
        <v/>
      </c>
      <c r="BC687" s="29">
        <f t="shared" si="98"/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 t="shared" si="90"/>
        <v>0</v>
      </c>
      <c r="AT688" s="30" t="str">
        <f t="shared" si="91"/>
        <v/>
      </c>
      <c r="AU688" s="29" t="str">
        <f t="shared" si="92"/>
        <v/>
      </c>
      <c r="AV688" s="30" t="str">
        <f t="shared" si="93"/>
        <v/>
      </c>
      <c r="AW688" s="30" t="str">
        <f t="shared" si="94"/>
        <v/>
      </c>
      <c r="AX688" s="29" t="str">
        <f t="shared" si="95"/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 t="shared" si="96"/>
        <v/>
      </c>
      <c r="BB688" s="29" t="str">
        <f t="shared" si="97"/>
        <v/>
      </c>
      <c r="BC688" s="29">
        <f t="shared" si="98"/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 t="shared" si="90"/>
        <v>0</v>
      </c>
      <c r="AT689" s="30" t="str">
        <f t="shared" si="91"/>
        <v/>
      </c>
      <c r="AU689" s="29" t="str">
        <f t="shared" si="92"/>
        <v/>
      </c>
      <c r="AV689" s="30" t="str">
        <f t="shared" si="93"/>
        <v/>
      </c>
      <c r="AW689" s="30" t="str">
        <f t="shared" si="94"/>
        <v/>
      </c>
      <c r="AX689" s="29" t="str">
        <f t="shared" si="95"/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 t="shared" si="96"/>
        <v/>
      </c>
      <c r="BB689" s="29" t="str">
        <f t="shared" si="97"/>
        <v/>
      </c>
      <c r="BC689" s="29">
        <f t="shared" si="98"/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 t="shared" si="90"/>
        <v>0</v>
      </c>
      <c r="AT690" s="30" t="str">
        <f t="shared" si="91"/>
        <v/>
      </c>
      <c r="AU690" s="29" t="str">
        <f t="shared" si="92"/>
        <v/>
      </c>
      <c r="AV690" s="30" t="str">
        <f t="shared" si="93"/>
        <v/>
      </c>
      <c r="AW690" s="30" t="str">
        <f t="shared" si="94"/>
        <v/>
      </c>
      <c r="AX690" s="29" t="str">
        <f t="shared" si="95"/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 t="shared" si="96"/>
        <v/>
      </c>
      <c r="BB690" s="29" t="str">
        <f t="shared" si="97"/>
        <v/>
      </c>
      <c r="BC690" s="29">
        <f t="shared" si="98"/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 t="shared" si="90"/>
        <v>0</v>
      </c>
      <c r="AT691" s="30" t="str">
        <f t="shared" si="91"/>
        <v/>
      </c>
      <c r="AU691" s="29" t="str">
        <f t="shared" si="92"/>
        <v/>
      </c>
      <c r="AV691" s="30" t="str">
        <f t="shared" si="93"/>
        <v/>
      </c>
      <c r="AW691" s="30" t="str">
        <f t="shared" si="94"/>
        <v/>
      </c>
      <c r="AX691" s="29" t="str">
        <f t="shared" si="95"/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 t="shared" si="96"/>
        <v/>
      </c>
      <c r="BB691" s="29" t="str">
        <f t="shared" si="97"/>
        <v/>
      </c>
      <c r="BC691" s="29">
        <f t="shared" si="98"/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 t="shared" si="90"/>
        <v>0</v>
      </c>
      <c r="AT692" s="30" t="str">
        <f t="shared" si="91"/>
        <v/>
      </c>
      <c r="AU692" s="29" t="str">
        <f t="shared" si="92"/>
        <v/>
      </c>
      <c r="AV692" s="30" t="str">
        <f t="shared" si="93"/>
        <v/>
      </c>
      <c r="AW692" s="30" t="str">
        <f t="shared" si="94"/>
        <v/>
      </c>
      <c r="AX692" s="29" t="str">
        <f t="shared" si="95"/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 t="shared" si="96"/>
        <v/>
      </c>
      <c r="BB692" s="29" t="str">
        <f t="shared" si="97"/>
        <v/>
      </c>
      <c r="BC692" s="29">
        <f t="shared" si="98"/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 t="shared" si="90"/>
        <v>0</v>
      </c>
      <c r="AT693" s="30" t="str">
        <f t="shared" si="91"/>
        <v/>
      </c>
      <c r="AU693" s="29" t="str">
        <f t="shared" si="92"/>
        <v/>
      </c>
      <c r="AV693" s="30" t="str">
        <f t="shared" si="93"/>
        <v/>
      </c>
      <c r="AW693" s="30" t="str">
        <f t="shared" si="94"/>
        <v/>
      </c>
      <c r="AX693" s="29" t="str">
        <f t="shared" si="95"/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 t="shared" si="96"/>
        <v/>
      </c>
      <c r="BB693" s="29" t="str">
        <f t="shared" si="97"/>
        <v/>
      </c>
      <c r="BC693" s="29">
        <f t="shared" si="98"/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 t="shared" si="90"/>
        <v>0</v>
      </c>
      <c r="AT694" s="30" t="str">
        <f t="shared" si="91"/>
        <v/>
      </c>
      <c r="AU694" s="29" t="str">
        <f t="shared" si="92"/>
        <v/>
      </c>
      <c r="AV694" s="30" t="str">
        <f t="shared" si="93"/>
        <v/>
      </c>
      <c r="AW694" s="30" t="str">
        <f t="shared" si="94"/>
        <v/>
      </c>
      <c r="AX694" s="29" t="str">
        <f t="shared" si="95"/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 t="shared" si="96"/>
        <v/>
      </c>
      <c r="BB694" s="29" t="str">
        <f t="shared" si="97"/>
        <v/>
      </c>
      <c r="BC694" s="29">
        <f t="shared" si="98"/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 t="shared" si="90"/>
        <v>0</v>
      </c>
      <c r="AT695" s="30" t="str">
        <f t="shared" si="91"/>
        <v/>
      </c>
      <c r="AU695" s="29" t="str">
        <f t="shared" si="92"/>
        <v/>
      </c>
      <c r="AV695" s="30" t="str">
        <f t="shared" si="93"/>
        <v/>
      </c>
      <c r="AW695" s="30" t="str">
        <f t="shared" si="94"/>
        <v/>
      </c>
      <c r="AX695" s="29" t="str">
        <f t="shared" si="95"/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 t="shared" si="96"/>
        <v/>
      </c>
      <c r="BB695" s="29" t="str">
        <f t="shared" si="97"/>
        <v/>
      </c>
      <c r="BC695" s="29">
        <f t="shared" si="98"/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 t="shared" si="90"/>
        <v>0</v>
      </c>
      <c r="AT696" s="30" t="str">
        <f t="shared" si="91"/>
        <v/>
      </c>
      <c r="AU696" s="29" t="str">
        <f t="shared" si="92"/>
        <v/>
      </c>
      <c r="AV696" s="30" t="str">
        <f t="shared" si="93"/>
        <v/>
      </c>
      <c r="AW696" s="30" t="str">
        <f t="shared" si="94"/>
        <v/>
      </c>
      <c r="AX696" s="29" t="str">
        <f t="shared" si="95"/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 t="shared" si="96"/>
        <v/>
      </c>
      <c r="BB696" s="29" t="str">
        <f t="shared" si="97"/>
        <v/>
      </c>
      <c r="BC696" s="29">
        <f t="shared" si="98"/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 t="shared" si="90"/>
        <v>0</v>
      </c>
      <c r="AT697" s="30" t="str">
        <f t="shared" si="91"/>
        <v/>
      </c>
      <c r="AU697" s="29" t="str">
        <f t="shared" si="92"/>
        <v/>
      </c>
      <c r="AV697" s="30" t="str">
        <f t="shared" si="93"/>
        <v/>
      </c>
      <c r="AW697" s="30" t="str">
        <f t="shared" si="94"/>
        <v/>
      </c>
      <c r="AX697" s="29" t="str">
        <f t="shared" si="95"/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 t="shared" si="96"/>
        <v/>
      </c>
      <c r="BB697" s="29" t="str">
        <f t="shared" si="97"/>
        <v/>
      </c>
      <c r="BC697" s="29">
        <f t="shared" si="98"/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 t="shared" si="90"/>
        <v>0</v>
      </c>
      <c r="AT698" s="30" t="str">
        <f t="shared" si="91"/>
        <v/>
      </c>
      <c r="AU698" s="29" t="str">
        <f t="shared" si="92"/>
        <v/>
      </c>
      <c r="AV698" s="30" t="str">
        <f t="shared" si="93"/>
        <v/>
      </c>
      <c r="AW698" s="30" t="str">
        <f t="shared" si="94"/>
        <v/>
      </c>
      <c r="AX698" s="29" t="str">
        <f t="shared" si="95"/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 t="shared" si="96"/>
        <v/>
      </c>
      <c r="BB698" s="29" t="str">
        <f t="shared" si="97"/>
        <v/>
      </c>
      <c r="BC698" s="29">
        <f t="shared" si="98"/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 t="shared" si="90"/>
        <v>0</v>
      </c>
      <c r="AT699" s="30" t="str">
        <f t="shared" si="91"/>
        <v/>
      </c>
      <c r="AU699" s="29" t="str">
        <f t="shared" si="92"/>
        <v/>
      </c>
      <c r="AV699" s="30" t="str">
        <f t="shared" si="93"/>
        <v/>
      </c>
      <c r="AW699" s="30" t="str">
        <f t="shared" si="94"/>
        <v/>
      </c>
      <c r="AX699" s="29" t="str">
        <f t="shared" si="95"/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 t="shared" si="96"/>
        <v/>
      </c>
      <c r="BB699" s="29" t="str">
        <f t="shared" si="97"/>
        <v/>
      </c>
      <c r="BC699" s="29">
        <f t="shared" si="98"/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 t="shared" si="90"/>
        <v>0</v>
      </c>
      <c r="AT700" s="30" t="str">
        <f t="shared" si="91"/>
        <v/>
      </c>
      <c r="AU700" s="29" t="str">
        <f t="shared" si="92"/>
        <v/>
      </c>
      <c r="AV700" s="30" t="str">
        <f t="shared" si="93"/>
        <v/>
      </c>
      <c r="AW700" s="30" t="str">
        <f t="shared" si="94"/>
        <v/>
      </c>
      <c r="AX700" s="29" t="str">
        <f t="shared" si="95"/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 t="shared" si="96"/>
        <v/>
      </c>
      <c r="BB700" s="29" t="str">
        <f t="shared" si="97"/>
        <v/>
      </c>
      <c r="BC700" s="29">
        <f t="shared" si="98"/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 t="shared" si="90"/>
        <v>0</v>
      </c>
      <c r="AT701" s="30" t="str">
        <f t="shared" si="91"/>
        <v/>
      </c>
      <c r="AU701" s="29" t="str">
        <f t="shared" si="92"/>
        <v/>
      </c>
      <c r="AV701" s="30" t="str">
        <f t="shared" si="93"/>
        <v/>
      </c>
      <c r="AW701" s="30" t="str">
        <f t="shared" si="94"/>
        <v/>
      </c>
      <c r="AX701" s="29" t="str">
        <f t="shared" si="95"/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 t="shared" si="96"/>
        <v/>
      </c>
      <c r="BB701" s="29" t="str">
        <f t="shared" si="97"/>
        <v/>
      </c>
      <c r="BC701" s="29">
        <f t="shared" si="98"/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 t="shared" si="90"/>
        <v>0</v>
      </c>
      <c r="AT702" s="30" t="str">
        <f t="shared" si="91"/>
        <v/>
      </c>
      <c r="AU702" s="29" t="str">
        <f t="shared" si="92"/>
        <v/>
      </c>
      <c r="AV702" s="30" t="str">
        <f t="shared" si="93"/>
        <v/>
      </c>
      <c r="AW702" s="30" t="str">
        <f t="shared" si="94"/>
        <v/>
      </c>
      <c r="AX702" s="29" t="str">
        <f t="shared" si="95"/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 t="shared" si="96"/>
        <v/>
      </c>
      <c r="BB702" s="29" t="str">
        <f t="shared" si="97"/>
        <v/>
      </c>
      <c r="BC702" s="29">
        <f t="shared" si="98"/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 t="shared" si="90"/>
        <v>0</v>
      </c>
      <c r="AT703" s="30" t="str">
        <f t="shared" si="91"/>
        <v/>
      </c>
      <c r="AU703" s="29" t="str">
        <f t="shared" si="92"/>
        <v/>
      </c>
      <c r="AV703" s="30" t="str">
        <f t="shared" si="93"/>
        <v/>
      </c>
      <c r="AW703" s="30" t="str">
        <f t="shared" si="94"/>
        <v/>
      </c>
      <c r="AX703" s="29" t="str">
        <f t="shared" si="95"/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 t="shared" si="96"/>
        <v/>
      </c>
      <c r="BB703" s="29" t="str">
        <f t="shared" si="97"/>
        <v/>
      </c>
      <c r="BC703" s="29">
        <f t="shared" si="98"/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 t="shared" si="90"/>
        <v>0</v>
      </c>
      <c r="AT704" s="30" t="str">
        <f t="shared" si="91"/>
        <v/>
      </c>
      <c r="AU704" s="29" t="str">
        <f t="shared" si="92"/>
        <v/>
      </c>
      <c r="AV704" s="30" t="str">
        <f t="shared" si="93"/>
        <v/>
      </c>
      <c r="AW704" s="30" t="str">
        <f t="shared" si="94"/>
        <v/>
      </c>
      <c r="AX704" s="29" t="str">
        <f t="shared" si="95"/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 t="shared" si="96"/>
        <v/>
      </c>
      <c r="BB704" s="29" t="str">
        <f t="shared" si="97"/>
        <v/>
      </c>
      <c r="BC704" s="29">
        <f t="shared" si="98"/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 t="shared" si="90"/>
        <v>0</v>
      </c>
      <c r="AT705" s="30" t="str">
        <f t="shared" si="91"/>
        <v/>
      </c>
      <c r="AU705" s="29" t="str">
        <f t="shared" si="92"/>
        <v/>
      </c>
      <c r="AV705" s="30" t="str">
        <f t="shared" si="93"/>
        <v/>
      </c>
      <c r="AW705" s="30" t="str">
        <f t="shared" si="94"/>
        <v/>
      </c>
      <c r="AX705" s="29" t="str">
        <f t="shared" si="95"/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 t="shared" si="96"/>
        <v/>
      </c>
      <c r="BB705" s="29" t="str">
        <f t="shared" si="97"/>
        <v/>
      </c>
      <c r="BC705" s="29">
        <f t="shared" si="98"/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 t="shared" si="90"/>
        <v>0</v>
      </c>
      <c r="AT706" s="30" t="str">
        <f t="shared" si="91"/>
        <v/>
      </c>
      <c r="AU706" s="29" t="str">
        <f t="shared" si="92"/>
        <v/>
      </c>
      <c r="AV706" s="30" t="str">
        <f t="shared" si="93"/>
        <v/>
      </c>
      <c r="AW706" s="30" t="str">
        <f t="shared" si="94"/>
        <v/>
      </c>
      <c r="AX706" s="29" t="str">
        <f t="shared" si="95"/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 t="shared" si="96"/>
        <v/>
      </c>
      <c r="BB706" s="29" t="str">
        <f t="shared" si="97"/>
        <v/>
      </c>
      <c r="BC706" s="29">
        <f t="shared" si="98"/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 t="shared" si="90"/>
        <v>0</v>
      </c>
      <c r="AT707" s="30" t="str">
        <f t="shared" si="91"/>
        <v/>
      </c>
      <c r="AU707" s="29" t="str">
        <f t="shared" si="92"/>
        <v/>
      </c>
      <c r="AV707" s="30" t="str">
        <f t="shared" si="93"/>
        <v/>
      </c>
      <c r="AW707" s="30" t="str">
        <f t="shared" si="94"/>
        <v/>
      </c>
      <c r="AX707" s="29" t="str">
        <f t="shared" si="95"/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 t="shared" si="96"/>
        <v/>
      </c>
      <c r="BB707" s="29" t="str">
        <f t="shared" si="97"/>
        <v/>
      </c>
      <c r="BC707" s="29">
        <f t="shared" si="98"/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 t="shared" si="90"/>
        <v>0</v>
      </c>
      <c r="AT708" s="30" t="str">
        <f t="shared" si="91"/>
        <v/>
      </c>
      <c r="AU708" s="29" t="str">
        <f t="shared" si="92"/>
        <v/>
      </c>
      <c r="AV708" s="30" t="str">
        <f t="shared" si="93"/>
        <v/>
      </c>
      <c r="AW708" s="30" t="str">
        <f t="shared" si="94"/>
        <v/>
      </c>
      <c r="AX708" s="29" t="str">
        <f t="shared" si="95"/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 t="shared" si="96"/>
        <v/>
      </c>
      <c r="BB708" s="29" t="str">
        <f t="shared" si="97"/>
        <v/>
      </c>
      <c r="BC708" s="29">
        <f t="shared" si="98"/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 t="shared" ref="AS709:AS772" si="99">SUM(H709,J709,L709,N709,P709,R709,T709,V709,X709,Z709,AB709,AD709,AF709,AH709,AJ709,AL709,AN709)</f>
        <v>0</v>
      </c>
      <c r="AT709" s="30" t="str">
        <f t="shared" ref="AT709:AT772" si="100">IF(C709="","",DATE(YEAR(C709),MONTH(C709),1))</f>
        <v/>
      </c>
      <c r="AU709" s="29" t="str">
        <f t="shared" ref="AU709:AU772" si="101">IF(AT709="","",TEXT(AT709,"mmmm yyyy"))</f>
        <v/>
      </c>
      <c r="AV709" s="30" t="str">
        <f t="shared" ref="AV709:AV772" si="102">IF(C709="","",C709-WEEKDAY(C709,2)+1)</f>
        <v/>
      </c>
      <c r="AW709" s="30" t="str">
        <f t="shared" ref="AW709:AW772" si="103">IF(AV709="","",AV709+6)</f>
        <v/>
      </c>
      <c r="AX709" s="29" t="str">
        <f t="shared" ref="AX709:AX772" si="104"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 t="shared" ref="BA709:BA772" si="105">IF(B709="","",TEXT(AY709,"00")&amp;"|"&amp;B709&amp;"|"&amp;TEXT(AT709,"yyyymmdd"))</f>
        <v/>
      </c>
      <c r="BB709" s="29" t="str">
        <f t="shared" ref="BB709:BB772" si="106">IF(B709="","",TEXT(AZ709,"00")&amp;"|"&amp;B709&amp;"|"&amp;TEXT(AV709,"yyyymmdd"))</f>
        <v/>
      </c>
      <c r="BC709" s="29">
        <f t="shared" ref="BC709:BC772" si="107"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 t="shared" si="99"/>
        <v>0</v>
      </c>
      <c r="AT710" s="30" t="str">
        <f t="shared" si="100"/>
        <v/>
      </c>
      <c r="AU710" s="29" t="str">
        <f t="shared" si="101"/>
        <v/>
      </c>
      <c r="AV710" s="30" t="str">
        <f t="shared" si="102"/>
        <v/>
      </c>
      <c r="AW710" s="30" t="str">
        <f t="shared" si="103"/>
        <v/>
      </c>
      <c r="AX710" s="29" t="str">
        <f t="shared" si="104"/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 t="shared" si="105"/>
        <v/>
      </c>
      <c r="BB710" s="29" t="str">
        <f t="shared" si="106"/>
        <v/>
      </c>
      <c r="BC710" s="29">
        <f t="shared" si="107"/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 t="shared" si="99"/>
        <v>0</v>
      </c>
      <c r="AT711" s="30" t="str">
        <f t="shared" si="100"/>
        <v/>
      </c>
      <c r="AU711" s="29" t="str">
        <f t="shared" si="101"/>
        <v/>
      </c>
      <c r="AV711" s="30" t="str">
        <f t="shared" si="102"/>
        <v/>
      </c>
      <c r="AW711" s="30" t="str">
        <f t="shared" si="103"/>
        <v/>
      </c>
      <c r="AX711" s="29" t="str">
        <f t="shared" si="104"/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 t="shared" si="105"/>
        <v/>
      </c>
      <c r="BB711" s="29" t="str">
        <f t="shared" si="106"/>
        <v/>
      </c>
      <c r="BC711" s="29">
        <f t="shared" si="107"/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 t="shared" si="99"/>
        <v>0</v>
      </c>
      <c r="AT712" s="30" t="str">
        <f t="shared" si="100"/>
        <v/>
      </c>
      <c r="AU712" s="29" t="str">
        <f t="shared" si="101"/>
        <v/>
      </c>
      <c r="AV712" s="30" t="str">
        <f t="shared" si="102"/>
        <v/>
      </c>
      <c r="AW712" s="30" t="str">
        <f t="shared" si="103"/>
        <v/>
      </c>
      <c r="AX712" s="29" t="str">
        <f t="shared" si="104"/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 t="shared" si="105"/>
        <v/>
      </c>
      <c r="BB712" s="29" t="str">
        <f t="shared" si="106"/>
        <v/>
      </c>
      <c r="BC712" s="29">
        <f t="shared" si="107"/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 t="shared" si="99"/>
        <v>0</v>
      </c>
      <c r="AT713" s="30" t="str">
        <f t="shared" si="100"/>
        <v/>
      </c>
      <c r="AU713" s="29" t="str">
        <f t="shared" si="101"/>
        <v/>
      </c>
      <c r="AV713" s="30" t="str">
        <f t="shared" si="102"/>
        <v/>
      </c>
      <c r="AW713" s="30" t="str">
        <f t="shared" si="103"/>
        <v/>
      </c>
      <c r="AX713" s="29" t="str">
        <f t="shared" si="104"/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 t="shared" si="105"/>
        <v/>
      </c>
      <c r="BB713" s="29" t="str">
        <f t="shared" si="106"/>
        <v/>
      </c>
      <c r="BC713" s="29">
        <f t="shared" si="107"/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 t="shared" si="99"/>
        <v>0</v>
      </c>
      <c r="AT714" s="30" t="str">
        <f t="shared" si="100"/>
        <v/>
      </c>
      <c r="AU714" s="29" t="str">
        <f t="shared" si="101"/>
        <v/>
      </c>
      <c r="AV714" s="30" t="str">
        <f t="shared" si="102"/>
        <v/>
      </c>
      <c r="AW714" s="30" t="str">
        <f t="shared" si="103"/>
        <v/>
      </c>
      <c r="AX714" s="29" t="str">
        <f t="shared" si="104"/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 t="shared" si="105"/>
        <v/>
      </c>
      <c r="BB714" s="29" t="str">
        <f t="shared" si="106"/>
        <v/>
      </c>
      <c r="BC714" s="29">
        <f t="shared" si="107"/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 t="shared" si="99"/>
        <v>0</v>
      </c>
      <c r="AT715" s="30" t="str">
        <f t="shared" si="100"/>
        <v/>
      </c>
      <c r="AU715" s="29" t="str">
        <f t="shared" si="101"/>
        <v/>
      </c>
      <c r="AV715" s="30" t="str">
        <f t="shared" si="102"/>
        <v/>
      </c>
      <c r="AW715" s="30" t="str">
        <f t="shared" si="103"/>
        <v/>
      </c>
      <c r="AX715" s="29" t="str">
        <f t="shared" si="104"/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 t="shared" si="105"/>
        <v/>
      </c>
      <c r="BB715" s="29" t="str">
        <f t="shared" si="106"/>
        <v/>
      </c>
      <c r="BC715" s="29">
        <f t="shared" si="107"/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 t="shared" si="99"/>
        <v>0</v>
      </c>
      <c r="AT716" s="30" t="str">
        <f t="shared" si="100"/>
        <v/>
      </c>
      <c r="AU716" s="29" t="str">
        <f t="shared" si="101"/>
        <v/>
      </c>
      <c r="AV716" s="30" t="str">
        <f t="shared" si="102"/>
        <v/>
      </c>
      <c r="AW716" s="30" t="str">
        <f t="shared" si="103"/>
        <v/>
      </c>
      <c r="AX716" s="29" t="str">
        <f t="shared" si="104"/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 t="shared" si="105"/>
        <v/>
      </c>
      <c r="BB716" s="29" t="str">
        <f t="shared" si="106"/>
        <v/>
      </c>
      <c r="BC716" s="29">
        <f t="shared" si="107"/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 t="shared" si="99"/>
        <v>0</v>
      </c>
      <c r="AT717" s="30" t="str">
        <f t="shared" si="100"/>
        <v/>
      </c>
      <c r="AU717" s="29" t="str">
        <f t="shared" si="101"/>
        <v/>
      </c>
      <c r="AV717" s="30" t="str">
        <f t="shared" si="102"/>
        <v/>
      </c>
      <c r="AW717" s="30" t="str">
        <f t="shared" si="103"/>
        <v/>
      </c>
      <c r="AX717" s="29" t="str">
        <f t="shared" si="104"/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 t="shared" si="105"/>
        <v/>
      </c>
      <c r="BB717" s="29" t="str">
        <f t="shared" si="106"/>
        <v/>
      </c>
      <c r="BC717" s="29">
        <f t="shared" si="107"/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 t="shared" si="99"/>
        <v>0</v>
      </c>
      <c r="AT718" s="30" t="str">
        <f t="shared" si="100"/>
        <v/>
      </c>
      <c r="AU718" s="29" t="str">
        <f t="shared" si="101"/>
        <v/>
      </c>
      <c r="AV718" s="30" t="str">
        <f t="shared" si="102"/>
        <v/>
      </c>
      <c r="AW718" s="30" t="str">
        <f t="shared" si="103"/>
        <v/>
      </c>
      <c r="AX718" s="29" t="str">
        <f t="shared" si="104"/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 t="shared" si="105"/>
        <v/>
      </c>
      <c r="BB718" s="29" t="str">
        <f t="shared" si="106"/>
        <v/>
      </c>
      <c r="BC718" s="29">
        <f t="shared" si="107"/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 t="shared" si="99"/>
        <v>0</v>
      </c>
      <c r="AT719" s="30" t="str">
        <f t="shared" si="100"/>
        <v/>
      </c>
      <c r="AU719" s="29" t="str">
        <f t="shared" si="101"/>
        <v/>
      </c>
      <c r="AV719" s="30" t="str">
        <f t="shared" si="102"/>
        <v/>
      </c>
      <c r="AW719" s="30" t="str">
        <f t="shared" si="103"/>
        <v/>
      </c>
      <c r="AX719" s="29" t="str">
        <f t="shared" si="104"/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 t="shared" si="105"/>
        <v/>
      </c>
      <c r="BB719" s="29" t="str">
        <f t="shared" si="106"/>
        <v/>
      </c>
      <c r="BC719" s="29">
        <f t="shared" si="107"/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 t="shared" si="99"/>
        <v>0</v>
      </c>
      <c r="AT720" s="30" t="str">
        <f t="shared" si="100"/>
        <v/>
      </c>
      <c r="AU720" s="29" t="str">
        <f t="shared" si="101"/>
        <v/>
      </c>
      <c r="AV720" s="30" t="str">
        <f t="shared" si="102"/>
        <v/>
      </c>
      <c r="AW720" s="30" t="str">
        <f t="shared" si="103"/>
        <v/>
      </c>
      <c r="AX720" s="29" t="str">
        <f t="shared" si="104"/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 t="shared" si="105"/>
        <v/>
      </c>
      <c r="BB720" s="29" t="str">
        <f t="shared" si="106"/>
        <v/>
      </c>
      <c r="BC720" s="29">
        <f t="shared" si="107"/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 t="shared" si="99"/>
        <v>0</v>
      </c>
      <c r="AT721" s="30" t="str">
        <f t="shared" si="100"/>
        <v/>
      </c>
      <c r="AU721" s="29" t="str">
        <f t="shared" si="101"/>
        <v/>
      </c>
      <c r="AV721" s="30" t="str">
        <f t="shared" si="102"/>
        <v/>
      </c>
      <c r="AW721" s="30" t="str">
        <f t="shared" si="103"/>
        <v/>
      </c>
      <c r="AX721" s="29" t="str">
        <f t="shared" si="104"/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 t="shared" si="105"/>
        <v/>
      </c>
      <c r="BB721" s="29" t="str">
        <f t="shared" si="106"/>
        <v/>
      </c>
      <c r="BC721" s="29">
        <f t="shared" si="107"/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 t="shared" si="99"/>
        <v>0</v>
      </c>
      <c r="AT722" s="30" t="str">
        <f t="shared" si="100"/>
        <v/>
      </c>
      <c r="AU722" s="29" t="str">
        <f t="shared" si="101"/>
        <v/>
      </c>
      <c r="AV722" s="30" t="str">
        <f t="shared" si="102"/>
        <v/>
      </c>
      <c r="AW722" s="30" t="str">
        <f t="shared" si="103"/>
        <v/>
      </c>
      <c r="AX722" s="29" t="str">
        <f t="shared" si="104"/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 t="shared" si="105"/>
        <v/>
      </c>
      <c r="BB722" s="29" t="str">
        <f t="shared" si="106"/>
        <v/>
      </c>
      <c r="BC722" s="29">
        <f t="shared" si="107"/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 t="shared" si="99"/>
        <v>0</v>
      </c>
      <c r="AT723" s="30" t="str">
        <f t="shared" si="100"/>
        <v/>
      </c>
      <c r="AU723" s="29" t="str">
        <f t="shared" si="101"/>
        <v/>
      </c>
      <c r="AV723" s="30" t="str">
        <f t="shared" si="102"/>
        <v/>
      </c>
      <c r="AW723" s="30" t="str">
        <f t="shared" si="103"/>
        <v/>
      </c>
      <c r="AX723" s="29" t="str">
        <f t="shared" si="104"/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 t="shared" si="105"/>
        <v/>
      </c>
      <c r="BB723" s="29" t="str">
        <f t="shared" si="106"/>
        <v/>
      </c>
      <c r="BC723" s="29">
        <f t="shared" si="107"/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 t="shared" si="99"/>
        <v>0</v>
      </c>
      <c r="AT724" s="30" t="str">
        <f t="shared" si="100"/>
        <v/>
      </c>
      <c r="AU724" s="29" t="str">
        <f t="shared" si="101"/>
        <v/>
      </c>
      <c r="AV724" s="30" t="str">
        <f t="shared" si="102"/>
        <v/>
      </c>
      <c r="AW724" s="30" t="str">
        <f t="shared" si="103"/>
        <v/>
      </c>
      <c r="AX724" s="29" t="str">
        <f t="shared" si="104"/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 t="shared" si="105"/>
        <v/>
      </c>
      <c r="BB724" s="29" t="str">
        <f t="shared" si="106"/>
        <v/>
      </c>
      <c r="BC724" s="29">
        <f t="shared" si="107"/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 t="shared" si="99"/>
        <v>0</v>
      </c>
      <c r="AT725" s="30" t="str">
        <f t="shared" si="100"/>
        <v/>
      </c>
      <c r="AU725" s="29" t="str">
        <f t="shared" si="101"/>
        <v/>
      </c>
      <c r="AV725" s="30" t="str">
        <f t="shared" si="102"/>
        <v/>
      </c>
      <c r="AW725" s="30" t="str">
        <f t="shared" si="103"/>
        <v/>
      </c>
      <c r="AX725" s="29" t="str">
        <f t="shared" si="104"/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 t="shared" si="105"/>
        <v/>
      </c>
      <c r="BB725" s="29" t="str">
        <f t="shared" si="106"/>
        <v/>
      </c>
      <c r="BC725" s="29">
        <f t="shared" si="107"/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 t="shared" si="99"/>
        <v>0</v>
      </c>
      <c r="AT726" s="30" t="str">
        <f t="shared" si="100"/>
        <v/>
      </c>
      <c r="AU726" s="29" t="str">
        <f t="shared" si="101"/>
        <v/>
      </c>
      <c r="AV726" s="30" t="str">
        <f t="shared" si="102"/>
        <v/>
      </c>
      <c r="AW726" s="30" t="str">
        <f t="shared" si="103"/>
        <v/>
      </c>
      <c r="AX726" s="29" t="str">
        <f t="shared" si="104"/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 t="shared" si="105"/>
        <v/>
      </c>
      <c r="BB726" s="29" t="str">
        <f t="shared" si="106"/>
        <v/>
      </c>
      <c r="BC726" s="29">
        <f t="shared" si="107"/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 t="shared" si="99"/>
        <v>0</v>
      </c>
      <c r="AT727" s="30" t="str">
        <f t="shared" si="100"/>
        <v/>
      </c>
      <c r="AU727" s="29" t="str">
        <f t="shared" si="101"/>
        <v/>
      </c>
      <c r="AV727" s="30" t="str">
        <f t="shared" si="102"/>
        <v/>
      </c>
      <c r="AW727" s="30" t="str">
        <f t="shared" si="103"/>
        <v/>
      </c>
      <c r="AX727" s="29" t="str">
        <f t="shared" si="104"/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 t="shared" si="105"/>
        <v/>
      </c>
      <c r="BB727" s="29" t="str">
        <f t="shared" si="106"/>
        <v/>
      </c>
      <c r="BC727" s="29">
        <f t="shared" si="107"/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 t="shared" si="99"/>
        <v>0</v>
      </c>
      <c r="AT728" s="30" t="str">
        <f t="shared" si="100"/>
        <v/>
      </c>
      <c r="AU728" s="29" t="str">
        <f t="shared" si="101"/>
        <v/>
      </c>
      <c r="AV728" s="30" t="str">
        <f t="shared" si="102"/>
        <v/>
      </c>
      <c r="AW728" s="30" t="str">
        <f t="shared" si="103"/>
        <v/>
      </c>
      <c r="AX728" s="29" t="str">
        <f t="shared" si="104"/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 t="shared" si="105"/>
        <v/>
      </c>
      <c r="BB728" s="29" t="str">
        <f t="shared" si="106"/>
        <v/>
      </c>
      <c r="BC728" s="29">
        <f t="shared" si="107"/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 t="shared" si="99"/>
        <v>0</v>
      </c>
      <c r="AT729" s="30" t="str">
        <f t="shared" si="100"/>
        <v/>
      </c>
      <c r="AU729" s="29" t="str">
        <f t="shared" si="101"/>
        <v/>
      </c>
      <c r="AV729" s="30" t="str">
        <f t="shared" si="102"/>
        <v/>
      </c>
      <c r="AW729" s="30" t="str">
        <f t="shared" si="103"/>
        <v/>
      </c>
      <c r="AX729" s="29" t="str">
        <f t="shared" si="104"/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 t="shared" si="105"/>
        <v/>
      </c>
      <c r="BB729" s="29" t="str">
        <f t="shared" si="106"/>
        <v/>
      </c>
      <c r="BC729" s="29">
        <f t="shared" si="107"/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 t="shared" si="99"/>
        <v>0</v>
      </c>
      <c r="AT730" s="30" t="str">
        <f t="shared" si="100"/>
        <v/>
      </c>
      <c r="AU730" s="29" t="str">
        <f t="shared" si="101"/>
        <v/>
      </c>
      <c r="AV730" s="30" t="str">
        <f t="shared" si="102"/>
        <v/>
      </c>
      <c r="AW730" s="30" t="str">
        <f t="shared" si="103"/>
        <v/>
      </c>
      <c r="AX730" s="29" t="str">
        <f t="shared" si="104"/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 t="shared" si="105"/>
        <v/>
      </c>
      <c r="BB730" s="29" t="str">
        <f t="shared" si="106"/>
        <v/>
      </c>
      <c r="BC730" s="29">
        <f t="shared" si="107"/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 t="shared" si="99"/>
        <v>0</v>
      </c>
      <c r="AT731" s="30" t="str">
        <f t="shared" si="100"/>
        <v/>
      </c>
      <c r="AU731" s="29" t="str">
        <f t="shared" si="101"/>
        <v/>
      </c>
      <c r="AV731" s="30" t="str">
        <f t="shared" si="102"/>
        <v/>
      </c>
      <c r="AW731" s="30" t="str">
        <f t="shared" si="103"/>
        <v/>
      </c>
      <c r="AX731" s="29" t="str">
        <f t="shared" si="104"/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 t="shared" si="105"/>
        <v/>
      </c>
      <c r="BB731" s="29" t="str">
        <f t="shared" si="106"/>
        <v/>
      </c>
      <c r="BC731" s="29">
        <f t="shared" si="107"/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 t="shared" si="99"/>
        <v>0</v>
      </c>
      <c r="AT732" s="30" t="str">
        <f t="shared" si="100"/>
        <v/>
      </c>
      <c r="AU732" s="29" t="str">
        <f t="shared" si="101"/>
        <v/>
      </c>
      <c r="AV732" s="30" t="str">
        <f t="shared" si="102"/>
        <v/>
      </c>
      <c r="AW732" s="30" t="str">
        <f t="shared" si="103"/>
        <v/>
      </c>
      <c r="AX732" s="29" t="str">
        <f t="shared" si="104"/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 t="shared" si="105"/>
        <v/>
      </c>
      <c r="BB732" s="29" t="str">
        <f t="shared" si="106"/>
        <v/>
      </c>
      <c r="BC732" s="29">
        <f t="shared" si="107"/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 t="shared" si="99"/>
        <v>0</v>
      </c>
      <c r="AT733" s="30" t="str">
        <f t="shared" si="100"/>
        <v/>
      </c>
      <c r="AU733" s="29" t="str">
        <f t="shared" si="101"/>
        <v/>
      </c>
      <c r="AV733" s="30" t="str">
        <f t="shared" si="102"/>
        <v/>
      </c>
      <c r="AW733" s="30" t="str">
        <f t="shared" si="103"/>
        <v/>
      </c>
      <c r="AX733" s="29" t="str">
        <f t="shared" si="104"/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 t="shared" si="105"/>
        <v/>
      </c>
      <c r="BB733" s="29" t="str">
        <f t="shared" si="106"/>
        <v/>
      </c>
      <c r="BC733" s="29">
        <f t="shared" si="107"/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 t="shared" si="99"/>
        <v>0</v>
      </c>
      <c r="AT734" s="30" t="str">
        <f t="shared" si="100"/>
        <v/>
      </c>
      <c r="AU734" s="29" t="str">
        <f t="shared" si="101"/>
        <v/>
      </c>
      <c r="AV734" s="30" t="str">
        <f t="shared" si="102"/>
        <v/>
      </c>
      <c r="AW734" s="30" t="str">
        <f t="shared" si="103"/>
        <v/>
      </c>
      <c r="AX734" s="29" t="str">
        <f t="shared" si="104"/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 t="shared" si="105"/>
        <v/>
      </c>
      <c r="BB734" s="29" t="str">
        <f t="shared" si="106"/>
        <v/>
      </c>
      <c r="BC734" s="29">
        <f t="shared" si="107"/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 t="shared" si="99"/>
        <v>0</v>
      </c>
      <c r="AT735" s="30" t="str">
        <f t="shared" si="100"/>
        <v/>
      </c>
      <c r="AU735" s="29" t="str">
        <f t="shared" si="101"/>
        <v/>
      </c>
      <c r="AV735" s="30" t="str">
        <f t="shared" si="102"/>
        <v/>
      </c>
      <c r="AW735" s="30" t="str">
        <f t="shared" si="103"/>
        <v/>
      </c>
      <c r="AX735" s="29" t="str">
        <f t="shared" si="104"/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 t="shared" si="105"/>
        <v/>
      </c>
      <c r="BB735" s="29" t="str">
        <f t="shared" si="106"/>
        <v/>
      </c>
      <c r="BC735" s="29">
        <f t="shared" si="107"/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 t="shared" si="99"/>
        <v>0</v>
      </c>
      <c r="AT736" s="30" t="str">
        <f t="shared" si="100"/>
        <v/>
      </c>
      <c r="AU736" s="29" t="str">
        <f t="shared" si="101"/>
        <v/>
      </c>
      <c r="AV736" s="30" t="str">
        <f t="shared" si="102"/>
        <v/>
      </c>
      <c r="AW736" s="30" t="str">
        <f t="shared" si="103"/>
        <v/>
      </c>
      <c r="AX736" s="29" t="str">
        <f t="shared" si="104"/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 t="shared" si="105"/>
        <v/>
      </c>
      <c r="BB736" s="29" t="str">
        <f t="shared" si="106"/>
        <v/>
      </c>
      <c r="BC736" s="29">
        <f t="shared" si="107"/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 t="shared" si="99"/>
        <v>0</v>
      </c>
      <c r="AT737" s="30" t="str">
        <f t="shared" si="100"/>
        <v/>
      </c>
      <c r="AU737" s="29" t="str">
        <f t="shared" si="101"/>
        <v/>
      </c>
      <c r="AV737" s="30" t="str">
        <f t="shared" si="102"/>
        <v/>
      </c>
      <c r="AW737" s="30" t="str">
        <f t="shared" si="103"/>
        <v/>
      </c>
      <c r="AX737" s="29" t="str">
        <f t="shared" si="104"/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 t="shared" si="105"/>
        <v/>
      </c>
      <c r="BB737" s="29" t="str">
        <f t="shared" si="106"/>
        <v/>
      </c>
      <c r="BC737" s="29">
        <f t="shared" si="107"/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 t="shared" si="99"/>
        <v>0</v>
      </c>
      <c r="AT738" s="30" t="str">
        <f t="shared" si="100"/>
        <v/>
      </c>
      <c r="AU738" s="29" t="str">
        <f t="shared" si="101"/>
        <v/>
      </c>
      <c r="AV738" s="30" t="str">
        <f t="shared" si="102"/>
        <v/>
      </c>
      <c r="AW738" s="30" t="str">
        <f t="shared" si="103"/>
        <v/>
      </c>
      <c r="AX738" s="29" t="str">
        <f t="shared" si="104"/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 t="shared" si="105"/>
        <v/>
      </c>
      <c r="BB738" s="29" t="str">
        <f t="shared" si="106"/>
        <v/>
      </c>
      <c r="BC738" s="29">
        <f t="shared" si="107"/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 t="shared" si="99"/>
        <v>0</v>
      </c>
      <c r="AT739" s="30" t="str">
        <f t="shared" si="100"/>
        <v/>
      </c>
      <c r="AU739" s="29" t="str">
        <f t="shared" si="101"/>
        <v/>
      </c>
      <c r="AV739" s="30" t="str">
        <f t="shared" si="102"/>
        <v/>
      </c>
      <c r="AW739" s="30" t="str">
        <f t="shared" si="103"/>
        <v/>
      </c>
      <c r="AX739" s="29" t="str">
        <f t="shared" si="104"/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 t="shared" si="105"/>
        <v/>
      </c>
      <c r="BB739" s="29" t="str">
        <f t="shared" si="106"/>
        <v/>
      </c>
      <c r="BC739" s="29">
        <f t="shared" si="107"/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 t="shared" si="99"/>
        <v>0</v>
      </c>
      <c r="AT740" s="30" t="str">
        <f t="shared" si="100"/>
        <v/>
      </c>
      <c r="AU740" s="29" t="str">
        <f t="shared" si="101"/>
        <v/>
      </c>
      <c r="AV740" s="30" t="str">
        <f t="shared" si="102"/>
        <v/>
      </c>
      <c r="AW740" s="30" t="str">
        <f t="shared" si="103"/>
        <v/>
      </c>
      <c r="AX740" s="29" t="str">
        <f t="shared" si="104"/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 t="shared" si="105"/>
        <v/>
      </c>
      <c r="BB740" s="29" t="str">
        <f t="shared" si="106"/>
        <v/>
      </c>
      <c r="BC740" s="29">
        <f t="shared" si="107"/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 t="shared" si="99"/>
        <v>0</v>
      </c>
      <c r="AT741" s="30" t="str">
        <f t="shared" si="100"/>
        <v/>
      </c>
      <c r="AU741" s="29" t="str">
        <f t="shared" si="101"/>
        <v/>
      </c>
      <c r="AV741" s="30" t="str">
        <f t="shared" si="102"/>
        <v/>
      </c>
      <c r="AW741" s="30" t="str">
        <f t="shared" si="103"/>
        <v/>
      </c>
      <c r="AX741" s="29" t="str">
        <f t="shared" si="104"/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 t="shared" si="105"/>
        <v/>
      </c>
      <c r="BB741" s="29" t="str">
        <f t="shared" si="106"/>
        <v/>
      </c>
      <c r="BC741" s="29">
        <f t="shared" si="107"/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 t="shared" si="99"/>
        <v>0</v>
      </c>
      <c r="AT742" s="30" t="str">
        <f t="shared" si="100"/>
        <v/>
      </c>
      <c r="AU742" s="29" t="str">
        <f t="shared" si="101"/>
        <v/>
      </c>
      <c r="AV742" s="30" t="str">
        <f t="shared" si="102"/>
        <v/>
      </c>
      <c r="AW742" s="30" t="str">
        <f t="shared" si="103"/>
        <v/>
      </c>
      <c r="AX742" s="29" t="str">
        <f t="shared" si="104"/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 t="shared" si="105"/>
        <v/>
      </c>
      <c r="BB742" s="29" t="str">
        <f t="shared" si="106"/>
        <v/>
      </c>
      <c r="BC742" s="29">
        <f t="shared" si="107"/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 t="shared" si="99"/>
        <v>0</v>
      </c>
      <c r="AT743" s="30" t="str">
        <f t="shared" si="100"/>
        <v/>
      </c>
      <c r="AU743" s="29" t="str">
        <f t="shared" si="101"/>
        <v/>
      </c>
      <c r="AV743" s="30" t="str">
        <f t="shared" si="102"/>
        <v/>
      </c>
      <c r="AW743" s="30" t="str">
        <f t="shared" si="103"/>
        <v/>
      </c>
      <c r="AX743" s="29" t="str">
        <f t="shared" si="104"/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 t="shared" si="105"/>
        <v/>
      </c>
      <c r="BB743" s="29" t="str">
        <f t="shared" si="106"/>
        <v/>
      </c>
      <c r="BC743" s="29">
        <f t="shared" si="107"/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 t="shared" si="99"/>
        <v>0</v>
      </c>
      <c r="AT744" s="30" t="str">
        <f t="shared" si="100"/>
        <v/>
      </c>
      <c r="AU744" s="29" t="str">
        <f t="shared" si="101"/>
        <v/>
      </c>
      <c r="AV744" s="30" t="str">
        <f t="shared" si="102"/>
        <v/>
      </c>
      <c r="AW744" s="30" t="str">
        <f t="shared" si="103"/>
        <v/>
      </c>
      <c r="AX744" s="29" t="str">
        <f t="shared" si="104"/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 t="shared" si="105"/>
        <v/>
      </c>
      <c r="BB744" s="29" t="str">
        <f t="shared" si="106"/>
        <v/>
      </c>
      <c r="BC744" s="29">
        <f t="shared" si="107"/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 t="shared" si="99"/>
        <v>0</v>
      </c>
      <c r="AT745" s="30" t="str">
        <f t="shared" si="100"/>
        <v/>
      </c>
      <c r="AU745" s="29" t="str">
        <f t="shared" si="101"/>
        <v/>
      </c>
      <c r="AV745" s="30" t="str">
        <f t="shared" si="102"/>
        <v/>
      </c>
      <c r="AW745" s="30" t="str">
        <f t="shared" si="103"/>
        <v/>
      </c>
      <c r="AX745" s="29" t="str">
        <f t="shared" si="104"/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 t="shared" si="105"/>
        <v/>
      </c>
      <c r="BB745" s="29" t="str">
        <f t="shared" si="106"/>
        <v/>
      </c>
      <c r="BC745" s="29">
        <f t="shared" si="107"/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 t="shared" si="99"/>
        <v>0</v>
      </c>
      <c r="AT746" s="30" t="str">
        <f t="shared" si="100"/>
        <v/>
      </c>
      <c r="AU746" s="29" t="str">
        <f t="shared" si="101"/>
        <v/>
      </c>
      <c r="AV746" s="30" t="str">
        <f t="shared" si="102"/>
        <v/>
      </c>
      <c r="AW746" s="30" t="str">
        <f t="shared" si="103"/>
        <v/>
      </c>
      <c r="AX746" s="29" t="str">
        <f t="shared" si="104"/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 t="shared" si="105"/>
        <v/>
      </c>
      <c r="BB746" s="29" t="str">
        <f t="shared" si="106"/>
        <v/>
      </c>
      <c r="BC746" s="29">
        <f t="shared" si="107"/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 t="shared" si="99"/>
        <v>0</v>
      </c>
      <c r="AT747" s="30" t="str">
        <f t="shared" si="100"/>
        <v/>
      </c>
      <c r="AU747" s="29" t="str">
        <f t="shared" si="101"/>
        <v/>
      </c>
      <c r="AV747" s="30" t="str">
        <f t="shared" si="102"/>
        <v/>
      </c>
      <c r="AW747" s="30" t="str">
        <f t="shared" si="103"/>
        <v/>
      </c>
      <c r="AX747" s="29" t="str">
        <f t="shared" si="104"/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 t="shared" si="105"/>
        <v/>
      </c>
      <c r="BB747" s="29" t="str">
        <f t="shared" si="106"/>
        <v/>
      </c>
      <c r="BC747" s="29">
        <f t="shared" si="107"/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 t="shared" si="99"/>
        <v>0</v>
      </c>
      <c r="AT748" s="30" t="str">
        <f t="shared" si="100"/>
        <v/>
      </c>
      <c r="AU748" s="29" t="str">
        <f t="shared" si="101"/>
        <v/>
      </c>
      <c r="AV748" s="30" t="str">
        <f t="shared" si="102"/>
        <v/>
      </c>
      <c r="AW748" s="30" t="str">
        <f t="shared" si="103"/>
        <v/>
      </c>
      <c r="AX748" s="29" t="str">
        <f t="shared" si="104"/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 t="shared" si="105"/>
        <v/>
      </c>
      <c r="BB748" s="29" t="str">
        <f t="shared" si="106"/>
        <v/>
      </c>
      <c r="BC748" s="29">
        <f t="shared" si="107"/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 t="shared" si="99"/>
        <v>0</v>
      </c>
      <c r="AT749" s="30" t="str">
        <f t="shared" si="100"/>
        <v/>
      </c>
      <c r="AU749" s="29" t="str">
        <f t="shared" si="101"/>
        <v/>
      </c>
      <c r="AV749" s="30" t="str">
        <f t="shared" si="102"/>
        <v/>
      </c>
      <c r="AW749" s="30" t="str">
        <f t="shared" si="103"/>
        <v/>
      </c>
      <c r="AX749" s="29" t="str">
        <f t="shared" si="104"/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 t="shared" si="105"/>
        <v/>
      </c>
      <c r="BB749" s="29" t="str">
        <f t="shared" si="106"/>
        <v/>
      </c>
      <c r="BC749" s="29">
        <f t="shared" si="107"/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 t="shared" si="99"/>
        <v>0</v>
      </c>
      <c r="AT750" s="30" t="str">
        <f t="shared" si="100"/>
        <v/>
      </c>
      <c r="AU750" s="29" t="str">
        <f t="shared" si="101"/>
        <v/>
      </c>
      <c r="AV750" s="30" t="str">
        <f t="shared" si="102"/>
        <v/>
      </c>
      <c r="AW750" s="30" t="str">
        <f t="shared" si="103"/>
        <v/>
      </c>
      <c r="AX750" s="29" t="str">
        <f t="shared" si="104"/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 t="shared" si="105"/>
        <v/>
      </c>
      <c r="BB750" s="29" t="str">
        <f t="shared" si="106"/>
        <v/>
      </c>
      <c r="BC750" s="29">
        <f t="shared" si="107"/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 t="shared" si="99"/>
        <v>0</v>
      </c>
      <c r="AT751" s="30" t="str">
        <f t="shared" si="100"/>
        <v/>
      </c>
      <c r="AU751" s="29" t="str">
        <f t="shared" si="101"/>
        <v/>
      </c>
      <c r="AV751" s="30" t="str">
        <f t="shared" si="102"/>
        <v/>
      </c>
      <c r="AW751" s="30" t="str">
        <f t="shared" si="103"/>
        <v/>
      </c>
      <c r="AX751" s="29" t="str">
        <f t="shared" si="104"/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 t="shared" si="105"/>
        <v/>
      </c>
      <c r="BB751" s="29" t="str">
        <f t="shared" si="106"/>
        <v/>
      </c>
      <c r="BC751" s="29">
        <f t="shared" si="107"/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 t="shared" si="99"/>
        <v>0</v>
      </c>
      <c r="AT752" s="30" t="str">
        <f t="shared" si="100"/>
        <v/>
      </c>
      <c r="AU752" s="29" t="str">
        <f t="shared" si="101"/>
        <v/>
      </c>
      <c r="AV752" s="30" t="str">
        <f t="shared" si="102"/>
        <v/>
      </c>
      <c r="AW752" s="30" t="str">
        <f t="shared" si="103"/>
        <v/>
      </c>
      <c r="AX752" s="29" t="str">
        <f t="shared" si="104"/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 t="shared" si="105"/>
        <v/>
      </c>
      <c r="BB752" s="29" t="str">
        <f t="shared" si="106"/>
        <v/>
      </c>
      <c r="BC752" s="29">
        <f t="shared" si="107"/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 t="shared" si="99"/>
        <v>0</v>
      </c>
      <c r="AT753" s="30" t="str">
        <f t="shared" si="100"/>
        <v/>
      </c>
      <c r="AU753" s="29" t="str">
        <f t="shared" si="101"/>
        <v/>
      </c>
      <c r="AV753" s="30" t="str">
        <f t="shared" si="102"/>
        <v/>
      </c>
      <c r="AW753" s="30" t="str">
        <f t="shared" si="103"/>
        <v/>
      </c>
      <c r="AX753" s="29" t="str">
        <f t="shared" si="104"/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 t="shared" si="105"/>
        <v/>
      </c>
      <c r="BB753" s="29" t="str">
        <f t="shared" si="106"/>
        <v/>
      </c>
      <c r="BC753" s="29">
        <f t="shared" si="107"/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 t="shared" si="99"/>
        <v>0</v>
      </c>
      <c r="AT754" s="30" t="str">
        <f t="shared" si="100"/>
        <v/>
      </c>
      <c r="AU754" s="29" t="str">
        <f t="shared" si="101"/>
        <v/>
      </c>
      <c r="AV754" s="30" t="str">
        <f t="shared" si="102"/>
        <v/>
      </c>
      <c r="AW754" s="30" t="str">
        <f t="shared" si="103"/>
        <v/>
      </c>
      <c r="AX754" s="29" t="str">
        <f t="shared" si="104"/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 t="shared" si="105"/>
        <v/>
      </c>
      <c r="BB754" s="29" t="str">
        <f t="shared" si="106"/>
        <v/>
      </c>
      <c r="BC754" s="29">
        <f t="shared" si="107"/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 t="shared" si="99"/>
        <v>0</v>
      </c>
      <c r="AT755" s="30" t="str">
        <f t="shared" si="100"/>
        <v/>
      </c>
      <c r="AU755" s="29" t="str">
        <f t="shared" si="101"/>
        <v/>
      </c>
      <c r="AV755" s="30" t="str">
        <f t="shared" si="102"/>
        <v/>
      </c>
      <c r="AW755" s="30" t="str">
        <f t="shared" si="103"/>
        <v/>
      </c>
      <c r="AX755" s="29" t="str">
        <f t="shared" si="104"/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 t="shared" si="105"/>
        <v/>
      </c>
      <c r="BB755" s="29" t="str">
        <f t="shared" si="106"/>
        <v/>
      </c>
      <c r="BC755" s="29">
        <f t="shared" si="107"/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 t="shared" si="99"/>
        <v>0</v>
      </c>
      <c r="AT756" s="30" t="str">
        <f t="shared" si="100"/>
        <v/>
      </c>
      <c r="AU756" s="29" t="str">
        <f t="shared" si="101"/>
        <v/>
      </c>
      <c r="AV756" s="30" t="str">
        <f t="shared" si="102"/>
        <v/>
      </c>
      <c r="AW756" s="30" t="str">
        <f t="shared" si="103"/>
        <v/>
      </c>
      <c r="AX756" s="29" t="str">
        <f t="shared" si="104"/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 t="shared" si="105"/>
        <v/>
      </c>
      <c r="BB756" s="29" t="str">
        <f t="shared" si="106"/>
        <v/>
      </c>
      <c r="BC756" s="29">
        <f t="shared" si="107"/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 t="shared" si="99"/>
        <v>0</v>
      </c>
      <c r="AT757" s="30" t="str">
        <f t="shared" si="100"/>
        <v/>
      </c>
      <c r="AU757" s="29" t="str">
        <f t="shared" si="101"/>
        <v/>
      </c>
      <c r="AV757" s="30" t="str">
        <f t="shared" si="102"/>
        <v/>
      </c>
      <c r="AW757" s="30" t="str">
        <f t="shared" si="103"/>
        <v/>
      </c>
      <c r="AX757" s="29" t="str">
        <f t="shared" si="104"/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 t="shared" si="105"/>
        <v/>
      </c>
      <c r="BB757" s="29" t="str">
        <f t="shared" si="106"/>
        <v/>
      </c>
      <c r="BC757" s="29">
        <f t="shared" si="107"/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 t="shared" si="99"/>
        <v>0</v>
      </c>
      <c r="AT758" s="30" t="str">
        <f t="shared" si="100"/>
        <v/>
      </c>
      <c r="AU758" s="29" t="str">
        <f t="shared" si="101"/>
        <v/>
      </c>
      <c r="AV758" s="30" t="str">
        <f t="shared" si="102"/>
        <v/>
      </c>
      <c r="AW758" s="30" t="str">
        <f t="shared" si="103"/>
        <v/>
      </c>
      <c r="AX758" s="29" t="str">
        <f t="shared" si="104"/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 t="shared" si="105"/>
        <v/>
      </c>
      <c r="BB758" s="29" t="str">
        <f t="shared" si="106"/>
        <v/>
      </c>
      <c r="BC758" s="29">
        <f t="shared" si="107"/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 t="shared" si="99"/>
        <v>0</v>
      </c>
      <c r="AT759" s="30" t="str">
        <f t="shared" si="100"/>
        <v/>
      </c>
      <c r="AU759" s="29" t="str">
        <f t="shared" si="101"/>
        <v/>
      </c>
      <c r="AV759" s="30" t="str">
        <f t="shared" si="102"/>
        <v/>
      </c>
      <c r="AW759" s="30" t="str">
        <f t="shared" si="103"/>
        <v/>
      </c>
      <c r="AX759" s="29" t="str">
        <f t="shared" si="104"/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 t="shared" si="105"/>
        <v/>
      </c>
      <c r="BB759" s="29" t="str">
        <f t="shared" si="106"/>
        <v/>
      </c>
      <c r="BC759" s="29">
        <f t="shared" si="107"/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 t="shared" si="99"/>
        <v>0</v>
      </c>
      <c r="AT760" s="30" t="str">
        <f t="shared" si="100"/>
        <v/>
      </c>
      <c r="AU760" s="29" t="str">
        <f t="shared" si="101"/>
        <v/>
      </c>
      <c r="AV760" s="30" t="str">
        <f t="shared" si="102"/>
        <v/>
      </c>
      <c r="AW760" s="30" t="str">
        <f t="shared" si="103"/>
        <v/>
      </c>
      <c r="AX760" s="29" t="str">
        <f t="shared" si="104"/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 t="shared" si="105"/>
        <v/>
      </c>
      <c r="BB760" s="29" t="str">
        <f t="shared" si="106"/>
        <v/>
      </c>
      <c r="BC760" s="29">
        <f t="shared" si="107"/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 t="shared" si="99"/>
        <v>0</v>
      </c>
      <c r="AT761" s="30" t="str">
        <f t="shared" si="100"/>
        <v/>
      </c>
      <c r="AU761" s="29" t="str">
        <f t="shared" si="101"/>
        <v/>
      </c>
      <c r="AV761" s="30" t="str">
        <f t="shared" si="102"/>
        <v/>
      </c>
      <c r="AW761" s="30" t="str">
        <f t="shared" si="103"/>
        <v/>
      </c>
      <c r="AX761" s="29" t="str">
        <f t="shared" si="104"/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 t="shared" si="105"/>
        <v/>
      </c>
      <c r="BB761" s="29" t="str">
        <f t="shared" si="106"/>
        <v/>
      </c>
      <c r="BC761" s="29">
        <f t="shared" si="107"/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 t="shared" si="99"/>
        <v>0</v>
      </c>
      <c r="AT762" s="30" t="str">
        <f t="shared" si="100"/>
        <v/>
      </c>
      <c r="AU762" s="29" t="str">
        <f t="shared" si="101"/>
        <v/>
      </c>
      <c r="AV762" s="30" t="str">
        <f t="shared" si="102"/>
        <v/>
      </c>
      <c r="AW762" s="30" t="str">
        <f t="shared" si="103"/>
        <v/>
      </c>
      <c r="AX762" s="29" t="str">
        <f t="shared" si="104"/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 t="shared" si="105"/>
        <v/>
      </c>
      <c r="BB762" s="29" t="str">
        <f t="shared" si="106"/>
        <v/>
      </c>
      <c r="BC762" s="29">
        <f t="shared" si="107"/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 t="shared" si="99"/>
        <v>0</v>
      </c>
      <c r="AT763" s="30" t="str">
        <f t="shared" si="100"/>
        <v/>
      </c>
      <c r="AU763" s="29" t="str">
        <f t="shared" si="101"/>
        <v/>
      </c>
      <c r="AV763" s="30" t="str">
        <f t="shared" si="102"/>
        <v/>
      </c>
      <c r="AW763" s="30" t="str">
        <f t="shared" si="103"/>
        <v/>
      </c>
      <c r="AX763" s="29" t="str">
        <f t="shared" si="104"/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 t="shared" si="105"/>
        <v/>
      </c>
      <c r="BB763" s="29" t="str">
        <f t="shared" si="106"/>
        <v/>
      </c>
      <c r="BC763" s="29">
        <f t="shared" si="107"/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 t="shared" si="99"/>
        <v>0</v>
      </c>
      <c r="AT764" s="30" t="str">
        <f t="shared" si="100"/>
        <v/>
      </c>
      <c r="AU764" s="29" t="str">
        <f t="shared" si="101"/>
        <v/>
      </c>
      <c r="AV764" s="30" t="str">
        <f t="shared" si="102"/>
        <v/>
      </c>
      <c r="AW764" s="30" t="str">
        <f t="shared" si="103"/>
        <v/>
      </c>
      <c r="AX764" s="29" t="str">
        <f t="shared" si="104"/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 t="shared" si="105"/>
        <v/>
      </c>
      <c r="BB764" s="29" t="str">
        <f t="shared" si="106"/>
        <v/>
      </c>
      <c r="BC764" s="29">
        <f t="shared" si="107"/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 t="shared" si="99"/>
        <v>0</v>
      </c>
      <c r="AT765" s="30" t="str">
        <f t="shared" si="100"/>
        <v/>
      </c>
      <c r="AU765" s="29" t="str">
        <f t="shared" si="101"/>
        <v/>
      </c>
      <c r="AV765" s="30" t="str">
        <f t="shared" si="102"/>
        <v/>
      </c>
      <c r="AW765" s="30" t="str">
        <f t="shared" si="103"/>
        <v/>
      </c>
      <c r="AX765" s="29" t="str">
        <f t="shared" si="104"/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 t="shared" si="105"/>
        <v/>
      </c>
      <c r="BB765" s="29" t="str">
        <f t="shared" si="106"/>
        <v/>
      </c>
      <c r="BC765" s="29">
        <f t="shared" si="107"/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 t="shared" si="99"/>
        <v>0</v>
      </c>
      <c r="AT766" s="30" t="str">
        <f t="shared" si="100"/>
        <v/>
      </c>
      <c r="AU766" s="29" t="str">
        <f t="shared" si="101"/>
        <v/>
      </c>
      <c r="AV766" s="30" t="str">
        <f t="shared" si="102"/>
        <v/>
      </c>
      <c r="AW766" s="30" t="str">
        <f t="shared" si="103"/>
        <v/>
      </c>
      <c r="AX766" s="29" t="str">
        <f t="shared" si="104"/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 t="shared" si="105"/>
        <v/>
      </c>
      <c r="BB766" s="29" t="str">
        <f t="shared" si="106"/>
        <v/>
      </c>
      <c r="BC766" s="29">
        <f t="shared" si="107"/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 t="shared" si="99"/>
        <v>0</v>
      </c>
      <c r="AT767" s="30" t="str">
        <f t="shared" si="100"/>
        <v/>
      </c>
      <c r="AU767" s="29" t="str">
        <f t="shared" si="101"/>
        <v/>
      </c>
      <c r="AV767" s="30" t="str">
        <f t="shared" si="102"/>
        <v/>
      </c>
      <c r="AW767" s="30" t="str">
        <f t="shared" si="103"/>
        <v/>
      </c>
      <c r="AX767" s="29" t="str">
        <f t="shared" si="104"/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 t="shared" si="105"/>
        <v/>
      </c>
      <c r="BB767" s="29" t="str">
        <f t="shared" si="106"/>
        <v/>
      </c>
      <c r="BC767" s="29">
        <f t="shared" si="107"/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 t="shared" si="99"/>
        <v>0</v>
      </c>
      <c r="AT768" s="30" t="str">
        <f t="shared" si="100"/>
        <v/>
      </c>
      <c r="AU768" s="29" t="str">
        <f t="shared" si="101"/>
        <v/>
      </c>
      <c r="AV768" s="30" t="str">
        <f t="shared" si="102"/>
        <v/>
      </c>
      <c r="AW768" s="30" t="str">
        <f t="shared" si="103"/>
        <v/>
      </c>
      <c r="AX768" s="29" t="str">
        <f t="shared" si="104"/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 t="shared" si="105"/>
        <v/>
      </c>
      <c r="BB768" s="29" t="str">
        <f t="shared" si="106"/>
        <v/>
      </c>
      <c r="BC768" s="29">
        <f t="shared" si="107"/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 t="shared" si="99"/>
        <v>0</v>
      </c>
      <c r="AT769" s="30" t="str">
        <f t="shared" si="100"/>
        <v/>
      </c>
      <c r="AU769" s="29" t="str">
        <f t="shared" si="101"/>
        <v/>
      </c>
      <c r="AV769" s="30" t="str">
        <f t="shared" si="102"/>
        <v/>
      </c>
      <c r="AW769" s="30" t="str">
        <f t="shared" si="103"/>
        <v/>
      </c>
      <c r="AX769" s="29" t="str">
        <f t="shared" si="104"/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 t="shared" si="105"/>
        <v/>
      </c>
      <c r="BB769" s="29" t="str">
        <f t="shared" si="106"/>
        <v/>
      </c>
      <c r="BC769" s="29">
        <f t="shared" si="107"/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 t="shared" si="99"/>
        <v>0</v>
      </c>
      <c r="AT770" s="30" t="str">
        <f t="shared" si="100"/>
        <v/>
      </c>
      <c r="AU770" s="29" t="str">
        <f t="shared" si="101"/>
        <v/>
      </c>
      <c r="AV770" s="30" t="str">
        <f t="shared" si="102"/>
        <v/>
      </c>
      <c r="AW770" s="30" t="str">
        <f t="shared" si="103"/>
        <v/>
      </c>
      <c r="AX770" s="29" t="str">
        <f t="shared" si="104"/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 t="shared" si="105"/>
        <v/>
      </c>
      <c r="BB770" s="29" t="str">
        <f t="shared" si="106"/>
        <v/>
      </c>
      <c r="BC770" s="29">
        <f t="shared" si="107"/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 t="shared" si="99"/>
        <v>0</v>
      </c>
      <c r="AT771" s="30" t="str">
        <f t="shared" si="100"/>
        <v/>
      </c>
      <c r="AU771" s="29" t="str">
        <f t="shared" si="101"/>
        <v/>
      </c>
      <c r="AV771" s="30" t="str">
        <f t="shared" si="102"/>
        <v/>
      </c>
      <c r="AW771" s="30" t="str">
        <f t="shared" si="103"/>
        <v/>
      </c>
      <c r="AX771" s="29" t="str">
        <f t="shared" si="104"/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 t="shared" si="105"/>
        <v/>
      </c>
      <c r="BB771" s="29" t="str">
        <f t="shared" si="106"/>
        <v/>
      </c>
      <c r="BC771" s="29">
        <f t="shared" si="107"/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 t="shared" si="99"/>
        <v>0</v>
      </c>
      <c r="AT772" s="30" t="str">
        <f t="shared" si="100"/>
        <v/>
      </c>
      <c r="AU772" s="29" t="str">
        <f t="shared" si="101"/>
        <v/>
      </c>
      <c r="AV772" s="30" t="str">
        <f t="shared" si="102"/>
        <v/>
      </c>
      <c r="AW772" s="30" t="str">
        <f t="shared" si="103"/>
        <v/>
      </c>
      <c r="AX772" s="29" t="str">
        <f t="shared" si="104"/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 t="shared" si="105"/>
        <v/>
      </c>
      <c r="BB772" s="29" t="str">
        <f t="shared" si="106"/>
        <v/>
      </c>
      <c r="BC772" s="29">
        <f t="shared" si="107"/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 t="shared" ref="AS773:AS836" si="108">SUM(H773,J773,L773,N773,P773,R773,T773,V773,X773,Z773,AB773,AD773,AF773,AH773,AJ773,AL773,AN773)</f>
        <v>0</v>
      </c>
      <c r="AT773" s="30" t="str">
        <f t="shared" ref="AT773:AT836" si="109">IF(C773="","",DATE(YEAR(C773),MONTH(C773),1))</f>
        <v/>
      </c>
      <c r="AU773" s="29" t="str">
        <f t="shared" ref="AU773:AU836" si="110">IF(AT773="","",TEXT(AT773,"mmmm yyyy"))</f>
        <v/>
      </c>
      <c r="AV773" s="30" t="str">
        <f t="shared" ref="AV773:AV836" si="111">IF(C773="","",C773-WEEKDAY(C773,2)+1)</f>
        <v/>
      </c>
      <c r="AW773" s="30" t="str">
        <f t="shared" ref="AW773:AW836" si="112">IF(AV773="","",AV773+6)</f>
        <v/>
      </c>
      <c r="AX773" s="29" t="str">
        <f t="shared" ref="AX773:AX836" si="113"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 t="shared" ref="BA773:BA836" si="114">IF(B773="","",TEXT(AY773,"00")&amp;"|"&amp;B773&amp;"|"&amp;TEXT(AT773,"yyyymmdd"))</f>
        <v/>
      </c>
      <c r="BB773" s="29" t="str">
        <f t="shared" ref="BB773:BB836" si="115">IF(B773="","",TEXT(AZ773,"00")&amp;"|"&amp;B773&amp;"|"&amp;TEXT(AV773,"yyyymmdd"))</f>
        <v/>
      </c>
      <c r="BC773" s="29">
        <f t="shared" ref="BC773:BC836" si="116"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 t="shared" si="108"/>
        <v>0</v>
      </c>
      <c r="AT774" s="30" t="str">
        <f t="shared" si="109"/>
        <v/>
      </c>
      <c r="AU774" s="29" t="str">
        <f t="shared" si="110"/>
        <v/>
      </c>
      <c r="AV774" s="30" t="str">
        <f t="shared" si="111"/>
        <v/>
      </c>
      <c r="AW774" s="30" t="str">
        <f t="shared" si="112"/>
        <v/>
      </c>
      <c r="AX774" s="29" t="str">
        <f t="shared" si="113"/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 t="shared" si="114"/>
        <v/>
      </c>
      <c r="BB774" s="29" t="str">
        <f t="shared" si="115"/>
        <v/>
      </c>
      <c r="BC774" s="29">
        <f t="shared" si="116"/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 t="shared" si="108"/>
        <v>0</v>
      </c>
      <c r="AT775" s="30" t="str">
        <f t="shared" si="109"/>
        <v/>
      </c>
      <c r="AU775" s="29" t="str">
        <f t="shared" si="110"/>
        <v/>
      </c>
      <c r="AV775" s="30" t="str">
        <f t="shared" si="111"/>
        <v/>
      </c>
      <c r="AW775" s="30" t="str">
        <f t="shared" si="112"/>
        <v/>
      </c>
      <c r="AX775" s="29" t="str">
        <f t="shared" si="113"/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 t="shared" si="114"/>
        <v/>
      </c>
      <c r="BB775" s="29" t="str">
        <f t="shared" si="115"/>
        <v/>
      </c>
      <c r="BC775" s="29">
        <f t="shared" si="116"/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 t="shared" si="108"/>
        <v>0</v>
      </c>
      <c r="AT776" s="30" t="str">
        <f t="shared" si="109"/>
        <v/>
      </c>
      <c r="AU776" s="29" t="str">
        <f t="shared" si="110"/>
        <v/>
      </c>
      <c r="AV776" s="30" t="str">
        <f t="shared" si="111"/>
        <v/>
      </c>
      <c r="AW776" s="30" t="str">
        <f t="shared" si="112"/>
        <v/>
      </c>
      <c r="AX776" s="29" t="str">
        <f t="shared" si="113"/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 t="shared" si="114"/>
        <v/>
      </c>
      <c r="BB776" s="29" t="str">
        <f t="shared" si="115"/>
        <v/>
      </c>
      <c r="BC776" s="29">
        <f t="shared" si="116"/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 t="shared" si="108"/>
        <v>0</v>
      </c>
      <c r="AT777" s="30" t="str">
        <f t="shared" si="109"/>
        <v/>
      </c>
      <c r="AU777" s="29" t="str">
        <f t="shared" si="110"/>
        <v/>
      </c>
      <c r="AV777" s="30" t="str">
        <f t="shared" si="111"/>
        <v/>
      </c>
      <c r="AW777" s="30" t="str">
        <f t="shared" si="112"/>
        <v/>
      </c>
      <c r="AX777" s="29" t="str">
        <f t="shared" si="113"/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 t="shared" si="114"/>
        <v/>
      </c>
      <c r="BB777" s="29" t="str">
        <f t="shared" si="115"/>
        <v/>
      </c>
      <c r="BC777" s="29">
        <f t="shared" si="116"/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 t="shared" si="108"/>
        <v>0</v>
      </c>
      <c r="AT778" s="30" t="str">
        <f t="shared" si="109"/>
        <v/>
      </c>
      <c r="AU778" s="29" t="str">
        <f t="shared" si="110"/>
        <v/>
      </c>
      <c r="AV778" s="30" t="str">
        <f t="shared" si="111"/>
        <v/>
      </c>
      <c r="AW778" s="30" t="str">
        <f t="shared" si="112"/>
        <v/>
      </c>
      <c r="AX778" s="29" t="str">
        <f t="shared" si="113"/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 t="shared" si="114"/>
        <v/>
      </c>
      <c r="BB778" s="29" t="str">
        <f t="shared" si="115"/>
        <v/>
      </c>
      <c r="BC778" s="29">
        <f t="shared" si="116"/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 t="shared" si="108"/>
        <v>0</v>
      </c>
      <c r="AT779" s="30" t="str">
        <f t="shared" si="109"/>
        <v/>
      </c>
      <c r="AU779" s="29" t="str">
        <f t="shared" si="110"/>
        <v/>
      </c>
      <c r="AV779" s="30" t="str">
        <f t="shared" si="111"/>
        <v/>
      </c>
      <c r="AW779" s="30" t="str">
        <f t="shared" si="112"/>
        <v/>
      </c>
      <c r="AX779" s="29" t="str">
        <f t="shared" si="113"/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 t="shared" si="114"/>
        <v/>
      </c>
      <c r="BB779" s="29" t="str">
        <f t="shared" si="115"/>
        <v/>
      </c>
      <c r="BC779" s="29">
        <f t="shared" si="116"/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 t="shared" si="108"/>
        <v>0</v>
      </c>
      <c r="AT780" s="30" t="str">
        <f t="shared" si="109"/>
        <v/>
      </c>
      <c r="AU780" s="29" t="str">
        <f t="shared" si="110"/>
        <v/>
      </c>
      <c r="AV780" s="30" t="str">
        <f t="shared" si="111"/>
        <v/>
      </c>
      <c r="AW780" s="30" t="str">
        <f t="shared" si="112"/>
        <v/>
      </c>
      <c r="AX780" s="29" t="str">
        <f t="shared" si="113"/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 t="shared" si="114"/>
        <v/>
      </c>
      <c r="BB780" s="29" t="str">
        <f t="shared" si="115"/>
        <v/>
      </c>
      <c r="BC780" s="29">
        <f t="shared" si="116"/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 t="shared" si="108"/>
        <v>0</v>
      </c>
      <c r="AT781" s="30" t="str">
        <f t="shared" si="109"/>
        <v/>
      </c>
      <c r="AU781" s="29" t="str">
        <f t="shared" si="110"/>
        <v/>
      </c>
      <c r="AV781" s="30" t="str">
        <f t="shared" si="111"/>
        <v/>
      </c>
      <c r="AW781" s="30" t="str">
        <f t="shared" si="112"/>
        <v/>
      </c>
      <c r="AX781" s="29" t="str">
        <f t="shared" si="113"/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 t="shared" si="114"/>
        <v/>
      </c>
      <c r="BB781" s="29" t="str">
        <f t="shared" si="115"/>
        <v/>
      </c>
      <c r="BC781" s="29">
        <f t="shared" si="116"/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 t="shared" si="108"/>
        <v>0</v>
      </c>
      <c r="AT782" s="30" t="str">
        <f t="shared" si="109"/>
        <v/>
      </c>
      <c r="AU782" s="29" t="str">
        <f t="shared" si="110"/>
        <v/>
      </c>
      <c r="AV782" s="30" t="str">
        <f t="shared" si="111"/>
        <v/>
      </c>
      <c r="AW782" s="30" t="str">
        <f t="shared" si="112"/>
        <v/>
      </c>
      <c r="AX782" s="29" t="str">
        <f t="shared" si="113"/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 t="shared" si="114"/>
        <v/>
      </c>
      <c r="BB782" s="29" t="str">
        <f t="shared" si="115"/>
        <v/>
      </c>
      <c r="BC782" s="29">
        <f t="shared" si="116"/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 t="shared" si="108"/>
        <v>0</v>
      </c>
      <c r="AT783" s="30" t="str">
        <f t="shared" si="109"/>
        <v/>
      </c>
      <c r="AU783" s="29" t="str">
        <f t="shared" si="110"/>
        <v/>
      </c>
      <c r="AV783" s="30" t="str">
        <f t="shared" si="111"/>
        <v/>
      </c>
      <c r="AW783" s="30" t="str">
        <f t="shared" si="112"/>
        <v/>
      </c>
      <c r="AX783" s="29" t="str">
        <f t="shared" si="113"/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 t="shared" si="114"/>
        <v/>
      </c>
      <c r="BB783" s="29" t="str">
        <f t="shared" si="115"/>
        <v/>
      </c>
      <c r="BC783" s="29">
        <f t="shared" si="116"/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 t="shared" si="108"/>
        <v>0</v>
      </c>
      <c r="AT784" s="30" t="str">
        <f t="shared" si="109"/>
        <v/>
      </c>
      <c r="AU784" s="29" t="str">
        <f t="shared" si="110"/>
        <v/>
      </c>
      <c r="AV784" s="30" t="str">
        <f t="shared" si="111"/>
        <v/>
      </c>
      <c r="AW784" s="30" t="str">
        <f t="shared" si="112"/>
        <v/>
      </c>
      <c r="AX784" s="29" t="str">
        <f t="shared" si="113"/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 t="shared" si="114"/>
        <v/>
      </c>
      <c r="BB784" s="29" t="str">
        <f t="shared" si="115"/>
        <v/>
      </c>
      <c r="BC784" s="29">
        <f t="shared" si="116"/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 t="shared" si="108"/>
        <v>0</v>
      </c>
      <c r="AT785" s="30" t="str">
        <f t="shared" si="109"/>
        <v/>
      </c>
      <c r="AU785" s="29" t="str">
        <f t="shared" si="110"/>
        <v/>
      </c>
      <c r="AV785" s="30" t="str">
        <f t="shared" si="111"/>
        <v/>
      </c>
      <c r="AW785" s="30" t="str">
        <f t="shared" si="112"/>
        <v/>
      </c>
      <c r="AX785" s="29" t="str">
        <f t="shared" si="113"/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 t="shared" si="114"/>
        <v/>
      </c>
      <c r="BB785" s="29" t="str">
        <f t="shared" si="115"/>
        <v/>
      </c>
      <c r="BC785" s="29">
        <f t="shared" si="116"/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 t="shared" si="108"/>
        <v>0</v>
      </c>
      <c r="AT786" s="30" t="str">
        <f t="shared" si="109"/>
        <v/>
      </c>
      <c r="AU786" s="29" t="str">
        <f t="shared" si="110"/>
        <v/>
      </c>
      <c r="AV786" s="30" t="str">
        <f t="shared" si="111"/>
        <v/>
      </c>
      <c r="AW786" s="30" t="str">
        <f t="shared" si="112"/>
        <v/>
      </c>
      <c r="AX786" s="29" t="str">
        <f t="shared" si="113"/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 t="shared" si="114"/>
        <v/>
      </c>
      <c r="BB786" s="29" t="str">
        <f t="shared" si="115"/>
        <v/>
      </c>
      <c r="BC786" s="29">
        <f t="shared" si="116"/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 t="shared" si="108"/>
        <v>0</v>
      </c>
      <c r="AT787" s="30" t="str">
        <f t="shared" si="109"/>
        <v/>
      </c>
      <c r="AU787" s="29" t="str">
        <f t="shared" si="110"/>
        <v/>
      </c>
      <c r="AV787" s="30" t="str">
        <f t="shared" si="111"/>
        <v/>
      </c>
      <c r="AW787" s="30" t="str">
        <f t="shared" si="112"/>
        <v/>
      </c>
      <c r="AX787" s="29" t="str">
        <f t="shared" si="113"/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 t="shared" si="114"/>
        <v/>
      </c>
      <c r="BB787" s="29" t="str">
        <f t="shared" si="115"/>
        <v/>
      </c>
      <c r="BC787" s="29">
        <f t="shared" si="116"/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 t="shared" si="108"/>
        <v>0</v>
      </c>
      <c r="AT788" s="30" t="str">
        <f t="shared" si="109"/>
        <v/>
      </c>
      <c r="AU788" s="29" t="str">
        <f t="shared" si="110"/>
        <v/>
      </c>
      <c r="AV788" s="30" t="str">
        <f t="shared" si="111"/>
        <v/>
      </c>
      <c r="AW788" s="30" t="str">
        <f t="shared" si="112"/>
        <v/>
      </c>
      <c r="AX788" s="29" t="str">
        <f t="shared" si="113"/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 t="shared" si="114"/>
        <v/>
      </c>
      <c r="BB788" s="29" t="str">
        <f t="shared" si="115"/>
        <v/>
      </c>
      <c r="BC788" s="29">
        <f t="shared" si="116"/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 t="shared" si="108"/>
        <v>0</v>
      </c>
      <c r="AT789" s="30" t="str">
        <f t="shared" si="109"/>
        <v/>
      </c>
      <c r="AU789" s="29" t="str">
        <f t="shared" si="110"/>
        <v/>
      </c>
      <c r="AV789" s="30" t="str">
        <f t="shared" si="111"/>
        <v/>
      </c>
      <c r="AW789" s="30" t="str">
        <f t="shared" si="112"/>
        <v/>
      </c>
      <c r="AX789" s="29" t="str">
        <f t="shared" si="113"/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 t="shared" si="114"/>
        <v/>
      </c>
      <c r="BB789" s="29" t="str">
        <f t="shared" si="115"/>
        <v/>
      </c>
      <c r="BC789" s="29">
        <f t="shared" si="116"/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 t="shared" si="108"/>
        <v>0</v>
      </c>
      <c r="AT790" s="30" t="str">
        <f t="shared" si="109"/>
        <v/>
      </c>
      <c r="AU790" s="29" t="str">
        <f t="shared" si="110"/>
        <v/>
      </c>
      <c r="AV790" s="30" t="str">
        <f t="shared" si="111"/>
        <v/>
      </c>
      <c r="AW790" s="30" t="str">
        <f t="shared" si="112"/>
        <v/>
      </c>
      <c r="AX790" s="29" t="str">
        <f t="shared" si="113"/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 t="shared" si="114"/>
        <v/>
      </c>
      <c r="BB790" s="29" t="str">
        <f t="shared" si="115"/>
        <v/>
      </c>
      <c r="BC790" s="29">
        <f t="shared" si="116"/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 t="shared" si="108"/>
        <v>0</v>
      </c>
      <c r="AT791" s="30" t="str">
        <f t="shared" si="109"/>
        <v/>
      </c>
      <c r="AU791" s="29" t="str">
        <f t="shared" si="110"/>
        <v/>
      </c>
      <c r="AV791" s="30" t="str">
        <f t="shared" si="111"/>
        <v/>
      </c>
      <c r="AW791" s="30" t="str">
        <f t="shared" si="112"/>
        <v/>
      </c>
      <c r="AX791" s="29" t="str">
        <f t="shared" si="113"/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 t="shared" si="114"/>
        <v/>
      </c>
      <c r="BB791" s="29" t="str">
        <f t="shared" si="115"/>
        <v/>
      </c>
      <c r="BC791" s="29">
        <f t="shared" si="116"/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 t="shared" si="108"/>
        <v>0</v>
      </c>
      <c r="AT792" s="30" t="str">
        <f t="shared" si="109"/>
        <v/>
      </c>
      <c r="AU792" s="29" t="str">
        <f t="shared" si="110"/>
        <v/>
      </c>
      <c r="AV792" s="30" t="str">
        <f t="shared" si="111"/>
        <v/>
      </c>
      <c r="AW792" s="30" t="str">
        <f t="shared" si="112"/>
        <v/>
      </c>
      <c r="AX792" s="29" t="str">
        <f t="shared" si="113"/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 t="shared" si="114"/>
        <v/>
      </c>
      <c r="BB792" s="29" t="str">
        <f t="shared" si="115"/>
        <v/>
      </c>
      <c r="BC792" s="29">
        <f t="shared" si="116"/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 t="shared" si="108"/>
        <v>0</v>
      </c>
      <c r="AT793" s="30" t="str">
        <f t="shared" si="109"/>
        <v/>
      </c>
      <c r="AU793" s="29" t="str">
        <f t="shared" si="110"/>
        <v/>
      </c>
      <c r="AV793" s="30" t="str">
        <f t="shared" si="111"/>
        <v/>
      </c>
      <c r="AW793" s="30" t="str">
        <f t="shared" si="112"/>
        <v/>
      </c>
      <c r="AX793" s="29" t="str">
        <f t="shared" si="113"/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 t="shared" si="114"/>
        <v/>
      </c>
      <c r="BB793" s="29" t="str">
        <f t="shared" si="115"/>
        <v/>
      </c>
      <c r="BC793" s="29">
        <f t="shared" si="116"/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 t="shared" si="108"/>
        <v>0</v>
      </c>
      <c r="AT794" s="30" t="str">
        <f t="shared" si="109"/>
        <v/>
      </c>
      <c r="AU794" s="29" t="str">
        <f t="shared" si="110"/>
        <v/>
      </c>
      <c r="AV794" s="30" t="str">
        <f t="shared" si="111"/>
        <v/>
      </c>
      <c r="AW794" s="30" t="str">
        <f t="shared" si="112"/>
        <v/>
      </c>
      <c r="AX794" s="29" t="str">
        <f t="shared" si="113"/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 t="shared" si="114"/>
        <v/>
      </c>
      <c r="BB794" s="29" t="str">
        <f t="shared" si="115"/>
        <v/>
      </c>
      <c r="BC794" s="29">
        <f t="shared" si="116"/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 t="shared" si="108"/>
        <v>0</v>
      </c>
      <c r="AT795" s="30" t="str">
        <f t="shared" si="109"/>
        <v/>
      </c>
      <c r="AU795" s="29" t="str">
        <f t="shared" si="110"/>
        <v/>
      </c>
      <c r="AV795" s="30" t="str">
        <f t="shared" si="111"/>
        <v/>
      </c>
      <c r="AW795" s="30" t="str">
        <f t="shared" si="112"/>
        <v/>
      </c>
      <c r="AX795" s="29" t="str">
        <f t="shared" si="113"/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 t="shared" si="114"/>
        <v/>
      </c>
      <c r="BB795" s="29" t="str">
        <f t="shared" si="115"/>
        <v/>
      </c>
      <c r="BC795" s="29">
        <f t="shared" si="116"/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 t="shared" si="108"/>
        <v>0</v>
      </c>
      <c r="AT796" s="30" t="str">
        <f t="shared" si="109"/>
        <v/>
      </c>
      <c r="AU796" s="29" t="str">
        <f t="shared" si="110"/>
        <v/>
      </c>
      <c r="AV796" s="30" t="str">
        <f t="shared" si="111"/>
        <v/>
      </c>
      <c r="AW796" s="30" t="str">
        <f t="shared" si="112"/>
        <v/>
      </c>
      <c r="AX796" s="29" t="str">
        <f t="shared" si="113"/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 t="shared" si="114"/>
        <v/>
      </c>
      <c r="BB796" s="29" t="str">
        <f t="shared" si="115"/>
        <v/>
      </c>
      <c r="BC796" s="29">
        <f t="shared" si="116"/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 t="shared" si="108"/>
        <v>0</v>
      </c>
      <c r="AT797" s="30" t="str">
        <f t="shared" si="109"/>
        <v/>
      </c>
      <c r="AU797" s="29" t="str">
        <f t="shared" si="110"/>
        <v/>
      </c>
      <c r="AV797" s="30" t="str">
        <f t="shared" si="111"/>
        <v/>
      </c>
      <c r="AW797" s="30" t="str">
        <f t="shared" si="112"/>
        <v/>
      </c>
      <c r="AX797" s="29" t="str">
        <f t="shared" si="113"/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 t="shared" si="114"/>
        <v/>
      </c>
      <c r="BB797" s="29" t="str">
        <f t="shared" si="115"/>
        <v/>
      </c>
      <c r="BC797" s="29">
        <f t="shared" si="116"/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 t="shared" si="108"/>
        <v>0</v>
      </c>
      <c r="AT798" s="30" t="str">
        <f t="shared" si="109"/>
        <v/>
      </c>
      <c r="AU798" s="29" t="str">
        <f t="shared" si="110"/>
        <v/>
      </c>
      <c r="AV798" s="30" t="str">
        <f t="shared" si="111"/>
        <v/>
      </c>
      <c r="AW798" s="30" t="str">
        <f t="shared" si="112"/>
        <v/>
      </c>
      <c r="AX798" s="29" t="str">
        <f t="shared" si="113"/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 t="shared" si="114"/>
        <v/>
      </c>
      <c r="BB798" s="29" t="str">
        <f t="shared" si="115"/>
        <v/>
      </c>
      <c r="BC798" s="29">
        <f t="shared" si="116"/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 t="shared" si="108"/>
        <v>0</v>
      </c>
      <c r="AT799" s="30" t="str">
        <f t="shared" si="109"/>
        <v/>
      </c>
      <c r="AU799" s="29" t="str">
        <f t="shared" si="110"/>
        <v/>
      </c>
      <c r="AV799" s="30" t="str">
        <f t="shared" si="111"/>
        <v/>
      </c>
      <c r="AW799" s="30" t="str">
        <f t="shared" si="112"/>
        <v/>
      </c>
      <c r="AX799" s="29" t="str">
        <f t="shared" si="113"/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 t="shared" si="114"/>
        <v/>
      </c>
      <c r="BB799" s="29" t="str">
        <f t="shared" si="115"/>
        <v/>
      </c>
      <c r="BC799" s="29">
        <f t="shared" si="116"/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 t="shared" si="108"/>
        <v>0</v>
      </c>
      <c r="AT800" s="30" t="str">
        <f t="shared" si="109"/>
        <v/>
      </c>
      <c r="AU800" s="29" t="str">
        <f t="shared" si="110"/>
        <v/>
      </c>
      <c r="AV800" s="30" t="str">
        <f t="shared" si="111"/>
        <v/>
      </c>
      <c r="AW800" s="30" t="str">
        <f t="shared" si="112"/>
        <v/>
      </c>
      <c r="AX800" s="29" t="str">
        <f t="shared" si="113"/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 t="shared" si="114"/>
        <v/>
      </c>
      <c r="BB800" s="29" t="str">
        <f t="shared" si="115"/>
        <v/>
      </c>
      <c r="BC800" s="29">
        <f t="shared" si="116"/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 t="shared" si="108"/>
        <v>0</v>
      </c>
      <c r="AT801" s="30" t="str">
        <f t="shared" si="109"/>
        <v/>
      </c>
      <c r="AU801" s="29" t="str">
        <f t="shared" si="110"/>
        <v/>
      </c>
      <c r="AV801" s="30" t="str">
        <f t="shared" si="111"/>
        <v/>
      </c>
      <c r="AW801" s="30" t="str">
        <f t="shared" si="112"/>
        <v/>
      </c>
      <c r="AX801" s="29" t="str">
        <f t="shared" si="113"/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 t="shared" si="114"/>
        <v/>
      </c>
      <c r="BB801" s="29" t="str">
        <f t="shared" si="115"/>
        <v/>
      </c>
      <c r="BC801" s="29">
        <f t="shared" si="116"/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 t="shared" si="108"/>
        <v>0</v>
      </c>
      <c r="AT802" s="30" t="str">
        <f t="shared" si="109"/>
        <v/>
      </c>
      <c r="AU802" s="29" t="str">
        <f t="shared" si="110"/>
        <v/>
      </c>
      <c r="AV802" s="30" t="str">
        <f t="shared" si="111"/>
        <v/>
      </c>
      <c r="AW802" s="30" t="str">
        <f t="shared" si="112"/>
        <v/>
      </c>
      <c r="AX802" s="29" t="str">
        <f t="shared" si="113"/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 t="shared" si="114"/>
        <v/>
      </c>
      <c r="BB802" s="29" t="str">
        <f t="shared" si="115"/>
        <v/>
      </c>
      <c r="BC802" s="29">
        <f t="shared" si="116"/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 t="shared" si="108"/>
        <v>0</v>
      </c>
      <c r="AT803" s="30" t="str">
        <f t="shared" si="109"/>
        <v/>
      </c>
      <c r="AU803" s="29" t="str">
        <f t="shared" si="110"/>
        <v/>
      </c>
      <c r="AV803" s="30" t="str">
        <f t="shared" si="111"/>
        <v/>
      </c>
      <c r="AW803" s="30" t="str">
        <f t="shared" si="112"/>
        <v/>
      </c>
      <c r="AX803" s="29" t="str">
        <f t="shared" si="113"/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 t="shared" si="114"/>
        <v/>
      </c>
      <c r="BB803" s="29" t="str">
        <f t="shared" si="115"/>
        <v/>
      </c>
      <c r="BC803" s="29">
        <f t="shared" si="116"/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 t="shared" si="108"/>
        <v>0</v>
      </c>
      <c r="AT804" s="30" t="str">
        <f t="shared" si="109"/>
        <v/>
      </c>
      <c r="AU804" s="29" t="str">
        <f t="shared" si="110"/>
        <v/>
      </c>
      <c r="AV804" s="30" t="str">
        <f t="shared" si="111"/>
        <v/>
      </c>
      <c r="AW804" s="30" t="str">
        <f t="shared" si="112"/>
        <v/>
      </c>
      <c r="AX804" s="29" t="str">
        <f t="shared" si="113"/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 t="shared" si="114"/>
        <v/>
      </c>
      <c r="BB804" s="29" t="str">
        <f t="shared" si="115"/>
        <v/>
      </c>
      <c r="BC804" s="29">
        <f t="shared" si="116"/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 t="shared" si="108"/>
        <v>0</v>
      </c>
      <c r="AT805" s="30" t="str">
        <f t="shared" si="109"/>
        <v/>
      </c>
      <c r="AU805" s="29" t="str">
        <f t="shared" si="110"/>
        <v/>
      </c>
      <c r="AV805" s="30" t="str">
        <f t="shared" si="111"/>
        <v/>
      </c>
      <c r="AW805" s="30" t="str">
        <f t="shared" si="112"/>
        <v/>
      </c>
      <c r="AX805" s="29" t="str">
        <f t="shared" si="113"/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 t="shared" si="114"/>
        <v/>
      </c>
      <c r="BB805" s="29" t="str">
        <f t="shared" si="115"/>
        <v/>
      </c>
      <c r="BC805" s="29">
        <f t="shared" si="116"/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 t="shared" si="108"/>
        <v>0</v>
      </c>
      <c r="AT806" s="30" t="str">
        <f t="shared" si="109"/>
        <v/>
      </c>
      <c r="AU806" s="29" t="str">
        <f t="shared" si="110"/>
        <v/>
      </c>
      <c r="AV806" s="30" t="str">
        <f t="shared" si="111"/>
        <v/>
      </c>
      <c r="AW806" s="30" t="str">
        <f t="shared" si="112"/>
        <v/>
      </c>
      <c r="AX806" s="29" t="str">
        <f t="shared" si="113"/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 t="shared" si="114"/>
        <v/>
      </c>
      <c r="BB806" s="29" t="str">
        <f t="shared" si="115"/>
        <v/>
      </c>
      <c r="BC806" s="29">
        <f t="shared" si="116"/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 t="shared" si="108"/>
        <v>0</v>
      </c>
      <c r="AT807" s="30" t="str">
        <f t="shared" si="109"/>
        <v/>
      </c>
      <c r="AU807" s="29" t="str">
        <f t="shared" si="110"/>
        <v/>
      </c>
      <c r="AV807" s="30" t="str">
        <f t="shared" si="111"/>
        <v/>
      </c>
      <c r="AW807" s="30" t="str">
        <f t="shared" si="112"/>
        <v/>
      </c>
      <c r="AX807" s="29" t="str">
        <f t="shared" si="113"/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 t="shared" si="114"/>
        <v/>
      </c>
      <c r="BB807" s="29" t="str">
        <f t="shared" si="115"/>
        <v/>
      </c>
      <c r="BC807" s="29">
        <f t="shared" si="116"/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 t="shared" si="108"/>
        <v>0</v>
      </c>
      <c r="AT808" s="30" t="str">
        <f t="shared" si="109"/>
        <v/>
      </c>
      <c r="AU808" s="29" t="str">
        <f t="shared" si="110"/>
        <v/>
      </c>
      <c r="AV808" s="30" t="str">
        <f t="shared" si="111"/>
        <v/>
      </c>
      <c r="AW808" s="30" t="str">
        <f t="shared" si="112"/>
        <v/>
      </c>
      <c r="AX808" s="29" t="str">
        <f t="shared" si="113"/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 t="shared" si="114"/>
        <v/>
      </c>
      <c r="BB808" s="29" t="str">
        <f t="shared" si="115"/>
        <v/>
      </c>
      <c r="BC808" s="29">
        <f t="shared" si="116"/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 t="shared" si="108"/>
        <v>0</v>
      </c>
      <c r="AT809" s="30" t="str">
        <f t="shared" si="109"/>
        <v/>
      </c>
      <c r="AU809" s="29" t="str">
        <f t="shared" si="110"/>
        <v/>
      </c>
      <c r="AV809" s="30" t="str">
        <f t="shared" si="111"/>
        <v/>
      </c>
      <c r="AW809" s="30" t="str">
        <f t="shared" si="112"/>
        <v/>
      </c>
      <c r="AX809" s="29" t="str">
        <f t="shared" si="113"/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 t="shared" si="114"/>
        <v/>
      </c>
      <c r="BB809" s="29" t="str">
        <f t="shared" si="115"/>
        <v/>
      </c>
      <c r="BC809" s="29">
        <f t="shared" si="116"/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 t="shared" si="108"/>
        <v>0</v>
      </c>
      <c r="AT810" s="30" t="str">
        <f t="shared" si="109"/>
        <v/>
      </c>
      <c r="AU810" s="29" t="str">
        <f t="shared" si="110"/>
        <v/>
      </c>
      <c r="AV810" s="30" t="str">
        <f t="shared" si="111"/>
        <v/>
      </c>
      <c r="AW810" s="30" t="str">
        <f t="shared" si="112"/>
        <v/>
      </c>
      <c r="AX810" s="29" t="str">
        <f t="shared" si="113"/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 t="shared" si="114"/>
        <v/>
      </c>
      <c r="BB810" s="29" t="str">
        <f t="shared" si="115"/>
        <v/>
      </c>
      <c r="BC810" s="29">
        <f t="shared" si="116"/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 t="shared" si="108"/>
        <v>0</v>
      </c>
      <c r="AT811" s="30" t="str">
        <f t="shared" si="109"/>
        <v/>
      </c>
      <c r="AU811" s="29" t="str">
        <f t="shared" si="110"/>
        <v/>
      </c>
      <c r="AV811" s="30" t="str">
        <f t="shared" si="111"/>
        <v/>
      </c>
      <c r="AW811" s="30" t="str">
        <f t="shared" si="112"/>
        <v/>
      </c>
      <c r="AX811" s="29" t="str">
        <f t="shared" si="113"/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 t="shared" si="114"/>
        <v/>
      </c>
      <c r="BB811" s="29" t="str">
        <f t="shared" si="115"/>
        <v/>
      </c>
      <c r="BC811" s="29">
        <f t="shared" si="116"/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 t="shared" si="108"/>
        <v>0</v>
      </c>
      <c r="AT812" s="30" t="str">
        <f t="shared" si="109"/>
        <v/>
      </c>
      <c r="AU812" s="29" t="str">
        <f t="shared" si="110"/>
        <v/>
      </c>
      <c r="AV812" s="30" t="str">
        <f t="shared" si="111"/>
        <v/>
      </c>
      <c r="AW812" s="30" t="str">
        <f t="shared" si="112"/>
        <v/>
      </c>
      <c r="AX812" s="29" t="str">
        <f t="shared" si="113"/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 t="shared" si="114"/>
        <v/>
      </c>
      <c r="BB812" s="29" t="str">
        <f t="shared" si="115"/>
        <v/>
      </c>
      <c r="BC812" s="29">
        <f t="shared" si="116"/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 t="shared" si="108"/>
        <v>0</v>
      </c>
      <c r="AT813" s="30" t="str">
        <f t="shared" si="109"/>
        <v/>
      </c>
      <c r="AU813" s="29" t="str">
        <f t="shared" si="110"/>
        <v/>
      </c>
      <c r="AV813" s="30" t="str">
        <f t="shared" si="111"/>
        <v/>
      </c>
      <c r="AW813" s="30" t="str">
        <f t="shared" si="112"/>
        <v/>
      </c>
      <c r="AX813" s="29" t="str">
        <f t="shared" si="113"/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 t="shared" si="114"/>
        <v/>
      </c>
      <c r="BB813" s="29" t="str">
        <f t="shared" si="115"/>
        <v/>
      </c>
      <c r="BC813" s="29">
        <f t="shared" si="116"/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 t="shared" si="108"/>
        <v>0</v>
      </c>
      <c r="AT814" s="30" t="str">
        <f t="shared" si="109"/>
        <v/>
      </c>
      <c r="AU814" s="29" t="str">
        <f t="shared" si="110"/>
        <v/>
      </c>
      <c r="AV814" s="30" t="str">
        <f t="shared" si="111"/>
        <v/>
      </c>
      <c r="AW814" s="30" t="str">
        <f t="shared" si="112"/>
        <v/>
      </c>
      <c r="AX814" s="29" t="str">
        <f t="shared" si="113"/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 t="shared" si="114"/>
        <v/>
      </c>
      <c r="BB814" s="29" t="str">
        <f t="shared" si="115"/>
        <v/>
      </c>
      <c r="BC814" s="29">
        <f t="shared" si="116"/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 t="shared" si="108"/>
        <v>0</v>
      </c>
      <c r="AT815" s="30" t="str">
        <f t="shared" si="109"/>
        <v/>
      </c>
      <c r="AU815" s="29" t="str">
        <f t="shared" si="110"/>
        <v/>
      </c>
      <c r="AV815" s="30" t="str">
        <f t="shared" si="111"/>
        <v/>
      </c>
      <c r="AW815" s="30" t="str">
        <f t="shared" si="112"/>
        <v/>
      </c>
      <c r="AX815" s="29" t="str">
        <f t="shared" si="113"/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 t="shared" si="114"/>
        <v/>
      </c>
      <c r="BB815" s="29" t="str">
        <f t="shared" si="115"/>
        <v/>
      </c>
      <c r="BC815" s="29">
        <f t="shared" si="116"/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 t="shared" si="108"/>
        <v>0</v>
      </c>
      <c r="AT816" s="30" t="str">
        <f t="shared" si="109"/>
        <v/>
      </c>
      <c r="AU816" s="29" t="str">
        <f t="shared" si="110"/>
        <v/>
      </c>
      <c r="AV816" s="30" t="str">
        <f t="shared" si="111"/>
        <v/>
      </c>
      <c r="AW816" s="30" t="str">
        <f t="shared" si="112"/>
        <v/>
      </c>
      <c r="AX816" s="29" t="str">
        <f t="shared" si="113"/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 t="shared" si="114"/>
        <v/>
      </c>
      <c r="BB816" s="29" t="str">
        <f t="shared" si="115"/>
        <v/>
      </c>
      <c r="BC816" s="29">
        <f t="shared" si="116"/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 t="shared" si="108"/>
        <v>0</v>
      </c>
      <c r="AT817" s="30" t="str">
        <f t="shared" si="109"/>
        <v/>
      </c>
      <c r="AU817" s="29" t="str">
        <f t="shared" si="110"/>
        <v/>
      </c>
      <c r="AV817" s="30" t="str">
        <f t="shared" si="111"/>
        <v/>
      </c>
      <c r="AW817" s="30" t="str">
        <f t="shared" si="112"/>
        <v/>
      </c>
      <c r="AX817" s="29" t="str">
        <f t="shared" si="113"/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 t="shared" si="114"/>
        <v/>
      </c>
      <c r="BB817" s="29" t="str">
        <f t="shared" si="115"/>
        <v/>
      </c>
      <c r="BC817" s="29">
        <f t="shared" si="116"/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 t="shared" si="108"/>
        <v>0</v>
      </c>
      <c r="AT818" s="30" t="str">
        <f t="shared" si="109"/>
        <v/>
      </c>
      <c r="AU818" s="29" t="str">
        <f t="shared" si="110"/>
        <v/>
      </c>
      <c r="AV818" s="30" t="str">
        <f t="shared" si="111"/>
        <v/>
      </c>
      <c r="AW818" s="30" t="str">
        <f t="shared" si="112"/>
        <v/>
      </c>
      <c r="AX818" s="29" t="str">
        <f t="shared" si="113"/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 t="shared" si="114"/>
        <v/>
      </c>
      <c r="BB818" s="29" t="str">
        <f t="shared" si="115"/>
        <v/>
      </c>
      <c r="BC818" s="29">
        <f t="shared" si="116"/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 t="shared" si="108"/>
        <v>0</v>
      </c>
      <c r="AT819" s="30" t="str">
        <f t="shared" si="109"/>
        <v/>
      </c>
      <c r="AU819" s="29" t="str">
        <f t="shared" si="110"/>
        <v/>
      </c>
      <c r="AV819" s="30" t="str">
        <f t="shared" si="111"/>
        <v/>
      </c>
      <c r="AW819" s="30" t="str">
        <f t="shared" si="112"/>
        <v/>
      </c>
      <c r="AX819" s="29" t="str">
        <f t="shared" si="113"/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 t="shared" si="114"/>
        <v/>
      </c>
      <c r="BB819" s="29" t="str">
        <f t="shared" si="115"/>
        <v/>
      </c>
      <c r="BC819" s="29">
        <f t="shared" si="116"/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 t="shared" si="108"/>
        <v>0</v>
      </c>
      <c r="AT820" s="30" t="str">
        <f t="shared" si="109"/>
        <v/>
      </c>
      <c r="AU820" s="29" t="str">
        <f t="shared" si="110"/>
        <v/>
      </c>
      <c r="AV820" s="30" t="str">
        <f t="shared" si="111"/>
        <v/>
      </c>
      <c r="AW820" s="30" t="str">
        <f t="shared" si="112"/>
        <v/>
      </c>
      <c r="AX820" s="29" t="str">
        <f t="shared" si="113"/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 t="shared" si="114"/>
        <v/>
      </c>
      <c r="BB820" s="29" t="str">
        <f t="shared" si="115"/>
        <v/>
      </c>
      <c r="BC820" s="29">
        <f t="shared" si="116"/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 t="shared" si="108"/>
        <v>0</v>
      </c>
      <c r="AT821" s="30" t="str">
        <f t="shared" si="109"/>
        <v/>
      </c>
      <c r="AU821" s="29" t="str">
        <f t="shared" si="110"/>
        <v/>
      </c>
      <c r="AV821" s="30" t="str">
        <f t="shared" si="111"/>
        <v/>
      </c>
      <c r="AW821" s="30" t="str">
        <f t="shared" si="112"/>
        <v/>
      </c>
      <c r="AX821" s="29" t="str">
        <f t="shared" si="113"/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 t="shared" si="114"/>
        <v/>
      </c>
      <c r="BB821" s="29" t="str">
        <f t="shared" si="115"/>
        <v/>
      </c>
      <c r="BC821" s="29">
        <f t="shared" si="116"/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 t="shared" si="108"/>
        <v>0</v>
      </c>
      <c r="AT822" s="30" t="str">
        <f t="shared" si="109"/>
        <v/>
      </c>
      <c r="AU822" s="29" t="str">
        <f t="shared" si="110"/>
        <v/>
      </c>
      <c r="AV822" s="30" t="str">
        <f t="shared" si="111"/>
        <v/>
      </c>
      <c r="AW822" s="30" t="str">
        <f t="shared" si="112"/>
        <v/>
      </c>
      <c r="AX822" s="29" t="str">
        <f t="shared" si="113"/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 t="shared" si="114"/>
        <v/>
      </c>
      <c r="BB822" s="29" t="str">
        <f t="shared" si="115"/>
        <v/>
      </c>
      <c r="BC822" s="29">
        <f t="shared" si="116"/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 t="shared" si="108"/>
        <v>0</v>
      </c>
      <c r="AT823" s="30" t="str">
        <f t="shared" si="109"/>
        <v/>
      </c>
      <c r="AU823" s="29" t="str">
        <f t="shared" si="110"/>
        <v/>
      </c>
      <c r="AV823" s="30" t="str">
        <f t="shared" si="111"/>
        <v/>
      </c>
      <c r="AW823" s="30" t="str">
        <f t="shared" si="112"/>
        <v/>
      </c>
      <c r="AX823" s="29" t="str">
        <f t="shared" si="113"/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 t="shared" si="114"/>
        <v/>
      </c>
      <c r="BB823" s="29" t="str">
        <f t="shared" si="115"/>
        <v/>
      </c>
      <c r="BC823" s="29">
        <f t="shared" si="116"/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 t="shared" si="108"/>
        <v>0</v>
      </c>
      <c r="AT824" s="30" t="str">
        <f t="shared" si="109"/>
        <v/>
      </c>
      <c r="AU824" s="29" t="str">
        <f t="shared" si="110"/>
        <v/>
      </c>
      <c r="AV824" s="30" t="str">
        <f t="shared" si="111"/>
        <v/>
      </c>
      <c r="AW824" s="30" t="str">
        <f t="shared" si="112"/>
        <v/>
      </c>
      <c r="AX824" s="29" t="str">
        <f t="shared" si="113"/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 t="shared" si="114"/>
        <v/>
      </c>
      <c r="BB824" s="29" t="str">
        <f t="shared" si="115"/>
        <v/>
      </c>
      <c r="BC824" s="29">
        <f t="shared" si="116"/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 t="shared" si="108"/>
        <v>0</v>
      </c>
      <c r="AT825" s="30" t="str">
        <f t="shared" si="109"/>
        <v/>
      </c>
      <c r="AU825" s="29" t="str">
        <f t="shared" si="110"/>
        <v/>
      </c>
      <c r="AV825" s="30" t="str">
        <f t="shared" si="111"/>
        <v/>
      </c>
      <c r="AW825" s="30" t="str">
        <f t="shared" si="112"/>
        <v/>
      </c>
      <c r="AX825" s="29" t="str">
        <f t="shared" si="113"/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 t="shared" si="114"/>
        <v/>
      </c>
      <c r="BB825" s="29" t="str">
        <f t="shared" si="115"/>
        <v/>
      </c>
      <c r="BC825" s="29">
        <f t="shared" si="116"/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 t="shared" si="108"/>
        <v>0</v>
      </c>
      <c r="AT826" s="30" t="str">
        <f t="shared" si="109"/>
        <v/>
      </c>
      <c r="AU826" s="29" t="str">
        <f t="shared" si="110"/>
        <v/>
      </c>
      <c r="AV826" s="30" t="str">
        <f t="shared" si="111"/>
        <v/>
      </c>
      <c r="AW826" s="30" t="str">
        <f t="shared" si="112"/>
        <v/>
      </c>
      <c r="AX826" s="29" t="str">
        <f t="shared" si="113"/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 t="shared" si="114"/>
        <v/>
      </c>
      <c r="BB826" s="29" t="str">
        <f t="shared" si="115"/>
        <v/>
      </c>
      <c r="BC826" s="29">
        <f t="shared" si="116"/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 t="shared" si="108"/>
        <v>0</v>
      </c>
      <c r="AT827" s="30" t="str">
        <f t="shared" si="109"/>
        <v/>
      </c>
      <c r="AU827" s="29" t="str">
        <f t="shared" si="110"/>
        <v/>
      </c>
      <c r="AV827" s="30" t="str">
        <f t="shared" si="111"/>
        <v/>
      </c>
      <c r="AW827" s="30" t="str">
        <f t="shared" si="112"/>
        <v/>
      </c>
      <c r="AX827" s="29" t="str">
        <f t="shared" si="113"/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 t="shared" si="114"/>
        <v/>
      </c>
      <c r="BB827" s="29" t="str">
        <f t="shared" si="115"/>
        <v/>
      </c>
      <c r="BC827" s="29">
        <f t="shared" si="116"/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 t="shared" si="108"/>
        <v>0</v>
      </c>
      <c r="AT828" s="30" t="str">
        <f t="shared" si="109"/>
        <v/>
      </c>
      <c r="AU828" s="29" t="str">
        <f t="shared" si="110"/>
        <v/>
      </c>
      <c r="AV828" s="30" t="str">
        <f t="shared" si="111"/>
        <v/>
      </c>
      <c r="AW828" s="30" t="str">
        <f t="shared" si="112"/>
        <v/>
      </c>
      <c r="AX828" s="29" t="str">
        <f t="shared" si="113"/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 t="shared" si="114"/>
        <v/>
      </c>
      <c r="BB828" s="29" t="str">
        <f t="shared" si="115"/>
        <v/>
      </c>
      <c r="BC828" s="29">
        <f t="shared" si="116"/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 t="shared" si="108"/>
        <v>0</v>
      </c>
      <c r="AT829" s="30" t="str">
        <f t="shared" si="109"/>
        <v/>
      </c>
      <c r="AU829" s="29" t="str">
        <f t="shared" si="110"/>
        <v/>
      </c>
      <c r="AV829" s="30" t="str">
        <f t="shared" si="111"/>
        <v/>
      </c>
      <c r="AW829" s="30" t="str">
        <f t="shared" si="112"/>
        <v/>
      </c>
      <c r="AX829" s="29" t="str">
        <f t="shared" si="113"/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 t="shared" si="114"/>
        <v/>
      </c>
      <c r="BB829" s="29" t="str">
        <f t="shared" si="115"/>
        <v/>
      </c>
      <c r="BC829" s="29">
        <f t="shared" si="116"/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 t="shared" si="108"/>
        <v>0</v>
      </c>
      <c r="AT830" s="30" t="str">
        <f t="shared" si="109"/>
        <v/>
      </c>
      <c r="AU830" s="29" t="str">
        <f t="shared" si="110"/>
        <v/>
      </c>
      <c r="AV830" s="30" t="str">
        <f t="shared" si="111"/>
        <v/>
      </c>
      <c r="AW830" s="30" t="str">
        <f t="shared" si="112"/>
        <v/>
      </c>
      <c r="AX830" s="29" t="str">
        <f t="shared" si="113"/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 t="shared" si="114"/>
        <v/>
      </c>
      <c r="BB830" s="29" t="str">
        <f t="shared" si="115"/>
        <v/>
      </c>
      <c r="BC830" s="29">
        <f t="shared" si="116"/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 t="shared" si="108"/>
        <v>0</v>
      </c>
      <c r="AT831" s="30" t="str">
        <f t="shared" si="109"/>
        <v/>
      </c>
      <c r="AU831" s="29" t="str">
        <f t="shared" si="110"/>
        <v/>
      </c>
      <c r="AV831" s="30" t="str">
        <f t="shared" si="111"/>
        <v/>
      </c>
      <c r="AW831" s="30" t="str">
        <f t="shared" si="112"/>
        <v/>
      </c>
      <c r="AX831" s="29" t="str">
        <f t="shared" si="113"/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 t="shared" si="114"/>
        <v/>
      </c>
      <c r="BB831" s="29" t="str">
        <f t="shared" si="115"/>
        <v/>
      </c>
      <c r="BC831" s="29">
        <f t="shared" si="116"/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 t="shared" si="108"/>
        <v>0</v>
      </c>
      <c r="AT832" s="30" t="str">
        <f t="shared" si="109"/>
        <v/>
      </c>
      <c r="AU832" s="29" t="str">
        <f t="shared" si="110"/>
        <v/>
      </c>
      <c r="AV832" s="30" t="str">
        <f t="shared" si="111"/>
        <v/>
      </c>
      <c r="AW832" s="30" t="str">
        <f t="shared" si="112"/>
        <v/>
      </c>
      <c r="AX832" s="29" t="str">
        <f t="shared" si="113"/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 t="shared" si="114"/>
        <v/>
      </c>
      <c r="BB832" s="29" t="str">
        <f t="shared" si="115"/>
        <v/>
      </c>
      <c r="BC832" s="29">
        <f t="shared" si="116"/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 t="shared" si="108"/>
        <v>0</v>
      </c>
      <c r="AT833" s="30" t="str">
        <f t="shared" si="109"/>
        <v/>
      </c>
      <c r="AU833" s="29" t="str">
        <f t="shared" si="110"/>
        <v/>
      </c>
      <c r="AV833" s="30" t="str">
        <f t="shared" si="111"/>
        <v/>
      </c>
      <c r="AW833" s="30" t="str">
        <f t="shared" si="112"/>
        <v/>
      </c>
      <c r="AX833" s="29" t="str">
        <f t="shared" si="113"/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 t="shared" si="114"/>
        <v/>
      </c>
      <c r="BB833" s="29" t="str">
        <f t="shared" si="115"/>
        <v/>
      </c>
      <c r="BC833" s="29">
        <f t="shared" si="116"/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 t="shared" si="108"/>
        <v>0</v>
      </c>
      <c r="AT834" s="30" t="str">
        <f t="shared" si="109"/>
        <v/>
      </c>
      <c r="AU834" s="29" t="str">
        <f t="shared" si="110"/>
        <v/>
      </c>
      <c r="AV834" s="30" t="str">
        <f t="shared" si="111"/>
        <v/>
      </c>
      <c r="AW834" s="30" t="str">
        <f t="shared" si="112"/>
        <v/>
      </c>
      <c r="AX834" s="29" t="str">
        <f t="shared" si="113"/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 t="shared" si="114"/>
        <v/>
      </c>
      <c r="BB834" s="29" t="str">
        <f t="shared" si="115"/>
        <v/>
      </c>
      <c r="BC834" s="29">
        <f t="shared" si="116"/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 t="shared" si="108"/>
        <v>0</v>
      </c>
      <c r="AT835" s="30" t="str">
        <f t="shared" si="109"/>
        <v/>
      </c>
      <c r="AU835" s="29" t="str">
        <f t="shared" si="110"/>
        <v/>
      </c>
      <c r="AV835" s="30" t="str">
        <f t="shared" si="111"/>
        <v/>
      </c>
      <c r="AW835" s="30" t="str">
        <f t="shared" si="112"/>
        <v/>
      </c>
      <c r="AX835" s="29" t="str">
        <f t="shared" si="113"/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 t="shared" si="114"/>
        <v/>
      </c>
      <c r="BB835" s="29" t="str">
        <f t="shared" si="115"/>
        <v/>
      </c>
      <c r="BC835" s="29">
        <f t="shared" si="116"/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 t="shared" si="108"/>
        <v>0</v>
      </c>
      <c r="AT836" s="30" t="str">
        <f t="shared" si="109"/>
        <v/>
      </c>
      <c r="AU836" s="29" t="str">
        <f t="shared" si="110"/>
        <v/>
      </c>
      <c r="AV836" s="30" t="str">
        <f t="shared" si="111"/>
        <v/>
      </c>
      <c r="AW836" s="30" t="str">
        <f t="shared" si="112"/>
        <v/>
      </c>
      <c r="AX836" s="29" t="str">
        <f t="shared" si="113"/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 t="shared" si="114"/>
        <v/>
      </c>
      <c r="BB836" s="29" t="str">
        <f t="shared" si="115"/>
        <v/>
      </c>
      <c r="BC836" s="29">
        <f t="shared" si="116"/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 t="shared" ref="AS837:AS900" si="117">SUM(H837,J837,L837,N837,P837,R837,T837,V837,X837,Z837,AB837,AD837,AF837,AH837,AJ837,AL837,AN837)</f>
        <v>0</v>
      </c>
      <c r="AT837" s="30" t="str">
        <f t="shared" ref="AT837:AT900" si="118">IF(C837="","",DATE(YEAR(C837),MONTH(C837),1))</f>
        <v/>
      </c>
      <c r="AU837" s="29" t="str">
        <f t="shared" ref="AU837:AU900" si="119">IF(AT837="","",TEXT(AT837,"mmmm yyyy"))</f>
        <v/>
      </c>
      <c r="AV837" s="30" t="str">
        <f t="shared" ref="AV837:AV900" si="120">IF(C837="","",C837-WEEKDAY(C837,2)+1)</f>
        <v/>
      </c>
      <c r="AW837" s="30" t="str">
        <f t="shared" ref="AW837:AW900" si="121">IF(AV837="","",AV837+6)</f>
        <v/>
      </c>
      <c r="AX837" s="29" t="str">
        <f t="shared" ref="AX837:AX900" si="122"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 t="shared" ref="BA837:BA900" si="123">IF(B837="","",TEXT(AY837,"00")&amp;"|"&amp;B837&amp;"|"&amp;TEXT(AT837,"yyyymmdd"))</f>
        <v/>
      </c>
      <c r="BB837" s="29" t="str">
        <f t="shared" ref="BB837:BB900" si="124">IF(B837="","",TEXT(AZ837,"00")&amp;"|"&amp;B837&amp;"|"&amp;TEXT(AV837,"yyyymmdd"))</f>
        <v/>
      </c>
      <c r="BC837" s="29">
        <f t="shared" ref="BC837:BC900" si="125"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 t="shared" si="117"/>
        <v>0</v>
      </c>
      <c r="AT838" s="30" t="str">
        <f t="shared" si="118"/>
        <v/>
      </c>
      <c r="AU838" s="29" t="str">
        <f t="shared" si="119"/>
        <v/>
      </c>
      <c r="AV838" s="30" t="str">
        <f t="shared" si="120"/>
        <v/>
      </c>
      <c r="AW838" s="30" t="str">
        <f t="shared" si="121"/>
        <v/>
      </c>
      <c r="AX838" s="29" t="str">
        <f t="shared" si="122"/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 t="shared" si="123"/>
        <v/>
      </c>
      <c r="BB838" s="29" t="str">
        <f t="shared" si="124"/>
        <v/>
      </c>
      <c r="BC838" s="29">
        <f t="shared" si="125"/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 t="shared" si="117"/>
        <v>0</v>
      </c>
      <c r="AT839" s="30" t="str">
        <f t="shared" si="118"/>
        <v/>
      </c>
      <c r="AU839" s="29" t="str">
        <f t="shared" si="119"/>
        <v/>
      </c>
      <c r="AV839" s="30" t="str">
        <f t="shared" si="120"/>
        <v/>
      </c>
      <c r="AW839" s="30" t="str">
        <f t="shared" si="121"/>
        <v/>
      </c>
      <c r="AX839" s="29" t="str">
        <f t="shared" si="122"/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 t="shared" si="123"/>
        <v/>
      </c>
      <c r="BB839" s="29" t="str">
        <f t="shared" si="124"/>
        <v/>
      </c>
      <c r="BC839" s="29">
        <f t="shared" si="125"/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 t="shared" si="117"/>
        <v>0</v>
      </c>
      <c r="AT840" s="30" t="str">
        <f t="shared" si="118"/>
        <v/>
      </c>
      <c r="AU840" s="29" t="str">
        <f t="shared" si="119"/>
        <v/>
      </c>
      <c r="AV840" s="30" t="str">
        <f t="shared" si="120"/>
        <v/>
      </c>
      <c r="AW840" s="30" t="str">
        <f t="shared" si="121"/>
        <v/>
      </c>
      <c r="AX840" s="29" t="str">
        <f t="shared" si="122"/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 t="shared" si="123"/>
        <v/>
      </c>
      <c r="BB840" s="29" t="str">
        <f t="shared" si="124"/>
        <v/>
      </c>
      <c r="BC840" s="29">
        <f t="shared" si="125"/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 t="shared" si="117"/>
        <v>0</v>
      </c>
      <c r="AT841" s="30" t="str">
        <f t="shared" si="118"/>
        <v/>
      </c>
      <c r="AU841" s="29" t="str">
        <f t="shared" si="119"/>
        <v/>
      </c>
      <c r="AV841" s="30" t="str">
        <f t="shared" si="120"/>
        <v/>
      </c>
      <c r="AW841" s="30" t="str">
        <f t="shared" si="121"/>
        <v/>
      </c>
      <c r="AX841" s="29" t="str">
        <f t="shared" si="122"/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 t="shared" si="123"/>
        <v/>
      </c>
      <c r="BB841" s="29" t="str">
        <f t="shared" si="124"/>
        <v/>
      </c>
      <c r="BC841" s="29">
        <f t="shared" si="125"/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 t="shared" si="117"/>
        <v>0</v>
      </c>
      <c r="AT842" s="30" t="str">
        <f t="shared" si="118"/>
        <v/>
      </c>
      <c r="AU842" s="29" t="str">
        <f t="shared" si="119"/>
        <v/>
      </c>
      <c r="AV842" s="30" t="str">
        <f t="shared" si="120"/>
        <v/>
      </c>
      <c r="AW842" s="30" t="str">
        <f t="shared" si="121"/>
        <v/>
      </c>
      <c r="AX842" s="29" t="str">
        <f t="shared" si="122"/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 t="shared" si="123"/>
        <v/>
      </c>
      <c r="BB842" s="29" t="str">
        <f t="shared" si="124"/>
        <v/>
      </c>
      <c r="BC842" s="29">
        <f t="shared" si="125"/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 t="shared" si="117"/>
        <v>0</v>
      </c>
      <c r="AT843" s="30" t="str">
        <f t="shared" si="118"/>
        <v/>
      </c>
      <c r="AU843" s="29" t="str">
        <f t="shared" si="119"/>
        <v/>
      </c>
      <c r="AV843" s="30" t="str">
        <f t="shared" si="120"/>
        <v/>
      </c>
      <c r="AW843" s="30" t="str">
        <f t="shared" si="121"/>
        <v/>
      </c>
      <c r="AX843" s="29" t="str">
        <f t="shared" si="122"/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 t="shared" si="123"/>
        <v/>
      </c>
      <c r="BB843" s="29" t="str">
        <f t="shared" si="124"/>
        <v/>
      </c>
      <c r="BC843" s="29">
        <f t="shared" si="125"/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 t="shared" si="117"/>
        <v>0</v>
      </c>
      <c r="AT844" s="30" t="str">
        <f t="shared" si="118"/>
        <v/>
      </c>
      <c r="AU844" s="29" t="str">
        <f t="shared" si="119"/>
        <v/>
      </c>
      <c r="AV844" s="30" t="str">
        <f t="shared" si="120"/>
        <v/>
      </c>
      <c r="AW844" s="30" t="str">
        <f t="shared" si="121"/>
        <v/>
      </c>
      <c r="AX844" s="29" t="str">
        <f t="shared" si="122"/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 t="shared" si="123"/>
        <v/>
      </c>
      <c r="BB844" s="29" t="str">
        <f t="shared" si="124"/>
        <v/>
      </c>
      <c r="BC844" s="29">
        <f t="shared" si="125"/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 t="shared" si="117"/>
        <v>0</v>
      </c>
      <c r="AT845" s="30" t="str">
        <f t="shared" si="118"/>
        <v/>
      </c>
      <c r="AU845" s="29" t="str">
        <f t="shared" si="119"/>
        <v/>
      </c>
      <c r="AV845" s="30" t="str">
        <f t="shared" si="120"/>
        <v/>
      </c>
      <c r="AW845" s="30" t="str">
        <f t="shared" si="121"/>
        <v/>
      </c>
      <c r="AX845" s="29" t="str">
        <f t="shared" si="122"/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 t="shared" si="123"/>
        <v/>
      </c>
      <c r="BB845" s="29" t="str">
        <f t="shared" si="124"/>
        <v/>
      </c>
      <c r="BC845" s="29">
        <f t="shared" si="125"/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 t="shared" si="117"/>
        <v>0</v>
      </c>
      <c r="AT846" s="30" t="str">
        <f t="shared" si="118"/>
        <v/>
      </c>
      <c r="AU846" s="29" t="str">
        <f t="shared" si="119"/>
        <v/>
      </c>
      <c r="AV846" s="30" t="str">
        <f t="shared" si="120"/>
        <v/>
      </c>
      <c r="AW846" s="30" t="str">
        <f t="shared" si="121"/>
        <v/>
      </c>
      <c r="AX846" s="29" t="str">
        <f t="shared" si="122"/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 t="shared" si="123"/>
        <v/>
      </c>
      <c r="BB846" s="29" t="str">
        <f t="shared" si="124"/>
        <v/>
      </c>
      <c r="BC846" s="29">
        <f t="shared" si="125"/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 t="shared" si="117"/>
        <v>0</v>
      </c>
      <c r="AT847" s="30" t="str">
        <f t="shared" si="118"/>
        <v/>
      </c>
      <c r="AU847" s="29" t="str">
        <f t="shared" si="119"/>
        <v/>
      </c>
      <c r="AV847" s="30" t="str">
        <f t="shared" si="120"/>
        <v/>
      </c>
      <c r="AW847" s="30" t="str">
        <f t="shared" si="121"/>
        <v/>
      </c>
      <c r="AX847" s="29" t="str">
        <f t="shared" si="122"/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 t="shared" si="123"/>
        <v/>
      </c>
      <c r="BB847" s="29" t="str">
        <f t="shared" si="124"/>
        <v/>
      </c>
      <c r="BC847" s="29">
        <f t="shared" si="125"/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 t="shared" si="117"/>
        <v>0</v>
      </c>
      <c r="AT848" s="30" t="str">
        <f t="shared" si="118"/>
        <v/>
      </c>
      <c r="AU848" s="29" t="str">
        <f t="shared" si="119"/>
        <v/>
      </c>
      <c r="AV848" s="30" t="str">
        <f t="shared" si="120"/>
        <v/>
      </c>
      <c r="AW848" s="30" t="str">
        <f t="shared" si="121"/>
        <v/>
      </c>
      <c r="AX848" s="29" t="str">
        <f t="shared" si="122"/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 t="shared" si="123"/>
        <v/>
      </c>
      <c r="BB848" s="29" t="str">
        <f t="shared" si="124"/>
        <v/>
      </c>
      <c r="BC848" s="29">
        <f t="shared" si="125"/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 t="shared" si="117"/>
        <v>0</v>
      </c>
      <c r="AT849" s="30" t="str">
        <f t="shared" si="118"/>
        <v/>
      </c>
      <c r="AU849" s="29" t="str">
        <f t="shared" si="119"/>
        <v/>
      </c>
      <c r="AV849" s="30" t="str">
        <f t="shared" si="120"/>
        <v/>
      </c>
      <c r="AW849" s="30" t="str">
        <f t="shared" si="121"/>
        <v/>
      </c>
      <c r="AX849" s="29" t="str">
        <f t="shared" si="122"/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 t="shared" si="123"/>
        <v/>
      </c>
      <c r="BB849" s="29" t="str">
        <f t="shared" si="124"/>
        <v/>
      </c>
      <c r="BC849" s="29">
        <f t="shared" si="125"/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 t="shared" si="117"/>
        <v>0</v>
      </c>
      <c r="AT850" s="30" t="str">
        <f t="shared" si="118"/>
        <v/>
      </c>
      <c r="AU850" s="29" t="str">
        <f t="shared" si="119"/>
        <v/>
      </c>
      <c r="AV850" s="30" t="str">
        <f t="shared" si="120"/>
        <v/>
      </c>
      <c r="AW850" s="30" t="str">
        <f t="shared" si="121"/>
        <v/>
      </c>
      <c r="AX850" s="29" t="str">
        <f t="shared" si="122"/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 t="shared" si="123"/>
        <v/>
      </c>
      <c r="BB850" s="29" t="str">
        <f t="shared" si="124"/>
        <v/>
      </c>
      <c r="BC850" s="29">
        <f t="shared" si="125"/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 t="shared" si="117"/>
        <v>0</v>
      </c>
      <c r="AT851" s="30" t="str">
        <f t="shared" si="118"/>
        <v/>
      </c>
      <c r="AU851" s="29" t="str">
        <f t="shared" si="119"/>
        <v/>
      </c>
      <c r="AV851" s="30" t="str">
        <f t="shared" si="120"/>
        <v/>
      </c>
      <c r="AW851" s="30" t="str">
        <f t="shared" si="121"/>
        <v/>
      </c>
      <c r="AX851" s="29" t="str">
        <f t="shared" si="122"/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 t="shared" si="123"/>
        <v/>
      </c>
      <c r="BB851" s="29" t="str">
        <f t="shared" si="124"/>
        <v/>
      </c>
      <c r="BC851" s="29">
        <f t="shared" si="125"/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 t="shared" si="117"/>
        <v>0</v>
      </c>
      <c r="AT852" s="30" t="str">
        <f t="shared" si="118"/>
        <v/>
      </c>
      <c r="AU852" s="29" t="str">
        <f t="shared" si="119"/>
        <v/>
      </c>
      <c r="AV852" s="30" t="str">
        <f t="shared" si="120"/>
        <v/>
      </c>
      <c r="AW852" s="30" t="str">
        <f t="shared" si="121"/>
        <v/>
      </c>
      <c r="AX852" s="29" t="str">
        <f t="shared" si="122"/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 t="shared" si="123"/>
        <v/>
      </c>
      <c r="BB852" s="29" t="str">
        <f t="shared" si="124"/>
        <v/>
      </c>
      <c r="BC852" s="29">
        <f t="shared" si="125"/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 t="shared" si="117"/>
        <v>0</v>
      </c>
      <c r="AT853" s="30" t="str">
        <f t="shared" si="118"/>
        <v/>
      </c>
      <c r="AU853" s="29" t="str">
        <f t="shared" si="119"/>
        <v/>
      </c>
      <c r="AV853" s="30" t="str">
        <f t="shared" si="120"/>
        <v/>
      </c>
      <c r="AW853" s="30" t="str">
        <f t="shared" si="121"/>
        <v/>
      </c>
      <c r="AX853" s="29" t="str">
        <f t="shared" si="122"/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 t="shared" si="123"/>
        <v/>
      </c>
      <c r="BB853" s="29" t="str">
        <f t="shared" si="124"/>
        <v/>
      </c>
      <c r="BC853" s="29">
        <f t="shared" si="125"/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 t="shared" si="117"/>
        <v>0</v>
      </c>
      <c r="AT854" s="30" t="str">
        <f t="shared" si="118"/>
        <v/>
      </c>
      <c r="AU854" s="29" t="str">
        <f t="shared" si="119"/>
        <v/>
      </c>
      <c r="AV854" s="30" t="str">
        <f t="shared" si="120"/>
        <v/>
      </c>
      <c r="AW854" s="30" t="str">
        <f t="shared" si="121"/>
        <v/>
      </c>
      <c r="AX854" s="29" t="str">
        <f t="shared" si="122"/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 t="shared" si="123"/>
        <v/>
      </c>
      <c r="BB854" s="29" t="str">
        <f t="shared" si="124"/>
        <v/>
      </c>
      <c r="BC854" s="29">
        <f t="shared" si="125"/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 t="shared" si="117"/>
        <v>0</v>
      </c>
      <c r="AT855" s="30" t="str">
        <f t="shared" si="118"/>
        <v/>
      </c>
      <c r="AU855" s="29" t="str">
        <f t="shared" si="119"/>
        <v/>
      </c>
      <c r="AV855" s="30" t="str">
        <f t="shared" si="120"/>
        <v/>
      </c>
      <c r="AW855" s="30" t="str">
        <f t="shared" si="121"/>
        <v/>
      </c>
      <c r="AX855" s="29" t="str">
        <f t="shared" si="122"/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 t="shared" si="123"/>
        <v/>
      </c>
      <c r="BB855" s="29" t="str">
        <f t="shared" si="124"/>
        <v/>
      </c>
      <c r="BC855" s="29">
        <f t="shared" si="125"/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 t="shared" si="117"/>
        <v>0</v>
      </c>
      <c r="AT856" s="30" t="str">
        <f t="shared" si="118"/>
        <v/>
      </c>
      <c r="AU856" s="29" t="str">
        <f t="shared" si="119"/>
        <v/>
      </c>
      <c r="AV856" s="30" t="str">
        <f t="shared" si="120"/>
        <v/>
      </c>
      <c r="AW856" s="30" t="str">
        <f t="shared" si="121"/>
        <v/>
      </c>
      <c r="AX856" s="29" t="str">
        <f t="shared" si="122"/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 t="shared" si="123"/>
        <v/>
      </c>
      <c r="BB856" s="29" t="str">
        <f t="shared" si="124"/>
        <v/>
      </c>
      <c r="BC856" s="29">
        <f t="shared" si="125"/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 t="shared" si="117"/>
        <v>0</v>
      </c>
      <c r="AT857" s="30" t="str">
        <f t="shared" si="118"/>
        <v/>
      </c>
      <c r="AU857" s="29" t="str">
        <f t="shared" si="119"/>
        <v/>
      </c>
      <c r="AV857" s="30" t="str">
        <f t="shared" si="120"/>
        <v/>
      </c>
      <c r="AW857" s="30" t="str">
        <f t="shared" si="121"/>
        <v/>
      </c>
      <c r="AX857" s="29" t="str">
        <f t="shared" si="122"/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 t="shared" si="123"/>
        <v/>
      </c>
      <c r="BB857" s="29" t="str">
        <f t="shared" si="124"/>
        <v/>
      </c>
      <c r="BC857" s="29">
        <f t="shared" si="125"/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 t="shared" si="117"/>
        <v>0</v>
      </c>
      <c r="AT858" s="30" t="str">
        <f t="shared" si="118"/>
        <v/>
      </c>
      <c r="AU858" s="29" t="str">
        <f t="shared" si="119"/>
        <v/>
      </c>
      <c r="AV858" s="30" t="str">
        <f t="shared" si="120"/>
        <v/>
      </c>
      <c r="AW858" s="30" t="str">
        <f t="shared" si="121"/>
        <v/>
      </c>
      <c r="AX858" s="29" t="str">
        <f t="shared" si="122"/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 t="shared" si="123"/>
        <v/>
      </c>
      <c r="BB858" s="29" t="str">
        <f t="shared" si="124"/>
        <v/>
      </c>
      <c r="BC858" s="29">
        <f t="shared" si="125"/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 t="shared" si="117"/>
        <v>0</v>
      </c>
      <c r="AT859" s="30" t="str">
        <f t="shared" si="118"/>
        <v/>
      </c>
      <c r="AU859" s="29" t="str">
        <f t="shared" si="119"/>
        <v/>
      </c>
      <c r="AV859" s="30" t="str">
        <f t="shared" si="120"/>
        <v/>
      </c>
      <c r="AW859" s="30" t="str">
        <f t="shared" si="121"/>
        <v/>
      </c>
      <c r="AX859" s="29" t="str">
        <f t="shared" si="122"/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 t="shared" si="123"/>
        <v/>
      </c>
      <c r="BB859" s="29" t="str">
        <f t="shared" si="124"/>
        <v/>
      </c>
      <c r="BC859" s="29">
        <f t="shared" si="125"/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 t="shared" si="117"/>
        <v>0</v>
      </c>
      <c r="AT860" s="30" t="str">
        <f t="shared" si="118"/>
        <v/>
      </c>
      <c r="AU860" s="29" t="str">
        <f t="shared" si="119"/>
        <v/>
      </c>
      <c r="AV860" s="30" t="str">
        <f t="shared" si="120"/>
        <v/>
      </c>
      <c r="AW860" s="30" t="str">
        <f t="shared" si="121"/>
        <v/>
      </c>
      <c r="AX860" s="29" t="str">
        <f t="shared" si="122"/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 t="shared" si="123"/>
        <v/>
      </c>
      <c r="BB860" s="29" t="str">
        <f t="shared" si="124"/>
        <v/>
      </c>
      <c r="BC860" s="29">
        <f t="shared" si="125"/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 t="shared" si="117"/>
        <v>0</v>
      </c>
      <c r="AT861" s="30" t="str">
        <f t="shared" si="118"/>
        <v/>
      </c>
      <c r="AU861" s="29" t="str">
        <f t="shared" si="119"/>
        <v/>
      </c>
      <c r="AV861" s="30" t="str">
        <f t="shared" si="120"/>
        <v/>
      </c>
      <c r="AW861" s="30" t="str">
        <f t="shared" si="121"/>
        <v/>
      </c>
      <c r="AX861" s="29" t="str">
        <f t="shared" si="122"/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 t="shared" si="123"/>
        <v/>
      </c>
      <c r="BB861" s="29" t="str">
        <f t="shared" si="124"/>
        <v/>
      </c>
      <c r="BC861" s="29">
        <f t="shared" si="125"/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 t="shared" si="117"/>
        <v>0</v>
      </c>
      <c r="AT862" s="30" t="str">
        <f t="shared" si="118"/>
        <v/>
      </c>
      <c r="AU862" s="29" t="str">
        <f t="shared" si="119"/>
        <v/>
      </c>
      <c r="AV862" s="30" t="str">
        <f t="shared" si="120"/>
        <v/>
      </c>
      <c r="AW862" s="30" t="str">
        <f t="shared" si="121"/>
        <v/>
      </c>
      <c r="AX862" s="29" t="str">
        <f t="shared" si="122"/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 t="shared" si="123"/>
        <v/>
      </c>
      <c r="BB862" s="29" t="str">
        <f t="shared" si="124"/>
        <v/>
      </c>
      <c r="BC862" s="29">
        <f t="shared" si="125"/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 t="shared" si="117"/>
        <v>0</v>
      </c>
      <c r="AT863" s="30" t="str">
        <f t="shared" si="118"/>
        <v/>
      </c>
      <c r="AU863" s="29" t="str">
        <f t="shared" si="119"/>
        <v/>
      </c>
      <c r="AV863" s="30" t="str">
        <f t="shared" si="120"/>
        <v/>
      </c>
      <c r="AW863" s="30" t="str">
        <f t="shared" si="121"/>
        <v/>
      </c>
      <c r="AX863" s="29" t="str">
        <f t="shared" si="122"/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 t="shared" si="123"/>
        <v/>
      </c>
      <c r="BB863" s="29" t="str">
        <f t="shared" si="124"/>
        <v/>
      </c>
      <c r="BC863" s="29">
        <f t="shared" si="125"/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 t="shared" si="117"/>
        <v>0</v>
      </c>
      <c r="AT864" s="30" t="str">
        <f t="shared" si="118"/>
        <v/>
      </c>
      <c r="AU864" s="29" t="str">
        <f t="shared" si="119"/>
        <v/>
      </c>
      <c r="AV864" s="30" t="str">
        <f t="shared" si="120"/>
        <v/>
      </c>
      <c r="AW864" s="30" t="str">
        <f t="shared" si="121"/>
        <v/>
      </c>
      <c r="AX864" s="29" t="str">
        <f t="shared" si="122"/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 t="shared" si="123"/>
        <v/>
      </c>
      <c r="BB864" s="29" t="str">
        <f t="shared" si="124"/>
        <v/>
      </c>
      <c r="BC864" s="29">
        <f t="shared" si="125"/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 t="shared" si="117"/>
        <v>0</v>
      </c>
      <c r="AT865" s="30" t="str">
        <f t="shared" si="118"/>
        <v/>
      </c>
      <c r="AU865" s="29" t="str">
        <f t="shared" si="119"/>
        <v/>
      </c>
      <c r="AV865" s="30" t="str">
        <f t="shared" si="120"/>
        <v/>
      </c>
      <c r="AW865" s="30" t="str">
        <f t="shared" si="121"/>
        <v/>
      </c>
      <c r="AX865" s="29" t="str">
        <f t="shared" si="122"/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 t="shared" si="123"/>
        <v/>
      </c>
      <c r="BB865" s="29" t="str">
        <f t="shared" si="124"/>
        <v/>
      </c>
      <c r="BC865" s="29">
        <f t="shared" si="125"/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 t="shared" si="117"/>
        <v>0</v>
      </c>
      <c r="AT866" s="30" t="str">
        <f t="shared" si="118"/>
        <v/>
      </c>
      <c r="AU866" s="29" t="str">
        <f t="shared" si="119"/>
        <v/>
      </c>
      <c r="AV866" s="30" t="str">
        <f t="shared" si="120"/>
        <v/>
      </c>
      <c r="AW866" s="30" t="str">
        <f t="shared" si="121"/>
        <v/>
      </c>
      <c r="AX866" s="29" t="str">
        <f t="shared" si="122"/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 t="shared" si="123"/>
        <v/>
      </c>
      <c r="BB866" s="29" t="str">
        <f t="shared" si="124"/>
        <v/>
      </c>
      <c r="BC866" s="29">
        <f t="shared" si="125"/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 t="shared" si="117"/>
        <v>0</v>
      </c>
      <c r="AT867" s="30" t="str">
        <f t="shared" si="118"/>
        <v/>
      </c>
      <c r="AU867" s="29" t="str">
        <f t="shared" si="119"/>
        <v/>
      </c>
      <c r="AV867" s="30" t="str">
        <f t="shared" si="120"/>
        <v/>
      </c>
      <c r="AW867" s="30" t="str">
        <f t="shared" si="121"/>
        <v/>
      </c>
      <c r="AX867" s="29" t="str">
        <f t="shared" si="122"/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 t="shared" si="123"/>
        <v/>
      </c>
      <c r="BB867" s="29" t="str">
        <f t="shared" si="124"/>
        <v/>
      </c>
      <c r="BC867" s="29">
        <f t="shared" si="125"/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 t="shared" si="117"/>
        <v>0</v>
      </c>
      <c r="AT868" s="30" t="str">
        <f t="shared" si="118"/>
        <v/>
      </c>
      <c r="AU868" s="29" t="str">
        <f t="shared" si="119"/>
        <v/>
      </c>
      <c r="AV868" s="30" t="str">
        <f t="shared" si="120"/>
        <v/>
      </c>
      <c r="AW868" s="30" t="str">
        <f t="shared" si="121"/>
        <v/>
      </c>
      <c r="AX868" s="29" t="str">
        <f t="shared" si="122"/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 t="shared" si="123"/>
        <v/>
      </c>
      <c r="BB868" s="29" t="str">
        <f t="shared" si="124"/>
        <v/>
      </c>
      <c r="BC868" s="29">
        <f t="shared" si="125"/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 t="shared" si="117"/>
        <v>0</v>
      </c>
      <c r="AT869" s="30" t="str">
        <f t="shared" si="118"/>
        <v/>
      </c>
      <c r="AU869" s="29" t="str">
        <f t="shared" si="119"/>
        <v/>
      </c>
      <c r="AV869" s="30" t="str">
        <f t="shared" si="120"/>
        <v/>
      </c>
      <c r="AW869" s="30" t="str">
        <f t="shared" si="121"/>
        <v/>
      </c>
      <c r="AX869" s="29" t="str">
        <f t="shared" si="122"/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 t="shared" si="123"/>
        <v/>
      </c>
      <c r="BB869" s="29" t="str">
        <f t="shared" si="124"/>
        <v/>
      </c>
      <c r="BC869" s="29">
        <f t="shared" si="125"/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 t="shared" si="117"/>
        <v>0</v>
      </c>
      <c r="AT870" s="30" t="str">
        <f t="shared" si="118"/>
        <v/>
      </c>
      <c r="AU870" s="29" t="str">
        <f t="shared" si="119"/>
        <v/>
      </c>
      <c r="AV870" s="30" t="str">
        <f t="shared" si="120"/>
        <v/>
      </c>
      <c r="AW870" s="30" t="str">
        <f t="shared" si="121"/>
        <v/>
      </c>
      <c r="AX870" s="29" t="str">
        <f t="shared" si="122"/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 t="shared" si="123"/>
        <v/>
      </c>
      <c r="BB870" s="29" t="str">
        <f t="shared" si="124"/>
        <v/>
      </c>
      <c r="BC870" s="29">
        <f t="shared" si="125"/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 t="shared" si="117"/>
        <v>0</v>
      </c>
      <c r="AT871" s="30" t="str">
        <f t="shared" si="118"/>
        <v/>
      </c>
      <c r="AU871" s="29" t="str">
        <f t="shared" si="119"/>
        <v/>
      </c>
      <c r="AV871" s="30" t="str">
        <f t="shared" si="120"/>
        <v/>
      </c>
      <c r="AW871" s="30" t="str">
        <f t="shared" si="121"/>
        <v/>
      </c>
      <c r="AX871" s="29" t="str">
        <f t="shared" si="122"/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 t="shared" si="123"/>
        <v/>
      </c>
      <c r="BB871" s="29" t="str">
        <f t="shared" si="124"/>
        <v/>
      </c>
      <c r="BC871" s="29">
        <f t="shared" si="125"/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 t="shared" si="117"/>
        <v>0</v>
      </c>
      <c r="AT872" s="30" t="str">
        <f t="shared" si="118"/>
        <v/>
      </c>
      <c r="AU872" s="29" t="str">
        <f t="shared" si="119"/>
        <v/>
      </c>
      <c r="AV872" s="30" t="str">
        <f t="shared" si="120"/>
        <v/>
      </c>
      <c r="AW872" s="30" t="str">
        <f t="shared" si="121"/>
        <v/>
      </c>
      <c r="AX872" s="29" t="str">
        <f t="shared" si="122"/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 t="shared" si="123"/>
        <v/>
      </c>
      <c r="BB872" s="29" t="str">
        <f t="shared" si="124"/>
        <v/>
      </c>
      <c r="BC872" s="29">
        <f t="shared" si="125"/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 t="shared" si="117"/>
        <v>0</v>
      </c>
      <c r="AT873" s="30" t="str">
        <f t="shared" si="118"/>
        <v/>
      </c>
      <c r="AU873" s="29" t="str">
        <f t="shared" si="119"/>
        <v/>
      </c>
      <c r="AV873" s="30" t="str">
        <f t="shared" si="120"/>
        <v/>
      </c>
      <c r="AW873" s="30" t="str">
        <f t="shared" si="121"/>
        <v/>
      </c>
      <c r="AX873" s="29" t="str">
        <f t="shared" si="122"/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 t="shared" si="123"/>
        <v/>
      </c>
      <c r="BB873" s="29" t="str">
        <f t="shared" si="124"/>
        <v/>
      </c>
      <c r="BC873" s="29">
        <f t="shared" si="125"/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 t="shared" si="117"/>
        <v>0</v>
      </c>
      <c r="AT874" s="30" t="str">
        <f t="shared" si="118"/>
        <v/>
      </c>
      <c r="AU874" s="29" t="str">
        <f t="shared" si="119"/>
        <v/>
      </c>
      <c r="AV874" s="30" t="str">
        <f t="shared" si="120"/>
        <v/>
      </c>
      <c r="AW874" s="30" t="str">
        <f t="shared" si="121"/>
        <v/>
      </c>
      <c r="AX874" s="29" t="str">
        <f t="shared" si="122"/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 t="shared" si="123"/>
        <v/>
      </c>
      <c r="BB874" s="29" t="str">
        <f t="shared" si="124"/>
        <v/>
      </c>
      <c r="BC874" s="29">
        <f t="shared" si="125"/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 t="shared" si="117"/>
        <v>0</v>
      </c>
      <c r="AT875" s="30" t="str">
        <f t="shared" si="118"/>
        <v/>
      </c>
      <c r="AU875" s="29" t="str">
        <f t="shared" si="119"/>
        <v/>
      </c>
      <c r="AV875" s="30" t="str">
        <f t="shared" si="120"/>
        <v/>
      </c>
      <c r="AW875" s="30" t="str">
        <f t="shared" si="121"/>
        <v/>
      </c>
      <c r="AX875" s="29" t="str">
        <f t="shared" si="122"/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 t="shared" si="123"/>
        <v/>
      </c>
      <c r="BB875" s="29" t="str">
        <f t="shared" si="124"/>
        <v/>
      </c>
      <c r="BC875" s="29">
        <f t="shared" si="125"/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 t="shared" si="117"/>
        <v>0</v>
      </c>
      <c r="AT876" s="30" t="str">
        <f t="shared" si="118"/>
        <v/>
      </c>
      <c r="AU876" s="29" t="str">
        <f t="shared" si="119"/>
        <v/>
      </c>
      <c r="AV876" s="30" t="str">
        <f t="shared" si="120"/>
        <v/>
      </c>
      <c r="AW876" s="30" t="str">
        <f t="shared" si="121"/>
        <v/>
      </c>
      <c r="AX876" s="29" t="str">
        <f t="shared" si="122"/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 t="shared" si="123"/>
        <v/>
      </c>
      <c r="BB876" s="29" t="str">
        <f t="shared" si="124"/>
        <v/>
      </c>
      <c r="BC876" s="29">
        <f t="shared" si="125"/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 t="shared" si="117"/>
        <v>0</v>
      </c>
      <c r="AT877" s="30" t="str">
        <f t="shared" si="118"/>
        <v/>
      </c>
      <c r="AU877" s="29" t="str">
        <f t="shared" si="119"/>
        <v/>
      </c>
      <c r="AV877" s="30" t="str">
        <f t="shared" si="120"/>
        <v/>
      </c>
      <c r="AW877" s="30" t="str">
        <f t="shared" si="121"/>
        <v/>
      </c>
      <c r="AX877" s="29" t="str">
        <f t="shared" si="122"/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 t="shared" si="123"/>
        <v/>
      </c>
      <c r="BB877" s="29" t="str">
        <f t="shared" si="124"/>
        <v/>
      </c>
      <c r="BC877" s="29">
        <f t="shared" si="125"/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 t="shared" si="117"/>
        <v>0</v>
      </c>
      <c r="AT878" s="30" t="str">
        <f t="shared" si="118"/>
        <v/>
      </c>
      <c r="AU878" s="29" t="str">
        <f t="shared" si="119"/>
        <v/>
      </c>
      <c r="AV878" s="30" t="str">
        <f t="shared" si="120"/>
        <v/>
      </c>
      <c r="AW878" s="30" t="str">
        <f t="shared" si="121"/>
        <v/>
      </c>
      <c r="AX878" s="29" t="str">
        <f t="shared" si="122"/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 t="shared" si="123"/>
        <v/>
      </c>
      <c r="BB878" s="29" t="str">
        <f t="shared" si="124"/>
        <v/>
      </c>
      <c r="BC878" s="29">
        <f t="shared" si="125"/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 t="shared" si="117"/>
        <v>0</v>
      </c>
      <c r="AT879" s="30" t="str">
        <f t="shared" si="118"/>
        <v/>
      </c>
      <c r="AU879" s="29" t="str">
        <f t="shared" si="119"/>
        <v/>
      </c>
      <c r="AV879" s="30" t="str">
        <f t="shared" si="120"/>
        <v/>
      </c>
      <c r="AW879" s="30" t="str">
        <f t="shared" si="121"/>
        <v/>
      </c>
      <c r="AX879" s="29" t="str">
        <f t="shared" si="122"/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 t="shared" si="123"/>
        <v/>
      </c>
      <c r="BB879" s="29" t="str">
        <f t="shared" si="124"/>
        <v/>
      </c>
      <c r="BC879" s="29">
        <f t="shared" si="125"/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 t="shared" si="117"/>
        <v>0</v>
      </c>
      <c r="AT880" s="30" t="str">
        <f t="shared" si="118"/>
        <v/>
      </c>
      <c r="AU880" s="29" t="str">
        <f t="shared" si="119"/>
        <v/>
      </c>
      <c r="AV880" s="30" t="str">
        <f t="shared" si="120"/>
        <v/>
      </c>
      <c r="AW880" s="30" t="str">
        <f t="shared" si="121"/>
        <v/>
      </c>
      <c r="AX880" s="29" t="str">
        <f t="shared" si="122"/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 t="shared" si="123"/>
        <v/>
      </c>
      <c r="BB880" s="29" t="str">
        <f t="shared" si="124"/>
        <v/>
      </c>
      <c r="BC880" s="29">
        <f t="shared" si="125"/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 t="shared" si="117"/>
        <v>0</v>
      </c>
      <c r="AT881" s="30" t="str">
        <f t="shared" si="118"/>
        <v/>
      </c>
      <c r="AU881" s="29" t="str">
        <f t="shared" si="119"/>
        <v/>
      </c>
      <c r="AV881" s="30" t="str">
        <f t="shared" si="120"/>
        <v/>
      </c>
      <c r="AW881" s="30" t="str">
        <f t="shared" si="121"/>
        <v/>
      </c>
      <c r="AX881" s="29" t="str">
        <f t="shared" si="122"/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 t="shared" si="123"/>
        <v/>
      </c>
      <c r="BB881" s="29" t="str">
        <f t="shared" si="124"/>
        <v/>
      </c>
      <c r="BC881" s="29">
        <f t="shared" si="125"/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 t="shared" si="117"/>
        <v>0</v>
      </c>
      <c r="AT882" s="30" t="str">
        <f t="shared" si="118"/>
        <v/>
      </c>
      <c r="AU882" s="29" t="str">
        <f t="shared" si="119"/>
        <v/>
      </c>
      <c r="AV882" s="30" t="str">
        <f t="shared" si="120"/>
        <v/>
      </c>
      <c r="AW882" s="30" t="str">
        <f t="shared" si="121"/>
        <v/>
      </c>
      <c r="AX882" s="29" t="str">
        <f t="shared" si="122"/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 t="shared" si="123"/>
        <v/>
      </c>
      <c r="BB882" s="29" t="str">
        <f t="shared" si="124"/>
        <v/>
      </c>
      <c r="BC882" s="29">
        <f t="shared" si="125"/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 t="shared" si="117"/>
        <v>0</v>
      </c>
      <c r="AT883" s="30" t="str">
        <f t="shared" si="118"/>
        <v/>
      </c>
      <c r="AU883" s="29" t="str">
        <f t="shared" si="119"/>
        <v/>
      </c>
      <c r="AV883" s="30" t="str">
        <f t="shared" si="120"/>
        <v/>
      </c>
      <c r="AW883" s="30" t="str">
        <f t="shared" si="121"/>
        <v/>
      </c>
      <c r="AX883" s="29" t="str">
        <f t="shared" si="122"/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 t="shared" si="123"/>
        <v/>
      </c>
      <c r="BB883" s="29" t="str">
        <f t="shared" si="124"/>
        <v/>
      </c>
      <c r="BC883" s="29">
        <f t="shared" si="125"/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 t="shared" si="117"/>
        <v>0</v>
      </c>
      <c r="AT884" s="30" t="str">
        <f t="shared" si="118"/>
        <v/>
      </c>
      <c r="AU884" s="29" t="str">
        <f t="shared" si="119"/>
        <v/>
      </c>
      <c r="AV884" s="30" t="str">
        <f t="shared" si="120"/>
        <v/>
      </c>
      <c r="AW884" s="30" t="str">
        <f t="shared" si="121"/>
        <v/>
      </c>
      <c r="AX884" s="29" t="str">
        <f t="shared" si="122"/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 t="shared" si="123"/>
        <v/>
      </c>
      <c r="BB884" s="29" t="str">
        <f t="shared" si="124"/>
        <v/>
      </c>
      <c r="BC884" s="29">
        <f t="shared" si="125"/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 t="shared" si="117"/>
        <v>0</v>
      </c>
      <c r="AT885" s="30" t="str">
        <f t="shared" si="118"/>
        <v/>
      </c>
      <c r="AU885" s="29" t="str">
        <f t="shared" si="119"/>
        <v/>
      </c>
      <c r="AV885" s="30" t="str">
        <f t="shared" si="120"/>
        <v/>
      </c>
      <c r="AW885" s="30" t="str">
        <f t="shared" si="121"/>
        <v/>
      </c>
      <c r="AX885" s="29" t="str">
        <f t="shared" si="122"/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 t="shared" si="123"/>
        <v/>
      </c>
      <c r="BB885" s="29" t="str">
        <f t="shared" si="124"/>
        <v/>
      </c>
      <c r="BC885" s="29">
        <f t="shared" si="125"/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 t="shared" si="117"/>
        <v>0</v>
      </c>
      <c r="AT886" s="30" t="str">
        <f t="shared" si="118"/>
        <v/>
      </c>
      <c r="AU886" s="29" t="str">
        <f t="shared" si="119"/>
        <v/>
      </c>
      <c r="AV886" s="30" t="str">
        <f t="shared" si="120"/>
        <v/>
      </c>
      <c r="AW886" s="30" t="str">
        <f t="shared" si="121"/>
        <v/>
      </c>
      <c r="AX886" s="29" t="str">
        <f t="shared" si="122"/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 t="shared" si="123"/>
        <v/>
      </c>
      <c r="BB886" s="29" t="str">
        <f t="shared" si="124"/>
        <v/>
      </c>
      <c r="BC886" s="29">
        <f t="shared" si="125"/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 t="shared" si="117"/>
        <v>0</v>
      </c>
      <c r="AT887" s="30" t="str">
        <f t="shared" si="118"/>
        <v/>
      </c>
      <c r="AU887" s="29" t="str">
        <f t="shared" si="119"/>
        <v/>
      </c>
      <c r="AV887" s="30" t="str">
        <f t="shared" si="120"/>
        <v/>
      </c>
      <c r="AW887" s="30" t="str">
        <f t="shared" si="121"/>
        <v/>
      </c>
      <c r="AX887" s="29" t="str">
        <f t="shared" si="122"/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 t="shared" si="123"/>
        <v/>
      </c>
      <c r="BB887" s="29" t="str">
        <f t="shared" si="124"/>
        <v/>
      </c>
      <c r="BC887" s="29">
        <f t="shared" si="125"/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 t="shared" si="117"/>
        <v>0</v>
      </c>
      <c r="AT888" s="30" t="str">
        <f t="shared" si="118"/>
        <v/>
      </c>
      <c r="AU888" s="29" t="str">
        <f t="shared" si="119"/>
        <v/>
      </c>
      <c r="AV888" s="30" t="str">
        <f t="shared" si="120"/>
        <v/>
      </c>
      <c r="AW888" s="30" t="str">
        <f t="shared" si="121"/>
        <v/>
      </c>
      <c r="AX888" s="29" t="str">
        <f t="shared" si="122"/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 t="shared" si="123"/>
        <v/>
      </c>
      <c r="BB888" s="29" t="str">
        <f t="shared" si="124"/>
        <v/>
      </c>
      <c r="BC888" s="29">
        <f t="shared" si="125"/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 t="shared" si="117"/>
        <v>0</v>
      </c>
      <c r="AT889" s="30" t="str">
        <f t="shared" si="118"/>
        <v/>
      </c>
      <c r="AU889" s="29" t="str">
        <f t="shared" si="119"/>
        <v/>
      </c>
      <c r="AV889" s="30" t="str">
        <f t="shared" si="120"/>
        <v/>
      </c>
      <c r="AW889" s="30" t="str">
        <f t="shared" si="121"/>
        <v/>
      </c>
      <c r="AX889" s="29" t="str">
        <f t="shared" si="122"/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 t="shared" si="123"/>
        <v/>
      </c>
      <c r="BB889" s="29" t="str">
        <f t="shared" si="124"/>
        <v/>
      </c>
      <c r="BC889" s="29">
        <f t="shared" si="125"/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 t="shared" si="117"/>
        <v>0</v>
      </c>
      <c r="AT890" s="30" t="str">
        <f t="shared" si="118"/>
        <v/>
      </c>
      <c r="AU890" s="29" t="str">
        <f t="shared" si="119"/>
        <v/>
      </c>
      <c r="AV890" s="30" t="str">
        <f t="shared" si="120"/>
        <v/>
      </c>
      <c r="AW890" s="30" t="str">
        <f t="shared" si="121"/>
        <v/>
      </c>
      <c r="AX890" s="29" t="str">
        <f t="shared" si="122"/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 t="shared" si="123"/>
        <v/>
      </c>
      <c r="BB890" s="29" t="str">
        <f t="shared" si="124"/>
        <v/>
      </c>
      <c r="BC890" s="29">
        <f t="shared" si="125"/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 t="shared" si="117"/>
        <v>0</v>
      </c>
      <c r="AT891" s="30" t="str">
        <f t="shared" si="118"/>
        <v/>
      </c>
      <c r="AU891" s="29" t="str">
        <f t="shared" si="119"/>
        <v/>
      </c>
      <c r="AV891" s="30" t="str">
        <f t="shared" si="120"/>
        <v/>
      </c>
      <c r="AW891" s="30" t="str">
        <f t="shared" si="121"/>
        <v/>
      </c>
      <c r="AX891" s="29" t="str">
        <f t="shared" si="122"/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 t="shared" si="123"/>
        <v/>
      </c>
      <c r="BB891" s="29" t="str">
        <f t="shared" si="124"/>
        <v/>
      </c>
      <c r="BC891" s="29">
        <f t="shared" si="125"/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 t="shared" si="117"/>
        <v>0</v>
      </c>
      <c r="AT892" s="30" t="str">
        <f t="shared" si="118"/>
        <v/>
      </c>
      <c r="AU892" s="29" t="str">
        <f t="shared" si="119"/>
        <v/>
      </c>
      <c r="AV892" s="30" t="str">
        <f t="shared" si="120"/>
        <v/>
      </c>
      <c r="AW892" s="30" t="str">
        <f t="shared" si="121"/>
        <v/>
      </c>
      <c r="AX892" s="29" t="str">
        <f t="shared" si="122"/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 t="shared" si="123"/>
        <v/>
      </c>
      <c r="BB892" s="29" t="str">
        <f t="shared" si="124"/>
        <v/>
      </c>
      <c r="BC892" s="29">
        <f t="shared" si="125"/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 t="shared" si="117"/>
        <v>0</v>
      </c>
      <c r="AT893" s="30" t="str">
        <f t="shared" si="118"/>
        <v/>
      </c>
      <c r="AU893" s="29" t="str">
        <f t="shared" si="119"/>
        <v/>
      </c>
      <c r="AV893" s="30" t="str">
        <f t="shared" si="120"/>
        <v/>
      </c>
      <c r="AW893" s="30" t="str">
        <f t="shared" si="121"/>
        <v/>
      </c>
      <c r="AX893" s="29" t="str">
        <f t="shared" si="122"/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 t="shared" si="123"/>
        <v/>
      </c>
      <c r="BB893" s="29" t="str">
        <f t="shared" si="124"/>
        <v/>
      </c>
      <c r="BC893" s="29">
        <f t="shared" si="125"/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 t="shared" si="117"/>
        <v>0</v>
      </c>
      <c r="AT894" s="30" t="str">
        <f t="shared" si="118"/>
        <v/>
      </c>
      <c r="AU894" s="29" t="str">
        <f t="shared" si="119"/>
        <v/>
      </c>
      <c r="AV894" s="30" t="str">
        <f t="shared" si="120"/>
        <v/>
      </c>
      <c r="AW894" s="30" t="str">
        <f t="shared" si="121"/>
        <v/>
      </c>
      <c r="AX894" s="29" t="str">
        <f t="shared" si="122"/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 t="shared" si="123"/>
        <v/>
      </c>
      <c r="BB894" s="29" t="str">
        <f t="shared" si="124"/>
        <v/>
      </c>
      <c r="BC894" s="29">
        <f t="shared" si="125"/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 t="shared" si="117"/>
        <v>0</v>
      </c>
      <c r="AT895" s="30" t="str">
        <f t="shared" si="118"/>
        <v/>
      </c>
      <c r="AU895" s="29" t="str">
        <f t="shared" si="119"/>
        <v/>
      </c>
      <c r="AV895" s="30" t="str">
        <f t="shared" si="120"/>
        <v/>
      </c>
      <c r="AW895" s="30" t="str">
        <f t="shared" si="121"/>
        <v/>
      </c>
      <c r="AX895" s="29" t="str">
        <f t="shared" si="122"/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 t="shared" si="123"/>
        <v/>
      </c>
      <c r="BB895" s="29" t="str">
        <f t="shared" si="124"/>
        <v/>
      </c>
      <c r="BC895" s="29">
        <f t="shared" si="125"/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 t="shared" si="117"/>
        <v>0</v>
      </c>
      <c r="AT896" s="30" t="str">
        <f t="shared" si="118"/>
        <v/>
      </c>
      <c r="AU896" s="29" t="str">
        <f t="shared" si="119"/>
        <v/>
      </c>
      <c r="AV896" s="30" t="str">
        <f t="shared" si="120"/>
        <v/>
      </c>
      <c r="AW896" s="30" t="str">
        <f t="shared" si="121"/>
        <v/>
      </c>
      <c r="AX896" s="29" t="str">
        <f t="shared" si="122"/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 t="shared" si="123"/>
        <v/>
      </c>
      <c r="BB896" s="29" t="str">
        <f t="shared" si="124"/>
        <v/>
      </c>
      <c r="BC896" s="29">
        <f t="shared" si="125"/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 t="shared" si="117"/>
        <v>0</v>
      </c>
      <c r="AT897" s="30" t="str">
        <f t="shared" si="118"/>
        <v/>
      </c>
      <c r="AU897" s="29" t="str">
        <f t="shared" si="119"/>
        <v/>
      </c>
      <c r="AV897" s="30" t="str">
        <f t="shared" si="120"/>
        <v/>
      </c>
      <c r="AW897" s="30" t="str">
        <f t="shared" si="121"/>
        <v/>
      </c>
      <c r="AX897" s="29" t="str">
        <f t="shared" si="122"/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 t="shared" si="123"/>
        <v/>
      </c>
      <c r="BB897" s="29" t="str">
        <f t="shared" si="124"/>
        <v/>
      </c>
      <c r="BC897" s="29">
        <f t="shared" si="125"/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 t="shared" si="117"/>
        <v>0</v>
      </c>
      <c r="AT898" s="30" t="str">
        <f t="shared" si="118"/>
        <v/>
      </c>
      <c r="AU898" s="29" t="str">
        <f t="shared" si="119"/>
        <v/>
      </c>
      <c r="AV898" s="30" t="str">
        <f t="shared" si="120"/>
        <v/>
      </c>
      <c r="AW898" s="30" t="str">
        <f t="shared" si="121"/>
        <v/>
      </c>
      <c r="AX898" s="29" t="str">
        <f t="shared" si="122"/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 t="shared" si="123"/>
        <v/>
      </c>
      <c r="BB898" s="29" t="str">
        <f t="shared" si="124"/>
        <v/>
      </c>
      <c r="BC898" s="29">
        <f t="shared" si="125"/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 t="shared" si="117"/>
        <v>0</v>
      </c>
      <c r="AT899" s="30" t="str">
        <f t="shared" si="118"/>
        <v/>
      </c>
      <c r="AU899" s="29" t="str">
        <f t="shared" si="119"/>
        <v/>
      </c>
      <c r="AV899" s="30" t="str">
        <f t="shared" si="120"/>
        <v/>
      </c>
      <c r="AW899" s="30" t="str">
        <f t="shared" si="121"/>
        <v/>
      </c>
      <c r="AX899" s="29" t="str">
        <f t="shared" si="122"/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 t="shared" si="123"/>
        <v/>
      </c>
      <c r="BB899" s="29" t="str">
        <f t="shared" si="124"/>
        <v/>
      </c>
      <c r="BC899" s="29">
        <f t="shared" si="125"/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 t="shared" si="117"/>
        <v>0</v>
      </c>
      <c r="AT900" s="30" t="str">
        <f t="shared" si="118"/>
        <v/>
      </c>
      <c r="AU900" s="29" t="str">
        <f t="shared" si="119"/>
        <v/>
      </c>
      <c r="AV900" s="30" t="str">
        <f t="shared" si="120"/>
        <v/>
      </c>
      <c r="AW900" s="30" t="str">
        <f t="shared" si="121"/>
        <v/>
      </c>
      <c r="AX900" s="29" t="str">
        <f t="shared" si="122"/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 t="shared" si="123"/>
        <v/>
      </c>
      <c r="BB900" s="29" t="str">
        <f t="shared" si="124"/>
        <v/>
      </c>
      <c r="BC900" s="29">
        <f t="shared" si="125"/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 t="shared" ref="AS901:AS964" si="126">SUM(H901,J901,L901,N901,P901,R901,T901,V901,X901,Z901,AB901,AD901,AF901,AH901,AJ901,AL901,AN901)</f>
        <v>0</v>
      </c>
      <c r="AT901" s="30" t="str">
        <f t="shared" ref="AT901:AT964" si="127">IF(C901="","",DATE(YEAR(C901),MONTH(C901),1))</f>
        <v/>
      </c>
      <c r="AU901" s="29" t="str">
        <f t="shared" ref="AU901:AU964" si="128">IF(AT901="","",TEXT(AT901,"mmmm yyyy"))</f>
        <v/>
      </c>
      <c r="AV901" s="30" t="str">
        <f t="shared" ref="AV901:AV964" si="129">IF(C901="","",C901-WEEKDAY(C901,2)+1)</f>
        <v/>
      </c>
      <c r="AW901" s="30" t="str">
        <f t="shared" ref="AW901:AW964" si="130">IF(AV901="","",AV901+6)</f>
        <v/>
      </c>
      <c r="AX901" s="29" t="str">
        <f t="shared" ref="AX901:AX964" si="131"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 t="shared" ref="BA901:BA964" si="132">IF(B901="","",TEXT(AY901,"00")&amp;"|"&amp;B901&amp;"|"&amp;TEXT(AT901,"yyyymmdd"))</f>
        <v/>
      </c>
      <c r="BB901" s="29" t="str">
        <f t="shared" ref="BB901:BB964" si="133">IF(B901="","",TEXT(AZ901,"00")&amp;"|"&amp;B901&amp;"|"&amp;TEXT(AV901,"yyyymmdd"))</f>
        <v/>
      </c>
      <c r="BC901" s="29">
        <f t="shared" ref="BC901:BC964" si="134"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 t="shared" si="126"/>
        <v>0</v>
      </c>
      <c r="AT902" s="30" t="str">
        <f t="shared" si="127"/>
        <v/>
      </c>
      <c r="AU902" s="29" t="str">
        <f t="shared" si="128"/>
        <v/>
      </c>
      <c r="AV902" s="30" t="str">
        <f t="shared" si="129"/>
        <v/>
      </c>
      <c r="AW902" s="30" t="str">
        <f t="shared" si="130"/>
        <v/>
      </c>
      <c r="AX902" s="29" t="str">
        <f t="shared" si="131"/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 t="shared" si="132"/>
        <v/>
      </c>
      <c r="BB902" s="29" t="str">
        <f t="shared" si="133"/>
        <v/>
      </c>
      <c r="BC902" s="29">
        <f t="shared" si="134"/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 t="shared" si="126"/>
        <v>0</v>
      </c>
      <c r="AT903" s="30" t="str">
        <f t="shared" si="127"/>
        <v/>
      </c>
      <c r="AU903" s="29" t="str">
        <f t="shared" si="128"/>
        <v/>
      </c>
      <c r="AV903" s="30" t="str">
        <f t="shared" si="129"/>
        <v/>
      </c>
      <c r="AW903" s="30" t="str">
        <f t="shared" si="130"/>
        <v/>
      </c>
      <c r="AX903" s="29" t="str">
        <f t="shared" si="131"/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 t="shared" si="132"/>
        <v/>
      </c>
      <c r="BB903" s="29" t="str">
        <f t="shared" si="133"/>
        <v/>
      </c>
      <c r="BC903" s="29">
        <f t="shared" si="134"/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 t="shared" si="126"/>
        <v>0</v>
      </c>
      <c r="AT904" s="30" t="str">
        <f t="shared" si="127"/>
        <v/>
      </c>
      <c r="AU904" s="29" t="str">
        <f t="shared" si="128"/>
        <v/>
      </c>
      <c r="AV904" s="30" t="str">
        <f t="shared" si="129"/>
        <v/>
      </c>
      <c r="AW904" s="30" t="str">
        <f t="shared" si="130"/>
        <v/>
      </c>
      <c r="AX904" s="29" t="str">
        <f t="shared" si="131"/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 t="shared" si="132"/>
        <v/>
      </c>
      <c r="BB904" s="29" t="str">
        <f t="shared" si="133"/>
        <v/>
      </c>
      <c r="BC904" s="29">
        <f t="shared" si="134"/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 t="shared" si="126"/>
        <v>0</v>
      </c>
      <c r="AT905" s="30" t="str">
        <f t="shared" si="127"/>
        <v/>
      </c>
      <c r="AU905" s="29" t="str">
        <f t="shared" si="128"/>
        <v/>
      </c>
      <c r="AV905" s="30" t="str">
        <f t="shared" si="129"/>
        <v/>
      </c>
      <c r="AW905" s="30" t="str">
        <f t="shared" si="130"/>
        <v/>
      </c>
      <c r="AX905" s="29" t="str">
        <f t="shared" si="131"/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 t="shared" si="132"/>
        <v/>
      </c>
      <c r="BB905" s="29" t="str">
        <f t="shared" si="133"/>
        <v/>
      </c>
      <c r="BC905" s="29">
        <f t="shared" si="134"/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 t="shared" si="126"/>
        <v>0</v>
      </c>
      <c r="AT906" s="30" t="str">
        <f t="shared" si="127"/>
        <v/>
      </c>
      <c r="AU906" s="29" t="str">
        <f t="shared" si="128"/>
        <v/>
      </c>
      <c r="AV906" s="30" t="str">
        <f t="shared" si="129"/>
        <v/>
      </c>
      <c r="AW906" s="30" t="str">
        <f t="shared" si="130"/>
        <v/>
      </c>
      <c r="AX906" s="29" t="str">
        <f t="shared" si="131"/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 t="shared" si="132"/>
        <v/>
      </c>
      <c r="BB906" s="29" t="str">
        <f t="shared" si="133"/>
        <v/>
      </c>
      <c r="BC906" s="29">
        <f t="shared" si="134"/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 t="shared" si="126"/>
        <v>0</v>
      </c>
      <c r="AT907" s="30" t="str">
        <f t="shared" si="127"/>
        <v/>
      </c>
      <c r="AU907" s="29" t="str">
        <f t="shared" si="128"/>
        <v/>
      </c>
      <c r="AV907" s="30" t="str">
        <f t="shared" si="129"/>
        <v/>
      </c>
      <c r="AW907" s="30" t="str">
        <f t="shared" si="130"/>
        <v/>
      </c>
      <c r="AX907" s="29" t="str">
        <f t="shared" si="131"/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 t="shared" si="132"/>
        <v/>
      </c>
      <c r="BB907" s="29" t="str">
        <f t="shared" si="133"/>
        <v/>
      </c>
      <c r="BC907" s="29">
        <f t="shared" si="134"/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 t="shared" si="126"/>
        <v>0</v>
      </c>
      <c r="AT908" s="30" t="str">
        <f t="shared" si="127"/>
        <v/>
      </c>
      <c r="AU908" s="29" t="str">
        <f t="shared" si="128"/>
        <v/>
      </c>
      <c r="AV908" s="30" t="str">
        <f t="shared" si="129"/>
        <v/>
      </c>
      <c r="AW908" s="30" t="str">
        <f t="shared" si="130"/>
        <v/>
      </c>
      <c r="AX908" s="29" t="str">
        <f t="shared" si="131"/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 t="shared" si="132"/>
        <v/>
      </c>
      <c r="BB908" s="29" t="str">
        <f t="shared" si="133"/>
        <v/>
      </c>
      <c r="BC908" s="29">
        <f t="shared" si="134"/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 t="shared" si="126"/>
        <v>0</v>
      </c>
      <c r="AT909" s="30" t="str">
        <f t="shared" si="127"/>
        <v/>
      </c>
      <c r="AU909" s="29" t="str">
        <f t="shared" si="128"/>
        <v/>
      </c>
      <c r="AV909" s="30" t="str">
        <f t="shared" si="129"/>
        <v/>
      </c>
      <c r="AW909" s="30" t="str">
        <f t="shared" si="130"/>
        <v/>
      </c>
      <c r="AX909" s="29" t="str">
        <f t="shared" si="131"/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 t="shared" si="132"/>
        <v/>
      </c>
      <c r="BB909" s="29" t="str">
        <f t="shared" si="133"/>
        <v/>
      </c>
      <c r="BC909" s="29">
        <f t="shared" si="134"/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 t="shared" si="126"/>
        <v>0</v>
      </c>
      <c r="AT910" s="30" t="str">
        <f t="shared" si="127"/>
        <v/>
      </c>
      <c r="AU910" s="29" t="str">
        <f t="shared" si="128"/>
        <v/>
      </c>
      <c r="AV910" s="30" t="str">
        <f t="shared" si="129"/>
        <v/>
      </c>
      <c r="AW910" s="30" t="str">
        <f t="shared" si="130"/>
        <v/>
      </c>
      <c r="AX910" s="29" t="str">
        <f t="shared" si="131"/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 t="shared" si="132"/>
        <v/>
      </c>
      <c r="BB910" s="29" t="str">
        <f t="shared" si="133"/>
        <v/>
      </c>
      <c r="BC910" s="29">
        <f t="shared" si="134"/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 t="shared" si="126"/>
        <v>0</v>
      </c>
      <c r="AT911" s="30" t="str">
        <f t="shared" si="127"/>
        <v/>
      </c>
      <c r="AU911" s="29" t="str">
        <f t="shared" si="128"/>
        <v/>
      </c>
      <c r="AV911" s="30" t="str">
        <f t="shared" si="129"/>
        <v/>
      </c>
      <c r="AW911" s="30" t="str">
        <f t="shared" si="130"/>
        <v/>
      </c>
      <c r="AX911" s="29" t="str">
        <f t="shared" si="131"/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 t="shared" si="132"/>
        <v/>
      </c>
      <c r="BB911" s="29" t="str">
        <f t="shared" si="133"/>
        <v/>
      </c>
      <c r="BC911" s="29">
        <f t="shared" si="134"/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 t="shared" si="126"/>
        <v>0</v>
      </c>
      <c r="AT912" s="30" t="str">
        <f t="shared" si="127"/>
        <v/>
      </c>
      <c r="AU912" s="29" t="str">
        <f t="shared" si="128"/>
        <v/>
      </c>
      <c r="AV912" s="30" t="str">
        <f t="shared" si="129"/>
        <v/>
      </c>
      <c r="AW912" s="30" t="str">
        <f t="shared" si="130"/>
        <v/>
      </c>
      <c r="AX912" s="29" t="str">
        <f t="shared" si="131"/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 t="shared" si="132"/>
        <v/>
      </c>
      <c r="BB912" s="29" t="str">
        <f t="shared" si="133"/>
        <v/>
      </c>
      <c r="BC912" s="29">
        <f t="shared" si="134"/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 t="shared" si="126"/>
        <v>0</v>
      </c>
      <c r="AT913" s="30" t="str">
        <f t="shared" si="127"/>
        <v/>
      </c>
      <c r="AU913" s="29" t="str">
        <f t="shared" si="128"/>
        <v/>
      </c>
      <c r="AV913" s="30" t="str">
        <f t="shared" si="129"/>
        <v/>
      </c>
      <c r="AW913" s="30" t="str">
        <f t="shared" si="130"/>
        <v/>
      </c>
      <c r="AX913" s="29" t="str">
        <f t="shared" si="131"/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 t="shared" si="132"/>
        <v/>
      </c>
      <c r="BB913" s="29" t="str">
        <f t="shared" si="133"/>
        <v/>
      </c>
      <c r="BC913" s="29">
        <f t="shared" si="134"/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 t="shared" si="126"/>
        <v>0</v>
      </c>
      <c r="AT914" s="30" t="str">
        <f t="shared" si="127"/>
        <v/>
      </c>
      <c r="AU914" s="29" t="str">
        <f t="shared" si="128"/>
        <v/>
      </c>
      <c r="AV914" s="30" t="str">
        <f t="shared" si="129"/>
        <v/>
      </c>
      <c r="AW914" s="30" t="str">
        <f t="shared" si="130"/>
        <v/>
      </c>
      <c r="AX914" s="29" t="str">
        <f t="shared" si="131"/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 t="shared" si="132"/>
        <v/>
      </c>
      <c r="BB914" s="29" t="str">
        <f t="shared" si="133"/>
        <v/>
      </c>
      <c r="BC914" s="29">
        <f t="shared" si="134"/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 t="shared" si="126"/>
        <v>0</v>
      </c>
      <c r="AT915" s="30" t="str">
        <f t="shared" si="127"/>
        <v/>
      </c>
      <c r="AU915" s="29" t="str">
        <f t="shared" si="128"/>
        <v/>
      </c>
      <c r="AV915" s="30" t="str">
        <f t="shared" si="129"/>
        <v/>
      </c>
      <c r="AW915" s="30" t="str">
        <f t="shared" si="130"/>
        <v/>
      </c>
      <c r="AX915" s="29" t="str">
        <f t="shared" si="131"/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 t="shared" si="132"/>
        <v/>
      </c>
      <c r="BB915" s="29" t="str">
        <f t="shared" si="133"/>
        <v/>
      </c>
      <c r="BC915" s="29">
        <f t="shared" si="134"/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 t="shared" si="126"/>
        <v>0</v>
      </c>
      <c r="AT916" s="30" t="str">
        <f t="shared" si="127"/>
        <v/>
      </c>
      <c r="AU916" s="29" t="str">
        <f t="shared" si="128"/>
        <v/>
      </c>
      <c r="AV916" s="30" t="str">
        <f t="shared" si="129"/>
        <v/>
      </c>
      <c r="AW916" s="30" t="str">
        <f t="shared" si="130"/>
        <v/>
      </c>
      <c r="AX916" s="29" t="str">
        <f t="shared" si="131"/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 t="shared" si="132"/>
        <v/>
      </c>
      <c r="BB916" s="29" t="str">
        <f t="shared" si="133"/>
        <v/>
      </c>
      <c r="BC916" s="29">
        <f t="shared" si="134"/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 t="shared" si="126"/>
        <v>0</v>
      </c>
      <c r="AT917" s="30" t="str">
        <f t="shared" si="127"/>
        <v/>
      </c>
      <c r="AU917" s="29" t="str">
        <f t="shared" si="128"/>
        <v/>
      </c>
      <c r="AV917" s="30" t="str">
        <f t="shared" si="129"/>
        <v/>
      </c>
      <c r="AW917" s="30" t="str">
        <f t="shared" si="130"/>
        <v/>
      </c>
      <c r="AX917" s="29" t="str">
        <f t="shared" si="131"/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 t="shared" si="132"/>
        <v/>
      </c>
      <c r="BB917" s="29" t="str">
        <f t="shared" si="133"/>
        <v/>
      </c>
      <c r="BC917" s="29">
        <f t="shared" si="134"/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 t="shared" si="126"/>
        <v>0</v>
      </c>
      <c r="AT918" s="30" t="str">
        <f t="shared" si="127"/>
        <v/>
      </c>
      <c r="AU918" s="29" t="str">
        <f t="shared" si="128"/>
        <v/>
      </c>
      <c r="AV918" s="30" t="str">
        <f t="shared" si="129"/>
        <v/>
      </c>
      <c r="AW918" s="30" t="str">
        <f t="shared" si="130"/>
        <v/>
      </c>
      <c r="AX918" s="29" t="str">
        <f t="shared" si="131"/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 t="shared" si="132"/>
        <v/>
      </c>
      <c r="BB918" s="29" t="str">
        <f t="shared" si="133"/>
        <v/>
      </c>
      <c r="BC918" s="29">
        <f t="shared" si="134"/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 t="shared" si="126"/>
        <v>0</v>
      </c>
      <c r="AT919" s="30" t="str">
        <f t="shared" si="127"/>
        <v/>
      </c>
      <c r="AU919" s="29" t="str">
        <f t="shared" si="128"/>
        <v/>
      </c>
      <c r="AV919" s="30" t="str">
        <f t="shared" si="129"/>
        <v/>
      </c>
      <c r="AW919" s="30" t="str">
        <f t="shared" si="130"/>
        <v/>
      </c>
      <c r="AX919" s="29" t="str">
        <f t="shared" si="131"/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 t="shared" si="132"/>
        <v/>
      </c>
      <c r="BB919" s="29" t="str">
        <f t="shared" si="133"/>
        <v/>
      </c>
      <c r="BC919" s="29">
        <f t="shared" si="134"/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 t="shared" si="126"/>
        <v>0</v>
      </c>
      <c r="AT920" s="30" t="str">
        <f t="shared" si="127"/>
        <v/>
      </c>
      <c r="AU920" s="29" t="str">
        <f t="shared" si="128"/>
        <v/>
      </c>
      <c r="AV920" s="30" t="str">
        <f t="shared" si="129"/>
        <v/>
      </c>
      <c r="AW920" s="30" t="str">
        <f t="shared" si="130"/>
        <v/>
      </c>
      <c r="AX920" s="29" t="str">
        <f t="shared" si="131"/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 t="shared" si="132"/>
        <v/>
      </c>
      <c r="BB920" s="29" t="str">
        <f t="shared" si="133"/>
        <v/>
      </c>
      <c r="BC920" s="29">
        <f t="shared" si="134"/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 t="shared" si="126"/>
        <v>0</v>
      </c>
      <c r="AT921" s="30" t="str">
        <f t="shared" si="127"/>
        <v/>
      </c>
      <c r="AU921" s="29" t="str">
        <f t="shared" si="128"/>
        <v/>
      </c>
      <c r="AV921" s="30" t="str">
        <f t="shared" si="129"/>
        <v/>
      </c>
      <c r="AW921" s="30" t="str">
        <f t="shared" si="130"/>
        <v/>
      </c>
      <c r="AX921" s="29" t="str">
        <f t="shared" si="131"/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 t="shared" si="132"/>
        <v/>
      </c>
      <c r="BB921" s="29" t="str">
        <f t="shared" si="133"/>
        <v/>
      </c>
      <c r="BC921" s="29">
        <f t="shared" si="134"/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 t="shared" si="126"/>
        <v>0</v>
      </c>
      <c r="AT922" s="30" t="str">
        <f t="shared" si="127"/>
        <v/>
      </c>
      <c r="AU922" s="29" t="str">
        <f t="shared" si="128"/>
        <v/>
      </c>
      <c r="AV922" s="30" t="str">
        <f t="shared" si="129"/>
        <v/>
      </c>
      <c r="AW922" s="30" t="str">
        <f t="shared" si="130"/>
        <v/>
      </c>
      <c r="AX922" s="29" t="str">
        <f t="shared" si="131"/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 t="shared" si="132"/>
        <v/>
      </c>
      <c r="BB922" s="29" t="str">
        <f t="shared" si="133"/>
        <v/>
      </c>
      <c r="BC922" s="29">
        <f t="shared" si="134"/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 t="shared" si="126"/>
        <v>0</v>
      </c>
      <c r="AT923" s="30" t="str">
        <f t="shared" si="127"/>
        <v/>
      </c>
      <c r="AU923" s="29" t="str">
        <f t="shared" si="128"/>
        <v/>
      </c>
      <c r="AV923" s="30" t="str">
        <f t="shared" si="129"/>
        <v/>
      </c>
      <c r="AW923" s="30" t="str">
        <f t="shared" si="130"/>
        <v/>
      </c>
      <c r="AX923" s="29" t="str">
        <f t="shared" si="131"/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 t="shared" si="132"/>
        <v/>
      </c>
      <c r="BB923" s="29" t="str">
        <f t="shared" si="133"/>
        <v/>
      </c>
      <c r="BC923" s="29">
        <f t="shared" si="134"/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 t="shared" si="126"/>
        <v>0</v>
      </c>
      <c r="AT924" s="30" t="str">
        <f t="shared" si="127"/>
        <v/>
      </c>
      <c r="AU924" s="29" t="str">
        <f t="shared" si="128"/>
        <v/>
      </c>
      <c r="AV924" s="30" t="str">
        <f t="shared" si="129"/>
        <v/>
      </c>
      <c r="AW924" s="30" t="str">
        <f t="shared" si="130"/>
        <v/>
      </c>
      <c r="AX924" s="29" t="str">
        <f t="shared" si="131"/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 t="shared" si="132"/>
        <v/>
      </c>
      <c r="BB924" s="29" t="str">
        <f t="shared" si="133"/>
        <v/>
      </c>
      <c r="BC924" s="29">
        <f t="shared" si="134"/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 t="shared" si="126"/>
        <v>0</v>
      </c>
      <c r="AT925" s="30" t="str">
        <f t="shared" si="127"/>
        <v/>
      </c>
      <c r="AU925" s="29" t="str">
        <f t="shared" si="128"/>
        <v/>
      </c>
      <c r="AV925" s="30" t="str">
        <f t="shared" si="129"/>
        <v/>
      </c>
      <c r="AW925" s="30" t="str">
        <f t="shared" si="130"/>
        <v/>
      </c>
      <c r="AX925" s="29" t="str">
        <f t="shared" si="131"/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 t="shared" si="132"/>
        <v/>
      </c>
      <c r="BB925" s="29" t="str">
        <f t="shared" si="133"/>
        <v/>
      </c>
      <c r="BC925" s="29">
        <f t="shared" si="134"/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 t="shared" si="126"/>
        <v>0</v>
      </c>
      <c r="AT926" s="30" t="str">
        <f t="shared" si="127"/>
        <v/>
      </c>
      <c r="AU926" s="29" t="str">
        <f t="shared" si="128"/>
        <v/>
      </c>
      <c r="AV926" s="30" t="str">
        <f t="shared" si="129"/>
        <v/>
      </c>
      <c r="AW926" s="30" t="str">
        <f t="shared" si="130"/>
        <v/>
      </c>
      <c r="AX926" s="29" t="str">
        <f t="shared" si="131"/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 t="shared" si="132"/>
        <v/>
      </c>
      <c r="BB926" s="29" t="str">
        <f t="shared" si="133"/>
        <v/>
      </c>
      <c r="BC926" s="29">
        <f t="shared" si="134"/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 t="shared" si="126"/>
        <v>0</v>
      </c>
      <c r="AT927" s="30" t="str">
        <f t="shared" si="127"/>
        <v/>
      </c>
      <c r="AU927" s="29" t="str">
        <f t="shared" si="128"/>
        <v/>
      </c>
      <c r="AV927" s="30" t="str">
        <f t="shared" si="129"/>
        <v/>
      </c>
      <c r="AW927" s="30" t="str">
        <f t="shared" si="130"/>
        <v/>
      </c>
      <c r="AX927" s="29" t="str">
        <f t="shared" si="131"/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 t="shared" si="132"/>
        <v/>
      </c>
      <c r="BB927" s="29" t="str">
        <f t="shared" si="133"/>
        <v/>
      </c>
      <c r="BC927" s="29">
        <f t="shared" si="134"/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 t="shared" si="126"/>
        <v>0</v>
      </c>
      <c r="AT928" s="30" t="str">
        <f t="shared" si="127"/>
        <v/>
      </c>
      <c r="AU928" s="29" t="str">
        <f t="shared" si="128"/>
        <v/>
      </c>
      <c r="AV928" s="30" t="str">
        <f t="shared" si="129"/>
        <v/>
      </c>
      <c r="AW928" s="30" t="str">
        <f t="shared" si="130"/>
        <v/>
      </c>
      <c r="AX928" s="29" t="str">
        <f t="shared" si="131"/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 t="shared" si="132"/>
        <v/>
      </c>
      <c r="BB928" s="29" t="str">
        <f t="shared" si="133"/>
        <v/>
      </c>
      <c r="BC928" s="29">
        <f t="shared" si="134"/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 t="shared" si="126"/>
        <v>0</v>
      </c>
      <c r="AT929" s="30" t="str">
        <f t="shared" si="127"/>
        <v/>
      </c>
      <c r="AU929" s="29" t="str">
        <f t="shared" si="128"/>
        <v/>
      </c>
      <c r="AV929" s="30" t="str">
        <f t="shared" si="129"/>
        <v/>
      </c>
      <c r="AW929" s="30" t="str">
        <f t="shared" si="130"/>
        <v/>
      </c>
      <c r="AX929" s="29" t="str">
        <f t="shared" si="131"/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 t="shared" si="132"/>
        <v/>
      </c>
      <c r="BB929" s="29" t="str">
        <f t="shared" si="133"/>
        <v/>
      </c>
      <c r="BC929" s="29">
        <f t="shared" si="134"/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 t="shared" si="126"/>
        <v>0</v>
      </c>
      <c r="AT930" s="30" t="str">
        <f t="shared" si="127"/>
        <v/>
      </c>
      <c r="AU930" s="29" t="str">
        <f t="shared" si="128"/>
        <v/>
      </c>
      <c r="AV930" s="30" t="str">
        <f t="shared" si="129"/>
        <v/>
      </c>
      <c r="AW930" s="30" t="str">
        <f t="shared" si="130"/>
        <v/>
      </c>
      <c r="AX930" s="29" t="str">
        <f t="shared" si="131"/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 t="shared" si="132"/>
        <v/>
      </c>
      <c r="BB930" s="29" t="str">
        <f t="shared" si="133"/>
        <v/>
      </c>
      <c r="BC930" s="29">
        <f t="shared" si="134"/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 t="shared" si="126"/>
        <v>0</v>
      </c>
      <c r="AT931" s="30" t="str">
        <f t="shared" si="127"/>
        <v/>
      </c>
      <c r="AU931" s="29" t="str">
        <f t="shared" si="128"/>
        <v/>
      </c>
      <c r="AV931" s="30" t="str">
        <f t="shared" si="129"/>
        <v/>
      </c>
      <c r="AW931" s="30" t="str">
        <f t="shared" si="130"/>
        <v/>
      </c>
      <c r="AX931" s="29" t="str">
        <f t="shared" si="131"/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 t="shared" si="132"/>
        <v/>
      </c>
      <c r="BB931" s="29" t="str">
        <f t="shared" si="133"/>
        <v/>
      </c>
      <c r="BC931" s="29">
        <f t="shared" si="134"/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 t="shared" si="126"/>
        <v>0</v>
      </c>
      <c r="AT932" s="30" t="str">
        <f t="shared" si="127"/>
        <v/>
      </c>
      <c r="AU932" s="29" t="str">
        <f t="shared" si="128"/>
        <v/>
      </c>
      <c r="AV932" s="30" t="str">
        <f t="shared" si="129"/>
        <v/>
      </c>
      <c r="AW932" s="30" t="str">
        <f t="shared" si="130"/>
        <v/>
      </c>
      <c r="AX932" s="29" t="str">
        <f t="shared" si="131"/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 t="shared" si="132"/>
        <v/>
      </c>
      <c r="BB932" s="29" t="str">
        <f t="shared" si="133"/>
        <v/>
      </c>
      <c r="BC932" s="29">
        <f t="shared" si="134"/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 t="shared" si="126"/>
        <v>0</v>
      </c>
      <c r="AT933" s="30" t="str">
        <f t="shared" si="127"/>
        <v/>
      </c>
      <c r="AU933" s="29" t="str">
        <f t="shared" si="128"/>
        <v/>
      </c>
      <c r="AV933" s="30" t="str">
        <f t="shared" si="129"/>
        <v/>
      </c>
      <c r="AW933" s="30" t="str">
        <f t="shared" si="130"/>
        <v/>
      </c>
      <c r="AX933" s="29" t="str">
        <f t="shared" si="131"/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 t="shared" si="132"/>
        <v/>
      </c>
      <c r="BB933" s="29" t="str">
        <f t="shared" si="133"/>
        <v/>
      </c>
      <c r="BC933" s="29">
        <f t="shared" si="134"/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 t="shared" si="126"/>
        <v>0</v>
      </c>
      <c r="AT934" s="30" t="str">
        <f t="shared" si="127"/>
        <v/>
      </c>
      <c r="AU934" s="29" t="str">
        <f t="shared" si="128"/>
        <v/>
      </c>
      <c r="AV934" s="30" t="str">
        <f t="shared" si="129"/>
        <v/>
      </c>
      <c r="AW934" s="30" t="str">
        <f t="shared" si="130"/>
        <v/>
      </c>
      <c r="AX934" s="29" t="str">
        <f t="shared" si="131"/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 t="shared" si="132"/>
        <v/>
      </c>
      <c r="BB934" s="29" t="str">
        <f t="shared" si="133"/>
        <v/>
      </c>
      <c r="BC934" s="29">
        <f t="shared" si="134"/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 t="shared" si="126"/>
        <v>0</v>
      </c>
      <c r="AT935" s="30" t="str">
        <f t="shared" si="127"/>
        <v/>
      </c>
      <c r="AU935" s="29" t="str">
        <f t="shared" si="128"/>
        <v/>
      </c>
      <c r="AV935" s="30" t="str">
        <f t="shared" si="129"/>
        <v/>
      </c>
      <c r="AW935" s="30" t="str">
        <f t="shared" si="130"/>
        <v/>
      </c>
      <c r="AX935" s="29" t="str">
        <f t="shared" si="131"/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 t="shared" si="132"/>
        <v/>
      </c>
      <c r="BB935" s="29" t="str">
        <f t="shared" si="133"/>
        <v/>
      </c>
      <c r="BC935" s="29">
        <f t="shared" si="134"/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 t="shared" si="126"/>
        <v>0</v>
      </c>
      <c r="AT936" s="30" t="str">
        <f t="shared" si="127"/>
        <v/>
      </c>
      <c r="AU936" s="29" t="str">
        <f t="shared" si="128"/>
        <v/>
      </c>
      <c r="AV936" s="30" t="str">
        <f t="shared" si="129"/>
        <v/>
      </c>
      <c r="AW936" s="30" t="str">
        <f t="shared" si="130"/>
        <v/>
      </c>
      <c r="AX936" s="29" t="str">
        <f t="shared" si="131"/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 t="shared" si="132"/>
        <v/>
      </c>
      <c r="BB936" s="29" t="str">
        <f t="shared" si="133"/>
        <v/>
      </c>
      <c r="BC936" s="29">
        <f t="shared" si="134"/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 t="shared" si="126"/>
        <v>0</v>
      </c>
      <c r="AT937" s="30" t="str">
        <f t="shared" si="127"/>
        <v/>
      </c>
      <c r="AU937" s="29" t="str">
        <f t="shared" si="128"/>
        <v/>
      </c>
      <c r="AV937" s="30" t="str">
        <f t="shared" si="129"/>
        <v/>
      </c>
      <c r="AW937" s="30" t="str">
        <f t="shared" si="130"/>
        <v/>
      </c>
      <c r="AX937" s="29" t="str">
        <f t="shared" si="131"/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 t="shared" si="132"/>
        <v/>
      </c>
      <c r="BB937" s="29" t="str">
        <f t="shared" si="133"/>
        <v/>
      </c>
      <c r="BC937" s="29">
        <f t="shared" si="134"/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 t="shared" si="126"/>
        <v>0</v>
      </c>
      <c r="AT938" s="30" t="str">
        <f t="shared" si="127"/>
        <v/>
      </c>
      <c r="AU938" s="29" t="str">
        <f t="shared" si="128"/>
        <v/>
      </c>
      <c r="AV938" s="30" t="str">
        <f t="shared" si="129"/>
        <v/>
      </c>
      <c r="AW938" s="30" t="str">
        <f t="shared" si="130"/>
        <v/>
      </c>
      <c r="AX938" s="29" t="str">
        <f t="shared" si="131"/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 t="shared" si="132"/>
        <v/>
      </c>
      <c r="BB938" s="29" t="str">
        <f t="shared" si="133"/>
        <v/>
      </c>
      <c r="BC938" s="29">
        <f t="shared" si="134"/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 t="shared" si="126"/>
        <v>0</v>
      </c>
      <c r="AT939" s="30" t="str">
        <f t="shared" si="127"/>
        <v/>
      </c>
      <c r="AU939" s="29" t="str">
        <f t="shared" si="128"/>
        <v/>
      </c>
      <c r="AV939" s="30" t="str">
        <f t="shared" si="129"/>
        <v/>
      </c>
      <c r="AW939" s="30" t="str">
        <f t="shared" si="130"/>
        <v/>
      </c>
      <c r="AX939" s="29" t="str">
        <f t="shared" si="131"/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 t="shared" si="132"/>
        <v/>
      </c>
      <c r="BB939" s="29" t="str">
        <f t="shared" si="133"/>
        <v/>
      </c>
      <c r="BC939" s="29">
        <f t="shared" si="134"/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 t="shared" si="126"/>
        <v>0</v>
      </c>
      <c r="AT940" s="30" t="str">
        <f t="shared" si="127"/>
        <v/>
      </c>
      <c r="AU940" s="29" t="str">
        <f t="shared" si="128"/>
        <v/>
      </c>
      <c r="AV940" s="30" t="str">
        <f t="shared" si="129"/>
        <v/>
      </c>
      <c r="AW940" s="30" t="str">
        <f t="shared" si="130"/>
        <v/>
      </c>
      <c r="AX940" s="29" t="str">
        <f t="shared" si="131"/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 t="shared" si="132"/>
        <v/>
      </c>
      <c r="BB940" s="29" t="str">
        <f t="shared" si="133"/>
        <v/>
      </c>
      <c r="BC940" s="29">
        <f t="shared" si="134"/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 t="shared" si="126"/>
        <v>0</v>
      </c>
      <c r="AT941" s="30" t="str">
        <f t="shared" si="127"/>
        <v/>
      </c>
      <c r="AU941" s="29" t="str">
        <f t="shared" si="128"/>
        <v/>
      </c>
      <c r="AV941" s="30" t="str">
        <f t="shared" si="129"/>
        <v/>
      </c>
      <c r="AW941" s="30" t="str">
        <f t="shared" si="130"/>
        <v/>
      </c>
      <c r="AX941" s="29" t="str">
        <f t="shared" si="131"/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 t="shared" si="132"/>
        <v/>
      </c>
      <c r="BB941" s="29" t="str">
        <f t="shared" si="133"/>
        <v/>
      </c>
      <c r="BC941" s="29">
        <f t="shared" si="134"/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 t="shared" si="126"/>
        <v>0</v>
      </c>
      <c r="AT942" s="30" t="str">
        <f t="shared" si="127"/>
        <v/>
      </c>
      <c r="AU942" s="29" t="str">
        <f t="shared" si="128"/>
        <v/>
      </c>
      <c r="AV942" s="30" t="str">
        <f t="shared" si="129"/>
        <v/>
      </c>
      <c r="AW942" s="30" t="str">
        <f t="shared" si="130"/>
        <v/>
      </c>
      <c r="AX942" s="29" t="str">
        <f t="shared" si="131"/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 t="shared" si="132"/>
        <v/>
      </c>
      <c r="BB942" s="29" t="str">
        <f t="shared" si="133"/>
        <v/>
      </c>
      <c r="BC942" s="29">
        <f t="shared" si="134"/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 t="shared" si="126"/>
        <v>0</v>
      </c>
      <c r="AT943" s="30" t="str">
        <f t="shared" si="127"/>
        <v/>
      </c>
      <c r="AU943" s="29" t="str">
        <f t="shared" si="128"/>
        <v/>
      </c>
      <c r="AV943" s="30" t="str">
        <f t="shared" si="129"/>
        <v/>
      </c>
      <c r="AW943" s="30" t="str">
        <f t="shared" si="130"/>
        <v/>
      </c>
      <c r="AX943" s="29" t="str">
        <f t="shared" si="131"/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 t="shared" si="132"/>
        <v/>
      </c>
      <c r="BB943" s="29" t="str">
        <f t="shared" si="133"/>
        <v/>
      </c>
      <c r="BC943" s="29">
        <f t="shared" si="134"/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 t="shared" si="126"/>
        <v>0</v>
      </c>
      <c r="AT944" s="30" t="str">
        <f t="shared" si="127"/>
        <v/>
      </c>
      <c r="AU944" s="29" t="str">
        <f t="shared" si="128"/>
        <v/>
      </c>
      <c r="AV944" s="30" t="str">
        <f t="shared" si="129"/>
        <v/>
      </c>
      <c r="AW944" s="30" t="str">
        <f t="shared" si="130"/>
        <v/>
      </c>
      <c r="AX944" s="29" t="str">
        <f t="shared" si="131"/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 t="shared" si="132"/>
        <v/>
      </c>
      <c r="BB944" s="29" t="str">
        <f t="shared" si="133"/>
        <v/>
      </c>
      <c r="BC944" s="29">
        <f t="shared" si="134"/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 t="shared" si="126"/>
        <v>0</v>
      </c>
      <c r="AT945" s="30" t="str">
        <f t="shared" si="127"/>
        <v/>
      </c>
      <c r="AU945" s="29" t="str">
        <f t="shared" si="128"/>
        <v/>
      </c>
      <c r="AV945" s="30" t="str">
        <f t="shared" si="129"/>
        <v/>
      </c>
      <c r="AW945" s="30" t="str">
        <f t="shared" si="130"/>
        <v/>
      </c>
      <c r="AX945" s="29" t="str">
        <f t="shared" si="131"/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 t="shared" si="132"/>
        <v/>
      </c>
      <c r="BB945" s="29" t="str">
        <f t="shared" si="133"/>
        <v/>
      </c>
      <c r="BC945" s="29">
        <f t="shared" si="134"/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 t="shared" si="126"/>
        <v>0</v>
      </c>
      <c r="AT946" s="30" t="str">
        <f t="shared" si="127"/>
        <v/>
      </c>
      <c r="AU946" s="29" t="str">
        <f t="shared" si="128"/>
        <v/>
      </c>
      <c r="AV946" s="30" t="str">
        <f t="shared" si="129"/>
        <v/>
      </c>
      <c r="AW946" s="30" t="str">
        <f t="shared" si="130"/>
        <v/>
      </c>
      <c r="AX946" s="29" t="str">
        <f t="shared" si="131"/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 t="shared" si="132"/>
        <v/>
      </c>
      <c r="BB946" s="29" t="str">
        <f t="shared" si="133"/>
        <v/>
      </c>
      <c r="BC946" s="29">
        <f t="shared" si="134"/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 t="shared" si="126"/>
        <v>0</v>
      </c>
      <c r="AT947" s="30" t="str">
        <f t="shared" si="127"/>
        <v/>
      </c>
      <c r="AU947" s="29" t="str">
        <f t="shared" si="128"/>
        <v/>
      </c>
      <c r="AV947" s="30" t="str">
        <f t="shared" si="129"/>
        <v/>
      </c>
      <c r="AW947" s="30" t="str">
        <f t="shared" si="130"/>
        <v/>
      </c>
      <c r="AX947" s="29" t="str">
        <f t="shared" si="131"/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 t="shared" si="132"/>
        <v/>
      </c>
      <c r="BB947" s="29" t="str">
        <f t="shared" si="133"/>
        <v/>
      </c>
      <c r="BC947" s="29">
        <f t="shared" si="134"/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 t="shared" si="126"/>
        <v>0</v>
      </c>
      <c r="AT948" s="30" t="str">
        <f t="shared" si="127"/>
        <v/>
      </c>
      <c r="AU948" s="29" t="str">
        <f t="shared" si="128"/>
        <v/>
      </c>
      <c r="AV948" s="30" t="str">
        <f t="shared" si="129"/>
        <v/>
      </c>
      <c r="AW948" s="30" t="str">
        <f t="shared" si="130"/>
        <v/>
      </c>
      <c r="AX948" s="29" t="str">
        <f t="shared" si="131"/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 t="shared" si="132"/>
        <v/>
      </c>
      <c r="BB948" s="29" t="str">
        <f t="shared" si="133"/>
        <v/>
      </c>
      <c r="BC948" s="29">
        <f t="shared" si="134"/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 t="shared" si="126"/>
        <v>0</v>
      </c>
      <c r="AT949" s="30" t="str">
        <f t="shared" si="127"/>
        <v/>
      </c>
      <c r="AU949" s="29" t="str">
        <f t="shared" si="128"/>
        <v/>
      </c>
      <c r="AV949" s="30" t="str">
        <f t="shared" si="129"/>
        <v/>
      </c>
      <c r="AW949" s="30" t="str">
        <f t="shared" si="130"/>
        <v/>
      </c>
      <c r="AX949" s="29" t="str">
        <f t="shared" si="131"/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 t="shared" si="132"/>
        <v/>
      </c>
      <c r="BB949" s="29" t="str">
        <f t="shared" si="133"/>
        <v/>
      </c>
      <c r="BC949" s="29">
        <f t="shared" si="134"/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 t="shared" si="126"/>
        <v>0</v>
      </c>
      <c r="AT950" s="30" t="str">
        <f t="shared" si="127"/>
        <v/>
      </c>
      <c r="AU950" s="29" t="str">
        <f t="shared" si="128"/>
        <v/>
      </c>
      <c r="AV950" s="30" t="str">
        <f t="shared" si="129"/>
        <v/>
      </c>
      <c r="AW950" s="30" t="str">
        <f t="shared" si="130"/>
        <v/>
      </c>
      <c r="AX950" s="29" t="str">
        <f t="shared" si="131"/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 t="shared" si="132"/>
        <v/>
      </c>
      <c r="BB950" s="29" t="str">
        <f t="shared" si="133"/>
        <v/>
      </c>
      <c r="BC950" s="29">
        <f t="shared" si="134"/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 t="shared" si="126"/>
        <v>0</v>
      </c>
      <c r="AT951" s="30" t="str">
        <f t="shared" si="127"/>
        <v/>
      </c>
      <c r="AU951" s="29" t="str">
        <f t="shared" si="128"/>
        <v/>
      </c>
      <c r="AV951" s="30" t="str">
        <f t="shared" si="129"/>
        <v/>
      </c>
      <c r="AW951" s="30" t="str">
        <f t="shared" si="130"/>
        <v/>
      </c>
      <c r="AX951" s="29" t="str">
        <f t="shared" si="131"/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 t="shared" si="132"/>
        <v/>
      </c>
      <c r="BB951" s="29" t="str">
        <f t="shared" si="133"/>
        <v/>
      </c>
      <c r="BC951" s="29">
        <f t="shared" si="134"/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 t="shared" si="126"/>
        <v>0</v>
      </c>
      <c r="AT952" s="30" t="str">
        <f t="shared" si="127"/>
        <v/>
      </c>
      <c r="AU952" s="29" t="str">
        <f t="shared" si="128"/>
        <v/>
      </c>
      <c r="AV952" s="30" t="str">
        <f t="shared" si="129"/>
        <v/>
      </c>
      <c r="AW952" s="30" t="str">
        <f t="shared" si="130"/>
        <v/>
      </c>
      <c r="AX952" s="29" t="str">
        <f t="shared" si="131"/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 t="shared" si="132"/>
        <v/>
      </c>
      <c r="BB952" s="29" t="str">
        <f t="shared" si="133"/>
        <v/>
      </c>
      <c r="BC952" s="29">
        <f t="shared" si="134"/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 t="shared" si="126"/>
        <v>0</v>
      </c>
      <c r="AT953" s="30" t="str">
        <f t="shared" si="127"/>
        <v/>
      </c>
      <c r="AU953" s="29" t="str">
        <f t="shared" si="128"/>
        <v/>
      </c>
      <c r="AV953" s="30" t="str">
        <f t="shared" si="129"/>
        <v/>
      </c>
      <c r="AW953" s="30" t="str">
        <f t="shared" si="130"/>
        <v/>
      </c>
      <c r="AX953" s="29" t="str">
        <f t="shared" si="131"/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 t="shared" si="132"/>
        <v/>
      </c>
      <c r="BB953" s="29" t="str">
        <f t="shared" si="133"/>
        <v/>
      </c>
      <c r="BC953" s="29">
        <f t="shared" si="134"/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 t="shared" si="126"/>
        <v>0</v>
      </c>
      <c r="AT954" s="30" t="str">
        <f t="shared" si="127"/>
        <v/>
      </c>
      <c r="AU954" s="29" t="str">
        <f t="shared" si="128"/>
        <v/>
      </c>
      <c r="AV954" s="30" t="str">
        <f t="shared" si="129"/>
        <v/>
      </c>
      <c r="AW954" s="30" t="str">
        <f t="shared" si="130"/>
        <v/>
      </c>
      <c r="AX954" s="29" t="str">
        <f t="shared" si="131"/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 t="shared" si="132"/>
        <v/>
      </c>
      <c r="BB954" s="29" t="str">
        <f t="shared" si="133"/>
        <v/>
      </c>
      <c r="BC954" s="29">
        <f t="shared" si="134"/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 t="shared" si="126"/>
        <v>0</v>
      </c>
      <c r="AT955" s="30" t="str">
        <f t="shared" si="127"/>
        <v/>
      </c>
      <c r="AU955" s="29" t="str">
        <f t="shared" si="128"/>
        <v/>
      </c>
      <c r="AV955" s="30" t="str">
        <f t="shared" si="129"/>
        <v/>
      </c>
      <c r="AW955" s="30" t="str">
        <f t="shared" si="130"/>
        <v/>
      </c>
      <c r="AX955" s="29" t="str">
        <f t="shared" si="131"/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 t="shared" si="132"/>
        <v/>
      </c>
      <c r="BB955" s="29" t="str">
        <f t="shared" si="133"/>
        <v/>
      </c>
      <c r="BC955" s="29">
        <f t="shared" si="134"/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 t="shared" si="126"/>
        <v>0</v>
      </c>
      <c r="AT956" s="30" t="str">
        <f t="shared" si="127"/>
        <v/>
      </c>
      <c r="AU956" s="29" t="str">
        <f t="shared" si="128"/>
        <v/>
      </c>
      <c r="AV956" s="30" t="str">
        <f t="shared" si="129"/>
        <v/>
      </c>
      <c r="AW956" s="30" t="str">
        <f t="shared" si="130"/>
        <v/>
      </c>
      <c r="AX956" s="29" t="str">
        <f t="shared" si="131"/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 t="shared" si="132"/>
        <v/>
      </c>
      <c r="BB956" s="29" t="str">
        <f t="shared" si="133"/>
        <v/>
      </c>
      <c r="BC956" s="29">
        <f t="shared" si="134"/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 t="shared" si="126"/>
        <v>0</v>
      </c>
      <c r="AT957" s="30" t="str">
        <f t="shared" si="127"/>
        <v/>
      </c>
      <c r="AU957" s="29" t="str">
        <f t="shared" si="128"/>
        <v/>
      </c>
      <c r="AV957" s="30" t="str">
        <f t="shared" si="129"/>
        <v/>
      </c>
      <c r="AW957" s="30" t="str">
        <f t="shared" si="130"/>
        <v/>
      </c>
      <c r="AX957" s="29" t="str">
        <f t="shared" si="131"/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 t="shared" si="132"/>
        <v/>
      </c>
      <c r="BB957" s="29" t="str">
        <f t="shared" si="133"/>
        <v/>
      </c>
      <c r="BC957" s="29">
        <f t="shared" si="134"/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 t="shared" si="126"/>
        <v>0</v>
      </c>
      <c r="AT958" s="30" t="str">
        <f t="shared" si="127"/>
        <v/>
      </c>
      <c r="AU958" s="29" t="str">
        <f t="shared" si="128"/>
        <v/>
      </c>
      <c r="AV958" s="30" t="str">
        <f t="shared" si="129"/>
        <v/>
      </c>
      <c r="AW958" s="30" t="str">
        <f t="shared" si="130"/>
        <v/>
      </c>
      <c r="AX958" s="29" t="str">
        <f t="shared" si="131"/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 t="shared" si="132"/>
        <v/>
      </c>
      <c r="BB958" s="29" t="str">
        <f t="shared" si="133"/>
        <v/>
      </c>
      <c r="BC958" s="29">
        <f t="shared" si="134"/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 t="shared" si="126"/>
        <v>0</v>
      </c>
      <c r="AT959" s="30" t="str">
        <f t="shared" si="127"/>
        <v/>
      </c>
      <c r="AU959" s="29" t="str">
        <f t="shared" si="128"/>
        <v/>
      </c>
      <c r="AV959" s="30" t="str">
        <f t="shared" si="129"/>
        <v/>
      </c>
      <c r="AW959" s="30" t="str">
        <f t="shared" si="130"/>
        <v/>
      </c>
      <c r="AX959" s="29" t="str">
        <f t="shared" si="131"/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 t="shared" si="132"/>
        <v/>
      </c>
      <c r="BB959" s="29" t="str">
        <f t="shared" si="133"/>
        <v/>
      </c>
      <c r="BC959" s="29">
        <f t="shared" si="134"/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 t="shared" si="126"/>
        <v>0</v>
      </c>
      <c r="AT960" s="30" t="str">
        <f t="shared" si="127"/>
        <v/>
      </c>
      <c r="AU960" s="29" t="str">
        <f t="shared" si="128"/>
        <v/>
      </c>
      <c r="AV960" s="30" t="str">
        <f t="shared" si="129"/>
        <v/>
      </c>
      <c r="AW960" s="30" t="str">
        <f t="shared" si="130"/>
        <v/>
      </c>
      <c r="AX960" s="29" t="str">
        <f t="shared" si="131"/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 t="shared" si="132"/>
        <v/>
      </c>
      <c r="BB960" s="29" t="str">
        <f t="shared" si="133"/>
        <v/>
      </c>
      <c r="BC960" s="29">
        <f t="shared" si="134"/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 t="shared" si="126"/>
        <v>0</v>
      </c>
      <c r="AT961" s="30" t="str">
        <f t="shared" si="127"/>
        <v/>
      </c>
      <c r="AU961" s="29" t="str">
        <f t="shared" si="128"/>
        <v/>
      </c>
      <c r="AV961" s="30" t="str">
        <f t="shared" si="129"/>
        <v/>
      </c>
      <c r="AW961" s="30" t="str">
        <f t="shared" si="130"/>
        <v/>
      </c>
      <c r="AX961" s="29" t="str">
        <f t="shared" si="131"/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 t="shared" si="132"/>
        <v/>
      </c>
      <c r="BB961" s="29" t="str">
        <f t="shared" si="133"/>
        <v/>
      </c>
      <c r="BC961" s="29">
        <f t="shared" si="134"/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 t="shared" si="126"/>
        <v>0</v>
      </c>
      <c r="AT962" s="30" t="str">
        <f t="shared" si="127"/>
        <v/>
      </c>
      <c r="AU962" s="29" t="str">
        <f t="shared" si="128"/>
        <v/>
      </c>
      <c r="AV962" s="30" t="str">
        <f t="shared" si="129"/>
        <v/>
      </c>
      <c r="AW962" s="30" t="str">
        <f t="shared" si="130"/>
        <v/>
      </c>
      <c r="AX962" s="29" t="str">
        <f t="shared" si="131"/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 t="shared" si="132"/>
        <v/>
      </c>
      <c r="BB962" s="29" t="str">
        <f t="shared" si="133"/>
        <v/>
      </c>
      <c r="BC962" s="29">
        <f t="shared" si="134"/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 t="shared" si="126"/>
        <v>0</v>
      </c>
      <c r="AT963" s="30" t="str">
        <f t="shared" si="127"/>
        <v/>
      </c>
      <c r="AU963" s="29" t="str">
        <f t="shared" si="128"/>
        <v/>
      </c>
      <c r="AV963" s="30" t="str">
        <f t="shared" si="129"/>
        <v/>
      </c>
      <c r="AW963" s="30" t="str">
        <f t="shared" si="130"/>
        <v/>
      </c>
      <c r="AX963" s="29" t="str">
        <f t="shared" si="131"/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 t="shared" si="132"/>
        <v/>
      </c>
      <c r="BB963" s="29" t="str">
        <f t="shared" si="133"/>
        <v/>
      </c>
      <c r="BC963" s="29">
        <f t="shared" si="134"/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 t="shared" si="126"/>
        <v>0</v>
      </c>
      <c r="AT964" s="30" t="str">
        <f t="shared" si="127"/>
        <v/>
      </c>
      <c r="AU964" s="29" t="str">
        <f t="shared" si="128"/>
        <v/>
      </c>
      <c r="AV964" s="30" t="str">
        <f t="shared" si="129"/>
        <v/>
      </c>
      <c r="AW964" s="30" t="str">
        <f t="shared" si="130"/>
        <v/>
      </c>
      <c r="AX964" s="29" t="str">
        <f t="shared" si="131"/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 t="shared" si="132"/>
        <v/>
      </c>
      <c r="BB964" s="29" t="str">
        <f t="shared" si="133"/>
        <v/>
      </c>
      <c r="BC964" s="29">
        <f t="shared" si="134"/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 t="shared" ref="AS965:AS1028" si="135">SUM(H965,J965,L965,N965,P965,R965,T965,V965,X965,Z965,AB965,AD965,AF965,AH965,AJ965,AL965,AN965)</f>
        <v>0</v>
      </c>
      <c r="AT965" s="30" t="str">
        <f t="shared" ref="AT965:AT1028" si="136">IF(C965="","",DATE(YEAR(C965),MONTH(C965),1))</f>
        <v/>
      </c>
      <c r="AU965" s="29" t="str">
        <f t="shared" ref="AU965:AU1028" si="137">IF(AT965="","",TEXT(AT965,"mmmm yyyy"))</f>
        <v/>
      </c>
      <c r="AV965" s="30" t="str">
        <f t="shared" ref="AV965:AV1028" si="138">IF(C965="","",C965-WEEKDAY(C965,2)+1)</f>
        <v/>
      </c>
      <c r="AW965" s="30" t="str">
        <f t="shared" ref="AW965:AW1028" si="139">IF(AV965="","",AV965+6)</f>
        <v/>
      </c>
      <c r="AX965" s="29" t="str">
        <f t="shared" ref="AX965:AX1028" si="140"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 t="shared" ref="BA965:BA1028" si="141">IF(B965="","",TEXT(AY965,"00")&amp;"|"&amp;B965&amp;"|"&amp;TEXT(AT965,"yyyymmdd"))</f>
        <v/>
      </c>
      <c r="BB965" s="29" t="str">
        <f t="shared" ref="BB965:BB1028" si="142">IF(B965="","",TEXT(AZ965,"00")&amp;"|"&amp;B965&amp;"|"&amp;TEXT(AV965,"yyyymmdd"))</f>
        <v/>
      </c>
      <c r="BC965" s="29">
        <f t="shared" ref="BC965:BC1028" si="143"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 t="shared" si="135"/>
        <v>0</v>
      </c>
      <c r="AT966" s="30" t="str">
        <f t="shared" si="136"/>
        <v/>
      </c>
      <c r="AU966" s="29" t="str">
        <f t="shared" si="137"/>
        <v/>
      </c>
      <c r="AV966" s="30" t="str">
        <f t="shared" si="138"/>
        <v/>
      </c>
      <c r="AW966" s="30" t="str">
        <f t="shared" si="139"/>
        <v/>
      </c>
      <c r="AX966" s="29" t="str">
        <f t="shared" si="140"/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 t="shared" si="141"/>
        <v/>
      </c>
      <c r="BB966" s="29" t="str">
        <f t="shared" si="142"/>
        <v/>
      </c>
      <c r="BC966" s="29">
        <f t="shared" si="143"/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 t="shared" si="135"/>
        <v>0</v>
      </c>
      <c r="AT967" s="30" t="str">
        <f t="shared" si="136"/>
        <v/>
      </c>
      <c r="AU967" s="29" t="str">
        <f t="shared" si="137"/>
        <v/>
      </c>
      <c r="AV967" s="30" t="str">
        <f t="shared" si="138"/>
        <v/>
      </c>
      <c r="AW967" s="30" t="str">
        <f t="shared" si="139"/>
        <v/>
      </c>
      <c r="AX967" s="29" t="str">
        <f t="shared" si="140"/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 t="shared" si="141"/>
        <v/>
      </c>
      <c r="BB967" s="29" t="str">
        <f t="shared" si="142"/>
        <v/>
      </c>
      <c r="BC967" s="29">
        <f t="shared" si="143"/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 t="shared" si="135"/>
        <v>0</v>
      </c>
      <c r="AT968" s="30" t="str">
        <f t="shared" si="136"/>
        <v/>
      </c>
      <c r="AU968" s="29" t="str">
        <f t="shared" si="137"/>
        <v/>
      </c>
      <c r="AV968" s="30" t="str">
        <f t="shared" si="138"/>
        <v/>
      </c>
      <c r="AW968" s="30" t="str">
        <f t="shared" si="139"/>
        <v/>
      </c>
      <c r="AX968" s="29" t="str">
        <f t="shared" si="140"/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 t="shared" si="141"/>
        <v/>
      </c>
      <c r="BB968" s="29" t="str">
        <f t="shared" si="142"/>
        <v/>
      </c>
      <c r="BC968" s="29">
        <f t="shared" si="143"/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 t="shared" si="135"/>
        <v>0</v>
      </c>
      <c r="AT969" s="30" t="str">
        <f t="shared" si="136"/>
        <v/>
      </c>
      <c r="AU969" s="29" t="str">
        <f t="shared" si="137"/>
        <v/>
      </c>
      <c r="AV969" s="30" t="str">
        <f t="shared" si="138"/>
        <v/>
      </c>
      <c r="AW969" s="30" t="str">
        <f t="shared" si="139"/>
        <v/>
      </c>
      <c r="AX969" s="29" t="str">
        <f t="shared" si="140"/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 t="shared" si="141"/>
        <v/>
      </c>
      <c r="BB969" s="29" t="str">
        <f t="shared" si="142"/>
        <v/>
      </c>
      <c r="BC969" s="29">
        <f t="shared" si="143"/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 t="shared" si="135"/>
        <v>0</v>
      </c>
      <c r="AT970" s="30" t="str">
        <f t="shared" si="136"/>
        <v/>
      </c>
      <c r="AU970" s="29" t="str">
        <f t="shared" si="137"/>
        <v/>
      </c>
      <c r="AV970" s="30" t="str">
        <f t="shared" si="138"/>
        <v/>
      </c>
      <c r="AW970" s="30" t="str">
        <f t="shared" si="139"/>
        <v/>
      </c>
      <c r="AX970" s="29" t="str">
        <f t="shared" si="140"/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 t="shared" si="141"/>
        <v/>
      </c>
      <c r="BB970" s="29" t="str">
        <f t="shared" si="142"/>
        <v/>
      </c>
      <c r="BC970" s="29">
        <f t="shared" si="143"/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 t="shared" si="135"/>
        <v>0</v>
      </c>
      <c r="AT971" s="30" t="str">
        <f t="shared" si="136"/>
        <v/>
      </c>
      <c r="AU971" s="29" t="str">
        <f t="shared" si="137"/>
        <v/>
      </c>
      <c r="AV971" s="30" t="str">
        <f t="shared" si="138"/>
        <v/>
      </c>
      <c r="AW971" s="30" t="str">
        <f t="shared" si="139"/>
        <v/>
      </c>
      <c r="AX971" s="29" t="str">
        <f t="shared" si="140"/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 t="shared" si="141"/>
        <v/>
      </c>
      <c r="BB971" s="29" t="str">
        <f t="shared" si="142"/>
        <v/>
      </c>
      <c r="BC971" s="29">
        <f t="shared" si="143"/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 t="shared" si="135"/>
        <v>0</v>
      </c>
      <c r="AT972" s="30" t="str">
        <f t="shared" si="136"/>
        <v/>
      </c>
      <c r="AU972" s="29" t="str">
        <f t="shared" si="137"/>
        <v/>
      </c>
      <c r="AV972" s="30" t="str">
        <f t="shared" si="138"/>
        <v/>
      </c>
      <c r="AW972" s="30" t="str">
        <f t="shared" si="139"/>
        <v/>
      </c>
      <c r="AX972" s="29" t="str">
        <f t="shared" si="140"/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 t="shared" si="141"/>
        <v/>
      </c>
      <c r="BB972" s="29" t="str">
        <f t="shared" si="142"/>
        <v/>
      </c>
      <c r="BC972" s="29">
        <f t="shared" si="143"/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 t="shared" si="135"/>
        <v>0</v>
      </c>
      <c r="AT973" s="30" t="str">
        <f t="shared" si="136"/>
        <v/>
      </c>
      <c r="AU973" s="29" t="str">
        <f t="shared" si="137"/>
        <v/>
      </c>
      <c r="AV973" s="30" t="str">
        <f t="shared" si="138"/>
        <v/>
      </c>
      <c r="AW973" s="30" t="str">
        <f t="shared" si="139"/>
        <v/>
      </c>
      <c r="AX973" s="29" t="str">
        <f t="shared" si="140"/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 t="shared" si="141"/>
        <v/>
      </c>
      <c r="BB973" s="29" t="str">
        <f t="shared" si="142"/>
        <v/>
      </c>
      <c r="BC973" s="29">
        <f t="shared" si="143"/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 t="shared" si="135"/>
        <v>0</v>
      </c>
      <c r="AT974" s="30" t="str">
        <f t="shared" si="136"/>
        <v/>
      </c>
      <c r="AU974" s="29" t="str">
        <f t="shared" si="137"/>
        <v/>
      </c>
      <c r="AV974" s="30" t="str">
        <f t="shared" si="138"/>
        <v/>
      </c>
      <c r="AW974" s="30" t="str">
        <f t="shared" si="139"/>
        <v/>
      </c>
      <c r="AX974" s="29" t="str">
        <f t="shared" si="140"/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 t="shared" si="141"/>
        <v/>
      </c>
      <c r="BB974" s="29" t="str">
        <f t="shared" si="142"/>
        <v/>
      </c>
      <c r="BC974" s="29">
        <f t="shared" si="143"/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 t="shared" si="135"/>
        <v>0</v>
      </c>
      <c r="AT975" s="30" t="str">
        <f t="shared" si="136"/>
        <v/>
      </c>
      <c r="AU975" s="29" t="str">
        <f t="shared" si="137"/>
        <v/>
      </c>
      <c r="AV975" s="30" t="str">
        <f t="shared" si="138"/>
        <v/>
      </c>
      <c r="AW975" s="30" t="str">
        <f t="shared" si="139"/>
        <v/>
      </c>
      <c r="AX975" s="29" t="str">
        <f t="shared" si="140"/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 t="shared" si="141"/>
        <v/>
      </c>
      <c r="BB975" s="29" t="str">
        <f t="shared" si="142"/>
        <v/>
      </c>
      <c r="BC975" s="29">
        <f t="shared" si="143"/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 t="shared" si="135"/>
        <v>0</v>
      </c>
      <c r="AT976" s="30" t="str">
        <f t="shared" si="136"/>
        <v/>
      </c>
      <c r="AU976" s="29" t="str">
        <f t="shared" si="137"/>
        <v/>
      </c>
      <c r="AV976" s="30" t="str">
        <f t="shared" si="138"/>
        <v/>
      </c>
      <c r="AW976" s="30" t="str">
        <f t="shared" si="139"/>
        <v/>
      </c>
      <c r="AX976" s="29" t="str">
        <f t="shared" si="140"/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 t="shared" si="141"/>
        <v/>
      </c>
      <c r="BB976" s="29" t="str">
        <f t="shared" si="142"/>
        <v/>
      </c>
      <c r="BC976" s="29">
        <f t="shared" si="143"/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 t="shared" si="135"/>
        <v>0</v>
      </c>
      <c r="AT977" s="30" t="str">
        <f t="shared" si="136"/>
        <v/>
      </c>
      <c r="AU977" s="29" t="str">
        <f t="shared" si="137"/>
        <v/>
      </c>
      <c r="AV977" s="30" t="str">
        <f t="shared" si="138"/>
        <v/>
      </c>
      <c r="AW977" s="30" t="str">
        <f t="shared" si="139"/>
        <v/>
      </c>
      <c r="AX977" s="29" t="str">
        <f t="shared" si="140"/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 t="shared" si="141"/>
        <v/>
      </c>
      <c r="BB977" s="29" t="str">
        <f t="shared" si="142"/>
        <v/>
      </c>
      <c r="BC977" s="29">
        <f t="shared" si="143"/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 t="shared" si="135"/>
        <v>0</v>
      </c>
      <c r="AT978" s="30" t="str">
        <f t="shared" si="136"/>
        <v/>
      </c>
      <c r="AU978" s="29" t="str">
        <f t="shared" si="137"/>
        <v/>
      </c>
      <c r="AV978" s="30" t="str">
        <f t="shared" si="138"/>
        <v/>
      </c>
      <c r="AW978" s="30" t="str">
        <f t="shared" si="139"/>
        <v/>
      </c>
      <c r="AX978" s="29" t="str">
        <f t="shared" si="140"/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 t="shared" si="141"/>
        <v/>
      </c>
      <c r="BB978" s="29" t="str">
        <f t="shared" si="142"/>
        <v/>
      </c>
      <c r="BC978" s="29">
        <f t="shared" si="143"/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 t="shared" si="135"/>
        <v>0</v>
      </c>
      <c r="AT979" s="30" t="str">
        <f t="shared" si="136"/>
        <v/>
      </c>
      <c r="AU979" s="29" t="str">
        <f t="shared" si="137"/>
        <v/>
      </c>
      <c r="AV979" s="30" t="str">
        <f t="shared" si="138"/>
        <v/>
      </c>
      <c r="AW979" s="30" t="str">
        <f t="shared" si="139"/>
        <v/>
      </c>
      <c r="AX979" s="29" t="str">
        <f t="shared" si="140"/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 t="shared" si="141"/>
        <v/>
      </c>
      <c r="BB979" s="29" t="str">
        <f t="shared" si="142"/>
        <v/>
      </c>
      <c r="BC979" s="29">
        <f t="shared" si="143"/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 t="shared" si="135"/>
        <v>0</v>
      </c>
      <c r="AT980" s="30" t="str">
        <f t="shared" si="136"/>
        <v/>
      </c>
      <c r="AU980" s="29" t="str">
        <f t="shared" si="137"/>
        <v/>
      </c>
      <c r="AV980" s="30" t="str">
        <f t="shared" si="138"/>
        <v/>
      </c>
      <c r="AW980" s="30" t="str">
        <f t="shared" si="139"/>
        <v/>
      </c>
      <c r="AX980" s="29" t="str">
        <f t="shared" si="140"/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 t="shared" si="141"/>
        <v/>
      </c>
      <c r="BB980" s="29" t="str">
        <f t="shared" si="142"/>
        <v/>
      </c>
      <c r="BC980" s="29">
        <f t="shared" si="143"/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 t="shared" si="135"/>
        <v>0</v>
      </c>
      <c r="AT981" s="30" t="str">
        <f t="shared" si="136"/>
        <v/>
      </c>
      <c r="AU981" s="29" t="str">
        <f t="shared" si="137"/>
        <v/>
      </c>
      <c r="AV981" s="30" t="str">
        <f t="shared" si="138"/>
        <v/>
      </c>
      <c r="AW981" s="30" t="str">
        <f t="shared" si="139"/>
        <v/>
      </c>
      <c r="AX981" s="29" t="str">
        <f t="shared" si="140"/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 t="shared" si="141"/>
        <v/>
      </c>
      <c r="BB981" s="29" t="str">
        <f t="shared" si="142"/>
        <v/>
      </c>
      <c r="BC981" s="29">
        <f t="shared" si="143"/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 t="shared" si="135"/>
        <v>0</v>
      </c>
      <c r="AT982" s="30" t="str">
        <f t="shared" si="136"/>
        <v/>
      </c>
      <c r="AU982" s="29" t="str">
        <f t="shared" si="137"/>
        <v/>
      </c>
      <c r="AV982" s="30" t="str">
        <f t="shared" si="138"/>
        <v/>
      </c>
      <c r="AW982" s="30" t="str">
        <f t="shared" si="139"/>
        <v/>
      </c>
      <c r="AX982" s="29" t="str">
        <f t="shared" si="140"/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 t="shared" si="141"/>
        <v/>
      </c>
      <c r="BB982" s="29" t="str">
        <f t="shared" si="142"/>
        <v/>
      </c>
      <c r="BC982" s="29">
        <f t="shared" si="143"/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 t="shared" si="135"/>
        <v>0</v>
      </c>
      <c r="AT983" s="30" t="str">
        <f t="shared" si="136"/>
        <v/>
      </c>
      <c r="AU983" s="29" t="str">
        <f t="shared" si="137"/>
        <v/>
      </c>
      <c r="AV983" s="30" t="str">
        <f t="shared" si="138"/>
        <v/>
      </c>
      <c r="AW983" s="30" t="str">
        <f t="shared" si="139"/>
        <v/>
      </c>
      <c r="AX983" s="29" t="str">
        <f t="shared" si="140"/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 t="shared" si="141"/>
        <v/>
      </c>
      <c r="BB983" s="29" t="str">
        <f t="shared" si="142"/>
        <v/>
      </c>
      <c r="BC983" s="29">
        <f t="shared" si="143"/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 t="shared" si="135"/>
        <v>0</v>
      </c>
      <c r="AT984" s="30" t="str">
        <f t="shared" si="136"/>
        <v/>
      </c>
      <c r="AU984" s="29" t="str">
        <f t="shared" si="137"/>
        <v/>
      </c>
      <c r="AV984" s="30" t="str">
        <f t="shared" si="138"/>
        <v/>
      </c>
      <c r="AW984" s="30" t="str">
        <f t="shared" si="139"/>
        <v/>
      </c>
      <c r="AX984" s="29" t="str">
        <f t="shared" si="140"/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 t="shared" si="141"/>
        <v/>
      </c>
      <c r="BB984" s="29" t="str">
        <f t="shared" si="142"/>
        <v/>
      </c>
      <c r="BC984" s="29">
        <f t="shared" si="143"/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 t="shared" si="135"/>
        <v>0</v>
      </c>
      <c r="AT985" s="30" t="str">
        <f t="shared" si="136"/>
        <v/>
      </c>
      <c r="AU985" s="29" t="str">
        <f t="shared" si="137"/>
        <v/>
      </c>
      <c r="AV985" s="30" t="str">
        <f t="shared" si="138"/>
        <v/>
      </c>
      <c r="AW985" s="30" t="str">
        <f t="shared" si="139"/>
        <v/>
      </c>
      <c r="AX985" s="29" t="str">
        <f t="shared" si="140"/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 t="shared" si="141"/>
        <v/>
      </c>
      <c r="BB985" s="29" t="str">
        <f t="shared" si="142"/>
        <v/>
      </c>
      <c r="BC985" s="29">
        <f t="shared" si="143"/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 t="shared" si="135"/>
        <v>0</v>
      </c>
      <c r="AT986" s="30" t="str">
        <f t="shared" si="136"/>
        <v/>
      </c>
      <c r="AU986" s="29" t="str">
        <f t="shared" si="137"/>
        <v/>
      </c>
      <c r="AV986" s="30" t="str">
        <f t="shared" si="138"/>
        <v/>
      </c>
      <c r="AW986" s="30" t="str">
        <f t="shared" si="139"/>
        <v/>
      </c>
      <c r="AX986" s="29" t="str">
        <f t="shared" si="140"/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 t="shared" si="141"/>
        <v/>
      </c>
      <c r="BB986" s="29" t="str">
        <f t="shared" si="142"/>
        <v/>
      </c>
      <c r="BC986" s="29">
        <f t="shared" si="143"/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 t="shared" si="135"/>
        <v>0</v>
      </c>
      <c r="AT987" s="30" t="str">
        <f t="shared" si="136"/>
        <v/>
      </c>
      <c r="AU987" s="29" t="str">
        <f t="shared" si="137"/>
        <v/>
      </c>
      <c r="AV987" s="30" t="str">
        <f t="shared" si="138"/>
        <v/>
      </c>
      <c r="AW987" s="30" t="str">
        <f t="shared" si="139"/>
        <v/>
      </c>
      <c r="AX987" s="29" t="str">
        <f t="shared" si="140"/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 t="shared" si="141"/>
        <v/>
      </c>
      <c r="BB987" s="29" t="str">
        <f t="shared" si="142"/>
        <v/>
      </c>
      <c r="BC987" s="29">
        <f t="shared" si="143"/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 t="shared" si="135"/>
        <v>0</v>
      </c>
      <c r="AT988" s="30" t="str">
        <f t="shared" si="136"/>
        <v/>
      </c>
      <c r="AU988" s="29" t="str">
        <f t="shared" si="137"/>
        <v/>
      </c>
      <c r="AV988" s="30" t="str">
        <f t="shared" si="138"/>
        <v/>
      </c>
      <c r="AW988" s="30" t="str">
        <f t="shared" si="139"/>
        <v/>
      </c>
      <c r="AX988" s="29" t="str">
        <f t="shared" si="140"/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 t="shared" si="141"/>
        <v/>
      </c>
      <c r="BB988" s="29" t="str">
        <f t="shared" si="142"/>
        <v/>
      </c>
      <c r="BC988" s="29">
        <f t="shared" si="143"/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 t="shared" si="135"/>
        <v>0</v>
      </c>
      <c r="AT989" s="30" t="str">
        <f t="shared" si="136"/>
        <v/>
      </c>
      <c r="AU989" s="29" t="str">
        <f t="shared" si="137"/>
        <v/>
      </c>
      <c r="AV989" s="30" t="str">
        <f t="shared" si="138"/>
        <v/>
      </c>
      <c r="AW989" s="30" t="str">
        <f t="shared" si="139"/>
        <v/>
      </c>
      <c r="AX989" s="29" t="str">
        <f t="shared" si="140"/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 t="shared" si="141"/>
        <v/>
      </c>
      <c r="BB989" s="29" t="str">
        <f t="shared" si="142"/>
        <v/>
      </c>
      <c r="BC989" s="29">
        <f t="shared" si="143"/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 t="shared" si="135"/>
        <v>0</v>
      </c>
      <c r="AT990" s="30" t="str">
        <f t="shared" si="136"/>
        <v/>
      </c>
      <c r="AU990" s="29" t="str">
        <f t="shared" si="137"/>
        <v/>
      </c>
      <c r="AV990" s="30" t="str">
        <f t="shared" si="138"/>
        <v/>
      </c>
      <c r="AW990" s="30" t="str">
        <f t="shared" si="139"/>
        <v/>
      </c>
      <c r="AX990" s="29" t="str">
        <f t="shared" si="140"/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 t="shared" si="141"/>
        <v/>
      </c>
      <c r="BB990" s="29" t="str">
        <f t="shared" si="142"/>
        <v/>
      </c>
      <c r="BC990" s="29">
        <f t="shared" si="143"/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 t="shared" si="135"/>
        <v>0</v>
      </c>
      <c r="AT991" s="30" t="str">
        <f t="shared" si="136"/>
        <v/>
      </c>
      <c r="AU991" s="29" t="str">
        <f t="shared" si="137"/>
        <v/>
      </c>
      <c r="AV991" s="30" t="str">
        <f t="shared" si="138"/>
        <v/>
      </c>
      <c r="AW991" s="30" t="str">
        <f t="shared" si="139"/>
        <v/>
      </c>
      <c r="AX991" s="29" t="str">
        <f t="shared" si="140"/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 t="shared" si="141"/>
        <v/>
      </c>
      <c r="BB991" s="29" t="str">
        <f t="shared" si="142"/>
        <v/>
      </c>
      <c r="BC991" s="29">
        <f t="shared" si="143"/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 t="shared" si="135"/>
        <v>0</v>
      </c>
      <c r="AT992" s="30" t="str">
        <f t="shared" si="136"/>
        <v/>
      </c>
      <c r="AU992" s="29" t="str">
        <f t="shared" si="137"/>
        <v/>
      </c>
      <c r="AV992" s="30" t="str">
        <f t="shared" si="138"/>
        <v/>
      </c>
      <c r="AW992" s="30" t="str">
        <f t="shared" si="139"/>
        <v/>
      </c>
      <c r="AX992" s="29" t="str">
        <f t="shared" si="140"/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 t="shared" si="141"/>
        <v/>
      </c>
      <c r="BB992" s="29" t="str">
        <f t="shared" si="142"/>
        <v/>
      </c>
      <c r="BC992" s="29">
        <f t="shared" si="143"/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 t="shared" si="135"/>
        <v>0</v>
      </c>
      <c r="AT993" s="30" t="str">
        <f t="shared" si="136"/>
        <v/>
      </c>
      <c r="AU993" s="29" t="str">
        <f t="shared" si="137"/>
        <v/>
      </c>
      <c r="AV993" s="30" t="str">
        <f t="shared" si="138"/>
        <v/>
      </c>
      <c r="AW993" s="30" t="str">
        <f t="shared" si="139"/>
        <v/>
      </c>
      <c r="AX993" s="29" t="str">
        <f t="shared" si="140"/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 t="shared" si="141"/>
        <v/>
      </c>
      <c r="BB993" s="29" t="str">
        <f t="shared" si="142"/>
        <v/>
      </c>
      <c r="BC993" s="29">
        <f t="shared" si="143"/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 t="shared" si="135"/>
        <v>0</v>
      </c>
      <c r="AT994" s="30" t="str">
        <f t="shared" si="136"/>
        <v/>
      </c>
      <c r="AU994" s="29" t="str">
        <f t="shared" si="137"/>
        <v/>
      </c>
      <c r="AV994" s="30" t="str">
        <f t="shared" si="138"/>
        <v/>
      </c>
      <c r="AW994" s="30" t="str">
        <f t="shared" si="139"/>
        <v/>
      </c>
      <c r="AX994" s="29" t="str">
        <f t="shared" si="140"/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 t="shared" si="141"/>
        <v/>
      </c>
      <c r="BB994" s="29" t="str">
        <f t="shared" si="142"/>
        <v/>
      </c>
      <c r="BC994" s="29">
        <f t="shared" si="143"/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 t="shared" si="135"/>
        <v>0</v>
      </c>
      <c r="AT995" s="30" t="str">
        <f t="shared" si="136"/>
        <v/>
      </c>
      <c r="AU995" s="29" t="str">
        <f t="shared" si="137"/>
        <v/>
      </c>
      <c r="AV995" s="30" t="str">
        <f t="shared" si="138"/>
        <v/>
      </c>
      <c r="AW995" s="30" t="str">
        <f t="shared" si="139"/>
        <v/>
      </c>
      <c r="AX995" s="29" t="str">
        <f t="shared" si="140"/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 t="shared" si="141"/>
        <v/>
      </c>
      <c r="BB995" s="29" t="str">
        <f t="shared" si="142"/>
        <v/>
      </c>
      <c r="BC995" s="29">
        <f t="shared" si="143"/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 t="shared" si="135"/>
        <v>0</v>
      </c>
      <c r="AT996" s="30" t="str">
        <f t="shared" si="136"/>
        <v/>
      </c>
      <c r="AU996" s="29" t="str">
        <f t="shared" si="137"/>
        <v/>
      </c>
      <c r="AV996" s="30" t="str">
        <f t="shared" si="138"/>
        <v/>
      </c>
      <c r="AW996" s="30" t="str">
        <f t="shared" si="139"/>
        <v/>
      </c>
      <c r="AX996" s="29" t="str">
        <f t="shared" si="140"/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 t="shared" si="141"/>
        <v/>
      </c>
      <c r="BB996" s="29" t="str">
        <f t="shared" si="142"/>
        <v/>
      </c>
      <c r="BC996" s="29">
        <f t="shared" si="143"/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 t="shared" si="135"/>
        <v>0</v>
      </c>
      <c r="AT997" s="30" t="str">
        <f t="shared" si="136"/>
        <v/>
      </c>
      <c r="AU997" s="29" t="str">
        <f t="shared" si="137"/>
        <v/>
      </c>
      <c r="AV997" s="30" t="str">
        <f t="shared" si="138"/>
        <v/>
      </c>
      <c r="AW997" s="30" t="str">
        <f t="shared" si="139"/>
        <v/>
      </c>
      <c r="AX997" s="29" t="str">
        <f t="shared" si="140"/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 t="shared" si="141"/>
        <v/>
      </c>
      <c r="BB997" s="29" t="str">
        <f t="shared" si="142"/>
        <v/>
      </c>
      <c r="BC997" s="29">
        <f t="shared" si="143"/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 t="shared" si="135"/>
        <v>0</v>
      </c>
      <c r="AT998" s="30" t="str">
        <f t="shared" si="136"/>
        <v/>
      </c>
      <c r="AU998" s="29" t="str">
        <f t="shared" si="137"/>
        <v/>
      </c>
      <c r="AV998" s="30" t="str">
        <f t="shared" si="138"/>
        <v/>
      </c>
      <c r="AW998" s="30" t="str">
        <f t="shared" si="139"/>
        <v/>
      </c>
      <c r="AX998" s="29" t="str">
        <f t="shared" si="140"/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 t="shared" si="141"/>
        <v/>
      </c>
      <c r="BB998" s="29" t="str">
        <f t="shared" si="142"/>
        <v/>
      </c>
      <c r="BC998" s="29">
        <f t="shared" si="143"/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 t="shared" si="135"/>
        <v>0</v>
      </c>
      <c r="AT999" s="30" t="str">
        <f t="shared" si="136"/>
        <v/>
      </c>
      <c r="AU999" s="29" t="str">
        <f t="shared" si="137"/>
        <v/>
      </c>
      <c r="AV999" s="30" t="str">
        <f t="shared" si="138"/>
        <v/>
      </c>
      <c r="AW999" s="30" t="str">
        <f t="shared" si="139"/>
        <v/>
      </c>
      <c r="AX999" s="29" t="str">
        <f t="shared" si="140"/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 t="shared" si="141"/>
        <v/>
      </c>
      <c r="BB999" s="29" t="str">
        <f t="shared" si="142"/>
        <v/>
      </c>
      <c r="BC999" s="29">
        <f t="shared" si="143"/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 t="shared" si="135"/>
        <v>0</v>
      </c>
      <c r="AT1000" s="30" t="str">
        <f t="shared" si="136"/>
        <v/>
      </c>
      <c r="AU1000" s="29" t="str">
        <f t="shared" si="137"/>
        <v/>
      </c>
      <c r="AV1000" s="30" t="str">
        <f t="shared" si="138"/>
        <v/>
      </c>
      <c r="AW1000" s="30" t="str">
        <f t="shared" si="139"/>
        <v/>
      </c>
      <c r="AX1000" s="29" t="str">
        <f t="shared" si="140"/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 t="shared" si="141"/>
        <v/>
      </c>
      <c r="BB1000" s="29" t="str">
        <f t="shared" si="142"/>
        <v/>
      </c>
      <c r="BC1000" s="29">
        <f t="shared" si="143"/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 t="shared" si="135"/>
        <v>0</v>
      </c>
      <c r="AT1001" s="30" t="str">
        <f t="shared" si="136"/>
        <v/>
      </c>
      <c r="AU1001" s="29" t="str">
        <f t="shared" si="137"/>
        <v/>
      </c>
      <c r="AV1001" s="30" t="str">
        <f t="shared" si="138"/>
        <v/>
      </c>
      <c r="AW1001" s="30" t="str">
        <f t="shared" si="139"/>
        <v/>
      </c>
      <c r="AX1001" s="29" t="str">
        <f t="shared" si="140"/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 t="shared" si="141"/>
        <v/>
      </c>
      <c r="BB1001" s="29" t="str">
        <f t="shared" si="142"/>
        <v/>
      </c>
      <c r="BC1001" s="29">
        <f t="shared" si="143"/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 t="shared" si="135"/>
        <v>0</v>
      </c>
      <c r="AT1002" s="30" t="str">
        <f t="shared" si="136"/>
        <v/>
      </c>
      <c r="AU1002" s="29" t="str">
        <f t="shared" si="137"/>
        <v/>
      </c>
      <c r="AV1002" s="30" t="str">
        <f t="shared" si="138"/>
        <v/>
      </c>
      <c r="AW1002" s="30" t="str">
        <f t="shared" si="139"/>
        <v/>
      </c>
      <c r="AX1002" s="29" t="str">
        <f t="shared" si="140"/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 t="shared" si="141"/>
        <v/>
      </c>
      <c r="BB1002" s="29" t="str">
        <f t="shared" si="142"/>
        <v/>
      </c>
      <c r="BC1002" s="29">
        <f t="shared" si="143"/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 t="shared" si="135"/>
        <v>0</v>
      </c>
      <c r="AT1003" s="30" t="str">
        <f t="shared" si="136"/>
        <v/>
      </c>
      <c r="AU1003" s="29" t="str">
        <f t="shared" si="137"/>
        <v/>
      </c>
      <c r="AV1003" s="30" t="str">
        <f t="shared" si="138"/>
        <v/>
      </c>
      <c r="AW1003" s="30" t="str">
        <f t="shared" si="139"/>
        <v/>
      </c>
      <c r="AX1003" s="29" t="str">
        <f t="shared" si="140"/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 t="shared" si="141"/>
        <v/>
      </c>
      <c r="BB1003" s="29" t="str">
        <f t="shared" si="142"/>
        <v/>
      </c>
      <c r="BC1003" s="29">
        <f t="shared" si="143"/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 t="shared" si="135"/>
        <v>0</v>
      </c>
      <c r="AT1004" s="30" t="str">
        <f t="shared" si="136"/>
        <v/>
      </c>
      <c r="AU1004" s="29" t="str">
        <f t="shared" si="137"/>
        <v/>
      </c>
      <c r="AV1004" s="30" t="str">
        <f t="shared" si="138"/>
        <v/>
      </c>
      <c r="AW1004" s="30" t="str">
        <f t="shared" si="139"/>
        <v/>
      </c>
      <c r="AX1004" s="29" t="str">
        <f t="shared" si="140"/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 t="shared" si="141"/>
        <v/>
      </c>
      <c r="BB1004" s="29" t="str">
        <f t="shared" si="142"/>
        <v/>
      </c>
      <c r="BC1004" s="29">
        <f t="shared" si="143"/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 t="shared" si="135"/>
        <v>0</v>
      </c>
      <c r="AT1005" s="30" t="str">
        <f t="shared" si="136"/>
        <v/>
      </c>
      <c r="AU1005" s="29" t="str">
        <f t="shared" si="137"/>
        <v/>
      </c>
      <c r="AV1005" s="30" t="str">
        <f t="shared" si="138"/>
        <v/>
      </c>
      <c r="AW1005" s="30" t="str">
        <f t="shared" si="139"/>
        <v/>
      </c>
      <c r="AX1005" s="29" t="str">
        <f t="shared" si="140"/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 t="shared" si="141"/>
        <v/>
      </c>
      <c r="BB1005" s="29" t="str">
        <f t="shared" si="142"/>
        <v/>
      </c>
      <c r="BC1005" s="29">
        <f t="shared" si="143"/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 t="shared" si="135"/>
        <v>0</v>
      </c>
      <c r="AT1006" s="30" t="str">
        <f t="shared" si="136"/>
        <v/>
      </c>
      <c r="AU1006" s="29" t="str">
        <f t="shared" si="137"/>
        <v/>
      </c>
      <c r="AV1006" s="30" t="str">
        <f t="shared" si="138"/>
        <v/>
      </c>
      <c r="AW1006" s="30" t="str">
        <f t="shared" si="139"/>
        <v/>
      </c>
      <c r="AX1006" s="29" t="str">
        <f t="shared" si="140"/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 t="shared" si="141"/>
        <v/>
      </c>
      <c r="BB1006" s="29" t="str">
        <f t="shared" si="142"/>
        <v/>
      </c>
      <c r="BC1006" s="29">
        <f t="shared" si="143"/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 t="shared" si="135"/>
        <v>0</v>
      </c>
      <c r="AT1007" s="30" t="str">
        <f t="shared" si="136"/>
        <v/>
      </c>
      <c r="AU1007" s="29" t="str">
        <f t="shared" si="137"/>
        <v/>
      </c>
      <c r="AV1007" s="30" t="str">
        <f t="shared" si="138"/>
        <v/>
      </c>
      <c r="AW1007" s="30" t="str">
        <f t="shared" si="139"/>
        <v/>
      </c>
      <c r="AX1007" s="29" t="str">
        <f t="shared" si="140"/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 t="shared" si="141"/>
        <v/>
      </c>
      <c r="BB1007" s="29" t="str">
        <f t="shared" si="142"/>
        <v/>
      </c>
      <c r="BC1007" s="29">
        <f t="shared" si="143"/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 t="shared" si="135"/>
        <v>0</v>
      </c>
      <c r="AT1008" s="30" t="str">
        <f t="shared" si="136"/>
        <v/>
      </c>
      <c r="AU1008" s="29" t="str">
        <f t="shared" si="137"/>
        <v/>
      </c>
      <c r="AV1008" s="30" t="str">
        <f t="shared" si="138"/>
        <v/>
      </c>
      <c r="AW1008" s="30" t="str">
        <f t="shared" si="139"/>
        <v/>
      </c>
      <c r="AX1008" s="29" t="str">
        <f t="shared" si="140"/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 t="shared" si="141"/>
        <v/>
      </c>
      <c r="BB1008" s="29" t="str">
        <f t="shared" si="142"/>
        <v/>
      </c>
      <c r="BC1008" s="29">
        <f t="shared" si="143"/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 t="shared" si="135"/>
        <v>0</v>
      </c>
      <c r="AT1009" s="30" t="str">
        <f t="shared" si="136"/>
        <v/>
      </c>
      <c r="AU1009" s="29" t="str">
        <f t="shared" si="137"/>
        <v/>
      </c>
      <c r="AV1009" s="30" t="str">
        <f t="shared" si="138"/>
        <v/>
      </c>
      <c r="AW1009" s="30" t="str">
        <f t="shared" si="139"/>
        <v/>
      </c>
      <c r="AX1009" s="29" t="str">
        <f t="shared" si="140"/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 t="shared" si="141"/>
        <v/>
      </c>
      <c r="BB1009" s="29" t="str">
        <f t="shared" si="142"/>
        <v/>
      </c>
      <c r="BC1009" s="29">
        <f t="shared" si="143"/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 t="shared" si="135"/>
        <v>0</v>
      </c>
      <c r="AT1010" s="30" t="str">
        <f t="shared" si="136"/>
        <v/>
      </c>
      <c r="AU1010" s="29" t="str">
        <f t="shared" si="137"/>
        <v/>
      </c>
      <c r="AV1010" s="30" t="str">
        <f t="shared" si="138"/>
        <v/>
      </c>
      <c r="AW1010" s="30" t="str">
        <f t="shared" si="139"/>
        <v/>
      </c>
      <c r="AX1010" s="29" t="str">
        <f t="shared" si="140"/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 t="shared" si="141"/>
        <v/>
      </c>
      <c r="BB1010" s="29" t="str">
        <f t="shared" si="142"/>
        <v/>
      </c>
      <c r="BC1010" s="29">
        <f t="shared" si="143"/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 t="shared" si="135"/>
        <v>0</v>
      </c>
      <c r="AT1011" s="30" t="str">
        <f t="shared" si="136"/>
        <v/>
      </c>
      <c r="AU1011" s="29" t="str">
        <f t="shared" si="137"/>
        <v/>
      </c>
      <c r="AV1011" s="30" t="str">
        <f t="shared" si="138"/>
        <v/>
      </c>
      <c r="AW1011" s="30" t="str">
        <f t="shared" si="139"/>
        <v/>
      </c>
      <c r="AX1011" s="29" t="str">
        <f t="shared" si="140"/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 t="shared" si="141"/>
        <v/>
      </c>
      <c r="BB1011" s="29" t="str">
        <f t="shared" si="142"/>
        <v/>
      </c>
      <c r="BC1011" s="29">
        <f t="shared" si="143"/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 t="shared" si="135"/>
        <v>0</v>
      </c>
      <c r="AT1012" s="30" t="str">
        <f t="shared" si="136"/>
        <v/>
      </c>
      <c r="AU1012" s="29" t="str">
        <f t="shared" si="137"/>
        <v/>
      </c>
      <c r="AV1012" s="30" t="str">
        <f t="shared" si="138"/>
        <v/>
      </c>
      <c r="AW1012" s="30" t="str">
        <f t="shared" si="139"/>
        <v/>
      </c>
      <c r="AX1012" s="29" t="str">
        <f t="shared" si="140"/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 t="shared" si="141"/>
        <v/>
      </c>
      <c r="BB1012" s="29" t="str">
        <f t="shared" si="142"/>
        <v/>
      </c>
      <c r="BC1012" s="29">
        <f t="shared" si="143"/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 t="shared" si="135"/>
        <v>0</v>
      </c>
      <c r="AT1013" s="30" t="str">
        <f t="shared" si="136"/>
        <v/>
      </c>
      <c r="AU1013" s="29" t="str">
        <f t="shared" si="137"/>
        <v/>
      </c>
      <c r="AV1013" s="30" t="str">
        <f t="shared" si="138"/>
        <v/>
      </c>
      <c r="AW1013" s="30" t="str">
        <f t="shared" si="139"/>
        <v/>
      </c>
      <c r="AX1013" s="29" t="str">
        <f t="shared" si="140"/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 t="shared" si="141"/>
        <v/>
      </c>
      <c r="BB1013" s="29" t="str">
        <f t="shared" si="142"/>
        <v/>
      </c>
      <c r="BC1013" s="29">
        <f t="shared" si="143"/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 t="shared" si="135"/>
        <v>0</v>
      </c>
      <c r="AT1014" s="30" t="str">
        <f t="shared" si="136"/>
        <v/>
      </c>
      <c r="AU1014" s="29" t="str">
        <f t="shared" si="137"/>
        <v/>
      </c>
      <c r="AV1014" s="30" t="str">
        <f t="shared" si="138"/>
        <v/>
      </c>
      <c r="AW1014" s="30" t="str">
        <f t="shared" si="139"/>
        <v/>
      </c>
      <c r="AX1014" s="29" t="str">
        <f t="shared" si="140"/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 t="shared" si="141"/>
        <v/>
      </c>
      <c r="BB1014" s="29" t="str">
        <f t="shared" si="142"/>
        <v/>
      </c>
      <c r="BC1014" s="29">
        <f t="shared" si="143"/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 t="shared" si="135"/>
        <v>0</v>
      </c>
      <c r="AT1015" s="30" t="str">
        <f t="shared" si="136"/>
        <v/>
      </c>
      <c r="AU1015" s="29" t="str">
        <f t="shared" si="137"/>
        <v/>
      </c>
      <c r="AV1015" s="30" t="str">
        <f t="shared" si="138"/>
        <v/>
      </c>
      <c r="AW1015" s="30" t="str">
        <f t="shared" si="139"/>
        <v/>
      </c>
      <c r="AX1015" s="29" t="str">
        <f t="shared" si="140"/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 t="shared" si="141"/>
        <v/>
      </c>
      <c r="BB1015" s="29" t="str">
        <f t="shared" si="142"/>
        <v/>
      </c>
      <c r="BC1015" s="29">
        <f t="shared" si="143"/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 t="shared" si="135"/>
        <v>0</v>
      </c>
      <c r="AT1016" s="30" t="str">
        <f t="shared" si="136"/>
        <v/>
      </c>
      <c r="AU1016" s="29" t="str">
        <f t="shared" si="137"/>
        <v/>
      </c>
      <c r="AV1016" s="30" t="str">
        <f t="shared" si="138"/>
        <v/>
      </c>
      <c r="AW1016" s="30" t="str">
        <f t="shared" si="139"/>
        <v/>
      </c>
      <c r="AX1016" s="29" t="str">
        <f t="shared" si="140"/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 t="shared" si="141"/>
        <v/>
      </c>
      <c r="BB1016" s="29" t="str">
        <f t="shared" si="142"/>
        <v/>
      </c>
      <c r="BC1016" s="29">
        <f t="shared" si="143"/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 t="shared" si="135"/>
        <v>0</v>
      </c>
      <c r="AT1017" s="30" t="str">
        <f t="shared" si="136"/>
        <v/>
      </c>
      <c r="AU1017" s="29" t="str">
        <f t="shared" si="137"/>
        <v/>
      </c>
      <c r="AV1017" s="30" t="str">
        <f t="shared" si="138"/>
        <v/>
      </c>
      <c r="AW1017" s="30" t="str">
        <f t="shared" si="139"/>
        <v/>
      </c>
      <c r="AX1017" s="29" t="str">
        <f t="shared" si="140"/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 t="shared" si="141"/>
        <v/>
      </c>
      <c r="BB1017" s="29" t="str">
        <f t="shared" si="142"/>
        <v/>
      </c>
      <c r="BC1017" s="29">
        <f t="shared" si="143"/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 t="shared" si="135"/>
        <v>0</v>
      </c>
      <c r="AT1018" s="30" t="str">
        <f t="shared" si="136"/>
        <v/>
      </c>
      <c r="AU1018" s="29" t="str">
        <f t="shared" si="137"/>
        <v/>
      </c>
      <c r="AV1018" s="30" t="str">
        <f t="shared" si="138"/>
        <v/>
      </c>
      <c r="AW1018" s="30" t="str">
        <f t="shared" si="139"/>
        <v/>
      </c>
      <c r="AX1018" s="29" t="str">
        <f t="shared" si="140"/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 t="shared" si="141"/>
        <v/>
      </c>
      <c r="BB1018" s="29" t="str">
        <f t="shared" si="142"/>
        <v/>
      </c>
      <c r="BC1018" s="29">
        <f t="shared" si="143"/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 t="shared" si="135"/>
        <v>0</v>
      </c>
      <c r="AT1019" s="30" t="str">
        <f t="shared" si="136"/>
        <v/>
      </c>
      <c r="AU1019" s="29" t="str">
        <f t="shared" si="137"/>
        <v/>
      </c>
      <c r="AV1019" s="30" t="str">
        <f t="shared" si="138"/>
        <v/>
      </c>
      <c r="AW1019" s="30" t="str">
        <f t="shared" si="139"/>
        <v/>
      </c>
      <c r="AX1019" s="29" t="str">
        <f t="shared" si="140"/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 t="shared" si="141"/>
        <v/>
      </c>
      <c r="BB1019" s="29" t="str">
        <f t="shared" si="142"/>
        <v/>
      </c>
      <c r="BC1019" s="29">
        <f t="shared" si="143"/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 t="shared" si="135"/>
        <v>0</v>
      </c>
      <c r="AT1020" s="30" t="str">
        <f t="shared" si="136"/>
        <v/>
      </c>
      <c r="AU1020" s="29" t="str">
        <f t="shared" si="137"/>
        <v/>
      </c>
      <c r="AV1020" s="30" t="str">
        <f t="shared" si="138"/>
        <v/>
      </c>
      <c r="AW1020" s="30" t="str">
        <f t="shared" si="139"/>
        <v/>
      </c>
      <c r="AX1020" s="29" t="str">
        <f t="shared" si="140"/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 t="shared" si="141"/>
        <v/>
      </c>
      <c r="BB1020" s="29" t="str">
        <f t="shared" si="142"/>
        <v/>
      </c>
      <c r="BC1020" s="29">
        <f t="shared" si="143"/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 t="shared" si="135"/>
        <v>0</v>
      </c>
      <c r="AT1021" s="30" t="str">
        <f t="shared" si="136"/>
        <v/>
      </c>
      <c r="AU1021" s="29" t="str">
        <f t="shared" si="137"/>
        <v/>
      </c>
      <c r="AV1021" s="30" t="str">
        <f t="shared" si="138"/>
        <v/>
      </c>
      <c r="AW1021" s="30" t="str">
        <f t="shared" si="139"/>
        <v/>
      </c>
      <c r="AX1021" s="29" t="str">
        <f t="shared" si="140"/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 t="shared" si="141"/>
        <v/>
      </c>
      <c r="BB1021" s="29" t="str">
        <f t="shared" si="142"/>
        <v/>
      </c>
      <c r="BC1021" s="29">
        <f t="shared" si="143"/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 t="shared" si="135"/>
        <v>0</v>
      </c>
      <c r="AT1022" s="30" t="str">
        <f t="shared" si="136"/>
        <v/>
      </c>
      <c r="AU1022" s="29" t="str">
        <f t="shared" si="137"/>
        <v/>
      </c>
      <c r="AV1022" s="30" t="str">
        <f t="shared" si="138"/>
        <v/>
      </c>
      <c r="AW1022" s="30" t="str">
        <f t="shared" si="139"/>
        <v/>
      </c>
      <c r="AX1022" s="29" t="str">
        <f t="shared" si="140"/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 t="shared" si="141"/>
        <v/>
      </c>
      <c r="BB1022" s="29" t="str">
        <f t="shared" si="142"/>
        <v/>
      </c>
      <c r="BC1022" s="29">
        <f t="shared" si="143"/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 t="shared" si="135"/>
        <v>0</v>
      </c>
      <c r="AT1023" s="30" t="str">
        <f t="shared" si="136"/>
        <v/>
      </c>
      <c r="AU1023" s="29" t="str">
        <f t="shared" si="137"/>
        <v/>
      </c>
      <c r="AV1023" s="30" t="str">
        <f t="shared" si="138"/>
        <v/>
      </c>
      <c r="AW1023" s="30" t="str">
        <f t="shared" si="139"/>
        <v/>
      </c>
      <c r="AX1023" s="29" t="str">
        <f t="shared" si="140"/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 t="shared" si="141"/>
        <v/>
      </c>
      <c r="BB1023" s="29" t="str">
        <f t="shared" si="142"/>
        <v/>
      </c>
      <c r="BC1023" s="29">
        <f t="shared" si="143"/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 t="shared" si="135"/>
        <v>0</v>
      </c>
      <c r="AT1024" s="30" t="str">
        <f t="shared" si="136"/>
        <v/>
      </c>
      <c r="AU1024" s="29" t="str">
        <f t="shared" si="137"/>
        <v/>
      </c>
      <c r="AV1024" s="30" t="str">
        <f t="shared" si="138"/>
        <v/>
      </c>
      <c r="AW1024" s="30" t="str">
        <f t="shared" si="139"/>
        <v/>
      </c>
      <c r="AX1024" s="29" t="str">
        <f t="shared" si="140"/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 t="shared" si="141"/>
        <v/>
      </c>
      <c r="BB1024" s="29" t="str">
        <f t="shared" si="142"/>
        <v/>
      </c>
      <c r="BC1024" s="29">
        <f t="shared" si="143"/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 t="shared" si="135"/>
        <v>0</v>
      </c>
      <c r="AT1025" s="30" t="str">
        <f t="shared" si="136"/>
        <v/>
      </c>
      <c r="AU1025" s="29" t="str">
        <f t="shared" si="137"/>
        <v/>
      </c>
      <c r="AV1025" s="30" t="str">
        <f t="shared" si="138"/>
        <v/>
      </c>
      <c r="AW1025" s="30" t="str">
        <f t="shared" si="139"/>
        <v/>
      </c>
      <c r="AX1025" s="29" t="str">
        <f t="shared" si="140"/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 t="shared" si="141"/>
        <v/>
      </c>
      <c r="BB1025" s="29" t="str">
        <f t="shared" si="142"/>
        <v/>
      </c>
      <c r="BC1025" s="29">
        <f t="shared" si="143"/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 t="shared" si="135"/>
        <v>0</v>
      </c>
      <c r="AT1026" s="30" t="str">
        <f t="shared" si="136"/>
        <v/>
      </c>
      <c r="AU1026" s="29" t="str">
        <f t="shared" si="137"/>
        <v/>
      </c>
      <c r="AV1026" s="30" t="str">
        <f t="shared" si="138"/>
        <v/>
      </c>
      <c r="AW1026" s="30" t="str">
        <f t="shared" si="139"/>
        <v/>
      </c>
      <c r="AX1026" s="29" t="str">
        <f t="shared" si="140"/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 t="shared" si="141"/>
        <v/>
      </c>
      <c r="BB1026" s="29" t="str">
        <f t="shared" si="142"/>
        <v/>
      </c>
      <c r="BC1026" s="29">
        <f t="shared" si="143"/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 t="shared" si="135"/>
        <v>0</v>
      </c>
      <c r="AT1027" s="30" t="str">
        <f t="shared" si="136"/>
        <v/>
      </c>
      <c r="AU1027" s="29" t="str">
        <f t="shared" si="137"/>
        <v/>
      </c>
      <c r="AV1027" s="30" t="str">
        <f t="shared" si="138"/>
        <v/>
      </c>
      <c r="AW1027" s="30" t="str">
        <f t="shared" si="139"/>
        <v/>
      </c>
      <c r="AX1027" s="29" t="str">
        <f t="shared" si="140"/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 t="shared" si="141"/>
        <v/>
      </c>
      <c r="BB1027" s="29" t="str">
        <f t="shared" si="142"/>
        <v/>
      </c>
      <c r="BC1027" s="29">
        <f t="shared" si="143"/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 t="shared" si="135"/>
        <v>0</v>
      </c>
      <c r="AT1028" s="30" t="str">
        <f t="shared" si="136"/>
        <v/>
      </c>
      <c r="AU1028" s="29" t="str">
        <f t="shared" si="137"/>
        <v/>
      </c>
      <c r="AV1028" s="30" t="str">
        <f t="shared" si="138"/>
        <v/>
      </c>
      <c r="AW1028" s="30" t="str">
        <f t="shared" si="139"/>
        <v/>
      </c>
      <c r="AX1028" s="29" t="str">
        <f t="shared" si="140"/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 t="shared" si="141"/>
        <v/>
      </c>
      <c r="BB1028" s="29" t="str">
        <f t="shared" si="142"/>
        <v/>
      </c>
      <c r="BC1028" s="29">
        <f t="shared" si="143"/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 t="shared" ref="AS1029:AS1069" si="144">SUM(H1029,J1029,L1029,N1029,P1029,R1029,T1029,V1029,X1029,Z1029,AB1029,AD1029,AF1029,AH1029,AJ1029,AL1029,AN1029)</f>
        <v>0</v>
      </c>
      <c r="AT1029" s="30" t="str">
        <f t="shared" ref="AT1029:AT1069" si="145">IF(C1029="","",DATE(YEAR(C1029),MONTH(C1029),1))</f>
        <v/>
      </c>
      <c r="AU1029" s="29" t="str">
        <f t="shared" ref="AU1029:AU1069" si="146">IF(AT1029="","",TEXT(AT1029,"mmmm yyyy"))</f>
        <v/>
      </c>
      <c r="AV1029" s="30" t="str">
        <f t="shared" ref="AV1029:AV1069" si="147">IF(C1029="","",C1029-WEEKDAY(C1029,2)+1)</f>
        <v/>
      </c>
      <c r="AW1029" s="30" t="str">
        <f t="shared" ref="AW1029:AW1069" si="148">IF(AV1029="","",AV1029+6)</f>
        <v/>
      </c>
      <c r="AX1029" s="29" t="str">
        <f t="shared" ref="AX1029:AX1069" si="149"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 t="shared" ref="BA1029:BA1069" si="150">IF(B1029="","",TEXT(AY1029,"00")&amp;"|"&amp;B1029&amp;"|"&amp;TEXT(AT1029,"yyyymmdd"))</f>
        <v/>
      </c>
      <c r="BB1029" s="29" t="str">
        <f t="shared" ref="BB1029:BB1069" si="151">IF(B1029="","",TEXT(AZ1029,"00")&amp;"|"&amp;B1029&amp;"|"&amp;TEXT(AV1029,"yyyymmdd"))</f>
        <v/>
      </c>
      <c r="BC1029" s="29">
        <f t="shared" ref="BC1029:BC1069" si="152"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 t="shared" si="144"/>
        <v>0</v>
      </c>
      <c r="AT1030" s="30" t="str">
        <f t="shared" si="145"/>
        <v/>
      </c>
      <c r="AU1030" s="29" t="str">
        <f t="shared" si="146"/>
        <v/>
      </c>
      <c r="AV1030" s="30" t="str">
        <f t="shared" si="147"/>
        <v/>
      </c>
      <c r="AW1030" s="30" t="str">
        <f t="shared" si="148"/>
        <v/>
      </c>
      <c r="AX1030" s="29" t="str">
        <f t="shared" si="149"/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 t="shared" si="150"/>
        <v/>
      </c>
      <c r="BB1030" s="29" t="str">
        <f t="shared" si="151"/>
        <v/>
      </c>
      <c r="BC1030" s="29">
        <f t="shared" si="152"/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 t="shared" si="144"/>
        <v>0</v>
      </c>
      <c r="AT1031" s="30" t="str">
        <f t="shared" si="145"/>
        <v/>
      </c>
      <c r="AU1031" s="29" t="str">
        <f t="shared" si="146"/>
        <v/>
      </c>
      <c r="AV1031" s="30" t="str">
        <f t="shared" si="147"/>
        <v/>
      </c>
      <c r="AW1031" s="30" t="str">
        <f t="shared" si="148"/>
        <v/>
      </c>
      <c r="AX1031" s="29" t="str">
        <f t="shared" si="149"/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 t="shared" si="150"/>
        <v/>
      </c>
      <c r="BB1031" s="29" t="str">
        <f t="shared" si="151"/>
        <v/>
      </c>
      <c r="BC1031" s="29">
        <f t="shared" si="152"/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 t="shared" si="144"/>
        <v>0</v>
      </c>
      <c r="AT1032" s="30" t="str">
        <f t="shared" si="145"/>
        <v/>
      </c>
      <c r="AU1032" s="29" t="str">
        <f t="shared" si="146"/>
        <v/>
      </c>
      <c r="AV1032" s="30" t="str">
        <f t="shared" si="147"/>
        <v/>
      </c>
      <c r="AW1032" s="30" t="str">
        <f t="shared" si="148"/>
        <v/>
      </c>
      <c r="AX1032" s="29" t="str">
        <f t="shared" si="149"/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 t="shared" si="150"/>
        <v/>
      </c>
      <c r="BB1032" s="29" t="str">
        <f t="shared" si="151"/>
        <v/>
      </c>
      <c r="BC1032" s="29">
        <f t="shared" si="152"/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 t="shared" si="144"/>
        <v>0</v>
      </c>
      <c r="AT1033" s="30" t="str">
        <f t="shared" si="145"/>
        <v/>
      </c>
      <c r="AU1033" s="29" t="str">
        <f t="shared" si="146"/>
        <v/>
      </c>
      <c r="AV1033" s="30" t="str">
        <f t="shared" si="147"/>
        <v/>
      </c>
      <c r="AW1033" s="30" t="str">
        <f t="shared" si="148"/>
        <v/>
      </c>
      <c r="AX1033" s="29" t="str">
        <f t="shared" si="149"/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 t="shared" si="150"/>
        <v/>
      </c>
      <c r="BB1033" s="29" t="str">
        <f t="shared" si="151"/>
        <v/>
      </c>
      <c r="BC1033" s="29">
        <f t="shared" si="152"/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 t="shared" si="144"/>
        <v>0</v>
      </c>
      <c r="AT1034" s="30" t="str">
        <f t="shared" si="145"/>
        <v/>
      </c>
      <c r="AU1034" s="29" t="str">
        <f t="shared" si="146"/>
        <v/>
      </c>
      <c r="AV1034" s="30" t="str">
        <f t="shared" si="147"/>
        <v/>
      </c>
      <c r="AW1034" s="30" t="str">
        <f t="shared" si="148"/>
        <v/>
      </c>
      <c r="AX1034" s="29" t="str">
        <f t="shared" si="149"/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 t="shared" si="150"/>
        <v/>
      </c>
      <c r="BB1034" s="29" t="str">
        <f t="shared" si="151"/>
        <v/>
      </c>
      <c r="BC1034" s="29">
        <f t="shared" si="152"/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 t="shared" si="144"/>
        <v>0</v>
      </c>
      <c r="AT1035" s="30" t="str">
        <f t="shared" si="145"/>
        <v/>
      </c>
      <c r="AU1035" s="29" t="str">
        <f t="shared" si="146"/>
        <v/>
      </c>
      <c r="AV1035" s="30" t="str">
        <f t="shared" si="147"/>
        <v/>
      </c>
      <c r="AW1035" s="30" t="str">
        <f t="shared" si="148"/>
        <v/>
      </c>
      <c r="AX1035" s="29" t="str">
        <f t="shared" si="149"/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 t="shared" si="150"/>
        <v/>
      </c>
      <c r="BB1035" s="29" t="str">
        <f t="shared" si="151"/>
        <v/>
      </c>
      <c r="BC1035" s="29">
        <f t="shared" si="152"/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 t="shared" si="144"/>
        <v>0</v>
      </c>
      <c r="AT1036" s="30" t="str">
        <f t="shared" si="145"/>
        <v/>
      </c>
      <c r="AU1036" s="29" t="str">
        <f t="shared" si="146"/>
        <v/>
      </c>
      <c r="AV1036" s="30" t="str">
        <f t="shared" si="147"/>
        <v/>
      </c>
      <c r="AW1036" s="30" t="str">
        <f t="shared" si="148"/>
        <v/>
      </c>
      <c r="AX1036" s="29" t="str">
        <f t="shared" si="149"/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 t="shared" si="150"/>
        <v/>
      </c>
      <c r="BB1036" s="29" t="str">
        <f t="shared" si="151"/>
        <v/>
      </c>
      <c r="BC1036" s="29">
        <f t="shared" si="152"/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 t="shared" si="144"/>
        <v>0</v>
      </c>
      <c r="AT1037" s="30" t="str">
        <f t="shared" si="145"/>
        <v/>
      </c>
      <c r="AU1037" s="29" t="str">
        <f t="shared" si="146"/>
        <v/>
      </c>
      <c r="AV1037" s="30" t="str">
        <f t="shared" si="147"/>
        <v/>
      </c>
      <c r="AW1037" s="30" t="str">
        <f t="shared" si="148"/>
        <v/>
      </c>
      <c r="AX1037" s="29" t="str">
        <f t="shared" si="149"/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 t="shared" si="150"/>
        <v/>
      </c>
      <c r="BB1037" s="29" t="str">
        <f t="shared" si="151"/>
        <v/>
      </c>
      <c r="BC1037" s="29">
        <f t="shared" si="152"/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 t="shared" si="144"/>
        <v>0</v>
      </c>
      <c r="AT1038" s="30" t="str">
        <f t="shared" si="145"/>
        <v/>
      </c>
      <c r="AU1038" s="29" t="str">
        <f t="shared" si="146"/>
        <v/>
      </c>
      <c r="AV1038" s="30" t="str">
        <f t="shared" si="147"/>
        <v/>
      </c>
      <c r="AW1038" s="30" t="str">
        <f t="shared" si="148"/>
        <v/>
      </c>
      <c r="AX1038" s="29" t="str">
        <f t="shared" si="149"/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 t="shared" si="150"/>
        <v/>
      </c>
      <c r="BB1038" s="29" t="str">
        <f t="shared" si="151"/>
        <v/>
      </c>
      <c r="BC1038" s="29">
        <f t="shared" si="152"/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 t="shared" si="144"/>
        <v>0</v>
      </c>
      <c r="AT1039" s="30" t="str">
        <f t="shared" si="145"/>
        <v/>
      </c>
      <c r="AU1039" s="29" t="str">
        <f t="shared" si="146"/>
        <v/>
      </c>
      <c r="AV1039" s="30" t="str">
        <f t="shared" si="147"/>
        <v/>
      </c>
      <c r="AW1039" s="30" t="str">
        <f t="shared" si="148"/>
        <v/>
      </c>
      <c r="AX1039" s="29" t="str">
        <f t="shared" si="149"/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 t="shared" si="150"/>
        <v/>
      </c>
      <c r="BB1039" s="29" t="str">
        <f t="shared" si="151"/>
        <v/>
      </c>
      <c r="BC1039" s="29">
        <f t="shared" si="152"/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 t="shared" si="144"/>
        <v>0</v>
      </c>
      <c r="AT1040" s="30" t="str">
        <f t="shared" si="145"/>
        <v/>
      </c>
      <c r="AU1040" s="29" t="str">
        <f t="shared" si="146"/>
        <v/>
      </c>
      <c r="AV1040" s="30" t="str">
        <f t="shared" si="147"/>
        <v/>
      </c>
      <c r="AW1040" s="30" t="str">
        <f t="shared" si="148"/>
        <v/>
      </c>
      <c r="AX1040" s="29" t="str">
        <f t="shared" si="149"/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 t="shared" si="150"/>
        <v/>
      </c>
      <c r="BB1040" s="29" t="str">
        <f t="shared" si="151"/>
        <v/>
      </c>
      <c r="BC1040" s="29">
        <f t="shared" si="152"/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 t="shared" si="144"/>
        <v>0</v>
      </c>
      <c r="AT1041" s="30" t="str">
        <f t="shared" si="145"/>
        <v/>
      </c>
      <c r="AU1041" s="29" t="str">
        <f t="shared" si="146"/>
        <v/>
      </c>
      <c r="AV1041" s="30" t="str">
        <f t="shared" si="147"/>
        <v/>
      </c>
      <c r="AW1041" s="30" t="str">
        <f t="shared" si="148"/>
        <v/>
      </c>
      <c r="AX1041" s="29" t="str">
        <f t="shared" si="149"/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 t="shared" si="150"/>
        <v/>
      </c>
      <c r="BB1041" s="29" t="str">
        <f t="shared" si="151"/>
        <v/>
      </c>
      <c r="BC1041" s="29">
        <f t="shared" si="152"/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 t="shared" si="144"/>
        <v>0</v>
      </c>
      <c r="AT1042" s="30" t="str">
        <f t="shared" si="145"/>
        <v/>
      </c>
      <c r="AU1042" s="29" t="str">
        <f t="shared" si="146"/>
        <v/>
      </c>
      <c r="AV1042" s="30" t="str">
        <f t="shared" si="147"/>
        <v/>
      </c>
      <c r="AW1042" s="30" t="str">
        <f t="shared" si="148"/>
        <v/>
      </c>
      <c r="AX1042" s="29" t="str">
        <f t="shared" si="149"/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 t="shared" si="150"/>
        <v/>
      </c>
      <c r="BB1042" s="29" t="str">
        <f t="shared" si="151"/>
        <v/>
      </c>
      <c r="BC1042" s="29">
        <f t="shared" si="152"/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 t="shared" si="144"/>
        <v>0</v>
      </c>
      <c r="AT1043" s="30" t="str">
        <f t="shared" si="145"/>
        <v/>
      </c>
      <c r="AU1043" s="29" t="str">
        <f t="shared" si="146"/>
        <v/>
      </c>
      <c r="AV1043" s="30" t="str">
        <f t="shared" si="147"/>
        <v/>
      </c>
      <c r="AW1043" s="30" t="str">
        <f t="shared" si="148"/>
        <v/>
      </c>
      <c r="AX1043" s="29" t="str">
        <f t="shared" si="149"/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 t="shared" si="150"/>
        <v/>
      </c>
      <c r="BB1043" s="29" t="str">
        <f t="shared" si="151"/>
        <v/>
      </c>
      <c r="BC1043" s="29">
        <f t="shared" si="152"/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 t="shared" si="144"/>
        <v>0</v>
      </c>
      <c r="AT1044" s="30" t="str">
        <f t="shared" si="145"/>
        <v/>
      </c>
      <c r="AU1044" s="29" t="str">
        <f t="shared" si="146"/>
        <v/>
      </c>
      <c r="AV1044" s="30" t="str">
        <f t="shared" si="147"/>
        <v/>
      </c>
      <c r="AW1044" s="30" t="str">
        <f t="shared" si="148"/>
        <v/>
      </c>
      <c r="AX1044" s="29" t="str">
        <f t="shared" si="149"/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 t="shared" si="150"/>
        <v/>
      </c>
      <c r="BB1044" s="29" t="str">
        <f t="shared" si="151"/>
        <v/>
      </c>
      <c r="BC1044" s="29">
        <f t="shared" si="152"/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 t="shared" si="144"/>
        <v>0</v>
      </c>
      <c r="AT1045" s="30" t="str">
        <f t="shared" si="145"/>
        <v/>
      </c>
      <c r="AU1045" s="29" t="str">
        <f t="shared" si="146"/>
        <v/>
      </c>
      <c r="AV1045" s="30" t="str">
        <f t="shared" si="147"/>
        <v/>
      </c>
      <c r="AW1045" s="30" t="str">
        <f t="shared" si="148"/>
        <v/>
      </c>
      <c r="AX1045" s="29" t="str">
        <f t="shared" si="149"/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 t="shared" si="150"/>
        <v/>
      </c>
      <c r="BB1045" s="29" t="str">
        <f t="shared" si="151"/>
        <v/>
      </c>
      <c r="BC1045" s="29">
        <f t="shared" si="152"/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 t="shared" si="144"/>
        <v>0</v>
      </c>
      <c r="AT1046" s="30" t="str">
        <f t="shared" si="145"/>
        <v/>
      </c>
      <c r="AU1046" s="29" t="str">
        <f t="shared" si="146"/>
        <v/>
      </c>
      <c r="AV1046" s="30" t="str">
        <f t="shared" si="147"/>
        <v/>
      </c>
      <c r="AW1046" s="30" t="str">
        <f t="shared" si="148"/>
        <v/>
      </c>
      <c r="AX1046" s="29" t="str">
        <f t="shared" si="149"/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 t="shared" si="150"/>
        <v/>
      </c>
      <c r="BB1046" s="29" t="str">
        <f t="shared" si="151"/>
        <v/>
      </c>
      <c r="BC1046" s="29">
        <f t="shared" si="152"/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 t="shared" si="144"/>
        <v>0</v>
      </c>
      <c r="AT1047" s="30" t="str">
        <f t="shared" si="145"/>
        <v/>
      </c>
      <c r="AU1047" s="29" t="str">
        <f t="shared" si="146"/>
        <v/>
      </c>
      <c r="AV1047" s="30" t="str">
        <f t="shared" si="147"/>
        <v/>
      </c>
      <c r="AW1047" s="30" t="str">
        <f t="shared" si="148"/>
        <v/>
      </c>
      <c r="AX1047" s="29" t="str">
        <f t="shared" si="149"/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 t="shared" si="150"/>
        <v/>
      </c>
      <c r="BB1047" s="29" t="str">
        <f t="shared" si="151"/>
        <v/>
      </c>
      <c r="BC1047" s="29">
        <f t="shared" si="152"/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 t="shared" si="144"/>
        <v>0</v>
      </c>
      <c r="AT1048" s="30" t="str">
        <f t="shared" si="145"/>
        <v/>
      </c>
      <c r="AU1048" s="29" t="str">
        <f t="shared" si="146"/>
        <v/>
      </c>
      <c r="AV1048" s="30" t="str">
        <f t="shared" si="147"/>
        <v/>
      </c>
      <c r="AW1048" s="30" t="str">
        <f t="shared" si="148"/>
        <v/>
      </c>
      <c r="AX1048" s="29" t="str">
        <f t="shared" si="149"/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 t="shared" si="150"/>
        <v/>
      </c>
      <c r="BB1048" s="29" t="str">
        <f t="shared" si="151"/>
        <v/>
      </c>
      <c r="BC1048" s="29">
        <f t="shared" si="152"/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 t="shared" si="144"/>
        <v>0</v>
      </c>
      <c r="AT1049" s="30" t="str">
        <f t="shared" si="145"/>
        <v/>
      </c>
      <c r="AU1049" s="29" t="str">
        <f t="shared" si="146"/>
        <v/>
      </c>
      <c r="AV1049" s="30" t="str">
        <f t="shared" si="147"/>
        <v/>
      </c>
      <c r="AW1049" s="30" t="str">
        <f t="shared" si="148"/>
        <v/>
      </c>
      <c r="AX1049" s="29" t="str">
        <f t="shared" si="149"/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 t="shared" si="150"/>
        <v/>
      </c>
      <c r="BB1049" s="29" t="str">
        <f t="shared" si="151"/>
        <v/>
      </c>
      <c r="BC1049" s="29">
        <f t="shared" si="152"/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 t="shared" si="144"/>
        <v>0</v>
      </c>
      <c r="AT1050" s="30" t="str">
        <f t="shared" si="145"/>
        <v/>
      </c>
      <c r="AU1050" s="29" t="str">
        <f t="shared" si="146"/>
        <v/>
      </c>
      <c r="AV1050" s="30" t="str">
        <f t="shared" si="147"/>
        <v/>
      </c>
      <c r="AW1050" s="30" t="str">
        <f t="shared" si="148"/>
        <v/>
      </c>
      <c r="AX1050" s="29" t="str">
        <f t="shared" si="149"/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 t="shared" si="150"/>
        <v/>
      </c>
      <c r="BB1050" s="29" t="str">
        <f t="shared" si="151"/>
        <v/>
      </c>
      <c r="BC1050" s="29">
        <f t="shared" si="152"/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 t="shared" si="144"/>
        <v>0</v>
      </c>
      <c r="AT1051" s="30" t="str">
        <f t="shared" si="145"/>
        <v/>
      </c>
      <c r="AU1051" s="29" t="str">
        <f t="shared" si="146"/>
        <v/>
      </c>
      <c r="AV1051" s="30" t="str">
        <f t="shared" si="147"/>
        <v/>
      </c>
      <c r="AW1051" s="30" t="str">
        <f t="shared" si="148"/>
        <v/>
      </c>
      <c r="AX1051" s="29" t="str">
        <f t="shared" si="149"/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 t="shared" si="150"/>
        <v/>
      </c>
      <c r="BB1051" s="29" t="str">
        <f t="shared" si="151"/>
        <v/>
      </c>
      <c r="BC1051" s="29">
        <f t="shared" si="152"/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 t="shared" si="144"/>
        <v>0</v>
      </c>
      <c r="AT1052" s="30" t="str">
        <f t="shared" si="145"/>
        <v/>
      </c>
      <c r="AU1052" s="29" t="str">
        <f t="shared" si="146"/>
        <v/>
      </c>
      <c r="AV1052" s="30" t="str">
        <f t="shared" si="147"/>
        <v/>
      </c>
      <c r="AW1052" s="30" t="str">
        <f t="shared" si="148"/>
        <v/>
      </c>
      <c r="AX1052" s="29" t="str">
        <f t="shared" si="149"/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 t="shared" si="150"/>
        <v/>
      </c>
      <c r="BB1052" s="29" t="str">
        <f t="shared" si="151"/>
        <v/>
      </c>
      <c r="BC1052" s="29">
        <f t="shared" si="152"/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 t="shared" si="144"/>
        <v>0</v>
      </c>
      <c r="AT1053" s="30" t="str">
        <f t="shared" si="145"/>
        <v/>
      </c>
      <c r="AU1053" s="29" t="str">
        <f t="shared" si="146"/>
        <v/>
      </c>
      <c r="AV1053" s="30" t="str">
        <f t="shared" si="147"/>
        <v/>
      </c>
      <c r="AW1053" s="30" t="str">
        <f t="shared" si="148"/>
        <v/>
      </c>
      <c r="AX1053" s="29" t="str">
        <f t="shared" si="149"/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 t="shared" si="150"/>
        <v/>
      </c>
      <c r="BB1053" s="29" t="str">
        <f t="shared" si="151"/>
        <v/>
      </c>
      <c r="BC1053" s="29">
        <f t="shared" si="152"/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 t="shared" si="144"/>
        <v>0</v>
      </c>
      <c r="AT1054" s="30" t="str">
        <f t="shared" si="145"/>
        <v/>
      </c>
      <c r="AU1054" s="29" t="str">
        <f t="shared" si="146"/>
        <v/>
      </c>
      <c r="AV1054" s="30" t="str">
        <f t="shared" si="147"/>
        <v/>
      </c>
      <c r="AW1054" s="30" t="str">
        <f t="shared" si="148"/>
        <v/>
      </c>
      <c r="AX1054" s="29" t="str">
        <f t="shared" si="149"/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 t="shared" si="150"/>
        <v/>
      </c>
      <c r="BB1054" s="29" t="str">
        <f t="shared" si="151"/>
        <v/>
      </c>
      <c r="BC1054" s="29">
        <f t="shared" si="152"/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 t="shared" si="144"/>
        <v>0</v>
      </c>
      <c r="AT1055" s="30" t="str">
        <f t="shared" si="145"/>
        <v/>
      </c>
      <c r="AU1055" s="29" t="str">
        <f t="shared" si="146"/>
        <v/>
      </c>
      <c r="AV1055" s="30" t="str">
        <f t="shared" si="147"/>
        <v/>
      </c>
      <c r="AW1055" s="30" t="str">
        <f t="shared" si="148"/>
        <v/>
      </c>
      <c r="AX1055" s="29" t="str">
        <f t="shared" si="149"/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 t="shared" si="150"/>
        <v/>
      </c>
      <c r="BB1055" s="29" t="str">
        <f t="shared" si="151"/>
        <v/>
      </c>
      <c r="BC1055" s="29">
        <f t="shared" si="152"/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 t="shared" si="144"/>
        <v>0</v>
      </c>
      <c r="AT1056" s="30" t="str">
        <f t="shared" si="145"/>
        <v/>
      </c>
      <c r="AU1056" s="29" t="str">
        <f t="shared" si="146"/>
        <v/>
      </c>
      <c r="AV1056" s="30" t="str">
        <f t="shared" si="147"/>
        <v/>
      </c>
      <c r="AW1056" s="30" t="str">
        <f t="shared" si="148"/>
        <v/>
      </c>
      <c r="AX1056" s="29" t="str">
        <f t="shared" si="149"/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 t="shared" si="150"/>
        <v/>
      </c>
      <c r="BB1056" s="29" t="str">
        <f t="shared" si="151"/>
        <v/>
      </c>
      <c r="BC1056" s="29">
        <f t="shared" si="152"/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 t="shared" si="144"/>
        <v>0</v>
      </c>
      <c r="AT1057" s="30" t="str">
        <f t="shared" si="145"/>
        <v/>
      </c>
      <c r="AU1057" s="29" t="str">
        <f t="shared" si="146"/>
        <v/>
      </c>
      <c r="AV1057" s="30" t="str">
        <f t="shared" si="147"/>
        <v/>
      </c>
      <c r="AW1057" s="30" t="str">
        <f t="shared" si="148"/>
        <v/>
      </c>
      <c r="AX1057" s="29" t="str">
        <f t="shared" si="149"/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 t="shared" si="150"/>
        <v/>
      </c>
      <c r="BB1057" s="29" t="str">
        <f t="shared" si="151"/>
        <v/>
      </c>
      <c r="BC1057" s="29">
        <f t="shared" si="152"/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 t="shared" si="144"/>
        <v>0</v>
      </c>
      <c r="AT1058" s="30" t="str">
        <f t="shared" si="145"/>
        <v/>
      </c>
      <c r="AU1058" s="29" t="str">
        <f t="shared" si="146"/>
        <v/>
      </c>
      <c r="AV1058" s="30" t="str">
        <f t="shared" si="147"/>
        <v/>
      </c>
      <c r="AW1058" s="30" t="str">
        <f t="shared" si="148"/>
        <v/>
      </c>
      <c r="AX1058" s="29" t="str">
        <f t="shared" si="149"/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 t="shared" si="150"/>
        <v/>
      </c>
      <c r="BB1058" s="29" t="str">
        <f t="shared" si="151"/>
        <v/>
      </c>
      <c r="BC1058" s="29">
        <f t="shared" si="152"/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 t="shared" si="144"/>
        <v>0</v>
      </c>
      <c r="AT1059" s="30" t="str">
        <f t="shared" si="145"/>
        <v/>
      </c>
      <c r="AU1059" s="29" t="str">
        <f t="shared" si="146"/>
        <v/>
      </c>
      <c r="AV1059" s="30" t="str">
        <f t="shared" si="147"/>
        <v/>
      </c>
      <c r="AW1059" s="30" t="str">
        <f t="shared" si="148"/>
        <v/>
      </c>
      <c r="AX1059" s="29" t="str">
        <f t="shared" si="149"/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 t="shared" si="150"/>
        <v/>
      </c>
      <c r="BB1059" s="29" t="str">
        <f t="shared" si="151"/>
        <v/>
      </c>
      <c r="BC1059" s="29">
        <f t="shared" si="152"/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 t="shared" si="144"/>
        <v>0</v>
      </c>
      <c r="AT1060" s="30" t="str">
        <f t="shared" si="145"/>
        <v/>
      </c>
      <c r="AU1060" s="29" t="str">
        <f t="shared" si="146"/>
        <v/>
      </c>
      <c r="AV1060" s="30" t="str">
        <f t="shared" si="147"/>
        <v/>
      </c>
      <c r="AW1060" s="30" t="str">
        <f t="shared" si="148"/>
        <v/>
      </c>
      <c r="AX1060" s="29" t="str">
        <f t="shared" si="149"/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 t="shared" si="150"/>
        <v/>
      </c>
      <c r="BB1060" s="29" t="str">
        <f t="shared" si="151"/>
        <v/>
      </c>
      <c r="BC1060" s="29">
        <f t="shared" si="152"/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 t="shared" si="144"/>
        <v>0</v>
      </c>
      <c r="AT1061" s="30" t="str">
        <f t="shared" si="145"/>
        <v/>
      </c>
      <c r="AU1061" s="29" t="str">
        <f t="shared" si="146"/>
        <v/>
      </c>
      <c r="AV1061" s="30" t="str">
        <f t="shared" si="147"/>
        <v/>
      </c>
      <c r="AW1061" s="30" t="str">
        <f t="shared" si="148"/>
        <v/>
      </c>
      <c r="AX1061" s="29" t="str">
        <f t="shared" si="149"/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 t="shared" si="150"/>
        <v/>
      </c>
      <c r="BB1061" s="29" t="str">
        <f t="shared" si="151"/>
        <v/>
      </c>
      <c r="BC1061" s="29">
        <f t="shared" si="152"/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 t="shared" si="144"/>
        <v>0</v>
      </c>
      <c r="AT1062" s="30" t="str">
        <f t="shared" si="145"/>
        <v/>
      </c>
      <c r="AU1062" s="29" t="str">
        <f t="shared" si="146"/>
        <v/>
      </c>
      <c r="AV1062" s="30" t="str">
        <f t="shared" si="147"/>
        <v/>
      </c>
      <c r="AW1062" s="30" t="str">
        <f t="shared" si="148"/>
        <v/>
      </c>
      <c r="AX1062" s="29" t="str">
        <f t="shared" si="149"/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 t="shared" si="150"/>
        <v/>
      </c>
      <c r="BB1062" s="29" t="str">
        <f t="shared" si="151"/>
        <v/>
      </c>
      <c r="BC1062" s="29">
        <f t="shared" si="152"/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 t="shared" si="144"/>
        <v>0</v>
      </c>
      <c r="AT1063" s="30" t="str">
        <f t="shared" si="145"/>
        <v/>
      </c>
      <c r="AU1063" s="29" t="str">
        <f t="shared" si="146"/>
        <v/>
      </c>
      <c r="AV1063" s="30" t="str">
        <f t="shared" si="147"/>
        <v/>
      </c>
      <c r="AW1063" s="30" t="str">
        <f t="shared" si="148"/>
        <v/>
      </c>
      <c r="AX1063" s="29" t="str">
        <f t="shared" si="149"/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 t="shared" si="150"/>
        <v/>
      </c>
      <c r="BB1063" s="29" t="str">
        <f t="shared" si="151"/>
        <v/>
      </c>
      <c r="BC1063" s="29">
        <f t="shared" si="152"/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 t="shared" si="144"/>
        <v>0</v>
      </c>
      <c r="AT1064" s="30" t="str">
        <f t="shared" si="145"/>
        <v/>
      </c>
      <c r="AU1064" s="29" t="str">
        <f t="shared" si="146"/>
        <v/>
      </c>
      <c r="AV1064" s="30" t="str">
        <f t="shared" si="147"/>
        <v/>
      </c>
      <c r="AW1064" s="30" t="str">
        <f t="shared" si="148"/>
        <v/>
      </c>
      <c r="AX1064" s="29" t="str">
        <f t="shared" si="149"/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 t="shared" si="150"/>
        <v/>
      </c>
      <c r="BB1064" s="29" t="str">
        <f t="shared" si="151"/>
        <v/>
      </c>
      <c r="BC1064" s="29">
        <f t="shared" si="152"/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 t="shared" si="144"/>
        <v>0</v>
      </c>
      <c r="AT1065" s="30" t="str">
        <f t="shared" si="145"/>
        <v/>
      </c>
      <c r="AU1065" s="29" t="str">
        <f t="shared" si="146"/>
        <v/>
      </c>
      <c r="AV1065" s="30" t="str">
        <f t="shared" si="147"/>
        <v/>
      </c>
      <c r="AW1065" s="30" t="str">
        <f t="shared" si="148"/>
        <v/>
      </c>
      <c r="AX1065" s="29" t="str">
        <f t="shared" si="149"/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 t="shared" si="150"/>
        <v/>
      </c>
      <c r="BB1065" s="29" t="str">
        <f t="shared" si="151"/>
        <v/>
      </c>
      <c r="BC1065" s="29">
        <f t="shared" si="152"/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 t="shared" si="144"/>
        <v>0</v>
      </c>
      <c r="AT1066" s="30" t="str">
        <f t="shared" si="145"/>
        <v/>
      </c>
      <c r="AU1066" s="29" t="str">
        <f t="shared" si="146"/>
        <v/>
      </c>
      <c r="AV1066" s="30" t="str">
        <f t="shared" si="147"/>
        <v/>
      </c>
      <c r="AW1066" s="30" t="str">
        <f t="shared" si="148"/>
        <v/>
      </c>
      <c r="AX1066" s="29" t="str">
        <f t="shared" si="149"/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 t="shared" si="150"/>
        <v/>
      </c>
      <c r="BB1066" s="29" t="str">
        <f t="shared" si="151"/>
        <v/>
      </c>
      <c r="BC1066" s="29">
        <f t="shared" si="152"/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 t="shared" si="144"/>
        <v>0</v>
      </c>
      <c r="AT1067" s="30" t="str">
        <f t="shared" si="145"/>
        <v/>
      </c>
      <c r="AU1067" s="29" t="str">
        <f t="shared" si="146"/>
        <v/>
      </c>
      <c r="AV1067" s="30" t="str">
        <f t="shared" si="147"/>
        <v/>
      </c>
      <c r="AW1067" s="30" t="str">
        <f t="shared" si="148"/>
        <v/>
      </c>
      <c r="AX1067" s="29" t="str">
        <f t="shared" si="149"/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 t="shared" si="150"/>
        <v/>
      </c>
      <c r="BB1067" s="29" t="str">
        <f t="shared" si="151"/>
        <v/>
      </c>
      <c r="BC1067" s="29">
        <f t="shared" si="152"/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 t="shared" si="144"/>
        <v>0</v>
      </c>
      <c r="AT1068" s="30" t="str">
        <f t="shared" si="145"/>
        <v/>
      </c>
      <c r="AU1068" s="29" t="str">
        <f t="shared" si="146"/>
        <v/>
      </c>
      <c r="AV1068" s="30" t="str">
        <f t="shared" si="147"/>
        <v/>
      </c>
      <c r="AW1068" s="30" t="str">
        <f t="shared" si="148"/>
        <v/>
      </c>
      <c r="AX1068" s="29" t="str">
        <f t="shared" si="149"/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 t="shared" si="150"/>
        <v/>
      </c>
      <c r="BB1068" s="29" t="str">
        <f t="shared" si="151"/>
        <v/>
      </c>
      <c r="BC1068" s="29">
        <f t="shared" si="152"/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 t="shared" si="144"/>
        <v>0</v>
      </c>
      <c r="AT1069" s="30" t="str">
        <f t="shared" si="145"/>
        <v/>
      </c>
      <c r="AU1069" s="29" t="str">
        <f t="shared" si="146"/>
        <v/>
      </c>
      <c r="AV1069" s="30" t="str">
        <f t="shared" si="147"/>
        <v/>
      </c>
      <c r="AW1069" s="30" t="str">
        <f t="shared" si="148"/>
        <v/>
      </c>
      <c r="AX1069" s="29" t="str">
        <f t="shared" si="149"/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 t="shared" si="150"/>
        <v/>
      </c>
      <c r="BB1069" s="29" t="str">
        <f t="shared" si="151"/>
        <v/>
      </c>
      <c r="BC1069" s="29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5" r:id="rId1" xr:uid="{1213CFA2-FFC8-4877-B399-A92886D49B95}"/>
    <hyperlink ref="G59" r:id="rId2" xr:uid="{C3AD996A-AF04-46E2-8FE8-69A16F03C4A1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2026-03-30T08:05:22Z</dcterms:created>
  <dcterms:modified xsi:type="dcterms:W3CDTF">2026-03-30T08:05:34Z</dcterms:modified>
</cp:coreProperties>
</file>